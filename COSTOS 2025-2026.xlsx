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mirianmartinez/Desktop/Agro Pacayales/GESTION COSTOS/"/>
    </mc:Choice>
  </mc:AlternateContent>
  <xr:revisionPtr revIDLastSave="0" documentId="13_ncr:1_{E835C11B-5699-B74B-A03A-589FB3B7ED16}" xr6:coauthVersionLast="47" xr6:coauthVersionMax="47" xr10:uidLastSave="{00000000-0000-0000-0000-000000000000}"/>
  <bookViews>
    <workbookView xWindow="4320" yWindow="600" windowWidth="24480" windowHeight="17400" tabRatio="500" activeTab="2" xr2:uid="{00000000-000D-0000-FFFF-FFFF00000000}"/>
  </bookViews>
  <sheets>
    <sheet name="PRESUPUESTO" sheetId="1" r:id="rId1"/>
    <sheet name="VALES" sheetId="2" r:id="rId2"/>
    <sheet name="MANO DE OBRA" sheetId="3" r:id="rId3"/>
    <sheet name="TRABAJOS MAQUINARIA-TRACTOR" sheetId="4" r:id="rId4"/>
    <sheet name="codigos" sheetId="5" r:id="rId5"/>
    <sheet name="codigos2" sheetId="6" r:id="rId6"/>
    <sheet name="RESUMEN" sheetId="7" r:id="rId7"/>
    <sheet name="Tabla Luis" sheetId="8" state="hidden" r:id="rId8"/>
  </sheets>
  <definedNames>
    <definedName name="_xlnm._FilterDatabase" localSheetId="4" hidden="1">codigos!$A$5:$K$26</definedName>
    <definedName name="_xlnm._FilterDatabase" localSheetId="2" hidden="1">'MANO DE OBRA'!$A$1:$V$10880</definedName>
    <definedName name="_xlnm._FilterDatabase" localSheetId="0" hidden="1">PRESUPUESTO!$A$1:$U$488</definedName>
    <definedName name="_xlnm._FilterDatabase" localSheetId="3" hidden="1">'TRABAJOS MAQUINARIA-TRACTOR'!$A$1:$O$130</definedName>
    <definedName name="_xlnm._FilterDatabase" localSheetId="1" hidden="1">VALES!$B$3:$AB$1649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7" l="1"/>
  <c r="C30" i="7"/>
  <c r="C32" i="7" s="1"/>
  <c r="H23" i="7"/>
  <c r="H22" i="7"/>
  <c r="H21" i="7"/>
  <c r="H17" i="7"/>
  <c r="B1" i="5"/>
  <c r="V2588" i="3"/>
  <c r="V1996" i="3"/>
  <c r="V834" i="3"/>
  <c r="V785" i="3"/>
  <c r="V784" i="3"/>
  <c r="V783" i="3"/>
  <c r="V782" i="3"/>
  <c r="V781" i="3"/>
  <c r="V780" i="3"/>
  <c r="V738" i="3"/>
  <c r="V737" i="3"/>
  <c r="V736" i="3"/>
  <c r="V735" i="3"/>
  <c r="V734" i="3"/>
  <c r="V733" i="3"/>
  <c r="V732" i="3"/>
  <c r="V731" i="3"/>
  <c r="V730" i="3"/>
  <c r="V665" i="3"/>
  <c r="V647" i="3"/>
  <c r="V646" i="3"/>
  <c r="V645" i="3"/>
  <c r="V644" i="3"/>
  <c r="V643" i="3"/>
  <c r="V642" i="3"/>
  <c r="V637" i="3"/>
  <c r="V636" i="3"/>
  <c r="V635" i="3"/>
  <c r="V634" i="3"/>
  <c r="V633" i="3"/>
  <c r="V612" i="3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M130" i="4"/>
  <c r="O130" i="4" s="1"/>
  <c r="M129" i="4"/>
  <c r="M128" i="4"/>
  <c r="M127" i="4"/>
  <c r="M126" i="4"/>
  <c r="M125" i="4"/>
  <c r="O119" i="4"/>
  <c r="M119" i="4"/>
  <c r="O111" i="4"/>
  <c r="O94" i="4"/>
  <c r="O75" i="4"/>
  <c r="O74" i="4"/>
  <c r="O40" i="4"/>
  <c r="L40" i="4"/>
</calcChain>
</file>

<file path=xl/sharedStrings.xml><?xml version="1.0" encoding="utf-8"?>
<sst xmlns="http://schemas.openxmlformats.org/spreadsheetml/2006/main" count="80034" uniqueCount="6320">
  <si>
    <t>FECHA</t>
  </si>
  <si>
    <t>Código</t>
  </si>
  <si>
    <t>Nombre</t>
  </si>
  <si>
    <t>Cultivo</t>
  </si>
  <si>
    <t>Ha</t>
  </si>
  <si>
    <t>COD LABOR</t>
  </si>
  <si>
    <t>DESCRIPCIÓN </t>
  </si>
  <si>
    <t>ACTIVIDAD</t>
  </si>
  <si>
    <t>Estado</t>
  </si>
  <si>
    <t>Código Trabajador</t>
  </si>
  <si>
    <t>CANT/JRN</t>
  </si>
  <si>
    <t>Costo</t>
  </si>
  <si>
    <t>Costo total</t>
  </si>
  <si>
    <t>DDS</t>
  </si>
  <si>
    <t>COSTO POR HA</t>
  </si>
  <si>
    <t>lote</t>
  </si>
  <si>
    <t>Lote</t>
  </si>
  <si>
    <t>trabajador</t>
  </si>
  <si>
    <t>tarea</t>
  </si>
  <si>
    <t>LC01-2026</t>
  </si>
  <si>
    <t>POZO-C</t>
  </si>
  <si>
    <t>CAMOTE AMARILLO</t>
  </si>
  <si>
    <t>ARRIENDO</t>
  </si>
  <si>
    <t>contrato</t>
  </si>
  <si>
    <t>S/.4,000.00</t>
  </si>
  <si>
    <t>S/.14,000.00</t>
  </si>
  <si>
    <t>PREPARACION DE TERRENO</t>
  </si>
  <si>
    <t>S/.708.00</t>
  </si>
  <si>
    <t>S/.2,690.40</t>
  </si>
  <si>
    <t>Transplante plantas /Siembra</t>
  </si>
  <si>
    <t>SEMILLA/SIEMBRA</t>
  </si>
  <si>
    <t>S/.1,900.00</t>
  </si>
  <si>
    <t>S/.7,220.00</t>
  </si>
  <si>
    <t>AGUA</t>
  </si>
  <si>
    <t>S/.97.50</t>
  </si>
  <si>
    <t>S/.370.50</t>
  </si>
  <si>
    <t>GUANO DE POLLO</t>
  </si>
  <si>
    <t>S/.2,200.00</t>
  </si>
  <si>
    <t>S/.8,360.00</t>
  </si>
  <si>
    <t>LC02-2026</t>
  </si>
  <si>
    <t>CASAS_2026</t>
  </si>
  <si>
    <t>S/.4,188.48</t>
  </si>
  <si>
    <t>S/.741.36</t>
  </si>
  <si>
    <t>S/.1,989.53</t>
  </si>
  <si>
    <t>S/.102.09</t>
  </si>
  <si>
    <t>S/.2,600.00</t>
  </si>
  <si>
    <t>S/.2,722.51</t>
  </si>
  <si>
    <t>LC03_26</t>
  </si>
  <si>
    <t>RUDA-26</t>
  </si>
  <si>
    <t>S/.2,000.00</t>
  </si>
  <si>
    <t>S/.1,600.00</t>
  </si>
  <si>
    <t>CULTIVO</t>
  </si>
  <si>
    <t>S/.360.00</t>
  </si>
  <si>
    <t>LC04-26</t>
  </si>
  <si>
    <t>CALAGUAC_2026</t>
  </si>
  <si>
    <t>Doble Grada Pesada</t>
  </si>
  <si>
    <t>S/.400.00</t>
  </si>
  <si>
    <t>Preparación Completa</t>
  </si>
  <si>
    <t>S/.750.00</t>
  </si>
  <si>
    <t>S/.1,525.00</t>
  </si>
  <si>
    <t>LC05-26</t>
  </si>
  <si>
    <t>CALAGUA2-26</t>
  </si>
  <si>
    <t>S/.1,080.00</t>
  </si>
  <si>
    <t>Subsolado</t>
  </si>
  <si>
    <t>S/.350.00</t>
  </si>
  <si>
    <t>Rayada a 85 cm</t>
  </si>
  <si>
    <t>S/.150.00</t>
  </si>
  <si>
    <t>S/.1,437.50</t>
  </si>
  <si>
    <t>LC06-26</t>
  </si>
  <si>
    <t>MOD5C_26</t>
  </si>
  <si>
    <t>S/.1,100.00</t>
  </si>
  <si>
    <t>Subsolado Doble</t>
  </si>
  <si>
    <t>S/.700.00</t>
  </si>
  <si>
    <t>LC07-26</t>
  </si>
  <si>
    <t>ESMERALDA CP-26</t>
  </si>
  <si>
    <t>CAMOTE PINTURA</t>
  </si>
  <si>
    <t>S/.6,000.00</t>
  </si>
  <si>
    <t>S/.1,120.00</t>
  </si>
  <si>
    <t>Trabajo Completo </t>
  </si>
  <si>
    <t>S/.720.00</t>
  </si>
  <si>
    <t>LC08-26</t>
  </si>
  <si>
    <t>DINA CA-26</t>
  </si>
  <si>
    <t>S/.1,500.00</t>
  </si>
  <si>
    <t>S/.1,173.91</t>
  </si>
  <si>
    <t>LC09-26</t>
  </si>
  <si>
    <t>MOD 2-3C _26</t>
  </si>
  <si>
    <t>Arado</t>
  </si>
  <si>
    <t>S/.300.00</t>
  </si>
  <si>
    <t>S/.0.00</t>
  </si>
  <si>
    <t>LC10-26</t>
  </si>
  <si>
    <t>MOD 11C-26</t>
  </si>
  <si>
    <t>LC11-26</t>
  </si>
  <si>
    <t>MOD 7C-26</t>
  </si>
  <si>
    <t>S/.695.00</t>
  </si>
  <si>
    <t>Barbechó</t>
  </si>
  <si>
    <t>Subsoló</t>
  </si>
  <si>
    <t>LC15-26</t>
  </si>
  <si>
    <t>GABINO C_26</t>
  </si>
  <si>
    <t>S/.1,150.00</t>
  </si>
  <si>
    <t>S/.391.11</t>
  </si>
  <si>
    <t>S/.733.33</t>
  </si>
  <si>
    <t>LC16-26</t>
  </si>
  <si>
    <t>MARINO CP_26</t>
  </si>
  <si>
    <t>S/.8,395.00</t>
  </si>
  <si>
    <t>S/.1,104.61</t>
  </si>
  <si>
    <t>S/.1,314.00</t>
  </si>
  <si>
    <t>S/.172.89</t>
  </si>
  <si>
    <t>LC18-26</t>
  </si>
  <si>
    <t>VENERANDA C_26</t>
  </si>
  <si>
    <t>S/.5,175.00</t>
  </si>
  <si>
    <t>S/.1,800.00</t>
  </si>
  <si>
    <t>S/.3,375.00</t>
  </si>
  <si>
    <t>S/.438.75</t>
  </si>
  <si>
    <t>S/.15,000.00</t>
  </si>
  <si>
    <t>S/.3,333.33</t>
  </si>
  <si>
    <t>LC19-26</t>
  </si>
  <si>
    <t>CALAGUA3-26</t>
  </si>
  <si>
    <t>S/.2,300.00</t>
  </si>
  <si>
    <t>S/.800.00</t>
  </si>
  <si>
    <t>S/.195.00</t>
  </si>
  <si>
    <t>S/.7,000.00</t>
  </si>
  <si>
    <t>S/.3,500.00</t>
  </si>
  <si>
    <t>LC21-26</t>
  </si>
  <si>
    <t>BUSTAMANTE CP_26</t>
  </si>
  <si>
    <t>S/.7,608.70</t>
  </si>
  <si>
    <t>S/.35,000.00</t>
  </si>
  <si>
    <t>S/.1,610.00</t>
  </si>
  <si>
    <t>S/.1,748.00</t>
  </si>
  <si>
    <t>S/.380.00</t>
  </si>
  <si>
    <t>S/.690.00</t>
  </si>
  <si>
    <t>S/.851.00</t>
  </si>
  <si>
    <t>S/.185.00</t>
  </si>
  <si>
    <t>guano DE POLLO</t>
  </si>
  <si>
    <t>S/.5,000.00</t>
  </si>
  <si>
    <t>S/.1,086.96</t>
  </si>
  <si>
    <t>LC13-26</t>
  </si>
  <si>
    <t>MOD-6C</t>
  </si>
  <si>
    <t>LC17-26</t>
  </si>
  <si>
    <t>MOD 9C-26</t>
  </si>
  <si>
    <t>LC12-26</t>
  </si>
  <si>
    <t>MOD 8C-26</t>
  </si>
  <si>
    <t>LC14-26</t>
  </si>
  <si>
    <t>MOD 4C_26</t>
  </si>
  <si>
    <t>LC22-26</t>
  </si>
  <si>
    <t>POZO-C1</t>
  </si>
  <si>
    <t>S/.3,888.89</t>
  </si>
  <si>
    <t>S/.388.89</t>
  </si>
  <si>
    <t>S/.760.00</t>
  </si>
  <si>
    <t>S/.422.22</t>
  </si>
  <si>
    <t>S/.166.67</t>
  </si>
  <si>
    <t>S/.108.33</t>
  </si>
  <si>
    <t>S/.5,400.00</t>
  </si>
  <si>
    <t>S/.3,000.00</t>
  </si>
  <si>
    <t>LC24_26</t>
  </si>
  <si>
    <t>ANGULO C126</t>
  </si>
  <si>
    <t>TIPO</t>
  </si>
  <si>
    <t>labores</t>
  </si>
  <si>
    <t>sub-Categoría</t>
  </si>
  <si>
    <t>CATEGORIA</t>
  </si>
  <si>
    <t>UM</t>
  </si>
  <si>
    <t>CANT. / DOCIS</t>
  </si>
  <si>
    <t>CIL x Ha</t>
  </si>
  <si>
    <t>PRECIO/COSTO</t>
  </si>
  <si>
    <t>HR</t>
  </si>
  <si>
    <t>TRABAJADOR</t>
  </si>
  <si>
    <t>OBSERVACION</t>
  </si>
  <si>
    <t>PERSONA Q REGISTRO</t>
  </si>
  <si>
    <t>cil</t>
  </si>
  <si>
    <t>labor</t>
  </si>
  <si>
    <t>PPTO-CP</t>
  </si>
  <si>
    <t>GRAVEDAD</t>
  </si>
  <si>
    <t>A</t>
  </si>
  <si>
    <t>COSTOS DE ESTABLECIMIENTO</t>
  </si>
  <si>
    <t>HA</t>
  </si>
  <si>
    <t>S/.8,000.00</t>
  </si>
  <si>
    <t>S/.180.00</t>
  </si>
  <si>
    <t>S/.118.00</t>
  </si>
  <si>
    <t>Apoyo maquinista/levantado de marcador</t>
  </si>
  <si>
    <t>TRABAJO CON MAQUINARIA</t>
  </si>
  <si>
    <t>S/.9.80</t>
  </si>
  <si>
    <t>Hacer cortaderas</t>
  </si>
  <si>
    <t>MANO DE OBRA</t>
  </si>
  <si>
    <t>JRN</t>
  </si>
  <si>
    <t>S/.8.00</t>
  </si>
  <si>
    <t>ROCIAR AGUA PLANTINES CON MOTOR ESTACIONARIO</t>
  </si>
  <si>
    <t>S/.4.20</t>
  </si>
  <si>
    <t>Opcional</t>
  </si>
  <si>
    <t>Levante para riego</t>
  </si>
  <si>
    <t>RIEGO</t>
  </si>
  <si>
    <t>S/.60.00</t>
  </si>
  <si>
    <t>Descarga de plantines para siembra</t>
  </si>
  <si>
    <t>S/.93.50</t>
  </si>
  <si>
    <t>Riego machaco</t>
  </si>
  <si>
    <t>S/.72.00</t>
  </si>
  <si>
    <t>Sacado de plastico </t>
  </si>
  <si>
    <t>S/.9.60</t>
  </si>
  <si>
    <t>ABONO</t>
  </si>
  <si>
    <t>VIAJE</t>
  </si>
  <si>
    <t>S/.1,300.00</t>
  </si>
  <si>
    <t>YARAMILLA INTEGRADOR</t>
  </si>
  <si>
    <t>FERTILIZANTE EDAFICO</t>
  </si>
  <si>
    <t>FERTILIZANTE</t>
  </si>
  <si>
    <t>kg</t>
  </si>
  <si>
    <t>SULFATO DE POTASIO</t>
  </si>
  <si>
    <t>HUMIPHOS</t>
  </si>
  <si>
    <t>S/.220.00</t>
  </si>
  <si>
    <t>Fertilizacion manual 1</t>
  </si>
  <si>
    <t>FERTILIZACION</t>
  </si>
  <si>
    <t>S/.82.50</t>
  </si>
  <si>
    <t>S/.27.50</t>
  </si>
  <si>
    <t>poner plastico</t>
  </si>
  <si>
    <t>S/.55.00</t>
  </si>
  <si>
    <t>Riego</t>
  </si>
  <si>
    <t>S/.90.00</t>
  </si>
  <si>
    <t>Fumigacion con mochila electrica</t>
  </si>
  <si>
    <t>CONTROL FITOSANITARIO</t>
  </si>
  <si>
    <t>S/.80.00</t>
  </si>
  <si>
    <t>GARLIMEX</t>
  </si>
  <si>
    <t>INSECTICIDA</t>
  </si>
  <si>
    <t>AGROQUIMICO</t>
  </si>
  <si>
    <t>LT</t>
  </si>
  <si>
    <t>S/.337.50</t>
  </si>
  <si>
    <t>BIOAMINO-L</t>
  </si>
  <si>
    <t>ENMIENDA</t>
  </si>
  <si>
    <t>S/.134.70</t>
  </si>
  <si>
    <t>Melaza</t>
  </si>
  <si>
    <t>KG</t>
  </si>
  <si>
    <t>S/.12.00</t>
  </si>
  <si>
    <t>Aplicación con mochila 3</t>
  </si>
  <si>
    <t>S/.40.00</t>
  </si>
  <si>
    <t>SPRAY PLUS</t>
  </si>
  <si>
    <t>ACIDIFICANTE</t>
  </si>
  <si>
    <t>S/.2.13</t>
  </si>
  <si>
    <t>SELLADOR 40 EC</t>
  </si>
  <si>
    <t>Herbicida</t>
  </si>
  <si>
    <t>S/.57.21</t>
  </si>
  <si>
    <t>DELTAPLUS</t>
  </si>
  <si>
    <t>S/.15.63</t>
  </si>
  <si>
    <t>Bayfolan activador</t>
  </si>
  <si>
    <t>FOLIAR</t>
  </si>
  <si>
    <t>S/.50.00</t>
  </si>
  <si>
    <t>VERZUS</t>
  </si>
  <si>
    <t>S/.20.36</t>
  </si>
  <si>
    <t>T-REX</t>
  </si>
  <si>
    <t>FUNGICIDA</t>
  </si>
  <si>
    <t>S/.18.50</t>
  </si>
  <si>
    <t>CIPERMEX SUPER</t>
  </si>
  <si>
    <t>MEGAMIN RAIZ</t>
  </si>
  <si>
    <t>Lt</t>
  </si>
  <si>
    <t>S/.28.60</t>
  </si>
  <si>
    <t>LECHE DE VACA</t>
  </si>
  <si>
    <t>S/.42.00</t>
  </si>
  <si>
    <t>Deshierbe Manual 1</t>
  </si>
  <si>
    <t>DESHIERBO</t>
  </si>
  <si>
    <t>Aplicación con mochila 4</t>
  </si>
  <si>
    <t>BIOSPORE 6.4%</t>
  </si>
  <si>
    <t>kG</t>
  </si>
  <si>
    <t>S/.20.00</t>
  </si>
  <si>
    <t>FORTEX MAX</t>
  </si>
  <si>
    <t>AMIPRID</t>
  </si>
  <si>
    <t>S/.18.00</t>
  </si>
  <si>
    <t>Sacado de plastico</t>
  </si>
  <si>
    <t>Cultivo con maquina</t>
  </si>
  <si>
    <t>Aplicación con mochila 5</t>
  </si>
  <si>
    <t>LIGNOFOS</t>
  </si>
  <si>
    <t>S/.77.00</t>
  </si>
  <si>
    <t>SANIFOL</t>
  </si>
  <si>
    <t>S/.53.80</t>
  </si>
  <si>
    <t>Deshierbe Manual 2</t>
  </si>
  <si>
    <t>S/.63.00</t>
  </si>
  <si>
    <t>Aporque</t>
  </si>
  <si>
    <t>Aplicación con motor 1</t>
  </si>
  <si>
    <t>S/.3.19</t>
  </si>
  <si>
    <t>S/.27.00</t>
  </si>
  <si>
    <t>VERTIMEX</t>
  </si>
  <si>
    <t>S/.27.30</t>
  </si>
  <si>
    <t>LAMBFARM</t>
  </si>
  <si>
    <t>S/.27.90</t>
  </si>
  <si>
    <t>NUTRIALGAE</t>
  </si>
  <si>
    <t>S/.48.75</t>
  </si>
  <si>
    <t>Deshierbe Manual 3</t>
  </si>
  <si>
    <t>Aplicación con motor 2</t>
  </si>
  <si>
    <t>Kg</t>
  </si>
  <si>
    <t>S/.30.53</t>
  </si>
  <si>
    <t>BRAVO</t>
  </si>
  <si>
    <t>S/.39.75</t>
  </si>
  <si>
    <t>POLISWEET</t>
  </si>
  <si>
    <t>S/.102.24</t>
  </si>
  <si>
    <t>S/.23.44</t>
  </si>
  <si>
    <t>Riego 4</t>
  </si>
  <si>
    <t>Aplicación con motor 3</t>
  </si>
  <si>
    <t>S/.30.00</t>
  </si>
  <si>
    <t>SUCRAMELL</t>
  </si>
  <si>
    <t>S/.59.21</t>
  </si>
  <si>
    <t>Aplicación con motor 4</t>
  </si>
  <si>
    <t>OBRA MASS</t>
  </si>
  <si>
    <t>S/.57.98</t>
  </si>
  <si>
    <t>Riego 5</t>
  </si>
  <si>
    <t>Aplicación con motor 5</t>
  </si>
  <si>
    <t>Riego 6</t>
  </si>
  <si>
    <t>Aplicación con motor 6</t>
  </si>
  <si>
    <t>S/.34.88</t>
  </si>
  <si>
    <t>Aplicación con motor 7</t>
  </si>
  <si>
    <t>Riego 7</t>
  </si>
  <si>
    <t>Aplicación con motor 8</t>
  </si>
  <si>
    <t>Aplicación con motor 9</t>
  </si>
  <si>
    <t>Botadores</t>
  </si>
  <si>
    <t>COSECHA</t>
  </si>
  <si>
    <t>S/.560.00</t>
  </si>
  <si>
    <t>Llenador</t>
  </si>
  <si>
    <t>S/.775.00</t>
  </si>
  <si>
    <t>Maquina cosechadora</t>
  </si>
  <si>
    <t>COSECHADORA</t>
  </si>
  <si>
    <t>HA.</t>
  </si>
  <si>
    <t>S/.500.00</t>
  </si>
  <si>
    <t>Sacos</t>
  </si>
  <si>
    <t>INSUMOS</t>
  </si>
  <si>
    <t>S/.315.00</t>
  </si>
  <si>
    <t>SISTEMA</t>
  </si>
  <si>
    <t>B</t>
  </si>
  <si>
    <t>Agua</t>
  </si>
  <si>
    <t>Gradeo con tractor</t>
  </si>
  <si>
    <t>Tendido de cinta</t>
  </si>
  <si>
    <t>recojo de cintas</t>
  </si>
  <si>
    <t>S/.110.00</t>
  </si>
  <si>
    <t>Guano de pollo</t>
  </si>
  <si>
    <t>Arado </t>
  </si>
  <si>
    <t>2 pasadas de grada</t>
  </si>
  <si>
    <t>Rayado para siembra</t>
  </si>
  <si>
    <t>S/.4.90</t>
  </si>
  <si>
    <t>Semilla camote</t>
  </si>
  <si>
    <t>Supervisión de siembra</t>
  </si>
  <si>
    <t>S/.38.50</t>
  </si>
  <si>
    <t>Traslado de plantines / semilla</t>
  </si>
  <si>
    <t>S/.99.00</t>
  </si>
  <si>
    <t>Fertirriego</t>
  </si>
  <si>
    <t>FOSFATO MONOAMONICO</t>
  </si>
  <si>
    <t>FERTILIZANTE SOLUBLE</t>
  </si>
  <si>
    <t>S/.48.10</t>
  </si>
  <si>
    <t>S/.122.00</t>
  </si>
  <si>
    <t>Retirar cinta al surco</t>
  </si>
  <si>
    <t>S/.15.56</t>
  </si>
  <si>
    <t>S/.12.80</t>
  </si>
  <si>
    <t>S/.18.20</t>
  </si>
  <si>
    <t>Cultivo/tapado con tractor</t>
  </si>
  <si>
    <t>S/.200.00</t>
  </si>
  <si>
    <t>semi aporque/aporque con tractor</t>
  </si>
  <si>
    <t>Desenterrar plantulas</t>
  </si>
  <si>
    <t>DESENTERRAR</t>
  </si>
  <si>
    <t>Aporque con Tractor</t>
  </si>
  <si>
    <t>APORQUE</t>
  </si>
  <si>
    <t>S/.32.50</t>
  </si>
  <si>
    <t>S/.26.50</t>
  </si>
  <si>
    <t>Deshierbe Manual</t>
  </si>
  <si>
    <t>S/.275.00</t>
  </si>
  <si>
    <t>MELAZA</t>
  </si>
  <si>
    <t>S/.67.35</t>
  </si>
  <si>
    <t>NITRATO DE CALCIO</t>
  </si>
  <si>
    <t>S/.13.30</t>
  </si>
  <si>
    <t>Opcional </t>
  </si>
  <si>
    <t>PPTO-CA</t>
  </si>
  <si>
    <t>C</t>
  </si>
  <si>
    <t>Riego dejando 1 surco</t>
  </si>
  <si>
    <t>BENLAFARM</t>
  </si>
  <si>
    <t>S/.18.24</t>
  </si>
  <si>
    <t>S/.12.22</t>
  </si>
  <si>
    <t>Fumigacion con motor </t>
  </si>
  <si>
    <t>S/.19.20</t>
  </si>
  <si>
    <t>S/.18.34</t>
  </si>
  <si>
    <t>S/.102.22</t>
  </si>
  <si>
    <t>Transporte de personal con Camión/Camioneta</t>
  </si>
  <si>
    <t>botadores o melgiadores de cosecha</t>
  </si>
  <si>
    <t>S/.2,100.00</t>
  </si>
  <si>
    <t>Supervisor de cosecha</t>
  </si>
  <si>
    <t>Supervisor</t>
  </si>
  <si>
    <t>Maquina Cosechadora</t>
  </si>
  <si>
    <t>D</t>
  </si>
  <si>
    <t>Rayado para machaco</t>
  </si>
  <si>
    <t>S/.159.50</t>
  </si>
  <si>
    <t>S/.8.80</t>
  </si>
  <si>
    <t>riego</t>
  </si>
  <si>
    <t>S/.4.26</t>
  </si>
  <si>
    <t>Instalacion de plastico</t>
  </si>
  <si>
    <t>S/.33.00</t>
  </si>
  <si>
    <t>levante ramas en el surco de riego</t>
  </si>
  <si>
    <t>Cosecha con Tractor</t>
  </si>
  <si>
    <t>VERIFICADO</t>
  </si>
  <si>
    <t>001-3224</t>
  </si>
  <si>
    <t>ACIDO PERACETICO</t>
  </si>
  <si>
    <t>001-3224001</t>
  </si>
  <si>
    <t>PROXITANE 1512</t>
  </si>
  <si>
    <t>ADM</t>
  </si>
  <si>
    <t>ADMINISTRACIÓN</t>
  </si>
  <si>
    <t>CUADRE INVENTARIO</t>
  </si>
  <si>
    <t>SPINETORAM</t>
  </si>
  <si>
    <t>001-3224002</t>
  </si>
  <si>
    <t>ABSOLUTE</t>
  </si>
  <si>
    <t>SPIROTETRAMAT</t>
  </si>
  <si>
    <t>001-3224003</t>
  </si>
  <si>
    <t>BANDAK</t>
  </si>
  <si>
    <t>IMIDACLOPRID</t>
  </si>
  <si>
    <t>001-3224004</t>
  </si>
  <si>
    <t>CIGARAL</t>
  </si>
  <si>
    <t>ADERENTE SILICONADO</t>
  </si>
  <si>
    <t>001-3224005</t>
  </si>
  <si>
    <t>CROPS-COVER PLUS</t>
  </si>
  <si>
    <t>FIPRONIL</t>
  </si>
  <si>
    <t>001-3224006</t>
  </si>
  <si>
    <t>FANTASTIC</t>
  </si>
  <si>
    <t>CHLOROTHALONIL</t>
  </si>
  <si>
    <t>001-3224007</t>
  </si>
  <si>
    <t>FURONIL</t>
  </si>
  <si>
    <t>001-3225</t>
  </si>
  <si>
    <t>ISOCYCLOSERAM </t>
  </si>
  <si>
    <t>001-3225001</t>
  </si>
  <si>
    <t>INCIPIO</t>
  </si>
  <si>
    <t>MATERIAL</t>
  </si>
  <si>
    <t>HIPOCLORITO DE SODIO</t>
  </si>
  <si>
    <t>001-3225002</t>
  </si>
  <si>
    <t>LEJIA QX</t>
  </si>
  <si>
    <t>TRIHORMONAL</t>
  </si>
  <si>
    <t>001-3225003</t>
  </si>
  <si>
    <t>MEGAZIME BIO</t>
  </si>
  <si>
    <t>001-3225004</t>
  </si>
  <si>
    <t>PERACTIVE</t>
  </si>
  <si>
    <t>INDOXACAR</t>
  </si>
  <si>
    <t>001-3225005</t>
  </si>
  <si>
    <t>POKER</t>
  </si>
  <si>
    <t>001-3225006</t>
  </si>
  <si>
    <t>PUCHURY</t>
  </si>
  <si>
    <t>001-3225007</t>
  </si>
  <si>
    <t>RAYFUR</t>
  </si>
  <si>
    <t>001-3257</t>
  </si>
  <si>
    <t>ACIDO ORGÁNICO</t>
  </si>
  <si>
    <t>001-3257001</t>
  </si>
  <si>
    <t>MEGAMIN PH700</t>
  </si>
  <si>
    <t>ADM-M</t>
  </si>
  <si>
    <t>GENERAL</t>
  </si>
  <si>
    <t>mochila manual </t>
  </si>
  <si>
    <t>HERBICIDA</t>
  </si>
  <si>
    <t>GLYPHOSATE</t>
  </si>
  <si>
    <t>001-3257002</t>
  </si>
  <si>
    <t>DESTRUCTOR</t>
  </si>
  <si>
    <t>POLYETHER</t>
  </si>
  <si>
    <t>001-3257003</t>
  </si>
  <si>
    <t>COVERAGE</t>
  </si>
  <si>
    <t>001-3377</t>
  </si>
  <si>
    <t>001-3377001</t>
  </si>
  <si>
    <t>GLIFOSATO</t>
  </si>
  <si>
    <t>001-3377002</t>
  </si>
  <si>
    <t>FOGONAZO</t>
  </si>
  <si>
    <t>001-3377003</t>
  </si>
  <si>
    <t>001-3379</t>
  </si>
  <si>
    <t>001-3379001</t>
  </si>
  <si>
    <t>MOVENTO</t>
  </si>
  <si>
    <t>mochila electrica </t>
  </si>
  <si>
    <t>AMINOACIDOS</t>
  </si>
  <si>
    <t>001-3379002</t>
  </si>
  <si>
    <t>BAYFOLAN ACTIVADOR</t>
  </si>
  <si>
    <t>001-3379003</t>
  </si>
  <si>
    <t>GLYBET</t>
  </si>
  <si>
    <t>001-3429</t>
  </si>
  <si>
    <t>001-3429001</t>
  </si>
  <si>
    <t>001-3429002</t>
  </si>
  <si>
    <t>001-3429003</t>
  </si>
  <si>
    <t>001-3452</t>
  </si>
  <si>
    <t>001-3452001</t>
  </si>
  <si>
    <t>001-3452002</t>
  </si>
  <si>
    <t>001-3452003</t>
  </si>
  <si>
    <t>001-3460</t>
  </si>
  <si>
    <t>FERTILIZANTE EDAFICO/SOLUBLE</t>
  </si>
  <si>
    <t>NITROGENO</t>
  </si>
  <si>
    <t>001-3460001</t>
  </si>
  <si>
    <t>NITRATO DE AMONIO</t>
  </si>
  <si>
    <t>puyado /lampa </t>
  </si>
  <si>
    <t>AZUFRE + POTASIO</t>
  </si>
  <si>
    <t>001-3460002</t>
  </si>
  <si>
    <t>SULFATO DE POTASIO SOLUBLE</t>
  </si>
  <si>
    <t>001-3506</t>
  </si>
  <si>
    <t>001-3506001</t>
  </si>
  <si>
    <t>DETERGENTE</t>
  </si>
  <si>
    <t>lavar /camioneta </t>
  </si>
  <si>
    <t>001-3529</t>
  </si>
  <si>
    <t>001-3529001</t>
  </si>
  <si>
    <t>001-3573</t>
  </si>
  <si>
    <t>EXTRACTO VEGETAL</t>
  </si>
  <si>
    <t>001-3573001</t>
  </si>
  <si>
    <t>FENDER</t>
  </si>
  <si>
    <t>001-3589</t>
  </si>
  <si>
    <t>001-3589001</t>
  </si>
  <si>
    <t>001-3589002</t>
  </si>
  <si>
    <t>001-3589003</t>
  </si>
  <si>
    <t>001-3604</t>
  </si>
  <si>
    <t>EMAMENTIC BENZOATO</t>
  </si>
  <si>
    <t>001-3604001</t>
  </si>
  <si>
    <t>MASKAR 5SG</t>
  </si>
  <si>
    <t>#N/A</t>
  </si>
  <si>
    <t>001-3624</t>
  </si>
  <si>
    <t>UNION CINTA CINTA CON TUERCA</t>
  </si>
  <si>
    <t>001-3624001</t>
  </si>
  <si>
    <t>UND</t>
  </si>
  <si>
    <t>ADM-MOD</t>
  </si>
  <si>
    <t>001-3624002</t>
  </si>
  <si>
    <t>UNION CINTA CINTA CON LLAVE</t>
  </si>
  <si>
    <t>001-3650</t>
  </si>
  <si>
    <t>001-3650001</t>
  </si>
  <si>
    <t>001-3650002</t>
  </si>
  <si>
    <t>ACIDO GIBERÉLICO</t>
  </si>
  <si>
    <t>001-3650003</t>
  </si>
  <si>
    <t>AGROGIBB</t>
  </si>
  <si>
    <t>001-3709</t>
  </si>
  <si>
    <t>BOSCALID + PYRACLOSTROBIN</t>
  </si>
  <si>
    <t>001-3709001</t>
  </si>
  <si>
    <t>BELLIS</t>
  </si>
  <si>
    <t>DIFECONAZOLE</t>
  </si>
  <si>
    <t>001-3709002</t>
  </si>
  <si>
    <t>DINOFARM</t>
  </si>
  <si>
    <t>ALGAS MARINAS</t>
  </si>
  <si>
    <t>001-3709003</t>
  </si>
  <si>
    <t>MAXFOL ALGAE</t>
  </si>
  <si>
    <t>BIO ESTIMULANTE</t>
  </si>
  <si>
    <t>001-3709004</t>
  </si>
  <si>
    <t>MEGAMIN GREEN</t>
  </si>
  <si>
    <t>PROFENOFOS</t>
  </si>
  <si>
    <t>001-3709005</t>
  </si>
  <si>
    <t>SELECRON</t>
  </si>
  <si>
    <t>001-3709006</t>
  </si>
  <si>
    <t>001-3711</t>
  </si>
  <si>
    <t>001-3711001</t>
  </si>
  <si>
    <t>CLIP PH</t>
  </si>
  <si>
    <t>CAM01-25</t>
  </si>
  <si>
    <t>POZO C</t>
  </si>
  <si>
    <t>CAMOTE</t>
  </si>
  <si>
    <t>PENDIMETHALIN</t>
  </si>
  <si>
    <t>001-3711002</t>
  </si>
  <si>
    <t>SELLADOR 400EC</t>
  </si>
  <si>
    <t>PERDIMETHALIN</t>
  </si>
  <si>
    <t>001-3711003</t>
  </si>
  <si>
    <t>ÉXODO </t>
  </si>
  <si>
    <t>001-3711004</t>
  </si>
  <si>
    <t>NERGAL</t>
  </si>
  <si>
    <t>001-3712</t>
  </si>
  <si>
    <t>001-3712001</t>
  </si>
  <si>
    <t>001-3717</t>
  </si>
  <si>
    <t>001-3717001</t>
  </si>
  <si>
    <t>BENOMYL</t>
  </si>
  <si>
    <t>001-3717002</t>
  </si>
  <si>
    <t>BENLATE</t>
  </si>
  <si>
    <t>001-3717003</t>
  </si>
  <si>
    <t>BENOPOINT 50PM</t>
  </si>
  <si>
    <t>001-3717004</t>
  </si>
  <si>
    <t>AUXINA</t>
  </si>
  <si>
    <t>001-3717005</t>
  </si>
  <si>
    <t>ENRAIZADOR + RAIZ 5K</t>
  </si>
  <si>
    <t>001-3717006</t>
  </si>
  <si>
    <t>001-3720</t>
  </si>
  <si>
    <t>SEMILLA</t>
  </si>
  <si>
    <t>HOLANTAO</t>
  </si>
  <si>
    <t>001-3720001</t>
  </si>
  <si>
    <t>OREGON SUGAR POD II CAMPAÑA 2023</t>
  </si>
  <si>
    <t>MANUAL</t>
  </si>
  <si>
    <t>001-3745</t>
  </si>
  <si>
    <t>PLASTICO</t>
  </si>
  <si>
    <t>001-3745001</t>
  </si>
  <si>
    <t>PLASTICO NEGRO</t>
  </si>
  <si>
    <t>mt</t>
  </si>
  <si>
    <t>instalación de plástico </t>
  </si>
  <si>
    <t>001-3758</t>
  </si>
  <si>
    <t>001-3758001</t>
  </si>
  <si>
    <t>001-3764</t>
  </si>
  <si>
    <t>001-3764001</t>
  </si>
  <si>
    <t>SULFATO DE COBRE PENTAHIDRATADO</t>
  </si>
  <si>
    <t>001-3764002</t>
  </si>
  <si>
    <t>COOPER MAX</t>
  </si>
  <si>
    <t>001-3764003</t>
  </si>
  <si>
    <t>001-3764004</t>
  </si>
  <si>
    <t>EMACTIN</t>
  </si>
  <si>
    <t>001-3772</t>
  </si>
  <si>
    <t>001-3772001</t>
  </si>
  <si>
    <t>mod5</t>
  </si>
  <si>
    <t>001-3772002</t>
  </si>
  <si>
    <t>SILICONA</t>
  </si>
  <si>
    <t>001-3772003</t>
  </si>
  <si>
    <t>MEGAMIN COVER 100</t>
  </si>
  <si>
    <t>001-3773</t>
  </si>
  <si>
    <t>001-3773001</t>
  </si>
  <si>
    <t>001-3773002</t>
  </si>
  <si>
    <t>001-3773003</t>
  </si>
  <si>
    <t>001-3776</t>
  </si>
  <si>
    <t>001-3776001</t>
  </si>
  <si>
    <t>001-3776002</t>
  </si>
  <si>
    <t>FOSFITO DE POTASIO</t>
  </si>
  <si>
    <t>001-3776003</t>
  </si>
  <si>
    <t>LIGNOPHOS</t>
  </si>
  <si>
    <t>001-3776004</t>
  </si>
  <si>
    <t>001-3813</t>
  </si>
  <si>
    <t>EXTRACTO ANIMAL</t>
  </si>
  <si>
    <t>001-3813001</t>
  </si>
  <si>
    <t>AMINO SALMON</t>
  </si>
  <si>
    <t>roseado suelo</t>
  </si>
  <si>
    <t>001-3825</t>
  </si>
  <si>
    <t>001-3825001</t>
  </si>
  <si>
    <t>CITOQUININA + GIBERELINAS + AUXINAS</t>
  </si>
  <si>
    <t>001-3825002</t>
  </si>
  <si>
    <t>PACLOBUTRAZOL</t>
  </si>
  <si>
    <t>001-3825003</t>
  </si>
  <si>
    <t>PACZOL</t>
  </si>
  <si>
    <t>BORO</t>
  </si>
  <si>
    <t>001-3825004</t>
  </si>
  <si>
    <t>VITALIK B</t>
  </si>
  <si>
    <t>001-3832</t>
  </si>
  <si>
    <t>001-3832001</t>
  </si>
  <si>
    <t>001-3832002</t>
  </si>
  <si>
    <t>001-3832003</t>
  </si>
  <si>
    <t>NUTRI ALGAE</t>
  </si>
  <si>
    <t>001-3832004</t>
  </si>
  <si>
    <t>PERMETHRIN</t>
  </si>
  <si>
    <t>001-3832005</t>
  </si>
  <si>
    <t>TAJANTE</t>
  </si>
  <si>
    <t>001-3837</t>
  </si>
  <si>
    <t>001-3837001</t>
  </si>
  <si>
    <t>001-3843</t>
  </si>
  <si>
    <t>001-3843001</t>
  </si>
  <si>
    <t>001-3848</t>
  </si>
  <si>
    <t>AZUFRE + NITROGENO</t>
  </si>
  <si>
    <t>001-3848001</t>
  </si>
  <si>
    <t>SULFATO DE AMONIO </t>
  </si>
  <si>
    <t>CAM02-25</t>
  </si>
  <si>
    <t>CASAS P</t>
  </si>
  <si>
    <t>1fertilizante máquina </t>
  </si>
  <si>
    <t>001-3848002</t>
  </si>
  <si>
    <t>SULFATO DE POTASIO GRANULADO</t>
  </si>
  <si>
    <t>NITROGENO + FOSFORO</t>
  </si>
  <si>
    <t>001-3848003</t>
  </si>
  <si>
    <t>FOSFATO DI AMONICO</t>
  </si>
  <si>
    <t>ENMIENDA ORGANICA</t>
  </si>
  <si>
    <t>001-3848004</t>
  </si>
  <si>
    <t>001-3849</t>
  </si>
  <si>
    <t>MEJORADOR DE SUELO</t>
  </si>
  <si>
    <t>001-3849001</t>
  </si>
  <si>
    <t>VIDA SUELO MOE </t>
  </si>
  <si>
    <t>rodeado al campo</t>
  </si>
  <si>
    <t>001-3850</t>
  </si>
  <si>
    <t>001-3850001</t>
  </si>
  <si>
    <t>SEMILLA SL 3123</t>
  </si>
  <si>
    <t>SEMBRADORA PRUEBA</t>
  </si>
  <si>
    <t>001-3854</t>
  </si>
  <si>
    <t>MAGROPLEX PLUS 12-12-17</t>
  </si>
  <si>
    <t>001-3854001</t>
  </si>
  <si>
    <t>1fertilizante máquina /prueba</t>
  </si>
  <si>
    <t>001-3862</t>
  </si>
  <si>
    <t>001-3862001</t>
  </si>
  <si>
    <t>para riego</t>
  </si>
  <si>
    <t>001-3863</t>
  </si>
  <si>
    <t>001-3863001</t>
  </si>
  <si>
    <t>beneralda</t>
  </si>
  <si>
    <t>mochila manual</t>
  </si>
  <si>
    <t>001-3863002</t>
  </si>
  <si>
    <t>001-3863003</t>
  </si>
  <si>
    <t>001-3864</t>
  </si>
  <si>
    <t>RODENTICIDA</t>
  </si>
  <si>
    <t>BRODIFACOUMA</t>
  </si>
  <si>
    <t>001-3864001</t>
  </si>
  <si>
    <t>KLERAT PELLETS</t>
  </si>
  <si>
    <t>milagros </t>
  </si>
  <si>
    <t>raticidas </t>
  </si>
  <si>
    <t>001-3865</t>
  </si>
  <si>
    <t>CAÑA AZUCAR</t>
  </si>
  <si>
    <t>001-3865001</t>
  </si>
  <si>
    <t>trampa </t>
  </si>
  <si>
    <t>001-3870</t>
  </si>
  <si>
    <t>001-3870001</t>
  </si>
  <si>
    <t>SEMILLA HOLANTAO SL 3123 2025</t>
  </si>
  <si>
    <t>Rosalino crisostomo</t>
  </si>
  <si>
    <t>001-3873</t>
  </si>
  <si>
    <t>001-3873001</t>
  </si>
  <si>
    <t>PLANTA</t>
  </si>
  <si>
    <t>001-3886</t>
  </si>
  <si>
    <t>001-3886001</t>
  </si>
  <si>
    <t>MOTOR</t>
  </si>
  <si>
    <t>BENFURACARB</t>
  </si>
  <si>
    <t>001-3886002</t>
  </si>
  <si>
    <t>ONCOL</t>
  </si>
  <si>
    <t>INDOXACARB - LUFENURON</t>
  </si>
  <si>
    <t>001-3886003</t>
  </si>
  <si>
    <t>ENCLAVE</t>
  </si>
  <si>
    <t>LAMBDA-CYHALOTHRIN</t>
  </si>
  <si>
    <t>001-3886004</t>
  </si>
  <si>
    <t>PIRATE</t>
  </si>
  <si>
    <t>CYPERMETHRIN 250 G/L</t>
  </si>
  <si>
    <t>001-3886005</t>
  </si>
  <si>
    <t>CIPERAIN</t>
  </si>
  <si>
    <t>001-3887</t>
  </si>
  <si>
    <t>001-3887001</t>
  </si>
  <si>
    <t>001-3887002</t>
  </si>
  <si>
    <t>001-3900</t>
  </si>
  <si>
    <t>001-3900001</t>
  </si>
  <si>
    <t>001-3900002</t>
  </si>
  <si>
    <t>001-3900003</t>
  </si>
  <si>
    <t>001-3900004</t>
  </si>
  <si>
    <t>001-3926</t>
  </si>
  <si>
    <t>001-3926001</t>
  </si>
  <si>
    <t>SEMILLA KENNEDY OCT-2025</t>
  </si>
  <si>
    <t>Agustin Quispe</t>
  </si>
  <si>
    <t>ANULADO</t>
  </si>
  <si>
    <t>001-3927</t>
  </si>
  <si>
    <t>001-3927001</t>
  </si>
  <si>
    <t>Peter Suarez</t>
  </si>
  <si>
    <t>001-3934</t>
  </si>
  <si>
    <t>001-3934001</t>
  </si>
  <si>
    <t>Juan Paredes</t>
  </si>
  <si>
    <t>001-3935</t>
  </si>
  <si>
    <t>001-3935001</t>
  </si>
  <si>
    <t>SEMILLA OREGON SUGAR POD II 2025</t>
  </si>
  <si>
    <t>001-3936</t>
  </si>
  <si>
    <t>001-3936001</t>
  </si>
  <si>
    <t>Dante Garcia</t>
  </si>
  <si>
    <t>001-3937</t>
  </si>
  <si>
    <t>001-3937001</t>
  </si>
  <si>
    <t>Graciano lume</t>
  </si>
  <si>
    <t>001-3937002</t>
  </si>
  <si>
    <t>001-3938</t>
  </si>
  <si>
    <t>001-3938001</t>
  </si>
  <si>
    <t>Juan Tocasque</t>
  </si>
  <si>
    <t>001-3938002</t>
  </si>
  <si>
    <t>001-3939</t>
  </si>
  <si>
    <t>001-3939001</t>
  </si>
  <si>
    <t>001-3939002</t>
  </si>
  <si>
    <t>001-3939003</t>
  </si>
  <si>
    <t>anulado</t>
  </si>
  <si>
    <t>001-3946</t>
  </si>
  <si>
    <t>001-3946001</t>
  </si>
  <si>
    <t>N P K</t>
  </si>
  <si>
    <t>001-3946002</t>
  </si>
  <si>
    <t>PLUS MASTER</t>
  </si>
  <si>
    <t>POTASIO-MAGNESIO</t>
  </si>
  <si>
    <t>001-3946003</t>
  </si>
  <si>
    <t>SULPOMAG GRANULADO</t>
  </si>
  <si>
    <t>001-3946004</t>
  </si>
  <si>
    <t>ACIDO BORICO</t>
  </si>
  <si>
    <t>ZINC</t>
  </si>
  <si>
    <t>001-3946005</t>
  </si>
  <si>
    <t>OPROT ZINC</t>
  </si>
  <si>
    <t>001-3946006</t>
  </si>
  <si>
    <t>001-3946007</t>
  </si>
  <si>
    <t>001-3949</t>
  </si>
  <si>
    <t>001-3949001</t>
  </si>
  <si>
    <t>001-3949002</t>
  </si>
  <si>
    <t>001-3963</t>
  </si>
  <si>
    <t>001-3963001</t>
  </si>
  <si>
    <t>Graciano Lume</t>
  </si>
  <si>
    <t>001-3963002</t>
  </si>
  <si>
    <t>001-3968</t>
  </si>
  <si>
    <t>001-3968001</t>
  </si>
  <si>
    <t>001-3968002</t>
  </si>
  <si>
    <t>001-3968003</t>
  </si>
  <si>
    <t>001-3973</t>
  </si>
  <si>
    <t>001-3973001</t>
  </si>
  <si>
    <t>Renato vizcarra</t>
  </si>
  <si>
    <t>THIABENDAZOLE</t>
  </si>
  <si>
    <t>001-3973002</t>
  </si>
  <si>
    <t>MERTECT 500SC</t>
  </si>
  <si>
    <t>001-3973003</t>
  </si>
  <si>
    <t>001-3973004</t>
  </si>
  <si>
    <t>INVENCIBLE FORTE</t>
  </si>
  <si>
    <t>001-3974</t>
  </si>
  <si>
    <t>001-3974001</t>
  </si>
  <si>
    <t>Barranca agropacayales</t>
  </si>
  <si>
    <t>001-3974002</t>
  </si>
  <si>
    <t>001-3974003</t>
  </si>
  <si>
    <t>001-3974004</t>
  </si>
  <si>
    <t>001-3975</t>
  </si>
  <si>
    <t>001-3975001</t>
  </si>
  <si>
    <t>BOLSA 20 X 30 AMARILLAS</t>
  </si>
  <si>
    <t>para trampas</t>
  </si>
  <si>
    <t>ACEITE DE SOYA</t>
  </si>
  <si>
    <t>001-3975002</t>
  </si>
  <si>
    <t>CARRIER</t>
  </si>
  <si>
    <t>001-3982</t>
  </si>
  <si>
    <t>001-3982001</t>
  </si>
  <si>
    <t>roseado al surco</t>
  </si>
  <si>
    <t>001-3982002</t>
  </si>
  <si>
    <t>001-3989</t>
  </si>
  <si>
    <t>001-3989001</t>
  </si>
  <si>
    <t>Renato Vizcarra</t>
  </si>
  <si>
    <t>001-3989002</t>
  </si>
  <si>
    <t>001-3989003</t>
  </si>
  <si>
    <t>001-3989004</t>
  </si>
  <si>
    <t>001-3992</t>
  </si>
  <si>
    <t>001-3992001</t>
  </si>
  <si>
    <t>001-3992002</t>
  </si>
  <si>
    <t>001-3992003</t>
  </si>
  <si>
    <t>001-4007</t>
  </si>
  <si>
    <t>001-4007001</t>
  </si>
  <si>
    <t>001-4008</t>
  </si>
  <si>
    <t>001-4008001</t>
  </si>
  <si>
    <t>Juan tocasque</t>
  </si>
  <si>
    <t>001-4016</t>
  </si>
  <si>
    <t>001-4016001</t>
  </si>
  <si>
    <t>Grass casa</t>
  </si>
  <si>
    <t>001-4030</t>
  </si>
  <si>
    <t>001-4030001</t>
  </si>
  <si>
    <t>Luigui Paredes</t>
  </si>
  <si>
    <t>001-4035</t>
  </si>
  <si>
    <t>001-4035001</t>
  </si>
  <si>
    <t>CAM03-25</t>
  </si>
  <si>
    <t>YAURI C</t>
  </si>
  <si>
    <t>1 fertilización con máquina </t>
  </si>
  <si>
    <t>001-4035002</t>
  </si>
  <si>
    <t>001-4035003</t>
  </si>
  <si>
    <t>001-4039</t>
  </si>
  <si>
    <t>001-4039001</t>
  </si>
  <si>
    <t>001-4041</t>
  </si>
  <si>
    <t>001-4041001</t>
  </si>
  <si>
    <t>001-4042</t>
  </si>
  <si>
    <t>001-4042001</t>
  </si>
  <si>
    <t>calagua</t>
  </si>
  <si>
    <t>001-4042002</t>
  </si>
  <si>
    <t>001-4042003</t>
  </si>
  <si>
    <t>001-4048</t>
  </si>
  <si>
    <t>001-4048001</t>
  </si>
  <si>
    <t>metro </t>
  </si>
  <si>
    <t>para riego </t>
  </si>
  <si>
    <t>001-4052</t>
  </si>
  <si>
    <t>001-4052001</t>
  </si>
  <si>
    <t>001-4055</t>
  </si>
  <si>
    <t>001-4055001</t>
  </si>
  <si>
    <t>001-4057</t>
  </si>
  <si>
    <t>001-4057001</t>
  </si>
  <si>
    <t>001-4057002</t>
  </si>
  <si>
    <t>001-4057003</t>
  </si>
  <si>
    <t>001-4057004</t>
  </si>
  <si>
    <t>001-4057005</t>
  </si>
  <si>
    <t>001-4057006</t>
  </si>
  <si>
    <t>001-4061</t>
  </si>
  <si>
    <t>001-4061001</t>
  </si>
  <si>
    <t>Waldir Ciprian</t>
  </si>
  <si>
    <t>001-4066</t>
  </si>
  <si>
    <t>001-4066001</t>
  </si>
  <si>
    <t>001-4066002</t>
  </si>
  <si>
    <t>001-4066003</t>
  </si>
  <si>
    <t>001-4066004</t>
  </si>
  <si>
    <t>Mertect 500sc</t>
  </si>
  <si>
    <t>001-4066005</t>
  </si>
  <si>
    <t>001-4066006</t>
  </si>
  <si>
    <t>001-4069</t>
  </si>
  <si>
    <t>001-4069001</t>
  </si>
  <si>
    <t>RUDA</t>
  </si>
  <si>
    <t>001-4069002</t>
  </si>
  <si>
    <t>GLIFOSATO EN SU FORMA DE SAL ISOPROPILAMINA</t>
  </si>
  <si>
    <t>001-4069003</t>
  </si>
  <si>
    <t>ROUNDUP</t>
  </si>
  <si>
    <t>001-4075</t>
  </si>
  <si>
    <t>001-4075001</t>
  </si>
  <si>
    <t>001-4075002</t>
  </si>
  <si>
    <t>001-4078</t>
  </si>
  <si>
    <t>001-4078001</t>
  </si>
  <si>
    <t>Miguel Cahuana</t>
  </si>
  <si>
    <t>001-4079</t>
  </si>
  <si>
    <t>001-4079001</t>
  </si>
  <si>
    <t>motor </t>
  </si>
  <si>
    <t>POTASIO</t>
  </si>
  <si>
    <t>001-4079002</t>
  </si>
  <si>
    <t>SVAROK</t>
  </si>
  <si>
    <t>METHOMYL</t>
  </si>
  <si>
    <t>001-4079003</t>
  </si>
  <si>
    <t>GUSAKILL</t>
  </si>
  <si>
    <t>001-4079004</t>
  </si>
  <si>
    <t>001-4079005</t>
  </si>
  <si>
    <t>001-4084</t>
  </si>
  <si>
    <t>001-4084001</t>
  </si>
  <si>
    <t>mochila electrónica </t>
  </si>
  <si>
    <t>001-4084002</t>
  </si>
  <si>
    <t>001-4084003</t>
  </si>
  <si>
    <t>001-4084004</t>
  </si>
  <si>
    <t>001-4093</t>
  </si>
  <si>
    <t>FUNGICIDA BIOLOGICO</t>
  </si>
  <si>
    <t>TRICHODERMA HARZIANUM</t>
  </si>
  <si>
    <t>001-4093001</t>
  </si>
  <si>
    <t>TRICOT PLUS</t>
  </si>
  <si>
    <t>001-4101</t>
  </si>
  <si>
    <t>001-4101001</t>
  </si>
  <si>
    <t>SEMILLA SNOW PEAS SUPREMA 2025</t>
  </si>
  <si>
    <t>Olga collazos</t>
  </si>
  <si>
    <t>001-4102</t>
  </si>
  <si>
    <t>001-4102001</t>
  </si>
  <si>
    <t>Maria Francia</t>
  </si>
  <si>
    <t>001-4110</t>
  </si>
  <si>
    <t>001-4110001</t>
  </si>
  <si>
    <t>001-4110002</t>
  </si>
  <si>
    <t>001-4110003</t>
  </si>
  <si>
    <t>001-4115</t>
  </si>
  <si>
    <t>001-4115001</t>
  </si>
  <si>
    <t>APY - CHINCHA</t>
  </si>
  <si>
    <t>001-4115002</t>
  </si>
  <si>
    <t>T34 BIOCONTROL</t>
  </si>
  <si>
    <t>AGROPACAYALES CHINCHA</t>
  </si>
  <si>
    <t>001-4115003</t>
  </si>
  <si>
    <t>001-4115004</t>
  </si>
  <si>
    <t>001-4116</t>
  </si>
  <si>
    <t>001-4116001</t>
  </si>
  <si>
    <t>mochila </t>
  </si>
  <si>
    <t>001-4116002</t>
  </si>
  <si>
    <t>MAMBA</t>
  </si>
  <si>
    <t>001-4119</t>
  </si>
  <si>
    <t>001-4119001</t>
  </si>
  <si>
    <t>BARANCA</t>
  </si>
  <si>
    <t>FUMIGACION</t>
  </si>
  <si>
    <t>ALPHA-CYPERMETHRIN</t>
  </si>
  <si>
    <t>001-4119002</t>
  </si>
  <si>
    <t>GALAXY 10 CE</t>
  </si>
  <si>
    <t>ABAMECTINA</t>
  </si>
  <si>
    <t>001-4119003</t>
  </si>
  <si>
    <t>VERTIMEC</t>
  </si>
  <si>
    <t>SILICIO</t>
  </si>
  <si>
    <t>001-4119004</t>
  </si>
  <si>
    <t>SILICON - X</t>
  </si>
  <si>
    <t>001-4137</t>
  </si>
  <si>
    <t>001-4137001</t>
  </si>
  <si>
    <t>Oscar Venturo</t>
  </si>
  <si>
    <t>001-4138</t>
  </si>
  <si>
    <t>FOSFORO</t>
  </si>
  <si>
    <t>001-4138001</t>
  </si>
  <si>
    <t>ACIDO FOSFÓRICO</t>
  </si>
  <si>
    <t>001-4145</t>
  </si>
  <si>
    <t>001-4145001</t>
  </si>
  <si>
    <t>001-4145002</t>
  </si>
  <si>
    <t>001-4145003</t>
  </si>
  <si>
    <t>001-4155</t>
  </si>
  <si>
    <t>001-4155001</t>
  </si>
  <si>
    <t>H09SP-25</t>
  </si>
  <si>
    <t>1fertilizacion con máquina </t>
  </si>
  <si>
    <t>001-4155002</t>
  </si>
  <si>
    <t>001-4155003</t>
  </si>
  <si>
    <t>001-4155004</t>
  </si>
  <si>
    <t>001-4155005</t>
  </si>
  <si>
    <t>001-4159</t>
  </si>
  <si>
    <t>001-4159001</t>
  </si>
  <si>
    <t>BARRANCA</t>
  </si>
  <si>
    <t>001-4159002</t>
  </si>
  <si>
    <t>001-4159003</t>
  </si>
  <si>
    <t>001-4159004</t>
  </si>
  <si>
    <t>UREA AGRICOLA</t>
  </si>
  <si>
    <t>001-4160</t>
  </si>
  <si>
    <t>001-4160001</t>
  </si>
  <si>
    <t>METRIBUZINA</t>
  </si>
  <si>
    <t>001-4160002</t>
  </si>
  <si>
    <t>METRIBEC</t>
  </si>
  <si>
    <t>001-4165</t>
  </si>
  <si>
    <t>001-4165001</t>
  </si>
  <si>
    <t>001-4165002</t>
  </si>
  <si>
    <t>TRICONOVA</t>
  </si>
  <si>
    <t>001-4165003</t>
  </si>
  <si>
    <t>001-4165004</t>
  </si>
  <si>
    <t>001-4165005</t>
  </si>
  <si>
    <t>001-4165006</t>
  </si>
  <si>
    <t>001-4166</t>
  </si>
  <si>
    <t>001-4166001</t>
  </si>
  <si>
    <t>Erick Rojas</t>
  </si>
  <si>
    <t>001-4167</t>
  </si>
  <si>
    <t>001-4167001</t>
  </si>
  <si>
    <t>001-4169</t>
  </si>
  <si>
    <t>001-4169001</t>
  </si>
  <si>
    <t>ACEITE DE PINO,EUCALIPTO,ESTRACTO DE CYPERUS ROTUNDUS</t>
  </si>
  <si>
    <t>001-4169002</t>
  </si>
  <si>
    <t>MALEKIL</t>
  </si>
  <si>
    <t>001-4169003</t>
  </si>
  <si>
    <t>MOCHADOR</t>
  </si>
  <si>
    <t>001-4170</t>
  </si>
  <si>
    <t>001-4170001</t>
  </si>
  <si>
    <t>001-4172</t>
  </si>
  <si>
    <t>001-4172001</t>
  </si>
  <si>
    <t>001-4172002</t>
  </si>
  <si>
    <t>001-4172003</t>
  </si>
  <si>
    <t>001-4172004</t>
  </si>
  <si>
    <t>001-4183</t>
  </si>
  <si>
    <t>001-4183001</t>
  </si>
  <si>
    <t>Waldir ciprini</t>
  </si>
  <si>
    <t>001-4184</t>
  </si>
  <si>
    <t>001-4184001</t>
  </si>
  <si>
    <t>001-4187</t>
  </si>
  <si>
    <t>001-4187001</t>
  </si>
  <si>
    <t>mod6</t>
  </si>
  <si>
    <t>inyección para la siembra de fresa</t>
  </si>
  <si>
    <t>AUXINA + CITOQUININA</t>
  </si>
  <si>
    <t>001-4187002</t>
  </si>
  <si>
    <t>PHYLLUM MAX R</t>
  </si>
  <si>
    <t>ACIDO HUMICO</t>
  </si>
  <si>
    <t>001-4187003</t>
  </si>
  <si>
    <t>001-4188</t>
  </si>
  <si>
    <t>001-4188001</t>
  </si>
  <si>
    <t>001-4188002</t>
  </si>
  <si>
    <t>001-4188003</t>
  </si>
  <si>
    <t>001-4188004</t>
  </si>
  <si>
    <t>001-4205</t>
  </si>
  <si>
    <t>001-4205001</t>
  </si>
  <si>
    <t>001-4208</t>
  </si>
  <si>
    <t>001-4208001</t>
  </si>
  <si>
    <t>001-4208002</t>
  </si>
  <si>
    <t>001-4208003</t>
  </si>
  <si>
    <t>001-4213</t>
  </si>
  <si>
    <t>001-4213001</t>
  </si>
  <si>
    <t>SEMILLA SNOW PEAS OREGON SET-2023</t>
  </si>
  <si>
    <t>Muestra</t>
  </si>
  <si>
    <t>001-4213002</t>
  </si>
  <si>
    <t>001-4227</t>
  </si>
  <si>
    <t>001-4227001</t>
  </si>
  <si>
    <t>OLGA COLLASOS</t>
  </si>
  <si>
    <t>001-4228</t>
  </si>
  <si>
    <t>001-4228001</t>
  </si>
  <si>
    <t>Erick rojas</t>
  </si>
  <si>
    <t>001-4229</t>
  </si>
  <si>
    <t>001-4229001</t>
  </si>
  <si>
    <t>Dante García </t>
  </si>
  <si>
    <t>001-4230</t>
  </si>
  <si>
    <t>001-4230001</t>
  </si>
  <si>
    <t>chincha 1</t>
  </si>
  <si>
    <t>001-4230002</t>
  </si>
  <si>
    <t>DELTAMETRINA</t>
  </si>
  <si>
    <t>001-4230003</t>
  </si>
  <si>
    <t>DELTOX</t>
  </si>
  <si>
    <t>001-4230004</t>
  </si>
  <si>
    <t>001-4230005</t>
  </si>
  <si>
    <t>001-4231</t>
  </si>
  <si>
    <t>001-4231001</t>
  </si>
  <si>
    <t>001-4231002</t>
  </si>
  <si>
    <t>001-4231003</t>
  </si>
  <si>
    <t>ALLCROP</t>
  </si>
  <si>
    <t>001-4270</t>
  </si>
  <si>
    <t>001-4270001</t>
  </si>
  <si>
    <t>AQUAPRO</t>
  </si>
  <si>
    <t>001-4270002</t>
  </si>
  <si>
    <t>001-4270003</t>
  </si>
  <si>
    <t>001-4270004</t>
  </si>
  <si>
    <t>001-4270005</t>
  </si>
  <si>
    <t>001-4274</t>
  </si>
  <si>
    <t>RAFIA </t>
  </si>
  <si>
    <t>001-4274001</t>
  </si>
  <si>
    <t>RAFIA NEGRA</t>
  </si>
  <si>
    <t>001-4282</t>
  </si>
  <si>
    <t>001-4282001</t>
  </si>
  <si>
    <t>001-4282002</t>
  </si>
  <si>
    <t>001-4282003</t>
  </si>
  <si>
    <t>001-4283</t>
  </si>
  <si>
    <t>001-4283001</t>
  </si>
  <si>
    <t>MTR </t>
  </si>
  <si>
    <t>CALAGUA H1</t>
  </si>
  <si>
    <t>es para riego</t>
  </si>
  <si>
    <t>001-4288</t>
  </si>
  <si>
    <t>001-4288001</t>
  </si>
  <si>
    <t>CAM06-25</t>
  </si>
  <si>
    <t>001-4288002</t>
  </si>
  <si>
    <t>001-4288003</t>
  </si>
  <si>
    <t>001-4288004</t>
  </si>
  <si>
    <t>001-4302</t>
  </si>
  <si>
    <t>001-4302001</t>
  </si>
  <si>
    <t>CAM04-25</t>
  </si>
  <si>
    <t>CALAGUA C</t>
  </si>
  <si>
    <t>1 fertilizantes </t>
  </si>
  <si>
    <t>MACRONUTRIENTES</t>
  </si>
  <si>
    <t>001-4302002</t>
  </si>
  <si>
    <t>TERRAPHOS</t>
  </si>
  <si>
    <t>001-4304</t>
  </si>
  <si>
    <t>001-4304001</t>
  </si>
  <si>
    <t>mod 6 </t>
  </si>
  <si>
    <t>mochila electrónica fresa</t>
  </si>
  <si>
    <t>NITROFENOL</t>
  </si>
  <si>
    <t>001-4304002</t>
  </si>
  <si>
    <t>BIO FORGE</t>
  </si>
  <si>
    <t>ATTC + ACIDO FOLICO</t>
  </si>
  <si>
    <t>001-4304003</t>
  </si>
  <si>
    <t>ENZIPROM</t>
  </si>
  <si>
    <t>001-4304004</t>
  </si>
  <si>
    <t>001-4305</t>
  </si>
  <si>
    <t>001-4305001</t>
  </si>
  <si>
    <t>001-4306</t>
  </si>
  <si>
    <t>001-4306001</t>
  </si>
  <si>
    <t>001-4306002</t>
  </si>
  <si>
    <t>001-4306003</t>
  </si>
  <si>
    <t>001-4306004</t>
  </si>
  <si>
    <t>001-4306005</t>
  </si>
  <si>
    <t>001-4328</t>
  </si>
  <si>
    <t>001-4328001</t>
  </si>
  <si>
    <t>Raul Garcia</t>
  </si>
  <si>
    <t>001-4350</t>
  </si>
  <si>
    <t>001-4350001</t>
  </si>
  <si>
    <t>001-4351</t>
  </si>
  <si>
    <t>001-4351001</t>
  </si>
  <si>
    <t>001-4351002</t>
  </si>
  <si>
    <t>001-4351003</t>
  </si>
  <si>
    <t>OXAMYL</t>
  </si>
  <si>
    <t>001-4351004</t>
  </si>
  <si>
    <t>VYDATE</t>
  </si>
  <si>
    <t>METALAXIL + FOSETIL ALUMINIO</t>
  </si>
  <si>
    <t>001-4351005</t>
  </si>
  <si>
    <t>CORSARIO</t>
  </si>
  <si>
    <t>001-4378</t>
  </si>
  <si>
    <t>001-4378001</t>
  </si>
  <si>
    <t>001-4380</t>
  </si>
  <si>
    <t>EXTRACTO NATURAL DE AJÍ</t>
  </si>
  <si>
    <t>001-4380001</t>
  </si>
  <si>
    <t>REPEL</t>
  </si>
  <si>
    <t>aplicación con dron</t>
  </si>
  <si>
    <t>001-4381</t>
  </si>
  <si>
    <t>001-4381001</t>
  </si>
  <si>
    <t>001-4382</t>
  </si>
  <si>
    <t>001-4382001</t>
  </si>
  <si>
    <t>001-4398</t>
  </si>
  <si>
    <t>001-4398001</t>
  </si>
  <si>
    <t>Olga Collazos</t>
  </si>
  <si>
    <t>001-4399</t>
  </si>
  <si>
    <t>001-4399001</t>
  </si>
  <si>
    <t>001-4403</t>
  </si>
  <si>
    <t>001-4403001</t>
  </si>
  <si>
    <t>001-4411</t>
  </si>
  <si>
    <t>001-4411001</t>
  </si>
  <si>
    <t>mtr</t>
  </si>
  <si>
    <t>calagua 2</t>
  </si>
  <si>
    <t>001-4422</t>
  </si>
  <si>
    <t>001-4422001</t>
  </si>
  <si>
    <t>mochila electrónica (fresa</t>
  </si>
  <si>
    <t>001-4422002</t>
  </si>
  <si>
    <t>001-4433</t>
  </si>
  <si>
    <t>AZUFRE + MAGNESIO</t>
  </si>
  <si>
    <t>001-4433001</t>
  </si>
  <si>
    <t>SULFATO DE MAGNESIO</t>
  </si>
  <si>
    <t>inyección es para la fresa</t>
  </si>
  <si>
    <t>001-4433002</t>
  </si>
  <si>
    <t>AZUFRE + ZINC</t>
  </si>
  <si>
    <t>001-4433003</t>
  </si>
  <si>
    <t>SULFATO DE ZINC</t>
  </si>
  <si>
    <t>001-4433004</t>
  </si>
  <si>
    <t>NITROGENO + POTASIO</t>
  </si>
  <si>
    <t>001-4433005</t>
  </si>
  <si>
    <t>NITRATO DE POTASIO SOLUBLE</t>
  </si>
  <si>
    <t>001-4433006</t>
  </si>
  <si>
    <t>001-4435</t>
  </si>
  <si>
    <t>001-4435001</t>
  </si>
  <si>
    <t>001-4435002</t>
  </si>
  <si>
    <t>001-4435003</t>
  </si>
  <si>
    <t>001-4435004</t>
  </si>
  <si>
    <t>001-4435005</t>
  </si>
  <si>
    <t>001-4435006</t>
  </si>
  <si>
    <t>001-4440</t>
  </si>
  <si>
    <t>001-4440001</t>
  </si>
  <si>
    <t>SEMILLA de maíz </t>
  </si>
  <si>
    <t>mod 4</t>
  </si>
  <si>
    <t>siembra con la maquinita </t>
  </si>
  <si>
    <t>001-4446</t>
  </si>
  <si>
    <t>001-4446001</t>
  </si>
  <si>
    <t>001-4446002</t>
  </si>
  <si>
    <t>001-4446003</t>
  </si>
  <si>
    <t>OXYFLUORFEN</t>
  </si>
  <si>
    <t>001-4446004</t>
  </si>
  <si>
    <t>GOAL</t>
  </si>
  <si>
    <t>001-4447</t>
  </si>
  <si>
    <t>001-4447001</t>
  </si>
  <si>
    <t>001-4447002</t>
  </si>
  <si>
    <t>001-4447003</t>
  </si>
  <si>
    <t>001-4447004</t>
  </si>
  <si>
    <t>001-4447005</t>
  </si>
  <si>
    <t>001-4450</t>
  </si>
  <si>
    <t>001-4450001</t>
  </si>
  <si>
    <t>001-4450002</t>
  </si>
  <si>
    <t>001-4450003</t>
  </si>
  <si>
    <t>PLANTAC ROOTS</t>
  </si>
  <si>
    <t>001-4459</t>
  </si>
  <si>
    <t>001-4459001</t>
  </si>
  <si>
    <t>001-4460</t>
  </si>
  <si>
    <t>001-4460001</t>
  </si>
  <si>
    <t>001-4461</t>
  </si>
  <si>
    <t>001-4461001</t>
  </si>
  <si>
    <t>Prueba</t>
  </si>
  <si>
    <t>001-4461002</t>
  </si>
  <si>
    <t>001-4462</t>
  </si>
  <si>
    <t>SILOXANO ORGANOMODIFICADO</t>
  </si>
  <si>
    <t>001-4462001</t>
  </si>
  <si>
    <t>URQU</t>
  </si>
  <si>
    <t>motor como adulticida</t>
  </si>
  <si>
    <t>001-4463</t>
  </si>
  <si>
    <t>001-4463001</t>
  </si>
  <si>
    <t>APY - CHINCHA </t>
  </si>
  <si>
    <t>001-4463002</t>
  </si>
  <si>
    <t>001-4463003</t>
  </si>
  <si>
    <t>001-4463004</t>
  </si>
  <si>
    <t>001-4463005</t>
  </si>
  <si>
    <t>001-4463006</t>
  </si>
  <si>
    <t>Acido borico</t>
  </si>
  <si>
    <t>001-4463007</t>
  </si>
  <si>
    <t>Oprot zinc</t>
  </si>
  <si>
    <t>001-4470</t>
  </si>
  <si>
    <t>001-4470001</t>
  </si>
  <si>
    <t>001-4470002</t>
  </si>
  <si>
    <t>001-4470003</t>
  </si>
  <si>
    <t>001-4470004</t>
  </si>
  <si>
    <t>001-4470005</t>
  </si>
  <si>
    <t>GLICINA BETAÍNA + NITRÓGENO</t>
  </si>
  <si>
    <t>001-4470006</t>
  </si>
  <si>
    <t>OSMOPROTECT</t>
  </si>
  <si>
    <t>001-4499</t>
  </si>
  <si>
    <t>ACEITE MINERAL</t>
  </si>
  <si>
    <t>001-4499001</t>
  </si>
  <si>
    <t>TRITEK</t>
  </si>
  <si>
    <t>001-4510</t>
  </si>
  <si>
    <t>001-4510001</t>
  </si>
  <si>
    <t>001-4510002</t>
  </si>
  <si>
    <t>001-4510003</t>
  </si>
  <si>
    <t>001-4510004</t>
  </si>
  <si>
    <t>001-4510005</t>
  </si>
  <si>
    <t>001-4510006</t>
  </si>
  <si>
    <t>001-4514</t>
  </si>
  <si>
    <t>001-4514001</t>
  </si>
  <si>
    <t>001-4514002</t>
  </si>
  <si>
    <t>CONFIDOR</t>
  </si>
  <si>
    <t>CIROMAZINA</t>
  </si>
  <si>
    <t>001-4514003</t>
  </si>
  <si>
    <t>PUNTERO</t>
  </si>
  <si>
    <t>001-4514004</t>
  </si>
  <si>
    <t>001-4514005</t>
  </si>
  <si>
    <t>KARATE ZEON</t>
  </si>
  <si>
    <t>001-4514006</t>
  </si>
  <si>
    <t>001-4515</t>
  </si>
  <si>
    <t>001-4515001</t>
  </si>
  <si>
    <t>001-4519</t>
  </si>
  <si>
    <t>001-4519001</t>
  </si>
  <si>
    <t>001-4519002</t>
  </si>
  <si>
    <t>001-4525</t>
  </si>
  <si>
    <t>001-4525001</t>
  </si>
  <si>
    <t>001-4530</t>
  </si>
  <si>
    <t>001-4530001</t>
  </si>
  <si>
    <t>Maria Francia </t>
  </si>
  <si>
    <t>001-4531</t>
  </si>
  <si>
    <t>001-4531001</t>
  </si>
  <si>
    <t>001-4532</t>
  </si>
  <si>
    <t>001-4532001</t>
  </si>
  <si>
    <t>Raúl García </t>
  </si>
  <si>
    <t>001-4533</t>
  </si>
  <si>
    <t>001-4533001</t>
  </si>
  <si>
    <t>001-4534</t>
  </si>
  <si>
    <t>001-4534001</t>
  </si>
  <si>
    <t>001-4546</t>
  </si>
  <si>
    <t>001-4546001</t>
  </si>
  <si>
    <t>001-4546002</t>
  </si>
  <si>
    <t>SANIFOL </t>
  </si>
  <si>
    <t>001-4548</t>
  </si>
  <si>
    <t>001-4548001</t>
  </si>
  <si>
    <t>CAM05-25</t>
  </si>
  <si>
    <t>CALAGUA C2</t>
  </si>
  <si>
    <t>001-4554</t>
  </si>
  <si>
    <t>001-4554001</t>
  </si>
  <si>
    <t>001-4554002</t>
  </si>
  <si>
    <t>001-4554003</t>
  </si>
  <si>
    <t>001-4554004</t>
  </si>
  <si>
    <t>001-4561</t>
  </si>
  <si>
    <t>001-4561001</t>
  </si>
  <si>
    <t>001-4561002</t>
  </si>
  <si>
    <t>001-4561003</t>
  </si>
  <si>
    <t>001-4561004</t>
  </si>
  <si>
    <t>001-4561005</t>
  </si>
  <si>
    <t>001-4561006</t>
  </si>
  <si>
    <t>001-4571</t>
  </si>
  <si>
    <t>001-4571001</t>
  </si>
  <si>
    <t>001-4571002</t>
  </si>
  <si>
    <t>001-4571003</t>
  </si>
  <si>
    <t>001-4571004</t>
  </si>
  <si>
    <t>001-4572</t>
  </si>
  <si>
    <t>001-4572001</t>
  </si>
  <si>
    <t>001-4572002</t>
  </si>
  <si>
    <t>001-4572003</t>
  </si>
  <si>
    <t>001-4572004</t>
  </si>
  <si>
    <t>001-4572005</t>
  </si>
  <si>
    <t>001-4572006</t>
  </si>
  <si>
    <t>001-4573</t>
  </si>
  <si>
    <t>001-4573001</t>
  </si>
  <si>
    <t>001-4573002</t>
  </si>
  <si>
    <t>001-4573003</t>
  </si>
  <si>
    <t>001-4573004</t>
  </si>
  <si>
    <t>001-4574</t>
  </si>
  <si>
    <t>001-4574001</t>
  </si>
  <si>
    <t>001-4583</t>
  </si>
  <si>
    <t>001-4583001</t>
  </si>
  <si>
    <t>001-4583002</t>
  </si>
  <si>
    <t>001-4583003</t>
  </si>
  <si>
    <t>001-4583004</t>
  </si>
  <si>
    <t>001-4590</t>
  </si>
  <si>
    <t>001-4590001</t>
  </si>
  <si>
    <t>001-4602</t>
  </si>
  <si>
    <t>001-4602001</t>
  </si>
  <si>
    <t>001-4602002</t>
  </si>
  <si>
    <t>001-4602003</t>
  </si>
  <si>
    <t>001-4602004</t>
  </si>
  <si>
    <t>001-4604</t>
  </si>
  <si>
    <t>CORRECTOR DE SALINIDAD DEL SUELO</t>
  </si>
  <si>
    <t>CRRECTOR DE SALINIDAD DEL SUELO</t>
  </si>
  <si>
    <t>001-4604001</t>
  </si>
  <si>
    <t>PERCOSAL</t>
  </si>
  <si>
    <t>mochila electrica drech</t>
  </si>
  <si>
    <t>001-4604002</t>
  </si>
  <si>
    <t>POLIMERO ACONDICONADOR</t>
  </si>
  <si>
    <t>001-4604003</t>
  </si>
  <si>
    <t>FLOBOND DI 2010</t>
  </si>
  <si>
    <t>001-4607</t>
  </si>
  <si>
    <t>001-4607001</t>
  </si>
  <si>
    <t>APY-Chincha</t>
  </si>
  <si>
    <t>001-4607002</t>
  </si>
  <si>
    <t>001-4607003</t>
  </si>
  <si>
    <t>001-4607004</t>
  </si>
  <si>
    <t>001-4607005</t>
  </si>
  <si>
    <t>MICROELEMENTOS</t>
  </si>
  <si>
    <t>001-4607006</t>
  </si>
  <si>
    <t>OLIGOMIX-CO</t>
  </si>
  <si>
    <t>001-4608</t>
  </si>
  <si>
    <t>001-4608001</t>
  </si>
  <si>
    <t>001-4608002</t>
  </si>
  <si>
    <t>001-4608003</t>
  </si>
  <si>
    <t>001-4608004</t>
  </si>
  <si>
    <t>HUNTER</t>
  </si>
  <si>
    <t>001-4608005</t>
  </si>
  <si>
    <t>001-4608006</t>
  </si>
  <si>
    <t>001-4608007</t>
  </si>
  <si>
    <t>001-4611</t>
  </si>
  <si>
    <t>001-4611001</t>
  </si>
  <si>
    <t>001-4612</t>
  </si>
  <si>
    <t>001-4612001</t>
  </si>
  <si>
    <t>001-4613</t>
  </si>
  <si>
    <t>001-4613001</t>
  </si>
  <si>
    <t>MTR</t>
  </si>
  <si>
    <t>para la sequía </t>
  </si>
  <si>
    <t>001-4618</t>
  </si>
  <si>
    <t>001-4618001</t>
  </si>
  <si>
    <t>mod 6</t>
  </si>
  <si>
    <t>inyección fresa</t>
  </si>
  <si>
    <t>001-4619</t>
  </si>
  <si>
    <t>001-4619001</t>
  </si>
  <si>
    <t>001-4619002</t>
  </si>
  <si>
    <t>T34 BIOCONTROL MUESTRA</t>
  </si>
  <si>
    <t>001-4630</t>
  </si>
  <si>
    <t>001-4630001</t>
  </si>
  <si>
    <t>mochila electrica fresa</t>
  </si>
  <si>
    <t>001-4630002</t>
  </si>
  <si>
    <t>SUCRAMEL</t>
  </si>
  <si>
    <t>001-4630003</t>
  </si>
  <si>
    <t>001-4630004</t>
  </si>
  <si>
    <t>001-4630005</t>
  </si>
  <si>
    <t>001-4631</t>
  </si>
  <si>
    <t>001-4631001</t>
  </si>
  <si>
    <t>001-4632</t>
  </si>
  <si>
    <t>001-4632001</t>
  </si>
  <si>
    <t>001-4636</t>
  </si>
  <si>
    <t>001-4636001</t>
  </si>
  <si>
    <t>001-4636002</t>
  </si>
  <si>
    <t>001-4647</t>
  </si>
  <si>
    <t>001-4647001</t>
  </si>
  <si>
    <t>001-4647002</t>
  </si>
  <si>
    <t>001-4647003</t>
  </si>
  <si>
    <t>001-4647004</t>
  </si>
  <si>
    <t>001-4647005</t>
  </si>
  <si>
    <t>001-4650</t>
  </si>
  <si>
    <t>001-4650001</t>
  </si>
  <si>
    <t>001-4650002</t>
  </si>
  <si>
    <t>001-4650003</t>
  </si>
  <si>
    <t>001-4653</t>
  </si>
  <si>
    <t>001-4653001</t>
  </si>
  <si>
    <t>Dante garcia</t>
  </si>
  <si>
    <t>001-4653002</t>
  </si>
  <si>
    <t>001-4664</t>
  </si>
  <si>
    <t>CYANTRANILIPROLE</t>
  </si>
  <si>
    <t>001-4664001</t>
  </si>
  <si>
    <t>PREZA</t>
  </si>
  <si>
    <t>001-4673</t>
  </si>
  <si>
    <t>001-4673001</t>
  </si>
  <si>
    <t>001-4678</t>
  </si>
  <si>
    <t>001-4678001</t>
  </si>
  <si>
    <t>001-4678002</t>
  </si>
  <si>
    <t>001-4678003</t>
  </si>
  <si>
    <t>001-4696</t>
  </si>
  <si>
    <t>001-4696001</t>
  </si>
  <si>
    <t>Luilli Paredes</t>
  </si>
  <si>
    <t>001-4696002</t>
  </si>
  <si>
    <t>001-4702</t>
  </si>
  <si>
    <t>001-4702001</t>
  </si>
  <si>
    <t>001-4702002</t>
  </si>
  <si>
    <t>001-4702003</t>
  </si>
  <si>
    <t>001-4702004</t>
  </si>
  <si>
    <t>001-4702005</t>
  </si>
  <si>
    <t>001-4702006</t>
  </si>
  <si>
    <t>001-4709</t>
  </si>
  <si>
    <t>001-4709001</t>
  </si>
  <si>
    <t>001-4709002</t>
  </si>
  <si>
    <t>001-4709003</t>
  </si>
  <si>
    <t>001-4713</t>
  </si>
  <si>
    <t>001-4713001</t>
  </si>
  <si>
    <t>001-4713002</t>
  </si>
  <si>
    <t>001-4713003</t>
  </si>
  <si>
    <t>001-4713004</t>
  </si>
  <si>
    <t>001-4720</t>
  </si>
  <si>
    <t>ACEITE</t>
  </si>
  <si>
    <t>001-4720001</t>
  </si>
  <si>
    <t>GOLDEN NATURAL OIL</t>
  </si>
  <si>
    <t>toldos los lote para la trampas</t>
  </si>
  <si>
    <t>001-4721</t>
  </si>
  <si>
    <t>001-4721001</t>
  </si>
  <si>
    <t>Rosalino Crisostomo</t>
  </si>
  <si>
    <t>001-4721002</t>
  </si>
  <si>
    <t>001-4722</t>
  </si>
  <si>
    <t>001-4722001</t>
  </si>
  <si>
    <t>1fertilizacion </t>
  </si>
  <si>
    <t>001-4722002</t>
  </si>
  <si>
    <t>001-4730</t>
  </si>
  <si>
    <t>001-4730001</t>
  </si>
  <si>
    <t>gabino</t>
  </si>
  <si>
    <t>001-4730002</t>
  </si>
  <si>
    <t>001-4730003</t>
  </si>
  <si>
    <t>001-4739</t>
  </si>
  <si>
    <t>001-4739001</t>
  </si>
  <si>
    <t>001-4740</t>
  </si>
  <si>
    <t>001-4740001</t>
  </si>
  <si>
    <t>luilli Paredes</t>
  </si>
  <si>
    <t>001-4740002</t>
  </si>
  <si>
    <t>001-4741</t>
  </si>
  <si>
    <t>001-4741001</t>
  </si>
  <si>
    <t>mochila electrica fresa </t>
  </si>
  <si>
    <t>SPINOSAD</t>
  </si>
  <si>
    <t>001-4741002</t>
  </si>
  <si>
    <t>TRACER</t>
  </si>
  <si>
    <t>001-4741003</t>
  </si>
  <si>
    <t>001-4741004</t>
  </si>
  <si>
    <t>001-4756</t>
  </si>
  <si>
    <t>001-4756001</t>
  </si>
  <si>
    <t>001-4756002</t>
  </si>
  <si>
    <t>001-4756003</t>
  </si>
  <si>
    <t>001-4756004</t>
  </si>
  <si>
    <t>001-4756005</t>
  </si>
  <si>
    <t>001-4756006</t>
  </si>
  <si>
    <t>001-4763</t>
  </si>
  <si>
    <t>001-4763001</t>
  </si>
  <si>
    <t>CINTA DE EMBALAJE GRANDE</t>
  </si>
  <si>
    <t>H06SS-26</t>
  </si>
  <si>
    <t>CAMPO</t>
  </si>
  <si>
    <t>001-4763002</t>
  </si>
  <si>
    <t>CINTA DE RIEGO</t>
  </si>
  <si>
    <t>ROLLO</t>
  </si>
  <si>
    <t>MOD 10S</t>
  </si>
  <si>
    <t>001-4763003</t>
  </si>
  <si>
    <t>DISCO DE CORTE CHICO</t>
  </si>
  <si>
    <t>001-4763004</t>
  </si>
  <si>
    <t>CA-BO-ZN</t>
  </si>
  <si>
    <t>001-4763005</t>
  </si>
  <si>
    <t>MAXFOL CA-BO-ZN</t>
  </si>
  <si>
    <t>I</t>
  </si>
  <si>
    <t>001-4763006</t>
  </si>
  <si>
    <t>MEGAMIN ROOTING</t>
  </si>
  <si>
    <t>001-4764</t>
  </si>
  <si>
    <t>001-4764001</t>
  </si>
  <si>
    <t>001-4764002</t>
  </si>
  <si>
    <t>001-4764003</t>
  </si>
  <si>
    <t>001-4764004</t>
  </si>
  <si>
    <t>001-4764005</t>
  </si>
  <si>
    <t>001-4768</t>
  </si>
  <si>
    <t>001-4768001</t>
  </si>
  <si>
    <t>001-4769</t>
  </si>
  <si>
    <t>001-4769001</t>
  </si>
  <si>
    <t>001-4783</t>
  </si>
  <si>
    <t>001-4783001</t>
  </si>
  <si>
    <t>001-4783002</t>
  </si>
  <si>
    <t>001-4783003</t>
  </si>
  <si>
    <t>001-4783004</t>
  </si>
  <si>
    <t>HIDROXIDO DE POTASIO</t>
  </si>
  <si>
    <t>001-4783005</t>
  </si>
  <si>
    <t>Megamin deter</t>
  </si>
  <si>
    <t>001-4783006</t>
  </si>
  <si>
    <t>001-4784</t>
  </si>
  <si>
    <t>AZUFRE</t>
  </si>
  <si>
    <t>001-4784001</t>
  </si>
  <si>
    <t>AZUFRE PANTERA</t>
  </si>
  <si>
    <t>001-4785</t>
  </si>
  <si>
    <t>001-4785001</t>
  </si>
  <si>
    <t>APY - BETO</t>
  </si>
  <si>
    <t>001-4785002</t>
  </si>
  <si>
    <t>001-4785003</t>
  </si>
  <si>
    <t>001-4785004</t>
  </si>
  <si>
    <t>001-4785005</t>
  </si>
  <si>
    <t>001-4785006</t>
  </si>
  <si>
    <t>001-4786</t>
  </si>
  <si>
    <t>001-4786001</t>
  </si>
  <si>
    <t>001-4787</t>
  </si>
  <si>
    <t>001-4787001</t>
  </si>
  <si>
    <t>ROSALINO CRISOSTOMO</t>
  </si>
  <si>
    <t>001-4788</t>
  </si>
  <si>
    <t>001-4788001</t>
  </si>
  <si>
    <t>APY - AGUSTIN</t>
  </si>
  <si>
    <t>001-4788002</t>
  </si>
  <si>
    <t>TRIHARZ</t>
  </si>
  <si>
    <t>TRICHODERMA </t>
  </si>
  <si>
    <t>001-4788003</t>
  </si>
  <si>
    <t>BIOFUNCO</t>
  </si>
  <si>
    <t>001-4788004</t>
  </si>
  <si>
    <t>001-4790</t>
  </si>
  <si>
    <t>001-4790001</t>
  </si>
  <si>
    <t>001-4790002</t>
  </si>
  <si>
    <t>001-4790003</t>
  </si>
  <si>
    <t>ACETAMIPRID</t>
  </si>
  <si>
    <t>001-4790004</t>
  </si>
  <si>
    <t>TRIUNFADOR</t>
  </si>
  <si>
    <t>001-4799</t>
  </si>
  <si>
    <t>001-4799001</t>
  </si>
  <si>
    <t>ALGAS MARINAS CON AMINOACIDOS</t>
  </si>
  <si>
    <t>001-4799002</t>
  </si>
  <si>
    <t>VITARIS ALGAS MARINA</t>
  </si>
  <si>
    <t>001-4799003</t>
  </si>
  <si>
    <t>001-4799004</t>
  </si>
  <si>
    <t>001-4799005</t>
  </si>
  <si>
    <t>001-4803</t>
  </si>
  <si>
    <t>BACILLUS VELEZENSIS</t>
  </si>
  <si>
    <t>001-4803001</t>
  </si>
  <si>
    <t>RHYZO PRIME</t>
  </si>
  <si>
    <t>001-4803002</t>
  </si>
  <si>
    <t>001-4816</t>
  </si>
  <si>
    <t>001-4816001</t>
  </si>
  <si>
    <t>001-4816002</t>
  </si>
  <si>
    <t>001-4816003</t>
  </si>
  <si>
    <t>001-4820</t>
  </si>
  <si>
    <t>001-4820001</t>
  </si>
  <si>
    <t>001-4820002</t>
  </si>
  <si>
    <t>001-4821</t>
  </si>
  <si>
    <t>001-4821001</t>
  </si>
  <si>
    <t>001-4821002</t>
  </si>
  <si>
    <t>001-4822</t>
  </si>
  <si>
    <t>001-4822001</t>
  </si>
  <si>
    <t>001-4822002</t>
  </si>
  <si>
    <t>001-4822003</t>
  </si>
  <si>
    <t>001-4822004</t>
  </si>
  <si>
    <t>001-4822005</t>
  </si>
  <si>
    <t>001-4823</t>
  </si>
  <si>
    <t>001-4823001</t>
  </si>
  <si>
    <t>Maria francia</t>
  </si>
  <si>
    <t>001-4823002</t>
  </si>
  <si>
    <t>001-4823003</t>
  </si>
  <si>
    <t>001-4823004</t>
  </si>
  <si>
    <t>001-4823005</t>
  </si>
  <si>
    <t>001-4825</t>
  </si>
  <si>
    <t>001-4825001</t>
  </si>
  <si>
    <t>001-4826</t>
  </si>
  <si>
    <t>001-4826001</t>
  </si>
  <si>
    <t>001-4827</t>
  </si>
  <si>
    <t>001-4827001</t>
  </si>
  <si>
    <t>001-4827002</t>
  </si>
  <si>
    <t>001-4827003</t>
  </si>
  <si>
    <t>001-4828</t>
  </si>
  <si>
    <t>001-4828001</t>
  </si>
  <si>
    <t>001-4828002</t>
  </si>
  <si>
    <t>001-4837</t>
  </si>
  <si>
    <t>001-4837001</t>
  </si>
  <si>
    <t>001-4837002</t>
  </si>
  <si>
    <t>001-4837003</t>
  </si>
  <si>
    <t>001-4837004</t>
  </si>
  <si>
    <t>001-4837005</t>
  </si>
  <si>
    <t>001-4837006</t>
  </si>
  <si>
    <t>001-4837007</t>
  </si>
  <si>
    <t>001-4838</t>
  </si>
  <si>
    <t>001-4838001</t>
  </si>
  <si>
    <t>001-4838002</t>
  </si>
  <si>
    <t>001-4838003</t>
  </si>
  <si>
    <t>001-4838004</t>
  </si>
  <si>
    <t>001-4841</t>
  </si>
  <si>
    <t>001-4841001</t>
  </si>
  <si>
    <t>001-4851</t>
  </si>
  <si>
    <t>001-4851001</t>
  </si>
  <si>
    <t>001-4852</t>
  </si>
  <si>
    <t>001-4852001</t>
  </si>
  <si>
    <t>001-4853</t>
  </si>
  <si>
    <t>001-4853001</t>
  </si>
  <si>
    <t>001-4859</t>
  </si>
  <si>
    <t>001-4859001</t>
  </si>
  <si>
    <t>001-4873</t>
  </si>
  <si>
    <t>001-4873001</t>
  </si>
  <si>
    <t>001-4877</t>
  </si>
  <si>
    <t>001-4877001</t>
  </si>
  <si>
    <t>001-4877002</t>
  </si>
  <si>
    <t>001-4877003</t>
  </si>
  <si>
    <t>001-4881</t>
  </si>
  <si>
    <t>001-4881001</t>
  </si>
  <si>
    <t>001-4881002</t>
  </si>
  <si>
    <t>001-4882</t>
  </si>
  <si>
    <t>001-4882001</t>
  </si>
  <si>
    <t>001-4882002</t>
  </si>
  <si>
    <t>001-4901</t>
  </si>
  <si>
    <t>001-4901001</t>
  </si>
  <si>
    <t>001-4901002</t>
  </si>
  <si>
    <t>001-4901003</t>
  </si>
  <si>
    <t>001-4901004</t>
  </si>
  <si>
    <t>kARATE ZEON</t>
  </si>
  <si>
    <t>001-4901005</t>
  </si>
  <si>
    <t>BOSCALID</t>
  </si>
  <si>
    <t>001-4901006</t>
  </si>
  <si>
    <t>CANTUS</t>
  </si>
  <si>
    <t>001-4901007</t>
  </si>
  <si>
    <t>001-4901008</t>
  </si>
  <si>
    <t>MANVERT ZINC</t>
  </si>
  <si>
    <t>001-4905</t>
  </si>
  <si>
    <t>001-4905001</t>
  </si>
  <si>
    <t>001-4906</t>
  </si>
  <si>
    <t>001-4906001</t>
  </si>
  <si>
    <t>001-4918</t>
  </si>
  <si>
    <t>001-4918001</t>
  </si>
  <si>
    <t>CHLOROTHALONIL + DIMETHOMORPH + CYMOXANIL</t>
  </si>
  <si>
    <t>001-4918002</t>
  </si>
  <si>
    <t>001-4918003</t>
  </si>
  <si>
    <t>001-4919</t>
  </si>
  <si>
    <t>NPK 12 - 12 - 17 </t>
  </si>
  <si>
    <t>001-4919001</t>
  </si>
  <si>
    <t>FERTIBLUE NPK 12 - 12 - 17</t>
  </si>
  <si>
    <t>001-4919002</t>
  </si>
  <si>
    <t>001-4919003</t>
  </si>
  <si>
    <t>001-4921</t>
  </si>
  <si>
    <t>001-4921001</t>
  </si>
  <si>
    <t>001-4922</t>
  </si>
  <si>
    <t>001-4922001</t>
  </si>
  <si>
    <t>CITOQUININA + GIBERELINA</t>
  </si>
  <si>
    <t>001-4922002</t>
  </si>
  <si>
    <t>PROMALINA</t>
  </si>
  <si>
    <t>001-4922003</t>
  </si>
  <si>
    <t>001-4922004</t>
  </si>
  <si>
    <t>ALGA-PLEX</t>
  </si>
  <si>
    <t>001-4922005</t>
  </si>
  <si>
    <t>BARIG RED</t>
  </si>
  <si>
    <t>001-4922006</t>
  </si>
  <si>
    <t>VITARIS AMINOACIDOS</t>
  </si>
  <si>
    <t>001-4922007</t>
  </si>
  <si>
    <t>001-4923</t>
  </si>
  <si>
    <t>001-4923001</t>
  </si>
  <si>
    <t>001-4923002</t>
  </si>
  <si>
    <t>001-4923003</t>
  </si>
  <si>
    <t>001-4923004</t>
  </si>
  <si>
    <t>001-4923005</t>
  </si>
  <si>
    <t>001-4924</t>
  </si>
  <si>
    <t>001-4924001</t>
  </si>
  <si>
    <t>DANTE GARCIA</t>
  </si>
  <si>
    <t>001-4924002</t>
  </si>
  <si>
    <t>001-4925</t>
  </si>
  <si>
    <t>001-4925001</t>
  </si>
  <si>
    <t>001-4925002</t>
  </si>
  <si>
    <t>001-4925003</t>
  </si>
  <si>
    <t>001-4925004</t>
  </si>
  <si>
    <t>001-4925005</t>
  </si>
  <si>
    <t>001-4925006</t>
  </si>
  <si>
    <t>001-4929</t>
  </si>
  <si>
    <t>001-4929001</t>
  </si>
  <si>
    <t>001-4929002</t>
  </si>
  <si>
    <t>001-4929003</t>
  </si>
  <si>
    <t>001-4929004</t>
  </si>
  <si>
    <t>001-4929005</t>
  </si>
  <si>
    <t>001-4931</t>
  </si>
  <si>
    <t>001-4931001</t>
  </si>
  <si>
    <t>Luilli paredes</t>
  </si>
  <si>
    <t>001-4932</t>
  </si>
  <si>
    <t>001-4932001</t>
  </si>
  <si>
    <t>001-4932002</t>
  </si>
  <si>
    <t>001-4932003</t>
  </si>
  <si>
    <t>001-4932004</t>
  </si>
  <si>
    <t>001-4932005</t>
  </si>
  <si>
    <t>001-4932006</t>
  </si>
  <si>
    <t>001-4933</t>
  </si>
  <si>
    <t>001-4933001</t>
  </si>
  <si>
    <t>001-4938</t>
  </si>
  <si>
    <t>001-4938001</t>
  </si>
  <si>
    <t>001-4938002</t>
  </si>
  <si>
    <t>001-4938003</t>
  </si>
  <si>
    <t>001-4938004</t>
  </si>
  <si>
    <t>001-4939</t>
  </si>
  <si>
    <t>001-4939001</t>
  </si>
  <si>
    <t>001-4939002</t>
  </si>
  <si>
    <t>001-4939003</t>
  </si>
  <si>
    <t>001-4939004</t>
  </si>
  <si>
    <t>001-4939005</t>
  </si>
  <si>
    <t>001-4939006</t>
  </si>
  <si>
    <t>001-4949</t>
  </si>
  <si>
    <t>001-4949001</t>
  </si>
  <si>
    <t>001-4961</t>
  </si>
  <si>
    <t>001-4961001</t>
  </si>
  <si>
    <t>1 fertilización </t>
  </si>
  <si>
    <t>001-4961002</t>
  </si>
  <si>
    <t>001-4961003</t>
  </si>
  <si>
    <t>001-4963</t>
  </si>
  <si>
    <t>001-4963001</t>
  </si>
  <si>
    <t>inyección para la fresa</t>
  </si>
  <si>
    <t>001-4963002</t>
  </si>
  <si>
    <t>001-4963003</t>
  </si>
  <si>
    <t>001-4963004</t>
  </si>
  <si>
    <t>001-4963005</t>
  </si>
  <si>
    <t>001-4965</t>
  </si>
  <si>
    <t>001-4965001</t>
  </si>
  <si>
    <t>mochila electrica (fresa)</t>
  </si>
  <si>
    <t>001-4965002</t>
  </si>
  <si>
    <t>001-4965003</t>
  </si>
  <si>
    <t>CALCIO + BORO</t>
  </si>
  <si>
    <t>001-4965004</t>
  </si>
  <si>
    <t>MANVERT CAB TRACKER</t>
  </si>
  <si>
    <t>001-4965005</t>
  </si>
  <si>
    <t>001-4966</t>
  </si>
  <si>
    <t>001-4966001</t>
  </si>
  <si>
    <t>001-4966002</t>
  </si>
  <si>
    <t>001-4966003</t>
  </si>
  <si>
    <t>POTASIO - BORO - MOLIBDENO</t>
  </si>
  <si>
    <t>001-4966004</t>
  </si>
  <si>
    <t>VITARIS TRASLOCADOR</t>
  </si>
  <si>
    <t>001-4966005</t>
  </si>
  <si>
    <t>CA-B-MO + AMINOACIDOS</t>
  </si>
  <si>
    <t>001-4966006</t>
  </si>
  <si>
    <t>PLANTAC CA-B-MO</t>
  </si>
  <si>
    <t>001-4970</t>
  </si>
  <si>
    <t>001-4970001</t>
  </si>
  <si>
    <t>001-4970002</t>
  </si>
  <si>
    <t>001-4971</t>
  </si>
  <si>
    <t>001-4971001</t>
  </si>
  <si>
    <t>001-4971002</t>
  </si>
  <si>
    <t>OXIDO DE CALCIO </t>
  </si>
  <si>
    <t>001-4971003</t>
  </si>
  <si>
    <t>SAETA</t>
  </si>
  <si>
    <t>001-4971004</t>
  </si>
  <si>
    <t>001-4971005</t>
  </si>
  <si>
    <t>001-4972</t>
  </si>
  <si>
    <t>001-4972001</t>
  </si>
  <si>
    <t>001-4972002</t>
  </si>
  <si>
    <t>001-4972003</t>
  </si>
  <si>
    <t>001-4972004</t>
  </si>
  <si>
    <t>001-4978</t>
  </si>
  <si>
    <t>001-4978001</t>
  </si>
  <si>
    <t>001-4978002</t>
  </si>
  <si>
    <t>001-4978003</t>
  </si>
  <si>
    <t>001-4978004</t>
  </si>
  <si>
    <t>001-4978005</t>
  </si>
  <si>
    <t>001-4978006</t>
  </si>
  <si>
    <t>001-4978007</t>
  </si>
  <si>
    <t>001-4980</t>
  </si>
  <si>
    <t>001-4980001</t>
  </si>
  <si>
    <t>001-5002</t>
  </si>
  <si>
    <t>001-5002001</t>
  </si>
  <si>
    <t>001-5002002</t>
  </si>
  <si>
    <t>001-5003</t>
  </si>
  <si>
    <t>001-5003001</t>
  </si>
  <si>
    <t>001-5003002</t>
  </si>
  <si>
    <t>001-5003003</t>
  </si>
  <si>
    <t>001-5003004</t>
  </si>
  <si>
    <t>001-5010</t>
  </si>
  <si>
    <t>001-5010001</t>
  </si>
  <si>
    <t>001-5018</t>
  </si>
  <si>
    <t>001-5018001</t>
  </si>
  <si>
    <t>001-5018002</t>
  </si>
  <si>
    <t>001-5018003</t>
  </si>
  <si>
    <t>001-5018004</t>
  </si>
  <si>
    <t>001-5018005</t>
  </si>
  <si>
    <t>CITOQUININA </t>
  </si>
  <si>
    <t>001-5018006</t>
  </si>
  <si>
    <t>NANOFOL BIOCITOQUININA</t>
  </si>
  <si>
    <t>001-5019</t>
  </si>
  <si>
    <t>001-5019001</t>
  </si>
  <si>
    <t>001-5019002</t>
  </si>
  <si>
    <t>001-5019003</t>
  </si>
  <si>
    <t>001-5019004</t>
  </si>
  <si>
    <t>001-5019005</t>
  </si>
  <si>
    <t>001-5019006</t>
  </si>
  <si>
    <t>001-5020</t>
  </si>
  <si>
    <t>001-5020001</t>
  </si>
  <si>
    <t>001-5020002</t>
  </si>
  <si>
    <t>001-5020003</t>
  </si>
  <si>
    <t>001-5020004</t>
  </si>
  <si>
    <t>001-5020005</t>
  </si>
  <si>
    <t>001-5021</t>
  </si>
  <si>
    <t>001-5021001</t>
  </si>
  <si>
    <t>001-5021002</t>
  </si>
  <si>
    <t>001-5021003</t>
  </si>
  <si>
    <t>001-5021004</t>
  </si>
  <si>
    <t>001-5021005</t>
  </si>
  <si>
    <t>FRUCHT</t>
  </si>
  <si>
    <t>001-5021006</t>
  </si>
  <si>
    <t>KINEPOWER</t>
  </si>
  <si>
    <t>001-5021008</t>
  </si>
  <si>
    <t>001-5030</t>
  </si>
  <si>
    <t>001-5030001</t>
  </si>
  <si>
    <t>001-5030002</t>
  </si>
  <si>
    <t>001-5030003</t>
  </si>
  <si>
    <t>001-5030004</t>
  </si>
  <si>
    <t>001-5033</t>
  </si>
  <si>
    <t>001-5033001</t>
  </si>
  <si>
    <t>001-5034</t>
  </si>
  <si>
    <t>001-5034001</t>
  </si>
  <si>
    <t>UTRISHA N</t>
  </si>
  <si>
    <t>001-5035</t>
  </si>
  <si>
    <t>001-5035001</t>
  </si>
  <si>
    <t>001-5036</t>
  </si>
  <si>
    <t>001-5036001</t>
  </si>
  <si>
    <t>001-5037</t>
  </si>
  <si>
    <t>001-5037001</t>
  </si>
  <si>
    <t>MAIZ</t>
  </si>
  <si>
    <t>001-5043</t>
  </si>
  <si>
    <t>001-5043001</t>
  </si>
  <si>
    <t>001-5043002</t>
  </si>
  <si>
    <t>001-5043003</t>
  </si>
  <si>
    <t>001-5043004</t>
  </si>
  <si>
    <t>001-5043005</t>
  </si>
  <si>
    <t>001-5048</t>
  </si>
  <si>
    <t>001-5048001</t>
  </si>
  <si>
    <t>001-5048002</t>
  </si>
  <si>
    <t>001-5048003</t>
  </si>
  <si>
    <t>001-5048004</t>
  </si>
  <si>
    <t>CALCIO,MAGNESIO,BORO</t>
  </si>
  <si>
    <t>001-5048005</t>
  </si>
  <si>
    <t>MEGAMIN FLOR</t>
  </si>
  <si>
    <t>001-5048006</t>
  </si>
  <si>
    <t>001-5050</t>
  </si>
  <si>
    <t>001-5050001</t>
  </si>
  <si>
    <t>001-5050002</t>
  </si>
  <si>
    <t>001-5050003</t>
  </si>
  <si>
    <t>001-5050004</t>
  </si>
  <si>
    <t>001-5051</t>
  </si>
  <si>
    <t>001-5051001</t>
  </si>
  <si>
    <t>001-5051002</t>
  </si>
  <si>
    <t>001-5051003</t>
  </si>
  <si>
    <t>001-5051004</t>
  </si>
  <si>
    <t>001-5051005</t>
  </si>
  <si>
    <t>001-5051006</t>
  </si>
  <si>
    <t>001-5052</t>
  </si>
  <si>
    <t>001-5052001</t>
  </si>
  <si>
    <t>001-5052002</t>
  </si>
  <si>
    <t>001-5052003</t>
  </si>
  <si>
    <t>001-5052004</t>
  </si>
  <si>
    <t>001-5053</t>
  </si>
  <si>
    <t>001-5053001</t>
  </si>
  <si>
    <t>001-5053002</t>
  </si>
  <si>
    <t>001-5053003</t>
  </si>
  <si>
    <t>001-5054</t>
  </si>
  <si>
    <t>001-5054001</t>
  </si>
  <si>
    <t>001-5054002</t>
  </si>
  <si>
    <t>001-5054003</t>
  </si>
  <si>
    <t>001-5054004</t>
  </si>
  <si>
    <t>001-5054005</t>
  </si>
  <si>
    <t>001-5055</t>
  </si>
  <si>
    <t>001-5055001</t>
  </si>
  <si>
    <t>MIGUEL CAHUANA</t>
  </si>
  <si>
    <t>001-5063</t>
  </si>
  <si>
    <t>001-5063001</t>
  </si>
  <si>
    <t>001-5064</t>
  </si>
  <si>
    <t>001-5064001</t>
  </si>
  <si>
    <t>001-5071</t>
  </si>
  <si>
    <t>001-5071001</t>
  </si>
  <si>
    <t>DRECH</t>
  </si>
  <si>
    <t>001-5071002</t>
  </si>
  <si>
    <t>001-5071003</t>
  </si>
  <si>
    <t>001-5072</t>
  </si>
  <si>
    <t>001-5072001</t>
  </si>
  <si>
    <t>001-5072002</t>
  </si>
  <si>
    <t>CALCIO</t>
  </si>
  <si>
    <t>001-5072003</t>
  </si>
  <si>
    <t>MANVERT CALCIO</t>
  </si>
  <si>
    <t>001-5072004</t>
  </si>
  <si>
    <t>001-5086</t>
  </si>
  <si>
    <t>001-5086001</t>
  </si>
  <si>
    <t>001-5086002</t>
  </si>
  <si>
    <t>001-5086003</t>
  </si>
  <si>
    <t>001-5086004</t>
  </si>
  <si>
    <t>001-5086005</t>
  </si>
  <si>
    <t>001-5086006</t>
  </si>
  <si>
    <t>001-5087</t>
  </si>
  <si>
    <t>001-5087001</t>
  </si>
  <si>
    <t>001-5087002</t>
  </si>
  <si>
    <t>001-5087003</t>
  </si>
  <si>
    <t>001-5087004</t>
  </si>
  <si>
    <t>001-5087005</t>
  </si>
  <si>
    <t>001-5088</t>
  </si>
  <si>
    <t>001-5088001</t>
  </si>
  <si>
    <t>001-5090</t>
  </si>
  <si>
    <t>001-5090001</t>
  </si>
  <si>
    <t>001-5096</t>
  </si>
  <si>
    <t>001-5096001</t>
  </si>
  <si>
    <t>001-5096002</t>
  </si>
  <si>
    <t>001-5096003</t>
  </si>
  <si>
    <t>001-5097</t>
  </si>
  <si>
    <t>001-5097001</t>
  </si>
  <si>
    <t>001-5103</t>
  </si>
  <si>
    <t>001-5103001</t>
  </si>
  <si>
    <t>001-5103002</t>
  </si>
  <si>
    <t>001-5104</t>
  </si>
  <si>
    <t>001-5104001</t>
  </si>
  <si>
    <t>001-5116</t>
  </si>
  <si>
    <t>001-5116001</t>
  </si>
  <si>
    <t>001-5117</t>
  </si>
  <si>
    <t>001-5117001</t>
  </si>
  <si>
    <t>MARIA FRANCIA</t>
  </si>
  <si>
    <t>001-5117002</t>
  </si>
  <si>
    <t>001-5118</t>
  </si>
  <si>
    <t>001-5118001</t>
  </si>
  <si>
    <t>APY - CHINCHA A</t>
  </si>
  <si>
    <t>001-5118002</t>
  </si>
  <si>
    <t>001-5122</t>
  </si>
  <si>
    <t>001-5122001</t>
  </si>
  <si>
    <t>001-5122002</t>
  </si>
  <si>
    <t>001-5122003</t>
  </si>
  <si>
    <t>001-5122004</t>
  </si>
  <si>
    <t>001-5126</t>
  </si>
  <si>
    <t>001-5126001</t>
  </si>
  <si>
    <t>001-5126002</t>
  </si>
  <si>
    <t>001-5126003</t>
  </si>
  <si>
    <t>001-5126004</t>
  </si>
  <si>
    <t>001-5130</t>
  </si>
  <si>
    <t>001-5130001</t>
  </si>
  <si>
    <t>001-5131</t>
  </si>
  <si>
    <t>001-5131001</t>
  </si>
  <si>
    <t>001-5131002</t>
  </si>
  <si>
    <t>001-5131003</t>
  </si>
  <si>
    <t>001-5131004</t>
  </si>
  <si>
    <t>001-5131005</t>
  </si>
  <si>
    <t>001-5131006</t>
  </si>
  <si>
    <t>001-5131007</t>
  </si>
  <si>
    <t>001-5132</t>
  </si>
  <si>
    <t>001-5132001</t>
  </si>
  <si>
    <t>001-5132002</t>
  </si>
  <si>
    <t>001-5132003</t>
  </si>
  <si>
    <t>001-5132004</t>
  </si>
  <si>
    <t>001-5139</t>
  </si>
  <si>
    <t>001-5139001</t>
  </si>
  <si>
    <t>001-5139002</t>
  </si>
  <si>
    <t>001-5139003</t>
  </si>
  <si>
    <t>001-5139004</t>
  </si>
  <si>
    <t>001-5140</t>
  </si>
  <si>
    <t>001-5140001</t>
  </si>
  <si>
    <t>001-5140002</t>
  </si>
  <si>
    <t>001-5140003</t>
  </si>
  <si>
    <t>001-5140004</t>
  </si>
  <si>
    <t>001-5140005</t>
  </si>
  <si>
    <t>001-5141</t>
  </si>
  <si>
    <t>001-5141001</t>
  </si>
  <si>
    <t>001-5141002</t>
  </si>
  <si>
    <t>001-5141003</t>
  </si>
  <si>
    <t>CITOQUININA 2%</t>
  </si>
  <si>
    <t>001-5141004</t>
  </si>
  <si>
    <t>FRUIT XL</t>
  </si>
  <si>
    <t>001-5141005</t>
  </si>
  <si>
    <t>001-5144</t>
  </si>
  <si>
    <t>001-5144001</t>
  </si>
  <si>
    <t>mochila electrica drech </t>
  </si>
  <si>
    <t>001-5144002</t>
  </si>
  <si>
    <t>001-5145</t>
  </si>
  <si>
    <t>001-5145001</t>
  </si>
  <si>
    <t>001-5151</t>
  </si>
  <si>
    <t>001-5151001</t>
  </si>
  <si>
    <t>FLUAZIFOP-P-BUTYL</t>
  </si>
  <si>
    <t>001-5151002</t>
  </si>
  <si>
    <t>HACHE UNO SUPER</t>
  </si>
  <si>
    <t>001-5154</t>
  </si>
  <si>
    <t>001-5154001</t>
  </si>
  <si>
    <t>001-5154002</t>
  </si>
  <si>
    <t>001-5154003</t>
  </si>
  <si>
    <t>001-5154004</t>
  </si>
  <si>
    <t>001-5154005</t>
  </si>
  <si>
    <t>001-5157</t>
  </si>
  <si>
    <t>001-5157001</t>
  </si>
  <si>
    <t>001-5165</t>
  </si>
  <si>
    <t>001-5165001</t>
  </si>
  <si>
    <t>001-5165002</t>
  </si>
  <si>
    <t>001-5165003</t>
  </si>
  <si>
    <t>001-5165004</t>
  </si>
  <si>
    <t>INDUCTOR DE AUTODEFENSAS</t>
  </si>
  <si>
    <t>001-5165005</t>
  </si>
  <si>
    <t>ERGOSTIN</t>
  </si>
  <si>
    <t>001-5167</t>
  </si>
  <si>
    <t>001-5167001</t>
  </si>
  <si>
    <t>001-5167002</t>
  </si>
  <si>
    <t>001-5167003</t>
  </si>
  <si>
    <t>001-5167004</t>
  </si>
  <si>
    <t>001-5167005</t>
  </si>
  <si>
    <t>001-5167006</t>
  </si>
  <si>
    <t>001-5186</t>
  </si>
  <si>
    <t>001-5186001</t>
  </si>
  <si>
    <t>TREAT PLUS</t>
  </si>
  <si>
    <t>001-5186002</t>
  </si>
  <si>
    <t>001-5186003</t>
  </si>
  <si>
    <t>001-5186004</t>
  </si>
  <si>
    <t>001-5187</t>
  </si>
  <si>
    <t>001-5187001</t>
  </si>
  <si>
    <t>001-5187002</t>
  </si>
  <si>
    <t>001-5187003</t>
  </si>
  <si>
    <t>001-5188</t>
  </si>
  <si>
    <t>001-5188001</t>
  </si>
  <si>
    <t>001-5188002</t>
  </si>
  <si>
    <t>001-5188003</t>
  </si>
  <si>
    <t>001-5188004</t>
  </si>
  <si>
    <t>001-5199</t>
  </si>
  <si>
    <t>001-5199001</t>
  </si>
  <si>
    <t>APY - CHINCHA B</t>
  </si>
  <si>
    <t>001-5200</t>
  </si>
  <si>
    <t>001-5200001</t>
  </si>
  <si>
    <t>001-5214</t>
  </si>
  <si>
    <t>001-5214001</t>
  </si>
  <si>
    <t>001-5214002</t>
  </si>
  <si>
    <t>001-5220</t>
  </si>
  <si>
    <t>001-5220001</t>
  </si>
  <si>
    <t>001-5220002</t>
  </si>
  <si>
    <t>001-5241</t>
  </si>
  <si>
    <t>001-5241001</t>
  </si>
  <si>
    <t>001-5241002</t>
  </si>
  <si>
    <t>001-5241003</t>
  </si>
  <si>
    <t>001-5249</t>
  </si>
  <si>
    <t>001-5249001</t>
  </si>
  <si>
    <t>001-5249002</t>
  </si>
  <si>
    <t>001-5249003</t>
  </si>
  <si>
    <t>001-5249004</t>
  </si>
  <si>
    <t>001-5255</t>
  </si>
  <si>
    <t>001-5255001</t>
  </si>
  <si>
    <t>001-5255002</t>
  </si>
  <si>
    <t>001-5255003</t>
  </si>
  <si>
    <t>001-5255004</t>
  </si>
  <si>
    <t>001-5255005</t>
  </si>
  <si>
    <t>RETORNO</t>
  </si>
  <si>
    <t>001-5260</t>
  </si>
  <si>
    <t>001-5260001</t>
  </si>
  <si>
    <t>001-5260002</t>
  </si>
  <si>
    <t>001-5262</t>
  </si>
  <si>
    <t>001-5262001</t>
  </si>
  <si>
    <t>001-5263</t>
  </si>
  <si>
    <t>001-5263001</t>
  </si>
  <si>
    <t>001-5264</t>
  </si>
  <si>
    <t>001-5264001</t>
  </si>
  <si>
    <t>001-5267</t>
  </si>
  <si>
    <t>001-5267001</t>
  </si>
  <si>
    <t>001-5281</t>
  </si>
  <si>
    <t>001-5281001</t>
  </si>
  <si>
    <t>001-5289</t>
  </si>
  <si>
    <t>001-5289001</t>
  </si>
  <si>
    <t>BACILLUS VELEZENS, TRICHODERMA ATROVIRIDE</t>
  </si>
  <si>
    <t>001-5289002</t>
  </si>
  <si>
    <t>VELEZENSIS WP</t>
  </si>
  <si>
    <t>001-5289003</t>
  </si>
  <si>
    <t>001-5293</t>
  </si>
  <si>
    <t>001-5293001</t>
  </si>
  <si>
    <t>001-5293002</t>
  </si>
  <si>
    <t>001-5293003</t>
  </si>
  <si>
    <t>001-5294</t>
  </si>
  <si>
    <t>ACONDICIONADOR DE SUELO</t>
  </si>
  <si>
    <t>001-5294001</t>
  </si>
  <si>
    <t>RADIAX</t>
  </si>
  <si>
    <t>devolución para el ingeniero uruchi</t>
  </si>
  <si>
    <t>001-5306</t>
  </si>
  <si>
    <t>TRIGO</t>
  </si>
  <si>
    <t>001-5306001</t>
  </si>
  <si>
    <t>AFRECHO</t>
  </si>
  <si>
    <t>T02A-25</t>
  </si>
  <si>
    <t>cebó tóxico (es para siembra de tomate)</t>
  </si>
  <si>
    <t>001-5306002</t>
  </si>
  <si>
    <t>001-5306003</t>
  </si>
  <si>
    <t>001-5306004</t>
  </si>
  <si>
    <t>001-5307</t>
  </si>
  <si>
    <t>001-5307001</t>
  </si>
  <si>
    <t>SEMILLA SANDIA SANTA MATILDE F1 X 1000 SEM</t>
  </si>
  <si>
    <t>SOBRE</t>
  </si>
  <si>
    <t>Plantin vivero</t>
  </si>
  <si>
    <t>001-5313</t>
  </si>
  <si>
    <t>001-5313001</t>
  </si>
  <si>
    <t>001-5313002</t>
  </si>
  <si>
    <t>001-5313003</t>
  </si>
  <si>
    <t>001-5322</t>
  </si>
  <si>
    <t>001-5322001</t>
  </si>
  <si>
    <t>001-5322002</t>
  </si>
  <si>
    <t>001-5322003</t>
  </si>
  <si>
    <t>001-5322004</t>
  </si>
  <si>
    <t>NUTRI CALCIO PLUS</t>
  </si>
  <si>
    <t>001-5324</t>
  </si>
  <si>
    <t>001-5324001</t>
  </si>
  <si>
    <t>001-5327</t>
  </si>
  <si>
    <t>001-5327001</t>
  </si>
  <si>
    <t>inyección (tomate)</t>
  </si>
  <si>
    <t>001-5327002</t>
  </si>
  <si>
    <t>001-5327003</t>
  </si>
  <si>
    <t>001-5327004</t>
  </si>
  <si>
    <t>001-5330</t>
  </si>
  <si>
    <t>001-5330001</t>
  </si>
  <si>
    <t>001-5330002</t>
  </si>
  <si>
    <t>001-5330003</t>
  </si>
  <si>
    <t>001-5330004</t>
  </si>
  <si>
    <t>001-5332</t>
  </si>
  <si>
    <t>001-5332001</t>
  </si>
  <si>
    <t>001-5358</t>
  </si>
  <si>
    <t>001-5358001</t>
  </si>
  <si>
    <t>001-5358002</t>
  </si>
  <si>
    <t>001-5358003</t>
  </si>
  <si>
    <t>001-5358004</t>
  </si>
  <si>
    <t>001-5358005</t>
  </si>
  <si>
    <t>001-5359</t>
  </si>
  <si>
    <t>001-5359001</t>
  </si>
  <si>
    <t>001-5359002</t>
  </si>
  <si>
    <t>001-5359003</t>
  </si>
  <si>
    <t>001-5359004</t>
  </si>
  <si>
    <t>001-5359005</t>
  </si>
  <si>
    <t>001-5360</t>
  </si>
  <si>
    <t>001-5360001</t>
  </si>
  <si>
    <t>001-5360002</t>
  </si>
  <si>
    <t>HORMONAS</t>
  </si>
  <si>
    <t>001-5360003</t>
  </si>
  <si>
    <t>BRASIDOR</t>
  </si>
  <si>
    <t>001-5360004</t>
  </si>
  <si>
    <t>001-5360005</t>
  </si>
  <si>
    <t>001-5360006</t>
  </si>
  <si>
    <t>001-5363</t>
  </si>
  <si>
    <t>001-5363001</t>
  </si>
  <si>
    <t>001-5364</t>
  </si>
  <si>
    <t>001-5364001</t>
  </si>
  <si>
    <t>001-5368</t>
  </si>
  <si>
    <t>001-5368001</t>
  </si>
  <si>
    <t>SACCHARUM OFFICINARUM</t>
  </si>
  <si>
    <t>001-5368002</t>
  </si>
  <si>
    <t>MORILEC </t>
  </si>
  <si>
    <t>001-5368003</t>
  </si>
  <si>
    <t>001-5374</t>
  </si>
  <si>
    <t>001-5374001</t>
  </si>
  <si>
    <t>mod 6p</t>
  </si>
  <si>
    <t>inyección (fresa)</t>
  </si>
  <si>
    <t>001-5374002</t>
  </si>
  <si>
    <t>001-5374003</t>
  </si>
  <si>
    <t>001-5374004</t>
  </si>
  <si>
    <t>001-5374005</t>
  </si>
  <si>
    <t>001-5384</t>
  </si>
  <si>
    <t>001-5384001</t>
  </si>
  <si>
    <t>001-5384002</t>
  </si>
  <si>
    <t>001-5385</t>
  </si>
  <si>
    <t>001-5385001</t>
  </si>
  <si>
    <t>Sobre</t>
  </si>
  <si>
    <t>001-5386</t>
  </si>
  <si>
    <t>001-5386001</t>
  </si>
  <si>
    <t>Waldir Cipriani</t>
  </si>
  <si>
    <t>001-5387</t>
  </si>
  <si>
    <t>001-5387001</t>
  </si>
  <si>
    <t>sobre</t>
  </si>
  <si>
    <t>S01A-26</t>
  </si>
  <si>
    <t>001-5398</t>
  </si>
  <si>
    <t>001-5398001</t>
  </si>
  <si>
    <t>001-5398002</t>
  </si>
  <si>
    <t>001-5398003</t>
  </si>
  <si>
    <t>001-5409</t>
  </si>
  <si>
    <t>001-5409002</t>
  </si>
  <si>
    <t>mochila electrica (tomate</t>
  </si>
  <si>
    <t>001-5409003</t>
  </si>
  <si>
    <t>NO + VIRUS</t>
  </si>
  <si>
    <t>001-5409004</t>
  </si>
  <si>
    <t>001-5410</t>
  </si>
  <si>
    <t>001-5410001</t>
  </si>
  <si>
    <t>001-5410002</t>
  </si>
  <si>
    <t>001-5410003</t>
  </si>
  <si>
    <t>001-5411</t>
  </si>
  <si>
    <t>001-5411001</t>
  </si>
  <si>
    <t>001-5412</t>
  </si>
  <si>
    <t>001-5412001</t>
  </si>
  <si>
    <t>001-5429</t>
  </si>
  <si>
    <t>001-5429001</t>
  </si>
  <si>
    <t>MOD 9</t>
  </si>
  <si>
    <t>001-5429002</t>
  </si>
  <si>
    <t>FACTOR</t>
  </si>
  <si>
    <t>001-5448</t>
  </si>
  <si>
    <t>001-5448001</t>
  </si>
  <si>
    <t>001-5449</t>
  </si>
  <si>
    <t>AMINOACIDOS - BIOESTIMULANTE</t>
  </si>
  <si>
    <t>001-5449001</t>
  </si>
  <si>
    <t>QUITOSANO</t>
  </si>
  <si>
    <t>001-5449002</t>
  </si>
  <si>
    <t>001-5449003</t>
  </si>
  <si>
    <t>001-5453</t>
  </si>
  <si>
    <t>001-5453001</t>
  </si>
  <si>
    <t>001-5453002</t>
  </si>
  <si>
    <t>001-5453003</t>
  </si>
  <si>
    <t>001-5453004</t>
  </si>
  <si>
    <t>001-5453005</t>
  </si>
  <si>
    <t>001-5468</t>
  </si>
  <si>
    <t>001-5468001</t>
  </si>
  <si>
    <t>001-5468002</t>
  </si>
  <si>
    <t>001-5468003</t>
  </si>
  <si>
    <t>001-5468004</t>
  </si>
  <si>
    <t>001-5468005</t>
  </si>
  <si>
    <t>001-5483</t>
  </si>
  <si>
    <t>001-5483001</t>
  </si>
  <si>
    <t>mochila electrica (tomate)</t>
  </si>
  <si>
    <t>001-5483002</t>
  </si>
  <si>
    <t>001-5483003</t>
  </si>
  <si>
    <t>001-5483004</t>
  </si>
  <si>
    <t>CITOQUININA</t>
  </si>
  <si>
    <t>001-5483005</t>
  </si>
  <si>
    <t>PLANTA ADVANCE</t>
  </si>
  <si>
    <t>001-5484</t>
  </si>
  <si>
    <t>001-5484001</t>
  </si>
  <si>
    <t>001-5484002</t>
  </si>
  <si>
    <t>001-5484003</t>
  </si>
  <si>
    <t>001-5484004</t>
  </si>
  <si>
    <t>001-5484005</t>
  </si>
  <si>
    <t>001-5485</t>
  </si>
  <si>
    <t>001-5485001</t>
  </si>
  <si>
    <t>001-5485002</t>
  </si>
  <si>
    <t>001-5485003</t>
  </si>
  <si>
    <t>001-5485004</t>
  </si>
  <si>
    <t>001-5502</t>
  </si>
  <si>
    <t>001-5502001</t>
  </si>
  <si>
    <t>motor</t>
  </si>
  <si>
    <t>001-5502002</t>
  </si>
  <si>
    <t>001-5502003</t>
  </si>
  <si>
    <t>001-5502004</t>
  </si>
  <si>
    <t>001-5502005</t>
  </si>
  <si>
    <t>001-5502006</t>
  </si>
  <si>
    <t>001-5502007</t>
  </si>
  <si>
    <t>BIO SC</t>
  </si>
  <si>
    <t>001-5507</t>
  </si>
  <si>
    <t>001-5507001</t>
  </si>
  <si>
    <t>LS02-26</t>
  </si>
  <si>
    <t>desinfección </t>
  </si>
  <si>
    <t>001-5507002</t>
  </si>
  <si>
    <t>001-5508</t>
  </si>
  <si>
    <t>001-5508001</t>
  </si>
  <si>
    <t>cebo toxico</t>
  </si>
  <si>
    <t>001-5508002</t>
  </si>
  <si>
    <t>001-5508003</t>
  </si>
  <si>
    <t>001-5508004</t>
  </si>
  <si>
    <t>001-5509</t>
  </si>
  <si>
    <t>001-5509001</t>
  </si>
  <si>
    <t>001-5509002</t>
  </si>
  <si>
    <t>001-5537</t>
  </si>
  <si>
    <t>001-5537001</t>
  </si>
  <si>
    <t>001-5537002</t>
  </si>
  <si>
    <t>001-5537003</t>
  </si>
  <si>
    <t>001-5564</t>
  </si>
  <si>
    <t>001-5564001</t>
  </si>
  <si>
    <t>001-5564002</t>
  </si>
  <si>
    <t>001-5564003</t>
  </si>
  <si>
    <t>001-5614</t>
  </si>
  <si>
    <t>001-5614001</t>
  </si>
  <si>
    <t>SEMILLA SANDIA SANTA MATILDE F1 X 5000 SEM</t>
  </si>
  <si>
    <t>Luis Montero</t>
  </si>
  <si>
    <t>001-5615</t>
  </si>
  <si>
    <t>001-5615001</t>
  </si>
  <si>
    <t>001-5615002</t>
  </si>
  <si>
    <t>001-5616</t>
  </si>
  <si>
    <t>001-5616001</t>
  </si>
  <si>
    <t>Antony Huaman</t>
  </si>
  <si>
    <t>001-5616002</t>
  </si>
  <si>
    <t>SEMILLA SANDIA RIVER SIDE F1 X 5000 SEM</t>
  </si>
  <si>
    <t>001-5646</t>
  </si>
  <si>
    <t>001-5646001</t>
  </si>
  <si>
    <t>001-5646002</t>
  </si>
  <si>
    <t>001-5646003</t>
  </si>
  <si>
    <t>001-5680</t>
  </si>
  <si>
    <t>001-5680001</t>
  </si>
  <si>
    <t>LUIS BEASS</t>
  </si>
  <si>
    <t>001-5685</t>
  </si>
  <si>
    <t>001-5685001</t>
  </si>
  <si>
    <t>fumigación mochila manual</t>
  </si>
  <si>
    <t>001-5685002</t>
  </si>
  <si>
    <t>001-5685003</t>
  </si>
  <si>
    <t>001-5714</t>
  </si>
  <si>
    <t>ESTRACTO DE AJO</t>
  </si>
  <si>
    <t>001-5714001</t>
  </si>
  <si>
    <t>001-5714002</t>
  </si>
  <si>
    <t>001-5743</t>
  </si>
  <si>
    <t>001-5743001</t>
  </si>
  <si>
    <t>001-5743002</t>
  </si>
  <si>
    <t>001-5743003</t>
  </si>
  <si>
    <t>001-5760</t>
  </si>
  <si>
    <t>001-5760001</t>
  </si>
  <si>
    <t>001-5760002</t>
  </si>
  <si>
    <t>001-5760003</t>
  </si>
  <si>
    <t>001-5760004</t>
  </si>
  <si>
    <t>KIBO AMIN</t>
  </si>
  <si>
    <t>001-5770</t>
  </si>
  <si>
    <t>001-5770001</t>
  </si>
  <si>
    <t>WALDIR</t>
  </si>
  <si>
    <t>001-5770002</t>
  </si>
  <si>
    <t>001-5770003</t>
  </si>
  <si>
    <t>001-5771</t>
  </si>
  <si>
    <t>001-5771001</t>
  </si>
  <si>
    <t>ANTONY HUAMAN - LOTE 1</t>
  </si>
  <si>
    <t>001-5771002</t>
  </si>
  <si>
    <t>CLORURO DE POTASIO GR</t>
  </si>
  <si>
    <t>001-5772</t>
  </si>
  <si>
    <t>001-5772001</t>
  </si>
  <si>
    <t>001-5807</t>
  </si>
  <si>
    <t>001-5807001</t>
  </si>
  <si>
    <t>001-5807002</t>
  </si>
  <si>
    <t>001-5807003</t>
  </si>
  <si>
    <t>001-5807004</t>
  </si>
  <si>
    <t>001-5851</t>
  </si>
  <si>
    <t>001-5851001</t>
  </si>
  <si>
    <t>MOCHILA MANUAL</t>
  </si>
  <si>
    <t>001-5851002</t>
  </si>
  <si>
    <t>001-5851003</t>
  </si>
  <si>
    <t>001-5858</t>
  </si>
  <si>
    <t>001-5858001</t>
  </si>
  <si>
    <t>BIOCNPK POTASIO</t>
  </si>
  <si>
    <t>antony huaman chincha</t>
  </si>
  <si>
    <t>001-5879</t>
  </si>
  <si>
    <t>001-5879001</t>
  </si>
  <si>
    <t>001-5879002</t>
  </si>
  <si>
    <t>REGENT</t>
  </si>
  <si>
    <t>001-5879003</t>
  </si>
  <si>
    <t>001-5880</t>
  </si>
  <si>
    <t>001-5880001</t>
  </si>
  <si>
    <t>001-5880002</t>
  </si>
  <si>
    <t>001-5880003</t>
  </si>
  <si>
    <t>001-5905</t>
  </si>
  <si>
    <t>001-5905001</t>
  </si>
  <si>
    <t>001-5905002</t>
  </si>
  <si>
    <t>001-5905003</t>
  </si>
  <si>
    <t>BACILLUS THURINGIENSIS</t>
  </si>
  <si>
    <t>001-5905004</t>
  </si>
  <si>
    <t>BULLGEN</t>
  </si>
  <si>
    <t>001-5905005</t>
  </si>
  <si>
    <t>001-5905006</t>
  </si>
  <si>
    <t>001-5943</t>
  </si>
  <si>
    <t>001-5943001</t>
  </si>
  <si>
    <t>MOCHILA ELECTRICA</t>
  </si>
  <si>
    <t>001-5943002</t>
  </si>
  <si>
    <t>ETOXAZOLE</t>
  </si>
  <si>
    <t>001-5943003</t>
  </si>
  <si>
    <t>ACARISIL</t>
  </si>
  <si>
    <t>001-5943004</t>
  </si>
  <si>
    <t>001-5943005</t>
  </si>
  <si>
    <t>DECISIVO</t>
  </si>
  <si>
    <t>001-5943006</t>
  </si>
  <si>
    <t>BROTOMAX</t>
  </si>
  <si>
    <t>001-5957</t>
  </si>
  <si>
    <t>001-5957001</t>
  </si>
  <si>
    <t>001-5957002</t>
  </si>
  <si>
    <t>001-5957003</t>
  </si>
  <si>
    <t>001-5957004</t>
  </si>
  <si>
    <t>001-5957005</t>
  </si>
  <si>
    <t>BTX - FACTOR</t>
  </si>
  <si>
    <t>METALAXIL</t>
  </si>
  <si>
    <t>001-5957006</t>
  </si>
  <si>
    <t>FITOKLING</t>
  </si>
  <si>
    <t>001-5957007</t>
  </si>
  <si>
    <t>001-5957008</t>
  </si>
  <si>
    <t>GRASSKEL 50</t>
  </si>
  <si>
    <t>001-5962</t>
  </si>
  <si>
    <t>001-5962001</t>
  </si>
  <si>
    <t>adm</t>
  </si>
  <si>
    <t>Luis Beas</t>
  </si>
  <si>
    <t>001-5962002</t>
  </si>
  <si>
    <t>001-5963</t>
  </si>
  <si>
    <t>001-5963001</t>
  </si>
  <si>
    <t>Nelson Guillen</t>
  </si>
  <si>
    <t>001-5964</t>
  </si>
  <si>
    <t>001-5964001</t>
  </si>
  <si>
    <t>001-5964002</t>
  </si>
  <si>
    <t>001-5965</t>
  </si>
  <si>
    <t>001-5965001</t>
  </si>
  <si>
    <t>001-5965002</t>
  </si>
  <si>
    <t>001-5981</t>
  </si>
  <si>
    <t>001-5981001</t>
  </si>
  <si>
    <t>KELP WAY PH</t>
  </si>
  <si>
    <t>001-5981002</t>
  </si>
  <si>
    <t>EMAMECTIN BENZOATO</t>
  </si>
  <si>
    <t>001-5981003</t>
  </si>
  <si>
    <t>001-5981004</t>
  </si>
  <si>
    <t>001-5981005</t>
  </si>
  <si>
    <t>001-5981006</t>
  </si>
  <si>
    <t>001-5998</t>
  </si>
  <si>
    <t>001-5998001</t>
  </si>
  <si>
    <t>001-5998002</t>
  </si>
  <si>
    <t>001-5998003</t>
  </si>
  <si>
    <t>THUNDER 350 SC</t>
  </si>
  <si>
    <t>001-5998004</t>
  </si>
  <si>
    <t>001-5998005</t>
  </si>
  <si>
    <t>001-5998006</t>
  </si>
  <si>
    <t>001-5998007</t>
  </si>
  <si>
    <t>001-5998008</t>
  </si>
  <si>
    <t>001-6002</t>
  </si>
  <si>
    <t>001-6002001</t>
  </si>
  <si>
    <t>001-6002002</t>
  </si>
  <si>
    <t>OXAMANTE</t>
  </si>
  <si>
    <t>001-6002003</t>
  </si>
  <si>
    <t>001-6002004</t>
  </si>
  <si>
    <t>001-6002005</t>
  </si>
  <si>
    <t>001-6002006</t>
  </si>
  <si>
    <t>001-6004</t>
  </si>
  <si>
    <t>001-6004001</t>
  </si>
  <si>
    <t>motoR</t>
  </si>
  <si>
    <t>001-6004002</t>
  </si>
  <si>
    <t>001-6004003</t>
  </si>
  <si>
    <t>001-6004004</t>
  </si>
  <si>
    <t>001-6004005</t>
  </si>
  <si>
    <t>001-6004006</t>
  </si>
  <si>
    <t>001-6004007</t>
  </si>
  <si>
    <t>001-6008</t>
  </si>
  <si>
    <t>001-6008001</t>
  </si>
  <si>
    <t>001-6008002</t>
  </si>
  <si>
    <t>001-6008003</t>
  </si>
  <si>
    <t>001-6008004</t>
  </si>
  <si>
    <t>001-6013</t>
  </si>
  <si>
    <t>001-6013001</t>
  </si>
  <si>
    <t>VIRUS POLIEDROSIS NUCLEAR</t>
  </si>
  <si>
    <t>001-6013002</t>
  </si>
  <si>
    <t>ENVIVO</t>
  </si>
  <si>
    <t>001-6013003</t>
  </si>
  <si>
    <t>Vertimec</t>
  </si>
  <si>
    <t>001-6013004</t>
  </si>
  <si>
    <t>lt</t>
  </si>
  <si>
    <t>001-6013005</t>
  </si>
  <si>
    <t>gusakill</t>
  </si>
  <si>
    <t>001-6013006</t>
  </si>
  <si>
    <t>PRIVATE SC</t>
  </si>
  <si>
    <t>001-6014</t>
  </si>
  <si>
    <t>001-6014001</t>
  </si>
  <si>
    <t>001-6014002</t>
  </si>
  <si>
    <t>001-6014003</t>
  </si>
  <si>
    <t>RESCATE PS</t>
  </si>
  <si>
    <t>001-6014004</t>
  </si>
  <si>
    <t>SPIRODICLOFEN + ABAMECTIN</t>
  </si>
  <si>
    <t>001-6014005</t>
  </si>
  <si>
    <t>Topador plus</t>
  </si>
  <si>
    <t>CLOTHIANIDIN + TOLFENPYRAD</t>
  </si>
  <si>
    <t>001-6014006</t>
  </si>
  <si>
    <t>Clofedyn</t>
  </si>
  <si>
    <t>001-6014007</t>
  </si>
  <si>
    <t>tracer</t>
  </si>
  <si>
    <t>ESTRACTO VEJETAL + ACIDO HUMICO</t>
  </si>
  <si>
    <t>001-6014008</t>
  </si>
  <si>
    <t>ELFER BIOSOIL</t>
  </si>
  <si>
    <t>001-6014009</t>
  </si>
  <si>
    <t>001-6015</t>
  </si>
  <si>
    <t>001-6015001</t>
  </si>
  <si>
    <t>001-6015002</t>
  </si>
  <si>
    <t>001-6015003</t>
  </si>
  <si>
    <t>001-6015004</t>
  </si>
  <si>
    <t>001-6015005</t>
  </si>
  <si>
    <t>deltaPLUS</t>
  </si>
  <si>
    <t>001-6015006</t>
  </si>
  <si>
    <t>nitrato de potasio perlado</t>
  </si>
  <si>
    <t>001-6022</t>
  </si>
  <si>
    <t>001-6022001</t>
  </si>
  <si>
    <t>001-6024</t>
  </si>
  <si>
    <t>001-6024001</t>
  </si>
  <si>
    <t>LUFENURON</t>
  </si>
  <si>
    <t>001-6024002</t>
  </si>
  <si>
    <t>MAGISTRAL 50EC</t>
  </si>
  <si>
    <t>001-6024003</t>
  </si>
  <si>
    <t>POTASIO + BORO + MOLIBDENO</t>
  </si>
  <si>
    <t>001-6024004</t>
  </si>
  <si>
    <t>MOBOR K</t>
  </si>
  <si>
    <t>001-6024005</t>
  </si>
  <si>
    <t>001-6024006</t>
  </si>
  <si>
    <t>GENUINO</t>
  </si>
  <si>
    <t>001-6025</t>
  </si>
  <si>
    <t>001-6025001</t>
  </si>
  <si>
    <t>001-6025002</t>
  </si>
  <si>
    <t>001-6025003</t>
  </si>
  <si>
    <t>001-6025004</t>
  </si>
  <si>
    <t>001-6025005</t>
  </si>
  <si>
    <t>001-6025006</t>
  </si>
  <si>
    <t>001-6025007</t>
  </si>
  <si>
    <t>AMEN</t>
  </si>
  <si>
    <t>001-6027</t>
  </si>
  <si>
    <t>001-6027001</t>
  </si>
  <si>
    <t>INYECCION</t>
  </si>
  <si>
    <t>001-6027002</t>
  </si>
  <si>
    <t>001-6027003</t>
  </si>
  <si>
    <t>001-6029</t>
  </si>
  <si>
    <t>001-6029001</t>
  </si>
  <si>
    <t>001-6029002</t>
  </si>
  <si>
    <t>001-6029003</t>
  </si>
  <si>
    <t>001-6029004</t>
  </si>
  <si>
    <t>nitrato de potasio PErlado</t>
  </si>
  <si>
    <t>ACEITE AGRICOLA</t>
  </si>
  <si>
    <t>001-6029005</t>
  </si>
  <si>
    <t>BIOIL-S </t>
  </si>
  <si>
    <t>001-6029006</t>
  </si>
  <si>
    <t>LAMBFAST</t>
  </si>
  <si>
    <t>001-6030</t>
  </si>
  <si>
    <t>001-6030001</t>
  </si>
  <si>
    <t>001-6030002</t>
  </si>
  <si>
    <t>001-6030003</t>
  </si>
  <si>
    <t>001-6030004</t>
  </si>
  <si>
    <t>001-6030005</t>
  </si>
  <si>
    <t>001-6031</t>
  </si>
  <si>
    <t>001-6031001</t>
  </si>
  <si>
    <t>,MOCHILA MANUAL</t>
  </si>
  <si>
    <t>001-6031002</t>
  </si>
  <si>
    <t>001-6031003</t>
  </si>
  <si>
    <t>001-6031004</t>
  </si>
  <si>
    <t>001-6031005</t>
  </si>
  <si>
    <t>001-6034</t>
  </si>
  <si>
    <t>001-6034001</t>
  </si>
  <si>
    <t>,MOCHILA ELECTRICA</t>
  </si>
  <si>
    <t>001-6034002</t>
  </si>
  <si>
    <t>001-6034003</t>
  </si>
  <si>
    <t>001-6034004</t>
  </si>
  <si>
    <t>001-6034005</t>
  </si>
  <si>
    <t>001-6035</t>
  </si>
  <si>
    <t>001-6035001</t>
  </si>
  <si>
    <t>001-6035002</t>
  </si>
  <si>
    <t>001-6035003</t>
  </si>
  <si>
    <t>ENRAIZANTE</t>
  </si>
  <si>
    <t>001-6035004</t>
  </si>
  <si>
    <t>RADICROPS</t>
  </si>
  <si>
    <t>001-6035005</t>
  </si>
  <si>
    <t>ECKLONIA MAXIMA</t>
  </si>
  <si>
    <t>001-6035006</t>
  </si>
  <si>
    <t>ECKLONNOVA</t>
  </si>
  <si>
    <t>001-6035007</t>
  </si>
  <si>
    <t>001-6035008</t>
  </si>
  <si>
    <t>001-6036</t>
  </si>
  <si>
    <t>001-6036001</t>
  </si>
  <si>
    <t>001-6036002</t>
  </si>
  <si>
    <t>001-6036003</t>
  </si>
  <si>
    <t>001-6036004</t>
  </si>
  <si>
    <t>001-6036005</t>
  </si>
  <si>
    <t>001-6041</t>
  </si>
  <si>
    <t>001-6041001</t>
  </si>
  <si>
    <t>YESO AGRICOLA</t>
  </si>
  <si>
    <t>001-6042</t>
  </si>
  <si>
    <t>001-6042001</t>
  </si>
  <si>
    <t>001-6042002</t>
  </si>
  <si>
    <t>001-6042003</t>
  </si>
  <si>
    <t>STRIKE 5%</t>
  </si>
  <si>
    <t>001-6042004</t>
  </si>
  <si>
    <t>001-6042005</t>
  </si>
  <si>
    <t>001-6042006</t>
  </si>
  <si>
    <t>PROCHLORAZ</t>
  </si>
  <si>
    <t>001-6042007</t>
  </si>
  <si>
    <t>SPORTAK 45CE</t>
  </si>
  <si>
    <t>001-6043</t>
  </si>
  <si>
    <t>001-6043001</t>
  </si>
  <si>
    <t>001-6043002</t>
  </si>
  <si>
    <t>001-6043003</t>
  </si>
  <si>
    <t>001-6043004</t>
  </si>
  <si>
    <t>001-6043005</t>
  </si>
  <si>
    <t>001-6043006</t>
  </si>
  <si>
    <t>001-6043007</t>
  </si>
  <si>
    <t>001-6043008</t>
  </si>
  <si>
    <t>001-6044</t>
  </si>
  <si>
    <t>30/12/1899</t>
  </si>
  <si>
    <t>001-6044001</t>
  </si>
  <si>
    <t>001-6044002</t>
  </si>
  <si>
    <t>001-6044003</t>
  </si>
  <si>
    <t>001-6044004</t>
  </si>
  <si>
    <t>001-6044005</t>
  </si>
  <si>
    <t>001-6044006</t>
  </si>
  <si>
    <t>001-6044007</t>
  </si>
  <si>
    <t>001-6044008</t>
  </si>
  <si>
    <t>001-6045</t>
  </si>
  <si>
    <t>001-6045001</t>
  </si>
  <si>
    <t>001-6045002</t>
  </si>
  <si>
    <t>NP 1-15</t>
  </si>
  <si>
    <t>001-6045003</t>
  </si>
  <si>
    <t>INAREG</t>
  </si>
  <si>
    <t>001-6046</t>
  </si>
  <si>
    <t>001-6046001</t>
  </si>
  <si>
    <t>nitrato de calcio</t>
  </si>
  <si>
    <t>001-6046002</t>
  </si>
  <si>
    <t>001-6047</t>
  </si>
  <si>
    <t>001-6047001</t>
  </si>
  <si>
    <t>001-6047002</t>
  </si>
  <si>
    <t>001-6047003</t>
  </si>
  <si>
    <t>001-6047004</t>
  </si>
  <si>
    <t>Garlimex</t>
  </si>
  <si>
    <t>001-6048</t>
  </si>
  <si>
    <t>001-6048001</t>
  </si>
  <si>
    <t>OPROT KMAG</t>
  </si>
  <si>
    <t>N-P-K</t>
  </si>
  <si>
    <t>001-6048002</t>
  </si>
  <si>
    <t>NUTRIMIX-COMPLEX</t>
  </si>
  <si>
    <t>P-K</t>
  </si>
  <si>
    <t>001-6048003</t>
  </si>
  <si>
    <t>BIOFOSCA PLUS</t>
  </si>
  <si>
    <t>001-6049</t>
  </si>
  <si>
    <t>001-6049001</t>
  </si>
  <si>
    <t>001-6049002</t>
  </si>
  <si>
    <t>001-6049003</t>
  </si>
  <si>
    <t>001-6050</t>
  </si>
  <si>
    <t>001-6050001</t>
  </si>
  <si>
    <t>Mochila electrica</t>
  </si>
  <si>
    <t>001-6050002</t>
  </si>
  <si>
    <t>001-6050003</t>
  </si>
  <si>
    <t>001-6050004</t>
  </si>
  <si>
    <t>001-6050005</t>
  </si>
  <si>
    <t>001-6051</t>
  </si>
  <si>
    <t>001-6051001</t>
  </si>
  <si>
    <t>001-6051002</t>
  </si>
  <si>
    <t>001-6052</t>
  </si>
  <si>
    <t>001-6052001</t>
  </si>
  <si>
    <t>001-6052002</t>
  </si>
  <si>
    <t>001-6052003</t>
  </si>
  <si>
    <t>001-6052004</t>
  </si>
  <si>
    <t>001-6052005</t>
  </si>
  <si>
    <t>001-6053</t>
  </si>
  <si>
    <t>001-6053001</t>
  </si>
  <si>
    <t>001-6053002</t>
  </si>
  <si>
    <t>001-6053003</t>
  </si>
  <si>
    <t>001-6053004</t>
  </si>
  <si>
    <t>001-6053005</t>
  </si>
  <si>
    <t>001-6054</t>
  </si>
  <si>
    <t>001-6054001</t>
  </si>
  <si>
    <t>MOChila electrica</t>
  </si>
  <si>
    <t>001-6054002</t>
  </si>
  <si>
    <t>001-6054003</t>
  </si>
  <si>
    <t>001-6054004</t>
  </si>
  <si>
    <t>001-6054005</t>
  </si>
  <si>
    <t>001-6055</t>
  </si>
  <si>
    <t>001-6055001</t>
  </si>
  <si>
    <t>001-6055002</t>
  </si>
  <si>
    <t>001-6055003</t>
  </si>
  <si>
    <t>001-6055004</t>
  </si>
  <si>
    <t>001-6055005</t>
  </si>
  <si>
    <t>001-6056</t>
  </si>
  <si>
    <t>001-6056001</t>
  </si>
  <si>
    <t>001-6056002</t>
  </si>
  <si>
    <t>LECHE </t>
  </si>
  <si>
    <t>001-6056003</t>
  </si>
  <si>
    <t>001-6056004</t>
  </si>
  <si>
    <t>001-6056005</t>
  </si>
  <si>
    <t>001-6056006</t>
  </si>
  <si>
    <t>001-6057</t>
  </si>
  <si>
    <t>001-6057001</t>
  </si>
  <si>
    <t>001-6057002</t>
  </si>
  <si>
    <t>001-6057003</t>
  </si>
  <si>
    <t>001-6057004</t>
  </si>
  <si>
    <t>001-6057005</t>
  </si>
  <si>
    <t>001-6057006</t>
  </si>
  <si>
    <t>001-6058</t>
  </si>
  <si>
    <t>001-6058001</t>
  </si>
  <si>
    <t>001-6058002</t>
  </si>
  <si>
    <t>001-6058003</t>
  </si>
  <si>
    <t>001-6058004</t>
  </si>
  <si>
    <t>001-6058005</t>
  </si>
  <si>
    <t>001-6058006</t>
  </si>
  <si>
    <t>001-6059</t>
  </si>
  <si>
    <t>001-6059001</t>
  </si>
  <si>
    <t>mochila electrica</t>
  </si>
  <si>
    <t>001-6059002</t>
  </si>
  <si>
    <t>001-6059003</t>
  </si>
  <si>
    <t>001-6059004</t>
  </si>
  <si>
    <t>001-6059005</t>
  </si>
  <si>
    <t>001-6060</t>
  </si>
  <si>
    <t>001-6060001</t>
  </si>
  <si>
    <t>001-6060002</t>
  </si>
  <si>
    <t>001-6060003</t>
  </si>
  <si>
    <t>001-6060004</t>
  </si>
  <si>
    <t>001-6060005</t>
  </si>
  <si>
    <t>001-6060006</t>
  </si>
  <si>
    <t>001-6061</t>
  </si>
  <si>
    <t>001-6061001</t>
  </si>
  <si>
    <t>001-6061002</t>
  </si>
  <si>
    <t>001-6061003</t>
  </si>
  <si>
    <t>001-6061004</t>
  </si>
  <si>
    <t>001-6062</t>
  </si>
  <si>
    <t>001-6062001</t>
  </si>
  <si>
    <t>kelP WAY PH</t>
  </si>
  <si>
    <t>001-6062002</t>
  </si>
  <si>
    <t>001-6062003</t>
  </si>
  <si>
    <t>001-6062004</t>
  </si>
  <si>
    <t>001-6062005</t>
  </si>
  <si>
    <t>001-6063</t>
  </si>
  <si>
    <t>001-6063001</t>
  </si>
  <si>
    <t>001-6063002</t>
  </si>
  <si>
    <t>001-6063003</t>
  </si>
  <si>
    <t>001-6063004</t>
  </si>
  <si>
    <t>001-6063005</t>
  </si>
  <si>
    <t>001-6064</t>
  </si>
  <si>
    <t>001-6064001</t>
  </si>
  <si>
    <t>001-6064002</t>
  </si>
  <si>
    <t>001-6064003</t>
  </si>
  <si>
    <t>001-6065</t>
  </si>
  <si>
    <t>COMBUSTIBLE</t>
  </si>
  <si>
    <t>001-6065001</t>
  </si>
  <si>
    <t>PETROLEO</t>
  </si>
  <si>
    <t>001-6066</t>
  </si>
  <si>
    <t>001-6066001</t>
  </si>
  <si>
    <t>001-6067</t>
  </si>
  <si>
    <t>001-6067001</t>
  </si>
  <si>
    <t>001-6068</t>
  </si>
  <si>
    <t>001-6068001</t>
  </si>
  <si>
    <t>001-6069</t>
  </si>
  <si>
    <t>001-6069001</t>
  </si>
  <si>
    <t>001-6070</t>
  </si>
  <si>
    <t>001-6070001</t>
  </si>
  <si>
    <t>001-6071</t>
  </si>
  <si>
    <t>001-6071001</t>
  </si>
  <si>
    <t>001-6072</t>
  </si>
  <si>
    <t>001-6072001</t>
  </si>
  <si>
    <t>001-6073</t>
  </si>
  <si>
    <t>001-6073001</t>
  </si>
  <si>
    <t>001-6074</t>
  </si>
  <si>
    <t>001-6074001</t>
  </si>
  <si>
    <t>001-6075</t>
  </si>
  <si>
    <t>001-6075001</t>
  </si>
  <si>
    <t>001-6076</t>
  </si>
  <si>
    <t>001-6076001</t>
  </si>
  <si>
    <t>001-6077</t>
  </si>
  <si>
    <t>001-6077001</t>
  </si>
  <si>
    <t>001-6078</t>
  </si>
  <si>
    <t>001-6078001</t>
  </si>
  <si>
    <t>001-6079</t>
  </si>
  <si>
    <t>001-6079001</t>
  </si>
  <si>
    <t>001-6080</t>
  </si>
  <si>
    <t>001-6080001</t>
  </si>
  <si>
    <t>001-6084</t>
  </si>
  <si>
    <t>001-6084001</t>
  </si>
  <si>
    <t>001-6084002</t>
  </si>
  <si>
    <t>001-6085</t>
  </si>
  <si>
    <t>001-6085001</t>
  </si>
  <si>
    <t>001-6085002</t>
  </si>
  <si>
    <t>001-6085003</t>
  </si>
  <si>
    <t>001-6085004</t>
  </si>
  <si>
    <t>001-6086</t>
  </si>
  <si>
    <t>001-6086001</t>
  </si>
  <si>
    <t>001-6086002</t>
  </si>
  <si>
    <t>001-6086003</t>
  </si>
  <si>
    <t>001-6086004</t>
  </si>
  <si>
    <t>001-6086005</t>
  </si>
  <si>
    <t>001-6088</t>
  </si>
  <si>
    <t>001-6088001</t>
  </si>
  <si>
    <t>001-6088002</t>
  </si>
  <si>
    <t>CYPERMETHRIN</t>
  </si>
  <si>
    <t>001-6088003</t>
  </si>
  <si>
    <t>CIPERMEX SUPER 10CE</t>
  </si>
  <si>
    <t>001-6088004</t>
  </si>
  <si>
    <t>001-6088005</t>
  </si>
  <si>
    <t>001-6088006</t>
  </si>
  <si>
    <t>001-6088007</t>
  </si>
  <si>
    <t>001-6089</t>
  </si>
  <si>
    <t>001-6089001</t>
  </si>
  <si>
    <t>001-6089002</t>
  </si>
  <si>
    <t>001-6089003</t>
  </si>
  <si>
    <t>001-6089004</t>
  </si>
  <si>
    <t>001-6089005</t>
  </si>
  <si>
    <t>001-6089006</t>
  </si>
  <si>
    <t>001-6089007</t>
  </si>
  <si>
    <t>001-6089008</t>
  </si>
  <si>
    <t>001-6090</t>
  </si>
  <si>
    <t>001-6090001</t>
  </si>
  <si>
    <t>001-6090002</t>
  </si>
  <si>
    <t>001-6090003</t>
  </si>
  <si>
    <t>001-6095</t>
  </si>
  <si>
    <t>001-6095001</t>
  </si>
  <si>
    <t>001-6095002</t>
  </si>
  <si>
    <t>001-6095003</t>
  </si>
  <si>
    <t>AMIPRID 20SP</t>
  </si>
  <si>
    <t>001-6095004</t>
  </si>
  <si>
    <t>001-6095005</t>
  </si>
  <si>
    <t>001-6095006</t>
  </si>
  <si>
    <t>001-6095007</t>
  </si>
  <si>
    <t>001-6095008</t>
  </si>
  <si>
    <t>001-6096</t>
  </si>
  <si>
    <t>001-6096001</t>
  </si>
  <si>
    <t>Motor</t>
  </si>
  <si>
    <t>001-6096002</t>
  </si>
  <si>
    <t>001-6096003</t>
  </si>
  <si>
    <t>001-6096004</t>
  </si>
  <si>
    <t>001-6096005</t>
  </si>
  <si>
    <t>001-6096006</t>
  </si>
  <si>
    <t>001-6096007</t>
  </si>
  <si>
    <t>001-6096008</t>
  </si>
  <si>
    <t>001-6096009</t>
  </si>
  <si>
    <t>001-6097</t>
  </si>
  <si>
    <t>001-6097001</t>
  </si>
  <si>
    <t>001-6097002</t>
  </si>
  <si>
    <t>001-6097003</t>
  </si>
  <si>
    <t>001-6097004</t>
  </si>
  <si>
    <t>001-6097005</t>
  </si>
  <si>
    <t>001-6097007</t>
  </si>
  <si>
    <t>001-6097008</t>
  </si>
  <si>
    <t>001-6099</t>
  </si>
  <si>
    <t>001-6099001</t>
  </si>
  <si>
    <t>GENTAMICINA</t>
  </si>
  <si>
    <t>001-6099002</t>
  </si>
  <si>
    <t>agry-gent plus</t>
  </si>
  <si>
    <t>001-6099003</t>
  </si>
  <si>
    <t>001-6099004</t>
  </si>
  <si>
    <t>001-6099005</t>
  </si>
  <si>
    <t>001-6099006</t>
  </si>
  <si>
    <t>001-6099007</t>
  </si>
  <si>
    <t>001-6101</t>
  </si>
  <si>
    <t>001-6101001</t>
  </si>
  <si>
    <t>001-6101002</t>
  </si>
  <si>
    <t>001-6101003</t>
  </si>
  <si>
    <t>001-6101004</t>
  </si>
  <si>
    <t>001-6101005</t>
  </si>
  <si>
    <t>001-6101006</t>
  </si>
  <si>
    <t>001-6101007</t>
  </si>
  <si>
    <t>001-6101008</t>
  </si>
  <si>
    <t>001-6102</t>
  </si>
  <si>
    <t>001-6102001</t>
  </si>
  <si>
    <t>001-6102002</t>
  </si>
  <si>
    <t>001-6102003</t>
  </si>
  <si>
    <t>001-6102004</t>
  </si>
  <si>
    <t>001-6102005</t>
  </si>
  <si>
    <t>001-6103</t>
  </si>
  <si>
    <t>001-6103001</t>
  </si>
  <si>
    <t>001-6103002</t>
  </si>
  <si>
    <t>001-6103003</t>
  </si>
  <si>
    <t>001-6103004</t>
  </si>
  <si>
    <t>sulfatO DE POTASIO SOLUBLE</t>
  </si>
  <si>
    <t>001-6103005</t>
  </si>
  <si>
    <t>001-6104</t>
  </si>
  <si>
    <t>001-6104001</t>
  </si>
  <si>
    <t>001-6104002</t>
  </si>
  <si>
    <t>001-6104003</t>
  </si>
  <si>
    <t>001-6104004</t>
  </si>
  <si>
    <t>001-6104005</t>
  </si>
  <si>
    <t>001-6104006</t>
  </si>
  <si>
    <t>001-6104007</t>
  </si>
  <si>
    <t>001-6104008</t>
  </si>
  <si>
    <t>001-6104009</t>
  </si>
  <si>
    <t>001-6105</t>
  </si>
  <si>
    <t>001-6105001</t>
  </si>
  <si>
    <t>001-6105002</t>
  </si>
  <si>
    <t>001-6105003</t>
  </si>
  <si>
    <t>001-6105004</t>
  </si>
  <si>
    <t>001-6105005</t>
  </si>
  <si>
    <t>001-6105006</t>
  </si>
  <si>
    <t>001-6105007</t>
  </si>
  <si>
    <t>001-6105008</t>
  </si>
  <si>
    <t>001-6105009</t>
  </si>
  <si>
    <t>001-6105010</t>
  </si>
  <si>
    <t>001-6106</t>
  </si>
  <si>
    <t>001-6106001</t>
  </si>
  <si>
    <t>001-6106002</t>
  </si>
  <si>
    <t>001-6107</t>
  </si>
  <si>
    <t>001-6107001</t>
  </si>
  <si>
    <t>001-6107002</t>
  </si>
  <si>
    <t>001-6107003</t>
  </si>
  <si>
    <t>001-6107004</t>
  </si>
  <si>
    <t>001-6107005</t>
  </si>
  <si>
    <t>001-6107006</t>
  </si>
  <si>
    <t>001-6108</t>
  </si>
  <si>
    <t>001-6108001</t>
  </si>
  <si>
    <t>001-6108002</t>
  </si>
  <si>
    <t>001-6108003</t>
  </si>
  <si>
    <t>001-6108004</t>
  </si>
  <si>
    <t>001-6109</t>
  </si>
  <si>
    <t>001-6109001</t>
  </si>
  <si>
    <t>001-6109002</t>
  </si>
  <si>
    <t>001-6109003</t>
  </si>
  <si>
    <t>PERIMAX</t>
  </si>
  <si>
    <t>001-6110</t>
  </si>
  <si>
    <t>001-6110001</t>
  </si>
  <si>
    <t>001-6110002</t>
  </si>
  <si>
    <t>001-6110003</t>
  </si>
  <si>
    <t>001-6110004</t>
  </si>
  <si>
    <t>001-6110005</t>
  </si>
  <si>
    <t>001-6111</t>
  </si>
  <si>
    <t>001-6111001</t>
  </si>
  <si>
    <t>001-6111002</t>
  </si>
  <si>
    <t>001-6111003</t>
  </si>
  <si>
    <t>001-6111004</t>
  </si>
  <si>
    <t>001-6111005</t>
  </si>
  <si>
    <t>001-6111006</t>
  </si>
  <si>
    <t>001-6112</t>
  </si>
  <si>
    <t>001-6112001</t>
  </si>
  <si>
    <t>001-6112002</t>
  </si>
  <si>
    <t>fosfatO MONOAMONICO</t>
  </si>
  <si>
    <t>001-6112003</t>
  </si>
  <si>
    <t>sulfato de zinc</t>
  </si>
  <si>
    <t>001-6112004</t>
  </si>
  <si>
    <t>001-6112005</t>
  </si>
  <si>
    <t>001-6113</t>
  </si>
  <si>
    <t>001-6113001</t>
  </si>
  <si>
    <t>001-6113002</t>
  </si>
  <si>
    <t>001-6114</t>
  </si>
  <si>
    <t>001-6114001</t>
  </si>
  <si>
    <t>001-6114002</t>
  </si>
  <si>
    <t>001-6114003</t>
  </si>
  <si>
    <t>001-6115</t>
  </si>
  <si>
    <t>001-6115001</t>
  </si>
  <si>
    <t>Drech</t>
  </si>
  <si>
    <t>001-6115002</t>
  </si>
  <si>
    <t>001-6115003</t>
  </si>
  <si>
    <t>001-6115004</t>
  </si>
  <si>
    <t>001-6115005</t>
  </si>
  <si>
    <t>001-6116</t>
  </si>
  <si>
    <t>001-6116001</t>
  </si>
  <si>
    <t>001-6116002</t>
  </si>
  <si>
    <t>001-6116003</t>
  </si>
  <si>
    <t>001-6116004</t>
  </si>
  <si>
    <t>001-6116005</t>
  </si>
  <si>
    <t>001-6116006</t>
  </si>
  <si>
    <t>001-6117</t>
  </si>
  <si>
    <t>001-6117001</t>
  </si>
  <si>
    <t>001-6117002</t>
  </si>
  <si>
    <t>001-6117003</t>
  </si>
  <si>
    <t>001-6117004</t>
  </si>
  <si>
    <t>ACIDO NGIBERELICO</t>
  </si>
  <si>
    <t>001-6117005</t>
  </si>
  <si>
    <t>MAXIGIB</t>
  </si>
  <si>
    <t>UN</t>
  </si>
  <si>
    <t>FLUOPYRAM</t>
  </si>
  <si>
    <t>001-6117006</t>
  </si>
  <si>
    <t>VERANGO PRIME</t>
  </si>
  <si>
    <t>001-6118</t>
  </si>
  <si>
    <t>001-6118001</t>
  </si>
  <si>
    <t>001-6118002</t>
  </si>
  <si>
    <t>001-6118003</t>
  </si>
  <si>
    <t>001-6118004</t>
  </si>
  <si>
    <t>001-6118005</t>
  </si>
  <si>
    <t>001-6118006</t>
  </si>
  <si>
    <t>001-6118007</t>
  </si>
  <si>
    <t>001-6119</t>
  </si>
  <si>
    <t>001-6119001</t>
  </si>
  <si>
    <t>001-6119002</t>
  </si>
  <si>
    <t>001-6119003</t>
  </si>
  <si>
    <t>001-6119004</t>
  </si>
  <si>
    <t>001-6119005</t>
  </si>
  <si>
    <t>001-6119006</t>
  </si>
  <si>
    <t>001-6119007</t>
  </si>
  <si>
    <t>001-6120</t>
  </si>
  <si>
    <t>001-6120001</t>
  </si>
  <si>
    <t>001-6120002</t>
  </si>
  <si>
    <t>001-6120004</t>
  </si>
  <si>
    <t>001-6121</t>
  </si>
  <si>
    <t>001-6121001</t>
  </si>
  <si>
    <t>001-6121002</t>
  </si>
  <si>
    <t>001-6121003</t>
  </si>
  <si>
    <t>001-6121004</t>
  </si>
  <si>
    <t>001-6121005</t>
  </si>
  <si>
    <t>001-6121006</t>
  </si>
  <si>
    <t>001-6121007</t>
  </si>
  <si>
    <t>001-6121008</t>
  </si>
  <si>
    <t>001-6121009</t>
  </si>
  <si>
    <t>FOSETIL ALUMINIO</t>
  </si>
  <si>
    <t>001-6121010</t>
  </si>
  <si>
    <t>ALIETTE</t>
  </si>
  <si>
    <t>001-6121011</t>
  </si>
  <si>
    <t>001-6121012</t>
  </si>
  <si>
    <t>001-6121013</t>
  </si>
  <si>
    <t>001-6122</t>
  </si>
  <si>
    <t>001-6122001</t>
  </si>
  <si>
    <t>SAL DICLORURO DE PARAQUAT</t>
  </si>
  <si>
    <t>001-6122002</t>
  </si>
  <si>
    <t>GRAMOXONE</t>
  </si>
  <si>
    <t>001-6123</t>
  </si>
  <si>
    <t>001-6123001</t>
  </si>
  <si>
    <t>001-6123002</t>
  </si>
  <si>
    <t>QUDAY RAIZ</t>
  </si>
  <si>
    <t>001-6123003</t>
  </si>
  <si>
    <t>001-6123004</t>
  </si>
  <si>
    <t>001-6123005</t>
  </si>
  <si>
    <t>001-6123006</t>
  </si>
  <si>
    <t>001-6123007</t>
  </si>
  <si>
    <t>001-6123008</t>
  </si>
  <si>
    <t>001-6123009</t>
  </si>
  <si>
    <t>001-6124</t>
  </si>
  <si>
    <t>001-6124001</t>
  </si>
  <si>
    <t>001-6124002</t>
  </si>
  <si>
    <t>001-6124003</t>
  </si>
  <si>
    <t>verzus</t>
  </si>
  <si>
    <t>001-6124004</t>
  </si>
  <si>
    <t>001-6124005</t>
  </si>
  <si>
    <t>001-6124006</t>
  </si>
  <si>
    <t>001-6124007</t>
  </si>
  <si>
    <t>001-6124008</t>
  </si>
  <si>
    <t>001-6125</t>
  </si>
  <si>
    <t>001-6125001</t>
  </si>
  <si>
    <t>001-6125002</t>
  </si>
  <si>
    <t>001-6125003</t>
  </si>
  <si>
    <t>001-6125004</t>
  </si>
  <si>
    <t>001-6125005</t>
  </si>
  <si>
    <t>001-6125006</t>
  </si>
  <si>
    <t>001-6125007</t>
  </si>
  <si>
    <t>001-6125008</t>
  </si>
  <si>
    <t>001-6125009</t>
  </si>
  <si>
    <t>001-6126</t>
  </si>
  <si>
    <t>001-6126001</t>
  </si>
  <si>
    <t>001-6126002</t>
  </si>
  <si>
    <t>001-6126003</t>
  </si>
  <si>
    <t>001-6126004</t>
  </si>
  <si>
    <t>001-6126005</t>
  </si>
  <si>
    <t>001-6126006</t>
  </si>
  <si>
    <t>001-6126007</t>
  </si>
  <si>
    <t>001-6127</t>
  </si>
  <si>
    <t>001-6127001</t>
  </si>
  <si>
    <t>001-6127002</t>
  </si>
  <si>
    <t>001-6127003</t>
  </si>
  <si>
    <t>001-6127004</t>
  </si>
  <si>
    <t>001-6127005</t>
  </si>
  <si>
    <t>001-6127006</t>
  </si>
  <si>
    <t>001-6127007</t>
  </si>
  <si>
    <t>001-6128</t>
  </si>
  <si>
    <t>001-6128001</t>
  </si>
  <si>
    <t>001-6128002</t>
  </si>
  <si>
    <t>001-6128003</t>
  </si>
  <si>
    <t>001-6128004</t>
  </si>
  <si>
    <t>001-6128005</t>
  </si>
  <si>
    <t>001-6128006</t>
  </si>
  <si>
    <t>001-6128007</t>
  </si>
  <si>
    <t>001-6129</t>
  </si>
  <si>
    <t>001-6129001</t>
  </si>
  <si>
    <t>001-6129002</t>
  </si>
  <si>
    <t>001-6129003</t>
  </si>
  <si>
    <t>001-6129004</t>
  </si>
  <si>
    <t>001-6129005</t>
  </si>
  <si>
    <t>001-6129006</t>
  </si>
  <si>
    <t>001-6129007</t>
  </si>
  <si>
    <t>001-6129008</t>
  </si>
  <si>
    <t>001-6130</t>
  </si>
  <si>
    <t>001-6130001</t>
  </si>
  <si>
    <t>001-6130002</t>
  </si>
  <si>
    <t>001-6130003</t>
  </si>
  <si>
    <t>001-6130004</t>
  </si>
  <si>
    <t>001-6130005</t>
  </si>
  <si>
    <t>leche de vaca</t>
  </si>
  <si>
    <t>001-6131</t>
  </si>
  <si>
    <t>001-6131001</t>
  </si>
  <si>
    <t>001-6131002</t>
  </si>
  <si>
    <t>001-6131003</t>
  </si>
  <si>
    <t>001-6131004</t>
  </si>
  <si>
    <t>001-6131005</t>
  </si>
  <si>
    <t>001-6132</t>
  </si>
  <si>
    <t>001-6132001</t>
  </si>
  <si>
    <t>001-6132002</t>
  </si>
  <si>
    <t>001-6132003</t>
  </si>
  <si>
    <t>GARlimex</t>
  </si>
  <si>
    <t>001-6132004</t>
  </si>
  <si>
    <t>001-6133</t>
  </si>
  <si>
    <t>001-6133001</t>
  </si>
  <si>
    <t>001-6133002</t>
  </si>
  <si>
    <t>001-6133003</t>
  </si>
  <si>
    <t>001-6134</t>
  </si>
  <si>
    <t>001-6134001</t>
  </si>
  <si>
    <t>001-6134002</t>
  </si>
  <si>
    <t>001-6134003</t>
  </si>
  <si>
    <t>001-6135</t>
  </si>
  <si>
    <t>001-6135001</t>
  </si>
  <si>
    <t>001-6136</t>
  </si>
  <si>
    <t>001-6136001</t>
  </si>
  <si>
    <t>HYMEXAZOL</t>
  </si>
  <si>
    <t>001-6136002</t>
  </si>
  <si>
    <t>001-6137</t>
  </si>
  <si>
    <t>001-6137001</t>
  </si>
  <si>
    <t>001-6137002</t>
  </si>
  <si>
    <t>001-6137003</t>
  </si>
  <si>
    <t>001-6137004</t>
  </si>
  <si>
    <t>001-6138</t>
  </si>
  <si>
    <t>001-6138001</t>
  </si>
  <si>
    <t>001-6138002</t>
  </si>
  <si>
    <t>001-6138003</t>
  </si>
  <si>
    <t>001-6138004</t>
  </si>
  <si>
    <t>001-6138005</t>
  </si>
  <si>
    <t>001-6138006</t>
  </si>
  <si>
    <t>001-6139</t>
  </si>
  <si>
    <t>001-6139001</t>
  </si>
  <si>
    <t>001-6139002</t>
  </si>
  <si>
    <t>001-6139003</t>
  </si>
  <si>
    <t>001-6139004</t>
  </si>
  <si>
    <t>001-6139005</t>
  </si>
  <si>
    <t>001-6140</t>
  </si>
  <si>
    <t>001-6140001</t>
  </si>
  <si>
    <t>001-6140002</t>
  </si>
  <si>
    <t>001-6140003</t>
  </si>
  <si>
    <t>001-6140004</t>
  </si>
  <si>
    <t>001-6140005</t>
  </si>
  <si>
    <t>001-6141</t>
  </si>
  <si>
    <t>001-6141001</t>
  </si>
  <si>
    <t>001-6141002</t>
  </si>
  <si>
    <t>round up</t>
  </si>
  <si>
    <t>001-6142</t>
  </si>
  <si>
    <t>001-6142001</t>
  </si>
  <si>
    <t>001-6142002</t>
  </si>
  <si>
    <t>001-6142003</t>
  </si>
  <si>
    <t>001-6143</t>
  </si>
  <si>
    <t>001-6143001</t>
  </si>
  <si>
    <t>001-6143002</t>
  </si>
  <si>
    <t>001-6143003</t>
  </si>
  <si>
    <t>001-6144</t>
  </si>
  <si>
    <t>001-6144001</t>
  </si>
  <si>
    <t>001-6144002</t>
  </si>
  <si>
    <t>001-6145</t>
  </si>
  <si>
    <t>001-6145001</t>
  </si>
  <si>
    <t>Tractor</t>
  </si>
  <si>
    <t>001-6145002</t>
  </si>
  <si>
    <t>001-6145003</t>
  </si>
  <si>
    <t>001-6145004</t>
  </si>
  <si>
    <t>001-6145005</t>
  </si>
  <si>
    <t>001-6146</t>
  </si>
  <si>
    <t>001-6146001</t>
  </si>
  <si>
    <t>001-6146002</t>
  </si>
  <si>
    <t>001-6146003</t>
  </si>
  <si>
    <t>001-6146004</t>
  </si>
  <si>
    <t>001-6146005</t>
  </si>
  <si>
    <t>001-6147</t>
  </si>
  <si>
    <t>001-6147001</t>
  </si>
  <si>
    <t>POTASIO + CALCIO + MAGNESIO</t>
  </si>
  <si>
    <t>001-6147002</t>
  </si>
  <si>
    <t>poliswett</t>
  </si>
  <si>
    <t>001-6147003</t>
  </si>
  <si>
    <t>001-6147004</t>
  </si>
  <si>
    <t>001-6148</t>
  </si>
  <si>
    <t>001-6148001</t>
  </si>
  <si>
    <t>001-6148002</t>
  </si>
  <si>
    <t>001-6148003</t>
  </si>
  <si>
    <t>001-6149</t>
  </si>
  <si>
    <t>001-6149001</t>
  </si>
  <si>
    <t>001-6149002</t>
  </si>
  <si>
    <t>001-6149003</t>
  </si>
  <si>
    <t>001-6149004</t>
  </si>
  <si>
    <t>001-6150</t>
  </si>
  <si>
    <t>001-6150001</t>
  </si>
  <si>
    <t>001-6150002</t>
  </si>
  <si>
    <t>001-6150003</t>
  </si>
  <si>
    <t>001-6150004</t>
  </si>
  <si>
    <t>001-6150005</t>
  </si>
  <si>
    <t>001-6151</t>
  </si>
  <si>
    <t>001-6151001</t>
  </si>
  <si>
    <t>001-6151002</t>
  </si>
  <si>
    <t>001-6152</t>
  </si>
  <si>
    <t>001-6152001</t>
  </si>
  <si>
    <t>OPROT NUTRIMIX COMPLEX</t>
  </si>
  <si>
    <t>Manual</t>
  </si>
  <si>
    <t>001-6153</t>
  </si>
  <si>
    <t>001-6153001</t>
  </si>
  <si>
    <t>001-6153002</t>
  </si>
  <si>
    <t>001-6154</t>
  </si>
  <si>
    <t>001-6154001</t>
  </si>
  <si>
    <t>001-6154002</t>
  </si>
  <si>
    <t>Movento</t>
  </si>
  <si>
    <t>001-6154003</t>
  </si>
  <si>
    <t>001-6154004</t>
  </si>
  <si>
    <t>001-6154005</t>
  </si>
  <si>
    <t>001-6155</t>
  </si>
  <si>
    <t>001-6155001</t>
  </si>
  <si>
    <t>001-6155002</t>
  </si>
  <si>
    <t>001-6155003</t>
  </si>
  <si>
    <t>001-6155004</t>
  </si>
  <si>
    <t>001-6155005</t>
  </si>
  <si>
    <t>001-6155006</t>
  </si>
  <si>
    <t>001-6156</t>
  </si>
  <si>
    <t>001-6156001</t>
  </si>
  <si>
    <t>001-6156002</t>
  </si>
  <si>
    <t>001-6156003</t>
  </si>
  <si>
    <t>001-6156004</t>
  </si>
  <si>
    <t>001-6156005</t>
  </si>
  <si>
    <t>001-6157</t>
  </si>
  <si>
    <t>001-6157001</t>
  </si>
  <si>
    <t>001-6157002</t>
  </si>
  <si>
    <t>001-6157003</t>
  </si>
  <si>
    <t>001-6157004</t>
  </si>
  <si>
    <t>001-6157005</t>
  </si>
  <si>
    <t>001-6158</t>
  </si>
  <si>
    <t>001-6158001</t>
  </si>
  <si>
    <t>001-6158002</t>
  </si>
  <si>
    <t>001-6158003</t>
  </si>
  <si>
    <t>001-6158004</t>
  </si>
  <si>
    <t>001-6158005</t>
  </si>
  <si>
    <t>001-6159</t>
  </si>
  <si>
    <t>001-6159001</t>
  </si>
  <si>
    <t>001-6159002</t>
  </si>
  <si>
    <t>001-6159003</t>
  </si>
  <si>
    <t>001-6159004</t>
  </si>
  <si>
    <t>001-6160</t>
  </si>
  <si>
    <t>001-6160001</t>
  </si>
  <si>
    <t>001-6161</t>
  </si>
  <si>
    <t>001-6161001</t>
  </si>
  <si>
    <t>001-6161002</t>
  </si>
  <si>
    <t>001-6161003</t>
  </si>
  <si>
    <t>001-6161004</t>
  </si>
  <si>
    <t>001-6161005</t>
  </si>
  <si>
    <t>001-6161006</t>
  </si>
  <si>
    <t>001-6162</t>
  </si>
  <si>
    <t>001-6162001</t>
  </si>
  <si>
    <t>001-6163</t>
  </si>
  <si>
    <t>001-6163001</t>
  </si>
  <si>
    <t>001-6164</t>
  </si>
  <si>
    <t>001-6164001</t>
  </si>
  <si>
    <t>001-6165</t>
  </si>
  <si>
    <t>001-6165001</t>
  </si>
  <si>
    <t>LC24-26</t>
  </si>
  <si>
    <t>001-6165002</t>
  </si>
  <si>
    <t>001-6166</t>
  </si>
  <si>
    <t>001-6166001</t>
  </si>
  <si>
    <t>001-6166002</t>
  </si>
  <si>
    <t>001-6166003</t>
  </si>
  <si>
    <t>001-6166004</t>
  </si>
  <si>
    <t>ISARIA FUMOSOROSEA</t>
  </si>
  <si>
    <t>001-6166005</t>
  </si>
  <si>
    <t>MATAMOSCA</t>
  </si>
  <si>
    <t>001-6166006</t>
  </si>
  <si>
    <t>001-6167</t>
  </si>
  <si>
    <t>001-6167001</t>
  </si>
  <si>
    <t>001-6167002</t>
  </si>
  <si>
    <t>001-6167003</t>
  </si>
  <si>
    <t>001-6167004</t>
  </si>
  <si>
    <t>001-6167005</t>
  </si>
  <si>
    <t>001-6167006</t>
  </si>
  <si>
    <t>amen</t>
  </si>
  <si>
    <t>001-6167007</t>
  </si>
  <si>
    <t>001-6167008</t>
  </si>
  <si>
    <t>001-6168</t>
  </si>
  <si>
    <t>001-6168001</t>
  </si>
  <si>
    <t>001-6168002</t>
  </si>
  <si>
    <t>001-6168003</t>
  </si>
  <si>
    <t>001-6168004</t>
  </si>
  <si>
    <t>001-6168005</t>
  </si>
  <si>
    <t>001-6168006</t>
  </si>
  <si>
    <t>001-6168007</t>
  </si>
  <si>
    <t>001-6169</t>
  </si>
  <si>
    <t>001-6169001</t>
  </si>
  <si>
    <t>001-6169002</t>
  </si>
  <si>
    <t>001-6169003</t>
  </si>
  <si>
    <t>001-6169004</t>
  </si>
  <si>
    <t>001-6169005</t>
  </si>
  <si>
    <t>001-6170</t>
  </si>
  <si>
    <t>001-6170001</t>
  </si>
  <si>
    <t>001-6170002</t>
  </si>
  <si>
    <t>001-6170003</t>
  </si>
  <si>
    <t>001-6170004</t>
  </si>
  <si>
    <t>001-6170005</t>
  </si>
  <si>
    <t>001-6171</t>
  </si>
  <si>
    <t>001-6171001</t>
  </si>
  <si>
    <t>001-6171002</t>
  </si>
  <si>
    <t>001-6171003</t>
  </si>
  <si>
    <t>001-6171004</t>
  </si>
  <si>
    <t>001-6171005</t>
  </si>
  <si>
    <t>001-6171006</t>
  </si>
  <si>
    <t>001-6171007</t>
  </si>
  <si>
    <t>001-6172</t>
  </si>
  <si>
    <t>001-6172001</t>
  </si>
  <si>
    <t>001-6172002</t>
  </si>
  <si>
    <t>001-6172003</t>
  </si>
  <si>
    <t>001-6173</t>
  </si>
  <si>
    <t>001-6173001</t>
  </si>
  <si>
    <t>001-6173002</t>
  </si>
  <si>
    <t>001-6173003</t>
  </si>
  <si>
    <t>001-6174</t>
  </si>
  <si>
    <t>001-6174001</t>
  </si>
  <si>
    <t>001-6174002</t>
  </si>
  <si>
    <t>001-6175</t>
  </si>
  <si>
    <t>001-6175001</t>
  </si>
  <si>
    <t>001-6175002</t>
  </si>
  <si>
    <t>deltaplus</t>
  </si>
  <si>
    <t>001-6176</t>
  </si>
  <si>
    <t>001-6176001</t>
  </si>
  <si>
    <t>001-6176002</t>
  </si>
  <si>
    <t>001-6176003</t>
  </si>
  <si>
    <t>001-6176004</t>
  </si>
  <si>
    <t>001-6176005</t>
  </si>
  <si>
    <t>001-6176006</t>
  </si>
  <si>
    <t>001-6177</t>
  </si>
  <si>
    <t>001-6177001</t>
  </si>
  <si>
    <t>001-6177002</t>
  </si>
  <si>
    <t>001-6177003</t>
  </si>
  <si>
    <t>001-6177004</t>
  </si>
  <si>
    <t>001-6177005</t>
  </si>
  <si>
    <t>001-6177006</t>
  </si>
  <si>
    <t>001-6178</t>
  </si>
  <si>
    <t>001-6178001</t>
  </si>
  <si>
    <t>drech</t>
  </si>
  <si>
    <t>001-6178002</t>
  </si>
  <si>
    <t>001-6178003</t>
  </si>
  <si>
    <t>001-6179</t>
  </si>
  <si>
    <t>001-6179001</t>
  </si>
  <si>
    <t>001-6179002</t>
  </si>
  <si>
    <t>001-6179003</t>
  </si>
  <si>
    <t>001-6179004</t>
  </si>
  <si>
    <t>001-6179005</t>
  </si>
  <si>
    <t>001-6179006</t>
  </si>
  <si>
    <t>001-6179007</t>
  </si>
  <si>
    <t>001-6180</t>
  </si>
  <si>
    <t>001-6180001</t>
  </si>
  <si>
    <t>001-6180002</t>
  </si>
  <si>
    <t>001-6181</t>
  </si>
  <si>
    <t>001-6181001</t>
  </si>
  <si>
    <t>001-6181002</t>
  </si>
  <si>
    <t>001-6181003</t>
  </si>
  <si>
    <t>001-6181004</t>
  </si>
  <si>
    <t>001-6181005</t>
  </si>
  <si>
    <t>001-6181006</t>
  </si>
  <si>
    <t>001-6181007</t>
  </si>
  <si>
    <t>001-6183</t>
  </si>
  <si>
    <t>001-6183001</t>
  </si>
  <si>
    <t>001-6184</t>
  </si>
  <si>
    <t>001-6184001</t>
  </si>
  <si>
    <t>001-6184002</t>
  </si>
  <si>
    <t>001-6185</t>
  </si>
  <si>
    <t>001-6185001</t>
  </si>
  <si>
    <t>001-6185002</t>
  </si>
  <si>
    <t>001-6185003</t>
  </si>
  <si>
    <t>001-6186</t>
  </si>
  <si>
    <t>001-6186001</t>
  </si>
  <si>
    <t>001-6186002</t>
  </si>
  <si>
    <t>001-6186003</t>
  </si>
  <si>
    <t>001-6187</t>
  </si>
  <si>
    <t>001-6187001</t>
  </si>
  <si>
    <t>001-6187002</t>
  </si>
  <si>
    <t>001-6188</t>
  </si>
  <si>
    <t>001-6188001</t>
  </si>
  <si>
    <t>001-6188002</t>
  </si>
  <si>
    <t>001-6188003</t>
  </si>
  <si>
    <t>001-6189</t>
  </si>
  <si>
    <t>001-6189001</t>
  </si>
  <si>
    <t>001-6189002</t>
  </si>
  <si>
    <t>001-6190</t>
  </si>
  <si>
    <t>001-6190001</t>
  </si>
  <si>
    <t>001-6190002</t>
  </si>
  <si>
    <t>001-6190003</t>
  </si>
  <si>
    <t>001-6190004</t>
  </si>
  <si>
    <t>001-6190005</t>
  </si>
  <si>
    <t>001-6190006</t>
  </si>
  <si>
    <t>001-6191</t>
  </si>
  <si>
    <t>001-6191001</t>
  </si>
  <si>
    <t>001-6191002</t>
  </si>
  <si>
    <t>001-6191003</t>
  </si>
  <si>
    <t>001-6191004</t>
  </si>
  <si>
    <t>001-6191005</t>
  </si>
  <si>
    <t>001-6191006</t>
  </si>
  <si>
    <t>001-6191007</t>
  </si>
  <si>
    <t>001-6192</t>
  </si>
  <si>
    <t>001-6192001</t>
  </si>
  <si>
    <t>001-6193</t>
  </si>
  <si>
    <t>001-6193002</t>
  </si>
  <si>
    <t>001-6194</t>
  </si>
  <si>
    <t>001-6194001</t>
  </si>
  <si>
    <t>001-6194002</t>
  </si>
  <si>
    <t>001-6194003</t>
  </si>
  <si>
    <t>001-6194004</t>
  </si>
  <si>
    <t>001-6194005</t>
  </si>
  <si>
    <t>001-6194006</t>
  </si>
  <si>
    <t>001-6194007</t>
  </si>
  <si>
    <t>001-6194008</t>
  </si>
  <si>
    <t>001-6194009</t>
  </si>
  <si>
    <t>001-6195</t>
  </si>
  <si>
    <t>001-6195001</t>
  </si>
  <si>
    <t>001-6195002</t>
  </si>
  <si>
    <t>001-6195003</t>
  </si>
  <si>
    <t>001-6195004</t>
  </si>
  <si>
    <t>001-6195005</t>
  </si>
  <si>
    <t>SEM</t>
  </si>
  <si>
    <t>AÑO</t>
  </si>
  <si>
    <t>fecha</t>
  </si>
  <si>
    <t>LOTE</t>
  </si>
  <si>
    <t>SUB LABOR</t>
  </si>
  <si>
    <t>Categoría</t>
  </si>
  <si>
    <t>P103</t>
  </si>
  <si>
    <t>Planilla</t>
  </si>
  <si>
    <t>S/.81.58</t>
  </si>
  <si>
    <t>SULCA AROTINCO PEDRO PABLO</t>
  </si>
  <si>
    <t>4horas</t>
  </si>
  <si>
    <t>Pablo</t>
  </si>
  <si>
    <t>S/.10.73</t>
  </si>
  <si>
    <t>P602</t>
  </si>
  <si>
    <t>Eventual</t>
  </si>
  <si>
    <t>JANAMPA QUISPE CESAR</t>
  </si>
  <si>
    <t>S/.18.95</t>
  </si>
  <si>
    <t>QUISPE JANAMPA LUIS ALBERTO</t>
  </si>
  <si>
    <t>6horas</t>
  </si>
  <si>
    <t>S/.16.10</t>
  </si>
  <si>
    <t>P603</t>
  </si>
  <si>
    <t>2,5hora</t>
  </si>
  <si>
    <t>S/.5.92</t>
  </si>
  <si>
    <t>se le dio como contrato el riego en la noche</t>
  </si>
  <si>
    <t>S/.26.32</t>
  </si>
  <si>
    <t>5hora</t>
  </si>
  <si>
    <t>S/.13.42</t>
  </si>
  <si>
    <t>3hora</t>
  </si>
  <si>
    <t>S/.8.05</t>
  </si>
  <si>
    <t>P601</t>
  </si>
  <si>
    <t>ISO un adicinal </t>
  </si>
  <si>
    <t>S/.2.63</t>
  </si>
  <si>
    <t>S/.71.86</t>
  </si>
  <si>
    <t>BELLEZA VEGA MARINO</t>
  </si>
  <si>
    <t>S/.7.09</t>
  </si>
  <si>
    <t>6hora</t>
  </si>
  <si>
    <t>S/.14.47</t>
  </si>
  <si>
    <t>se dio contrato</t>
  </si>
  <si>
    <t>S/.38.16</t>
  </si>
  <si>
    <t>S/.35.53</t>
  </si>
  <si>
    <t>P737</t>
  </si>
  <si>
    <t>Aplicacion a drech con mochila manual/electrónica </t>
  </si>
  <si>
    <t>COAQUERA PEREZ JUAN MARCELO </t>
  </si>
  <si>
    <t>5cil x 40</t>
  </si>
  <si>
    <t>S/.8.27</t>
  </si>
  <si>
    <t>2cil x 40</t>
  </si>
  <si>
    <t>S/.3.01</t>
  </si>
  <si>
    <t>GARCIA GUTIERREZ RAFAEL</t>
  </si>
  <si>
    <t>LAZARO PARIONA SAUL</t>
  </si>
  <si>
    <t>LEDESMA DELGADO JAVIER</t>
  </si>
  <si>
    <t>COAQUERA PEREZ PASCUAL RODRIGO</t>
  </si>
  <si>
    <t>TAIPE SANCHEZ ALEXANDER</t>
  </si>
  <si>
    <t>P709</t>
  </si>
  <si>
    <t>3,8cil x 40</t>
  </si>
  <si>
    <t>S/.7.37</t>
  </si>
  <si>
    <t>S/.3.16</t>
  </si>
  <si>
    <t>S/.6.67</t>
  </si>
  <si>
    <t>3,8cil x40</t>
  </si>
  <si>
    <t>S/.5.71</t>
  </si>
  <si>
    <t>p307</t>
  </si>
  <si>
    <t>PITOY CARNECILLA JOSE</t>
  </si>
  <si>
    <t>S/.13.03</t>
  </si>
  <si>
    <t>P403</t>
  </si>
  <si>
    <t>LABORES DE CULTIVO</t>
  </si>
  <si>
    <t>S/.15.39</t>
  </si>
  <si>
    <t>P404</t>
  </si>
  <si>
    <t>Tarea. 6 jrn x s/55.00, DESMALEZADO</t>
  </si>
  <si>
    <t>S/.86.84</t>
  </si>
  <si>
    <t>P114</t>
  </si>
  <si>
    <t>Cultivo y cajoneo</t>
  </si>
  <si>
    <t>S/.11.84</t>
  </si>
  <si>
    <t>P436</t>
  </si>
  <si>
    <t>Rayado con tractor</t>
  </si>
  <si>
    <t>S/.9.47</t>
  </si>
  <si>
    <t>p404</t>
  </si>
  <si>
    <t>LLERENA CHUMPITAZ MELISSA</t>
  </si>
  <si>
    <t>Ruddy</t>
  </si>
  <si>
    <t>SANCHEZ NAVARRO MARIA ESTHER</t>
  </si>
  <si>
    <t>ZAMUDIO MANCO JULIA</t>
  </si>
  <si>
    <t>S/.7.11</t>
  </si>
  <si>
    <t>Alejandro paucar </t>
  </si>
  <si>
    <t>HUAMAN QUISPE DE CIPRIAN MARIA</t>
  </si>
  <si>
    <t>P711</t>
  </si>
  <si>
    <t>S/.14.66</t>
  </si>
  <si>
    <t>Olivia Martinez </t>
  </si>
  <si>
    <t>S/.14.21</t>
  </si>
  <si>
    <t>CHIPANA APAZA JOVANA DANIELA</t>
  </si>
  <si>
    <t>QUISPE CONILLA GISELA</t>
  </si>
  <si>
    <t>S/.4.74</t>
  </si>
  <si>
    <t>PERSONAL LA QUEBRADA/ESTEFANIA</t>
  </si>
  <si>
    <t>S/.26.70</t>
  </si>
  <si>
    <t>S/.16.02</t>
  </si>
  <si>
    <t>2 JORNALES ADICIONALES, CONTRATO</t>
  </si>
  <si>
    <t>S/.57.59</t>
  </si>
  <si>
    <t>S/.4.03</t>
  </si>
  <si>
    <t>HUERE GUADALUPE ELIZABETH </t>
  </si>
  <si>
    <t>S/.3.55</t>
  </si>
  <si>
    <t>p219</t>
  </si>
  <si>
    <t>SANCHEZ MONTOYA DINA CLEMENCIA</t>
  </si>
  <si>
    <t>S/.9.42</t>
  </si>
  <si>
    <t>S/.20.13</t>
  </si>
  <si>
    <t>S/.17.76</t>
  </si>
  <si>
    <t>2 CILINDRO</t>
  </si>
  <si>
    <t>S/.6.98</t>
  </si>
  <si>
    <t>S/.41.88</t>
  </si>
  <si>
    <t>p443</t>
  </si>
  <si>
    <t>Supervisor de Labor</t>
  </si>
  <si>
    <t>S/.10.66</t>
  </si>
  <si>
    <t>CASTRO PEVE MIRIAN</t>
  </si>
  <si>
    <t>S/.17.11</t>
  </si>
  <si>
    <t>S/.2.36</t>
  </si>
  <si>
    <t>SUPERVISION</t>
  </si>
  <si>
    <t>S/.1.18</t>
  </si>
  <si>
    <t>S/.10.68</t>
  </si>
  <si>
    <t>S/.90.49</t>
  </si>
  <si>
    <t>S/.2.68</t>
  </si>
  <si>
    <t>S/.2.37</t>
  </si>
  <si>
    <t>S/.42.71</t>
  </si>
  <si>
    <t>S/.47.38</t>
  </si>
  <si>
    <t>S/.37.70</t>
  </si>
  <si>
    <t>LEDESMA HUAMANI VICTOR MANUEL</t>
  </si>
  <si>
    <t>S/.23.56</t>
  </si>
  <si>
    <t>3 CILINDRO</t>
  </si>
  <si>
    <t>S/.8.97</t>
  </si>
  <si>
    <t>S/.17.97</t>
  </si>
  <si>
    <t>S/.15.75</t>
  </si>
  <si>
    <t>S/.35.93</t>
  </si>
  <si>
    <t>p602</t>
  </si>
  <si>
    <t>p603</t>
  </si>
  <si>
    <t>S/.5.37</t>
  </si>
  <si>
    <t>S/.40.79</t>
  </si>
  <si>
    <t>S/.18.91</t>
  </si>
  <si>
    <t>hora extra por riego</t>
  </si>
  <si>
    <t>S/.13.16</t>
  </si>
  <si>
    <t>S/.37.62</t>
  </si>
  <si>
    <t>rego el 25 en la noche</t>
  </si>
  <si>
    <t>SACADO DE SEMILLA</t>
  </si>
  <si>
    <t>S/.5.10</t>
  </si>
  <si>
    <t>S/.4.50</t>
  </si>
  <si>
    <t>QIUISPE MARTINEZ OLIVIA</t>
  </si>
  <si>
    <t>p206</t>
  </si>
  <si>
    <t>Resiembra</t>
  </si>
  <si>
    <t>RESIEMBRA</t>
  </si>
  <si>
    <t>S/.35.69</t>
  </si>
  <si>
    <t>S/.31.50</t>
  </si>
  <si>
    <t>Sacado de semilla_lote ruda</t>
  </si>
  <si>
    <t>S/.10.20</t>
  </si>
  <si>
    <t>S/.9.00</t>
  </si>
  <si>
    <t>S/.20.40</t>
  </si>
  <si>
    <t>S/.15.30</t>
  </si>
  <si>
    <t>S/.13.50</t>
  </si>
  <si>
    <t>planilla</t>
  </si>
  <si>
    <t>MAYTA QUISPE ROMMEL FELICIANO</t>
  </si>
  <si>
    <t>Mayta</t>
  </si>
  <si>
    <t>S/.1.84</t>
  </si>
  <si>
    <t>eventual</t>
  </si>
  <si>
    <t>CALAGUA ARIAS WALTER</t>
  </si>
  <si>
    <t>S/.1.49</t>
  </si>
  <si>
    <t>6 CIL</t>
  </si>
  <si>
    <t>S/.12.83</t>
  </si>
  <si>
    <t>P741</t>
  </si>
  <si>
    <t>supervisión en aplicaciónes</t>
  </si>
  <si>
    <t>BASURTO JIMENEZ PABLO JOSE GABRIEL</t>
  </si>
  <si>
    <t>S/.5.26</t>
  </si>
  <si>
    <t>p601</t>
  </si>
  <si>
    <t>S/.30.59</t>
  </si>
  <si>
    <t>p605</t>
  </si>
  <si>
    <t>S/.13.47</t>
  </si>
  <si>
    <t>S/.22.46</t>
  </si>
  <si>
    <t>P207</t>
  </si>
  <si>
    <t>S/.32.00</t>
  </si>
  <si>
    <t>S/.42.65</t>
  </si>
  <si>
    <t>S/.40.55</t>
  </si>
  <si>
    <t>S/.29.85</t>
  </si>
  <si>
    <t>S/.25.49</t>
  </si>
  <si>
    <t>S/.21.35</t>
  </si>
  <si>
    <t>p201</t>
  </si>
  <si>
    <t>Distribuir Plantines</t>
  </si>
  <si>
    <t>S/.5.00</t>
  </si>
  <si>
    <t>p207</t>
  </si>
  <si>
    <t>S/.35.75</t>
  </si>
  <si>
    <t>S/.36.00</t>
  </si>
  <si>
    <t>S/.28.25</t>
  </si>
  <si>
    <t>S/.24.75</t>
  </si>
  <si>
    <t>S/.21.36</t>
  </si>
  <si>
    <t>S/.18.81</t>
  </si>
  <si>
    <t>p427</t>
  </si>
  <si>
    <t>Abonar con tubo</t>
  </si>
  <si>
    <t>p711</t>
  </si>
  <si>
    <t>4 cil</t>
  </si>
  <si>
    <t>S/.22.67</t>
  </si>
  <si>
    <t>p473</t>
  </si>
  <si>
    <t>despajo de maleza </t>
  </si>
  <si>
    <t>p709</t>
  </si>
  <si>
    <t>2 cil</t>
  </si>
  <si>
    <t>DESENTERRAR PLANTULAS</t>
  </si>
  <si>
    <t>S/.11.78</t>
  </si>
  <si>
    <t>S/.22.50</t>
  </si>
  <si>
    <t>S/.14.14</t>
  </si>
  <si>
    <t>Adicional</t>
  </si>
  <si>
    <t>S/.6.81</t>
  </si>
  <si>
    <t>S/.42.93</t>
  </si>
  <si>
    <t>P106</t>
  </si>
  <si>
    <t>Pasado de punteo con tractor</t>
  </si>
  <si>
    <t>S/.45.00</t>
  </si>
  <si>
    <t>p514</t>
  </si>
  <si>
    <t>Alinear y arreglar bigotes</t>
  </si>
  <si>
    <t>FERTIRRIEGO</t>
  </si>
  <si>
    <t>S/.2.25</t>
  </si>
  <si>
    <t>S/.2.75</t>
  </si>
  <si>
    <t>p512</t>
  </si>
  <si>
    <t>Tendido De Cintas/Mangueras</t>
  </si>
  <si>
    <t>S/.3.06</t>
  </si>
  <si>
    <t>p508</t>
  </si>
  <si>
    <t>Reparar Cintas</t>
  </si>
  <si>
    <t>S/.1.44</t>
  </si>
  <si>
    <t>p604</t>
  </si>
  <si>
    <t>S/.2.97</t>
  </si>
  <si>
    <t>S/.3.67</t>
  </si>
  <si>
    <t>S/.9.46</t>
  </si>
  <si>
    <t>S/.3.98</t>
  </si>
  <si>
    <t>P604</t>
  </si>
  <si>
    <t>4 CIL</t>
  </si>
  <si>
    <t>S/.11.32</t>
  </si>
  <si>
    <t>p509</t>
  </si>
  <si>
    <t>Retirar Cintas al surco</t>
  </si>
  <si>
    <t>p502</t>
  </si>
  <si>
    <t>Alinear Mangueras a cuello de planta</t>
  </si>
  <si>
    <t>S/.6.73</t>
  </si>
  <si>
    <t>S/.3.24</t>
  </si>
  <si>
    <t>2.5 cil</t>
  </si>
  <si>
    <t>2 cil </t>
  </si>
  <si>
    <t>S/.6.65</t>
  </si>
  <si>
    <t>P307</t>
  </si>
  <si>
    <t>SANCHEZ RIVAS RUDDY ROLANDO</t>
  </si>
  <si>
    <t>S/.11.25</t>
  </si>
  <si>
    <t>S/.7.38</t>
  </si>
  <si>
    <t>P502</t>
  </si>
  <si>
    <t>SANCHEZ CHUMPITAZ RUBEN GABINO</t>
  </si>
  <si>
    <t>p422</t>
  </si>
  <si>
    <t>Cultivo con tractor</t>
  </si>
  <si>
    <t>P118</t>
  </si>
  <si>
    <t>S/.75.00</t>
  </si>
  <si>
    <t>P121</t>
  </si>
  <si>
    <t>Ayudante tractorista</t>
  </si>
  <si>
    <t>P473</t>
  </si>
  <si>
    <t>S/.20.63</t>
  </si>
  <si>
    <t>S/.44.91</t>
  </si>
  <si>
    <t>S/.50.99</t>
  </si>
  <si>
    <t>S/.33.75</t>
  </si>
  <si>
    <t>P120</t>
  </si>
  <si>
    <t>6.5 cil</t>
  </si>
  <si>
    <t>S/.22.24</t>
  </si>
  <si>
    <t>3 cil</t>
  </si>
  <si>
    <t>S/.19.50</t>
  </si>
  <si>
    <t>S/.12.75</t>
  </si>
  <si>
    <t>S/.19.12</t>
  </si>
  <si>
    <t>S/.28.07</t>
  </si>
  <si>
    <t>S/.16.84</t>
  </si>
  <si>
    <t>P477</t>
  </si>
  <si>
    <t>D477</t>
  </si>
  <si>
    <t>Contrato</t>
  </si>
  <si>
    <t>p507</t>
  </si>
  <si>
    <t>Mantenimiento de tuberias de riego</t>
  </si>
  <si>
    <t>S/.8.67</t>
  </si>
  <si>
    <t>S/.6.66</t>
  </si>
  <si>
    <t>P503</t>
  </si>
  <si>
    <t>recojo de cintas </t>
  </si>
  <si>
    <t>S/.18.75</t>
  </si>
  <si>
    <t>P213</t>
  </si>
  <si>
    <t>S/.22.17</t>
  </si>
  <si>
    <t>S/.107.00</t>
  </si>
  <si>
    <t>NO CUMPLIERON CONTRATO SE DEMORARON EN SEMBRAR</t>
  </si>
  <si>
    <t>S/.25.42</t>
  </si>
  <si>
    <t>S/.16.60</t>
  </si>
  <si>
    <t>P124</t>
  </si>
  <si>
    <t>S/.5.61</t>
  </si>
  <si>
    <t>S/.4.41</t>
  </si>
  <si>
    <t>S/.3.37</t>
  </si>
  <si>
    <t>P510</t>
  </si>
  <si>
    <t>S/.5.81</t>
  </si>
  <si>
    <t>S/.35.00</t>
  </si>
  <si>
    <t>S/.25.00</t>
  </si>
  <si>
    <t>S/.62.50</t>
  </si>
  <si>
    <t>S/.12.50</t>
  </si>
  <si>
    <t>S/.31.24</t>
  </si>
  <si>
    <t>S/.35.47</t>
  </si>
  <si>
    <t>S/.41.12</t>
  </si>
  <si>
    <t>P515</t>
  </si>
  <si>
    <t>Fertilización y riego</t>
  </si>
  <si>
    <t>S/.9.38</t>
  </si>
  <si>
    <t>SIEMBRA ADICIONAL POR SEMILLA DE MALA CALIDAD Y FUE SEMBRADO NUEVAMENTE</t>
  </si>
  <si>
    <t>S/.39.34</t>
  </si>
  <si>
    <t>ADICIONAL CONTRATO</t>
  </si>
  <si>
    <t>S/.36.74</t>
  </si>
  <si>
    <t>S/.76.09</t>
  </si>
  <si>
    <t>S/.40.62</t>
  </si>
  <si>
    <t>CONTRATO RIEGO</t>
  </si>
  <si>
    <t>S/.130.43</t>
  </si>
  <si>
    <t>S/.31.41</t>
  </si>
  <si>
    <t>P219</t>
  </si>
  <si>
    <t>S/.34.78</t>
  </si>
  <si>
    <t>POR EL DIA SABADO</t>
  </si>
  <si>
    <t>S/.16.97</t>
  </si>
  <si>
    <t>S/.22.62</t>
  </si>
  <si>
    <t>S/.20.25</t>
  </si>
  <si>
    <t>PERSONAL SAN BENITO</t>
  </si>
  <si>
    <t>S/.80.15</t>
  </si>
  <si>
    <t>S/.1.63</t>
  </si>
  <si>
    <t>S/.3.44</t>
  </si>
  <si>
    <t>S/.2.81</t>
  </si>
  <si>
    <t>S/.4.59</t>
  </si>
  <si>
    <t>S/.3.71</t>
  </si>
  <si>
    <t>S/.3.82</t>
  </si>
  <si>
    <t>2 jornales tarea</t>
  </si>
  <si>
    <t>S/.67.50</t>
  </si>
  <si>
    <t>S/.4.89</t>
  </si>
  <si>
    <t>S/.3.69</t>
  </si>
  <si>
    <t>S/.2.29</t>
  </si>
  <si>
    <t>S/.1.80</t>
  </si>
  <si>
    <t>6 cil</t>
  </si>
  <si>
    <t>2 CIL</t>
  </si>
  <si>
    <t>S/.8.31</t>
  </si>
  <si>
    <t>S/.21.21</t>
  </si>
  <si>
    <t>S/.7.65</t>
  </si>
  <si>
    <t>S/.16.88</t>
  </si>
  <si>
    <t>S/.5.51</t>
  </si>
  <si>
    <t>P422</t>
  </si>
  <si>
    <t>P413</t>
  </si>
  <si>
    <t>Limpieza de Campo</t>
  </si>
  <si>
    <t>CONTRATO 500 SACADO DE RAFIA/ CAÑAS Y CARGAR</t>
  </si>
  <si>
    <t>S/.83.30</t>
  </si>
  <si>
    <t>P1812</t>
  </si>
  <si>
    <t>Retiro de muerto / piedra</t>
  </si>
  <si>
    <t>CASA MALLA</t>
  </si>
  <si>
    <t>56 piedras</t>
  </si>
  <si>
    <t>S/.48.00</t>
  </si>
  <si>
    <t>S/.5.78</t>
  </si>
  <si>
    <t>1.3 cil</t>
  </si>
  <si>
    <t>S/.3.74</t>
  </si>
  <si>
    <t>p1502</t>
  </si>
  <si>
    <t>Limpieza de Acequia</t>
  </si>
  <si>
    <t>MANTENIMIENTO Y REPARACIÓN</t>
  </si>
  <si>
    <t>p1807</t>
  </si>
  <si>
    <t>Desinstalar de parrón </t>
  </si>
  <si>
    <t>CHIPANE CONDE ADRIAN</t>
  </si>
  <si>
    <t>P108</t>
  </si>
  <si>
    <t>Rayado con maquina</t>
  </si>
  <si>
    <t>S/.0.92</t>
  </si>
  <si>
    <t>S/.0.72</t>
  </si>
  <si>
    <t>Tendido De Cintas/riego</t>
  </si>
  <si>
    <t>3cil</t>
  </si>
  <si>
    <t>S/.21.00</t>
  </si>
  <si>
    <t>general</t>
  </si>
  <si>
    <t>aplicacion a acequia calagua</t>
  </si>
  <si>
    <t>S/.5.74</t>
  </si>
  <si>
    <t>S/.4.61</t>
  </si>
  <si>
    <t>p1505</t>
  </si>
  <si>
    <t>Mantenimiento de casa malla</t>
  </si>
  <si>
    <t>p1007</t>
  </si>
  <si>
    <t>Supervision de Cosecha</t>
  </si>
  <si>
    <t>S/.2.82</t>
  </si>
  <si>
    <t>S/.2.28</t>
  </si>
  <si>
    <t>S/.0.94</t>
  </si>
  <si>
    <t>S/.0.55</t>
  </si>
  <si>
    <t>P116</t>
  </si>
  <si>
    <t>Rociar cal</t>
  </si>
  <si>
    <t>S/.10.31</t>
  </si>
  <si>
    <t>P1102</t>
  </si>
  <si>
    <t>Jalar plantas/ botar planta </t>
  </si>
  <si>
    <t>ELIMINACION DE CULTIVO</t>
  </si>
  <si>
    <t>S/.28.82</t>
  </si>
  <si>
    <t>S/.25.43</t>
  </si>
  <si>
    <t>ADICIONAL</t>
  </si>
  <si>
    <t>S/.12.17</t>
  </si>
  <si>
    <t>S/.47.83</t>
  </si>
  <si>
    <t>S/.39.23</t>
  </si>
  <si>
    <t>S/.19.62</t>
  </si>
  <si>
    <t>S/.7.96</t>
  </si>
  <si>
    <t>COSTO DE ESTABLECIMIENTO</t>
  </si>
  <si>
    <t>S/.162.00</t>
  </si>
  <si>
    <t>S/.100.00</t>
  </si>
  <si>
    <t>S/.2.35</t>
  </si>
  <si>
    <t>S/.1.73</t>
  </si>
  <si>
    <t>1.5 cil</t>
  </si>
  <si>
    <t>S/.10.00</t>
  </si>
  <si>
    <t>S/.3.91</t>
  </si>
  <si>
    <t>S/.4.43</t>
  </si>
  <si>
    <t>S/.62.80</t>
  </si>
  <si>
    <t>S/.61.19</t>
  </si>
  <si>
    <t>S/.67.87</t>
  </si>
  <si>
    <t>S/.1.41</t>
  </si>
  <si>
    <t>S/.1.11</t>
  </si>
  <si>
    <t>S/.6.53</t>
  </si>
  <si>
    <t>S/.5.13</t>
  </si>
  <si>
    <t>Solo descargo plantas</t>
  </si>
  <si>
    <t>S/.13.28</t>
  </si>
  <si>
    <t>2 horas extras </t>
  </si>
  <si>
    <t>S/.7.83</t>
  </si>
  <si>
    <t>Descargar plantas / Siembra 0.23 Ha. (1700.00 X Ha)</t>
  </si>
  <si>
    <t>S/.25.70</t>
  </si>
  <si>
    <t>S/.10.03</t>
  </si>
  <si>
    <t>S/.14.25</t>
  </si>
  <si>
    <t>p124</t>
  </si>
  <si>
    <t>P8030</t>
  </si>
  <si>
    <t>Poda 1</t>
  </si>
  <si>
    <t>PODA</t>
  </si>
  <si>
    <t>mod 11c-26</t>
  </si>
  <si>
    <t>Alineamiento De Mangueras</t>
  </si>
  <si>
    <t>P609</t>
  </si>
  <si>
    <t>riego plantines camote</t>
  </si>
  <si>
    <t>S/.11.52</t>
  </si>
  <si>
    <t>S/.9.78</t>
  </si>
  <si>
    <t>S/.50.22</t>
  </si>
  <si>
    <t>S/.10.87</t>
  </si>
  <si>
    <t>2DO RIEGO Y A MAS PARTES SEMBRADOS ES EL GASTO POR RIEGO</t>
  </si>
  <si>
    <t>S/.5.87</t>
  </si>
  <si>
    <t>p1810</t>
  </si>
  <si>
    <t>supervisión </t>
  </si>
  <si>
    <t>S/.6.52</t>
  </si>
  <si>
    <t>Personal ELISA CAMOTE</t>
  </si>
  <si>
    <t>Se desconto 0.3 ha por mal siembra </t>
  </si>
  <si>
    <t>S/.1,153.85</t>
  </si>
  <si>
    <t>PL1</t>
  </si>
  <si>
    <t>P1704</t>
  </si>
  <si>
    <t>Proceso/selección</t>
  </si>
  <si>
    <t>DESCUENTO 0.3 CM X CAJA / 188 CAJAS 1.4 SOLES</t>
  </si>
  <si>
    <t>p1812</t>
  </si>
  <si>
    <t>S/.168.75</t>
  </si>
  <si>
    <t>S/.21.50</t>
  </si>
  <si>
    <t>2 horas adcional riego camote</t>
  </si>
  <si>
    <t>2 horas adicional</t>
  </si>
  <si>
    <t>S/.31.04</t>
  </si>
  <si>
    <t>S/.27.39</t>
  </si>
  <si>
    <t>115 SIEMBRA Y 20.68 EN PROCESO</t>
  </si>
  <si>
    <t>S/.90.43</t>
  </si>
  <si>
    <t>S/.65.22</t>
  </si>
  <si>
    <t>APOYO RIEGO Y LABORAR DOMINGO </t>
  </si>
  <si>
    <t>S/.52.17</t>
  </si>
  <si>
    <t>un peraonal de apollo</t>
  </si>
  <si>
    <t>S/.11.37</t>
  </si>
  <si>
    <t>S/.8.55</t>
  </si>
  <si>
    <t>S/.42.50</t>
  </si>
  <si>
    <t>P1807</t>
  </si>
  <si>
    <t>p503</t>
  </si>
  <si>
    <t>Instalacion De Cintas</t>
  </si>
  <si>
    <t>2 horas extra riego camote</t>
  </si>
  <si>
    <t>ACEVEDO HUAMAN JUAN CARLOS</t>
  </si>
  <si>
    <t>S/.45.89</t>
  </si>
  <si>
    <t>S/.11.31</t>
  </si>
  <si>
    <t>p723</t>
  </si>
  <si>
    <t>Mezcla de fertilizantes</t>
  </si>
  <si>
    <t>S/.8.42</t>
  </si>
  <si>
    <t>S/.9.76</t>
  </si>
  <si>
    <t>p301</t>
  </si>
  <si>
    <t>S/.17.67</t>
  </si>
  <si>
    <t>S/.17.21</t>
  </si>
  <si>
    <t>S/.9.56</t>
  </si>
  <si>
    <t>S/.11.08</t>
  </si>
  <si>
    <t>P301</t>
  </si>
  <si>
    <t>P107</t>
  </si>
  <si>
    <t>Instalacion de equipos de tractor para surcado</t>
  </si>
  <si>
    <t>S/.6.37</t>
  </si>
  <si>
    <t>p303</t>
  </si>
  <si>
    <t>Mezcla de fertilizante/Reparto</t>
  </si>
  <si>
    <t>P312</t>
  </si>
  <si>
    <t>llevado de fertilizantes con tractor/camioneta</t>
  </si>
  <si>
    <t>S/.4.05</t>
  </si>
  <si>
    <t>S/.7.84</t>
  </si>
  <si>
    <t>S/.28.13</t>
  </si>
  <si>
    <t>P1502</t>
  </si>
  <si>
    <t>S/.21.47</t>
  </si>
  <si>
    <t>S/.21.09</t>
  </si>
  <si>
    <t>P509</t>
  </si>
  <si>
    <t>S/.42.75</t>
  </si>
  <si>
    <t>S/.2.00</t>
  </si>
  <si>
    <t>S/.15.69</t>
  </si>
  <si>
    <t>P512</t>
  </si>
  <si>
    <t>P1803</t>
  </si>
  <si>
    <t>Lavado de malla</t>
  </si>
  <si>
    <t>S/.600.00</t>
  </si>
  <si>
    <t>p105</t>
  </si>
  <si>
    <t>Vaciar Guano/Humusy rosiado/Guano de gallina</t>
  </si>
  <si>
    <t>D225</t>
  </si>
  <si>
    <t>Transporte de esquejes / semilla</t>
  </si>
  <si>
    <t>Cargado semilla / esquejes</t>
  </si>
  <si>
    <t>RUBÉN PARIONA (ya está cancelado)</t>
  </si>
  <si>
    <t>S/.702.00</t>
  </si>
  <si>
    <t>S/.26.00</t>
  </si>
  <si>
    <t>S/.11.33</t>
  </si>
  <si>
    <t>S/.6.80</t>
  </si>
  <si>
    <t>S/.15.97</t>
  </si>
  <si>
    <t>S/.6.75</t>
  </si>
  <si>
    <t>S/.70.31</t>
  </si>
  <si>
    <t>P305</t>
  </si>
  <si>
    <t>Aplicar humus /guano pollo o gallina al surco o otros</t>
  </si>
  <si>
    <t>S/.39.13</t>
  </si>
  <si>
    <t>S/.18.26</t>
  </si>
  <si>
    <t>S/.8.70</t>
  </si>
  <si>
    <t>S/.28.00</t>
  </si>
  <si>
    <t>S/.18.13</t>
  </si>
  <si>
    <t>S/.24.46</t>
  </si>
  <si>
    <t>S/.22.11</t>
  </si>
  <si>
    <t>p213</t>
  </si>
  <si>
    <t>Descargar semilla para 3 hectarias</t>
  </si>
  <si>
    <t>S/.7.61</t>
  </si>
  <si>
    <t>P476</t>
  </si>
  <si>
    <t>Aplastamiento de guia de camote con tractor</t>
  </si>
  <si>
    <t>S/.7.55</t>
  </si>
  <si>
    <t>S/.670.00</t>
  </si>
  <si>
    <t>P225</t>
  </si>
  <si>
    <t>S/.4.53</t>
  </si>
  <si>
    <t>S/.21.38</t>
  </si>
  <si>
    <t>S/.3.61</t>
  </si>
  <si>
    <t>S/.2.27</t>
  </si>
  <si>
    <t>P519</t>
  </si>
  <si>
    <t>traslado / instalacion mangueras hdpe/cintas de riego</t>
  </si>
  <si>
    <t>GL.3.785 LT</t>
  </si>
  <si>
    <t>11.355- 3GL/8=11.355/8=1.42LT X HORA</t>
  </si>
  <si>
    <t>P518</t>
  </si>
  <si>
    <t>COSTO LT X HORA 8.20</t>
  </si>
  <si>
    <t>P109</t>
  </si>
  <si>
    <t>Nivelar terreno con maquina</t>
  </si>
  <si>
    <t>D109</t>
  </si>
  <si>
    <t>NIVELAR TERRENO CON MAQUINA</t>
  </si>
  <si>
    <t>S/.9.03</t>
  </si>
  <si>
    <t>P206</t>
  </si>
  <si>
    <t>S/.5.32</t>
  </si>
  <si>
    <t>S/.16.40</t>
  </si>
  <si>
    <t>P105</t>
  </si>
  <si>
    <t>S/.43.48</t>
  </si>
  <si>
    <t>por riego el sabado en la noche (02/05/26)</t>
  </si>
  <si>
    <t>S/.6.54</t>
  </si>
  <si>
    <t>S/.1.62</t>
  </si>
  <si>
    <t>RECALZE</t>
  </si>
  <si>
    <t>S/.7.36</t>
  </si>
  <si>
    <t>5 cil a $ 40.00</t>
  </si>
  <si>
    <t>S/.14.80</t>
  </si>
  <si>
    <t>S/.5.98</t>
  </si>
  <si>
    <t>p217</t>
  </si>
  <si>
    <t>Recogida de bandeja /Plantines</t>
  </si>
  <si>
    <t>S/.1.81</t>
  </si>
  <si>
    <t>P1114</t>
  </si>
  <si>
    <t>Limpieza de campo</t>
  </si>
  <si>
    <t>S/.9.06</t>
  </si>
  <si>
    <t>S/.17.73</t>
  </si>
  <si>
    <t>S/.7.98</t>
  </si>
  <si>
    <t>S/.3.97</t>
  </si>
  <si>
    <t>P514</t>
  </si>
  <si>
    <t>P227</t>
  </si>
  <si>
    <t>Descarga de plantines de campo a almacen</t>
  </si>
  <si>
    <t>S/.30.60</t>
  </si>
  <si>
    <t>D422</t>
  </si>
  <si>
    <t>S/.32.80</t>
  </si>
  <si>
    <t>S/.17.83</t>
  </si>
  <si>
    <t>S/.3.11</t>
  </si>
  <si>
    <t>S/.11.00</t>
  </si>
  <si>
    <t>P3011</t>
  </si>
  <si>
    <t>Fertilizacion manual 2</t>
  </si>
  <si>
    <t>S/.5.66</t>
  </si>
  <si>
    <t>S/.15.52</t>
  </si>
  <si>
    <t>S/.13.67</t>
  </si>
  <si>
    <t>S/.6.74</t>
  </si>
  <si>
    <t>S/.11.72</t>
  </si>
  <si>
    <t>p226</t>
  </si>
  <si>
    <t>cargar bandejas vacias al camion/almacen</t>
  </si>
  <si>
    <t>CARGO BANDEJAS MIERCOLES 6 CONTRATO PABLO</t>
  </si>
  <si>
    <t>S/.3.95</t>
  </si>
  <si>
    <t>p518</t>
  </si>
  <si>
    <t>p519</t>
  </si>
  <si>
    <t>p3011</t>
  </si>
  <si>
    <t>S/.6.88</t>
  </si>
  <si>
    <t>p1020</t>
  </si>
  <si>
    <t>hacer camino /borrar cortaderas con tractor</t>
  </si>
  <si>
    <t>S/.26.60</t>
  </si>
  <si>
    <t>15 soloes la hora</t>
  </si>
  <si>
    <t>S/.13.04</t>
  </si>
  <si>
    <t>S/.20.50</t>
  </si>
  <si>
    <t>3 CIL X 70.00</t>
  </si>
  <si>
    <t>S/.15.22</t>
  </si>
  <si>
    <t>4 CIL X 70.00</t>
  </si>
  <si>
    <t>S/.24.40</t>
  </si>
  <si>
    <t>P424</t>
  </si>
  <si>
    <t>Apartar paja/ despajar</t>
  </si>
  <si>
    <t>S/.2.51</t>
  </si>
  <si>
    <t>S/.15.62</t>
  </si>
  <si>
    <t>p520</t>
  </si>
  <si>
    <t>traslado cintas de riego a otro modulo</t>
  </si>
  <si>
    <t>p225</t>
  </si>
  <si>
    <t>S/.15.00</t>
  </si>
  <si>
    <t>S/.24.37</t>
  </si>
  <si>
    <t>S/.8.12</t>
  </si>
  <si>
    <t>Adicional por contrato de riego zona Jhovana (1.89 Ha) a 180.00 x Ha - 2 dias</t>
  </si>
  <si>
    <t>S/.7.81</t>
  </si>
  <si>
    <t>S/.28.22</t>
  </si>
  <si>
    <t>P426</t>
  </si>
  <si>
    <t>Desentierro de plantas</t>
  </si>
  <si>
    <t>S/.39.59</t>
  </si>
  <si>
    <t>S/.33.93</t>
  </si>
  <si>
    <t>S/.71.38</t>
  </si>
  <si>
    <t>S/.54.00</t>
  </si>
  <si>
    <t>46-1.1=50.6 C/U 14.90 2 SACOS DE CHANCHO</t>
  </si>
  <si>
    <t>LOTE CALAGUA DEL 5 MAYO</t>
  </si>
  <si>
    <t>p109</t>
  </si>
  <si>
    <t>p1805</t>
  </si>
  <si>
    <t>Templado de Alambre en casa malla</t>
  </si>
  <si>
    <t>P1019</t>
  </si>
  <si>
    <t>PERSONAL LA HUANCAYO</t>
  </si>
  <si>
    <t>S/.118.42</t>
  </si>
  <si>
    <t>P1014</t>
  </si>
  <si>
    <t>S/.21.05</t>
  </si>
  <si>
    <t>P1011</t>
  </si>
  <si>
    <t>92 Sacos-INKACROP / (25 Sacos) 23.5 Sacos = 577.5 Soles</t>
  </si>
  <si>
    <t>S/.25.50</t>
  </si>
  <si>
    <t>LLENADO DE CAMOTE </t>
  </si>
  <si>
    <t>S/.14.76</t>
  </si>
  <si>
    <t>43 SACOS VIERNES 116</t>
  </si>
  <si>
    <t>S/.18.68</t>
  </si>
  <si>
    <t>S/.3.92</t>
  </si>
  <si>
    <t>P1007</t>
  </si>
  <si>
    <t>RAYADO PARA SIEMBRA X GOTEO</t>
  </si>
  <si>
    <t>D108</t>
  </si>
  <si>
    <t>S/.16.25</t>
  </si>
  <si>
    <t>P1021</t>
  </si>
  <si>
    <t>S/.105.26</t>
  </si>
  <si>
    <t>67 Sacos / 24 Sacos Planta = 455 soles</t>
  </si>
  <si>
    <t>S/.19.96</t>
  </si>
  <si>
    <t>p409</t>
  </si>
  <si>
    <t>Repique con lampa </t>
  </si>
  <si>
    <t>49 SACOS * 5 SOLES 245 /3= 81</t>
  </si>
  <si>
    <t>S/.21.32</t>
  </si>
  <si>
    <t>S/.6.58</t>
  </si>
  <si>
    <t>S/.15.79</t>
  </si>
  <si>
    <t>Siembra X 4.5 Ha (1300 soles)</t>
  </si>
  <si>
    <t>S/.12.11</t>
  </si>
  <si>
    <t>S/.24.21</t>
  </si>
  <si>
    <t>28 DOMINGO</t>
  </si>
  <si>
    <t>P1009</t>
  </si>
  <si>
    <t>Transporte de Cosecha con tractor/carga y descarga </t>
  </si>
  <si>
    <t>D1009</t>
  </si>
  <si>
    <t>S/.10.91</t>
  </si>
  <si>
    <t>1.80 cil a 40 soles</t>
  </si>
  <si>
    <t>S/.9.23</t>
  </si>
  <si>
    <t>3 cil a 40 soles</t>
  </si>
  <si>
    <t>2 cil a 40 soles</t>
  </si>
  <si>
    <t>2 cil a 70 soles</t>
  </si>
  <si>
    <t>S/.23.30</t>
  </si>
  <si>
    <t>S/.27.34</t>
  </si>
  <si>
    <t>Adicional por contrato de riego zona veneranda (2.61 Ha) a 180.00 x Ha - 2 dias + 50 soles X levante en cortadera</t>
  </si>
  <si>
    <t>S/.72.44</t>
  </si>
  <si>
    <t>S/.45.25</t>
  </si>
  <si>
    <t>S/.2.46</t>
  </si>
  <si>
    <t>S/.18.85</t>
  </si>
  <si>
    <t>S/.2.96</t>
  </si>
  <si>
    <t>S/.5.42</t>
  </si>
  <si>
    <t>4 cil x 70 soles</t>
  </si>
  <si>
    <t>S/.11.91</t>
  </si>
  <si>
    <t>5 JOR.</t>
  </si>
  <si>
    <t>S/.36.18</t>
  </si>
  <si>
    <t>P478</t>
  </si>
  <si>
    <t>Movilidad personal de campo</t>
  </si>
  <si>
    <t>MOVILIDAD</t>
  </si>
  <si>
    <t>MOVILIDAD JOSE PERALTA</t>
  </si>
  <si>
    <t>S/.10.53</t>
  </si>
  <si>
    <t>S/.110.53</t>
  </si>
  <si>
    <t>S/.39.47</t>
  </si>
  <si>
    <t>S/.47.37</t>
  </si>
  <si>
    <t>S/.44.74</t>
  </si>
  <si>
    <t>S/.36.51</t>
  </si>
  <si>
    <t>S/.42.11</t>
  </si>
  <si>
    <t>S/.5.95</t>
  </si>
  <si>
    <t>S/.19.67</t>
  </si>
  <si>
    <t>p1009</t>
  </si>
  <si>
    <t>S/.1.76</t>
  </si>
  <si>
    <t>7 JORNALES X 55</t>
  </si>
  <si>
    <t>S/.42.24</t>
  </si>
  <si>
    <t>S/.27.87</t>
  </si>
  <si>
    <t>S/.19.57</t>
  </si>
  <si>
    <t>p1002</t>
  </si>
  <si>
    <t>Cargadores</t>
  </si>
  <si>
    <t>111 SACOS</t>
  </si>
  <si>
    <t>S/.6.25</t>
  </si>
  <si>
    <t>S/.5.63</t>
  </si>
  <si>
    <t>S/.1.48</t>
  </si>
  <si>
    <t>S/.2.14</t>
  </si>
  <si>
    <t>S/.4.06</t>
  </si>
  <si>
    <t>S/.1.07</t>
  </si>
  <si>
    <t>D118</t>
  </si>
  <si>
    <t>S/.21.37</t>
  </si>
  <si>
    <t>S/.48.73</t>
  </si>
  <si>
    <t>8 JORNALES X 55 ( 7 X 55 Y 1 X 37 SOLES</t>
  </si>
  <si>
    <t>S/.183.48</t>
  </si>
  <si>
    <t>p478</t>
  </si>
  <si>
    <t>S/.255.50</t>
  </si>
  <si>
    <t>Labor realizado 21/05/26</t>
  </si>
  <si>
    <t>S/.8.89</t>
  </si>
  <si>
    <t>S/.13.77</t>
  </si>
  <si>
    <t>S/.25.57</t>
  </si>
  <si>
    <t>S/.16.24</t>
  </si>
  <si>
    <t>D724</t>
  </si>
  <si>
    <t>Movilizar cilindros con tractor</t>
  </si>
  <si>
    <t>S/.23.28</t>
  </si>
  <si>
    <t>S/.9.98</t>
  </si>
  <si>
    <t>S/.20.54</t>
  </si>
  <si>
    <t>S/.12.19</t>
  </si>
  <si>
    <t>S/.10.76</t>
  </si>
  <si>
    <t>S/.78.09</t>
  </si>
  <si>
    <t>S/.113.22</t>
  </si>
  <si>
    <t>S/.9.21</t>
  </si>
  <si>
    <t>S/.14.56</t>
  </si>
  <si>
    <t>1 cil</t>
  </si>
  <si>
    <t>S/.4.19</t>
  </si>
  <si>
    <t>TRACTOR JORGE BILBAO SAUÑE</t>
  </si>
  <si>
    <t>CULTIVO 5 HA.</t>
  </si>
  <si>
    <t>S/.131.58</t>
  </si>
  <si>
    <t>7 JOR</t>
  </si>
  <si>
    <t>S/.50.66</t>
  </si>
  <si>
    <t>7 JOR X 55 PARA MACHACO</t>
  </si>
  <si>
    <t>S/.128.95</t>
  </si>
  <si>
    <t>p1011</t>
  </si>
  <si>
    <t>19 inka + 7 planta = 26 X 5 soles</t>
  </si>
  <si>
    <t>S/.34.21</t>
  </si>
  <si>
    <t>19 inka + 6.53 planta = 25.53 X 5 soles</t>
  </si>
  <si>
    <t>S/.33.58</t>
  </si>
  <si>
    <t>15 inka + 13.96 planta = 28.96 X 5 soles</t>
  </si>
  <si>
    <t>S/.38.11</t>
  </si>
  <si>
    <t>15 inka + 19 planta = 85 X 5 soles / 4 </t>
  </si>
  <si>
    <t>S/.27.96</t>
  </si>
  <si>
    <t>18.5 inka + 8.88 planta = 27.38 X 5 soles</t>
  </si>
  <si>
    <t>S/.36.03</t>
  </si>
  <si>
    <t>S/.68.75</t>
  </si>
  <si>
    <t>S/.57.89</t>
  </si>
  <si>
    <t>TRACTOR ARTURO AGUILAR GUTIERREZ</t>
  </si>
  <si>
    <t>S/.4.27</t>
  </si>
  <si>
    <t>100 JABAS PROCESADAS *110 =110</t>
  </si>
  <si>
    <t>2 SACOS DE CHANCHO * 4.50 = 9</t>
  </si>
  <si>
    <t>S/.3.12</t>
  </si>
  <si>
    <t>100 * 0.05 = 5 adicional julia</t>
  </si>
  <si>
    <t>S/.44.61</t>
  </si>
  <si>
    <t>D120</t>
  </si>
  <si>
    <t>13 soles c/u REGULARIZAR </t>
  </si>
  <si>
    <t>stock 28 A</t>
  </si>
  <si>
    <t>S/.10.15</t>
  </si>
  <si>
    <t>S/.34.62</t>
  </si>
  <si>
    <t>S/.18.74</t>
  </si>
  <si>
    <t>TERMINO 7 40</t>
  </si>
  <si>
    <t>66 INKACROPS 4 PLANTA 16.5 S/C TOTAL 86.5 SACOS</t>
  </si>
  <si>
    <t>lunes ing campo 48 s/c 4 c/cabeza martes 17.5 s/c </t>
  </si>
  <si>
    <t>233 jabas procesadas * 1.10 =256 / 9 JOR. = 28.47 C/U</t>
  </si>
  <si>
    <t>S/.28.42</t>
  </si>
  <si>
    <t>6 sacos de chancho * 4.50 = 27 / 9 = 3 C/U</t>
  </si>
  <si>
    <t>233 * 0.05 = 11 adicional julia</t>
  </si>
  <si>
    <t>28.47 + 3 = 31.47 soles c/u</t>
  </si>
  <si>
    <t>4.2 sacos segunda + 30 sacos chancho =34.2 sacos total</t>
  </si>
  <si>
    <t>5.1 sacos segunda + 22 sacos chancho =27.1 sacos total</t>
  </si>
  <si>
    <t>S/.35.66</t>
  </si>
  <si>
    <t>9.3 sacos segunda + 26 sacos chancho = 35.3 sacos total</t>
  </si>
  <si>
    <t>S/.46.45</t>
  </si>
  <si>
    <t>3+0.9 sacos segunda + 15+6 sacos chancho = 24.9 sacos total</t>
  </si>
  <si>
    <t>S/.32.76</t>
  </si>
  <si>
    <t>1.4 sacos segunda + 21 sacos chancho = 22.4 sacos total</t>
  </si>
  <si>
    <t>S/.29.47</t>
  </si>
  <si>
    <t>S/.7.24</t>
  </si>
  <si>
    <t>48.5 sacos a 1.5 / 7 personas</t>
  </si>
  <si>
    <t>S/.2.71</t>
  </si>
  <si>
    <t>S/.142.11</t>
  </si>
  <si>
    <t>IDA Y VUELTA</t>
  </si>
  <si>
    <t>S/.1,062.50</t>
  </si>
  <si>
    <t>SE QUEDO 5 JOR. X 55 PARA INSTALACION Y RIEGO MOD 8</t>
  </si>
  <si>
    <t>S/.101.98</t>
  </si>
  <si>
    <t>P1505</t>
  </si>
  <si>
    <t>Y 7 JOR. * 55 PARA RIEGO MACHACO</t>
  </si>
  <si>
    <t>S/.63.73</t>
  </si>
  <si>
    <t>PLANTA 48.5 SACOS * 96 KLS 4656 KLS INGRESO LUNES</t>
  </si>
  <si>
    <t>PLANTA 34.3 SACOS * 96 KLS =3292.8 KLS INGRESO MARTES</t>
  </si>
  <si>
    <t>S/.8.07</t>
  </si>
  <si>
    <t>S/.24.01</t>
  </si>
  <si>
    <t>falta 1 jornal</t>
  </si>
  <si>
    <t>1 cil / 5 personas</t>
  </si>
  <si>
    <t>S/.4.00</t>
  </si>
  <si>
    <t>1 cil / 5 personas y 2 cil / 3 personas</t>
  </si>
  <si>
    <t>S/.17.35</t>
  </si>
  <si>
    <t>S/.34.38</t>
  </si>
  <si>
    <t>S/.3.68</t>
  </si>
  <si>
    <t>MIERCOLES 27</t>
  </si>
  <si>
    <t>JUEVES 28</t>
  </si>
  <si>
    <t>S/.7.22</t>
  </si>
  <si>
    <t>121 JABASA*1.10 =133/6 =22.16 C/U</t>
  </si>
  <si>
    <t>S/.6.71</t>
  </si>
  <si>
    <t>10 SACOS DE CHANCHO * 4.50 =45/6= 7.50 SOLES C/U</t>
  </si>
  <si>
    <t>29.50 TOTAL C/U ACEVEDO CHAGUI JUAN BETO RAFA JAVIER</t>
  </si>
  <si>
    <t>S/.343.75</t>
  </si>
  <si>
    <t>1 CIL</t>
  </si>
  <si>
    <t>S/.9.02</t>
  </si>
  <si>
    <t>VIERNES</t>
  </si>
  <si>
    <t>p1022</t>
  </si>
  <si>
    <t>Eliminacion de rastrojo de cultivo</t>
  </si>
  <si>
    <t>S/.13.75</t>
  </si>
  <si>
    <t>1/4 hectaria</t>
  </si>
  <si>
    <t>S/.2.89</t>
  </si>
  <si>
    <t>S/.17.50</t>
  </si>
  <si>
    <t>S/.12.76</t>
  </si>
  <si>
    <t>3 cil (S/.210) no se está considerando a Juan Coaquera.</t>
  </si>
  <si>
    <t>S/.26.25</t>
  </si>
  <si>
    <t>S/.21.88</t>
  </si>
  <si>
    <t>0.17 Ha / 1200 X Ha / 9 personas</t>
  </si>
  <si>
    <t>S/.2.98</t>
  </si>
  <si>
    <t>1.5 Ha / 1300 x Ha</t>
  </si>
  <si>
    <t>S/.433.33</t>
  </si>
  <si>
    <t>P517</t>
  </si>
  <si>
    <t>RETIRO / INSTALACION MANGUERA HDPE DE 2"- 4"</t>
  </si>
  <si>
    <t>S/.39.22</t>
  </si>
  <si>
    <t>S/.20.60</t>
  </si>
  <si>
    <t>LAS BANDEJAS NO LLEGARON COMPLETAS Y LLEGARON MÁS CAMIONES</t>
  </si>
  <si>
    <t>p403</t>
  </si>
  <si>
    <t>S/.16.00</t>
  </si>
  <si>
    <t>D403</t>
  </si>
  <si>
    <t>1.38 Ha / 1200 Ha / 5 personas + 6 quebrada</t>
  </si>
  <si>
    <t>S/.19.81</t>
  </si>
  <si>
    <t>SOLO HAY SUPERVISIÓN DOMINGOS Y FERIADOS</t>
  </si>
  <si>
    <t>6 Personas quebrada</t>
  </si>
  <si>
    <t>costo operario x hora 10 soles petroleo 7.50 x hora </t>
  </si>
  <si>
    <t>S/.47.08</t>
  </si>
  <si>
    <t>S/.37.50</t>
  </si>
  <si>
    <t>Descontar 100 soles al sembrador / pariona</t>
  </si>
  <si>
    <t>S/.11.11</t>
  </si>
  <si>
    <t>0.5 jornal</t>
  </si>
  <si>
    <t>S/.2.04</t>
  </si>
  <si>
    <t>1 jornal</t>
  </si>
  <si>
    <t>S/.4.07</t>
  </si>
  <si>
    <t>0.8 Ha / 1400 X Ha (Siembra para riego tecnificado)</t>
  </si>
  <si>
    <t>S/.248.89</t>
  </si>
  <si>
    <t>1.1 CAMION ( 42 5140 MILLAR / 2 9440 MILLAR) </t>
  </si>
  <si>
    <t>S/.3.62</t>
  </si>
  <si>
    <t>5 JORNALES </t>
  </si>
  <si>
    <t>S/.4.44</t>
  </si>
  <si>
    <t>0.74 Ha / 1200 Ha / 8 personas</t>
  </si>
  <si>
    <t>S/.14.61</t>
  </si>
  <si>
    <t>S/.5.91</t>
  </si>
  <si>
    <t>P605</t>
  </si>
  <si>
    <t>S/.10.42</t>
  </si>
  <si>
    <t>S/.6.11</t>
  </si>
  <si>
    <t>S/.8.72</t>
  </si>
  <si>
    <t>S/.5.88</t>
  </si>
  <si>
    <t>0.77 Ha / 1200 Ha / 9 personas</t>
  </si>
  <si>
    <t>S/.13.51</t>
  </si>
  <si>
    <t>S/.48.67</t>
  </si>
  <si>
    <t>S/.16.22</t>
  </si>
  <si>
    <t>S/.8.54</t>
  </si>
  <si>
    <t>S/.35.49</t>
  </si>
  <si>
    <t>S/.10.14</t>
  </si>
  <si>
    <t>S/.18.72</t>
  </si>
  <si>
    <t>S/.7.21</t>
  </si>
  <si>
    <t>S/.9.01</t>
  </si>
  <si>
    <t>MOD6CP</t>
  </si>
  <si>
    <t>S/.305.93</t>
  </si>
  <si>
    <t>S/.19.29</t>
  </si>
  <si>
    <t>S/.5.21</t>
  </si>
  <si>
    <t>S/.3.29</t>
  </si>
  <si>
    <t>S/.25.45</t>
  </si>
  <si>
    <t>2DA PASADA - 0.76 Ha.</t>
  </si>
  <si>
    <t>S/.28.95</t>
  </si>
  <si>
    <t>JORNALPENDIENTE DEL DIA MARTES 26</t>
  </si>
  <si>
    <t>2DA PASADA - 1.24</t>
  </si>
  <si>
    <t>S/.14.36</t>
  </si>
  <si>
    <t>S/.14.06</t>
  </si>
  <si>
    <t>S/.31.81</t>
  </si>
  <si>
    <t>S/.14.26</t>
  </si>
  <si>
    <t>S/.76.48</t>
  </si>
  <si>
    <t>S/.183.00</t>
  </si>
  <si>
    <t>S/.46.25</t>
  </si>
  <si>
    <t>se descargo 3 camiones y se repartio en campo</t>
  </si>
  <si>
    <t>S/.30.56</t>
  </si>
  <si>
    <t>S/.28.28</t>
  </si>
  <si>
    <t>S/.56.56</t>
  </si>
  <si>
    <t>S/.23.75</t>
  </si>
  <si>
    <t>8 JOR. TRABAJARON HASTA LAS 11 X LA LLUVIA</t>
  </si>
  <si>
    <t>S/.183.75</t>
  </si>
  <si>
    <t>S/.6.00</t>
  </si>
  <si>
    <t>S/.137.50</t>
  </si>
  <si>
    <t>P1520</t>
  </si>
  <si>
    <t>Coser malla/desenterrar malla y enterrado</t>
  </si>
  <si>
    <t>170 X HA. RASTRILLO</t>
  </si>
  <si>
    <t>S/.89.47</t>
  </si>
  <si>
    <t>S/.15.71</t>
  </si>
  <si>
    <t>S/.28.27</t>
  </si>
  <si>
    <t>p1114</t>
  </si>
  <si>
    <t>S/.146.00</t>
  </si>
  <si>
    <t>S/.153.93</t>
  </si>
  <si>
    <t>S/.32.03</t>
  </si>
  <si>
    <t>S/.28.80</t>
  </si>
  <si>
    <t>S/.172.77</t>
  </si>
  <si>
    <t>S/.49.20</t>
  </si>
  <si>
    <t>S/.20.21</t>
  </si>
  <si>
    <t>S/.31.44</t>
  </si>
  <si>
    <t>S/.41.00</t>
  </si>
  <si>
    <t>S/.24.38</t>
  </si>
  <si>
    <t>S/.15.38</t>
  </si>
  <si>
    <t>M 9 M9 J9</t>
  </si>
  <si>
    <t>S/.65.13</t>
  </si>
  <si>
    <t>p1521</t>
  </si>
  <si>
    <t>Limpieza de cortaderas</t>
  </si>
  <si>
    <t>9 cil / 40 soles</t>
  </si>
  <si>
    <t>2 cil / 70 soles</t>
  </si>
  <si>
    <t>RIEGO INYECCION INSTALACION</t>
  </si>
  <si>
    <t>S/.10.25</t>
  </si>
  <si>
    <t>S/.3.64</t>
  </si>
  <si>
    <t>p510</t>
  </si>
  <si>
    <t>S/.3.33</t>
  </si>
  <si>
    <t>S/.10.93</t>
  </si>
  <si>
    <t>6 CIL / 40 SOLES</t>
  </si>
  <si>
    <t>S/.10.67</t>
  </si>
  <si>
    <t>3 CIL / 70 SOLES</t>
  </si>
  <si>
    <t>S/.4.73</t>
  </si>
  <si>
    <t>P409</t>
  </si>
  <si>
    <t>P1525</t>
  </si>
  <si>
    <t>Coser módulo</t>
  </si>
  <si>
    <t>S/.57.40</t>
  </si>
  <si>
    <t>S/.56.25</t>
  </si>
  <si>
    <t>S/.4.32</t>
  </si>
  <si>
    <t>1.5 CIL</t>
  </si>
  <si>
    <t>S/.5.22</t>
  </si>
  <si>
    <t>S/.21.54</t>
  </si>
  <si>
    <t>S/.7.44</t>
  </si>
  <si>
    <t>P1022</t>
  </si>
  <si>
    <t>S/.14.97</t>
  </si>
  <si>
    <t>S/.17.00</t>
  </si>
  <si>
    <t>S/.509.88</t>
  </si>
  <si>
    <t>S/.7.40</t>
  </si>
  <si>
    <t>S/.5.39</t>
  </si>
  <si>
    <t>9 CIL</t>
  </si>
  <si>
    <t>S/.8.93</t>
  </si>
  <si>
    <t>S/.12.57</t>
  </si>
  <si>
    <t>S/.8.20</t>
  </si>
  <si>
    <t>S/.39.92</t>
  </si>
  <si>
    <t>S/.45.32</t>
  </si>
  <si>
    <t>S/.2.16</t>
  </si>
  <si>
    <t>S/.8.87</t>
  </si>
  <si>
    <t>S/.21.78</t>
  </si>
  <si>
    <t>S/.14.75</t>
  </si>
  <si>
    <t>S/.21.11</t>
  </si>
  <si>
    <t>S/.22.22</t>
  </si>
  <si>
    <t>p131</t>
  </si>
  <si>
    <t>supervisión de roseado de guano</t>
  </si>
  <si>
    <t>S/.28.33</t>
  </si>
  <si>
    <t>S/.27.33</t>
  </si>
  <si>
    <t>S/.23.91</t>
  </si>
  <si>
    <t>día cambiado por domingo q realizó trabajo</t>
  </si>
  <si>
    <t>S/.8.75</t>
  </si>
  <si>
    <t>2 cil X 70 soles</t>
  </si>
  <si>
    <t>6 cil x 40</t>
  </si>
  <si>
    <t>P1527</t>
  </si>
  <si>
    <t>Cambio de palos de casa malla</t>
  </si>
  <si>
    <t>S/.24.35</t>
  </si>
  <si>
    <t>7 cil x 40 soles</t>
  </si>
  <si>
    <t>S/.12.44</t>
  </si>
  <si>
    <t>S/.7.54</t>
  </si>
  <si>
    <t>DESCONTAR DE CONTRATO</t>
  </si>
  <si>
    <t>p1527</t>
  </si>
  <si>
    <t>p1117</t>
  </si>
  <si>
    <t>amontonar brosas y quemado</t>
  </si>
  <si>
    <t>S/.4.71</t>
  </si>
  <si>
    <t>20 SACOS</t>
  </si>
  <si>
    <t>S/.52.36</t>
  </si>
  <si>
    <t>26 SACOS</t>
  </si>
  <si>
    <t>S/.68.06</t>
  </si>
  <si>
    <t>10 SACOS</t>
  </si>
  <si>
    <t>S/.26.18</t>
  </si>
  <si>
    <t>28 SACOS</t>
  </si>
  <si>
    <t>S/.73.30</t>
  </si>
  <si>
    <t>21 SACOS</t>
  </si>
  <si>
    <t>S/.54.97</t>
  </si>
  <si>
    <t>S/.10.22</t>
  </si>
  <si>
    <t>S/.17.60</t>
  </si>
  <si>
    <t>4 cil / 70 soles</t>
  </si>
  <si>
    <t>p741</t>
  </si>
  <si>
    <t>P1601</t>
  </si>
  <si>
    <t>Guardianes</t>
  </si>
  <si>
    <t>VIGILANCIA</t>
  </si>
  <si>
    <t>CUIDO COSECHA NOCHE</t>
  </si>
  <si>
    <t>S/.20.31</t>
  </si>
  <si>
    <t>RIEGO DE SIEMBRA ALINEAR MANGUERA</t>
  </si>
  <si>
    <t>TENDIDO DE CINTA Y RIEGO DEPEGA</t>
  </si>
  <si>
    <t>S/.7.50</t>
  </si>
  <si>
    <t>S/.5.33</t>
  </si>
  <si>
    <t>2 CIL / 40 SOLES</t>
  </si>
  <si>
    <t>4 CIL /70 SOLES</t>
  </si>
  <si>
    <t>S/.113.11</t>
  </si>
  <si>
    <t>S/.22.66</t>
  </si>
  <si>
    <t>350 CONTRATO PARA COSER MODULO</t>
  </si>
  <si>
    <t>SE DESCONTO 36 SOLES</t>
  </si>
  <si>
    <t>104.50 C/U</t>
  </si>
  <si>
    <t>S/.104.50</t>
  </si>
  <si>
    <t>S/.43.31</t>
  </si>
  <si>
    <t>P1101</t>
  </si>
  <si>
    <t>cargar y Botar planta - MALEZA</t>
  </si>
  <si>
    <t>NOCHE</t>
  </si>
  <si>
    <t>7.5 GALON</t>
  </si>
  <si>
    <t>S/.458.75</t>
  </si>
  <si>
    <t>S/.73.00</t>
  </si>
  <si>
    <t>S/.2.50</t>
  </si>
  <si>
    <t>S/.1.78</t>
  </si>
  <si>
    <t>S/.26.67</t>
  </si>
  <si>
    <t>1 CIL / 70 SOLES</t>
  </si>
  <si>
    <t>S/.20.11</t>
  </si>
  <si>
    <t>P217</t>
  </si>
  <si>
    <t>P472</t>
  </si>
  <si>
    <t>limpieza fuera de los módulos /cargar palos ,cañas,alambres,etc)</t>
  </si>
  <si>
    <t>S/.78.75</t>
  </si>
  <si>
    <t>S/.56.00</t>
  </si>
  <si>
    <t>P1805</t>
  </si>
  <si>
    <t>P520</t>
  </si>
  <si>
    <t>S/.201.57</t>
  </si>
  <si>
    <t>6 CIL X 70</t>
  </si>
  <si>
    <t>S/.18.67</t>
  </si>
  <si>
    <t>S/.15.08</t>
  </si>
  <si>
    <t>S/.4.49</t>
  </si>
  <si>
    <t>P1503</t>
  </si>
  <si>
    <t>S/.39.38</t>
  </si>
  <si>
    <t>S/.31.87</t>
  </si>
  <si>
    <t>S/.63.28</t>
  </si>
  <si>
    <t>S/.13.60</t>
  </si>
  <si>
    <t>INSTALACION DE CINTA NUEVA</t>
  </si>
  <si>
    <t>REGO DE 5.30 A 10 PM</t>
  </si>
  <si>
    <t>22 de junio labor realizado</t>
  </si>
  <si>
    <t>2.5 cil x 70 soles</t>
  </si>
  <si>
    <t>1cil x 40 soles</t>
  </si>
  <si>
    <t>4.5 Jornales</t>
  </si>
  <si>
    <t>0.5 Jornal</t>
  </si>
  <si>
    <t>S/.1.22</t>
  </si>
  <si>
    <t>p611</t>
  </si>
  <si>
    <t>Levante y enseño de riego</t>
  </si>
  <si>
    <t>S/.53.90</t>
  </si>
  <si>
    <t>S/.13.82</t>
  </si>
  <si>
    <t>Laboro feriado hasta la 1 pm</t>
  </si>
  <si>
    <t>PERSONALQUEBRADA</t>
  </si>
  <si>
    <t>8 personas /55 soles</t>
  </si>
  <si>
    <t>S/.97.78</t>
  </si>
  <si>
    <t>TOTAL PAGADO </t>
  </si>
  <si>
    <t>5 JORNALES RIEGO MACHACO</t>
  </si>
  <si>
    <t>10 personas /55 soles</t>
  </si>
  <si>
    <t>S/.122.22</t>
  </si>
  <si>
    <t>LAVADO DE MODULO</t>
  </si>
  <si>
    <t>SALDO</t>
  </si>
  <si>
    <t>ADELANTO </t>
  </si>
  <si>
    <t>1.3 cil X 40 soles</t>
  </si>
  <si>
    <t>S/.10.40</t>
  </si>
  <si>
    <t>2.7 cil X 40 soles</t>
  </si>
  <si>
    <t>13 personas X 55 soles</t>
  </si>
  <si>
    <t>S/.158.89</t>
  </si>
  <si>
    <t>X CANCELAR</t>
  </si>
  <si>
    <t>traslado de cintas del mpie a la cabecera</t>
  </si>
  <si>
    <t>P714</t>
  </si>
  <si>
    <t>Fumigacion con tractor</t>
  </si>
  <si>
    <t>S/.7.07</t>
  </si>
  <si>
    <t>D714</t>
  </si>
  <si>
    <t>FUMIGACION CON TRACTOR</t>
  </si>
  <si>
    <t>COSTOS INDIRECTOS</t>
  </si>
  <si>
    <t>S/.16.41</t>
  </si>
  <si>
    <t>6 cil X 40 soles</t>
  </si>
  <si>
    <t>13 prrsonas x 55 soles</t>
  </si>
  <si>
    <t>S/.89.23</t>
  </si>
  <si>
    <t>P505</t>
  </si>
  <si>
    <t>Mant. de Sistema de Riego-Goteo</t>
  </si>
  <si>
    <t>P1518</t>
  </si>
  <si>
    <t>Mantenimiento de campo</t>
  </si>
  <si>
    <t>S/.163.00</t>
  </si>
  <si>
    <t>12 prrsonas x 55 soles</t>
  </si>
  <si>
    <t>S/.146.67</t>
  </si>
  <si>
    <t>SE APLICO 4 CIL.</t>
  </si>
  <si>
    <t>S/.62.75</t>
  </si>
  <si>
    <t>S/.55.38</t>
  </si>
  <si>
    <t>S/.10.05</t>
  </si>
  <si>
    <t>INSYALACION DE TUBERIAS</t>
  </si>
  <si>
    <t>S/.19.69</t>
  </si>
  <si>
    <t>27.65 C/U</t>
  </si>
  <si>
    <t>30 X 4.50 =135 CHANCHO</t>
  </si>
  <si>
    <t>P506</t>
  </si>
  <si>
    <t>Mantenimiento de Filtro de riego</t>
  </si>
  <si>
    <t>S/.6.92</t>
  </si>
  <si>
    <t>LC23-26</t>
  </si>
  <si>
    <t>LA VICTORIA C_26</t>
  </si>
  <si>
    <t>ELIMINACION DE CULTIVO DE UVA</t>
  </si>
  <si>
    <t>P429</t>
  </si>
  <si>
    <t>Limpieza de perimetros cañaverales</t>
  </si>
  <si>
    <t>ADICIONALES </t>
  </si>
  <si>
    <t>S/.1.34</t>
  </si>
  <si>
    <t>P126</t>
  </si>
  <si>
    <t>Otras labores con Tractor</t>
  </si>
  <si>
    <t>JALAR ALAMBRES CON TRACTOR PARRON DE UVA</t>
  </si>
  <si>
    <t>S/.28.04</t>
  </si>
  <si>
    <t>D126</t>
  </si>
  <si>
    <t>OTRAS LABORES CON TRACTOR</t>
  </si>
  <si>
    <t>S/.16.34</t>
  </si>
  <si>
    <t>S/.33.14</t>
  </si>
  <si>
    <t>LAVADO DE MODULO CONTRATO ACEVEDO JANANPA PITOY 300 SOLES 0.5 HA DIA 5/7/2026</t>
  </si>
  <si>
    <t>216 X 0.04 =8.64 ADICIONAL JULIA</t>
  </si>
  <si>
    <t>JALAR ALAMBRES PARRON</t>
  </si>
  <si>
    <t>S/.3.77</t>
  </si>
  <si>
    <t>p1704</t>
  </si>
  <si>
    <t>S/.3.99</t>
  </si>
  <si>
    <t>S/.2.55</t>
  </si>
  <si>
    <t>296 JABAS X 1.10 =325 /5 =65.12 C¿U</t>
  </si>
  <si>
    <t>4 SACOS DE CHANCHO X 4.50 = 18 SOLES / 5 = 3.60 C/U</t>
  </si>
  <si>
    <t>TOTAL C/U 68.72 </t>
  </si>
  <si>
    <t>S/.68.72</t>
  </si>
  <si>
    <t>ADICIONAL 296 X0.04= 11.84</t>
  </si>
  <si>
    <t>S/.39.70</t>
  </si>
  <si>
    <t>S/.27.93</t>
  </si>
  <si>
    <t>VARIOS</t>
  </si>
  <si>
    <t>S/.60.33</t>
  </si>
  <si>
    <t>RIVAS CASTILLO JOSE FIDEL</t>
  </si>
  <si>
    <t>P2010</t>
  </si>
  <si>
    <t>CONDUCIR CAMION / SUPESA</t>
  </si>
  <si>
    <t>115 JABAS X 1.10 = 126.50 / 5 = 25.30 C/U</t>
  </si>
  <si>
    <t>25 SACOS DE CHANCHO X 4.50 = 112.50 DE LOS CUALES 20 SON / 3 = 30 SOLES C/U Y DINA SOLO 5 SACOS = 22.50</t>
  </si>
  <si>
    <t>ADICIONAL 115 JABAS X 0.05 = 5.75</t>
  </si>
  <si>
    <t>S/.20.71</t>
  </si>
  <si>
    <t>S/.14.20</t>
  </si>
  <si>
    <t>P1711</t>
  </si>
  <si>
    <t>Estiba Camion</t>
  </si>
  <si>
    <t>DESCARGA 100 SACOS DE YUCA</t>
  </si>
  <si>
    <t>132 JABAS X 1.10 = 145 /9 = 16.13 C/U</t>
  </si>
  <si>
    <t>S/.53.20</t>
  </si>
  <si>
    <t>6 SACOS DE CHANCHO X 4.50 = 27/9 = 3.0 C/U </t>
  </si>
  <si>
    <t>S/.19.13</t>
  </si>
  <si>
    <t>JILIA 19.13 + 15 = 28 SOLES DE RICARDO</t>
  </si>
  <si>
    <t>+</t>
  </si>
  <si>
    <t>p1708</t>
  </si>
  <si>
    <t>limpieza de planta</t>
  </si>
  <si>
    <t>S/.6.28</t>
  </si>
  <si>
    <t>P1713</t>
  </si>
  <si>
    <t>Proceso/selección/YUCA</t>
  </si>
  <si>
    <t>SELECCION YUCA</t>
  </si>
  <si>
    <t>SELECCION CAMOTE</t>
  </si>
  <si>
    <t>187 JABAS X1.10 =205 / 4 = 51 C/U</t>
  </si>
  <si>
    <t>S/.14.90</t>
  </si>
  <si>
    <t>2 SACOS DE CHANCHO X 4.50 = 9 / 4 = 4.50 C/U</t>
  </si>
  <si>
    <t>P1708</t>
  </si>
  <si>
    <t>75 JABAS X 1.10 = 82.50 / 4 = 20.60 C/U </t>
  </si>
  <si>
    <t>S/.47.00</t>
  </si>
  <si>
    <t>S/.8.98</t>
  </si>
  <si>
    <t>7 SACOS DE CHANCHO X 4.5 = 31.5 /5 =6.30 C/U</t>
  </si>
  <si>
    <t>TOTAL C/U 47.88</t>
  </si>
  <si>
    <t>189 X 0.04 = 7.50</t>
  </si>
  <si>
    <t>S/.14.50</t>
  </si>
  <si>
    <t>S/.47.80</t>
  </si>
  <si>
    <t>S/.7.00</t>
  </si>
  <si>
    <t>CANCHUA ALTAMIRANO JUAN CARLOS</t>
  </si>
  <si>
    <t>CARGAR PALOS </t>
  </si>
  <si>
    <t>S/.11.80</t>
  </si>
  <si>
    <t>p705</t>
  </si>
  <si>
    <t>Colocar Trampas Fitosanitarias</t>
  </si>
  <si>
    <t>P705</t>
  </si>
  <si>
    <t>124 JABAS X1.10 = 136 / 5 =27.20 C/U</t>
  </si>
  <si>
    <t>5 SACOS DE CHANCHO X 4.50 = 22.50 /4 =5.60</t>
  </si>
  <si>
    <t>81 JABAS X1.10 = 89 / 4 = 22.20 C/U</t>
  </si>
  <si>
    <t>TOTAL 55 SOLES C/U</t>
  </si>
  <si>
    <t>ADICIONAL JULIA 8 SOLES</t>
  </si>
  <si>
    <t>S/.22.20</t>
  </si>
  <si>
    <t>S/.236.00</t>
  </si>
  <si>
    <t>S/.128.00</t>
  </si>
  <si>
    <t>S/.11.74</t>
  </si>
  <si>
    <t>1.5 CIL X 70 soles</t>
  </si>
  <si>
    <t>p413</t>
  </si>
  <si>
    <t>1.5 cil X 70 soles</t>
  </si>
  <si>
    <t>S/.16.15</t>
  </si>
  <si>
    <t>113 JABAS X 110 = 124 /4 =31 SOLES C/U</t>
  </si>
  <si>
    <t>4 SACOS DE CHANCHO X 4.50 = 18 / 3 = 6 SOLES C/U</t>
  </si>
  <si>
    <t>101 JABAS X 1.10 = 111 / 3 =37 C/U</t>
  </si>
  <si>
    <t>S/.74.00</t>
  </si>
  <si>
    <t>ADICIONAL JULIA 8.50</t>
  </si>
  <si>
    <t>S/.51.00</t>
  </si>
  <si>
    <t>S/.43.40</t>
  </si>
  <si>
    <t>S/.6.96</t>
  </si>
  <si>
    <t>S/.92.00</t>
  </si>
  <si>
    <t>p714</t>
  </si>
  <si>
    <t>p607</t>
  </si>
  <si>
    <t>Desarenar /o recobo la sequía de riego</t>
  </si>
  <si>
    <t>2 personas a 55 soles</t>
  </si>
  <si>
    <t>S/.108.00</t>
  </si>
  <si>
    <t>290 JABAS X 1.10 = 319 /4 = 79 SOLES C/U</t>
  </si>
  <si>
    <t>DE LOS 79 SE DESCONTARA 11 SOLES A RAFA Y ALEXANDER TAYPE TOTAL A PAGAR 68 SOLES Y A JULIA Y CESAR 90 SOLES C/U </t>
  </si>
  <si>
    <t>22 JABAS X 1.10 = 24.20 / 4 = 6 SOLES C/U</t>
  </si>
  <si>
    <t>11 SACOS DE CHANCHO X 4.50 = 49.50/4 =12.30</t>
  </si>
  <si>
    <t>ADICIONAL 11 SOLES</t>
  </si>
  <si>
    <t>REALIZO TRABAJO CON JAVIER</t>
  </si>
  <si>
    <t>4.6 cil</t>
  </si>
  <si>
    <t>S/.8.18</t>
  </si>
  <si>
    <t>Por labor el 12/7/26</t>
  </si>
  <si>
    <t>S/.19.10</t>
  </si>
  <si>
    <t>8 personas a 55</t>
  </si>
  <si>
    <t>LABOR REALIZADO EL 16/7/26</t>
  </si>
  <si>
    <t>P2009</t>
  </si>
  <si>
    <t>ordenar y limpieza</t>
  </si>
  <si>
    <t>144 JABAS X 1.10 = 158.4 /2 = 79.2 SOLES C/U</t>
  </si>
  <si>
    <t>10 SACOS DE CHANCHO X 4.50 = 45 SOLES DE LOS CUALES 13.50 PARA CESAR Y 31.50 JULIA</t>
  </si>
  <si>
    <t>S/.92.50</t>
  </si>
  <si>
    <t>5 SOLES ADICIONAL JULIA </t>
  </si>
  <si>
    <t>S/.84.00</t>
  </si>
  <si>
    <t>S/.38.24</t>
  </si>
  <si>
    <t>S/.3.40</t>
  </si>
  <si>
    <t>P2004</t>
  </si>
  <si>
    <t>Almacen</t>
  </si>
  <si>
    <t>74 JABAS X 1.10 = 81.40 </t>
  </si>
  <si>
    <t>S/.94.00</t>
  </si>
  <si>
    <t>3 SACOS DE CHANCHO</t>
  </si>
  <si>
    <t>8 PERSONAS A 55</t>
  </si>
  <si>
    <t>S/.115.79</t>
  </si>
  <si>
    <t>S/.17.86</t>
  </si>
  <si>
    <t>S/.2.83</t>
  </si>
  <si>
    <t>S/.10.18</t>
  </si>
  <si>
    <t>S/.17.30</t>
  </si>
  <si>
    <t>2 CIL X 40</t>
  </si>
  <si>
    <t>Eliminacion de rastrojo de cultivo/JALAR HOJA</t>
  </si>
  <si>
    <t>S/.12.08</t>
  </si>
  <si>
    <t>98 JABAS X 1.10= 107.8 / 7 = 15.40 HASTA LA 1</t>
  </si>
  <si>
    <t>145 JABAS X 1.10 = 159.5 /3 = 53 SOLES C/U TARDE</t>
  </si>
  <si>
    <t>243 X 0.03 = 7.20 SOLES ADICIONAL JULIA</t>
  </si>
  <si>
    <t>S/.78.20</t>
  </si>
  <si>
    <t>3 SACOS DE CHANCHO X 4.50 SOLES = 13.50 / 7 = 1.90 C/U</t>
  </si>
  <si>
    <t>S/.42.51</t>
  </si>
  <si>
    <t>S/.49.70</t>
  </si>
  <si>
    <t>S/.8.44</t>
  </si>
  <si>
    <t>S/.25.31</t>
  </si>
  <si>
    <t>9 PERSONAS A 55</t>
  </si>
  <si>
    <t>S/.130.26</t>
  </si>
  <si>
    <t>P1801</t>
  </si>
  <si>
    <t>Hacer puertas</t>
  </si>
  <si>
    <t>S/.13.85</t>
  </si>
  <si>
    <t>257 JABAS X1.10 =271 / 3 = 90 SOLES C/U</t>
  </si>
  <si>
    <t>7 SACOS DE CHANCHO X 4.50 = 31.50 /3 = 10.50 C/U</t>
  </si>
  <si>
    <t>S/.56.09</t>
  </si>
  <si>
    <t>S/.45.50</t>
  </si>
  <si>
    <t>ADICIONAL JULIA X 0.03 = 7.70</t>
  </si>
  <si>
    <t>S/.44.00</t>
  </si>
  <si>
    <t>7CIL X 40</t>
  </si>
  <si>
    <t>p1711</t>
  </si>
  <si>
    <t>S/.23.60</t>
  </si>
  <si>
    <t>9 PERSONAS A 55 HASTA 9 AM</t>
  </si>
  <si>
    <t>S/.42.63</t>
  </si>
  <si>
    <t>S/.43.82</t>
  </si>
  <si>
    <t>S/.4.87</t>
  </si>
  <si>
    <t>Limpieza de planta del dia 13/julio/26</t>
  </si>
  <si>
    <t>2 horas adicional por romper puente el 16/07 con jose luis </t>
  </si>
  <si>
    <t>198 JABAS X1.10 = 217 SOLES / </t>
  </si>
  <si>
    <t>JULIA 60+ 62.5</t>
  </si>
  <si>
    <t>S/.87.00</t>
  </si>
  <si>
    <t>CESAR 62.5 </t>
  </si>
  <si>
    <t>S/.82.00</t>
  </si>
  <si>
    <t>SAUL 13</t>
  </si>
  <si>
    <t>8 SACOS DE CHANCHO X 4.50 =36 SOLE</t>
  </si>
  <si>
    <t>6 SACOS DE JULIA Y CESAR</t>
  </si>
  <si>
    <t>2 SACO DE SAUL</t>
  </si>
  <si>
    <t>6 personas a 55</t>
  </si>
  <si>
    <t>S/.43.42</t>
  </si>
  <si>
    <t>Apoyo hijo de alberto janampa el 19 - 50soles y el 20 - 20</t>
  </si>
  <si>
    <t>195 JABAS X 1.10 =214 / 3 = 71.0 C/U</t>
  </si>
  <si>
    <t>6 SACOS DE CHANCHO X 4.50 = 27 SOLES / 3 = 9 SOLES C/U</t>
  </si>
  <si>
    <t>195 JABAS X 0.04 = 7 ADICIONAL JULIA</t>
  </si>
  <si>
    <t>P1712</t>
  </si>
  <si>
    <t>Trasiego de materia prima</t>
  </si>
  <si>
    <t>DEL DIA DOMINGO</t>
  </si>
  <si>
    <t>S/.140.00</t>
  </si>
  <si>
    <t>1 CIL A 70 SOLES</t>
  </si>
  <si>
    <t>1.5 CIL X 70 SOLES</t>
  </si>
  <si>
    <t>1 CIL X 70 SOLES</t>
  </si>
  <si>
    <t>7 PERSONAS A 55 SOLES</t>
  </si>
  <si>
    <t>5 CIL * 40 SOLES</t>
  </si>
  <si>
    <t>S/.1.13</t>
  </si>
  <si>
    <t>P707</t>
  </si>
  <si>
    <t>Evaluación de Trampas Fitosanitarias</t>
  </si>
  <si>
    <t>Evaluacion dia festivo / 23/7/26</t>
  </si>
  <si>
    <t>ACLARANDO SURCO</t>
  </si>
  <si>
    <t>151 JABAS X 1.10 = 166.10 / 3 = 55.30 C/U</t>
  </si>
  <si>
    <t>6 SACOS DE CHANCHO X 4.50 = 27 /3 = 9 SOLES C/U</t>
  </si>
  <si>
    <t>ADICIONAL JULIA 4.50</t>
  </si>
  <si>
    <t>P607</t>
  </si>
  <si>
    <t>S/.35.50</t>
  </si>
  <si>
    <t>S/.14.00</t>
  </si>
  <si>
    <t>3 CIL X 40 SOLES</t>
  </si>
  <si>
    <t>S/.3.75</t>
  </si>
  <si>
    <t>2 CIL X 40 SOLES</t>
  </si>
  <si>
    <t>1 CIL X 40 SOLES</t>
  </si>
  <si>
    <t>S/.17.40</t>
  </si>
  <si>
    <t>239 jabas x 1.10 = 262.9 / 4 65.70 c/u</t>
  </si>
  <si>
    <t>9 sacos de chancho x 4.50 = 40.50 / 4 = 10 soles c/u</t>
  </si>
  <si>
    <t>adicional julia 239 jabas x0.03 = 7 soles </t>
  </si>
  <si>
    <t>31 soles julia y 75 soles ricardo </t>
  </si>
  <si>
    <t>S/.106.00</t>
  </si>
  <si>
    <t>S/.24.00</t>
  </si>
  <si>
    <t>p2010</t>
  </si>
  <si>
    <t>resiembra y aclarar surco</t>
  </si>
  <si>
    <t>S/.3.38</t>
  </si>
  <si>
    <t>esposo de julia </t>
  </si>
  <si>
    <t>p1601</t>
  </si>
  <si>
    <t>S/.17.31</t>
  </si>
  <si>
    <t>P2002</t>
  </si>
  <si>
    <t>Limpieza de Fundo </t>
  </si>
  <si>
    <t>LAVADO DE SERVICIOS REUNION DE ALVARO</t>
  </si>
  <si>
    <t>S/.38.60</t>
  </si>
  <si>
    <t>S/.12.60</t>
  </si>
  <si>
    <t>7 PERSONAS A 55 SOLES X 4 HORAS</t>
  </si>
  <si>
    <t>S/.256.60</t>
  </si>
  <si>
    <t>7 PERSONAS A 55 SOLES X 2 HORAS</t>
  </si>
  <si>
    <t>S/.64.20</t>
  </si>
  <si>
    <t>S/.9.50</t>
  </si>
  <si>
    <t>riego en noche</t>
  </si>
  <si>
    <t>67 JABAS X 1.10 = 73.70 / 6=12</t>
  </si>
  <si>
    <t>8 SACOS DE CHANCHO X 4.50 = 36 SOLES /7 = 5 SOLES C/U</t>
  </si>
  <si>
    <t>TARDE 138 JABAS X 1.10 = 151.80 / 7 = 21.60 C/U</t>
  </si>
  <si>
    <t>ADICIONAL 6 SOLES</t>
  </si>
  <si>
    <t>S/.19.00</t>
  </si>
  <si>
    <t>S/.13.00</t>
  </si>
  <si>
    <t>S/.9.11</t>
  </si>
  <si>
    <t>CAMION</t>
  </si>
  <si>
    <t>4 cil x 40 soles</t>
  </si>
  <si>
    <t>243 JABAS X 1.10 =267.30/3 = 89 SOLES C/U </t>
  </si>
  <si>
    <t>S/.245.00</t>
  </si>
  <si>
    <t>14 SACOS DE CHANCHO X 4.50 = 63 / 3 = 21 C/U</t>
  </si>
  <si>
    <t>245 SOLES DE JULIA Y SU ESPOSO</t>
  </si>
  <si>
    <t>D125</t>
  </si>
  <si>
    <t>S/.6.40</t>
  </si>
  <si>
    <t>p200</t>
  </si>
  <si>
    <t>Corte de esquejes / semilla</t>
  </si>
  <si>
    <t>S/.84.83</t>
  </si>
  <si>
    <t>S/.481.25</t>
  </si>
  <si>
    <t>siembra de maiz</t>
  </si>
  <si>
    <t>ORE FLORES JUAN CARLOS</t>
  </si>
  <si>
    <t>S/.7.20</t>
  </si>
  <si>
    <t>152 JABAS X 1.10 = 167.20 / 3 = 55 SOLES C/U</t>
  </si>
  <si>
    <t>5 SACOS DE CHANCHO X 4.50 = 22.50 / 2 11 C/U</t>
  </si>
  <si>
    <t>S/.66.00</t>
  </si>
  <si>
    <t>S/.29.70</t>
  </si>
  <si>
    <t>4 CIL X40 SOLES / HERBICIDA</t>
  </si>
  <si>
    <t>5 CIL X40 SOLES / INSECTICIDA</t>
  </si>
  <si>
    <t>5 personas a 55 soles</t>
  </si>
  <si>
    <t>S/.1,618.75</t>
  </si>
  <si>
    <t>Personal LULO CAMOTE</t>
  </si>
  <si>
    <t>Por 2.17 Ha.(2.4 Ha real) X 2000.00 soles el dia 17/7</t>
  </si>
  <si>
    <t>S/.542.50</t>
  </si>
  <si>
    <t>Por 3.35 Ha. X 1900.00 soles el dia 24/7</t>
  </si>
  <si>
    <t>S/.795.63</t>
  </si>
  <si>
    <t>Por 5.35 Ha. X 2000.00 soles el dia 29/7</t>
  </si>
  <si>
    <t>S/.1,337.50</t>
  </si>
  <si>
    <t>P125</t>
  </si>
  <si>
    <t>OTERRA 642 ATADOS Y 300 EN LA MAÑANA</t>
  </si>
  <si>
    <t>190 JABAS X 1.10 = 209 / 3 = 69.60 C/U</t>
  </si>
  <si>
    <t>7 SACOS CHANCHO X 4.50 = 31.50 /3 = 10.50 C/U EN LA MAÑANA</t>
  </si>
  <si>
    <t>152 X 1.10 = 167.20 /2 83.60 C/U </t>
  </si>
  <si>
    <t>S/.168.00</t>
  </si>
  <si>
    <t>7 SACOS DE CHANCHO X 4.50 = 31.50 / 2 15.70 C/U</t>
  </si>
  <si>
    <t>S/.96.40</t>
  </si>
  <si>
    <t>342 X0.03 = 10 SOLES JULIA ADICIONAL</t>
  </si>
  <si>
    <t>AMARRAR ESQUEJES TERCIOS DE 50 </t>
  </si>
  <si>
    <t>P611</t>
  </si>
  <si>
    <t>S/.112.50</t>
  </si>
  <si>
    <t>S/.80.43</t>
  </si>
  <si>
    <t>S/.16.09</t>
  </si>
  <si>
    <t>178 JABAS X 1.10 = 195.80/ 4 = 48.90 C/U</t>
  </si>
  <si>
    <t>8 SACOS DE CHANCHO X 4.50 = 36 / 4 = 9 SOLES C/U</t>
  </si>
  <si>
    <t>ADICIONAL 5 SOLES JULIA</t>
  </si>
  <si>
    <t>S/.57.90</t>
  </si>
  <si>
    <t>287 JABAS X 1.10 = 315 /5 = 63.10 C/U</t>
  </si>
  <si>
    <t>S/.144.00</t>
  </si>
  <si>
    <t>10 SACOS DE CHANCHO 0 45 / 5 9 SOLES C/U</t>
  </si>
  <si>
    <t>PAGO DE JULIA Y SU ESPOSO</t>
  </si>
  <si>
    <t>CARGAR PALOS Y POSTS DE CEMENTO</t>
  </si>
  <si>
    <t>S/.4.80</t>
  </si>
  <si>
    <t>7 personas a 55</t>
  </si>
  <si>
    <t>P1534</t>
  </si>
  <si>
    <t>cambiar palos de casa mallas</t>
  </si>
  <si>
    <t>S/.58.00</t>
  </si>
  <si>
    <t>S/.7.25</t>
  </si>
  <si>
    <t>S/.19.79</t>
  </si>
  <si>
    <t>ESTIBA 34 SACOS X 2.50 /2</t>
  </si>
  <si>
    <t>138 JABAS X 1.10 /151.80 /4 /37.90</t>
  </si>
  <si>
    <t>12 SACOS DE CHANCHO X 4.50/54/7.80 C/U SAUL 22.50</t>
  </si>
  <si>
    <t>ADICIONAL 138X 0.03 / 4 SOLES</t>
  </si>
  <si>
    <t>S/.44.90</t>
  </si>
  <si>
    <t>S/.2.40</t>
  </si>
  <si>
    <t>5.2 CIL A 40 SOLES / HERBICIDA</t>
  </si>
  <si>
    <t>S/.5.20</t>
  </si>
  <si>
    <t>4 CIL A 40 SOLES / DRECH</t>
  </si>
  <si>
    <t>riego noche</t>
  </si>
  <si>
    <t>P401</t>
  </si>
  <si>
    <t>Cultivo con caballo/abrida/cajoneo</t>
  </si>
  <si>
    <t>CABALLO</t>
  </si>
  <si>
    <t>Michael Manrique Ruiz</t>
  </si>
  <si>
    <t>POR CULTIVO DE 4.5 HECTARIAS</t>
  </si>
  <si>
    <t>Teodomiro Giron Santiago</t>
  </si>
  <si>
    <t>POR RIEGO DE 4.5 HECTARIAS</t>
  </si>
  <si>
    <t>S/.134.44</t>
  </si>
  <si>
    <t>P439</t>
  </si>
  <si>
    <t>Aclarar surcos con tractor</t>
  </si>
  <si>
    <t>S/.0.64</t>
  </si>
  <si>
    <t>294 JABAS X 1.10 /323.40 / 4/80.80 C/U</t>
  </si>
  <si>
    <t>5 SACOS DE CHANCHO X 4.50 /22.50 / 4/ 5.60</t>
  </si>
  <si>
    <t>ADICIONAL JULIA 294 X 0.03 / 8 SOLES </t>
  </si>
  <si>
    <t>S/.86.40</t>
  </si>
  <si>
    <t>S/.63.80</t>
  </si>
  <si>
    <t>S/.55.80</t>
  </si>
  <si>
    <t>7 CIL A 40 SOLES / DRECH</t>
  </si>
  <si>
    <t>1 CIL A 40 SOLES </t>
  </si>
  <si>
    <t>9 rayas</t>
  </si>
  <si>
    <t>7.5 rayas</t>
  </si>
  <si>
    <t>8 rayas</t>
  </si>
  <si>
    <t>S/.38.00</t>
  </si>
  <si>
    <t>10 rayas</t>
  </si>
  <si>
    <t>S/.70.00</t>
  </si>
  <si>
    <t>249 JABAS X 1.10 / 273.90 / 4 68.40</t>
  </si>
  <si>
    <t>6 SACOS DE CHANCHO X 4.50 / 27/4/6.70 C/U</t>
  </si>
  <si>
    <t>8 personas</t>
  </si>
  <si>
    <t>S/.126.00</t>
  </si>
  <si>
    <t>S/.3.14</t>
  </si>
  <si>
    <t>S/.24.44</t>
  </si>
  <si>
    <t>S/.4.46</t>
  </si>
  <si>
    <t>S/.8.29</t>
  </si>
  <si>
    <t>54 JABAS X 1.10 /59.40/3/19.80 C/U</t>
  </si>
  <si>
    <t>4 SACOS DE CHAMCHO X 4.50 /18/3/6</t>
  </si>
  <si>
    <t>S/.10.50</t>
  </si>
  <si>
    <t>P1509</t>
  </si>
  <si>
    <t>Poda y Siembra de Cercos</t>
  </si>
  <si>
    <t>P1530</t>
  </si>
  <si>
    <t>mantenimiento al jardín </t>
  </si>
  <si>
    <t>8 cil x 40 soles</t>
  </si>
  <si>
    <t>176 JABAS X 1.10 /193.60/4/48.40</t>
  </si>
  <si>
    <t>9 SACOS DE CHANCHO X 4.50 /40.50/4/10 C/U</t>
  </si>
  <si>
    <t>S/.58.40</t>
  </si>
  <si>
    <t>S/.22.70</t>
  </si>
  <si>
    <t>193 JABAS X 1.10 /212.30/4/53.07</t>
  </si>
  <si>
    <t>S/.131.13</t>
  </si>
  <si>
    <t>8.5 SACOS DE CHANCHO X 4.50 /38.25/4/9.60 C/U</t>
  </si>
  <si>
    <t>S/.62.67</t>
  </si>
  <si>
    <t>1 cil x 40</t>
  </si>
  <si>
    <t>S/.16.63</t>
  </si>
  <si>
    <t>ingreso 10y30 am</t>
  </si>
  <si>
    <t>GARCIA GUTIERREZ MIRTHA GUADALUPE</t>
  </si>
  <si>
    <t>VALLALADIC GARCIA MAYUMI SARITA</t>
  </si>
  <si>
    <t>S/.13.39</t>
  </si>
  <si>
    <t>S/.6.18</t>
  </si>
  <si>
    <t>P521</t>
  </si>
  <si>
    <t>Tendido De Cintas/Fertirriego</t>
  </si>
  <si>
    <t>299 jabas, dividir 169 jb entre 3 y 130/2</t>
  </si>
  <si>
    <t>Porque María Sánchez solo estuvo hasta 1/2 dia</t>
  </si>
  <si>
    <t>12.5 sacos de chancho, 2 para maría y 10.5 para el resto</t>
  </si>
  <si>
    <t>S/.84.49</t>
  </si>
  <si>
    <t>S/.19.98</t>
  </si>
  <si>
    <t>S/.75.52</t>
  </si>
  <si>
    <t>S/.4.21</t>
  </si>
  <si>
    <t>S/.29.61</t>
  </si>
  <si>
    <t>S/.12.30</t>
  </si>
  <si>
    <t>P8031</t>
  </si>
  <si>
    <t>Poda 2</t>
  </si>
  <si>
    <t>S/.42.42</t>
  </si>
  <si>
    <t>S/.29.38</t>
  </si>
  <si>
    <t>9 SACOS A 5 SOLES + 2 X 4.5 SOLES</t>
  </si>
  <si>
    <t>9 SACOS A 5 SOLES +0.5 X 4.5 SOLES</t>
  </si>
  <si>
    <t>S/.24.74</t>
  </si>
  <si>
    <t>13 SACOS A 5 SOLES +1 X 4.5 SOLES</t>
  </si>
  <si>
    <t>S/.36.39</t>
  </si>
  <si>
    <t>10 SACOS A 5 SOLES + 0.5 X 4.5 SOLES</t>
  </si>
  <si>
    <t>S/.27.36</t>
  </si>
  <si>
    <t>21 SACOS A 5 SOLES + 1 X 4.5 SOLES</t>
  </si>
  <si>
    <t>S/.57.33</t>
  </si>
  <si>
    <t>P508</t>
  </si>
  <si>
    <t>TODO LO DEL 11 SE LE PAGA COMO EVENTUAL X DESCANSO MÉDICO</t>
  </si>
  <si>
    <t>p424</t>
  </si>
  <si>
    <t>Se botó paja en el tractor</t>
  </si>
  <si>
    <t>37 JABASX1.10 = 40.70</t>
  </si>
  <si>
    <t>SUPERVISIÓN HASTA LAS 7:30 PM</t>
  </si>
  <si>
    <t>16 SACOSX5=80 // 1 SACO X 4.50= TODO= S/.84.5</t>
  </si>
  <si>
    <t>S/.2.92</t>
  </si>
  <si>
    <t>29 SACOS A 6 SOLES + 1.5 PLANTA A 4.5</t>
  </si>
  <si>
    <t>S/.94.63</t>
  </si>
  <si>
    <t>28 SACOS A 6 SOLES + 3 PLANTA A 4.5</t>
  </si>
  <si>
    <t>S/.95.03</t>
  </si>
  <si>
    <t>27 SACOS A 6 SOLES + 1.5 PLANTA A 4.5</t>
  </si>
  <si>
    <t>S/.88.35</t>
  </si>
  <si>
    <t>25 SACOS A 6 SOLES</t>
  </si>
  <si>
    <t>S/.78.53</t>
  </si>
  <si>
    <t>30 SACOS A 6 SOLES + 2 PLANTA A 4.5</t>
  </si>
  <si>
    <t>S/.98.95</t>
  </si>
  <si>
    <t>S/.27.40</t>
  </si>
  <si>
    <t>por su hija Jackelyn mendoza sanchez</t>
  </si>
  <si>
    <t>P200</t>
  </si>
  <si>
    <t>SIEMBRA</t>
  </si>
  <si>
    <t>S/.5.34</t>
  </si>
  <si>
    <t>6 HR LABORES Y 2 HRS PASO A SELECCIONAR A PLANTA</t>
  </si>
  <si>
    <t>204 JABAS/9=24.93 + 5 sacos de chancho 2.47 c/u</t>
  </si>
  <si>
    <t>S/.7.01</t>
  </si>
  <si>
    <t>27.40+6.12 DE COMISION</t>
  </si>
  <si>
    <t>S/.33.52</t>
  </si>
  <si>
    <t>24 SACOS X 5 SOLES Y 2 SACOS X 6 SOLES (PARA PLANTA)</t>
  </si>
  <si>
    <t>S/.26.40</t>
  </si>
  <si>
    <t>208 jabas x 1.10=118.80/7 =32.68</t>
  </si>
  <si>
    <t>comision 6.24</t>
  </si>
  <si>
    <t>Chancho 3 x 4.5=13.5 /7 = 1.92</t>
  </si>
  <si>
    <t>S/.17.20</t>
  </si>
  <si>
    <t>c/u 34.60</t>
  </si>
  <si>
    <t>16 SACOS A 5 SOLES+ 1 X 4.5 SOLES</t>
  </si>
  <si>
    <t>S/.44.24</t>
  </si>
  <si>
    <t>16 SACOS A 5 SOLES + 1.5 X 4.5 SOLES</t>
  </si>
  <si>
    <t>S/.45.42</t>
  </si>
  <si>
    <t>16 SACOS A 5 SOLES</t>
  </si>
  <si>
    <t>18 SACOS</t>
  </si>
  <si>
    <t>S/.47.12</t>
  </si>
  <si>
    <t>13 sacos a 5 soles + 2 x 4.5 soles</t>
  </si>
  <si>
    <t>S/.38.74</t>
  </si>
  <si>
    <t>6 personal</t>
  </si>
  <si>
    <t>S/.206.25</t>
  </si>
  <si>
    <t>S/.165.00</t>
  </si>
  <si>
    <t>S/.34.59</t>
  </si>
  <si>
    <t>S/.25.54</t>
  </si>
  <si>
    <t>S/.19.30</t>
  </si>
  <si>
    <t>332 JABAS X 1.10=365.20/8PERS =45.65</t>
  </si>
  <si>
    <t>4 SACOS CHANCHO X 4.5=18/8 PERS=2.25</t>
  </si>
  <si>
    <t>TOTAL POR PERSONA= 48.30</t>
  </si>
  <si>
    <t>COMISION: 9.96</t>
  </si>
  <si>
    <t>N°</t>
  </si>
  <si>
    <t>NOMBRE</t>
  </si>
  <si>
    <t>COD LOTE</t>
  </si>
  <si>
    <t>FECHA COSECHA</t>
  </si>
  <si>
    <t>VARIEDAD</t>
  </si>
  <si>
    <t>CULT ANTERIOR</t>
  </si>
  <si>
    <t>PROCEDENCIA /EDAD</t>
  </si>
  <si>
    <t>TIPO X</t>
  </si>
  <si>
    <t>ESTADO</t>
  </si>
  <si>
    <t>NOTA</t>
  </si>
  <si>
    <t>super jonatan</t>
  </si>
  <si>
    <t>*Semilla se compró fuera</t>
  </si>
  <si>
    <t>Gravedad</t>
  </si>
  <si>
    <t>CULMINADO</t>
  </si>
  <si>
    <t>ACTIVO</t>
  </si>
  <si>
    <t>CAMOTE AMARILLO (SUPER JONATAN)</t>
  </si>
  <si>
    <t>LT POZO (87 Dias)</t>
  </si>
  <si>
    <t>LT POZO (111 Dias)</t>
  </si>
  <si>
    <t>PIMIENTO</t>
  </si>
  <si>
    <t>LT CASAS (77 días)</t>
  </si>
  <si>
    <t>Sistema</t>
  </si>
  <si>
    <t>CH117</t>
  </si>
  <si>
    <t>SANDIA</t>
  </si>
  <si>
    <t>Vivero Viñedos</t>
  </si>
  <si>
    <t>LT CASAS (95 días)</t>
  </si>
  <si>
    <t>TOMATE</t>
  </si>
  <si>
    <t>LT POZO (130 días)</t>
  </si>
  <si>
    <t>LT CASAS (93 días)</t>
  </si>
  <si>
    <t>COL</t>
  </si>
  <si>
    <t>Semilleros</t>
  </si>
  <si>
    <t>Esqueje Molina</t>
  </si>
  <si>
    <t>solo está sembrao 0.75</t>
  </si>
  <si>
    <t>LT CALAGUA (58 días)</t>
  </si>
  <si>
    <t>LT calagua (72 dias)</t>
  </si>
  <si>
    <t>ZANAHORITA</t>
  </si>
  <si>
    <t>Vivero barranca</t>
  </si>
  <si>
    <t>Ruda </t>
  </si>
  <si>
    <t>UVA</t>
  </si>
  <si>
    <t>NATUPERU</t>
  </si>
  <si>
    <t>mo</t>
  </si>
  <si>
    <t>sublabor</t>
  </si>
  <si>
    <t>costo</t>
  </si>
  <si>
    <t>descripcion</t>
  </si>
  <si>
    <t>CODIGO</t>
  </si>
  <si>
    <t>NOMBRES Y APELLIDOS</t>
  </si>
  <si>
    <t>COSTO</t>
  </si>
  <si>
    <t>ESTADO TRABAJADOR</t>
  </si>
  <si>
    <t>idsubcosto</t>
  </si>
  <si>
    <t>sub LABOR TERCERIZADA</t>
  </si>
  <si>
    <t>P101</t>
  </si>
  <si>
    <t>Llenado en saco de Guano/Humus/Guano de gallina</t>
  </si>
  <si>
    <t>P1</t>
  </si>
  <si>
    <t>MARINO</t>
  </si>
  <si>
    <t>A01A</t>
  </si>
  <si>
    <t>AJI</t>
  </si>
  <si>
    <t>1-BELLEZA VEGA MARINO</t>
  </si>
  <si>
    <t>M101</t>
  </si>
  <si>
    <t>Rayado para riego machaco</t>
  </si>
  <si>
    <t>M1</t>
  </si>
  <si>
    <t>PREPARACIÓN DE TERRENO</t>
  </si>
  <si>
    <t>V0001</t>
  </si>
  <si>
    <t>Pigua</t>
  </si>
  <si>
    <t>P102</t>
  </si>
  <si>
    <t>Aporcar Manualmente</t>
  </si>
  <si>
    <t>BERENJENA</t>
  </si>
  <si>
    <t>A02A</t>
  </si>
  <si>
    <t>2-SANCHEZ MONTOYA DINA CLEMENCIA</t>
  </si>
  <si>
    <t>M102</t>
  </si>
  <si>
    <t>M2</t>
  </si>
  <si>
    <t>CASAS</t>
  </si>
  <si>
    <t>A03A</t>
  </si>
  <si>
    <t>3-MAYTA QUISPE ROMMEL FELICIANO</t>
  </si>
  <si>
    <t>M103</t>
  </si>
  <si>
    <t>Arado, doble grada y rayado para siembra</t>
  </si>
  <si>
    <t>M3</t>
  </si>
  <si>
    <t>P104</t>
  </si>
  <si>
    <t>Diseñar el campo/Pará marcado el surco </t>
  </si>
  <si>
    <t>TRIANGULO</t>
  </si>
  <si>
    <t>A04A</t>
  </si>
  <si>
    <t>4-ACEVEDO HUAMAN JUAN CARLOS</t>
  </si>
  <si>
    <t>M104</t>
  </si>
  <si>
    <t>M4</t>
  </si>
  <si>
    <t>CALAGUA A</t>
  </si>
  <si>
    <t>A02A24</t>
  </si>
  <si>
    <t>OCARES CAMA ANGEL JOSE</t>
  </si>
  <si>
    <t>5-OCARES CAMA ANGEL JOSE</t>
  </si>
  <si>
    <t>M105</t>
  </si>
  <si>
    <t>Pasada de grada</t>
  </si>
  <si>
    <t>M5</t>
  </si>
  <si>
    <t>LOTE 1 A</t>
  </si>
  <si>
    <t>A01A24</t>
  </si>
  <si>
    <t>6-SULCA AROTINCO PEDRO PABLO</t>
  </si>
  <si>
    <t>M106</t>
  </si>
  <si>
    <t>M6</t>
  </si>
  <si>
    <t>CH03AR</t>
  </si>
  <si>
    <t>CHALA</t>
  </si>
  <si>
    <t>7-RIVAS CASTILLO JOSE FIDEL</t>
  </si>
  <si>
    <t>M107</t>
  </si>
  <si>
    <t>Aporque con tractor</t>
  </si>
  <si>
    <t>M7</t>
  </si>
  <si>
    <t>CH04AR</t>
  </si>
  <si>
    <t>FRANCIA VELASQUEZ JOSE LUIS</t>
  </si>
  <si>
    <t>8-FRANCIA VELASQUEZ JOSE LUIS</t>
  </si>
  <si>
    <t>M108</t>
  </si>
  <si>
    <t>Cultivo y rayado con tractor</t>
  </si>
  <si>
    <t>M8</t>
  </si>
  <si>
    <t>CH05AR</t>
  </si>
  <si>
    <t>PALOMINO GALINDO IRMA</t>
  </si>
  <si>
    <t>9-PALOMINO GALINDO IRMA</t>
  </si>
  <si>
    <t>P110</t>
  </si>
  <si>
    <t>Hacer surco en las salidas</t>
  </si>
  <si>
    <t>QUISPE</t>
  </si>
  <si>
    <t>E01</t>
  </si>
  <si>
    <t>ESPARRAGO</t>
  </si>
  <si>
    <t>SANCHEZ CHUMPITAZ CARMEN LUZ</t>
  </si>
  <si>
    <t>10-SANCHEZ CHUMPITAZ CARMEN LUZ</t>
  </si>
  <si>
    <t>P111</t>
  </si>
  <si>
    <t>Pasada caballo</t>
  </si>
  <si>
    <t>GABINO E</t>
  </si>
  <si>
    <t>E02</t>
  </si>
  <si>
    <t>11-SANCHEZ CHUMPITAZ RUBEN GABINO</t>
  </si>
  <si>
    <t>P112</t>
  </si>
  <si>
    <t>Rociado de afrecho(cebo tóxico )</t>
  </si>
  <si>
    <t>CALAGUA E</t>
  </si>
  <si>
    <t>E03</t>
  </si>
  <si>
    <t>KOO MURGA PEDRO ARMANDO</t>
  </si>
  <si>
    <t>12-KOO MURGA PEDRO ARMANDO</t>
  </si>
  <si>
    <t>P113</t>
  </si>
  <si>
    <t>Medido de terrero</t>
  </si>
  <si>
    <t>T07H</t>
  </si>
  <si>
    <t>SANCHEZ JAUREGUI JIMENA</t>
  </si>
  <si>
    <t>13-SANCHEZ JAUREGUI JIMENA</t>
  </si>
  <si>
    <t>POZO</t>
  </si>
  <si>
    <t>CH02A</t>
  </si>
  <si>
    <t>JAUREGUI FLORES BEATRIZ</t>
  </si>
  <si>
    <t>14-JAUREGUI FLORES BEATRIZ</t>
  </si>
  <si>
    <t>P115</t>
  </si>
  <si>
    <t>Nivelado de terrenos acequias</t>
  </si>
  <si>
    <t>MOD 1</t>
  </si>
  <si>
    <t>G01A24</t>
  </si>
  <si>
    <t>MARACUYA</t>
  </si>
  <si>
    <t>KOO SANCHEZ CARMEN CARIDAD</t>
  </si>
  <si>
    <t>15-KOO SANCHEZ CARMEN CARIDAD</t>
  </si>
  <si>
    <t>MOD 2</t>
  </si>
  <si>
    <t>G02A</t>
  </si>
  <si>
    <t>SANCHEZ CHUMPITAZ OSCAR</t>
  </si>
  <si>
    <t>16-SANCHEZ CHUMPITAZ OSCAR</t>
  </si>
  <si>
    <t>P117</t>
  </si>
  <si>
    <t>Arado con máquina</t>
  </si>
  <si>
    <t>SILVIA</t>
  </si>
  <si>
    <t>S02A24</t>
  </si>
  <si>
    <t>FLORES DIAZ MARIA ISABEL</t>
  </si>
  <si>
    <t>17-FLORES DIAZ MARIA ISABEL</t>
  </si>
  <si>
    <t>LOTE 1 S</t>
  </si>
  <si>
    <t>S01X24</t>
  </si>
  <si>
    <t>PONCE ALCANTARA CONSTANTINA</t>
  </si>
  <si>
    <t>18-PONCE ALCANTARA CONSTANTINA</t>
  </si>
  <si>
    <t>P119</t>
  </si>
  <si>
    <t>Levantado para rayado</t>
  </si>
  <si>
    <t>LOTE 2 S</t>
  </si>
  <si>
    <t>S02X24</t>
  </si>
  <si>
    <t>19-SANCHEZ NAVARRO MARIA ESTHER</t>
  </si>
  <si>
    <t>KINA</t>
  </si>
  <si>
    <t>S01A24</t>
  </si>
  <si>
    <t>VICENTE HERNANDEZ WILDER</t>
  </si>
  <si>
    <t>20-VICENTE HERNANDEZ WILDER</t>
  </si>
  <si>
    <t>T08A23</t>
  </si>
  <si>
    <t>21-CANCHUA ALTAMIRANO JUAN CARLOS</t>
  </si>
  <si>
    <t>P122</t>
  </si>
  <si>
    <t>Pasado de uña o punta</t>
  </si>
  <si>
    <t>MOD 8</t>
  </si>
  <si>
    <t>T07A23</t>
  </si>
  <si>
    <t>MAEDA ARIAS ADOLFO</t>
  </si>
  <si>
    <t>22-MAEDA ARIAS ADOLFO</t>
  </si>
  <si>
    <t>P123</t>
  </si>
  <si>
    <t>Elaborar camas</t>
  </si>
  <si>
    <t>MOD 6</t>
  </si>
  <si>
    <t>T05A23</t>
  </si>
  <si>
    <t>COAGUILA SULLER GRACIELA</t>
  </si>
  <si>
    <t>23-COAGUILA SULLER GRACIELA</t>
  </si>
  <si>
    <t>MOD 7</t>
  </si>
  <si>
    <t>T06A23</t>
  </si>
  <si>
    <t>GONZALEZ YAHUANA MERLY</t>
  </si>
  <si>
    <t>24-GONZALEZ YAHUANA MERLY</t>
  </si>
  <si>
    <t>PACARAN</t>
  </si>
  <si>
    <t>P01A</t>
  </si>
  <si>
    <t>25-QUISPE CONILLA GISELA</t>
  </si>
  <si>
    <t>MOD 3</t>
  </si>
  <si>
    <t>T01A23</t>
  </si>
  <si>
    <t>26-HUERE GUADALUPE ELIZABETH </t>
  </si>
  <si>
    <t>P127</t>
  </si>
  <si>
    <t>Rotovator</t>
  </si>
  <si>
    <t>MOD 4</t>
  </si>
  <si>
    <t>T02A23</t>
  </si>
  <si>
    <t>ARTEAGA ACEVEDO ARTURO BRIAN</t>
  </si>
  <si>
    <t>27-ARTEAGA ACEVEDO ARTURO BRIAN</t>
  </si>
  <si>
    <t>P128</t>
  </si>
  <si>
    <t>MOD 5</t>
  </si>
  <si>
    <t>T03A23</t>
  </si>
  <si>
    <t>KOO SANCHEZ ALVARO ARTURO</t>
  </si>
  <si>
    <t>28-KOO SANCHEZ ALVARO ARTURO</t>
  </si>
  <si>
    <t>P129</t>
  </si>
  <si>
    <t>supervisar el tractor para el rayado /preparación de terreno </t>
  </si>
  <si>
    <t>SANCHEZ VALDEZ CARLOS ROBERTO</t>
  </si>
  <si>
    <t>29-SANCHEZ VALDEZ CARLOS ROBERTO</t>
  </si>
  <si>
    <t>p130</t>
  </si>
  <si>
    <t>quemado de brosa</t>
  </si>
  <si>
    <t>CALAGUA H</t>
  </si>
  <si>
    <t>H01</t>
  </si>
  <si>
    <t>HUMUS</t>
  </si>
  <si>
    <t>NO</t>
  </si>
  <si>
    <t>NAIVAREZ SANCHEZ ANUSKA ARACELY</t>
  </si>
  <si>
    <t>30-NAIVAREZ SANCHEZ ANUSKA ARACELY</t>
  </si>
  <si>
    <t>MOD 10</t>
  </si>
  <si>
    <t>T04A23</t>
  </si>
  <si>
    <t>LEON GARCIA ANA MARIA</t>
  </si>
  <si>
    <t>31-LEON GARCIA ANA MARIA</t>
  </si>
  <si>
    <t>p132</t>
  </si>
  <si>
    <t>Aporque con caballo </t>
  </si>
  <si>
    <t>ACEVEDO</t>
  </si>
  <si>
    <t>S03A24</t>
  </si>
  <si>
    <t>ALCALA RIVERA LUZ MERY</t>
  </si>
  <si>
    <t>32-ALCALA RIVERA LUZ MERY</t>
  </si>
  <si>
    <t>p133</t>
  </si>
  <si>
    <t>SUBSOLADO</t>
  </si>
  <si>
    <t>P2</t>
  </si>
  <si>
    <t>78-JANAMPA QUISPE CESAR</t>
  </si>
  <si>
    <t>NINASQUE GOICOCHEA KELLY LESLY</t>
  </si>
  <si>
    <t>33-NINASQUE GOICOCHEA KELLY LESLY</t>
  </si>
  <si>
    <t>P201</t>
  </si>
  <si>
    <t>P202</t>
  </si>
  <si>
    <t>Desinfectar Plantines/Coronas</t>
  </si>
  <si>
    <t>LOTE 3 S</t>
  </si>
  <si>
    <t>s03x24</t>
  </si>
  <si>
    <t>34-ORE FLORES JUAN CARLOS</t>
  </si>
  <si>
    <t>P203</t>
  </si>
  <si>
    <t>Apartar paja del grano</t>
  </si>
  <si>
    <t>POZO A</t>
  </si>
  <si>
    <t>PAREJA COLLADO CRISTHIAN SAMUEL</t>
  </si>
  <si>
    <t>35-PAREJA COLLADO CRISTHIAN SAMUEL</t>
  </si>
  <si>
    <t>P204</t>
  </si>
  <si>
    <t>Elaborar hoyos para siembra</t>
  </si>
  <si>
    <t>BALVINA</t>
  </si>
  <si>
    <t>SA23</t>
  </si>
  <si>
    <t>COCHACHE CHIHUAN BERTILA ERLINDA</t>
  </si>
  <si>
    <t>36-COCHACHE CHIHUAN BERTILA ERLINDA</t>
  </si>
  <si>
    <t>P205</t>
  </si>
  <si>
    <t>Marcado para Siembra</t>
  </si>
  <si>
    <t>MODULOS</t>
  </si>
  <si>
    <t>AGUADO GORGUILLO ANDRES ALCIDES</t>
  </si>
  <si>
    <t>37-AGUADO GORGUILLO ANDRES ALCIDES</t>
  </si>
  <si>
    <t>LOTE 1 PALTO</t>
  </si>
  <si>
    <t>L1P</t>
  </si>
  <si>
    <t>ESPINOZA MELCHOR RENAN</t>
  </si>
  <si>
    <t>38-ESPINOZA MELCHOR RENAN</t>
  </si>
  <si>
    <t>LOTE 2 PALTO</t>
  </si>
  <si>
    <t>L2P</t>
  </si>
  <si>
    <t>VELASQUEZ VILAS LEOCADIA SANTA</t>
  </si>
  <si>
    <t>39-VELASQUEZ VILAS LEOCADIA SANTA</t>
  </si>
  <si>
    <t>P208</t>
  </si>
  <si>
    <t>Preparacion de Marcadores</t>
  </si>
  <si>
    <t>MOD 3A</t>
  </si>
  <si>
    <t>COL1-24</t>
  </si>
  <si>
    <t>40-CALAGUA ARIAS WALTER</t>
  </si>
  <si>
    <t>P209</t>
  </si>
  <si>
    <t>Estimacion/Siembra</t>
  </si>
  <si>
    <t>MOD10</t>
  </si>
  <si>
    <t>COL2-24</t>
  </si>
  <si>
    <t>GONZALES ALCARRAZ ROSA MARIA</t>
  </si>
  <si>
    <t>41-GONZALES ALCARRAZ ROSA MARIA</t>
  </si>
  <si>
    <t>P210</t>
  </si>
  <si>
    <t>Tapado de semilla</t>
  </si>
  <si>
    <t>MOD4</t>
  </si>
  <si>
    <t>COL3-24</t>
  </si>
  <si>
    <t>GARCIA SANCHEZ JUANITA</t>
  </si>
  <si>
    <t>42-GARCIA SANCHEZ JUANITA</t>
  </si>
  <si>
    <t>P211</t>
  </si>
  <si>
    <t>Marcado y Siembra</t>
  </si>
  <si>
    <t>MOD 3B</t>
  </si>
  <si>
    <t>LEC1-24</t>
  </si>
  <si>
    <t>LECHUGA</t>
  </si>
  <si>
    <t>43-HUAMAN QUISPE DE CIPRIAN MARIA</t>
  </si>
  <si>
    <t>P212</t>
  </si>
  <si>
    <t>Retapado semilla</t>
  </si>
  <si>
    <t>MOD 5A</t>
  </si>
  <si>
    <t>COL4-24</t>
  </si>
  <si>
    <t>ISASI LARICO ESMERAL LUISA</t>
  </si>
  <si>
    <t>44-ISASI LARICO ESMERAL LUISA</t>
  </si>
  <si>
    <t>CASAS1</t>
  </si>
  <si>
    <t>COL5-24</t>
  </si>
  <si>
    <t>45-TAIPE SANCHEZ ALEXANDER</t>
  </si>
  <si>
    <t>P214</t>
  </si>
  <si>
    <t>Armado el marcador</t>
  </si>
  <si>
    <t>CASAS2</t>
  </si>
  <si>
    <t>LEC2-24</t>
  </si>
  <si>
    <t>GERONIMO HUARI ROLANDO HIGOVER</t>
  </si>
  <si>
    <t>46-GERONIMO HUARI ROLANDO HIGOVER</t>
  </si>
  <si>
    <t>P215</t>
  </si>
  <si>
    <t>CASAS3</t>
  </si>
  <si>
    <t>COL6-24</t>
  </si>
  <si>
    <t>ROMERO RAMIREZ ANGELA KAROLAY</t>
  </si>
  <si>
    <t>47-ROMERO RAMIREZ ANGELA KAROLAY</t>
  </si>
  <si>
    <t>P216</t>
  </si>
  <si>
    <t>Encamado para siembra/lampa y rastrillo</t>
  </si>
  <si>
    <t>CASAS4</t>
  </si>
  <si>
    <t>LEC3-24</t>
  </si>
  <si>
    <t>ESCOBAR TORNERO EMILY</t>
  </si>
  <si>
    <t>48-ESCOBAR TORNERO EMILY</t>
  </si>
  <si>
    <t>MOD7</t>
  </si>
  <si>
    <t>H04SP</t>
  </si>
  <si>
    <t>49-CASTRO PEVE MIRIAN</t>
  </si>
  <si>
    <t>P218</t>
  </si>
  <si>
    <t>Realizar plantines en bandeja</t>
  </si>
  <si>
    <t>YAURI 1</t>
  </si>
  <si>
    <t>H01SS</t>
  </si>
  <si>
    <t>GARCIA GUTIERREZ ANA MARIA</t>
  </si>
  <si>
    <t>50-GARCIA GUTIERREZ ANA MARIA</t>
  </si>
  <si>
    <t>ESMERALDA</t>
  </si>
  <si>
    <t>H03SS</t>
  </si>
  <si>
    <t>GARCIA GUTIERREZ CARMEN ROSA</t>
  </si>
  <si>
    <t>51-GARCIA GUTIERREZ CARMEN ROSA</t>
  </si>
  <si>
    <t>P220</t>
  </si>
  <si>
    <t>siembra con maquinita </t>
  </si>
  <si>
    <t>SILVIA 1</t>
  </si>
  <si>
    <t>H05SS</t>
  </si>
  <si>
    <t>52-GARCIA GUTIERREZ MIRTHA GUADALUPE</t>
  </si>
  <si>
    <t>P221</t>
  </si>
  <si>
    <t>pasado de rastrillo al cachete de siembra/con lampa</t>
  </si>
  <si>
    <t>-</t>
  </si>
  <si>
    <t>P222</t>
  </si>
  <si>
    <t>instalación plástico al suelo para la siembra </t>
  </si>
  <si>
    <t>P223</t>
  </si>
  <si>
    <t>guiando la movilidad con plantas</t>
  </si>
  <si>
    <t>P224</t>
  </si>
  <si>
    <t>P226</t>
  </si>
  <si>
    <t>P3</t>
  </si>
  <si>
    <t>SILVIA 2</t>
  </si>
  <si>
    <t>H06SP</t>
  </si>
  <si>
    <t>53-GARCIA GUTIERREZ RAFAEL</t>
  </si>
  <si>
    <t>MOD6</t>
  </si>
  <si>
    <t>H07SP</t>
  </si>
  <si>
    <t>HUAIRE ARROYO PEDRO GERARDO</t>
  </si>
  <si>
    <t>54-HUAIRE ARROYO PEDRO GERARDO</t>
  </si>
  <si>
    <t>P3012</t>
  </si>
  <si>
    <t>Fertilizacion manual 3</t>
  </si>
  <si>
    <t>MOD 5B</t>
  </si>
  <si>
    <t>HO8SP</t>
  </si>
  <si>
    <t>LAURA HUAYLLA LUZ MARIA</t>
  </si>
  <si>
    <t>55-LAURA HUAYLLA LUZ MARIA</t>
  </si>
  <si>
    <t>P3013</t>
  </si>
  <si>
    <t>Fertilizacion manual 4</t>
  </si>
  <si>
    <t>MARINOB</t>
  </si>
  <si>
    <t>H09SP</t>
  </si>
  <si>
    <t>LAURA HUAYLLA LUZMILLA MARIELA</t>
  </si>
  <si>
    <t>56-LAURA HUAYLLA LUZMILLA MARIELA</t>
  </si>
  <si>
    <t>P3014</t>
  </si>
  <si>
    <t>Fertilizacion manual 5</t>
  </si>
  <si>
    <t>ACEVEDOH</t>
  </si>
  <si>
    <t>H010SS</t>
  </si>
  <si>
    <t>PITOY CARNECILLA MARISOL NANCY</t>
  </si>
  <si>
    <t>57-PITOY CARNECILLA MARISOL NANCY</t>
  </si>
  <si>
    <t>P302</t>
  </si>
  <si>
    <t>Fertilizacion con maquina 1</t>
  </si>
  <si>
    <t>DINA</t>
  </si>
  <si>
    <t>H011SP</t>
  </si>
  <si>
    <t>58-QUISPE JANAMPA LUIS ALBERTO</t>
  </si>
  <si>
    <t>P3021</t>
  </si>
  <si>
    <t>Fertilizacion con maquina 2</t>
  </si>
  <si>
    <t>TRIANGULOH</t>
  </si>
  <si>
    <t>H012SP</t>
  </si>
  <si>
    <t>RIVERA CARNICA ESTHER</t>
  </si>
  <si>
    <t>59-RIVERA CARNICA ESTHER</t>
  </si>
  <si>
    <t>P3022</t>
  </si>
  <si>
    <t>Fertilizacion con maquina 3</t>
  </si>
  <si>
    <t>CALAGUAC1</t>
  </si>
  <si>
    <t>COL7-24</t>
  </si>
  <si>
    <t>60-CHIPANE CONDE ADRIAN</t>
  </si>
  <si>
    <t>P3023</t>
  </si>
  <si>
    <t>Fertilizacion con maquina 4</t>
  </si>
  <si>
    <t>CALAGUAL2</t>
  </si>
  <si>
    <t>LEC4-24</t>
  </si>
  <si>
    <t>HUAROTO CRUZ SILVIA PAOLA</t>
  </si>
  <si>
    <t>61-HUAROTO CRUZ SILVIA PAOLA</t>
  </si>
  <si>
    <t>P3024</t>
  </si>
  <si>
    <t>Fertilizacion con maquina 5</t>
  </si>
  <si>
    <t>BERENJENAH</t>
  </si>
  <si>
    <t>H013SS</t>
  </si>
  <si>
    <t>62-LEDESMA DELGADO JAVIER</t>
  </si>
  <si>
    <t>P303</t>
  </si>
  <si>
    <t>CALAGUAC3</t>
  </si>
  <si>
    <t>COL8-24</t>
  </si>
  <si>
    <t>FLORIAN ZAPATA LILIAN ROSARIO</t>
  </si>
  <si>
    <t>63-FLORIAN ZAPATA LILIAN ROSARIO</t>
  </si>
  <si>
    <t>P304</t>
  </si>
  <si>
    <t>Estiba y desestiba de fertilizantes</t>
  </si>
  <si>
    <t>CALAGUAL4</t>
  </si>
  <si>
    <t>LEC5-24</t>
  </si>
  <si>
    <t>MARTINEZ PAREDES MIRIAN ESTHER</t>
  </si>
  <si>
    <t>64-MARTINEZ PAREDES MIRIAN ESTHER</t>
  </si>
  <si>
    <t>MOD8</t>
  </si>
  <si>
    <t>H014SP</t>
  </si>
  <si>
    <t>HUAMAÑAHUI RAMOS ASUNCION</t>
  </si>
  <si>
    <t>65-HUAMAÑAHUI RAMOS ASUNCION</t>
  </si>
  <si>
    <t>P306</t>
  </si>
  <si>
    <t>bastecedor de fertilizantes </t>
  </si>
  <si>
    <t>MOD9</t>
  </si>
  <si>
    <t>H015SP</t>
  </si>
  <si>
    <t>SANCHEZ MAMANI LUIS MANUEL</t>
  </si>
  <si>
    <t>66-SANCHEZ MAMANI LUIS MANUEL</t>
  </si>
  <si>
    <t>CALAGUAC5</t>
  </si>
  <si>
    <t>COL9-24</t>
  </si>
  <si>
    <t>67-ZAMUDIO MANCO JULIA</t>
  </si>
  <si>
    <t>P309</t>
  </si>
  <si>
    <t>Encalado </t>
  </si>
  <si>
    <t>CALAGUAL6</t>
  </si>
  <si>
    <t>LEC6-24</t>
  </si>
  <si>
    <t>ZAMUDIO MANCO LUZ</t>
  </si>
  <si>
    <t>68-ZAMUDIO MANCO LUZ</t>
  </si>
  <si>
    <t>p310</t>
  </si>
  <si>
    <t>Aplicacion de yeso agricola </t>
  </si>
  <si>
    <t>CALAGUAL7</t>
  </si>
  <si>
    <t>LEC7-24</t>
  </si>
  <si>
    <t>VILLA BARRIAL JORGE IVAN</t>
  </si>
  <si>
    <t>69-VILLA BARRIAL JORGE IVAN</t>
  </si>
  <si>
    <t>p311</t>
  </si>
  <si>
    <t>supervisión fertilizacion</t>
  </si>
  <si>
    <t>CALAGUAC8</t>
  </si>
  <si>
    <t>COL10-24</t>
  </si>
  <si>
    <t>HUAMAN MAGALLANES ANTHONY</t>
  </si>
  <si>
    <t>70-HUAMAN MAGALLANES ANTHONY</t>
  </si>
  <si>
    <t>p312</t>
  </si>
  <si>
    <t>P4</t>
  </si>
  <si>
    <t>MOD3</t>
  </si>
  <si>
    <t>PIM1-24</t>
  </si>
  <si>
    <t>FLORES DIAZ ANA MELINDA</t>
  </si>
  <si>
    <t>71-FLORES DIAZ ANA MELINDA</t>
  </si>
  <si>
    <t>P402</t>
  </si>
  <si>
    <t>Colocar/Taconear cañas</t>
  </si>
  <si>
    <t>COLOCACION DE CAÑAS</t>
  </si>
  <si>
    <t>POZO S</t>
  </si>
  <si>
    <t>SA04-24</t>
  </si>
  <si>
    <t>72-BASURTO JIMENEZ PABLO JOSE GABRIEL</t>
  </si>
  <si>
    <t>MOD5B</t>
  </si>
  <si>
    <t>COL11-24</t>
  </si>
  <si>
    <t>SANCHEZ RIVAS YOVANNA LUZ</t>
  </si>
  <si>
    <t>73-SANCHEZ RIVAS YOVANNA LUZ</t>
  </si>
  <si>
    <t>P4021</t>
  </si>
  <si>
    <t>Amarre sobre cañas cortas</t>
  </si>
  <si>
    <t>SA06-24</t>
  </si>
  <si>
    <t>CARDENAS CHANCA JESUS</t>
  </si>
  <si>
    <t>75-CARDENAS CHANCA JESUS</t>
  </si>
  <si>
    <t>LOTE1S</t>
  </si>
  <si>
    <t>SA05-24</t>
  </si>
  <si>
    <t>TICONA VASQUEZ JACKELIN</t>
  </si>
  <si>
    <t>76-TICONA VASQUEZ JACKELIN</t>
  </si>
  <si>
    <t>P406</t>
  </si>
  <si>
    <t>Distribucion de Cañas</t>
  </si>
  <si>
    <t>MILAGROS</t>
  </si>
  <si>
    <t>SA07-24</t>
  </si>
  <si>
    <t>CORMAN CAMARA PAULA NOEMI</t>
  </si>
  <si>
    <t>77-CORMAN CAMARA PAULA NOEMI</t>
  </si>
  <si>
    <t>P407</t>
  </si>
  <si>
    <t>Hacer hoyos para instalacion de cañas</t>
  </si>
  <si>
    <t>MOD5A</t>
  </si>
  <si>
    <t>COL12-24</t>
  </si>
  <si>
    <t>P408</t>
  </si>
  <si>
    <t>Instalación de Agribelo</t>
  </si>
  <si>
    <t>AGRIBELO</t>
  </si>
  <si>
    <t>MOD 4P</t>
  </si>
  <si>
    <t>PIM2-24</t>
  </si>
  <si>
    <t>79-LLERENA CHUMPITAZ MELISSA</t>
  </si>
  <si>
    <t>MOD 1A</t>
  </si>
  <si>
    <t>A03-24</t>
  </si>
  <si>
    <t>80-SANCHEZ RIVAS RUDDY ROLANDO</t>
  </si>
  <si>
    <t>P410</t>
  </si>
  <si>
    <t>Trinchado y Encamado</t>
  </si>
  <si>
    <t>BALVINA 1</t>
  </si>
  <si>
    <t>SA08-24</t>
  </si>
  <si>
    <t>81-LAZARO PARIONA SAUL</t>
  </si>
  <si>
    <t>P411</t>
  </si>
  <si>
    <t>Cargar caña</t>
  </si>
  <si>
    <t>MOD 6A</t>
  </si>
  <si>
    <t>COL13-24</t>
  </si>
  <si>
    <t>PARIONA DE LA CRUZ JOSE RUIZ</t>
  </si>
  <si>
    <t>82-PARIONA DE LA CRUZ JOSE RUIZ</t>
  </si>
  <si>
    <t>P412</t>
  </si>
  <si>
    <t>Seleccionar caña</t>
  </si>
  <si>
    <t>MOD 6B</t>
  </si>
  <si>
    <t>PIM3-24</t>
  </si>
  <si>
    <t>YUPANQUI SINCHI BALVINA</t>
  </si>
  <si>
    <t>83-YUPANQUI SINCHI BALVINA</t>
  </si>
  <si>
    <t>Acevedo </t>
  </si>
  <si>
    <t>SA09-24</t>
  </si>
  <si>
    <t>84-LEDESMA HUAMANI VICTOR MANUEL</t>
  </si>
  <si>
    <t>P414</t>
  </si>
  <si>
    <t>Refuerzo de puntales</t>
  </si>
  <si>
    <t>CALAGUA S1</t>
  </si>
  <si>
    <t>SA10-24</t>
  </si>
  <si>
    <t>ROJAS PORTAS CARLOS</t>
  </si>
  <si>
    <t>85-ROJAS PORTAS CARLOS</t>
  </si>
  <si>
    <t>P415</t>
  </si>
  <si>
    <t>Limpieza de camino</t>
  </si>
  <si>
    <t>MOD7S</t>
  </si>
  <si>
    <t>SA11-24</t>
  </si>
  <si>
    <t>86-PITOY CARNECILLA JOSE</t>
  </si>
  <si>
    <t>P416</t>
  </si>
  <si>
    <t>Instalacion de equipos de tractor</t>
  </si>
  <si>
    <t>MOD8B</t>
  </si>
  <si>
    <t>PIM4-24</t>
  </si>
  <si>
    <t>VARIOS-VARIOS</t>
  </si>
  <si>
    <t>P417</t>
  </si>
  <si>
    <t>Cargar huano con tractor</t>
  </si>
  <si>
    <t>CALAGUA S2</t>
  </si>
  <si>
    <t>SA12-24</t>
  </si>
  <si>
    <t>P418</t>
  </si>
  <si>
    <t>Tapar huano con tractor</t>
  </si>
  <si>
    <t>MOD 9A</t>
  </si>
  <si>
    <t>COL15-24</t>
  </si>
  <si>
    <t>87-QIUISPE MARTINEZ OLIVIA</t>
  </si>
  <si>
    <t>P419</t>
  </si>
  <si>
    <t>Retapar huano con tractor</t>
  </si>
  <si>
    <t>MOD 9B</t>
  </si>
  <si>
    <t>PA01-25</t>
  </si>
  <si>
    <t>PAPA</t>
  </si>
  <si>
    <t>CUBILLAS SANTOS SOLEDAD</t>
  </si>
  <si>
    <t>88-CUBILLAS SANTOS SOLEDAD</t>
  </si>
  <si>
    <t>P420</t>
  </si>
  <si>
    <t>Rastrillar</t>
  </si>
  <si>
    <t>MOD8A</t>
  </si>
  <si>
    <t>COL14-24</t>
  </si>
  <si>
    <t>YAYA SANCHEZ JULIO</t>
  </si>
  <si>
    <t>89-YAYA SANCHEZ JULIO</t>
  </si>
  <si>
    <t>P421</t>
  </si>
  <si>
    <t>Colocar Horquillas</t>
  </si>
  <si>
    <t>90-VALLALADIC GARCIA MAYUMI SARITA</t>
  </si>
  <si>
    <t>MOD 3H</t>
  </si>
  <si>
    <t>H01SS-25</t>
  </si>
  <si>
    <t>91-CHIPANA APAZA JOVANA DANIELA</t>
  </si>
  <si>
    <t>P423</t>
  </si>
  <si>
    <t>Hechar aire con motor a las plantas</t>
  </si>
  <si>
    <t>ESMERALDA H</t>
  </si>
  <si>
    <t>H02SS-25</t>
  </si>
  <si>
    <t>CUYA VILLAGOMEZ ANGELICA</t>
  </si>
  <si>
    <t>92-CUYA VILLAGOMEZ ANGELICA</t>
  </si>
  <si>
    <t>MOD 3HB</t>
  </si>
  <si>
    <t>H03SP-25</t>
  </si>
  <si>
    <t>TAIPE CIPRIANO</t>
  </si>
  <si>
    <t>93-TAIPE CIPRIANO</t>
  </si>
  <si>
    <t>P425</t>
  </si>
  <si>
    <t>Retirar bolsa de injerto</t>
  </si>
  <si>
    <t>DINA H</t>
  </si>
  <si>
    <t>H04SP-25</t>
  </si>
  <si>
    <t>MALDONADO JESUS</t>
  </si>
  <si>
    <t>94-MALDONADO JESUS</t>
  </si>
  <si>
    <t>P4261</t>
  </si>
  <si>
    <t>Polinizacion Mecanica</t>
  </si>
  <si>
    <t>P5</t>
  </si>
  <si>
    <t>POLINIZACION</t>
  </si>
  <si>
    <t>MOD 7H</t>
  </si>
  <si>
    <t>H05SP-25</t>
  </si>
  <si>
    <t>LITANO BERECHE MIGUEL ANGEL</t>
  </si>
  <si>
    <t>95-LITANO BERECHE MIGUEL ANGEL</t>
  </si>
  <si>
    <t>Polinizacion Manual</t>
  </si>
  <si>
    <t>MALDONADO VICTOR</t>
  </si>
  <si>
    <t>96-MALDONADO VICTOR</t>
  </si>
  <si>
    <t>P427</t>
  </si>
  <si>
    <t>SAN LUIS</t>
  </si>
  <si>
    <t>H13SS-25</t>
  </si>
  <si>
    <t>VACIO</t>
  </si>
  <si>
    <t>97-VACIO</t>
  </si>
  <si>
    <t>P428</t>
  </si>
  <si>
    <t>Determinar punto de crecimiento</t>
  </si>
  <si>
    <t>MOD9A</t>
  </si>
  <si>
    <t>PA02-25</t>
  </si>
  <si>
    <t>TAIPE JOVANA</t>
  </si>
  <si>
    <t>98-TAIPE JOVANA</t>
  </si>
  <si>
    <t>MARINO H</t>
  </si>
  <si>
    <t>H06SS-25</t>
  </si>
  <si>
    <t>99-VACIO</t>
  </si>
  <si>
    <t>P430</t>
  </si>
  <si>
    <t>Limpieza de laterales</t>
  </si>
  <si>
    <t>LEVANO JUAN</t>
  </si>
  <si>
    <t>100-LEVANO JUAN</t>
  </si>
  <si>
    <t>P431</t>
  </si>
  <si>
    <t>Desrrame de plantas/cercos</t>
  </si>
  <si>
    <t>MOD 6P</t>
  </si>
  <si>
    <t>PA03-25</t>
  </si>
  <si>
    <t>TATAJE GABRIEL</t>
  </si>
  <si>
    <t>101-TATAJE GABRIEL</t>
  </si>
  <si>
    <t>P432</t>
  </si>
  <si>
    <t>Distribución de guano</t>
  </si>
  <si>
    <t>ACEVEDO H</t>
  </si>
  <si>
    <t>H07SP-25</t>
  </si>
  <si>
    <t>ORMEÑO LURITA</t>
  </si>
  <si>
    <t>102-ORMEÑO LURITA</t>
  </si>
  <si>
    <t>P433</t>
  </si>
  <si>
    <t>Cortar caña</t>
  </si>
  <si>
    <t>H08SS-25</t>
  </si>
  <si>
    <t>LOPEZ ALFONZO</t>
  </si>
  <si>
    <t>103-LOPEZ ALFONZO</t>
  </si>
  <si>
    <t>P434</t>
  </si>
  <si>
    <t>Cultivo con tractor/caballo </t>
  </si>
  <si>
    <t>BERENJENA H</t>
  </si>
  <si>
    <t>H09SS-25</t>
  </si>
  <si>
    <t>MALDONADO FELIX</t>
  </si>
  <si>
    <t>104-MALDONADO FELIX</t>
  </si>
  <si>
    <t>P435</t>
  </si>
  <si>
    <t>Limpiar caña</t>
  </si>
  <si>
    <t>BERENJENA H2</t>
  </si>
  <si>
    <t>H10SP-25</t>
  </si>
  <si>
    <t>VARGAS CARLOS</t>
  </si>
  <si>
    <t>105-VARGAS CARLOS</t>
  </si>
  <si>
    <t>MOD 5P</t>
  </si>
  <si>
    <t>PIM01-25</t>
  </si>
  <si>
    <t>GEREDA LUIS</t>
  </si>
  <si>
    <t>106-GEREDA LUIS</t>
  </si>
  <si>
    <t>P437</t>
  </si>
  <si>
    <t>Sacar/Recojo mantas del suelo</t>
  </si>
  <si>
    <t>GEREDA JORGE</t>
  </si>
  <si>
    <t>107-GEREDA JORGE</t>
  </si>
  <si>
    <t>P438</t>
  </si>
  <si>
    <t>Recojo de frutos</t>
  </si>
  <si>
    <t>QUISPE ROXANA</t>
  </si>
  <si>
    <t>108-QUISPE ROXANA</t>
  </si>
  <si>
    <t>P4+</t>
  </si>
  <si>
    <t>VENERANDA</t>
  </si>
  <si>
    <t>H11SS-25</t>
  </si>
  <si>
    <t>QUISPE ELENA</t>
  </si>
  <si>
    <t>109-QUISPE ELENA</t>
  </si>
  <si>
    <t>P440</t>
  </si>
  <si>
    <t>Colocación de puntales</t>
  </si>
  <si>
    <t>JOHANA</t>
  </si>
  <si>
    <t>H12SS-25</t>
  </si>
  <si>
    <t>J. NAOMI</t>
  </si>
  <si>
    <t>110-J. NAOMI</t>
  </si>
  <si>
    <t>P441</t>
  </si>
  <si>
    <t>Termino de puntales</t>
  </si>
  <si>
    <t>LOTE 1H</t>
  </si>
  <si>
    <t>H14SS-25</t>
  </si>
  <si>
    <t>FLORA</t>
  </si>
  <si>
    <t>111-FLORA</t>
  </si>
  <si>
    <t>P442</t>
  </si>
  <si>
    <t>Abonar con lampa</t>
  </si>
  <si>
    <t>VILCA ANTHONIO</t>
  </si>
  <si>
    <t>112-VILCA ANTHONIO</t>
  </si>
  <si>
    <t>P443</t>
  </si>
  <si>
    <t>MOD 11</t>
  </si>
  <si>
    <t>T01A-25</t>
  </si>
  <si>
    <t>MOSQUERA DIOSMI</t>
  </si>
  <si>
    <t>113-MOSQUERA DIOSMI</t>
  </si>
  <si>
    <t>P444</t>
  </si>
  <si>
    <t>Conteo de frutas</t>
  </si>
  <si>
    <t>MOD 8B</t>
  </si>
  <si>
    <t>COL01-25</t>
  </si>
  <si>
    <t>SOTO CARMEN</t>
  </si>
  <si>
    <t>114-SOTO CARMEN</t>
  </si>
  <si>
    <t>P445</t>
  </si>
  <si>
    <t>Colocar Cubresuelo</t>
  </si>
  <si>
    <t>MOD 4C</t>
  </si>
  <si>
    <t>PIM02-25</t>
  </si>
  <si>
    <t>GARCIA ANA</t>
  </si>
  <si>
    <t>115-GARCIA ANA</t>
  </si>
  <si>
    <t>P446</t>
  </si>
  <si>
    <t>RETIRO AGRIBELO</t>
  </si>
  <si>
    <t>MOD 8A</t>
  </si>
  <si>
    <t>COL02-25</t>
  </si>
  <si>
    <t>GARCIA CARMEN</t>
  </si>
  <si>
    <t>116-GARCIA CARMEN</t>
  </si>
  <si>
    <t>P447</t>
  </si>
  <si>
    <t>RETIRO DE FIERRO PARA MICROTUNELES</t>
  </si>
  <si>
    <t>MOD2-3</t>
  </si>
  <si>
    <t>LS01_25</t>
  </si>
  <si>
    <t>MARIA PAZ</t>
  </si>
  <si>
    <t>117-MARIA PAZ</t>
  </si>
  <si>
    <t>P448</t>
  </si>
  <si>
    <t>Tutoreo de frutos</t>
  </si>
  <si>
    <t>MILAGROS-S</t>
  </si>
  <si>
    <t>LS02_25</t>
  </si>
  <si>
    <t>120-PERSONAL LA QUEBRADA/ESTEFANIA</t>
  </si>
  <si>
    <t>P449</t>
  </si>
  <si>
    <t>Colocar soporte (cañas/palos)</t>
  </si>
  <si>
    <t>MOD 7s</t>
  </si>
  <si>
    <t>LS03_25</t>
  </si>
  <si>
    <t>121-COAQUERA PEREZ PASCUAL RODRIGO</t>
  </si>
  <si>
    <t>P450</t>
  </si>
  <si>
    <t>Hacer hoyos/ repartir Cañas / colocar cañas / taconear / colocacion de soporte</t>
  </si>
  <si>
    <t>MOD 9p</t>
  </si>
  <si>
    <t>PIM03-25</t>
  </si>
  <si>
    <t>RAMOS JULIO</t>
  </si>
  <si>
    <t>118-RAMOS JULIO</t>
  </si>
  <si>
    <t>P451</t>
  </si>
  <si>
    <t>Abrir Calicatas</t>
  </si>
  <si>
    <t>MOD-6p</t>
  </si>
  <si>
    <t>PIM04-25</t>
  </si>
  <si>
    <t>119-PERSONAL LA HUANCAYO</t>
  </si>
  <si>
    <t>P452</t>
  </si>
  <si>
    <t>Cultivo cama de sandia </t>
  </si>
  <si>
    <t>MOD9F</t>
  </si>
  <si>
    <t>FRE02-25</t>
  </si>
  <si>
    <t>FRESA</t>
  </si>
  <si>
    <t>0,1</t>
  </si>
  <si>
    <t>PERSONAL DE ROMA</t>
  </si>
  <si>
    <t>123-PERSONAL DE ROMA</t>
  </si>
  <si>
    <t>P453</t>
  </si>
  <si>
    <t>Gradear cama de sandia</t>
  </si>
  <si>
    <t>MARINO -S</t>
  </si>
  <si>
    <t>LS04_25</t>
  </si>
  <si>
    <t>VENTURO GARCIA GRACE ALLISON</t>
  </si>
  <si>
    <t>124-VENTURO GARCIA GRACE ALLISON</t>
  </si>
  <si>
    <t>P454</t>
  </si>
  <si>
    <t>quemado basuras/brosas</t>
  </si>
  <si>
    <t>MOD 4 T</t>
  </si>
  <si>
    <t>ÑAÑEZ JAVIER JHAIR</t>
  </si>
  <si>
    <t>122-ÑAÑEZ JAVIER JHAIR</t>
  </si>
  <si>
    <t>P455</t>
  </si>
  <si>
    <t>raspado de salitre con lampa</t>
  </si>
  <si>
    <t>,</t>
  </si>
  <si>
    <t>MOD6F</t>
  </si>
  <si>
    <t>FRE01-25</t>
  </si>
  <si>
    <t>ELENA DE LA CRUZ</t>
  </si>
  <si>
    <t>125-ELENA DE LA CRUZ</t>
  </si>
  <si>
    <t>P456</t>
  </si>
  <si>
    <t>recojo con saco o manta malezas </t>
  </si>
  <si>
    <t>GABINO_S</t>
  </si>
  <si>
    <t>LS05_25</t>
  </si>
  <si>
    <t>NO TE OLVIDES PONER LA FECHA DE COSECHA</t>
  </si>
  <si>
    <t>VALLADOLID GARCIA MARIA ELENA</t>
  </si>
  <si>
    <t>126-VALLADOLID GARCIA MARIA ELENA</t>
  </si>
  <si>
    <t>P457</t>
  </si>
  <si>
    <t>hechar aceite quemada A lós fierros </t>
  </si>
  <si>
    <t>CALAGUA_S</t>
  </si>
  <si>
    <t>LS06_25</t>
  </si>
  <si>
    <t>PEVES GUTIERREZ VILMA</t>
  </si>
  <si>
    <t>127-PEVES GUTIERREZ VILMA</t>
  </si>
  <si>
    <t>P458</t>
  </si>
  <si>
    <t>hacer puente</t>
  </si>
  <si>
    <t>VENERANDA_S</t>
  </si>
  <si>
    <t>LS07_25</t>
  </si>
  <si>
    <t>JAVIER LEIVA MANUEL</t>
  </si>
  <si>
    <t>128-JAVIER LEIVA MANUEL</t>
  </si>
  <si>
    <t>P459</t>
  </si>
  <si>
    <t>limpieza y orden de materiales </t>
  </si>
  <si>
    <t>CASTILLON ESPILCO NELDA MERY</t>
  </si>
  <si>
    <t>129-CASTILLON ESPILCO NELDA MERY</t>
  </si>
  <si>
    <t>P460</t>
  </si>
  <si>
    <t>trosado para leña</t>
  </si>
  <si>
    <t>HUARCAYA LAURA MANUEL</t>
  </si>
  <si>
    <t>130-HUARCAYA LAURA MANUEL</t>
  </si>
  <si>
    <t>P461</t>
  </si>
  <si>
    <t>bajado de tierra al surco de riego </t>
  </si>
  <si>
    <t>MARTINEZ LINARES CRISTIAN</t>
  </si>
  <si>
    <t>131-MARTINEZ LINARES CRISTIAN</t>
  </si>
  <si>
    <t>P462</t>
  </si>
  <si>
    <t>desmantelar techo de sombra </t>
  </si>
  <si>
    <t>132-COAQUERA PEREZ JUAN MARCELO </t>
  </si>
  <si>
    <t>P463</t>
  </si>
  <si>
    <t>tiempo perdidos en rutas largas aplicación </t>
  </si>
  <si>
    <t>DENNIS MOSQUERA</t>
  </si>
  <si>
    <t>133-DENNIS MOSQUERA</t>
  </si>
  <si>
    <t>P464</t>
  </si>
  <si>
    <t>reaporcado con lampa</t>
  </si>
  <si>
    <t>MALDONADO FELIX ELIAS</t>
  </si>
  <si>
    <t>134-MALDONADO FELIX ELIAS</t>
  </si>
  <si>
    <t>P465</t>
  </si>
  <si>
    <t>cajoneo con caballo</t>
  </si>
  <si>
    <t>SAUL VILLA</t>
  </si>
  <si>
    <t>135-SAUL VILLA</t>
  </si>
  <si>
    <t>P466</t>
  </si>
  <si>
    <t>colocaciones de cerco de malla </t>
  </si>
  <si>
    <t>CHAVEZ LIZANA ANDY ARTURO</t>
  </si>
  <si>
    <t>136-CHAVEZ LIZANA ANDY ARTURO</t>
  </si>
  <si>
    <t>P467</t>
  </si>
  <si>
    <t>armar techo de sombra </t>
  </si>
  <si>
    <t>SANTA FATIMA</t>
  </si>
  <si>
    <t>137-SANTA FATIMA</t>
  </si>
  <si>
    <t>P468</t>
  </si>
  <si>
    <t>GARCIA MIGUEL</t>
  </si>
  <si>
    <t>138-GARCIA MIGUEL</t>
  </si>
  <si>
    <t>P469</t>
  </si>
  <si>
    <t>rescatando en la cinta de riego las uniones</t>
  </si>
  <si>
    <t>HERNANDEZ ALEJANDRO</t>
  </si>
  <si>
    <t>139-HERNANDEZ ALEJANDRO</t>
  </si>
  <si>
    <t>P470</t>
  </si>
  <si>
    <t>chapodo con machete </t>
  </si>
  <si>
    <t>VILCA CARLOS</t>
  </si>
  <si>
    <t>140-VILCA CARLOS</t>
  </si>
  <si>
    <t>P471</t>
  </si>
  <si>
    <t>desinstalar infraestructura de parrones</t>
  </si>
  <si>
    <t>LEVANO JUAN CARLOS</t>
  </si>
  <si>
    <t>141-LEVANO JUAN CARLOS</t>
  </si>
  <si>
    <t>P474</t>
  </si>
  <si>
    <t>jalada de hoja</t>
  </si>
  <si>
    <t>P475</t>
  </si>
  <si>
    <t>colocación de cal en puerta de las cabinas de. modulo</t>
  </si>
  <si>
    <t>p476</t>
  </si>
  <si>
    <t>p477</t>
  </si>
  <si>
    <t>p4</t>
  </si>
  <si>
    <t>RAMOS LEONARDO</t>
  </si>
  <si>
    <t>142-RAMOS LEONARDO</t>
  </si>
  <si>
    <t>GARCIA JULIO</t>
  </si>
  <si>
    <t>-GARCIA JULIO</t>
  </si>
  <si>
    <t>VILLA JAVIER</t>
  </si>
  <si>
    <t>144-VILLA JAVIER</t>
  </si>
  <si>
    <t>P500</t>
  </si>
  <si>
    <t>limpieza toma poza de agua</t>
  </si>
  <si>
    <t>Jimenez Regador</t>
  </si>
  <si>
    <t>145-Jimenez Regador</t>
  </si>
  <si>
    <t>P501</t>
  </si>
  <si>
    <t>P501-Abrir Calicatas</t>
  </si>
  <si>
    <t>MENDEZ LITANO ISMAEL JESUS</t>
  </si>
  <si>
    <t>146-MENDEZ LITANO ISMAEL JESUS</t>
  </si>
  <si>
    <t>P502-Alinear Mangueras a cuello de planta</t>
  </si>
  <si>
    <t>VALENCIA LEZCANO KATHERINE</t>
  </si>
  <si>
    <t>147-VALENCIA LEZCANO KATHERINE</t>
  </si>
  <si>
    <t>P503-recojo de cintas </t>
  </si>
  <si>
    <t>ERICKA QUILMANA GRUPO 1</t>
  </si>
  <si>
    <t>148-ERICKA QUILMANA GRUPO 1</t>
  </si>
  <si>
    <t>P504</t>
  </si>
  <si>
    <t>Limpieza gotero de cintas de riego</t>
  </si>
  <si>
    <t>P504-Limpieza gotero de cintas de riego</t>
  </si>
  <si>
    <t>Marleny Chipane</t>
  </si>
  <si>
    <t>149-Marleny Chipane</t>
  </si>
  <si>
    <t>P505-Mant. de Sistema de Riego-Goteo</t>
  </si>
  <si>
    <t>Isabel Hilares</t>
  </si>
  <si>
    <t>150-Isabel Hilares</t>
  </si>
  <si>
    <t>P506-Mantenimiento de Filtro de riego</t>
  </si>
  <si>
    <t>DEYSI PORTA VALENTIN</t>
  </si>
  <si>
    <t>151-DEYSI PORTA VALENTIN</t>
  </si>
  <si>
    <t>P507</t>
  </si>
  <si>
    <t>P507-Mantenimiento de tuberias de riego</t>
  </si>
  <si>
    <t>ROSMIL ROJER VALENCIA VARGAS</t>
  </si>
  <si>
    <t>152-ROSMIL ROJER VALENCIA VARGAS</t>
  </si>
  <si>
    <t>P508-Reparar Cintas</t>
  </si>
  <si>
    <t>CARLOS MASSELY LAGOS ROJAS </t>
  </si>
  <si>
    <t>153-CARLOS MASSELY LAGOS ROJAS </t>
  </si>
  <si>
    <t>P509-Retirar Cintas al surco</t>
  </si>
  <si>
    <t>MANUEL CARDENAS DE LA CRUZ</t>
  </si>
  <si>
    <t>154-MANUEL CARDENAS DE LA CRUZ</t>
  </si>
  <si>
    <t>P510-Fertirriego</t>
  </si>
  <si>
    <t>JOSE FERNANDEZ CAHUA </t>
  </si>
  <si>
    <t>155-JOSE FERNANDEZ CAHUA </t>
  </si>
  <si>
    <t>P511</t>
  </si>
  <si>
    <t>Supervision Fertirriego</t>
  </si>
  <si>
    <t>P511-Supervision Fertirriego</t>
  </si>
  <si>
    <t>PERSONAL DE QUILMANA</t>
  </si>
  <si>
    <t>156-PERSONAL DE QUILMANA</t>
  </si>
  <si>
    <t>P512-Tendido De Cintas/riego</t>
  </si>
  <si>
    <t>JUAN JOSE ARIAS </t>
  </si>
  <si>
    <t>157-JUAN JOSE ARIAS </t>
  </si>
  <si>
    <t>P513</t>
  </si>
  <si>
    <t>Cambio de Faja al Motor</t>
  </si>
  <si>
    <t>P513-Cambio de Faja al Motor</t>
  </si>
  <si>
    <t>MARIANELLA DEYSI ACUÑA GUTARRA</t>
  </si>
  <si>
    <t>158-MARIANELLA DEYSI ACUÑA GUTARRA</t>
  </si>
  <si>
    <t>P514-Alinear y arreglar bigotes</t>
  </si>
  <si>
    <t>LILIA MARGARITA FLORIAN PACHAS</t>
  </si>
  <si>
    <t>159-LILIA MARGARITA FLORIAN PACHAS</t>
  </si>
  <si>
    <t>P515-Fertilización y riego</t>
  </si>
  <si>
    <t>VERONICA MARISOL CABANILLAS ROJAS</t>
  </si>
  <si>
    <t>160-VERONICA MARISOL CABANILLAS ROJAS</t>
  </si>
  <si>
    <t>P516</t>
  </si>
  <si>
    <t>Transporte de fertilizantes</t>
  </si>
  <si>
    <t>P516-Transporte de fertilizantes</t>
  </si>
  <si>
    <t>KELYN FATIMA ROSALES SULCAPUMA</t>
  </si>
  <si>
    <t>161-KELYN FATIMA ROSALES SULCAPUMA</t>
  </si>
  <si>
    <t>P6</t>
  </si>
  <si>
    <t>GLORIA SALAZAR SARMIENTO</t>
  </si>
  <si>
    <t>162-GLORIA SALAZAR SARMIENTO</t>
  </si>
  <si>
    <t>Erick chavez huaman</t>
  </si>
  <si>
    <t>163-Erick chavez huaman</t>
  </si>
  <si>
    <t>PERSONAL TUPAC</t>
  </si>
  <si>
    <t>164-PERSONAL TUPAC</t>
  </si>
  <si>
    <t>PERSONAL HUALCARA</t>
  </si>
  <si>
    <t>165-PERSONAL HUALCARA</t>
  </si>
  <si>
    <t>RICARDO ENRIQUE HUAROTO CRUZ</t>
  </si>
  <si>
    <t>166-RICARDO ENRIQUE HUAROTO CRUZ</t>
  </si>
  <si>
    <t>P606</t>
  </si>
  <si>
    <t>Aguante para riego</t>
  </si>
  <si>
    <t>PERSONAL SANTA MARIA</t>
  </si>
  <si>
    <t>167-PERSONAL SANTA MARIA</t>
  </si>
  <si>
    <t>JOSSELYN MARIEL CHUMPITAZ ACEVEDO</t>
  </si>
  <si>
    <t>168-JOSSELYN MARIEL CHUMPITAZ ACEVEDO</t>
  </si>
  <si>
    <t>P608</t>
  </si>
  <si>
    <t>Repaso de riego</t>
  </si>
  <si>
    <t>FLOR CASTILLON PEVE</t>
  </si>
  <si>
    <t>169-FLOR CASTILLON PEVE</t>
  </si>
  <si>
    <t>Riego de plantines</t>
  </si>
  <si>
    <t>MEZARINA AGUILAR IVAN</t>
  </si>
  <si>
    <t>170-MEZARINA AGUILAR IVAN</t>
  </si>
  <si>
    <t>P610</t>
  </si>
  <si>
    <t>Desagüe para riego</t>
  </si>
  <si>
    <t>MARCOS LEZCANO PANTA</t>
  </si>
  <si>
    <t>171-MARCOS LEZCANO PANTA</t>
  </si>
  <si>
    <t>ROMULO AROTINCO SULCA</t>
  </si>
  <si>
    <t>172-ROMULO AROTINCO SULCA</t>
  </si>
  <si>
    <t>P612</t>
  </si>
  <si>
    <t>Retiro de cintas de machaco</t>
  </si>
  <si>
    <t>MAYTA QUISPE JORGE LUIS</t>
  </si>
  <si>
    <t>173-MAYTA QUISPE JORGE LUIS</t>
  </si>
  <si>
    <t>P613</t>
  </si>
  <si>
    <t>mantenimiento de Tomás /y tapados de filtración de agua</t>
  </si>
  <si>
    <t>DURAND ZAMUDIO ROBERTO CARLOS</t>
  </si>
  <si>
    <t>174-DURAND ZAMUDIO ROBERTO CARLOS</t>
  </si>
  <si>
    <t>P614</t>
  </si>
  <si>
    <t>levante para cambio de surco </t>
  </si>
  <si>
    <t>175-ESMERALDA</t>
  </si>
  <si>
    <t>P615</t>
  </si>
  <si>
    <t>arreglándo la boca de toma de riego</t>
  </si>
  <si>
    <t>176-PERSONALQUEBRADA</t>
  </si>
  <si>
    <t>P701</t>
  </si>
  <si>
    <t>Abastecedor de Fumigacion motor/motorin/dron</t>
  </si>
  <si>
    <t>P7</t>
  </si>
  <si>
    <t>196-MAYTA QUISPE JORGE LUIS</t>
  </si>
  <si>
    <t>P702</t>
  </si>
  <si>
    <t>Aplicación de Cebo tóxico</t>
  </si>
  <si>
    <t>TRACTOR JORGE BUSTAMANTE</t>
  </si>
  <si>
    <t>197-TRACTOR JORGE BUSTAMANTE</t>
  </si>
  <si>
    <t>P703</t>
  </si>
  <si>
    <t>Azufrado a la planta con medias/mallas</t>
  </si>
  <si>
    <t>P704</t>
  </si>
  <si>
    <t>Azufrado al suelo con medias/mallas</t>
  </si>
  <si>
    <t>199-MOVILIDAD JOSE PERALTA</t>
  </si>
  <si>
    <t>200-TRACTOR JORGE BILBAO SAUÑE</t>
  </si>
  <si>
    <t>P706</t>
  </si>
  <si>
    <t>Eliminacion de Frutos/Hojas Infestados</t>
  </si>
  <si>
    <t>177-TRACTOR ARTURO AGUILAR GUTIERREZ</t>
  </si>
  <si>
    <t>195-Personal LULO CAMOTE</t>
  </si>
  <si>
    <t>P708</t>
  </si>
  <si>
    <t>Fumigacion con azufradora manual</t>
  </si>
  <si>
    <t>201-Michael Manrique Ruiz</t>
  </si>
  <si>
    <t>202-Teodomiro Giron Santiago</t>
  </si>
  <si>
    <t>P710</t>
  </si>
  <si>
    <t>Fumigacion con Mochila Manual</t>
  </si>
  <si>
    <t>P7148</t>
  </si>
  <si>
    <t>Fumigacion con motor estacionario</t>
  </si>
  <si>
    <t>P7149</t>
  </si>
  <si>
    <t>Fumigacion con motorin</t>
  </si>
  <si>
    <t>P715</t>
  </si>
  <si>
    <t>Mantenimiento de Equipos de Fumigacion</t>
  </si>
  <si>
    <t>P716</t>
  </si>
  <si>
    <t>Mantenimiento de trampas Fitosanitarias</t>
  </si>
  <si>
    <t>P717</t>
  </si>
  <si>
    <t>Manteo</t>
  </si>
  <si>
    <t>P718</t>
  </si>
  <si>
    <t>Retirar Frutos/Hojas Infestados</t>
  </si>
  <si>
    <t>P719</t>
  </si>
  <si>
    <t>Mezclar azufre + Tifon</t>
  </si>
  <si>
    <t>P720</t>
  </si>
  <si>
    <t>Mezclar azufre</t>
  </si>
  <si>
    <t>P721</t>
  </si>
  <si>
    <t>Desinfectar rafia/cintas</t>
  </si>
  <si>
    <t>P722</t>
  </si>
  <si>
    <t>Desinfectar clip</t>
  </si>
  <si>
    <t>P723</t>
  </si>
  <si>
    <t>P724</t>
  </si>
  <si>
    <t>P725</t>
  </si>
  <si>
    <t>Movilizar el azufre/fertilizante con tractor y reparto </t>
  </si>
  <si>
    <t>P726</t>
  </si>
  <si>
    <t>Sacudir plantas(lluvizna)</t>
  </si>
  <si>
    <t>P727</t>
  </si>
  <si>
    <t>Guardar clip (costales)</t>
  </si>
  <si>
    <t>P728</t>
  </si>
  <si>
    <t>Mezcla de semilla</t>
  </si>
  <si>
    <t>P729</t>
  </si>
  <si>
    <t>Aplicar Urea con Lampa</t>
  </si>
  <si>
    <t>P730</t>
  </si>
  <si>
    <t>Colocacion de visceras de pescado</t>
  </si>
  <si>
    <t>P731</t>
  </si>
  <si>
    <t>Eliminacion manual de gusanos / insectos</t>
  </si>
  <si>
    <t>P732</t>
  </si>
  <si>
    <t>Aplicación a hoja</t>
  </si>
  <si>
    <t>P733</t>
  </si>
  <si>
    <t>Ensayo con mochila</t>
  </si>
  <si>
    <t>P735</t>
  </si>
  <si>
    <t>Fumigación con azufradora motor</t>
  </si>
  <si>
    <t>P736</t>
  </si>
  <si>
    <t>Desinfección de módulo</t>
  </si>
  <si>
    <t>P738</t>
  </si>
  <si>
    <t>Colocacion de raticida en campo</t>
  </si>
  <si>
    <t>P739</t>
  </si>
  <si>
    <t>recojo de tachos de viseras de pescado </t>
  </si>
  <si>
    <t>P740</t>
  </si>
  <si>
    <t>calibración de equipos de aplicación </t>
  </si>
  <si>
    <t>P742</t>
  </si>
  <si>
    <t>Aplicacion con dron</t>
  </si>
  <si>
    <t>P743</t>
  </si>
  <si>
    <t>Aplicacion herbicidas con mochila manual </t>
  </si>
  <si>
    <t>P8010</t>
  </si>
  <si>
    <t>Descole/Raleo 1</t>
  </si>
  <si>
    <t>P8</t>
  </si>
  <si>
    <t>RALEO</t>
  </si>
  <si>
    <t>P8011</t>
  </si>
  <si>
    <t>Descole/Raleo 2</t>
  </si>
  <si>
    <t>P8012</t>
  </si>
  <si>
    <t>Descole/Raleo 3</t>
  </si>
  <si>
    <t>P8013</t>
  </si>
  <si>
    <t>Descole/Raleo 4</t>
  </si>
  <si>
    <t>P8014</t>
  </si>
  <si>
    <t>Descole/Raleo 5</t>
  </si>
  <si>
    <t>P8015</t>
  </si>
  <si>
    <t>supervisión raleo </t>
  </si>
  <si>
    <t>P8016</t>
  </si>
  <si>
    <t>recojo con tractor el Descole </t>
  </si>
  <si>
    <t>P802</t>
  </si>
  <si>
    <t>Botar restos de brosa</t>
  </si>
  <si>
    <t>P8029</t>
  </si>
  <si>
    <t>PODA Y GUIADO</t>
  </si>
  <si>
    <t>P8032</t>
  </si>
  <si>
    <t>Poda 3</t>
  </si>
  <si>
    <t>P804</t>
  </si>
  <si>
    <t>Preparación de plantas</t>
  </si>
  <si>
    <t>P805</t>
  </si>
  <si>
    <t>Recojo de brosa/cargado</t>
  </si>
  <si>
    <t>P806</t>
  </si>
  <si>
    <t>Sacar Chupones y Mamones</t>
  </si>
  <si>
    <t>P807</t>
  </si>
  <si>
    <t>Desapajar</t>
  </si>
  <si>
    <t>p808</t>
  </si>
  <si>
    <t>Chapodo</t>
  </si>
  <si>
    <t>p8</t>
  </si>
  <si>
    <t>poDA</t>
  </si>
  <si>
    <t>p809</t>
  </si>
  <si>
    <t>desoje</t>
  </si>
  <si>
    <t>sacudir planta para la.polinizacion</t>
  </si>
  <si>
    <t>polinización </t>
  </si>
  <si>
    <t>P901</t>
  </si>
  <si>
    <t>Amarrar Rafia</t>
  </si>
  <si>
    <t>P9</t>
  </si>
  <si>
    <t>GUIADO</t>
  </si>
  <si>
    <t>P902</t>
  </si>
  <si>
    <t>Tendido de Rafia/Enrafiado/Cintas 1</t>
  </si>
  <si>
    <t>P9021</t>
  </si>
  <si>
    <t>Tendido de Rafia/Enrafiado/Cintas 2</t>
  </si>
  <si>
    <t>P9022</t>
  </si>
  <si>
    <t>Tendido de Rafia/Enrafiado/Cintas 3</t>
  </si>
  <si>
    <t>P9023</t>
  </si>
  <si>
    <t>Tendido de Rafia/Enrafiado/Cintas 4</t>
  </si>
  <si>
    <t>P9024</t>
  </si>
  <si>
    <t>Tendido de Rafia/Enrafiado/Cintas 5</t>
  </si>
  <si>
    <t>P9025</t>
  </si>
  <si>
    <t>Tendido de Rafia/Enrafiado/Cintas 6</t>
  </si>
  <si>
    <t>P9026</t>
  </si>
  <si>
    <t>Tendido de Rafia/Enrafiado/Cintas 7</t>
  </si>
  <si>
    <t>P9027</t>
  </si>
  <si>
    <t>Tendido de Rafia/Enrafiado/Cintas 8</t>
  </si>
  <si>
    <t>P9028</t>
  </si>
  <si>
    <t>Tendido de Rafia/Enrafiado/Cintas 9</t>
  </si>
  <si>
    <t>P9029</t>
  </si>
  <si>
    <t>Tendido de Rafia/Enrafiado/Cintas 10</t>
  </si>
  <si>
    <t>P9030</t>
  </si>
  <si>
    <t>Tendido de Rafia/Panza /Cintas 1</t>
  </si>
  <si>
    <t>P9031</t>
  </si>
  <si>
    <t>Tendido de Rafia/Panza /Cintas 2</t>
  </si>
  <si>
    <t>P9032</t>
  </si>
  <si>
    <t>Tendido de Rafia/Panza /Cintas 3</t>
  </si>
  <si>
    <t>P9033</t>
  </si>
  <si>
    <t>Tendido de malla </t>
  </si>
  <si>
    <t>P903</t>
  </si>
  <si>
    <t>Colocacion de suple(Panza)</t>
  </si>
  <si>
    <t>P904</t>
  </si>
  <si>
    <t>Cortar rafia/Laso</t>
  </si>
  <si>
    <t>P905</t>
  </si>
  <si>
    <t>Guiado con clip/Tomate</t>
  </si>
  <si>
    <t>P906</t>
  </si>
  <si>
    <t>Guiado y enrafiado/Tomate/Holantao/aji</t>
  </si>
  <si>
    <t>P907</t>
  </si>
  <si>
    <t>Amarrar / guiar Rafia piso 1</t>
  </si>
  <si>
    <t>P908</t>
  </si>
  <si>
    <t>Amarrar / guiar Rafia piso 2</t>
  </si>
  <si>
    <t>P909</t>
  </si>
  <si>
    <t>Amarrar / guiar Rafia piso 3</t>
  </si>
  <si>
    <t>P910</t>
  </si>
  <si>
    <t>Amarrar / guiar Rafia piso 4</t>
  </si>
  <si>
    <t>P911</t>
  </si>
  <si>
    <t>Amarrar / guiar Rafia piso 5</t>
  </si>
  <si>
    <t>P912</t>
  </si>
  <si>
    <t>Amarrar / guiar Rafia piso 6</t>
  </si>
  <si>
    <t>P913</t>
  </si>
  <si>
    <t>Amarrar / guiar Rafia piso 7</t>
  </si>
  <si>
    <t>P914</t>
  </si>
  <si>
    <t>Amarrar / guiar Rafia piso 8</t>
  </si>
  <si>
    <t>P915</t>
  </si>
  <si>
    <t>Amarrar / guiar Rafia piso 9</t>
  </si>
  <si>
    <t>P916</t>
  </si>
  <si>
    <t>Amarrar / guiar Rafia piso 10</t>
  </si>
  <si>
    <t>P917</t>
  </si>
  <si>
    <t>Amarrar Panza / Guiado 1</t>
  </si>
  <si>
    <t>P918</t>
  </si>
  <si>
    <t>Amarrar Panza / Guiado 2</t>
  </si>
  <si>
    <t>P919</t>
  </si>
  <si>
    <t>Amarrar Panza / Guiado 3</t>
  </si>
  <si>
    <t>P9200</t>
  </si>
  <si>
    <t>Guiado 1</t>
  </si>
  <si>
    <t>P9201</t>
  </si>
  <si>
    <t>Guiado 2</t>
  </si>
  <si>
    <t>P9202</t>
  </si>
  <si>
    <t>Guiado 3</t>
  </si>
  <si>
    <t>P9203</t>
  </si>
  <si>
    <t>Guiado 4</t>
  </si>
  <si>
    <t>P9204</t>
  </si>
  <si>
    <t>Guiado 5</t>
  </si>
  <si>
    <t>P9205</t>
  </si>
  <si>
    <t>Guiado 6</t>
  </si>
  <si>
    <t>P9206</t>
  </si>
  <si>
    <t>Guiado 7</t>
  </si>
  <si>
    <t>P921</t>
  </si>
  <si>
    <t>Acomodado de rafia</t>
  </si>
  <si>
    <t>P922</t>
  </si>
  <si>
    <t>Entutorado</t>
  </si>
  <si>
    <t>P923</t>
  </si>
  <si>
    <t>Embollado de cintas de riego para rafiado de ajies</t>
  </si>
  <si>
    <t>p9</t>
  </si>
  <si>
    <t>P924</t>
  </si>
  <si>
    <t>supervisión en guiado </t>
  </si>
  <si>
    <t>P1001</t>
  </si>
  <si>
    <t>Anotador de Cosecha</t>
  </si>
  <si>
    <t>P10</t>
  </si>
  <si>
    <t>P1002</t>
  </si>
  <si>
    <t>P1003</t>
  </si>
  <si>
    <t>Carretilleros</t>
  </si>
  <si>
    <t>CARRETILLEROS</t>
  </si>
  <si>
    <t>P1004</t>
  </si>
  <si>
    <t>Cosechadores</t>
  </si>
  <si>
    <t>P1005</t>
  </si>
  <si>
    <t>Distribución de Jabas</t>
  </si>
  <si>
    <t>P1006</t>
  </si>
  <si>
    <t>Estimar Cosecha</t>
  </si>
  <si>
    <t>P1008</t>
  </si>
  <si>
    <t>Transporte de Cosecha con Camion/Camioneta/tractor</t>
  </si>
  <si>
    <t>P1010</t>
  </si>
  <si>
    <t>Escogedor</t>
  </si>
  <si>
    <t>P1012</t>
  </si>
  <si>
    <t>Pesador</t>
  </si>
  <si>
    <t>P1013</t>
  </si>
  <si>
    <t>Pesador/llenador</t>
  </si>
  <si>
    <t>P1015</t>
  </si>
  <si>
    <t>Cargadores para el camion</t>
  </si>
  <si>
    <t>CORTADORES </t>
  </si>
  <si>
    <t>P1016</t>
  </si>
  <si>
    <t>Armado de cajas</t>
  </si>
  <si>
    <t>P1017</t>
  </si>
  <si>
    <t>boleador de. sandía </t>
  </si>
  <si>
    <t>P1018</t>
  </si>
  <si>
    <t>sacado de sandía de las asequia de riego</t>
  </si>
  <si>
    <t>P1020</t>
  </si>
  <si>
    <t>P11</t>
  </si>
  <si>
    <t>P1103</t>
  </si>
  <si>
    <t>jalar,Recoger y terciar cañas/cortado de rafia y cargado de caña con tractor </t>
  </si>
  <si>
    <t>P1104</t>
  </si>
  <si>
    <t>Sacado de clip</t>
  </si>
  <si>
    <t>P1105</t>
  </si>
  <si>
    <t>Sacado de rafia/Malla entutorado</t>
  </si>
  <si>
    <t>P1106</t>
  </si>
  <si>
    <t>Montonar cintas / retiro de cintas</t>
  </si>
  <si>
    <t>P1107</t>
  </si>
  <si>
    <t>Jalar cañas y enpaquetados y recojo de rafia </t>
  </si>
  <si>
    <t>P1108</t>
  </si>
  <si>
    <t>Amontonar cañas/rafia</t>
  </si>
  <si>
    <t>P1109</t>
  </si>
  <si>
    <t>Limpieza de malla entutorado</t>
  </si>
  <si>
    <t>P1110</t>
  </si>
  <si>
    <t>Sacando puntales</t>
  </si>
  <si>
    <t>P1111</t>
  </si>
  <si>
    <t>Cargar y descargar cañas con tractor/camion</t>
  </si>
  <si>
    <t>P1112</t>
  </si>
  <si>
    <t>Retiro de manta cubresuelo negro</t>
  </si>
  <si>
    <t>P1113</t>
  </si>
  <si>
    <t>P1115</t>
  </si>
  <si>
    <t>recojo de frutos de pimiento /tómate del suelo</t>
  </si>
  <si>
    <t>P1116</t>
  </si>
  <si>
    <t>machetiar ramas /plantas </t>
  </si>
  <si>
    <t>P1117</t>
  </si>
  <si>
    <t>P1118</t>
  </si>
  <si>
    <t>cortar Chala y cargar</t>
  </si>
  <si>
    <t>P1201</t>
  </si>
  <si>
    <t>Colocación de tuberías y válvulas</t>
  </si>
  <si>
    <t>P12</t>
  </si>
  <si>
    <t>INSTALACION DE SISTEMA DE RIEGO</t>
  </si>
  <si>
    <t>P1202</t>
  </si>
  <si>
    <t>Excavación y tapado de zanja</t>
  </si>
  <si>
    <t>P1301</t>
  </si>
  <si>
    <t>Instalación de Estructuras</t>
  </si>
  <si>
    <t>P13</t>
  </si>
  <si>
    <t>INSTALACION DE ESTRUCTURAS DE CAMPO</t>
  </si>
  <si>
    <t>P1302</t>
  </si>
  <si>
    <t>Mantenimiento de Estructuras</t>
  </si>
  <si>
    <t>P1303</t>
  </si>
  <si>
    <t>Instalación de microtúneles/macrotuneles</t>
  </si>
  <si>
    <t>P1304</t>
  </si>
  <si>
    <t>Doblar Fierros para microtuneles</t>
  </si>
  <si>
    <t>P1401</t>
  </si>
  <si>
    <t>Asistente BPA</t>
  </si>
  <si>
    <t>P14</t>
  </si>
  <si>
    <t>BPA</t>
  </si>
  <si>
    <t>P1402</t>
  </si>
  <si>
    <t>Calibración de Equipos de Aplicación</t>
  </si>
  <si>
    <t>P1403</t>
  </si>
  <si>
    <t>Instalación y Mant. SSHH, Carpas y otros</t>
  </si>
  <si>
    <t>P1404</t>
  </si>
  <si>
    <t>Mant. de Trampas-Roedores</t>
  </si>
  <si>
    <t>P1405</t>
  </si>
  <si>
    <t>Riego de Jardin</t>
  </si>
  <si>
    <t>P15</t>
  </si>
  <si>
    <t>P1501</t>
  </si>
  <si>
    <t>Riego de Caminos</t>
  </si>
  <si>
    <t>P1504</t>
  </si>
  <si>
    <t>Mant. de Herramientas</t>
  </si>
  <si>
    <t>P1506</t>
  </si>
  <si>
    <t>Desentierro de malla de modulos</t>
  </si>
  <si>
    <t>P1507</t>
  </si>
  <si>
    <t>Mantenimiento de Pozo/Reservorio</t>
  </si>
  <si>
    <t>P1508</t>
  </si>
  <si>
    <t>Mantenimiento de Válvulas/tuberías </t>
  </si>
  <si>
    <t>P1510</t>
  </si>
  <si>
    <t>Mantenimiento Acequia con Maquina</t>
  </si>
  <si>
    <t>P1511</t>
  </si>
  <si>
    <t>desinstalar /Enrollar mallas de los modulos</t>
  </si>
  <si>
    <t>P1512</t>
  </si>
  <si>
    <t>Montonar palos de casa malla/ y cañas</t>
  </si>
  <si>
    <t>P1513</t>
  </si>
  <si>
    <t>Mantenimiento camara de frio</t>
  </si>
  <si>
    <t>P1514</t>
  </si>
  <si>
    <t>Mantenimiento Acequia</t>
  </si>
  <si>
    <t>P1515</t>
  </si>
  <si>
    <t>Mantenimiento de motor/cambio de aceite</t>
  </si>
  <si>
    <t>P1516</t>
  </si>
  <si>
    <t>Mantenimiento preventivo, llantas, etc (tractores)</t>
  </si>
  <si>
    <t>P1517</t>
  </si>
  <si>
    <t>Ayudar sostener la escalera</t>
  </si>
  <si>
    <t>P1521</t>
  </si>
  <si>
    <t>P1522</t>
  </si>
  <si>
    <t>Limpieza de alimentador/desagues y cortaderas</t>
  </si>
  <si>
    <t>P1523</t>
  </si>
  <si>
    <t>Desinstalación de macrotúneles</t>
  </si>
  <si>
    <t>P1524</t>
  </si>
  <si>
    <t>Instalación de mantas</t>
  </si>
  <si>
    <t>P1526</t>
  </si>
  <si>
    <t>Lavado de cubre suelo</t>
  </si>
  <si>
    <t>P1528</t>
  </si>
  <si>
    <t>Desentierro de piedras de modulo</t>
  </si>
  <si>
    <t>P1529</t>
  </si>
  <si>
    <t>Templar Malla</t>
  </si>
  <si>
    <t>P1531</t>
  </si>
  <si>
    <t>Desinstalacion de techo</t>
  </si>
  <si>
    <t>P1531-Desinstalacion de techo</t>
  </si>
  <si>
    <t>P1534-cambiar palos de casa mallas</t>
  </si>
  <si>
    <t>P1532</t>
  </si>
  <si>
    <t>Poda con maquina de jardin</t>
  </si>
  <si>
    <t>p15</t>
  </si>
  <si>
    <t>P1532-Poda con maquina de jardin</t>
  </si>
  <si>
    <t>P1533</t>
  </si>
  <si>
    <t>P1533-Riego de Jardin</t>
  </si>
  <si>
    <t>P16</t>
  </si>
  <si>
    <t>P1601-Guardianes</t>
  </si>
  <si>
    <t>P1701</t>
  </si>
  <si>
    <t>Control calidad</t>
  </si>
  <si>
    <t>P17</t>
  </si>
  <si>
    <t>P1701-Control calidad</t>
  </si>
  <si>
    <t>P1702</t>
  </si>
  <si>
    <t>Empaquetado/ensunchado</t>
  </si>
  <si>
    <t>P1702-Empaquetado/ensunchado</t>
  </si>
  <si>
    <t>P1703</t>
  </si>
  <si>
    <t>Lavar y desinfectar jabas</t>
  </si>
  <si>
    <t>P1703-Lavar y desinfectar jabas</t>
  </si>
  <si>
    <t>P1704-Proceso/selección</t>
  </si>
  <si>
    <t>P1705</t>
  </si>
  <si>
    <t>Recepción</t>
  </si>
  <si>
    <t>P1705-Recepción</t>
  </si>
  <si>
    <t>P1706</t>
  </si>
  <si>
    <t>Mantenimiento de areas de planta (recepccion, proceso,camara, pre camara, alamacen)</t>
  </si>
  <si>
    <t>P1706-Mantenimiento de areas de planta (recepccion, proceso,camara, pre camara, alamacen)</t>
  </si>
  <si>
    <t>p1707</t>
  </si>
  <si>
    <t>Despacho de Producto / materia prima</t>
  </si>
  <si>
    <t>p17</t>
  </si>
  <si>
    <t>p1707-Despacho de Producto / materia prima</t>
  </si>
  <si>
    <t>p1708-limpieza de planta</t>
  </si>
  <si>
    <t>p1709</t>
  </si>
  <si>
    <t>despachó de jabas/ para los lotes</t>
  </si>
  <si>
    <t>p1709-despachó de jabas/ para los lotes</t>
  </si>
  <si>
    <t>P1710</t>
  </si>
  <si>
    <t>ABASTECEDOR/PESADOR</t>
  </si>
  <si>
    <t>P1710-ABASTECEDOR/PESADOR</t>
  </si>
  <si>
    <t>P1711-Estiba Camion</t>
  </si>
  <si>
    <t>P1712-Trasiego de materia prima</t>
  </si>
  <si>
    <t>P1714</t>
  </si>
  <si>
    <t>LIMPIEZA DE PLANTA /YUCA</t>
  </si>
  <si>
    <t>P18</t>
  </si>
  <si>
    <t>P1801-Hacer puertas</t>
  </si>
  <si>
    <t>P1802</t>
  </si>
  <si>
    <t>Instalacion de casa malla</t>
  </si>
  <si>
    <t>P1802-Instalacion de casa malla</t>
  </si>
  <si>
    <t>P1803-Lavado de malla</t>
  </si>
  <si>
    <t>P1804</t>
  </si>
  <si>
    <t>Construccion de Casetas,Oficinas, Mochileros.</t>
  </si>
  <si>
    <t>P1804-Construccion de Casetas,Oficinas, Mochileros.</t>
  </si>
  <si>
    <t>P1805-Templado de Alambre en casa malla</t>
  </si>
  <si>
    <t>P1806</t>
  </si>
  <si>
    <t>supervisión de labor</t>
  </si>
  <si>
    <t>P1806-supervisión de labor</t>
  </si>
  <si>
    <t>Enrollar Alambre</t>
  </si>
  <si>
    <t>P1806-Enrollar Alambre</t>
  </si>
  <si>
    <t>P1807-Desinstalar de parrón </t>
  </si>
  <si>
    <t>P1808</t>
  </si>
  <si>
    <t>selecciones de palos.</t>
  </si>
  <si>
    <t>P1808-selecciones de palos.</t>
  </si>
  <si>
    <t>P1809</t>
  </si>
  <si>
    <t>cargado de alambre /palos/piedras</t>
  </si>
  <si>
    <t>P1809-cargado de alambre /palos/piedras</t>
  </si>
  <si>
    <t>P1810</t>
  </si>
  <si>
    <t>P1810-supervisión </t>
  </si>
  <si>
    <t>P1811</t>
  </si>
  <si>
    <t>instalación de tuberías de riego</t>
  </si>
  <si>
    <t>P1811-instalación de tuberías de riego</t>
  </si>
  <si>
    <t>P1812-Retiro de muerto / piedra</t>
  </si>
  <si>
    <t>P1901</t>
  </si>
  <si>
    <t>Regar guano</t>
  </si>
  <si>
    <t>P19</t>
  </si>
  <si>
    <t>P1901-Regar guano</t>
  </si>
  <si>
    <t>P1902</t>
  </si>
  <si>
    <t>Dar vuelta al guano</t>
  </si>
  <si>
    <t>P20</t>
  </si>
  <si>
    <t>P1902-Dar vuelta al guano</t>
  </si>
  <si>
    <t>P1903</t>
  </si>
  <si>
    <t>Regar humus</t>
  </si>
  <si>
    <t>P21</t>
  </si>
  <si>
    <t>P1903-Regar humus</t>
  </si>
  <si>
    <t>Colocar atrayente de abejas</t>
  </si>
  <si>
    <t>P738-Colocar atrayente de abejas</t>
  </si>
  <si>
    <t>P2000</t>
  </si>
  <si>
    <t>ENGREIMIENTO POR PARTE DE RUBEN</t>
  </si>
  <si>
    <t>P2001</t>
  </si>
  <si>
    <t>Reuniones/Charlas/Capacitaciones/actividades fiestas patrias </t>
  </si>
  <si>
    <t>P2001-Reuniones/Charlas/Capacitaciones/actividades fiestas patrias </t>
  </si>
  <si>
    <t>Cocina/Limpieza de Fundo </t>
  </si>
  <si>
    <t>P2002-Cocina/Limpieza de Fundo </t>
  </si>
  <si>
    <t>P2003</t>
  </si>
  <si>
    <t>Llenado de planila </t>
  </si>
  <si>
    <t>P2003-Llenado de planila </t>
  </si>
  <si>
    <t>P2004-Almacen</t>
  </si>
  <si>
    <t>P2005</t>
  </si>
  <si>
    <t>por accidente laboral /atención medica</t>
  </si>
  <si>
    <t>P2005-por accidente laboral /atención medica</t>
  </si>
  <si>
    <t>P2006</t>
  </si>
  <si>
    <t>Gastos por conductor / chofer/ recojo o llevado de personas</t>
  </si>
  <si>
    <t>P2006-Gastos por conductor / chofer/ recojo o llevado de personas</t>
  </si>
  <si>
    <t>P2007</t>
  </si>
  <si>
    <t>Vigilancia</t>
  </si>
  <si>
    <t>P2007-Vigilancia</t>
  </si>
  <si>
    <t>P2008</t>
  </si>
  <si>
    <t>sacado de analisis</t>
  </si>
  <si>
    <t>P2008-sacado de analisis</t>
  </si>
  <si>
    <t>P2009-ordenar y limpieza</t>
  </si>
  <si>
    <t>P2019</t>
  </si>
  <si>
    <t>portero </t>
  </si>
  <si>
    <t>P2019-portero </t>
  </si>
  <si>
    <t>P2011</t>
  </si>
  <si>
    <t>armando corral</t>
  </si>
  <si>
    <t>P2011-armando corral</t>
  </si>
  <si>
    <t>P2012</t>
  </si>
  <si>
    <t>otros labores</t>
  </si>
  <si>
    <t>P2012-otros labores</t>
  </si>
  <si>
    <t>P2013</t>
  </si>
  <si>
    <t>cambio de aceite maquinas</t>
  </si>
  <si>
    <t>P2014</t>
  </si>
  <si>
    <t>Lavado con hidrolavadora Tractor/Camioneta/Camion</t>
  </si>
  <si>
    <t>P2015</t>
  </si>
  <si>
    <t>PETROLEO TRACTOR</t>
  </si>
  <si>
    <t>P2016</t>
  </si>
  <si>
    <t>GASOLINA MOTO</t>
  </si>
  <si>
    <t>P2017</t>
  </si>
  <si>
    <t>GASOLINA MOTORES </t>
  </si>
  <si>
    <t>P2018</t>
  </si>
  <si>
    <t>ENGRASE TRACTORES</t>
  </si>
  <si>
    <t>P2021</t>
  </si>
  <si>
    <t>ORDENAR Y DESCOSER MALLA DE LOS SACOS</t>
  </si>
  <si>
    <t>D40</t>
  </si>
  <si>
    <t>CULTIVO CON TRACTOR</t>
  </si>
  <si>
    <t>G120</t>
  </si>
  <si>
    <t>GASOLINA MOTO JOSE LUIS</t>
  </si>
  <si>
    <t>G50</t>
  </si>
  <si>
    <t>GASOLINA</t>
  </si>
  <si>
    <t>D123</t>
  </si>
  <si>
    <t>D124</t>
  </si>
  <si>
    <t>HACER CORTADERAS</t>
  </si>
  <si>
    <t>PPTO X HA</t>
  </si>
  <si>
    <t>% CONSUMO</t>
  </si>
  <si>
    <t>MONTO TOTAL</t>
  </si>
  <si>
    <t>S/.13,881.61</t>
  </si>
  <si>
    <t>S/.16,907.80</t>
  </si>
  <si>
    <t>S/.20,025.75</t>
  </si>
  <si>
    <t>S/.5,008.86</t>
  </si>
  <si>
    <t>S/.13,769.11</t>
  </si>
  <si>
    <t>S/.22,347.99</t>
  </si>
  <si>
    <t>S/.14,990.85</t>
  </si>
  <si>
    <t>S/.27,425.00</t>
  </si>
  <si>
    <t>S/.13,991.61</t>
  </si>
  <si>
    <t>S/.24,046.32</t>
  </si>
  <si>
    <t>S/.36,987.07</t>
  </si>
  <si>
    <t>S/.14,831.38</t>
  </si>
  <si>
    <t>S/.8,296.95</t>
  </si>
  <si>
    <t>S/.21,944.56</t>
  </si>
  <si>
    <t>S/.9,891.67</t>
  </si>
  <si>
    <t>S/.4,407.00</t>
  </si>
  <si>
    <t>S/.166.00</t>
  </si>
  <si>
    <t>S/.15,116.83</t>
  </si>
  <si>
    <t>S/.12,695.16</t>
  </si>
  <si>
    <t>S/.18,655.85</t>
  </si>
  <si>
    <t>S/.62,456.74</t>
  </si>
  <si>
    <t>S/.8,613.10</t>
  </si>
  <si>
    <t>S/.983.05</t>
  </si>
  <si>
    <t>S/.14,685.84</t>
  </si>
  <si>
    <t>S/.9,606.80</t>
  </si>
  <si>
    <t>S/.13,206.09</t>
  </si>
  <si>
    <t>Total CAMOTE AMARILLO</t>
  </si>
  <si>
    <t>S/.307,395.47</t>
  </si>
  <si>
    <t>S/.20,688.68</t>
  </si>
  <si>
    <t>S/.16,432.75</t>
  </si>
  <si>
    <t>S/.6,046.00</t>
  </si>
  <si>
    <t>S/.1,454.90</t>
  </si>
  <si>
    <t>S/.2,121.32</t>
  </si>
  <si>
    <t>S/.4,888.12</t>
  </si>
  <si>
    <t>S/.1,407.86</t>
  </si>
  <si>
    <t>Total CAMOTE PINTURA</t>
  </si>
  <si>
    <t>S/.41,487.30</t>
  </si>
  <si>
    <t>Suma total</t>
  </si>
  <si>
    <t>S/.169,924.82</t>
  </si>
  <si>
    <t>Estado
trabajador</t>
  </si>
  <si>
    <t>SUM of Costo total</t>
  </si>
  <si>
    <t>RICARDO (ESP DE JULIA) FUE CON PITOY PARA ING CAMIÓN</t>
  </si>
  <si>
    <t>S/.33.30</t>
  </si>
  <si>
    <t>S/.47.90</t>
  </si>
  <si>
    <t>7 PERSONAS QUEBRADA</t>
  </si>
  <si>
    <t>S/.266.54</t>
  </si>
  <si>
    <t>S/.5.50</t>
  </si>
  <si>
    <t>S/.38.08</t>
  </si>
  <si>
    <t>S/.52.21</t>
  </si>
  <si>
    <t>S/.61.29</t>
  </si>
  <si>
    <t>S/.21.42</t>
  </si>
  <si>
    <t>S/.39.42</t>
  </si>
  <si>
    <t>214 jabas (133/4) y (81/5)</t>
  </si>
  <si>
    <t>S/.1.27</t>
  </si>
  <si>
    <t>Viajó su esposo Ricardo para Lima entrega a Supesa</t>
  </si>
  <si>
    <t>114x1.1=125.4/3. 41.80c/u</t>
  </si>
  <si>
    <t>3.5 chancho x S/.4.5=15.75 / 3 5.25c/u</t>
  </si>
  <si>
    <t>S/.47.05</t>
  </si>
  <si>
    <t>144X1.1=158.4 158.4/3=52.8 </t>
  </si>
  <si>
    <t>S/.22.94</t>
  </si>
  <si>
    <t>2 Chancho x S/.4.50= 9. 9/3=3 </t>
  </si>
  <si>
    <t>S/.19.86</t>
  </si>
  <si>
    <t>S/.37.80</t>
  </si>
  <si>
    <t>Instalación de Cintas</t>
  </si>
  <si>
    <t>p1119</t>
  </si>
  <si>
    <t>Jalado de monte</t>
  </si>
  <si>
    <t>P479</t>
  </si>
  <si>
    <t>Tapando Sacos de Camote con Plástico por la lluvia</t>
  </si>
  <si>
    <t>6 personales de la quebrada</t>
  </si>
  <si>
    <t>S/.371.25</t>
  </si>
  <si>
    <t>S/.61.88</t>
  </si>
  <si>
    <t>S/.7.33</t>
  </si>
  <si>
    <t>S/.77.76</t>
  </si>
  <si>
    <t>S/.1.26</t>
  </si>
  <si>
    <t>36 sacos estiba (compra en san isidro)</t>
  </si>
  <si>
    <t>36 sacos estiba (compra en san isidro) a 3 soles (108/3)</t>
  </si>
  <si>
    <t>3.5 HRS cargar camión para supesa, llevar camión a nvo imperial</t>
  </si>
  <si>
    <t>P1119</t>
  </si>
  <si>
    <t>S/.11.63</t>
  </si>
  <si>
    <t>2.5 hr + 36 estiba + 21.42 proceso</t>
  </si>
  <si>
    <t>359*1.10=394.9. 265 JABAS/3 Y 94 JABAS / 6</t>
  </si>
  <si>
    <t>6 SACOS</t>
  </si>
  <si>
    <t>S/.48.08</t>
  </si>
  <si>
    <t>S/.37.31</t>
  </si>
  <si>
    <t>S/.46.89</t>
  </si>
  <si>
    <t>S/.17.07</t>
  </si>
  <si>
    <t>S/.94.10</t>
  </si>
  <si>
    <t>labor del 13 de agosto, no se había puesto el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</si>
</sst>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"/>
    <numFmt numFmtId="165" formatCode="d/mm/yyyy"/>
    <numFmt numFmtId="166" formatCode="0.000"/>
    <numFmt numFmtId="167" formatCode="#,##0.0"/>
    <numFmt numFmtId="168" formatCode="m/d/yyyy"/>
    <numFmt numFmtId="169" formatCode="yyyy\-mm\-dd\ h:mm:ss"/>
    <numFmt numFmtId="170" formatCode="#,##0.00_ ;\-#,##0.00\ "/>
    <numFmt numFmtId="171" formatCode="_-&quot;S/ &quot;* #,##0.00_-;&quot;-S/ &quot;* #,##0.00_-;_-&quot;S/ &quot;* \-??_-;_-@_-"/>
  </numFmts>
  <fonts count="39" x14ac:knownFonts="1">
    <font>
      <sz val="10"/>
      <color rgb="FF000000"/>
      <name val="Verdana"/>
      <charset val="1"/>
    </font>
    <font>
      <b/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0"/>
      <color theme="1"/>
      <name val="Arial"/>
      <family val="2"/>
      <charset val="1"/>
    </font>
    <font>
      <sz val="10"/>
      <color theme="1"/>
      <name val="Verdana"/>
      <family val="2"/>
      <charset val="1"/>
    </font>
    <font>
      <b/>
      <sz val="10"/>
      <color rgb="FF000000"/>
      <name val="Verdana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sz val="10"/>
      <color rgb="FF000000"/>
      <name val="Verdana"/>
      <family val="2"/>
      <charset val="1"/>
    </font>
    <font>
      <i/>
      <sz val="11"/>
      <color rgb="FF000000"/>
      <name val="Calibri"/>
      <family val="2"/>
      <charset val="1"/>
    </font>
    <font>
      <sz val="9"/>
      <color rgb="FF000000"/>
      <name val="Arial"/>
      <family val="2"/>
      <charset val="1"/>
    </font>
    <font>
      <b/>
      <sz val="10"/>
      <color theme="1"/>
      <name val="Verdana"/>
      <family val="2"/>
      <charset val="1"/>
    </font>
    <font>
      <sz val="10"/>
      <color rgb="FFB7B7B7"/>
      <name val="Verdana"/>
      <family val="2"/>
      <charset val="1"/>
    </font>
    <font>
      <b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b/>
      <i/>
      <sz val="10"/>
      <color rgb="FF000000"/>
      <name val="Arial"/>
      <family val="2"/>
      <charset val="1"/>
    </font>
    <font>
      <i/>
      <sz val="10"/>
      <color rgb="FF000000"/>
      <name val="Arial"/>
      <family val="2"/>
      <charset val="1"/>
    </font>
    <font>
      <b/>
      <i/>
      <sz val="10"/>
      <color rgb="FFFF0000"/>
      <name val="Arial"/>
      <family val="2"/>
      <charset val="1"/>
    </font>
    <font>
      <i/>
      <sz val="10"/>
      <color rgb="FF000000"/>
      <name val="Verdana"/>
      <family val="2"/>
      <charset val="1"/>
    </font>
    <font>
      <i/>
      <sz val="10"/>
      <color rgb="FF666666"/>
      <name val="Arial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/>
      <i/>
      <sz val="11"/>
      <color rgb="FF000000"/>
      <name val="Calibri"/>
      <family val="2"/>
      <charset val="1"/>
    </font>
    <font>
      <b/>
      <sz val="10"/>
      <color rgb="FFFF0000"/>
      <name val="Arial"/>
      <family val="2"/>
      <charset val="1"/>
    </font>
    <font>
      <b/>
      <i/>
      <sz val="10"/>
      <color rgb="FF000000"/>
      <name val="Verdana"/>
      <family val="2"/>
      <charset val="1"/>
    </font>
    <font>
      <sz val="10"/>
      <color rgb="FFFFFFFF"/>
      <name val="Verdana"/>
      <family val="2"/>
      <charset val="1"/>
    </font>
    <font>
      <sz val="10"/>
      <color theme="1"/>
      <name val="Arial"/>
      <family val="2"/>
      <charset val="1"/>
    </font>
    <font>
      <sz val="10"/>
      <color rgb="FF000000"/>
      <name val="Verdana"/>
      <family val="2"/>
    </font>
    <font>
      <b/>
      <sz val="12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8"/>
      <color rgb="FF000000"/>
      <name val="Arial"/>
      <family val="2"/>
    </font>
    <font>
      <sz val="10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sz val="10"/>
      <color rgb="FFFF000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0E0E3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/>
    <xf numFmtId="0" fontId="5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4" fillId="0" borderId="0" xfId="0" applyFont="1"/>
    <xf numFmtId="0" fontId="11" fillId="3" borderId="0" xfId="0" applyFont="1" applyFill="1"/>
    <xf numFmtId="0" fontId="11" fillId="2" borderId="0" xfId="0" applyFont="1" applyFill="1"/>
    <xf numFmtId="164" fontId="4" fillId="0" borderId="0" xfId="0" applyNumberFormat="1" applyFont="1"/>
    <xf numFmtId="165" fontId="4" fillId="0" borderId="0" xfId="0" applyNumberFormat="1" applyFont="1"/>
    <xf numFmtId="4" fontId="4" fillId="0" borderId="0" xfId="0" applyNumberFormat="1" applyFont="1"/>
    <xf numFmtId="3" fontId="4" fillId="0" borderId="0" xfId="0" applyNumberFormat="1" applyFont="1"/>
    <xf numFmtId="2" fontId="4" fillId="0" borderId="0" xfId="0" applyNumberFormat="1" applyFont="1"/>
    <xf numFmtId="166" fontId="4" fillId="0" borderId="0" xfId="0" applyNumberFormat="1" applyFont="1"/>
    <xf numFmtId="167" fontId="4" fillId="0" borderId="0" xfId="0" applyNumberFormat="1" applyFont="1"/>
    <xf numFmtId="168" fontId="0" fillId="0" borderId="0" xfId="0" applyNumberFormat="1"/>
    <xf numFmtId="4" fontId="0" fillId="0" borderId="0" xfId="0" applyNumberFormat="1"/>
    <xf numFmtId="168" fontId="8" fillId="0" borderId="0" xfId="0" applyNumberFormat="1" applyFont="1"/>
    <xf numFmtId="4" fontId="8" fillId="0" borderId="0" xfId="0" applyNumberFormat="1" applyFont="1"/>
    <xf numFmtId="169" fontId="0" fillId="0" borderId="0" xfId="0" applyNumberFormat="1"/>
    <xf numFmtId="0" fontId="12" fillId="0" borderId="0" xfId="0" applyFont="1"/>
    <xf numFmtId="0" fontId="13" fillId="0" borderId="0" xfId="0" applyFont="1"/>
    <xf numFmtId="170" fontId="0" fillId="0" borderId="0" xfId="0" applyNumberFormat="1"/>
    <xf numFmtId="171" fontId="0" fillId="0" borderId="0" xfId="0" applyNumberFormat="1"/>
    <xf numFmtId="0" fontId="14" fillId="0" borderId="0" xfId="0" applyFont="1"/>
    <xf numFmtId="0" fontId="15" fillId="0" borderId="0" xfId="0" applyFont="1"/>
    <xf numFmtId="0" fontId="5" fillId="2" borderId="0" xfId="0" applyFont="1" applyFill="1"/>
    <xf numFmtId="16" fontId="8" fillId="0" borderId="0" xfId="0" applyNumberFormat="1" applyFont="1"/>
    <xf numFmtId="0" fontId="16" fillId="0" borderId="0" xfId="0" applyFont="1"/>
    <xf numFmtId="0" fontId="17" fillId="0" borderId="0" xfId="0" applyFont="1"/>
    <xf numFmtId="168" fontId="14" fillId="0" borderId="0" xfId="0" applyNumberFormat="1" applyFont="1"/>
    <xf numFmtId="0" fontId="18" fillId="0" borderId="0" xfId="0" applyFont="1"/>
    <xf numFmtId="0" fontId="19" fillId="0" borderId="0" xfId="0" applyFont="1"/>
    <xf numFmtId="0" fontId="2" fillId="2" borderId="0" xfId="0" applyFont="1" applyFill="1"/>
    <xf numFmtId="0" fontId="8" fillId="2" borderId="0" xfId="0" applyFont="1" applyFill="1"/>
    <xf numFmtId="0" fontId="15" fillId="2" borderId="0" xfId="0" applyFont="1" applyFill="1"/>
    <xf numFmtId="0" fontId="20" fillId="0" borderId="0" xfId="0" applyFont="1"/>
    <xf numFmtId="168" fontId="21" fillId="0" borderId="0" xfId="0" applyNumberFormat="1" applyFont="1"/>
    <xf numFmtId="0" fontId="21" fillId="0" borderId="0" xfId="0" applyFont="1"/>
    <xf numFmtId="0" fontId="13" fillId="2" borderId="0" xfId="0" applyFont="1" applyFill="1"/>
    <xf numFmtId="0" fontId="22" fillId="0" borderId="0" xfId="0" applyFont="1"/>
    <xf numFmtId="0" fontId="6" fillId="2" borderId="0" xfId="0" applyFont="1" applyFill="1"/>
    <xf numFmtId="168" fontId="23" fillId="0" borderId="0" xfId="0" applyNumberFormat="1" applyFont="1"/>
    <xf numFmtId="0" fontId="24" fillId="0" borderId="0" xfId="0" applyFont="1"/>
    <xf numFmtId="2" fontId="8" fillId="0" borderId="0" xfId="0" applyNumberFormat="1" applyFont="1"/>
    <xf numFmtId="0" fontId="25" fillId="0" borderId="0" xfId="0" applyFont="1"/>
    <xf numFmtId="4" fontId="5" fillId="0" borderId="0" xfId="0" applyNumberFormat="1" applyFont="1"/>
    <xf numFmtId="10" fontId="5" fillId="0" borderId="0" xfId="0" applyNumberFormat="1" applyFont="1"/>
    <xf numFmtId="0" fontId="26" fillId="0" borderId="0" xfId="0" applyFont="1"/>
    <xf numFmtId="14" fontId="0" fillId="0" borderId="0" xfId="0" applyNumberFormat="1"/>
    <xf numFmtId="0" fontId="27" fillId="2" borderId="0" xfId="0" applyFont="1" applyFill="1"/>
    <xf numFmtId="0" fontId="28" fillId="0" borderId="0" xfId="0" applyFont="1"/>
    <xf numFmtId="0" fontId="29" fillId="0" borderId="0" xfId="0" applyFont="1"/>
    <xf numFmtId="0" fontId="27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14" fontId="30" fillId="0" borderId="0" xfId="0" applyNumberFormat="1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14" fontId="31" fillId="0" borderId="0" xfId="0" applyNumberFormat="1" applyFont="1"/>
    <xf numFmtId="0" fontId="36" fillId="0" borderId="0" xfId="0" applyFont="1"/>
    <xf numFmtId="14" fontId="37" fillId="0" borderId="0" xfId="0" applyNumberFormat="1" applyFont="1"/>
    <xf numFmtId="0" fontId="38" fillId="0" borderId="0" xfId="0" applyFont="1"/>
    <xf numFmtId="0" fontId="0" fillId="0" borderId="0" xfId="0"/>
    <xf numFmtId="0" fontId="0" fillId="2" borderId="0" xfId="0" applyFill="1"/>
    <xf numFmtId="0" fontId="5" fillId="0" borderId="0" xfId="0" applyFont="1"/>
    <xf numFmtId="0" fontId="2" fillId="0" borderId="0" xfId="0" applyFont="1"/>
    <xf numFmtId="0" fontId="4" fillId="2" borderId="0" xfId="0" applyFont="1" applyFill="1"/>
    <xf numFmtId="0" fontId="3" fillId="0" borderId="0" xfId="0" applyFont="1"/>
    <xf numFmtId="0" fontId="1" fillId="0" borderId="0" xfId="0" applyFont="1"/>
    <xf numFmtId="0" fontId="4" fillId="0" borderId="0" xfId="0" applyFont="1"/>
    <xf numFmtId="0" fontId="27" fillId="0" borderId="0" xfId="0" applyFont="1"/>
    <xf numFmtId="0" fontId="3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E0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8"/>
  <sheetViews>
    <sheetView topLeftCell="D436" zoomScaleNormal="100" workbookViewId="0">
      <selection activeCell="T488" sqref="A1:T488"/>
    </sheetView>
  </sheetViews>
  <sheetFormatPr baseColWidth="10" defaultColWidth="10.6640625" defaultRowHeight="13" x14ac:dyDescent="0.15"/>
  <cols>
    <col min="6" max="6" width="41.83203125" customWidth="1"/>
    <col min="8" max="8" width="28.33203125" customWidth="1"/>
  </cols>
  <sheetData>
    <row r="1" spans="1:21" ht="12.75" customHeight="1" x14ac:dyDescent="0.15">
      <c r="A1" s="5" t="s">
        <v>2</v>
      </c>
      <c r="B1" s="77" t="s">
        <v>155</v>
      </c>
      <c r="C1" s="74" t="s">
        <v>3</v>
      </c>
      <c r="D1" s="74" t="s">
        <v>4</v>
      </c>
      <c r="E1" s="76" t="s">
        <v>5</v>
      </c>
      <c r="F1" s="75" t="s">
        <v>156</v>
      </c>
      <c r="G1" s="3" t="s">
        <v>157</v>
      </c>
      <c r="H1" s="76" t="s">
        <v>158</v>
      </c>
      <c r="I1" s="76" t="s">
        <v>159</v>
      </c>
      <c r="J1" s="77" t="s">
        <v>160</v>
      </c>
      <c r="K1" s="77" t="s">
        <v>161</v>
      </c>
      <c r="L1" s="74" t="s">
        <v>10</v>
      </c>
      <c r="M1" s="77" t="s">
        <v>162</v>
      </c>
      <c r="N1" s="74" t="s">
        <v>12</v>
      </c>
      <c r="O1" s="74" t="s">
        <v>163</v>
      </c>
      <c r="P1" s="74" t="s">
        <v>164</v>
      </c>
      <c r="Q1" s="74" t="s">
        <v>165</v>
      </c>
      <c r="R1" s="74" t="s">
        <v>166</v>
      </c>
      <c r="S1" s="74" t="s">
        <v>13</v>
      </c>
      <c r="T1" s="74" t="s">
        <v>14</v>
      </c>
      <c r="U1" s="73" t="s">
        <v>167</v>
      </c>
    </row>
    <row r="2" spans="1:21" ht="12.75" customHeight="1" x14ac:dyDescent="0.15">
      <c r="A2" s="5" t="s">
        <v>16</v>
      </c>
      <c r="B2" s="71"/>
      <c r="C2" s="71"/>
      <c r="D2" s="71"/>
      <c r="E2" s="71"/>
      <c r="F2" s="71"/>
      <c r="G2" s="4" t="s">
        <v>168</v>
      </c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</row>
    <row r="3" spans="1:21" ht="13.5" customHeight="1" x14ac:dyDescent="0.2">
      <c r="A3" s="6" t="s">
        <v>169</v>
      </c>
      <c r="B3" s="6" t="s">
        <v>170</v>
      </c>
      <c r="C3" s="6" t="s">
        <v>75</v>
      </c>
      <c r="D3" s="6">
        <v>1</v>
      </c>
      <c r="E3" s="7" t="s">
        <v>171</v>
      </c>
      <c r="F3" s="7" t="s">
        <v>22</v>
      </c>
      <c r="G3" s="7" t="s">
        <v>22</v>
      </c>
      <c r="H3" s="7" t="s">
        <v>172</v>
      </c>
      <c r="I3" s="7" t="s">
        <v>173</v>
      </c>
      <c r="J3" s="6">
        <v>1</v>
      </c>
      <c r="K3" s="6">
        <v>1</v>
      </c>
      <c r="L3" s="6">
        <v>1</v>
      </c>
      <c r="M3" s="6">
        <v>8000</v>
      </c>
      <c r="N3" s="6">
        <v>8000</v>
      </c>
      <c r="O3" s="8"/>
      <c r="P3" s="8"/>
      <c r="Q3" s="8"/>
      <c r="R3" s="8"/>
      <c r="S3" s="9">
        <v>-30</v>
      </c>
      <c r="T3" s="6" t="s">
        <v>174</v>
      </c>
      <c r="U3" s="8"/>
    </row>
    <row r="4" spans="1:21" ht="13.5" customHeight="1" x14ac:dyDescent="0.2">
      <c r="A4" s="6" t="s">
        <v>169</v>
      </c>
      <c r="B4" s="6" t="s">
        <v>170</v>
      </c>
      <c r="C4" s="6" t="s">
        <v>75</v>
      </c>
      <c r="D4" s="6">
        <v>1</v>
      </c>
      <c r="E4" s="8"/>
      <c r="F4" s="6" t="s">
        <v>33</v>
      </c>
      <c r="G4" s="6" t="s">
        <v>33</v>
      </c>
      <c r="H4" s="6" t="s">
        <v>172</v>
      </c>
      <c r="I4" s="6" t="s">
        <v>173</v>
      </c>
      <c r="J4" s="6">
        <v>1</v>
      </c>
      <c r="K4" s="6">
        <v>1</v>
      </c>
      <c r="L4" s="6">
        <v>1</v>
      </c>
      <c r="M4" s="6">
        <v>180</v>
      </c>
      <c r="N4" s="6">
        <v>180</v>
      </c>
      <c r="O4" s="8"/>
      <c r="P4" s="8"/>
      <c r="Q4" s="8"/>
      <c r="R4" s="8"/>
      <c r="S4" s="9">
        <v>-30</v>
      </c>
      <c r="T4" s="6" t="s">
        <v>175</v>
      </c>
      <c r="U4" s="8"/>
    </row>
    <row r="5" spans="1:21" ht="13.5" customHeight="1" x14ac:dyDescent="0.2">
      <c r="A5" s="6" t="s">
        <v>169</v>
      </c>
      <c r="B5" s="6" t="s">
        <v>170</v>
      </c>
      <c r="C5" s="6" t="s">
        <v>75</v>
      </c>
      <c r="D5" s="6">
        <v>1</v>
      </c>
      <c r="E5" s="8"/>
      <c r="F5" s="6" t="s">
        <v>26</v>
      </c>
      <c r="G5" s="6" t="s">
        <v>26</v>
      </c>
      <c r="H5" s="6" t="s">
        <v>172</v>
      </c>
      <c r="I5" s="6" t="s">
        <v>173</v>
      </c>
      <c r="J5" s="8"/>
      <c r="K5" s="6">
        <v>1</v>
      </c>
      <c r="L5" s="6">
        <v>1</v>
      </c>
      <c r="M5" s="6">
        <v>118</v>
      </c>
      <c r="N5" s="6">
        <v>118</v>
      </c>
      <c r="O5" s="8"/>
      <c r="P5" s="8"/>
      <c r="Q5" s="8"/>
      <c r="R5" s="8"/>
      <c r="S5" s="9">
        <v>-25</v>
      </c>
      <c r="T5" s="6" t="s">
        <v>176</v>
      </c>
      <c r="U5" s="8"/>
    </row>
    <row r="6" spans="1:21" ht="13.5" customHeight="1" x14ac:dyDescent="0.2">
      <c r="A6" s="6" t="s">
        <v>169</v>
      </c>
      <c r="B6" s="6" t="s">
        <v>170</v>
      </c>
      <c r="C6" s="6" t="s">
        <v>75</v>
      </c>
      <c r="D6" s="6">
        <v>1</v>
      </c>
      <c r="E6" s="8"/>
      <c r="F6" s="6" t="s">
        <v>177</v>
      </c>
      <c r="G6" s="6" t="s">
        <v>26</v>
      </c>
      <c r="H6" s="6" t="s">
        <v>178</v>
      </c>
      <c r="I6" s="6" t="s">
        <v>173</v>
      </c>
      <c r="J6" s="8"/>
      <c r="K6" s="6">
        <v>1</v>
      </c>
      <c r="L6" s="6">
        <v>1</v>
      </c>
      <c r="M6" s="6">
        <v>9.8000000000000007</v>
      </c>
      <c r="N6" s="6">
        <v>9.8000000000000007</v>
      </c>
      <c r="O6" s="8"/>
      <c r="P6" s="8"/>
      <c r="Q6" s="8"/>
      <c r="R6" s="8"/>
      <c r="S6" s="9">
        <v>-25</v>
      </c>
      <c r="T6" s="6" t="s">
        <v>179</v>
      </c>
      <c r="U6" s="8"/>
    </row>
    <row r="7" spans="1:21" ht="13.5" customHeight="1" x14ac:dyDescent="0.2">
      <c r="A7" s="6" t="s">
        <v>169</v>
      </c>
      <c r="B7" s="6" t="s">
        <v>170</v>
      </c>
      <c r="C7" s="6" t="s">
        <v>75</v>
      </c>
      <c r="D7" s="6">
        <v>1</v>
      </c>
      <c r="E7" s="8"/>
      <c r="F7" s="6" t="s">
        <v>180</v>
      </c>
      <c r="G7" s="6" t="s">
        <v>26</v>
      </c>
      <c r="H7" s="6" t="s">
        <v>181</v>
      </c>
      <c r="I7" s="6" t="s">
        <v>182</v>
      </c>
      <c r="J7" s="8"/>
      <c r="K7" s="6">
        <v>1</v>
      </c>
      <c r="L7" s="6">
        <v>1</v>
      </c>
      <c r="M7" s="6">
        <v>8</v>
      </c>
      <c r="N7" s="6">
        <v>8</v>
      </c>
      <c r="O7" s="8"/>
      <c r="P7" s="8"/>
      <c r="Q7" s="8"/>
      <c r="R7" s="8"/>
      <c r="S7" s="9">
        <v>-25</v>
      </c>
      <c r="T7" s="6" t="s">
        <v>183</v>
      </c>
      <c r="U7" s="8"/>
    </row>
    <row r="8" spans="1:21" ht="13.5" customHeight="1" x14ac:dyDescent="0.2">
      <c r="A8" s="6" t="s">
        <v>169</v>
      </c>
      <c r="B8" s="6" t="s">
        <v>170</v>
      </c>
      <c r="C8" s="6" t="s">
        <v>75</v>
      </c>
      <c r="D8" s="6">
        <v>1</v>
      </c>
      <c r="E8" s="8"/>
      <c r="F8" s="6" t="s">
        <v>184</v>
      </c>
      <c r="G8" s="6" t="s">
        <v>30</v>
      </c>
      <c r="H8" s="6" t="s">
        <v>181</v>
      </c>
      <c r="I8" s="6" t="s">
        <v>182</v>
      </c>
      <c r="J8" s="8"/>
      <c r="K8" s="6">
        <v>1</v>
      </c>
      <c r="L8" s="6">
        <v>1</v>
      </c>
      <c r="M8" s="6">
        <v>4.2</v>
      </c>
      <c r="N8" s="6">
        <v>4.2</v>
      </c>
      <c r="O8" s="8"/>
      <c r="P8" s="8"/>
      <c r="Q8" s="8"/>
      <c r="R8" s="8"/>
      <c r="S8" s="9">
        <v>-25</v>
      </c>
      <c r="T8" s="6" t="s">
        <v>185</v>
      </c>
      <c r="U8" s="8" t="s">
        <v>186</v>
      </c>
    </row>
    <row r="9" spans="1:21" ht="13.5" customHeight="1" x14ac:dyDescent="0.2">
      <c r="A9" s="6" t="s">
        <v>169</v>
      </c>
      <c r="B9" s="6" t="s">
        <v>170</v>
      </c>
      <c r="C9" s="6" t="s">
        <v>75</v>
      </c>
      <c r="D9" s="6">
        <v>1</v>
      </c>
      <c r="E9" s="8"/>
      <c r="F9" s="6" t="s">
        <v>187</v>
      </c>
      <c r="G9" s="6" t="s">
        <v>188</v>
      </c>
      <c r="H9" s="6" t="s">
        <v>181</v>
      </c>
      <c r="I9" s="6" t="s">
        <v>182</v>
      </c>
      <c r="J9" s="6">
        <v>1</v>
      </c>
      <c r="K9" s="6">
        <v>1</v>
      </c>
      <c r="L9" s="6">
        <v>1</v>
      </c>
      <c r="M9" s="6">
        <v>60</v>
      </c>
      <c r="N9" s="6">
        <v>60</v>
      </c>
      <c r="O9" s="8"/>
      <c r="P9" s="8"/>
      <c r="Q9" s="8"/>
      <c r="R9" s="8"/>
      <c r="S9" s="9">
        <v>-26</v>
      </c>
      <c r="T9" s="6" t="s">
        <v>189</v>
      </c>
      <c r="U9" s="8"/>
    </row>
    <row r="10" spans="1:21" ht="13.5" customHeight="1" x14ac:dyDescent="0.2">
      <c r="A10" s="6" t="s">
        <v>169</v>
      </c>
      <c r="B10" s="6" t="s">
        <v>170</v>
      </c>
      <c r="C10" s="6" t="s">
        <v>75</v>
      </c>
      <c r="D10" s="6">
        <v>1</v>
      </c>
      <c r="E10" s="8"/>
      <c r="F10" s="6" t="s">
        <v>190</v>
      </c>
      <c r="G10" s="6" t="s">
        <v>30</v>
      </c>
      <c r="H10" s="6" t="s">
        <v>181</v>
      </c>
      <c r="I10" s="6" t="s">
        <v>182</v>
      </c>
      <c r="J10" s="8"/>
      <c r="K10" s="6">
        <v>1</v>
      </c>
      <c r="L10" s="6">
        <v>1</v>
      </c>
      <c r="M10" s="6">
        <v>93.5</v>
      </c>
      <c r="N10" s="6">
        <v>93.5</v>
      </c>
      <c r="O10" s="8"/>
      <c r="P10" s="8"/>
      <c r="Q10" s="8"/>
      <c r="R10" s="8"/>
      <c r="S10" s="9">
        <v>-26</v>
      </c>
      <c r="T10" s="6" t="s">
        <v>191</v>
      </c>
      <c r="U10" s="8"/>
    </row>
    <row r="11" spans="1:21" ht="13.5" customHeight="1" x14ac:dyDescent="0.2">
      <c r="A11" s="6" t="s">
        <v>169</v>
      </c>
      <c r="B11" s="6" t="s">
        <v>170</v>
      </c>
      <c r="C11" s="6" t="s">
        <v>75</v>
      </c>
      <c r="D11" s="6">
        <v>1</v>
      </c>
      <c r="E11" s="8"/>
      <c r="F11" s="6" t="s">
        <v>192</v>
      </c>
      <c r="G11" s="6" t="s">
        <v>188</v>
      </c>
      <c r="H11" s="6" t="s">
        <v>181</v>
      </c>
      <c r="I11" s="6" t="s">
        <v>182</v>
      </c>
      <c r="J11" s="6">
        <v>1.2</v>
      </c>
      <c r="K11" s="6">
        <v>1</v>
      </c>
      <c r="L11" s="6">
        <v>1.2</v>
      </c>
      <c r="M11" s="6">
        <v>60</v>
      </c>
      <c r="N11" s="6">
        <v>72</v>
      </c>
      <c r="O11" s="8"/>
      <c r="P11" s="8"/>
      <c r="Q11" s="8"/>
      <c r="R11" s="8"/>
      <c r="S11" s="9">
        <v>-25</v>
      </c>
      <c r="T11" s="6" t="s">
        <v>193</v>
      </c>
      <c r="U11" s="8"/>
    </row>
    <row r="12" spans="1:21" ht="13.5" customHeight="1" x14ac:dyDescent="0.2">
      <c r="A12" s="6" t="s">
        <v>169</v>
      </c>
      <c r="B12" s="6" t="s">
        <v>170</v>
      </c>
      <c r="C12" s="6" t="s">
        <v>75</v>
      </c>
      <c r="D12" s="6">
        <v>1</v>
      </c>
      <c r="E12" s="8"/>
      <c r="F12" s="6" t="s">
        <v>194</v>
      </c>
      <c r="G12" s="6" t="s">
        <v>188</v>
      </c>
      <c r="H12" s="6" t="s">
        <v>181</v>
      </c>
      <c r="I12" s="6" t="s">
        <v>182</v>
      </c>
      <c r="J12" s="6">
        <v>0.16</v>
      </c>
      <c r="K12" s="6">
        <v>1</v>
      </c>
      <c r="L12" s="6">
        <v>0.16</v>
      </c>
      <c r="M12" s="6">
        <v>60</v>
      </c>
      <c r="N12" s="6">
        <v>9.6</v>
      </c>
      <c r="O12" s="8"/>
      <c r="P12" s="8"/>
      <c r="Q12" s="8"/>
      <c r="R12" s="8"/>
      <c r="S12" s="9">
        <v>-11</v>
      </c>
      <c r="T12" s="6" t="s">
        <v>195</v>
      </c>
      <c r="U12" s="8"/>
    </row>
    <row r="13" spans="1:21" ht="13.5" customHeight="1" x14ac:dyDescent="0.2">
      <c r="A13" s="6" t="s">
        <v>169</v>
      </c>
      <c r="B13" s="6" t="s">
        <v>170</v>
      </c>
      <c r="C13" s="6" t="s">
        <v>75</v>
      </c>
      <c r="D13" s="6">
        <v>1</v>
      </c>
      <c r="E13" s="8"/>
      <c r="F13" s="6" t="s">
        <v>36</v>
      </c>
      <c r="G13" s="6" t="s">
        <v>196</v>
      </c>
      <c r="H13" s="6" t="s">
        <v>172</v>
      </c>
      <c r="I13" s="6" t="s">
        <v>197</v>
      </c>
      <c r="J13" s="8"/>
      <c r="K13" s="6">
        <v>1</v>
      </c>
      <c r="L13" s="6">
        <v>0.5</v>
      </c>
      <c r="M13" s="6">
        <v>2600</v>
      </c>
      <c r="N13" s="6">
        <v>1300</v>
      </c>
      <c r="O13" s="8"/>
      <c r="P13" s="8"/>
      <c r="Q13" s="8"/>
      <c r="R13" s="8"/>
      <c r="S13" s="9">
        <v>-7</v>
      </c>
      <c r="T13" s="6" t="s">
        <v>198</v>
      </c>
      <c r="U13" s="8" t="s">
        <v>186</v>
      </c>
    </row>
    <row r="14" spans="1:21" ht="13.5" customHeight="1" x14ac:dyDescent="0.2">
      <c r="A14" s="6" t="s">
        <v>169</v>
      </c>
      <c r="B14" s="6" t="s">
        <v>170</v>
      </c>
      <c r="C14" s="6" t="s">
        <v>75</v>
      </c>
      <c r="D14" s="6">
        <v>1</v>
      </c>
      <c r="E14" s="8"/>
      <c r="F14" s="6" t="s">
        <v>26</v>
      </c>
      <c r="G14" s="6" t="s">
        <v>26</v>
      </c>
      <c r="H14" s="6" t="s">
        <v>172</v>
      </c>
      <c r="I14" s="6" t="s">
        <v>173</v>
      </c>
      <c r="J14" s="8"/>
      <c r="K14" s="6">
        <v>1</v>
      </c>
      <c r="L14" s="6">
        <v>1</v>
      </c>
      <c r="M14" s="6">
        <v>750</v>
      </c>
      <c r="N14" s="6">
        <v>750</v>
      </c>
      <c r="O14" s="8"/>
      <c r="P14" s="8"/>
      <c r="Q14" s="8"/>
      <c r="R14" s="8"/>
      <c r="S14" s="9">
        <v>-5</v>
      </c>
      <c r="T14" s="6" t="s">
        <v>58</v>
      </c>
      <c r="U14" s="8"/>
    </row>
    <row r="15" spans="1:21" ht="13.5" customHeight="1" x14ac:dyDescent="0.2">
      <c r="A15" s="6" t="s">
        <v>169</v>
      </c>
      <c r="B15" s="6" t="s">
        <v>170</v>
      </c>
      <c r="C15" s="6" t="s">
        <v>75</v>
      </c>
      <c r="D15" s="6">
        <v>1</v>
      </c>
      <c r="E15" s="8"/>
      <c r="F15" s="6" t="s">
        <v>199</v>
      </c>
      <c r="G15" s="6" t="s">
        <v>200</v>
      </c>
      <c r="H15" s="6" t="s">
        <v>201</v>
      </c>
      <c r="I15" s="6" t="s">
        <v>202</v>
      </c>
      <c r="J15" s="6">
        <v>300</v>
      </c>
      <c r="K15" s="6">
        <v>1</v>
      </c>
      <c r="L15" s="6">
        <v>300</v>
      </c>
      <c r="M15" s="6">
        <v>3.6</v>
      </c>
      <c r="N15" s="6">
        <v>1080</v>
      </c>
      <c r="O15" s="8"/>
      <c r="P15" s="8"/>
      <c r="Q15" s="8"/>
      <c r="R15" s="8"/>
      <c r="S15" s="9">
        <v>-1</v>
      </c>
      <c r="T15" s="6" t="s">
        <v>62</v>
      </c>
      <c r="U15" s="8"/>
    </row>
    <row r="16" spans="1:21" ht="13.5" customHeight="1" x14ac:dyDescent="0.2">
      <c r="A16" s="6" t="s">
        <v>169</v>
      </c>
      <c r="B16" s="6" t="s">
        <v>170</v>
      </c>
      <c r="C16" s="6" t="s">
        <v>75</v>
      </c>
      <c r="D16" s="6">
        <v>1</v>
      </c>
      <c r="E16" s="8"/>
      <c r="F16" s="6" t="s">
        <v>203</v>
      </c>
      <c r="G16" s="6" t="s">
        <v>200</v>
      </c>
      <c r="H16" s="6" t="s">
        <v>201</v>
      </c>
      <c r="I16" s="6" t="s">
        <v>202</v>
      </c>
      <c r="J16" s="6">
        <v>100</v>
      </c>
      <c r="K16" s="6">
        <v>1</v>
      </c>
      <c r="L16" s="6">
        <v>100</v>
      </c>
      <c r="M16" s="6">
        <v>3.5</v>
      </c>
      <c r="N16" s="6">
        <v>350</v>
      </c>
      <c r="O16" s="8"/>
      <c r="P16" s="8"/>
      <c r="Q16" s="8"/>
      <c r="R16" s="8"/>
      <c r="S16" s="9">
        <v>-1</v>
      </c>
      <c r="T16" s="6" t="s">
        <v>64</v>
      </c>
      <c r="U16" s="8"/>
    </row>
    <row r="17" spans="1:21" ht="13.5" customHeight="1" x14ac:dyDescent="0.2">
      <c r="A17" s="6" t="s">
        <v>169</v>
      </c>
      <c r="B17" s="6" t="s">
        <v>170</v>
      </c>
      <c r="C17" s="6" t="s">
        <v>75</v>
      </c>
      <c r="D17" s="6">
        <v>1</v>
      </c>
      <c r="E17" s="8"/>
      <c r="F17" s="6" t="s">
        <v>204</v>
      </c>
      <c r="G17" s="6" t="s">
        <v>200</v>
      </c>
      <c r="H17" s="6" t="s">
        <v>201</v>
      </c>
      <c r="I17" s="6" t="s">
        <v>202</v>
      </c>
      <c r="J17" s="6">
        <v>100</v>
      </c>
      <c r="K17" s="6">
        <v>1</v>
      </c>
      <c r="L17" s="6">
        <v>100</v>
      </c>
      <c r="M17" s="6">
        <v>2.2000000000000002</v>
      </c>
      <c r="N17" s="6">
        <v>220</v>
      </c>
      <c r="O17" s="8"/>
      <c r="P17" s="8"/>
      <c r="Q17" s="8"/>
      <c r="R17" s="8"/>
      <c r="S17" s="9">
        <v>-1</v>
      </c>
      <c r="T17" s="6" t="s">
        <v>205</v>
      </c>
      <c r="U17" s="8"/>
    </row>
    <row r="18" spans="1:21" ht="13.5" customHeight="1" x14ac:dyDescent="0.2">
      <c r="A18" s="6" t="s">
        <v>169</v>
      </c>
      <c r="B18" s="6" t="s">
        <v>170</v>
      </c>
      <c r="C18" s="6" t="s">
        <v>75</v>
      </c>
      <c r="D18" s="6">
        <v>1</v>
      </c>
      <c r="E18" s="8"/>
      <c r="F18" s="6" t="s">
        <v>206</v>
      </c>
      <c r="G18" s="6" t="s">
        <v>207</v>
      </c>
      <c r="H18" s="6" t="s">
        <v>181</v>
      </c>
      <c r="I18" s="6" t="s">
        <v>182</v>
      </c>
      <c r="J18" s="8"/>
      <c r="K18" s="6">
        <v>1</v>
      </c>
      <c r="L18" s="6">
        <v>1.5</v>
      </c>
      <c r="M18" s="6">
        <v>55</v>
      </c>
      <c r="N18" s="6">
        <v>82.5</v>
      </c>
      <c r="O18" s="8"/>
      <c r="P18" s="8"/>
      <c r="Q18" s="8"/>
      <c r="R18" s="8"/>
      <c r="S18" s="9">
        <v>-1</v>
      </c>
      <c r="T18" s="6" t="s">
        <v>208</v>
      </c>
      <c r="U18" s="8"/>
    </row>
    <row r="19" spans="1:21" ht="13.5" customHeight="1" x14ac:dyDescent="0.2">
      <c r="A19" s="6" t="s">
        <v>169</v>
      </c>
      <c r="B19" s="6" t="s">
        <v>170</v>
      </c>
      <c r="C19" s="6" t="s">
        <v>75</v>
      </c>
      <c r="D19" s="6">
        <v>1</v>
      </c>
      <c r="E19" s="8"/>
      <c r="F19" s="6" t="s">
        <v>29</v>
      </c>
      <c r="G19" s="6" t="s">
        <v>30</v>
      </c>
      <c r="H19" s="6" t="s">
        <v>181</v>
      </c>
      <c r="I19" s="6" t="s">
        <v>182</v>
      </c>
      <c r="J19" s="8"/>
      <c r="K19" s="6">
        <v>1</v>
      </c>
      <c r="L19" s="6">
        <v>1</v>
      </c>
      <c r="M19" s="6">
        <v>1100</v>
      </c>
      <c r="N19" s="6">
        <v>1100</v>
      </c>
      <c r="O19" s="8"/>
      <c r="P19" s="8"/>
      <c r="Q19" s="8"/>
      <c r="R19" s="8"/>
      <c r="S19" s="9">
        <v>0</v>
      </c>
      <c r="T19" s="6" t="s">
        <v>70</v>
      </c>
      <c r="U19" s="8"/>
    </row>
    <row r="20" spans="1:21" ht="13.5" customHeight="1" x14ac:dyDescent="0.2">
      <c r="A20" s="6" t="s">
        <v>169</v>
      </c>
      <c r="B20" s="6" t="s">
        <v>170</v>
      </c>
      <c r="C20" s="6" t="s">
        <v>75</v>
      </c>
      <c r="D20" s="6">
        <v>1</v>
      </c>
      <c r="E20" s="8"/>
      <c r="F20" s="6" t="s">
        <v>187</v>
      </c>
      <c r="G20" s="6" t="s">
        <v>188</v>
      </c>
      <c r="H20" s="6" t="s">
        <v>181</v>
      </c>
      <c r="I20" s="6" t="s">
        <v>182</v>
      </c>
      <c r="J20" s="6">
        <v>0.5</v>
      </c>
      <c r="K20" s="6">
        <v>1</v>
      </c>
      <c r="L20" s="6">
        <v>0.5</v>
      </c>
      <c r="M20" s="6">
        <v>55</v>
      </c>
      <c r="N20" s="6">
        <v>27.5</v>
      </c>
      <c r="O20" s="8"/>
      <c r="P20" s="8"/>
      <c r="Q20" s="8"/>
      <c r="R20" s="8"/>
      <c r="S20" s="6">
        <v>0</v>
      </c>
      <c r="T20" s="6" t="s">
        <v>209</v>
      </c>
      <c r="U20" s="8"/>
    </row>
    <row r="21" spans="1:21" ht="13.5" customHeight="1" x14ac:dyDescent="0.2">
      <c r="A21" s="6" t="s">
        <v>169</v>
      </c>
      <c r="B21" s="6" t="s">
        <v>170</v>
      </c>
      <c r="C21" s="6" t="s">
        <v>75</v>
      </c>
      <c r="D21" s="6">
        <v>1</v>
      </c>
      <c r="E21" s="8"/>
      <c r="F21" s="6" t="s">
        <v>210</v>
      </c>
      <c r="G21" s="6" t="s">
        <v>188</v>
      </c>
      <c r="H21" s="6" t="s">
        <v>181</v>
      </c>
      <c r="I21" s="6" t="s">
        <v>182</v>
      </c>
      <c r="J21" s="6">
        <v>1</v>
      </c>
      <c r="K21" s="6">
        <v>1</v>
      </c>
      <c r="L21" s="6">
        <v>1</v>
      </c>
      <c r="M21" s="6">
        <v>55</v>
      </c>
      <c r="N21" s="6">
        <v>55</v>
      </c>
      <c r="O21" s="8"/>
      <c r="P21" s="8"/>
      <c r="Q21" s="8"/>
      <c r="R21" s="8"/>
      <c r="S21" s="6">
        <v>0</v>
      </c>
      <c r="T21" s="6" t="s">
        <v>211</v>
      </c>
      <c r="U21" s="8"/>
    </row>
    <row r="22" spans="1:21" ht="13.5" customHeight="1" x14ac:dyDescent="0.2">
      <c r="A22" s="6" t="s">
        <v>169</v>
      </c>
      <c r="B22" s="6" t="s">
        <v>170</v>
      </c>
      <c r="C22" s="6" t="s">
        <v>75</v>
      </c>
      <c r="D22" s="6">
        <v>1</v>
      </c>
      <c r="E22" s="8"/>
      <c r="F22" s="6" t="s">
        <v>212</v>
      </c>
      <c r="G22" s="6" t="s">
        <v>188</v>
      </c>
      <c r="H22" s="6" t="s">
        <v>181</v>
      </c>
      <c r="I22" s="6" t="s">
        <v>182</v>
      </c>
      <c r="J22" s="6">
        <v>1.5</v>
      </c>
      <c r="K22" s="6">
        <v>1</v>
      </c>
      <c r="L22" s="6">
        <v>1.5</v>
      </c>
      <c r="M22" s="6">
        <v>60</v>
      </c>
      <c r="N22" s="6">
        <v>90</v>
      </c>
      <c r="O22" s="8"/>
      <c r="P22" s="8"/>
      <c r="Q22" s="8"/>
      <c r="R22" s="8"/>
      <c r="S22" s="9">
        <v>0</v>
      </c>
      <c r="T22" s="6" t="s">
        <v>213</v>
      </c>
      <c r="U22" s="8"/>
    </row>
    <row r="23" spans="1:21" ht="13.5" customHeight="1" x14ac:dyDescent="0.2">
      <c r="A23" s="6" t="s">
        <v>169</v>
      </c>
      <c r="B23" s="6" t="s">
        <v>170</v>
      </c>
      <c r="C23" s="6" t="s">
        <v>75</v>
      </c>
      <c r="D23" s="6">
        <v>1</v>
      </c>
      <c r="E23" s="8"/>
      <c r="F23" s="6" t="s">
        <v>214</v>
      </c>
      <c r="G23" s="6" t="s">
        <v>215</v>
      </c>
      <c r="H23" s="6" t="s">
        <v>181</v>
      </c>
      <c r="I23" s="6" t="s">
        <v>182</v>
      </c>
      <c r="J23" s="8"/>
      <c r="K23" s="6">
        <v>1</v>
      </c>
      <c r="L23" s="6">
        <v>2</v>
      </c>
      <c r="M23" s="6">
        <v>40</v>
      </c>
      <c r="N23" s="6">
        <v>80</v>
      </c>
      <c r="O23" s="8"/>
      <c r="P23" s="8"/>
      <c r="Q23" s="8"/>
      <c r="R23" s="8"/>
      <c r="S23" s="9">
        <v>4</v>
      </c>
      <c r="T23" s="6" t="s">
        <v>216</v>
      </c>
      <c r="U23" s="8"/>
    </row>
    <row r="24" spans="1:21" ht="13.5" customHeight="1" x14ac:dyDescent="0.2">
      <c r="A24" s="6" t="s">
        <v>169</v>
      </c>
      <c r="B24" s="6" t="s">
        <v>170</v>
      </c>
      <c r="C24" s="6" t="s">
        <v>75</v>
      </c>
      <c r="D24" s="6">
        <v>1</v>
      </c>
      <c r="E24" s="8"/>
      <c r="F24" s="6" t="s">
        <v>217</v>
      </c>
      <c r="G24" s="6" t="s">
        <v>218</v>
      </c>
      <c r="H24" s="6" t="s">
        <v>219</v>
      </c>
      <c r="I24" s="6" t="s">
        <v>220</v>
      </c>
      <c r="J24" s="6">
        <v>0.75</v>
      </c>
      <c r="K24" s="6">
        <v>2</v>
      </c>
      <c r="L24" s="6">
        <v>1.5</v>
      </c>
      <c r="M24" s="6">
        <v>225</v>
      </c>
      <c r="N24" s="6">
        <v>337.5</v>
      </c>
      <c r="O24" s="8"/>
      <c r="P24" s="8"/>
      <c r="Q24" s="8"/>
      <c r="R24" s="8"/>
      <c r="S24" s="9">
        <v>4</v>
      </c>
      <c r="T24" s="6" t="s">
        <v>221</v>
      </c>
      <c r="U24" s="8"/>
    </row>
    <row r="25" spans="1:21" ht="13.5" customHeight="1" x14ac:dyDescent="0.2">
      <c r="A25" s="6" t="s">
        <v>169</v>
      </c>
      <c r="B25" s="6" t="s">
        <v>170</v>
      </c>
      <c r="C25" s="6" t="s">
        <v>75</v>
      </c>
      <c r="D25" s="6">
        <v>1</v>
      </c>
      <c r="E25" s="8"/>
      <c r="F25" s="6" t="s">
        <v>222</v>
      </c>
      <c r="G25" s="6" t="s">
        <v>223</v>
      </c>
      <c r="H25" s="6" t="s">
        <v>219</v>
      </c>
      <c r="I25" s="6" t="s">
        <v>220</v>
      </c>
      <c r="J25" s="6">
        <v>5</v>
      </c>
      <c r="K25" s="6">
        <v>2</v>
      </c>
      <c r="L25" s="6">
        <v>10</v>
      </c>
      <c r="M25" s="6">
        <v>13.47</v>
      </c>
      <c r="N25" s="6">
        <v>134.69999999999999</v>
      </c>
      <c r="O25" s="8"/>
      <c r="P25" s="8"/>
      <c r="Q25" s="8"/>
      <c r="R25" s="8"/>
      <c r="S25" s="9">
        <v>4</v>
      </c>
      <c r="T25" s="6" t="s">
        <v>224</v>
      </c>
      <c r="U25" s="8"/>
    </row>
    <row r="26" spans="1:21" ht="13.5" customHeight="1" x14ac:dyDescent="0.2">
      <c r="A26" s="6" t="s">
        <v>169</v>
      </c>
      <c r="B26" s="6" t="s">
        <v>170</v>
      </c>
      <c r="C26" s="6" t="s">
        <v>75</v>
      </c>
      <c r="D26" s="6">
        <v>1</v>
      </c>
      <c r="E26" s="8"/>
      <c r="F26" s="6" t="s">
        <v>225</v>
      </c>
      <c r="G26" s="6" t="s">
        <v>223</v>
      </c>
      <c r="H26" s="6" t="s">
        <v>219</v>
      </c>
      <c r="I26" s="6" t="s">
        <v>226</v>
      </c>
      <c r="J26" s="6">
        <v>5</v>
      </c>
      <c r="K26" s="6">
        <v>2</v>
      </c>
      <c r="L26" s="6">
        <v>10</v>
      </c>
      <c r="M26" s="6">
        <v>1.2</v>
      </c>
      <c r="N26" s="6">
        <v>12</v>
      </c>
      <c r="O26" s="8"/>
      <c r="P26" s="8"/>
      <c r="Q26" s="8"/>
      <c r="R26" s="8"/>
      <c r="S26" s="9">
        <v>4</v>
      </c>
      <c r="T26" s="6" t="s">
        <v>227</v>
      </c>
      <c r="U26" s="8"/>
    </row>
    <row r="27" spans="1:21" ht="13.5" customHeight="1" x14ac:dyDescent="0.2">
      <c r="A27" s="6" t="s">
        <v>169</v>
      </c>
      <c r="B27" s="6" t="s">
        <v>170</v>
      </c>
      <c r="C27" s="6" t="s">
        <v>75</v>
      </c>
      <c r="D27" s="6">
        <v>1</v>
      </c>
      <c r="E27" s="8"/>
      <c r="F27" s="6" t="s">
        <v>228</v>
      </c>
      <c r="G27" s="6" t="s">
        <v>215</v>
      </c>
      <c r="H27" s="6" t="s">
        <v>181</v>
      </c>
      <c r="I27" s="6" t="s">
        <v>182</v>
      </c>
      <c r="J27" s="8"/>
      <c r="K27" s="6">
        <v>1</v>
      </c>
      <c r="L27" s="6">
        <v>1</v>
      </c>
      <c r="M27" s="6">
        <v>40</v>
      </c>
      <c r="N27" s="6">
        <v>40</v>
      </c>
      <c r="O27" s="8"/>
      <c r="P27" s="8"/>
      <c r="Q27" s="8"/>
      <c r="R27" s="8"/>
      <c r="S27" s="6">
        <v>5</v>
      </c>
      <c r="T27" s="6" t="s">
        <v>229</v>
      </c>
      <c r="U27" s="8"/>
    </row>
    <row r="28" spans="1:21" ht="13.5" customHeight="1" x14ac:dyDescent="0.2">
      <c r="A28" s="6" t="s">
        <v>169</v>
      </c>
      <c r="B28" s="6" t="s">
        <v>170</v>
      </c>
      <c r="C28" s="6" t="s">
        <v>75</v>
      </c>
      <c r="D28" s="6">
        <v>1</v>
      </c>
      <c r="E28" s="8"/>
      <c r="F28" s="6" t="s">
        <v>230</v>
      </c>
      <c r="G28" s="6" t="s">
        <v>231</v>
      </c>
      <c r="H28" s="6" t="s">
        <v>219</v>
      </c>
      <c r="I28" s="6" t="s">
        <v>220</v>
      </c>
      <c r="J28" s="6">
        <v>0.04</v>
      </c>
      <c r="K28" s="6">
        <v>1</v>
      </c>
      <c r="L28" s="6">
        <v>0.04</v>
      </c>
      <c r="M28" s="6">
        <v>53.2</v>
      </c>
      <c r="N28" s="6">
        <v>2.1280000000000001</v>
      </c>
      <c r="O28" s="8"/>
      <c r="P28" s="8"/>
      <c r="Q28" s="8"/>
      <c r="R28" s="8"/>
      <c r="S28" s="6">
        <v>5</v>
      </c>
      <c r="T28" s="6" t="s">
        <v>232</v>
      </c>
      <c r="U28" s="8"/>
    </row>
    <row r="29" spans="1:21" ht="13.5" customHeight="1" x14ac:dyDescent="0.2">
      <c r="A29" s="6" t="s">
        <v>169</v>
      </c>
      <c r="B29" s="6" t="s">
        <v>170</v>
      </c>
      <c r="C29" s="6" t="s">
        <v>75</v>
      </c>
      <c r="D29" s="6">
        <v>1</v>
      </c>
      <c r="E29" s="8"/>
      <c r="F29" s="6" t="s">
        <v>233</v>
      </c>
      <c r="G29" s="6" t="s">
        <v>234</v>
      </c>
      <c r="H29" s="6" t="s">
        <v>219</v>
      </c>
      <c r="I29" s="6" t="s">
        <v>220</v>
      </c>
      <c r="J29" s="6">
        <v>1.5</v>
      </c>
      <c r="K29" s="6">
        <v>1</v>
      </c>
      <c r="L29" s="6">
        <v>1.5</v>
      </c>
      <c r="M29" s="6">
        <v>38.14</v>
      </c>
      <c r="N29" s="6">
        <v>57.21</v>
      </c>
      <c r="O29" s="8"/>
      <c r="P29" s="8"/>
      <c r="Q29" s="8"/>
      <c r="R29" s="8"/>
      <c r="S29" s="6">
        <v>5</v>
      </c>
      <c r="T29" s="6" t="s">
        <v>235</v>
      </c>
      <c r="U29" s="8"/>
    </row>
    <row r="30" spans="1:21" ht="13.5" customHeight="1" x14ac:dyDescent="0.2">
      <c r="A30" s="6" t="s">
        <v>169</v>
      </c>
      <c r="B30" s="6" t="s">
        <v>170</v>
      </c>
      <c r="C30" s="6" t="s">
        <v>75</v>
      </c>
      <c r="D30" s="6">
        <v>1</v>
      </c>
      <c r="E30" s="8"/>
      <c r="F30" s="6" t="s">
        <v>236</v>
      </c>
      <c r="G30" s="6" t="s">
        <v>218</v>
      </c>
      <c r="H30" s="6" t="s">
        <v>219</v>
      </c>
      <c r="I30" s="6" t="s">
        <v>220</v>
      </c>
      <c r="J30" s="6">
        <v>0.25</v>
      </c>
      <c r="K30" s="6">
        <v>1</v>
      </c>
      <c r="L30" s="6">
        <v>0.25</v>
      </c>
      <c r="M30" s="6">
        <v>62.5</v>
      </c>
      <c r="N30" s="6">
        <v>15.625</v>
      </c>
      <c r="O30" s="8"/>
      <c r="P30" s="8"/>
      <c r="Q30" s="8"/>
      <c r="R30" s="8"/>
      <c r="S30" s="6">
        <v>5</v>
      </c>
      <c r="T30" s="6" t="s">
        <v>237</v>
      </c>
      <c r="U30" s="8"/>
    </row>
    <row r="31" spans="1:21" ht="13.5" customHeight="1" x14ac:dyDescent="0.2">
      <c r="A31" s="6" t="s">
        <v>169</v>
      </c>
      <c r="B31" s="6" t="s">
        <v>170</v>
      </c>
      <c r="C31" s="6" t="s">
        <v>75</v>
      </c>
      <c r="D31" s="6">
        <v>1</v>
      </c>
      <c r="E31" s="8"/>
      <c r="F31" s="6" t="s">
        <v>228</v>
      </c>
      <c r="G31" s="6" t="s">
        <v>215</v>
      </c>
      <c r="H31" s="6" t="s">
        <v>181</v>
      </c>
      <c r="I31" s="6" t="s">
        <v>182</v>
      </c>
      <c r="J31" s="8"/>
      <c r="K31" s="6">
        <v>1</v>
      </c>
      <c r="L31" s="6">
        <v>1</v>
      </c>
      <c r="M31" s="6">
        <v>40</v>
      </c>
      <c r="N31" s="6">
        <v>40</v>
      </c>
      <c r="O31" s="8"/>
      <c r="P31" s="8"/>
      <c r="Q31" s="8"/>
      <c r="R31" s="8"/>
      <c r="S31" s="6">
        <v>9</v>
      </c>
      <c r="T31" s="6" t="s">
        <v>229</v>
      </c>
      <c r="U31" s="8"/>
    </row>
    <row r="32" spans="1:21" ht="13.5" customHeight="1" x14ac:dyDescent="0.2">
      <c r="A32" s="6" t="s">
        <v>169</v>
      </c>
      <c r="B32" s="6" t="s">
        <v>170</v>
      </c>
      <c r="C32" s="6" t="s">
        <v>75</v>
      </c>
      <c r="D32" s="6">
        <v>1</v>
      </c>
      <c r="E32" s="8"/>
      <c r="F32" s="6" t="s">
        <v>230</v>
      </c>
      <c r="G32" s="6" t="s">
        <v>231</v>
      </c>
      <c r="H32" s="6" t="s">
        <v>219</v>
      </c>
      <c r="I32" s="6" t="s">
        <v>220</v>
      </c>
      <c r="J32" s="6">
        <v>0.04</v>
      </c>
      <c r="K32" s="6">
        <v>1</v>
      </c>
      <c r="L32" s="6">
        <v>0.04</v>
      </c>
      <c r="M32" s="6">
        <v>53.2</v>
      </c>
      <c r="N32" s="6">
        <v>2.1280000000000001</v>
      </c>
      <c r="O32" s="8"/>
      <c r="P32" s="8"/>
      <c r="Q32" s="8"/>
      <c r="R32" s="8"/>
      <c r="S32" s="6">
        <v>9</v>
      </c>
      <c r="T32" s="6" t="s">
        <v>232</v>
      </c>
      <c r="U32" s="8"/>
    </row>
    <row r="33" spans="1:21" ht="13.5" customHeight="1" x14ac:dyDescent="0.2">
      <c r="A33" s="6" t="s">
        <v>169</v>
      </c>
      <c r="B33" s="6" t="s">
        <v>170</v>
      </c>
      <c r="C33" s="6" t="s">
        <v>75</v>
      </c>
      <c r="D33" s="6">
        <v>1</v>
      </c>
      <c r="E33" s="8"/>
      <c r="F33" s="6" t="s">
        <v>238</v>
      </c>
      <c r="G33" s="6" t="s">
        <v>239</v>
      </c>
      <c r="H33" s="6" t="s">
        <v>219</v>
      </c>
      <c r="I33" s="6" t="s">
        <v>220</v>
      </c>
      <c r="J33" s="6">
        <v>1</v>
      </c>
      <c r="K33" s="6">
        <v>1</v>
      </c>
      <c r="L33" s="6">
        <v>1</v>
      </c>
      <c r="M33" s="6">
        <v>50</v>
      </c>
      <c r="N33" s="6">
        <v>50</v>
      </c>
      <c r="O33" s="8"/>
      <c r="P33" s="8"/>
      <c r="Q33" s="8"/>
      <c r="R33" s="8"/>
      <c r="S33" s="6">
        <v>9</v>
      </c>
      <c r="T33" s="6" t="s">
        <v>240</v>
      </c>
      <c r="U33" s="8"/>
    </row>
    <row r="34" spans="1:21" ht="13.5" customHeight="1" x14ac:dyDescent="0.2">
      <c r="A34" s="6" t="s">
        <v>169</v>
      </c>
      <c r="B34" s="6" t="s">
        <v>170</v>
      </c>
      <c r="C34" s="6" t="s">
        <v>75</v>
      </c>
      <c r="D34" s="6">
        <v>1</v>
      </c>
      <c r="E34" s="8"/>
      <c r="F34" s="6" t="s">
        <v>241</v>
      </c>
      <c r="G34" s="6" t="s">
        <v>218</v>
      </c>
      <c r="H34" s="6" t="s">
        <v>219</v>
      </c>
      <c r="I34" s="6" t="s">
        <v>226</v>
      </c>
      <c r="J34" s="6">
        <v>0.2</v>
      </c>
      <c r="K34" s="6">
        <v>1</v>
      </c>
      <c r="L34" s="6">
        <v>0.2</v>
      </c>
      <c r="M34" s="6">
        <v>101.78</v>
      </c>
      <c r="N34" s="6">
        <v>20.356000000000002</v>
      </c>
      <c r="O34" s="8"/>
      <c r="P34" s="8"/>
      <c r="Q34" s="8"/>
      <c r="R34" s="8"/>
      <c r="S34" s="6">
        <v>9</v>
      </c>
      <c r="T34" s="6" t="s">
        <v>242</v>
      </c>
      <c r="U34" s="8"/>
    </row>
    <row r="35" spans="1:21" ht="13.5" customHeight="1" x14ac:dyDescent="0.2">
      <c r="A35" s="6" t="s">
        <v>169</v>
      </c>
      <c r="B35" s="6" t="s">
        <v>170</v>
      </c>
      <c r="C35" s="6" t="s">
        <v>75</v>
      </c>
      <c r="D35" s="6">
        <v>1</v>
      </c>
      <c r="E35" s="8"/>
      <c r="F35" s="6" t="s">
        <v>243</v>
      </c>
      <c r="G35" s="6" t="s">
        <v>244</v>
      </c>
      <c r="H35" s="6" t="s">
        <v>219</v>
      </c>
      <c r="I35" s="6" t="s">
        <v>220</v>
      </c>
      <c r="J35" s="6">
        <v>0.25</v>
      </c>
      <c r="K35" s="6">
        <v>1</v>
      </c>
      <c r="L35" s="6">
        <v>0.25</v>
      </c>
      <c r="M35" s="6">
        <v>175</v>
      </c>
      <c r="N35" s="6">
        <v>43.75</v>
      </c>
      <c r="O35" s="8"/>
      <c r="P35" s="8"/>
      <c r="Q35" s="8"/>
      <c r="R35" s="8"/>
      <c r="S35" s="6">
        <v>9</v>
      </c>
      <c r="T35" s="6" t="s">
        <v>245</v>
      </c>
      <c r="U35" s="8"/>
    </row>
    <row r="36" spans="1:21" ht="13.5" customHeight="1" x14ac:dyDescent="0.2">
      <c r="A36" s="6" t="s">
        <v>169</v>
      </c>
      <c r="B36" s="6" t="s">
        <v>170</v>
      </c>
      <c r="C36" s="6" t="s">
        <v>75</v>
      </c>
      <c r="D36" s="6">
        <v>1</v>
      </c>
      <c r="E36" s="8"/>
      <c r="F36" s="6" t="s">
        <v>246</v>
      </c>
      <c r="G36" s="6" t="s">
        <v>218</v>
      </c>
      <c r="H36" s="6" t="s">
        <v>219</v>
      </c>
      <c r="I36" s="6" t="s">
        <v>220</v>
      </c>
      <c r="J36" s="6">
        <v>0.25</v>
      </c>
      <c r="K36" s="6">
        <v>1</v>
      </c>
      <c r="L36" s="6">
        <v>0.25</v>
      </c>
      <c r="M36" s="6">
        <v>62.5</v>
      </c>
      <c r="N36" s="6">
        <v>15.625</v>
      </c>
      <c r="O36" s="8"/>
      <c r="P36" s="8"/>
      <c r="Q36" s="8"/>
      <c r="R36" s="8"/>
      <c r="S36" s="6">
        <v>9</v>
      </c>
      <c r="T36" s="6" t="s">
        <v>237</v>
      </c>
      <c r="U36" s="8"/>
    </row>
    <row r="37" spans="1:21" ht="13.5" customHeight="1" x14ac:dyDescent="0.2">
      <c r="A37" s="6" t="s">
        <v>169</v>
      </c>
      <c r="B37" s="6" t="s">
        <v>170</v>
      </c>
      <c r="C37" s="6" t="s">
        <v>75</v>
      </c>
      <c r="D37" s="6">
        <v>1</v>
      </c>
      <c r="E37" s="8"/>
      <c r="F37" s="6" t="s">
        <v>247</v>
      </c>
      <c r="G37" s="6" t="s">
        <v>239</v>
      </c>
      <c r="H37" s="6" t="s">
        <v>219</v>
      </c>
      <c r="I37" s="6" t="s">
        <v>248</v>
      </c>
      <c r="J37" s="6">
        <v>0.5</v>
      </c>
      <c r="K37" s="6">
        <v>1</v>
      </c>
      <c r="L37" s="6">
        <v>0.5</v>
      </c>
      <c r="M37" s="6">
        <v>57.2</v>
      </c>
      <c r="N37" s="6">
        <v>28.6</v>
      </c>
      <c r="O37" s="8"/>
      <c r="P37" s="8"/>
      <c r="Q37" s="8"/>
      <c r="R37" s="8"/>
      <c r="S37" s="6">
        <v>5</v>
      </c>
      <c r="T37" s="6" t="s">
        <v>249</v>
      </c>
      <c r="U37" s="8"/>
    </row>
    <row r="38" spans="1:21" ht="13.5" customHeight="1" x14ac:dyDescent="0.2">
      <c r="A38" s="6" t="s">
        <v>169</v>
      </c>
      <c r="B38" s="6" t="s">
        <v>170</v>
      </c>
      <c r="C38" s="6" t="s">
        <v>75</v>
      </c>
      <c r="D38" s="6">
        <v>1</v>
      </c>
      <c r="E38" s="8"/>
      <c r="F38" s="6" t="s">
        <v>250</v>
      </c>
      <c r="G38" s="6" t="s">
        <v>223</v>
      </c>
      <c r="H38" s="6" t="s">
        <v>219</v>
      </c>
      <c r="I38" s="6" t="s">
        <v>220</v>
      </c>
      <c r="J38" s="6">
        <v>12</v>
      </c>
      <c r="K38" s="6">
        <v>1</v>
      </c>
      <c r="L38" s="6">
        <v>12</v>
      </c>
      <c r="M38" s="6">
        <v>3.5</v>
      </c>
      <c r="N38" s="6">
        <v>42</v>
      </c>
      <c r="O38" s="8"/>
      <c r="P38" s="8"/>
      <c r="Q38" s="8"/>
      <c r="R38" s="8"/>
      <c r="S38" s="6">
        <v>10</v>
      </c>
      <c r="T38" s="6" t="s">
        <v>251</v>
      </c>
      <c r="U38" s="8"/>
    </row>
    <row r="39" spans="1:21" ht="13.5" customHeight="1" x14ac:dyDescent="0.2">
      <c r="A39" s="6" t="s">
        <v>169</v>
      </c>
      <c r="B39" s="6" t="s">
        <v>170</v>
      </c>
      <c r="C39" s="6" t="s">
        <v>75</v>
      </c>
      <c r="D39" s="6">
        <v>1</v>
      </c>
      <c r="E39" s="8"/>
      <c r="F39" s="6" t="s">
        <v>252</v>
      </c>
      <c r="G39" s="6" t="s">
        <v>253</v>
      </c>
      <c r="H39" s="6" t="s">
        <v>181</v>
      </c>
      <c r="I39" s="6" t="s">
        <v>182</v>
      </c>
      <c r="J39" s="8"/>
      <c r="K39" s="6">
        <v>1</v>
      </c>
      <c r="L39" s="6">
        <v>5</v>
      </c>
      <c r="M39" s="6">
        <v>60</v>
      </c>
      <c r="N39" s="6">
        <v>300</v>
      </c>
      <c r="O39" s="8"/>
      <c r="P39" s="8"/>
      <c r="Q39" s="8"/>
      <c r="R39" s="8"/>
      <c r="S39" s="6">
        <v>12</v>
      </c>
      <c r="T39" s="6" t="s">
        <v>87</v>
      </c>
      <c r="U39" s="8"/>
    </row>
    <row r="40" spans="1:21" ht="13.5" customHeight="1" x14ac:dyDescent="0.2">
      <c r="A40" s="6" t="s">
        <v>169</v>
      </c>
      <c r="B40" s="6" t="s">
        <v>170</v>
      </c>
      <c r="C40" s="6" t="s">
        <v>75</v>
      </c>
      <c r="D40" s="6">
        <v>1</v>
      </c>
      <c r="E40" s="8"/>
      <c r="F40" s="6" t="s">
        <v>254</v>
      </c>
      <c r="G40" s="6" t="s">
        <v>215</v>
      </c>
      <c r="H40" s="6" t="s">
        <v>181</v>
      </c>
      <c r="I40" s="6" t="s">
        <v>182</v>
      </c>
      <c r="J40" s="8"/>
      <c r="K40" s="6">
        <v>1</v>
      </c>
      <c r="L40" s="6">
        <v>1</v>
      </c>
      <c r="M40" s="6">
        <v>40</v>
      </c>
      <c r="N40" s="6">
        <v>40</v>
      </c>
      <c r="O40" s="8"/>
      <c r="P40" s="8"/>
      <c r="Q40" s="8"/>
      <c r="R40" s="8"/>
      <c r="S40" s="6">
        <v>12</v>
      </c>
      <c r="T40" s="6" t="s">
        <v>229</v>
      </c>
      <c r="U40" s="8"/>
    </row>
    <row r="41" spans="1:21" ht="13.5" customHeight="1" x14ac:dyDescent="0.2">
      <c r="A41" s="6" t="s">
        <v>169</v>
      </c>
      <c r="B41" s="6" t="s">
        <v>170</v>
      </c>
      <c r="C41" s="6" t="s">
        <v>75</v>
      </c>
      <c r="D41" s="6">
        <v>1</v>
      </c>
      <c r="E41" s="8"/>
      <c r="F41" s="6" t="s">
        <v>230</v>
      </c>
      <c r="G41" s="6" t="s">
        <v>231</v>
      </c>
      <c r="H41" s="6" t="s">
        <v>219</v>
      </c>
      <c r="I41" s="6" t="s">
        <v>220</v>
      </c>
      <c r="J41" s="6">
        <v>0.04</v>
      </c>
      <c r="K41" s="6">
        <v>1</v>
      </c>
      <c r="L41" s="6">
        <v>0.04</v>
      </c>
      <c r="M41" s="6">
        <v>53.2</v>
      </c>
      <c r="N41" s="6">
        <v>2.1280000000000001</v>
      </c>
      <c r="O41" s="8"/>
      <c r="P41" s="8"/>
      <c r="Q41" s="8"/>
      <c r="R41" s="8"/>
      <c r="S41" s="6">
        <v>12</v>
      </c>
      <c r="T41" s="6" t="s">
        <v>232</v>
      </c>
      <c r="U41" s="8"/>
    </row>
    <row r="42" spans="1:21" ht="13.5" customHeight="1" x14ac:dyDescent="0.2">
      <c r="A42" s="6" t="s">
        <v>169</v>
      </c>
      <c r="B42" s="6" t="s">
        <v>170</v>
      </c>
      <c r="C42" s="6" t="s">
        <v>75</v>
      </c>
      <c r="D42" s="6">
        <v>1</v>
      </c>
      <c r="E42" s="8"/>
      <c r="F42" s="6" t="s">
        <v>238</v>
      </c>
      <c r="G42" s="6" t="s">
        <v>239</v>
      </c>
      <c r="H42" s="6" t="s">
        <v>219</v>
      </c>
      <c r="I42" s="6" t="s">
        <v>220</v>
      </c>
      <c r="J42" s="6">
        <v>1</v>
      </c>
      <c r="K42" s="6">
        <v>1</v>
      </c>
      <c r="L42" s="6">
        <v>1</v>
      </c>
      <c r="M42" s="6">
        <v>50</v>
      </c>
      <c r="N42" s="6">
        <v>50</v>
      </c>
      <c r="O42" s="8"/>
      <c r="P42" s="8"/>
      <c r="Q42" s="8"/>
      <c r="R42" s="8"/>
      <c r="S42" s="6">
        <v>12</v>
      </c>
      <c r="T42" s="6" t="s">
        <v>240</v>
      </c>
      <c r="U42" s="8"/>
    </row>
    <row r="43" spans="1:21" ht="13.5" customHeight="1" x14ac:dyDescent="0.2">
      <c r="A43" s="6" t="s">
        <v>169</v>
      </c>
      <c r="B43" s="6" t="s">
        <v>170</v>
      </c>
      <c r="C43" s="6" t="s">
        <v>75</v>
      </c>
      <c r="D43" s="6">
        <v>1</v>
      </c>
      <c r="E43" s="8"/>
      <c r="F43" s="6" t="s">
        <v>255</v>
      </c>
      <c r="G43" s="6" t="s">
        <v>218</v>
      </c>
      <c r="H43" s="6" t="s">
        <v>219</v>
      </c>
      <c r="I43" s="6" t="s">
        <v>256</v>
      </c>
      <c r="J43" s="6">
        <v>0.5</v>
      </c>
      <c r="K43" s="6">
        <v>1</v>
      </c>
      <c r="L43" s="6">
        <v>0.5</v>
      </c>
      <c r="M43" s="6">
        <v>40</v>
      </c>
      <c r="N43" s="6">
        <v>20</v>
      </c>
      <c r="O43" s="8"/>
      <c r="P43" s="8"/>
      <c r="Q43" s="8"/>
      <c r="R43" s="8"/>
      <c r="S43" s="6">
        <v>12</v>
      </c>
      <c r="T43" s="6" t="s">
        <v>257</v>
      </c>
      <c r="U43" s="8"/>
    </row>
    <row r="44" spans="1:21" ht="13.5" customHeight="1" x14ac:dyDescent="0.2">
      <c r="A44" s="6" t="s">
        <v>169</v>
      </c>
      <c r="B44" s="6" t="s">
        <v>170</v>
      </c>
      <c r="C44" s="6" t="s">
        <v>75</v>
      </c>
      <c r="D44" s="6">
        <v>1</v>
      </c>
      <c r="E44" s="8"/>
      <c r="F44" s="6" t="s">
        <v>258</v>
      </c>
      <c r="G44" s="6" t="s">
        <v>239</v>
      </c>
      <c r="H44" s="6" t="s">
        <v>219</v>
      </c>
      <c r="I44" s="6" t="s">
        <v>248</v>
      </c>
      <c r="J44" s="6">
        <v>0.5</v>
      </c>
      <c r="K44" s="6">
        <v>1</v>
      </c>
      <c r="L44" s="6">
        <v>0.5</v>
      </c>
      <c r="M44" s="6">
        <v>180</v>
      </c>
      <c r="N44" s="6">
        <v>90</v>
      </c>
      <c r="O44" s="8"/>
      <c r="P44" s="8"/>
      <c r="Q44" s="8"/>
      <c r="R44" s="8"/>
      <c r="S44" s="6">
        <v>12</v>
      </c>
      <c r="T44" s="6" t="s">
        <v>213</v>
      </c>
      <c r="U44" s="8"/>
    </row>
    <row r="45" spans="1:21" ht="13.5" customHeight="1" x14ac:dyDescent="0.2">
      <c r="A45" s="6" t="s">
        <v>169</v>
      </c>
      <c r="B45" s="6" t="s">
        <v>170</v>
      </c>
      <c r="C45" s="6" t="s">
        <v>75</v>
      </c>
      <c r="D45" s="6">
        <v>1</v>
      </c>
      <c r="E45" s="8"/>
      <c r="F45" s="6" t="s">
        <v>247</v>
      </c>
      <c r="G45" s="6" t="s">
        <v>239</v>
      </c>
      <c r="H45" s="6" t="s">
        <v>219</v>
      </c>
      <c r="I45" s="6" t="s">
        <v>248</v>
      </c>
      <c r="J45" s="6">
        <v>0.5</v>
      </c>
      <c r="K45" s="6">
        <v>1</v>
      </c>
      <c r="L45" s="6">
        <v>0.5</v>
      </c>
      <c r="M45" s="6">
        <v>57.2</v>
      </c>
      <c r="N45" s="6">
        <v>28.6</v>
      </c>
      <c r="O45" s="8"/>
      <c r="P45" s="8"/>
      <c r="Q45" s="8"/>
      <c r="R45" s="8"/>
      <c r="S45" s="6">
        <v>5</v>
      </c>
      <c r="T45" s="6" t="s">
        <v>249</v>
      </c>
      <c r="U45" s="8"/>
    </row>
    <row r="46" spans="1:21" ht="13.5" customHeight="1" x14ac:dyDescent="0.2">
      <c r="A46" s="6" t="s">
        <v>169</v>
      </c>
      <c r="B46" s="6" t="s">
        <v>170</v>
      </c>
      <c r="C46" s="6" t="s">
        <v>75</v>
      </c>
      <c r="D46" s="6">
        <v>1</v>
      </c>
      <c r="E46" s="8"/>
      <c r="F46" s="6" t="s">
        <v>259</v>
      </c>
      <c r="G46" s="6" t="s">
        <v>218</v>
      </c>
      <c r="H46" s="6" t="s">
        <v>219</v>
      </c>
      <c r="I46" s="6" t="s">
        <v>226</v>
      </c>
      <c r="J46" s="6">
        <v>0.2</v>
      </c>
      <c r="K46" s="6">
        <v>1</v>
      </c>
      <c r="L46" s="6">
        <v>0.2</v>
      </c>
      <c r="M46" s="6">
        <v>90</v>
      </c>
      <c r="N46" s="6">
        <v>18</v>
      </c>
      <c r="O46" s="8"/>
      <c r="P46" s="8"/>
      <c r="Q46" s="8"/>
      <c r="R46" s="8"/>
      <c r="S46" s="6">
        <v>12</v>
      </c>
      <c r="T46" s="6" t="s">
        <v>260</v>
      </c>
      <c r="U46" s="8"/>
    </row>
    <row r="47" spans="1:21" ht="13.5" customHeight="1" x14ac:dyDescent="0.2">
      <c r="A47" s="6" t="s">
        <v>169</v>
      </c>
      <c r="B47" s="6" t="s">
        <v>170</v>
      </c>
      <c r="C47" s="6" t="s">
        <v>75</v>
      </c>
      <c r="D47" s="6">
        <v>1</v>
      </c>
      <c r="E47" s="8"/>
      <c r="F47" s="6" t="s">
        <v>236</v>
      </c>
      <c r="G47" s="6" t="s">
        <v>218</v>
      </c>
      <c r="H47" s="6" t="s">
        <v>219</v>
      </c>
      <c r="I47" s="6" t="s">
        <v>220</v>
      </c>
      <c r="J47" s="6">
        <v>0.25</v>
      </c>
      <c r="K47" s="6">
        <v>1</v>
      </c>
      <c r="L47" s="6">
        <v>0.25</v>
      </c>
      <c r="M47" s="6">
        <v>62.5</v>
      </c>
      <c r="N47" s="6">
        <v>15.625</v>
      </c>
      <c r="O47" s="8"/>
      <c r="P47" s="8"/>
      <c r="Q47" s="8"/>
      <c r="R47" s="8"/>
      <c r="S47" s="6">
        <v>12</v>
      </c>
      <c r="T47" s="6" t="s">
        <v>237</v>
      </c>
      <c r="U47" s="8"/>
    </row>
    <row r="48" spans="1:21" ht="13.5" customHeight="1" x14ac:dyDescent="0.2">
      <c r="A48" s="6" t="s">
        <v>169</v>
      </c>
      <c r="B48" s="6" t="s">
        <v>170</v>
      </c>
      <c r="C48" s="6" t="s">
        <v>75</v>
      </c>
      <c r="D48" s="6">
        <v>1</v>
      </c>
      <c r="E48" s="8"/>
      <c r="F48" s="6" t="s">
        <v>261</v>
      </c>
      <c r="G48" s="6" t="s">
        <v>188</v>
      </c>
      <c r="H48" s="6" t="s">
        <v>181</v>
      </c>
      <c r="I48" s="6" t="s">
        <v>182</v>
      </c>
      <c r="J48" s="6">
        <v>0.16</v>
      </c>
      <c r="K48" s="6">
        <v>1</v>
      </c>
      <c r="L48" s="6">
        <v>0.16</v>
      </c>
      <c r="M48" s="6">
        <v>60</v>
      </c>
      <c r="N48" s="6">
        <v>9.6</v>
      </c>
      <c r="O48" s="8"/>
      <c r="P48" s="8"/>
      <c r="Q48" s="8"/>
      <c r="R48" s="8"/>
      <c r="S48" s="6">
        <v>20</v>
      </c>
      <c r="T48" s="6" t="s">
        <v>195</v>
      </c>
      <c r="U48" s="8"/>
    </row>
    <row r="49" spans="1:21" ht="13.5" customHeight="1" x14ac:dyDescent="0.2">
      <c r="A49" s="6" t="s">
        <v>169</v>
      </c>
      <c r="B49" s="6" t="s">
        <v>170</v>
      </c>
      <c r="C49" s="6" t="s">
        <v>75</v>
      </c>
      <c r="D49" s="6">
        <v>1</v>
      </c>
      <c r="E49" s="8"/>
      <c r="F49" s="6" t="s">
        <v>262</v>
      </c>
      <c r="G49" s="6" t="s">
        <v>51</v>
      </c>
      <c r="H49" s="6" t="s">
        <v>178</v>
      </c>
      <c r="I49" s="6" t="s">
        <v>173</v>
      </c>
      <c r="J49" s="6">
        <v>1</v>
      </c>
      <c r="K49" s="6">
        <v>1</v>
      </c>
      <c r="L49" s="6">
        <v>1</v>
      </c>
      <c r="M49" s="6">
        <v>180</v>
      </c>
      <c r="N49" s="6">
        <v>180</v>
      </c>
      <c r="O49" s="8"/>
      <c r="P49" s="8"/>
      <c r="Q49" s="8"/>
      <c r="R49" s="8"/>
      <c r="S49" s="6">
        <v>20</v>
      </c>
      <c r="T49" s="6" t="s">
        <v>175</v>
      </c>
      <c r="U49" s="8"/>
    </row>
    <row r="50" spans="1:21" ht="13.5" customHeight="1" x14ac:dyDescent="0.2">
      <c r="A50" s="6" t="s">
        <v>169</v>
      </c>
      <c r="B50" s="6" t="s">
        <v>170</v>
      </c>
      <c r="C50" s="6" t="s">
        <v>75</v>
      </c>
      <c r="D50" s="6">
        <v>1</v>
      </c>
      <c r="E50" s="8"/>
      <c r="F50" s="6" t="s">
        <v>263</v>
      </c>
      <c r="G50" s="6" t="s">
        <v>215</v>
      </c>
      <c r="H50" s="6" t="s">
        <v>181</v>
      </c>
      <c r="I50" s="6" t="s">
        <v>182</v>
      </c>
      <c r="J50" s="6">
        <v>1</v>
      </c>
      <c r="K50" s="6">
        <v>1</v>
      </c>
      <c r="L50" s="6">
        <v>1</v>
      </c>
      <c r="M50" s="6">
        <v>40</v>
      </c>
      <c r="N50" s="6">
        <v>40</v>
      </c>
      <c r="O50" s="8"/>
      <c r="P50" s="8"/>
      <c r="Q50" s="8"/>
      <c r="R50" s="8"/>
      <c r="S50" s="6">
        <v>28</v>
      </c>
      <c r="T50" s="6" t="s">
        <v>229</v>
      </c>
      <c r="U50" s="8"/>
    </row>
    <row r="51" spans="1:21" ht="13.5" customHeight="1" x14ac:dyDescent="0.2">
      <c r="A51" s="6" t="s">
        <v>169</v>
      </c>
      <c r="B51" s="6" t="s">
        <v>170</v>
      </c>
      <c r="C51" s="6" t="s">
        <v>75</v>
      </c>
      <c r="D51" s="6">
        <v>1</v>
      </c>
      <c r="E51" s="8"/>
      <c r="F51" s="6" t="s">
        <v>230</v>
      </c>
      <c r="G51" s="6" t="s">
        <v>231</v>
      </c>
      <c r="H51" s="6" t="s">
        <v>219</v>
      </c>
      <c r="I51" s="6" t="s">
        <v>220</v>
      </c>
      <c r="J51" s="6">
        <v>0.04</v>
      </c>
      <c r="K51" s="6">
        <v>1</v>
      </c>
      <c r="L51" s="6">
        <v>0.04</v>
      </c>
      <c r="M51" s="6">
        <v>53.2</v>
      </c>
      <c r="N51" s="6">
        <v>2.1280000000000001</v>
      </c>
      <c r="O51" s="8"/>
      <c r="P51" s="8"/>
      <c r="Q51" s="8"/>
      <c r="R51" s="8"/>
      <c r="S51" s="6">
        <v>28</v>
      </c>
      <c r="T51" s="6" t="s">
        <v>232</v>
      </c>
      <c r="U51" s="8"/>
    </row>
    <row r="52" spans="1:21" ht="13.5" customHeight="1" x14ac:dyDescent="0.2">
      <c r="A52" s="6" t="s">
        <v>169</v>
      </c>
      <c r="B52" s="6" t="s">
        <v>170</v>
      </c>
      <c r="C52" s="6" t="s">
        <v>75</v>
      </c>
      <c r="D52" s="6">
        <v>1</v>
      </c>
      <c r="E52" s="8"/>
      <c r="F52" s="6" t="s">
        <v>238</v>
      </c>
      <c r="G52" s="6" t="s">
        <v>239</v>
      </c>
      <c r="H52" s="6" t="s">
        <v>219</v>
      </c>
      <c r="I52" s="6" t="s">
        <v>220</v>
      </c>
      <c r="J52" s="6">
        <v>1</v>
      </c>
      <c r="K52" s="6">
        <v>1</v>
      </c>
      <c r="L52" s="6">
        <v>1</v>
      </c>
      <c r="M52" s="6">
        <v>50</v>
      </c>
      <c r="N52" s="6">
        <v>50</v>
      </c>
      <c r="O52" s="8"/>
      <c r="P52" s="8"/>
      <c r="Q52" s="8"/>
      <c r="R52" s="8"/>
      <c r="S52" s="6">
        <v>28</v>
      </c>
      <c r="T52" s="6" t="s">
        <v>240</v>
      </c>
      <c r="U52" s="8"/>
    </row>
    <row r="53" spans="1:21" ht="13.5" customHeight="1" x14ac:dyDescent="0.2">
      <c r="A53" s="6" t="s">
        <v>169</v>
      </c>
      <c r="B53" s="6" t="s">
        <v>170</v>
      </c>
      <c r="C53" s="6" t="s">
        <v>75</v>
      </c>
      <c r="D53" s="6">
        <v>1</v>
      </c>
      <c r="E53" s="8"/>
      <c r="F53" s="6" t="s">
        <v>241</v>
      </c>
      <c r="G53" s="6" t="s">
        <v>218</v>
      </c>
      <c r="H53" s="6" t="s">
        <v>219</v>
      </c>
      <c r="I53" s="6" t="s">
        <v>226</v>
      </c>
      <c r="J53" s="6">
        <v>0.2</v>
      </c>
      <c r="K53" s="6">
        <v>1</v>
      </c>
      <c r="L53" s="6">
        <v>0.2</v>
      </c>
      <c r="M53" s="6">
        <v>101.78</v>
      </c>
      <c r="N53" s="6">
        <v>20.356000000000002</v>
      </c>
      <c r="O53" s="8"/>
      <c r="P53" s="8"/>
      <c r="Q53" s="8"/>
      <c r="R53" s="8"/>
      <c r="S53" s="6">
        <v>28</v>
      </c>
      <c r="T53" s="6" t="s">
        <v>242</v>
      </c>
      <c r="U53" s="8"/>
    </row>
    <row r="54" spans="1:21" ht="13.5" customHeight="1" x14ac:dyDescent="0.2">
      <c r="A54" s="6" t="s">
        <v>169</v>
      </c>
      <c r="B54" s="6" t="s">
        <v>170</v>
      </c>
      <c r="C54" s="6" t="s">
        <v>75</v>
      </c>
      <c r="D54" s="6">
        <v>1</v>
      </c>
      <c r="E54" s="8"/>
      <c r="F54" s="6" t="s">
        <v>264</v>
      </c>
      <c r="G54" s="6" t="s">
        <v>239</v>
      </c>
      <c r="H54" s="6" t="s">
        <v>219</v>
      </c>
      <c r="I54" s="6" t="s">
        <v>220</v>
      </c>
      <c r="J54" s="6">
        <v>2</v>
      </c>
      <c r="K54" s="6">
        <v>1</v>
      </c>
      <c r="L54" s="6">
        <v>2</v>
      </c>
      <c r="M54" s="6">
        <v>38.5</v>
      </c>
      <c r="N54" s="6">
        <v>77</v>
      </c>
      <c r="O54" s="8"/>
      <c r="P54" s="8"/>
      <c r="Q54" s="8"/>
      <c r="R54" s="8"/>
      <c r="S54" s="6">
        <v>28</v>
      </c>
      <c r="T54" s="6" t="s">
        <v>265</v>
      </c>
      <c r="U54" s="8"/>
    </row>
    <row r="55" spans="1:21" ht="13.5" customHeight="1" x14ac:dyDescent="0.2">
      <c r="A55" s="6" t="s">
        <v>169</v>
      </c>
      <c r="B55" s="6" t="s">
        <v>170</v>
      </c>
      <c r="C55" s="6" t="s">
        <v>75</v>
      </c>
      <c r="D55" s="6">
        <v>1</v>
      </c>
      <c r="E55" s="8"/>
      <c r="F55" s="6" t="s">
        <v>266</v>
      </c>
      <c r="G55" s="6" t="s">
        <v>244</v>
      </c>
      <c r="H55" s="6" t="s">
        <v>219</v>
      </c>
      <c r="I55" s="6" t="s">
        <v>226</v>
      </c>
      <c r="J55" s="6">
        <v>0.2</v>
      </c>
      <c r="K55" s="6">
        <v>1</v>
      </c>
      <c r="L55" s="6">
        <v>0.2</v>
      </c>
      <c r="M55" s="6">
        <v>269</v>
      </c>
      <c r="N55" s="6">
        <v>53.8</v>
      </c>
      <c r="O55" s="8"/>
      <c r="P55" s="8"/>
      <c r="Q55" s="8"/>
      <c r="R55" s="8"/>
      <c r="S55" s="6">
        <v>28</v>
      </c>
      <c r="T55" s="6" t="s">
        <v>267</v>
      </c>
      <c r="U55" s="8"/>
    </row>
    <row r="56" spans="1:21" ht="13.5" customHeight="1" x14ac:dyDescent="0.2">
      <c r="A56" s="6" t="s">
        <v>169</v>
      </c>
      <c r="B56" s="6" t="s">
        <v>170</v>
      </c>
      <c r="C56" s="6" t="s">
        <v>75</v>
      </c>
      <c r="D56" s="6">
        <v>1</v>
      </c>
      <c r="E56" s="8"/>
      <c r="F56" s="6" t="s">
        <v>246</v>
      </c>
      <c r="G56" s="6" t="s">
        <v>218</v>
      </c>
      <c r="H56" s="6" t="s">
        <v>219</v>
      </c>
      <c r="I56" s="6" t="s">
        <v>220</v>
      </c>
      <c r="J56" s="6">
        <v>0.25</v>
      </c>
      <c r="K56" s="6">
        <v>1</v>
      </c>
      <c r="L56" s="6">
        <v>0.25</v>
      </c>
      <c r="M56" s="6">
        <v>62.5</v>
      </c>
      <c r="N56" s="6">
        <v>15.625</v>
      </c>
      <c r="O56" s="8"/>
      <c r="P56" s="8"/>
      <c r="Q56" s="8"/>
      <c r="R56" s="8"/>
      <c r="S56" s="6">
        <v>28</v>
      </c>
      <c r="T56" s="6" t="s">
        <v>237</v>
      </c>
      <c r="U56" s="8"/>
    </row>
    <row r="57" spans="1:21" ht="13.5" customHeight="1" x14ac:dyDescent="0.2">
      <c r="A57" s="6" t="s">
        <v>169</v>
      </c>
      <c r="B57" s="6" t="s">
        <v>170</v>
      </c>
      <c r="C57" s="6" t="s">
        <v>75</v>
      </c>
      <c r="D57" s="6">
        <v>1</v>
      </c>
      <c r="E57" s="8"/>
      <c r="F57" s="6" t="s">
        <v>268</v>
      </c>
      <c r="G57" s="6" t="s">
        <v>253</v>
      </c>
      <c r="H57" s="6" t="s">
        <v>181</v>
      </c>
      <c r="I57" s="6" t="s">
        <v>182</v>
      </c>
      <c r="J57" s="6">
        <v>5</v>
      </c>
      <c r="K57" s="6">
        <v>1</v>
      </c>
      <c r="L57" s="6">
        <v>5</v>
      </c>
      <c r="M57" s="6">
        <v>60</v>
      </c>
      <c r="N57" s="6">
        <v>300</v>
      </c>
      <c r="O57" s="8"/>
      <c r="P57" s="8"/>
      <c r="Q57" s="8"/>
      <c r="R57" s="8"/>
      <c r="S57" s="6">
        <v>35</v>
      </c>
      <c r="T57" s="6" t="s">
        <v>87</v>
      </c>
      <c r="U57" s="8"/>
    </row>
    <row r="58" spans="1:21" ht="13.5" customHeight="1" x14ac:dyDescent="0.2">
      <c r="A58" s="6" t="s">
        <v>169</v>
      </c>
      <c r="B58" s="6" t="s">
        <v>170</v>
      </c>
      <c r="C58" s="6" t="s">
        <v>75</v>
      </c>
      <c r="D58" s="6">
        <v>1</v>
      </c>
      <c r="E58" s="8"/>
      <c r="F58" s="6" t="s">
        <v>250</v>
      </c>
      <c r="G58" s="6" t="s">
        <v>223</v>
      </c>
      <c r="H58" s="6" t="s">
        <v>219</v>
      </c>
      <c r="I58" s="6" t="s">
        <v>220</v>
      </c>
      <c r="J58" s="6">
        <v>12</v>
      </c>
      <c r="K58" s="6">
        <v>1.5</v>
      </c>
      <c r="L58" s="6">
        <v>18</v>
      </c>
      <c r="M58" s="6">
        <v>3.5</v>
      </c>
      <c r="N58" s="6">
        <v>63</v>
      </c>
      <c r="O58" s="8"/>
      <c r="P58" s="8"/>
      <c r="Q58" s="8"/>
      <c r="R58" s="8"/>
      <c r="S58" s="6">
        <v>36</v>
      </c>
      <c r="T58" s="6" t="s">
        <v>269</v>
      </c>
      <c r="U58" s="8"/>
    </row>
    <row r="59" spans="1:21" ht="13.5" customHeight="1" x14ac:dyDescent="0.2">
      <c r="A59" s="6" t="s">
        <v>169</v>
      </c>
      <c r="B59" s="6" t="s">
        <v>170</v>
      </c>
      <c r="C59" s="6" t="s">
        <v>75</v>
      </c>
      <c r="D59" s="6">
        <v>1</v>
      </c>
      <c r="E59" s="8"/>
      <c r="F59" s="6" t="s">
        <v>270</v>
      </c>
      <c r="G59" s="6" t="s">
        <v>51</v>
      </c>
      <c r="H59" s="6" t="s">
        <v>178</v>
      </c>
      <c r="I59" s="6" t="s">
        <v>173</v>
      </c>
      <c r="J59" s="6">
        <v>1</v>
      </c>
      <c r="K59" s="6">
        <v>1</v>
      </c>
      <c r="L59" s="6">
        <v>1</v>
      </c>
      <c r="M59" s="6">
        <v>180</v>
      </c>
      <c r="N59" s="6">
        <v>180</v>
      </c>
      <c r="O59" s="8"/>
      <c r="P59" s="8"/>
      <c r="Q59" s="8"/>
      <c r="R59" s="8"/>
      <c r="S59" s="6">
        <v>45</v>
      </c>
      <c r="T59" s="6" t="s">
        <v>175</v>
      </c>
      <c r="U59" s="8"/>
    </row>
    <row r="60" spans="1:21" ht="13.5" customHeight="1" x14ac:dyDescent="0.2">
      <c r="A60" s="6" t="s">
        <v>169</v>
      </c>
      <c r="B60" s="6" t="s">
        <v>170</v>
      </c>
      <c r="C60" s="6" t="s">
        <v>75</v>
      </c>
      <c r="D60" s="6">
        <v>1</v>
      </c>
      <c r="E60" s="8"/>
      <c r="F60" s="6" t="s">
        <v>187</v>
      </c>
      <c r="G60" s="6" t="s">
        <v>188</v>
      </c>
      <c r="H60" s="6" t="s">
        <v>181</v>
      </c>
      <c r="I60" s="6" t="s">
        <v>182</v>
      </c>
      <c r="J60" s="6">
        <v>1</v>
      </c>
      <c r="K60" s="6">
        <v>1</v>
      </c>
      <c r="L60" s="6">
        <v>1</v>
      </c>
      <c r="M60" s="6">
        <v>60</v>
      </c>
      <c r="N60" s="6">
        <v>60</v>
      </c>
      <c r="O60" s="8"/>
      <c r="P60" s="8"/>
      <c r="Q60" s="8"/>
      <c r="R60" s="8"/>
      <c r="S60" s="6">
        <v>46</v>
      </c>
      <c r="T60" s="6" t="s">
        <v>189</v>
      </c>
      <c r="U60" s="8"/>
    </row>
    <row r="61" spans="1:21" ht="13.5" customHeight="1" x14ac:dyDescent="0.2">
      <c r="A61" s="6" t="s">
        <v>169</v>
      </c>
      <c r="B61" s="6" t="s">
        <v>170</v>
      </c>
      <c r="C61" s="6" t="s">
        <v>75</v>
      </c>
      <c r="D61" s="6">
        <v>1</v>
      </c>
      <c r="E61" s="8"/>
      <c r="F61" s="6" t="s">
        <v>271</v>
      </c>
      <c r="G61" s="6" t="s">
        <v>215</v>
      </c>
      <c r="H61" s="6" t="s">
        <v>181</v>
      </c>
      <c r="I61" s="6" t="s">
        <v>182</v>
      </c>
      <c r="J61" s="6">
        <v>1.5</v>
      </c>
      <c r="K61" s="6">
        <v>1</v>
      </c>
      <c r="L61" s="6">
        <v>1.5</v>
      </c>
      <c r="M61" s="6">
        <v>65</v>
      </c>
      <c r="N61" s="6">
        <v>97.5</v>
      </c>
      <c r="O61" s="8"/>
      <c r="P61" s="8"/>
      <c r="Q61" s="8"/>
      <c r="R61" s="8"/>
      <c r="S61" s="6">
        <v>48</v>
      </c>
      <c r="T61" s="6" t="s">
        <v>34</v>
      </c>
      <c r="U61" s="8"/>
    </row>
    <row r="62" spans="1:21" ht="13.5" customHeight="1" x14ac:dyDescent="0.2">
      <c r="A62" s="6" t="s">
        <v>169</v>
      </c>
      <c r="B62" s="6" t="s">
        <v>170</v>
      </c>
      <c r="C62" s="6" t="s">
        <v>75</v>
      </c>
      <c r="D62" s="6">
        <v>1</v>
      </c>
      <c r="E62" s="8"/>
      <c r="F62" s="6" t="s">
        <v>230</v>
      </c>
      <c r="G62" s="6" t="s">
        <v>231</v>
      </c>
      <c r="H62" s="6" t="s">
        <v>219</v>
      </c>
      <c r="I62" s="6" t="s">
        <v>248</v>
      </c>
      <c r="J62" s="6">
        <v>0.04</v>
      </c>
      <c r="K62" s="6">
        <v>1.5</v>
      </c>
      <c r="L62" s="6">
        <v>0.06</v>
      </c>
      <c r="M62" s="6">
        <v>53.2</v>
      </c>
      <c r="N62" s="6">
        <v>3.1920000000000002</v>
      </c>
      <c r="O62" s="8"/>
      <c r="P62" s="8"/>
      <c r="Q62" s="8"/>
      <c r="R62" s="8"/>
      <c r="S62" s="6">
        <v>48</v>
      </c>
      <c r="T62" s="6" t="s">
        <v>272</v>
      </c>
      <c r="U62" s="8"/>
    </row>
    <row r="63" spans="1:21" ht="13.5" customHeight="1" x14ac:dyDescent="0.2">
      <c r="A63" s="6" t="s">
        <v>169</v>
      </c>
      <c r="B63" s="6" t="s">
        <v>170</v>
      </c>
      <c r="C63" s="6" t="s">
        <v>75</v>
      </c>
      <c r="D63" s="6">
        <v>1</v>
      </c>
      <c r="E63" s="8"/>
      <c r="F63" s="6" t="s">
        <v>259</v>
      </c>
      <c r="G63" s="6" t="s">
        <v>218</v>
      </c>
      <c r="H63" s="6" t="s">
        <v>219</v>
      </c>
      <c r="I63" s="6" t="s">
        <v>226</v>
      </c>
      <c r="J63" s="6">
        <v>0.2</v>
      </c>
      <c r="K63" s="6">
        <v>1.5</v>
      </c>
      <c r="L63" s="6">
        <v>0.3</v>
      </c>
      <c r="M63" s="6">
        <v>90</v>
      </c>
      <c r="N63" s="6">
        <v>27</v>
      </c>
      <c r="O63" s="8"/>
      <c r="P63" s="8"/>
      <c r="Q63" s="8"/>
      <c r="R63" s="8"/>
      <c r="S63" s="6">
        <v>48</v>
      </c>
      <c r="T63" s="6" t="s">
        <v>273</v>
      </c>
      <c r="U63" s="8"/>
    </row>
    <row r="64" spans="1:21" ht="13.5" customHeight="1" x14ac:dyDescent="0.2">
      <c r="A64" s="6" t="s">
        <v>169</v>
      </c>
      <c r="B64" s="6" t="s">
        <v>170</v>
      </c>
      <c r="C64" s="6" t="s">
        <v>75</v>
      </c>
      <c r="D64" s="6">
        <v>1</v>
      </c>
      <c r="E64" s="8"/>
      <c r="F64" s="6" t="s">
        <v>274</v>
      </c>
      <c r="G64" s="6" t="s">
        <v>218</v>
      </c>
      <c r="H64" s="6" t="s">
        <v>219</v>
      </c>
      <c r="I64" s="6" t="s">
        <v>248</v>
      </c>
      <c r="J64" s="6">
        <v>0.2</v>
      </c>
      <c r="K64" s="6">
        <v>1.5</v>
      </c>
      <c r="L64" s="6">
        <v>0.3</v>
      </c>
      <c r="M64" s="6">
        <v>91</v>
      </c>
      <c r="N64" s="6">
        <v>27.3</v>
      </c>
      <c r="O64" s="8"/>
      <c r="P64" s="8"/>
      <c r="Q64" s="8"/>
      <c r="R64" s="8"/>
      <c r="S64" s="6">
        <v>48</v>
      </c>
      <c r="T64" s="6" t="s">
        <v>275</v>
      </c>
      <c r="U64" s="8"/>
    </row>
    <row r="65" spans="1:21" ht="13.5" customHeight="1" x14ac:dyDescent="0.2">
      <c r="A65" s="6" t="s">
        <v>169</v>
      </c>
      <c r="B65" s="6" t="s">
        <v>170</v>
      </c>
      <c r="C65" s="6" t="s">
        <v>75</v>
      </c>
      <c r="D65" s="6">
        <v>1</v>
      </c>
      <c r="E65" s="8"/>
      <c r="F65" s="6" t="s">
        <v>276</v>
      </c>
      <c r="G65" s="6" t="s">
        <v>218</v>
      </c>
      <c r="H65" s="6" t="s">
        <v>219</v>
      </c>
      <c r="I65" s="6" t="s">
        <v>248</v>
      </c>
      <c r="J65" s="6">
        <v>0.2</v>
      </c>
      <c r="K65" s="6">
        <v>1.5</v>
      </c>
      <c r="L65" s="6">
        <v>0.3</v>
      </c>
      <c r="M65" s="6">
        <v>93</v>
      </c>
      <c r="N65" s="6">
        <v>27.9</v>
      </c>
      <c r="O65" s="8"/>
      <c r="P65" s="8"/>
      <c r="Q65" s="8"/>
      <c r="R65" s="8"/>
      <c r="S65" s="6">
        <v>48</v>
      </c>
      <c r="T65" s="6" t="s">
        <v>277</v>
      </c>
      <c r="U65" s="8"/>
    </row>
    <row r="66" spans="1:21" ht="13.5" customHeight="1" x14ac:dyDescent="0.2">
      <c r="A66" s="6" t="s">
        <v>169</v>
      </c>
      <c r="B66" s="6" t="s">
        <v>170</v>
      </c>
      <c r="C66" s="6" t="s">
        <v>75</v>
      </c>
      <c r="D66" s="6">
        <v>1</v>
      </c>
      <c r="E66" s="8"/>
      <c r="F66" s="6" t="s">
        <v>264</v>
      </c>
      <c r="G66" s="6" t="s">
        <v>239</v>
      </c>
      <c r="H66" s="6" t="s">
        <v>219</v>
      </c>
      <c r="I66" s="6" t="s">
        <v>248</v>
      </c>
      <c r="J66" s="6">
        <v>2</v>
      </c>
      <c r="K66" s="6">
        <v>1</v>
      </c>
      <c r="L66" s="6">
        <v>2</v>
      </c>
      <c r="M66" s="6">
        <v>38.5</v>
      </c>
      <c r="N66" s="6">
        <v>77</v>
      </c>
      <c r="O66" s="8"/>
      <c r="P66" s="8"/>
      <c r="Q66" s="8"/>
      <c r="R66" s="8"/>
      <c r="S66" s="6">
        <v>48</v>
      </c>
      <c r="T66" s="6" t="s">
        <v>265</v>
      </c>
      <c r="U66" s="8"/>
    </row>
    <row r="67" spans="1:21" ht="13.5" customHeight="1" x14ac:dyDescent="0.2">
      <c r="A67" s="6" t="s">
        <v>169</v>
      </c>
      <c r="B67" s="6" t="s">
        <v>170</v>
      </c>
      <c r="C67" s="6" t="s">
        <v>75</v>
      </c>
      <c r="D67" s="6">
        <v>1</v>
      </c>
      <c r="E67" s="8"/>
      <c r="F67" s="6" t="s">
        <v>278</v>
      </c>
      <c r="G67" s="6" t="s">
        <v>239</v>
      </c>
      <c r="H67" s="6" t="s">
        <v>219</v>
      </c>
      <c r="I67" s="6" t="s">
        <v>256</v>
      </c>
      <c r="J67" s="6">
        <v>0.5</v>
      </c>
      <c r="K67" s="6">
        <v>1.5</v>
      </c>
      <c r="L67" s="6">
        <v>0.75</v>
      </c>
      <c r="M67" s="6">
        <v>65</v>
      </c>
      <c r="N67" s="6">
        <v>48.75</v>
      </c>
      <c r="O67" s="8"/>
      <c r="P67" s="8"/>
      <c r="Q67" s="8"/>
      <c r="R67" s="8"/>
      <c r="S67" s="6">
        <v>48</v>
      </c>
      <c r="T67" s="6" t="s">
        <v>279</v>
      </c>
      <c r="U67" s="8"/>
    </row>
    <row r="68" spans="1:21" ht="13.5" customHeight="1" x14ac:dyDescent="0.2">
      <c r="A68" s="6" t="s">
        <v>169</v>
      </c>
      <c r="B68" s="6" t="s">
        <v>170</v>
      </c>
      <c r="C68" s="6" t="s">
        <v>75</v>
      </c>
      <c r="D68" s="6">
        <v>1</v>
      </c>
      <c r="E68" s="8"/>
      <c r="F68" s="6" t="s">
        <v>280</v>
      </c>
      <c r="G68" s="6" t="s">
        <v>253</v>
      </c>
      <c r="H68" s="6" t="s">
        <v>181</v>
      </c>
      <c r="I68" s="6" t="s">
        <v>182</v>
      </c>
      <c r="J68" s="6">
        <v>5</v>
      </c>
      <c r="K68" s="6">
        <v>1</v>
      </c>
      <c r="L68" s="6">
        <v>5</v>
      </c>
      <c r="M68" s="6">
        <v>60</v>
      </c>
      <c r="N68" s="6">
        <v>300</v>
      </c>
      <c r="O68" s="8"/>
      <c r="P68" s="8"/>
      <c r="Q68" s="8"/>
      <c r="R68" s="8"/>
      <c r="S68" s="6">
        <v>55</v>
      </c>
      <c r="T68" s="6" t="s">
        <v>87</v>
      </c>
      <c r="U68" s="8">
        <v>0.4</v>
      </c>
    </row>
    <row r="69" spans="1:21" ht="13.5" customHeight="1" x14ac:dyDescent="0.2">
      <c r="A69" s="6" t="s">
        <v>169</v>
      </c>
      <c r="B69" s="6" t="s">
        <v>170</v>
      </c>
      <c r="C69" s="6" t="s">
        <v>75</v>
      </c>
      <c r="D69" s="6">
        <v>1</v>
      </c>
      <c r="E69" s="8"/>
      <c r="F69" s="6" t="s">
        <v>281</v>
      </c>
      <c r="G69" s="6" t="s">
        <v>215</v>
      </c>
      <c r="H69" s="6" t="s">
        <v>181</v>
      </c>
      <c r="I69" s="6" t="s">
        <v>182</v>
      </c>
      <c r="J69" s="6">
        <v>1.5</v>
      </c>
      <c r="K69" s="6">
        <v>1</v>
      </c>
      <c r="L69" s="6">
        <v>1.5</v>
      </c>
      <c r="M69" s="6">
        <v>65</v>
      </c>
      <c r="N69" s="6">
        <v>97.5</v>
      </c>
      <c r="O69" s="8"/>
      <c r="P69" s="8"/>
      <c r="Q69" s="8"/>
      <c r="R69" s="8"/>
      <c r="S69" s="6">
        <v>64</v>
      </c>
      <c r="T69" s="6" t="s">
        <v>34</v>
      </c>
      <c r="U69" s="8"/>
    </row>
    <row r="70" spans="1:21" ht="13.5" customHeight="1" x14ac:dyDescent="0.2">
      <c r="A70" s="6" t="s">
        <v>169</v>
      </c>
      <c r="B70" s="6" t="s">
        <v>170</v>
      </c>
      <c r="C70" s="6" t="s">
        <v>75</v>
      </c>
      <c r="D70" s="6">
        <v>1</v>
      </c>
      <c r="E70" s="8"/>
      <c r="F70" s="6" t="s">
        <v>230</v>
      </c>
      <c r="G70" s="6" t="s">
        <v>231</v>
      </c>
      <c r="H70" s="6" t="s">
        <v>219</v>
      </c>
      <c r="I70" s="6" t="s">
        <v>248</v>
      </c>
      <c r="J70" s="6">
        <v>0.04</v>
      </c>
      <c r="K70" s="6">
        <v>1.5</v>
      </c>
      <c r="L70" s="6">
        <v>0.06</v>
      </c>
      <c r="M70" s="6">
        <v>53.2</v>
      </c>
      <c r="N70" s="6">
        <v>3.1920000000000002</v>
      </c>
      <c r="O70" s="8"/>
      <c r="P70" s="8"/>
      <c r="Q70" s="8"/>
      <c r="R70" s="8"/>
      <c r="S70" s="6">
        <v>65</v>
      </c>
      <c r="T70" s="6" t="s">
        <v>272</v>
      </c>
      <c r="U70" s="8"/>
    </row>
    <row r="71" spans="1:21" ht="13.5" customHeight="1" x14ac:dyDescent="0.2">
      <c r="A71" s="6" t="s">
        <v>169</v>
      </c>
      <c r="B71" s="6" t="s">
        <v>170</v>
      </c>
      <c r="C71" s="6" t="s">
        <v>75</v>
      </c>
      <c r="D71" s="6">
        <v>1</v>
      </c>
      <c r="E71" s="8"/>
      <c r="F71" s="6" t="s">
        <v>241</v>
      </c>
      <c r="G71" s="6" t="s">
        <v>218</v>
      </c>
      <c r="H71" s="6" t="s">
        <v>219</v>
      </c>
      <c r="I71" s="6" t="s">
        <v>282</v>
      </c>
      <c r="J71" s="6">
        <v>0.2</v>
      </c>
      <c r="K71" s="6">
        <v>1.5</v>
      </c>
      <c r="L71" s="6">
        <v>0.3</v>
      </c>
      <c r="M71" s="6">
        <v>101.78</v>
      </c>
      <c r="N71" s="6">
        <v>30.533999999999999</v>
      </c>
      <c r="O71" s="8"/>
      <c r="P71" s="8"/>
      <c r="Q71" s="8"/>
      <c r="R71" s="8"/>
      <c r="S71" s="6">
        <v>65</v>
      </c>
      <c r="T71" s="6" t="s">
        <v>283</v>
      </c>
      <c r="U71" s="8"/>
    </row>
    <row r="72" spans="1:21" ht="13.5" customHeight="1" x14ac:dyDescent="0.2">
      <c r="A72" s="6" t="s">
        <v>169</v>
      </c>
      <c r="B72" s="6" t="s">
        <v>170</v>
      </c>
      <c r="C72" s="6" t="s">
        <v>75</v>
      </c>
      <c r="D72" s="6">
        <v>1</v>
      </c>
      <c r="E72" s="8"/>
      <c r="F72" s="6" t="s">
        <v>284</v>
      </c>
      <c r="G72" s="6" t="s">
        <v>244</v>
      </c>
      <c r="H72" s="6" t="s">
        <v>219</v>
      </c>
      <c r="I72" s="6" t="s">
        <v>220</v>
      </c>
      <c r="J72" s="6">
        <v>0.5</v>
      </c>
      <c r="K72" s="6">
        <v>1.5</v>
      </c>
      <c r="L72" s="6">
        <v>0.75</v>
      </c>
      <c r="M72" s="6">
        <v>53</v>
      </c>
      <c r="N72" s="6">
        <v>39.75</v>
      </c>
      <c r="O72" s="8"/>
      <c r="P72" s="8"/>
      <c r="Q72" s="8"/>
      <c r="R72" s="8"/>
      <c r="S72" s="6">
        <v>65</v>
      </c>
      <c r="T72" s="6" t="s">
        <v>285</v>
      </c>
      <c r="U72" s="8"/>
    </row>
    <row r="73" spans="1:21" ht="13.5" customHeight="1" x14ac:dyDescent="0.2">
      <c r="A73" s="6" t="s">
        <v>169</v>
      </c>
      <c r="B73" s="6" t="s">
        <v>170</v>
      </c>
      <c r="C73" s="6" t="s">
        <v>75</v>
      </c>
      <c r="D73" s="6">
        <v>1</v>
      </c>
      <c r="E73" s="8"/>
      <c r="F73" s="6" t="s">
        <v>286</v>
      </c>
      <c r="G73" s="6" t="s">
        <v>239</v>
      </c>
      <c r="H73" s="6" t="s">
        <v>219</v>
      </c>
      <c r="I73" s="6" t="s">
        <v>282</v>
      </c>
      <c r="J73" s="6">
        <v>3</v>
      </c>
      <c r="K73" s="6">
        <v>1.5</v>
      </c>
      <c r="L73" s="6">
        <v>4.5</v>
      </c>
      <c r="M73" s="6">
        <v>22.72</v>
      </c>
      <c r="N73" s="6">
        <v>102.24</v>
      </c>
      <c r="O73" s="8"/>
      <c r="P73" s="8"/>
      <c r="Q73" s="8"/>
      <c r="R73" s="8"/>
      <c r="S73" s="6">
        <v>65</v>
      </c>
      <c r="T73" s="6" t="s">
        <v>287</v>
      </c>
      <c r="U73" s="8"/>
    </row>
    <row r="74" spans="1:21" ht="13.5" customHeight="1" x14ac:dyDescent="0.2">
      <c r="A74" s="6" t="s">
        <v>169</v>
      </c>
      <c r="B74" s="6" t="s">
        <v>170</v>
      </c>
      <c r="C74" s="6" t="s">
        <v>75</v>
      </c>
      <c r="D74" s="6">
        <v>1</v>
      </c>
      <c r="E74" s="8"/>
      <c r="F74" s="6" t="s">
        <v>236</v>
      </c>
      <c r="G74" s="6" t="s">
        <v>218</v>
      </c>
      <c r="H74" s="6" t="s">
        <v>219</v>
      </c>
      <c r="I74" s="6" t="s">
        <v>248</v>
      </c>
      <c r="J74" s="6">
        <v>0.25</v>
      </c>
      <c r="K74" s="6">
        <v>1.5</v>
      </c>
      <c r="L74" s="6">
        <v>0.375</v>
      </c>
      <c r="M74" s="6">
        <v>62.5</v>
      </c>
      <c r="N74" s="6">
        <v>23.437999999999999</v>
      </c>
      <c r="O74" s="8"/>
      <c r="P74" s="8"/>
      <c r="Q74" s="8"/>
      <c r="R74" s="8"/>
      <c r="S74" s="6">
        <v>65</v>
      </c>
      <c r="T74" s="6" t="s">
        <v>288</v>
      </c>
      <c r="U74" s="8"/>
    </row>
    <row r="75" spans="1:21" ht="13.5" customHeight="1" x14ac:dyDescent="0.2">
      <c r="A75" s="6" t="s">
        <v>169</v>
      </c>
      <c r="B75" s="6" t="s">
        <v>170</v>
      </c>
      <c r="C75" s="6" t="s">
        <v>75</v>
      </c>
      <c r="D75" s="6">
        <v>1</v>
      </c>
      <c r="E75" s="8"/>
      <c r="F75" s="6" t="s">
        <v>250</v>
      </c>
      <c r="G75" s="6" t="s">
        <v>223</v>
      </c>
      <c r="H75" s="6" t="s">
        <v>219</v>
      </c>
      <c r="I75" s="6" t="s">
        <v>220</v>
      </c>
      <c r="J75" s="6">
        <v>12</v>
      </c>
      <c r="K75" s="6">
        <v>1.5</v>
      </c>
      <c r="L75" s="6">
        <v>18</v>
      </c>
      <c r="M75" s="6">
        <v>3.5</v>
      </c>
      <c r="N75" s="6">
        <v>63</v>
      </c>
      <c r="O75" s="8"/>
      <c r="P75" s="8"/>
      <c r="Q75" s="8"/>
      <c r="R75" s="8"/>
      <c r="S75" s="6">
        <v>76</v>
      </c>
      <c r="T75" s="6" t="s">
        <v>269</v>
      </c>
      <c r="U75" s="8"/>
    </row>
    <row r="76" spans="1:21" ht="13.5" customHeight="1" x14ac:dyDescent="0.2">
      <c r="A76" s="6" t="s">
        <v>169</v>
      </c>
      <c r="B76" s="6" t="s">
        <v>170</v>
      </c>
      <c r="C76" s="6" t="s">
        <v>75</v>
      </c>
      <c r="D76" s="6">
        <v>1</v>
      </c>
      <c r="E76" s="8"/>
      <c r="F76" s="6" t="s">
        <v>289</v>
      </c>
      <c r="G76" s="6" t="s">
        <v>188</v>
      </c>
      <c r="H76" s="6" t="s">
        <v>181</v>
      </c>
      <c r="I76" s="6" t="s">
        <v>182</v>
      </c>
      <c r="J76" s="6">
        <v>1.5</v>
      </c>
      <c r="K76" s="6">
        <v>1</v>
      </c>
      <c r="L76" s="6">
        <v>1.5</v>
      </c>
      <c r="M76" s="6">
        <v>60</v>
      </c>
      <c r="N76" s="6">
        <v>90</v>
      </c>
      <c r="O76" s="8"/>
      <c r="P76" s="8"/>
      <c r="Q76" s="8"/>
      <c r="R76" s="8"/>
      <c r="S76" s="6">
        <v>75</v>
      </c>
      <c r="T76" s="6" t="s">
        <v>213</v>
      </c>
      <c r="U76" s="8"/>
    </row>
    <row r="77" spans="1:21" ht="13.5" customHeight="1" x14ac:dyDescent="0.2">
      <c r="A77" s="6" t="s">
        <v>169</v>
      </c>
      <c r="B77" s="6" t="s">
        <v>170</v>
      </c>
      <c r="C77" s="6" t="s">
        <v>75</v>
      </c>
      <c r="D77" s="6">
        <v>1</v>
      </c>
      <c r="E77" s="8"/>
      <c r="F77" s="6" t="s">
        <v>290</v>
      </c>
      <c r="G77" s="6" t="s">
        <v>215</v>
      </c>
      <c r="H77" s="6" t="s">
        <v>181</v>
      </c>
      <c r="I77" s="6" t="s">
        <v>182</v>
      </c>
      <c r="J77" s="6">
        <v>1.5</v>
      </c>
      <c r="K77" s="6">
        <v>1</v>
      </c>
      <c r="L77" s="6">
        <v>1.5</v>
      </c>
      <c r="M77" s="6">
        <v>65</v>
      </c>
      <c r="N77" s="6">
        <v>97.5</v>
      </c>
      <c r="O77" s="8"/>
      <c r="P77" s="8"/>
      <c r="Q77" s="8"/>
      <c r="R77" s="8"/>
      <c r="S77" s="6">
        <v>80</v>
      </c>
      <c r="T77" s="6" t="s">
        <v>34</v>
      </c>
      <c r="U77" s="8"/>
    </row>
    <row r="78" spans="1:21" ht="13.5" customHeight="1" x14ac:dyDescent="0.2">
      <c r="A78" s="6" t="s">
        <v>169</v>
      </c>
      <c r="B78" s="6" t="s">
        <v>170</v>
      </c>
      <c r="C78" s="6" t="s">
        <v>75</v>
      </c>
      <c r="D78" s="6">
        <v>1</v>
      </c>
      <c r="E78" s="8"/>
      <c r="F78" s="6" t="s">
        <v>230</v>
      </c>
      <c r="G78" s="6" t="s">
        <v>231</v>
      </c>
      <c r="H78" s="6" t="s">
        <v>219</v>
      </c>
      <c r="I78" s="6" t="s">
        <v>248</v>
      </c>
      <c r="J78" s="6">
        <v>0.04</v>
      </c>
      <c r="K78" s="6">
        <v>1.5</v>
      </c>
      <c r="L78" s="6">
        <v>0.06</v>
      </c>
      <c r="M78" s="6">
        <v>53.2</v>
      </c>
      <c r="N78" s="6">
        <v>3.1920000000000002</v>
      </c>
      <c r="O78" s="8"/>
      <c r="P78" s="8"/>
      <c r="Q78" s="8"/>
      <c r="R78" s="8"/>
      <c r="S78" s="6">
        <v>80</v>
      </c>
      <c r="T78" s="6" t="s">
        <v>272</v>
      </c>
      <c r="U78" s="8"/>
    </row>
    <row r="79" spans="1:21" ht="13.5" customHeight="1" x14ac:dyDescent="0.2">
      <c r="A79" s="6" t="s">
        <v>169</v>
      </c>
      <c r="B79" s="6" t="s">
        <v>170</v>
      </c>
      <c r="C79" s="6" t="s">
        <v>75</v>
      </c>
      <c r="D79" s="6">
        <v>1</v>
      </c>
      <c r="E79" s="8"/>
      <c r="F79" s="6" t="s">
        <v>255</v>
      </c>
      <c r="G79" s="6" t="s">
        <v>218</v>
      </c>
      <c r="H79" s="6" t="s">
        <v>219</v>
      </c>
      <c r="I79" s="6" t="s">
        <v>202</v>
      </c>
      <c r="J79" s="6">
        <v>0.5</v>
      </c>
      <c r="K79" s="6">
        <v>1.5</v>
      </c>
      <c r="L79" s="6">
        <v>0.75</v>
      </c>
      <c r="M79" s="6">
        <v>40</v>
      </c>
      <c r="N79" s="6">
        <v>30</v>
      </c>
      <c r="O79" s="8"/>
      <c r="P79" s="8"/>
      <c r="Q79" s="8"/>
      <c r="R79" s="8"/>
      <c r="S79" s="6">
        <v>80</v>
      </c>
      <c r="T79" s="6" t="s">
        <v>291</v>
      </c>
      <c r="U79" s="8"/>
    </row>
    <row r="80" spans="1:21" ht="13.5" customHeight="1" x14ac:dyDescent="0.2">
      <c r="A80" s="6" t="s">
        <v>169</v>
      </c>
      <c r="B80" s="6" t="s">
        <v>170</v>
      </c>
      <c r="C80" s="6" t="s">
        <v>75</v>
      </c>
      <c r="D80" s="6">
        <v>1</v>
      </c>
      <c r="E80" s="8"/>
      <c r="F80" s="6" t="s">
        <v>292</v>
      </c>
      <c r="G80" s="6" t="s">
        <v>239</v>
      </c>
      <c r="H80" s="6" t="s">
        <v>219</v>
      </c>
      <c r="I80" s="6" t="s">
        <v>202</v>
      </c>
      <c r="J80" s="6">
        <v>0.5</v>
      </c>
      <c r="K80" s="6">
        <v>1.5</v>
      </c>
      <c r="L80" s="6">
        <v>0.75</v>
      </c>
      <c r="M80" s="6">
        <v>78.941999999999993</v>
      </c>
      <c r="N80" s="6">
        <v>59.207000000000001</v>
      </c>
      <c r="O80" s="8"/>
      <c r="P80" s="8"/>
      <c r="Q80" s="8"/>
      <c r="R80" s="8"/>
      <c r="S80" s="6">
        <v>80</v>
      </c>
      <c r="T80" s="6" t="s">
        <v>293</v>
      </c>
      <c r="U80" s="8"/>
    </row>
    <row r="81" spans="1:21" ht="13.5" customHeight="1" x14ac:dyDescent="0.2">
      <c r="A81" s="6" t="s">
        <v>169</v>
      </c>
      <c r="B81" s="6" t="s">
        <v>170</v>
      </c>
      <c r="C81" s="6" t="s">
        <v>75</v>
      </c>
      <c r="D81" s="6">
        <v>1</v>
      </c>
      <c r="E81" s="8"/>
      <c r="F81" s="6" t="s">
        <v>264</v>
      </c>
      <c r="G81" s="6" t="s">
        <v>239</v>
      </c>
      <c r="H81" s="6" t="s">
        <v>219</v>
      </c>
      <c r="I81" s="6" t="s">
        <v>248</v>
      </c>
      <c r="J81" s="6">
        <v>2</v>
      </c>
      <c r="K81" s="6">
        <v>1</v>
      </c>
      <c r="L81" s="6">
        <v>2</v>
      </c>
      <c r="M81" s="6">
        <v>38.5</v>
      </c>
      <c r="N81" s="6">
        <v>77</v>
      </c>
      <c r="O81" s="8"/>
      <c r="P81" s="8"/>
      <c r="Q81" s="8"/>
      <c r="R81" s="8"/>
      <c r="S81" s="6">
        <v>80</v>
      </c>
      <c r="T81" s="6" t="s">
        <v>265</v>
      </c>
      <c r="U81" s="8"/>
    </row>
    <row r="82" spans="1:21" ht="13.5" customHeight="1" x14ac:dyDescent="0.2">
      <c r="A82" s="6" t="s">
        <v>169</v>
      </c>
      <c r="B82" s="6" t="s">
        <v>170</v>
      </c>
      <c r="C82" s="6" t="s">
        <v>75</v>
      </c>
      <c r="D82" s="6">
        <v>1</v>
      </c>
      <c r="E82" s="8"/>
      <c r="F82" s="6" t="s">
        <v>246</v>
      </c>
      <c r="G82" s="6" t="s">
        <v>218</v>
      </c>
      <c r="H82" s="6" t="s">
        <v>219</v>
      </c>
      <c r="I82" s="6" t="s">
        <v>248</v>
      </c>
      <c r="J82" s="6">
        <v>0.25</v>
      </c>
      <c r="K82" s="6">
        <v>1.5</v>
      </c>
      <c r="L82" s="6">
        <v>0.375</v>
      </c>
      <c r="M82" s="6">
        <v>62.5</v>
      </c>
      <c r="N82" s="6">
        <v>23.437999999999999</v>
      </c>
      <c r="O82" s="8"/>
      <c r="P82" s="8"/>
      <c r="Q82" s="8"/>
      <c r="R82" s="8"/>
      <c r="S82" s="6">
        <v>80</v>
      </c>
      <c r="T82" s="6" t="s">
        <v>288</v>
      </c>
      <c r="U82" s="8">
        <v>0.4</v>
      </c>
    </row>
    <row r="83" spans="1:21" ht="13.5" customHeight="1" x14ac:dyDescent="0.2">
      <c r="A83" s="6" t="s">
        <v>169</v>
      </c>
      <c r="B83" s="6" t="s">
        <v>170</v>
      </c>
      <c r="C83" s="6" t="s">
        <v>75</v>
      </c>
      <c r="D83" s="6">
        <v>1</v>
      </c>
      <c r="E83" s="8"/>
      <c r="F83" s="6" t="s">
        <v>286</v>
      </c>
      <c r="G83" s="6" t="s">
        <v>239</v>
      </c>
      <c r="H83" s="6" t="s">
        <v>219</v>
      </c>
      <c r="I83" s="6" t="s">
        <v>202</v>
      </c>
      <c r="J83" s="6">
        <v>3</v>
      </c>
      <c r="K83" s="6">
        <v>1.5</v>
      </c>
      <c r="L83" s="6">
        <v>4.5</v>
      </c>
      <c r="M83" s="6">
        <v>22.72</v>
      </c>
      <c r="N83" s="6">
        <v>102.24</v>
      </c>
      <c r="O83" s="8"/>
      <c r="P83" s="8"/>
      <c r="Q83" s="8"/>
      <c r="R83" s="8"/>
      <c r="S83" s="6">
        <v>80</v>
      </c>
      <c r="T83" s="6" t="s">
        <v>287</v>
      </c>
      <c r="U83" s="8"/>
    </row>
    <row r="84" spans="1:21" ht="13.5" customHeight="1" x14ac:dyDescent="0.2">
      <c r="A84" s="6" t="s">
        <v>169</v>
      </c>
      <c r="B84" s="6" t="s">
        <v>170</v>
      </c>
      <c r="C84" s="6" t="s">
        <v>75</v>
      </c>
      <c r="D84" s="6">
        <v>1</v>
      </c>
      <c r="E84" s="8"/>
      <c r="F84" s="6" t="s">
        <v>294</v>
      </c>
      <c r="G84" s="6" t="s">
        <v>215</v>
      </c>
      <c r="H84" s="6" t="s">
        <v>181</v>
      </c>
      <c r="I84" s="6" t="s">
        <v>182</v>
      </c>
      <c r="J84" s="6">
        <v>1.5</v>
      </c>
      <c r="K84" s="6">
        <v>1</v>
      </c>
      <c r="L84" s="6">
        <v>1.5</v>
      </c>
      <c r="M84" s="6">
        <v>65</v>
      </c>
      <c r="N84" s="6">
        <v>97.5</v>
      </c>
      <c r="O84" s="8"/>
      <c r="P84" s="8"/>
      <c r="Q84" s="8"/>
      <c r="R84" s="8"/>
      <c r="S84" s="6">
        <v>100</v>
      </c>
      <c r="T84" s="6" t="s">
        <v>34</v>
      </c>
      <c r="U84" s="8"/>
    </row>
    <row r="85" spans="1:21" ht="13.5" customHeight="1" x14ac:dyDescent="0.2">
      <c r="A85" s="6" t="s">
        <v>169</v>
      </c>
      <c r="B85" s="6" t="s">
        <v>170</v>
      </c>
      <c r="C85" s="6" t="s">
        <v>75</v>
      </c>
      <c r="D85" s="6">
        <v>1</v>
      </c>
      <c r="E85" s="8"/>
      <c r="F85" s="6" t="s">
        <v>230</v>
      </c>
      <c r="G85" s="6" t="s">
        <v>231</v>
      </c>
      <c r="H85" s="6" t="s">
        <v>219</v>
      </c>
      <c r="I85" s="6" t="s">
        <v>226</v>
      </c>
      <c r="J85" s="6">
        <v>0.04</v>
      </c>
      <c r="K85" s="6">
        <v>1.5</v>
      </c>
      <c r="L85" s="6">
        <v>0.06</v>
      </c>
      <c r="M85" s="6">
        <v>53.2</v>
      </c>
      <c r="N85" s="6">
        <v>3.1920000000000002</v>
      </c>
      <c r="O85" s="8"/>
      <c r="P85" s="8"/>
      <c r="Q85" s="8"/>
      <c r="R85" s="8"/>
      <c r="S85" s="6">
        <v>100</v>
      </c>
      <c r="T85" s="6" t="s">
        <v>272</v>
      </c>
      <c r="U85" s="8"/>
    </row>
    <row r="86" spans="1:21" ht="13.5" customHeight="1" x14ac:dyDescent="0.2">
      <c r="A86" s="6" t="s">
        <v>169</v>
      </c>
      <c r="B86" s="6" t="s">
        <v>170</v>
      </c>
      <c r="C86" s="6" t="s">
        <v>75</v>
      </c>
      <c r="D86" s="6">
        <v>1</v>
      </c>
      <c r="E86" s="8"/>
      <c r="F86" s="6" t="s">
        <v>241</v>
      </c>
      <c r="G86" s="6" t="s">
        <v>218</v>
      </c>
      <c r="H86" s="6" t="s">
        <v>219</v>
      </c>
      <c r="I86" s="6" t="s">
        <v>226</v>
      </c>
      <c r="J86" s="6">
        <v>0.2</v>
      </c>
      <c r="K86" s="6">
        <v>1.5</v>
      </c>
      <c r="L86" s="6">
        <v>0.3</v>
      </c>
      <c r="M86" s="6">
        <v>101.78</v>
      </c>
      <c r="N86" s="6">
        <v>30.533999999999999</v>
      </c>
      <c r="O86" s="8"/>
      <c r="P86" s="8"/>
      <c r="Q86" s="8"/>
      <c r="R86" s="8"/>
      <c r="S86" s="6">
        <v>100</v>
      </c>
      <c r="T86" s="6" t="s">
        <v>283</v>
      </c>
      <c r="U86" s="8"/>
    </row>
    <row r="87" spans="1:21" ht="13.5" customHeight="1" x14ac:dyDescent="0.2">
      <c r="A87" s="6" t="s">
        <v>169</v>
      </c>
      <c r="B87" s="6" t="s">
        <v>170</v>
      </c>
      <c r="C87" s="6" t="s">
        <v>75</v>
      </c>
      <c r="D87" s="6">
        <v>1</v>
      </c>
      <c r="E87" s="8"/>
      <c r="F87" s="6" t="s">
        <v>276</v>
      </c>
      <c r="G87" s="6" t="s">
        <v>218</v>
      </c>
      <c r="H87" s="6" t="s">
        <v>219</v>
      </c>
      <c r="I87" s="6" t="s">
        <v>248</v>
      </c>
      <c r="J87" s="6">
        <v>0.2</v>
      </c>
      <c r="K87" s="6">
        <v>1.5</v>
      </c>
      <c r="L87" s="6">
        <v>0.3</v>
      </c>
      <c r="M87" s="6">
        <v>93</v>
      </c>
      <c r="N87" s="6">
        <v>27.9</v>
      </c>
      <c r="O87" s="8"/>
      <c r="P87" s="8"/>
      <c r="Q87" s="8"/>
      <c r="R87" s="8"/>
      <c r="S87" s="6">
        <v>100</v>
      </c>
      <c r="T87" s="6" t="s">
        <v>277</v>
      </c>
      <c r="U87" s="8"/>
    </row>
    <row r="88" spans="1:21" ht="13.5" customHeight="1" x14ac:dyDescent="0.2">
      <c r="A88" s="6" t="s">
        <v>169</v>
      </c>
      <c r="B88" s="6" t="s">
        <v>170</v>
      </c>
      <c r="C88" s="6" t="s">
        <v>75</v>
      </c>
      <c r="D88" s="6">
        <v>1</v>
      </c>
      <c r="E88" s="8"/>
      <c r="F88" s="6" t="s">
        <v>295</v>
      </c>
      <c r="G88" s="6" t="s">
        <v>244</v>
      </c>
      <c r="H88" s="6" t="s">
        <v>219</v>
      </c>
      <c r="I88" s="6" t="s">
        <v>220</v>
      </c>
      <c r="J88" s="6">
        <v>0.5</v>
      </c>
      <c r="K88" s="6">
        <v>1.5</v>
      </c>
      <c r="L88" s="6">
        <v>0.75</v>
      </c>
      <c r="M88" s="6">
        <v>77.31</v>
      </c>
      <c r="N88" s="6">
        <v>57.982999999999997</v>
      </c>
      <c r="O88" s="8"/>
      <c r="P88" s="8"/>
      <c r="Q88" s="8"/>
      <c r="R88" s="8"/>
      <c r="S88" s="6">
        <v>100</v>
      </c>
      <c r="T88" s="6" t="s">
        <v>296</v>
      </c>
      <c r="U88" s="8"/>
    </row>
    <row r="89" spans="1:21" ht="13.5" customHeight="1" x14ac:dyDescent="0.2">
      <c r="A89" s="6" t="s">
        <v>169</v>
      </c>
      <c r="B89" s="6" t="s">
        <v>170</v>
      </c>
      <c r="C89" s="6" t="s">
        <v>75</v>
      </c>
      <c r="D89" s="6">
        <v>1</v>
      </c>
      <c r="E89" s="8"/>
      <c r="F89" s="6" t="s">
        <v>286</v>
      </c>
      <c r="G89" s="6" t="s">
        <v>239</v>
      </c>
      <c r="H89" s="6" t="s">
        <v>219</v>
      </c>
      <c r="I89" s="6" t="s">
        <v>226</v>
      </c>
      <c r="J89" s="6">
        <v>3</v>
      </c>
      <c r="K89" s="6">
        <v>1.5</v>
      </c>
      <c r="L89" s="6">
        <v>4.5</v>
      </c>
      <c r="M89" s="6">
        <v>22.72</v>
      </c>
      <c r="N89" s="6">
        <v>102.24</v>
      </c>
      <c r="O89" s="8"/>
      <c r="P89" s="8"/>
      <c r="Q89" s="8"/>
      <c r="R89" s="8"/>
      <c r="S89" s="6">
        <v>100</v>
      </c>
      <c r="T89" s="6" t="s">
        <v>287</v>
      </c>
      <c r="U89" s="8">
        <v>0.4</v>
      </c>
    </row>
    <row r="90" spans="1:21" ht="13.5" customHeight="1" x14ac:dyDescent="0.2">
      <c r="A90" s="6" t="s">
        <v>169</v>
      </c>
      <c r="B90" s="6" t="s">
        <v>170</v>
      </c>
      <c r="C90" s="6" t="s">
        <v>75</v>
      </c>
      <c r="D90" s="6">
        <v>1</v>
      </c>
      <c r="E90" s="8"/>
      <c r="F90" s="6" t="s">
        <v>297</v>
      </c>
      <c r="G90" s="6" t="s">
        <v>188</v>
      </c>
      <c r="H90" s="6" t="s">
        <v>181</v>
      </c>
      <c r="I90" s="6" t="s">
        <v>182</v>
      </c>
      <c r="J90" s="6">
        <v>1.5</v>
      </c>
      <c r="K90" s="6">
        <v>1</v>
      </c>
      <c r="L90" s="6">
        <v>1.5</v>
      </c>
      <c r="M90" s="6">
        <v>60</v>
      </c>
      <c r="N90" s="6">
        <v>90</v>
      </c>
      <c r="O90" s="8"/>
      <c r="P90" s="8"/>
      <c r="Q90" s="8"/>
      <c r="R90" s="8"/>
      <c r="S90" s="6">
        <v>105</v>
      </c>
      <c r="T90" s="6" t="s">
        <v>213</v>
      </c>
      <c r="U90" s="8">
        <v>5</v>
      </c>
    </row>
    <row r="91" spans="1:21" ht="13.5" customHeight="1" x14ac:dyDescent="0.2">
      <c r="A91" s="6" t="s">
        <v>169</v>
      </c>
      <c r="B91" s="6" t="s">
        <v>170</v>
      </c>
      <c r="C91" s="6" t="s">
        <v>75</v>
      </c>
      <c r="D91" s="6">
        <v>1</v>
      </c>
      <c r="E91" s="8"/>
      <c r="F91" s="6" t="s">
        <v>298</v>
      </c>
      <c r="G91" s="6" t="s">
        <v>215</v>
      </c>
      <c r="H91" s="6" t="s">
        <v>181</v>
      </c>
      <c r="I91" s="6" t="s">
        <v>182</v>
      </c>
      <c r="J91" s="6">
        <v>1.5</v>
      </c>
      <c r="K91" s="6">
        <v>1</v>
      </c>
      <c r="L91" s="6">
        <v>1.5</v>
      </c>
      <c r="M91" s="6">
        <v>65</v>
      </c>
      <c r="N91" s="6">
        <v>97.5</v>
      </c>
      <c r="O91" s="8"/>
      <c r="P91" s="8"/>
      <c r="Q91" s="8"/>
      <c r="R91" s="8"/>
      <c r="S91" s="6">
        <v>120</v>
      </c>
      <c r="T91" s="6" t="s">
        <v>34</v>
      </c>
      <c r="U91" s="8"/>
    </row>
    <row r="92" spans="1:21" ht="13.5" customHeight="1" x14ac:dyDescent="0.2">
      <c r="A92" s="6" t="s">
        <v>169</v>
      </c>
      <c r="B92" s="6" t="s">
        <v>170</v>
      </c>
      <c r="C92" s="6" t="s">
        <v>75</v>
      </c>
      <c r="D92" s="6">
        <v>1</v>
      </c>
      <c r="E92" s="8"/>
      <c r="F92" s="6" t="s">
        <v>230</v>
      </c>
      <c r="G92" s="6" t="s">
        <v>231</v>
      </c>
      <c r="H92" s="6" t="s">
        <v>219</v>
      </c>
      <c r="I92" s="6" t="s">
        <v>220</v>
      </c>
      <c r="J92" s="6">
        <v>0.04</v>
      </c>
      <c r="K92" s="6">
        <v>1.5</v>
      </c>
      <c r="L92" s="6">
        <v>0.06</v>
      </c>
      <c r="M92" s="6">
        <v>53.2</v>
      </c>
      <c r="N92" s="6">
        <v>3.1920000000000002</v>
      </c>
      <c r="O92" s="8"/>
      <c r="P92" s="8"/>
      <c r="Q92" s="8"/>
      <c r="R92" s="8"/>
      <c r="S92" s="6">
        <v>120</v>
      </c>
      <c r="T92" s="6" t="s">
        <v>272</v>
      </c>
      <c r="U92" s="8"/>
    </row>
    <row r="93" spans="1:21" ht="13.5" customHeight="1" x14ac:dyDescent="0.2">
      <c r="A93" s="6" t="s">
        <v>169</v>
      </c>
      <c r="B93" s="6" t="s">
        <v>170</v>
      </c>
      <c r="C93" s="6" t="s">
        <v>75</v>
      </c>
      <c r="D93" s="6">
        <v>1</v>
      </c>
      <c r="E93" s="8"/>
      <c r="F93" s="6" t="s">
        <v>255</v>
      </c>
      <c r="G93" s="6" t="s">
        <v>218</v>
      </c>
      <c r="H93" s="6" t="s">
        <v>219</v>
      </c>
      <c r="I93" s="6" t="s">
        <v>220</v>
      </c>
      <c r="J93" s="6">
        <v>0.5</v>
      </c>
      <c r="K93" s="6">
        <v>1.5</v>
      </c>
      <c r="L93" s="6">
        <v>0.75</v>
      </c>
      <c r="M93" s="6">
        <v>40</v>
      </c>
      <c r="N93" s="6">
        <v>30</v>
      </c>
      <c r="O93" s="8"/>
      <c r="P93" s="8"/>
      <c r="Q93" s="8"/>
      <c r="R93" s="8"/>
      <c r="S93" s="6">
        <v>120</v>
      </c>
      <c r="T93" s="6" t="s">
        <v>291</v>
      </c>
      <c r="U93" s="8"/>
    </row>
    <row r="94" spans="1:21" ht="13.5" customHeight="1" x14ac:dyDescent="0.2">
      <c r="A94" s="6" t="s">
        <v>169</v>
      </c>
      <c r="B94" s="6" t="s">
        <v>170</v>
      </c>
      <c r="C94" s="6" t="s">
        <v>75</v>
      </c>
      <c r="D94" s="6">
        <v>1</v>
      </c>
      <c r="E94" s="8"/>
      <c r="F94" s="6" t="s">
        <v>246</v>
      </c>
      <c r="G94" s="6" t="s">
        <v>218</v>
      </c>
      <c r="H94" s="6" t="s">
        <v>219</v>
      </c>
      <c r="I94" s="6" t="s">
        <v>220</v>
      </c>
      <c r="J94" s="6">
        <v>0.25</v>
      </c>
      <c r="K94" s="6">
        <v>1.5</v>
      </c>
      <c r="L94" s="6">
        <v>0.375</v>
      </c>
      <c r="M94" s="6">
        <v>62.5</v>
      </c>
      <c r="N94" s="6">
        <v>23.437999999999999</v>
      </c>
      <c r="O94" s="8"/>
      <c r="P94" s="8"/>
      <c r="Q94" s="8"/>
      <c r="R94" s="8"/>
      <c r="S94" s="6">
        <v>120</v>
      </c>
      <c r="T94" s="6" t="s">
        <v>288</v>
      </c>
      <c r="U94" s="8"/>
    </row>
    <row r="95" spans="1:21" ht="13.5" customHeight="1" x14ac:dyDescent="0.2">
      <c r="A95" s="6" t="s">
        <v>169</v>
      </c>
      <c r="B95" s="6" t="s">
        <v>170</v>
      </c>
      <c r="C95" s="6" t="s">
        <v>75</v>
      </c>
      <c r="D95" s="6">
        <v>1</v>
      </c>
      <c r="E95" s="8"/>
      <c r="F95" s="6" t="s">
        <v>292</v>
      </c>
      <c r="G95" s="6" t="s">
        <v>239</v>
      </c>
      <c r="H95" s="6" t="s">
        <v>219</v>
      </c>
      <c r="I95" s="6" t="s">
        <v>226</v>
      </c>
      <c r="J95" s="6">
        <v>0.5</v>
      </c>
      <c r="K95" s="6">
        <v>1.5</v>
      </c>
      <c r="L95" s="6">
        <v>0.75</v>
      </c>
      <c r="M95" s="6">
        <v>78.941999999999993</v>
      </c>
      <c r="N95" s="6">
        <v>59.207000000000001</v>
      </c>
      <c r="O95" s="8"/>
      <c r="P95" s="8"/>
      <c r="Q95" s="8"/>
      <c r="R95" s="8"/>
      <c r="S95" s="6">
        <v>120</v>
      </c>
      <c r="T95" s="6" t="s">
        <v>293</v>
      </c>
      <c r="U95" s="8">
        <v>0.4</v>
      </c>
    </row>
    <row r="96" spans="1:21" ht="13.5" customHeight="1" x14ac:dyDescent="0.2">
      <c r="A96" s="6" t="s">
        <v>169</v>
      </c>
      <c r="B96" s="6" t="s">
        <v>170</v>
      </c>
      <c r="C96" s="6" t="s">
        <v>75</v>
      </c>
      <c r="D96" s="6">
        <v>1</v>
      </c>
      <c r="E96" s="8"/>
      <c r="F96" s="6" t="s">
        <v>299</v>
      </c>
      <c r="G96" s="6" t="s">
        <v>188</v>
      </c>
      <c r="H96" s="6" t="s">
        <v>181</v>
      </c>
      <c r="I96" s="6" t="s">
        <v>182</v>
      </c>
      <c r="J96" s="6">
        <v>1.5</v>
      </c>
      <c r="K96" s="6">
        <v>1</v>
      </c>
      <c r="L96" s="6">
        <v>1.5</v>
      </c>
      <c r="M96" s="6">
        <v>60</v>
      </c>
      <c r="N96" s="6">
        <v>90</v>
      </c>
      <c r="O96" s="8"/>
      <c r="P96" s="8"/>
      <c r="Q96" s="8"/>
      <c r="R96" s="8"/>
      <c r="S96" s="6">
        <v>135</v>
      </c>
      <c r="T96" s="6" t="s">
        <v>213</v>
      </c>
      <c r="U96" s="8"/>
    </row>
    <row r="97" spans="1:21" ht="13.5" customHeight="1" x14ac:dyDescent="0.2">
      <c r="A97" s="6" t="s">
        <v>169</v>
      </c>
      <c r="B97" s="6" t="s">
        <v>170</v>
      </c>
      <c r="C97" s="6" t="s">
        <v>75</v>
      </c>
      <c r="D97" s="6">
        <v>1</v>
      </c>
      <c r="E97" s="8"/>
      <c r="F97" s="6" t="s">
        <v>300</v>
      </c>
      <c r="G97" s="6" t="s">
        <v>215</v>
      </c>
      <c r="H97" s="6" t="s">
        <v>181</v>
      </c>
      <c r="I97" s="6" t="s">
        <v>182</v>
      </c>
      <c r="J97" s="6">
        <v>1.5</v>
      </c>
      <c r="K97" s="6">
        <v>1</v>
      </c>
      <c r="L97" s="6">
        <v>1.5</v>
      </c>
      <c r="M97" s="6">
        <v>65</v>
      </c>
      <c r="N97" s="6">
        <v>97.5</v>
      </c>
      <c r="O97" s="8"/>
      <c r="P97" s="8"/>
      <c r="Q97" s="8"/>
      <c r="R97" s="8"/>
      <c r="S97" s="6">
        <v>150</v>
      </c>
      <c r="T97" s="6" t="s">
        <v>34</v>
      </c>
      <c r="U97" s="8"/>
    </row>
    <row r="98" spans="1:21" ht="13.5" customHeight="1" x14ac:dyDescent="0.2">
      <c r="A98" s="6" t="s">
        <v>169</v>
      </c>
      <c r="B98" s="6" t="s">
        <v>170</v>
      </c>
      <c r="C98" s="6" t="s">
        <v>75</v>
      </c>
      <c r="D98" s="6">
        <v>1</v>
      </c>
      <c r="E98" s="8"/>
      <c r="F98" s="6" t="s">
        <v>230</v>
      </c>
      <c r="G98" s="6" t="s">
        <v>231</v>
      </c>
      <c r="H98" s="6" t="s">
        <v>219</v>
      </c>
      <c r="I98" s="6" t="s">
        <v>220</v>
      </c>
      <c r="J98" s="6">
        <v>0.04</v>
      </c>
      <c r="K98" s="6">
        <v>1.5</v>
      </c>
      <c r="L98" s="6">
        <v>0.06</v>
      </c>
      <c r="M98" s="6">
        <v>53.2</v>
      </c>
      <c r="N98" s="6">
        <v>3.1920000000000002</v>
      </c>
      <c r="O98" s="8"/>
      <c r="P98" s="8"/>
      <c r="Q98" s="8"/>
      <c r="R98" s="8"/>
      <c r="S98" s="6">
        <v>150</v>
      </c>
      <c r="T98" s="6" t="s">
        <v>272</v>
      </c>
      <c r="U98" s="8"/>
    </row>
    <row r="99" spans="1:21" ht="13.5" customHeight="1" x14ac:dyDescent="0.2">
      <c r="A99" s="6" t="s">
        <v>169</v>
      </c>
      <c r="B99" s="6" t="s">
        <v>170</v>
      </c>
      <c r="C99" s="6" t="s">
        <v>75</v>
      </c>
      <c r="D99" s="6">
        <v>1</v>
      </c>
      <c r="E99" s="8"/>
      <c r="F99" s="6" t="s">
        <v>241</v>
      </c>
      <c r="G99" s="6" t="s">
        <v>218</v>
      </c>
      <c r="H99" s="6" t="s">
        <v>219</v>
      </c>
      <c r="I99" s="6" t="s">
        <v>256</v>
      </c>
      <c r="J99" s="6">
        <v>0.2</v>
      </c>
      <c r="K99" s="6">
        <v>1.5</v>
      </c>
      <c r="L99" s="6">
        <v>0.3</v>
      </c>
      <c r="M99" s="6">
        <v>101.78</v>
      </c>
      <c r="N99" s="6">
        <v>30.533999999999999</v>
      </c>
      <c r="O99" s="8"/>
      <c r="P99" s="8"/>
      <c r="Q99" s="8"/>
      <c r="R99" s="8"/>
      <c r="S99" s="6">
        <v>150</v>
      </c>
      <c r="T99" s="6" t="s">
        <v>283</v>
      </c>
      <c r="U99" s="8"/>
    </row>
    <row r="100" spans="1:21" ht="13.5" customHeight="1" x14ac:dyDescent="0.2">
      <c r="A100" s="6" t="s">
        <v>169</v>
      </c>
      <c r="B100" s="6" t="s">
        <v>170</v>
      </c>
      <c r="C100" s="6" t="s">
        <v>75</v>
      </c>
      <c r="D100" s="6">
        <v>1</v>
      </c>
      <c r="E100" s="8"/>
      <c r="F100" s="6" t="s">
        <v>276</v>
      </c>
      <c r="G100" s="6" t="s">
        <v>218</v>
      </c>
      <c r="H100" s="6" t="s">
        <v>219</v>
      </c>
      <c r="I100" s="6" t="s">
        <v>220</v>
      </c>
      <c r="J100" s="6">
        <v>0.25</v>
      </c>
      <c r="K100" s="6">
        <v>1.5</v>
      </c>
      <c r="L100" s="6">
        <v>0.375</v>
      </c>
      <c r="M100" s="6">
        <v>93</v>
      </c>
      <c r="N100" s="6">
        <v>34.875</v>
      </c>
      <c r="O100" s="8"/>
      <c r="P100" s="8"/>
      <c r="Q100" s="8"/>
      <c r="R100" s="8"/>
      <c r="S100" s="6">
        <v>150</v>
      </c>
      <c r="T100" s="6" t="s">
        <v>301</v>
      </c>
      <c r="U100" s="8">
        <v>0.4</v>
      </c>
    </row>
    <row r="101" spans="1:21" ht="13.5" customHeight="1" x14ac:dyDescent="0.2">
      <c r="A101" s="6" t="s">
        <v>169</v>
      </c>
      <c r="B101" s="6" t="s">
        <v>170</v>
      </c>
      <c r="C101" s="6" t="s">
        <v>75</v>
      </c>
      <c r="D101" s="6">
        <v>1</v>
      </c>
      <c r="E101" s="8"/>
      <c r="F101" s="6" t="s">
        <v>286</v>
      </c>
      <c r="G101" s="6" t="s">
        <v>239</v>
      </c>
      <c r="H101" s="6" t="s">
        <v>219</v>
      </c>
      <c r="I101" s="6" t="s">
        <v>256</v>
      </c>
      <c r="J101" s="6">
        <v>3</v>
      </c>
      <c r="K101" s="6">
        <v>1.5</v>
      </c>
      <c r="L101" s="6">
        <v>4.5</v>
      </c>
      <c r="M101" s="6">
        <v>22.72</v>
      </c>
      <c r="N101" s="6">
        <v>102.24</v>
      </c>
      <c r="O101" s="8"/>
      <c r="P101" s="8"/>
      <c r="Q101" s="8"/>
      <c r="R101" s="8"/>
      <c r="S101" s="6">
        <v>150</v>
      </c>
      <c r="T101" s="6" t="s">
        <v>287</v>
      </c>
      <c r="U101" s="8"/>
    </row>
    <row r="102" spans="1:21" ht="13.5" customHeight="1" x14ac:dyDescent="0.2">
      <c r="A102" s="6" t="s">
        <v>169</v>
      </c>
      <c r="B102" s="6" t="s">
        <v>170</v>
      </c>
      <c r="C102" s="6" t="s">
        <v>75</v>
      </c>
      <c r="D102" s="6">
        <v>1</v>
      </c>
      <c r="E102" s="8"/>
      <c r="F102" s="6" t="s">
        <v>302</v>
      </c>
      <c r="G102" s="6" t="s">
        <v>215</v>
      </c>
      <c r="H102" s="6" t="s">
        <v>181</v>
      </c>
      <c r="I102" s="6" t="s">
        <v>182</v>
      </c>
      <c r="J102" s="6">
        <v>1.5</v>
      </c>
      <c r="K102" s="6">
        <v>1</v>
      </c>
      <c r="L102" s="6">
        <v>1.5</v>
      </c>
      <c r="M102" s="6">
        <v>65</v>
      </c>
      <c r="N102" s="6">
        <v>97.5</v>
      </c>
      <c r="O102" s="8"/>
      <c r="P102" s="8"/>
      <c r="Q102" s="8"/>
      <c r="R102" s="8"/>
      <c r="S102" s="6">
        <v>180</v>
      </c>
      <c r="T102" s="6" t="s">
        <v>34</v>
      </c>
      <c r="U102" s="8"/>
    </row>
    <row r="103" spans="1:21" ht="13.5" customHeight="1" x14ac:dyDescent="0.2">
      <c r="A103" s="6" t="s">
        <v>169</v>
      </c>
      <c r="B103" s="6" t="s">
        <v>170</v>
      </c>
      <c r="C103" s="6" t="s">
        <v>75</v>
      </c>
      <c r="D103" s="6">
        <v>1</v>
      </c>
      <c r="E103" s="8"/>
      <c r="F103" s="6" t="s">
        <v>230</v>
      </c>
      <c r="G103" s="6" t="s">
        <v>231</v>
      </c>
      <c r="H103" s="6" t="s">
        <v>219</v>
      </c>
      <c r="I103" s="6" t="s">
        <v>220</v>
      </c>
      <c r="J103" s="6">
        <v>0.04</v>
      </c>
      <c r="K103" s="6">
        <v>1.5</v>
      </c>
      <c r="L103" s="6">
        <v>0.06</v>
      </c>
      <c r="M103" s="6">
        <v>53.2</v>
      </c>
      <c r="N103" s="6">
        <v>3.1920000000000002</v>
      </c>
      <c r="O103" s="8"/>
      <c r="P103" s="8"/>
      <c r="Q103" s="8"/>
      <c r="R103" s="8"/>
      <c r="S103" s="6">
        <v>180</v>
      </c>
      <c r="T103" s="6" t="s">
        <v>272</v>
      </c>
      <c r="U103" s="8"/>
    </row>
    <row r="104" spans="1:21" ht="13.5" customHeight="1" x14ac:dyDescent="0.2">
      <c r="A104" s="6" t="s">
        <v>169</v>
      </c>
      <c r="B104" s="6" t="s">
        <v>170</v>
      </c>
      <c r="C104" s="6" t="s">
        <v>75</v>
      </c>
      <c r="D104" s="6">
        <v>1</v>
      </c>
      <c r="E104" s="8"/>
      <c r="F104" s="6" t="s">
        <v>286</v>
      </c>
      <c r="G104" s="6" t="s">
        <v>239</v>
      </c>
      <c r="H104" s="6" t="s">
        <v>219</v>
      </c>
      <c r="I104" s="6" t="s">
        <v>226</v>
      </c>
      <c r="J104" s="6">
        <v>3</v>
      </c>
      <c r="K104" s="6">
        <v>1.5</v>
      </c>
      <c r="L104" s="6">
        <v>4.5</v>
      </c>
      <c r="M104" s="6">
        <v>22.72</v>
      </c>
      <c r="N104" s="6">
        <v>102.24</v>
      </c>
      <c r="O104" s="8"/>
      <c r="P104" s="8"/>
      <c r="Q104" s="8"/>
      <c r="R104" s="8"/>
      <c r="S104" s="6">
        <v>180</v>
      </c>
      <c r="T104" s="6" t="s">
        <v>287</v>
      </c>
      <c r="U104" s="8"/>
    </row>
    <row r="105" spans="1:21" ht="13.5" customHeight="1" x14ac:dyDescent="0.2">
      <c r="A105" s="6" t="s">
        <v>169</v>
      </c>
      <c r="B105" s="6" t="s">
        <v>170</v>
      </c>
      <c r="C105" s="6" t="s">
        <v>75</v>
      </c>
      <c r="D105" s="6">
        <v>1</v>
      </c>
      <c r="E105" s="8"/>
      <c r="F105" s="6" t="s">
        <v>276</v>
      </c>
      <c r="G105" s="6" t="s">
        <v>218</v>
      </c>
      <c r="H105" s="6" t="s">
        <v>219</v>
      </c>
      <c r="I105" s="6" t="s">
        <v>226</v>
      </c>
      <c r="J105" s="6">
        <v>0.25</v>
      </c>
      <c r="K105" s="6">
        <v>1.5</v>
      </c>
      <c r="L105" s="6">
        <v>0.375</v>
      </c>
      <c r="M105" s="6">
        <v>93</v>
      </c>
      <c r="N105" s="6">
        <v>34.875</v>
      </c>
      <c r="O105" s="8"/>
      <c r="P105" s="8"/>
      <c r="Q105" s="8"/>
      <c r="R105" s="8"/>
      <c r="S105" s="6">
        <v>180</v>
      </c>
      <c r="T105" s="6" t="s">
        <v>301</v>
      </c>
      <c r="U105" s="8"/>
    </row>
    <row r="106" spans="1:21" ht="13.5" customHeight="1" x14ac:dyDescent="0.2">
      <c r="A106" s="6" t="s">
        <v>169</v>
      </c>
      <c r="B106" s="6" t="s">
        <v>170</v>
      </c>
      <c r="C106" s="6" t="s">
        <v>75</v>
      </c>
      <c r="D106" s="6">
        <v>1</v>
      </c>
      <c r="E106" s="8"/>
      <c r="F106" s="6" t="s">
        <v>299</v>
      </c>
      <c r="G106" s="6" t="s">
        <v>188</v>
      </c>
      <c r="H106" s="6" t="s">
        <v>181</v>
      </c>
      <c r="I106" s="6" t="s">
        <v>182</v>
      </c>
      <c r="J106" s="6">
        <v>1.5</v>
      </c>
      <c r="K106" s="6">
        <v>1</v>
      </c>
      <c r="L106" s="6">
        <v>1.5</v>
      </c>
      <c r="M106" s="6">
        <v>60</v>
      </c>
      <c r="N106" s="6">
        <v>90</v>
      </c>
      <c r="O106" s="8"/>
      <c r="P106" s="8"/>
      <c r="Q106" s="8"/>
      <c r="R106" s="8"/>
      <c r="S106" s="6">
        <v>135</v>
      </c>
      <c r="T106" s="6" t="s">
        <v>213</v>
      </c>
      <c r="U106" s="8">
        <v>0.4</v>
      </c>
    </row>
    <row r="107" spans="1:21" ht="13.5" customHeight="1" x14ac:dyDescent="0.2">
      <c r="A107" s="6" t="s">
        <v>169</v>
      </c>
      <c r="B107" s="6" t="s">
        <v>170</v>
      </c>
      <c r="C107" s="6" t="s">
        <v>75</v>
      </c>
      <c r="D107" s="6">
        <v>1</v>
      </c>
      <c r="E107" s="8"/>
      <c r="F107" s="6" t="s">
        <v>303</v>
      </c>
      <c r="G107" s="6" t="s">
        <v>188</v>
      </c>
      <c r="H107" s="6" t="s">
        <v>181</v>
      </c>
      <c r="I107" s="6" t="s">
        <v>182</v>
      </c>
      <c r="J107" s="6">
        <v>1.5</v>
      </c>
      <c r="K107" s="6">
        <v>1</v>
      </c>
      <c r="L107" s="6">
        <v>1.5</v>
      </c>
      <c r="M107" s="6">
        <v>60</v>
      </c>
      <c r="N107" s="6">
        <v>90</v>
      </c>
      <c r="O107" s="8"/>
      <c r="P107" s="8"/>
      <c r="Q107" s="8"/>
      <c r="R107" s="8"/>
      <c r="S107" s="6">
        <v>165</v>
      </c>
      <c r="T107" s="6" t="s">
        <v>213</v>
      </c>
      <c r="U107" s="8"/>
    </row>
    <row r="108" spans="1:21" ht="13.5" customHeight="1" x14ac:dyDescent="0.2">
      <c r="A108" s="6" t="s">
        <v>169</v>
      </c>
      <c r="B108" s="6" t="s">
        <v>170</v>
      </c>
      <c r="C108" s="6" t="s">
        <v>75</v>
      </c>
      <c r="D108" s="6">
        <v>1</v>
      </c>
      <c r="E108" s="8"/>
      <c r="F108" s="6" t="s">
        <v>304</v>
      </c>
      <c r="G108" s="6" t="s">
        <v>215</v>
      </c>
      <c r="H108" s="6" t="s">
        <v>181</v>
      </c>
      <c r="I108" s="6" t="s">
        <v>182</v>
      </c>
      <c r="J108" s="6">
        <v>1.5</v>
      </c>
      <c r="K108" s="6">
        <v>1</v>
      </c>
      <c r="L108" s="6">
        <v>1.5</v>
      </c>
      <c r="M108" s="6">
        <v>65</v>
      </c>
      <c r="N108" s="6">
        <v>97.5</v>
      </c>
      <c r="O108" s="8"/>
      <c r="P108" s="8"/>
      <c r="Q108" s="8"/>
      <c r="R108" s="8"/>
      <c r="S108" s="6">
        <v>210</v>
      </c>
      <c r="T108" s="6" t="s">
        <v>34</v>
      </c>
      <c r="U108" s="8"/>
    </row>
    <row r="109" spans="1:21" ht="13.5" customHeight="1" x14ac:dyDescent="0.2">
      <c r="A109" s="6" t="s">
        <v>169</v>
      </c>
      <c r="B109" s="6" t="s">
        <v>170</v>
      </c>
      <c r="C109" s="6" t="s">
        <v>75</v>
      </c>
      <c r="D109" s="6">
        <v>1</v>
      </c>
      <c r="E109" s="8"/>
      <c r="F109" s="6" t="s">
        <v>230</v>
      </c>
      <c r="G109" s="6" t="s">
        <v>231</v>
      </c>
      <c r="H109" s="6" t="s">
        <v>219</v>
      </c>
      <c r="I109" s="6" t="s">
        <v>248</v>
      </c>
      <c r="J109" s="6">
        <v>0.04</v>
      </c>
      <c r="K109" s="6">
        <v>1.5</v>
      </c>
      <c r="L109" s="6">
        <v>0.06</v>
      </c>
      <c r="M109" s="6">
        <v>53.2</v>
      </c>
      <c r="N109" s="6">
        <v>3.1920000000000002</v>
      </c>
      <c r="O109" s="8"/>
      <c r="P109" s="8"/>
      <c r="Q109" s="8"/>
      <c r="R109" s="8"/>
      <c r="S109" s="6">
        <v>210</v>
      </c>
      <c r="T109" s="6" t="s">
        <v>272</v>
      </c>
      <c r="U109" s="8"/>
    </row>
    <row r="110" spans="1:21" ht="13.5" customHeight="1" x14ac:dyDescent="0.2">
      <c r="A110" s="6" t="s">
        <v>169</v>
      </c>
      <c r="B110" s="6" t="s">
        <v>170</v>
      </c>
      <c r="C110" s="6" t="s">
        <v>75</v>
      </c>
      <c r="D110" s="6">
        <v>1</v>
      </c>
      <c r="E110" s="8"/>
      <c r="F110" s="6" t="s">
        <v>286</v>
      </c>
      <c r="G110" s="6" t="s">
        <v>239</v>
      </c>
      <c r="H110" s="6" t="s">
        <v>219</v>
      </c>
      <c r="I110" s="6" t="s">
        <v>226</v>
      </c>
      <c r="J110" s="6">
        <v>3</v>
      </c>
      <c r="K110" s="6">
        <v>1.5</v>
      </c>
      <c r="L110" s="6">
        <v>4.5</v>
      </c>
      <c r="M110" s="6">
        <v>22.72</v>
      </c>
      <c r="N110" s="6">
        <v>102.24</v>
      </c>
      <c r="O110" s="8"/>
      <c r="P110" s="8"/>
      <c r="Q110" s="8"/>
      <c r="R110" s="8"/>
      <c r="S110" s="6">
        <v>210</v>
      </c>
      <c r="T110" s="6" t="s">
        <v>287</v>
      </c>
      <c r="U110" s="8">
        <v>0.4</v>
      </c>
    </row>
    <row r="111" spans="1:21" ht="13.5" customHeight="1" x14ac:dyDescent="0.2">
      <c r="A111" s="6" t="s">
        <v>169</v>
      </c>
      <c r="B111" s="6" t="s">
        <v>170</v>
      </c>
      <c r="C111" s="6" t="s">
        <v>75</v>
      </c>
      <c r="D111" s="6">
        <v>1</v>
      </c>
      <c r="E111" s="8"/>
      <c r="F111" s="6" t="s">
        <v>246</v>
      </c>
      <c r="G111" s="6" t="s">
        <v>218</v>
      </c>
      <c r="H111" s="6" t="s">
        <v>219</v>
      </c>
      <c r="I111" s="6" t="s">
        <v>248</v>
      </c>
      <c r="J111" s="6">
        <v>0.25</v>
      </c>
      <c r="K111" s="6">
        <v>1.5</v>
      </c>
      <c r="L111" s="6">
        <v>0.375</v>
      </c>
      <c r="M111" s="6">
        <v>62.5</v>
      </c>
      <c r="N111" s="6">
        <v>23.437999999999999</v>
      </c>
      <c r="O111" s="8"/>
      <c r="P111" s="8"/>
      <c r="Q111" s="8"/>
      <c r="R111" s="8"/>
      <c r="S111" s="6">
        <v>210</v>
      </c>
      <c r="T111" s="6" t="s">
        <v>288</v>
      </c>
      <c r="U111" s="8"/>
    </row>
    <row r="112" spans="1:21" ht="13.5" customHeight="1" x14ac:dyDescent="0.2">
      <c r="A112" s="6" t="s">
        <v>169</v>
      </c>
      <c r="B112" s="6" t="s">
        <v>170</v>
      </c>
      <c r="C112" s="6" t="s">
        <v>75</v>
      </c>
      <c r="D112" s="6">
        <v>1</v>
      </c>
      <c r="E112" s="8"/>
      <c r="F112" s="6" t="s">
        <v>305</v>
      </c>
      <c r="G112" s="6" t="s">
        <v>215</v>
      </c>
      <c r="H112" s="6" t="s">
        <v>181</v>
      </c>
      <c r="I112" s="6" t="s">
        <v>182</v>
      </c>
      <c r="J112" s="6">
        <v>1.5</v>
      </c>
      <c r="K112" s="6">
        <v>1</v>
      </c>
      <c r="L112" s="6">
        <v>1.5</v>
      </c>
      <c r="M112" s="6">
        <v>65</v>
      </c>
      <c r="N112" s="6">
        <v>97.5</v>
      </c>
      <c r="O112" s="8"/>
      <c r="P112" s="8"/>
      <c r="Q112" s="8"/>
      <c r="R112" s="8"/>
      <c r="S112" s="6">
        <v>230</v>
      </c>
      <c r="T112" s="6" t="s">
        <v>34</v>
      </c>
      <c r="U112" s="8"/>
    </row>
    <row r="113" spans="1:21" ht="13.5" customHeight="1" x14ac:dyDescent="0.2">
      <c r="A113" s="6" t="s">
        <v>169</v>
      </c>
      <c r="B113" s="6" t="s">
        <v>170</v>
      </c>
      <c r="C113" s="6" t="s">
        <v>75</v>
      </c>
      <c r="D113" s="6">
        <v>1</v>
      </c>
      <c r="E113" s="8"/>
      <c r="F113" s="6" t="s">
        <v>230</v>
      </c>
      <c r="G113" s="6" t="s">
        <v>231</v>
      </c>
      <c r="H113" s="6" t="s">
        <v>219</v>
      </c>
      <c r="I113" s="6" t="s">
        <v>220</v>
      </c>
      <c r="J113" s="6">
        <v>0.04</v>
      </c>
      <c r="K113" s="6">
        <v>1.5</v>
      </c>
      <c r="L113" s="6">
        <v>0.06</v>
      </c>
      <c r="M113" s="6">
        <v>53.2</v>
      </c>
      <c r="N113" s="6">
        <v>3.1920000000000002</v>
      </c>
      <c r="O113" s="8"/>
      <c r="P113" s="8"/>
      <c r="Q113" s="8"/>
      <c r="R113" s="8"/>
      <c r="S113" s="6">
        <v>230</v>
      </c>
      <c r="T113" s="6" t="s">
        <v>272</v>
      </c>
      <c r="U113" s="8"/>
    </row>
    <row r="114" spans="1:21" ht="13.5" customHeight="1" x14ac:dyDescent="0.2">
      <c r="A114" s="6" t="s">
        <v>169</v>
      </c>
      <c r="B114" s="6" t="s">
        <v>170</v>
      </c>
      <c r="C114" s="6" t="s">
        <v>75</v>
      </c>
      <c r="D114" s="6">
        <v>1</v>
      </c>
      <c r="E114" s="8"/>
      <c r="F114" s="6" t="s">
        <v>286</v>
      </c>
      <c r="G114" s="6" t="s">
        <v>239</v>
      </c>
      <c r="H114" s="6" t="s">
        <v>219</v>
      </c>
      <c r="I114" s="6" t="s">
        <v>226</v>
      </c>
      <c r="J114" s="6">
        <v>3</v>
      </c>
      <c r="K114" s="6">
        <v>1.5</v>
      </c>
      <c r="L114" s="6">
        <v>4.5</v>
      </c>
      <c r="M114" s="6">
        <v>22.72</v>
      </c>
      <c r="N114" s="6">
        <v>102.24</v>
      </c>
      <c r="O114" s="8"/>
      <c r="P114" s="8"/>
      <c r="Q114" s="8"/>
      <c r="R114" s="8"/>
      <c r="S114" s="6">
        <v>230</v>
      </c>
      <c r="T114" s="6" t="s">
        <v>287</v>
      </c>
      <c r="U114" s="8"/>
    </row>
    <row r="115" spans="1:21" ht="13.5" customHeight="1" x14ac:dyDescent="0.2">
      <c r="A115" s="6" t="s">
        <v>169</v>
      </c>
      <c r="B115" s="6" t="s">
        <v>170</v>
      </c>
      <c r="C115" s="6" t="s">
        <v>75</v>
      </c>
      <c r="D115" s="6">
        <v>1</v>
      </c>
      <c r="E115" s="8"/>
      <c r="F115" s="6" t="s">
        <v>276</v>
      </c>
      <c r="G115" s="6" t="s">
        <v>218</v>
      </c>
      <c r="H115" s="6" t="s">
        <v>219</v>
      </c>
      <c r="I115" s="6" t="s">
        <v>220</v>
      </c>
      <c r="J115" s="6">
        <v>0.25</v>
      </c>
      <c r="K115" s="6">
        <v>1.5</v>
      </c>
      <c r="L115" s="6">
        <v>0.375</v>
      </c>
      <c r="M115" s="6">
        <v>93</v>
      </c>
      <c r="N115" s="6">
        <v>34.875</v>
      </c>
      <c r="O115" s="8"/>
      <c r="P115" s="8"/>
      <c r="Q115" s="8"/>
      <c r="R115" s="8"/>
      <c r="S115" s="6">
        <v>230</v>
      </c>
      <c r="T115" s="6" t="s">
        <v>301</v>
      </c>
      <c r="U115" s="8"/>
    </row>
    <row r="116" spans="1:21" ht="12.75" customHeight="1" x14ac:dyDescent="0.2">
      <c r="A116" s="6" t="s">
        <v>169</v>
      </c>
      <c r="B116" s="6" t="s">
        <v>170</v>
      </c>
      <c r="C116" s="6" t="s">
        <v>75</v>
      </c>
      <c r="D116" s="6">
        <v>1</v>
      </c>
      <c r="E116" s="8"/>
      <c r="F116" s="6" t="s">
        <v>306</v>
      </c>
      <c r="G116" s="6" t="s">
        <v>307</v>
      </c>
      <c r="H116" s="6" t="s">
        <v>181</v>
      </c>
      <c r="I116" s="6" t="s">
        <v>182</v>
      </c>
      <c r="J116" s="6">
        <v>8</v>
      </c>
      <c r="K116" s="6">
        <v>1</v>
      </c>
      <c r="L116" s="6">
        <v>8</v>
      </c>
      <c r="M116" s="6">
        <v>70</v>
      </c>
      <c r="N116" s="6">
        <v>560</v>
      </c>
      <c r="O116" s="8"/>
      <c r="P116" s="8"/>
      <c r="Q116" s="8"/>
      <c r="R116" s="8"/>
      <c r="S116" s="6">
        <v>240</v>
      </c>
      <c r="T116" s="6" t="s">
        <v>308</v>
      </c>
      <c r="U116" s="8"/>
    </row>
    <row r="117" spans="1:21" ht="12.75" customHeight="1" x14ac:dyDescent="0.2">
      <c r="A117" s="6" t="s">
        <v>169</v>
      </c>
      <c r="B117" s="6" t="s">
        <v>170</v>
      </c>
      <c r="C117" s="6" t="s">
        <v>75</v>
      </c>
      <c r="D117" s="6">
        <v>1</v>
      </c>
      <c r="E117" s="8"/>
      <c r="F117" s="6" t="s">
        <v>309</v>
      </c>
      <c r="G117" s="6" t="s">
        <v>307</v>
      </c>
      <c r="H117" s="6" t="s">
        <v>181</v>
      </c>
      <c r="I117" s="6" t="s">
        <v>182</v>
      </c>
      <c r="J117" s="6">
        <v>155</v>
      </c>
      <c r="K117" s="6">
        <v>1</v>
      </c>
      <c r="L117" s="6">
        <v>155</v>
      </c>
      <c r="M117" s="6">
        <v>5</v>
      </c>
      <c r="N117" s="6">
        <v>775</v>
      </c>
      <c r="O117" s="8"/>
      <c r="P117" s="8"/>
      <c r="Q117" s="8"/>
      <c r="R117" s="8"/>
      <c r="S117" s="6">
        <v>240</v>
      </c>
      <c r="T117" s="6" t="s">
        <v>310</v>
      </c>
      <c r="U117" s="8"/>
    </row>
    <row r="118" spans="1:21" ht="12.75" customHeight="1" x14ac:dyDescent="0.2">
      <c r="A118" s="6" t="s">
        <v>169</v>
      </c>
      <c r="B118" s="6" t="s">
        <v>170</v>
      </c>
      <c r="C118" s="6" t="s">
        <v>75</v>
      </c>
      <c r="D118" s="6">
        <v>1</v>
      </c>
      <c r="E118" s="8"/>
      <c r="F118" s="6" t="s">
        <v>311</v>
      </c>
      <c r="G118" s="6" t="s">
        <v>312</v>
      </c>
      <c r="H118" s="6" t="s">
        <v>178</v>
      </c>
      <c r="I118" s="6" t="s">
        <v>313</v>
      </c>
      <c r="J118" s="6">
        <v>1</v>
      </c>
      <c r="K118" s="6">
        <v>1</v>
      </c>
      <c r="L118" s="6">
        <v>1</v>
      </c>
      <c r="M118" s="6">
        <v>500</v>
      </c>
      <c r="N118" s="6">
        <v>500</v>
      </c>
      <c r="O118" s="8"/>
      <c r="P118" s="8"/>
      <c r="Q118" s="8"/>
      <c r="R118" s="8"/>
      <c r="S118" s="6">
        <v>240</v>
      </c>
      <c r="T118" s="6" t="s">
        <v>314</v>
      </c>
      <c r="U118" s="8"/>
    </row>
    <row r="119" spans="1:21" ht="13.5" customHeight="1" x14ac:dyDescent="0.2">
      <c r="A119" s="6" t="s">
        <v>169</v>
      </c>
      <c r="B119" s="6" t="s">
        <v>170</v>
      </c>
      <c r="C119" s="6" t="s">
        <v>75</v>
      </c>
      <c r="D119" s="6">
        <v>1</v>
      </c>
      <c r="E119" s="8"/>
      <c r="F119" s="6" t="s">
        <v>315</v>
      </c>
      <c r="G119" s="6" t="s">
        <v>307</v>
      </c>
      <c r="H119" s="6" t="s">
        <v>316</v>
      </c>
      <c r="I119" s="6" t="s">
        <v>182</v>
      </c>
      <c r="J119" s="8"/>
      <c r="K119" s="8"/>
      <c r="L119" s="6">
        <v>420</v>
      </c>
      <c r="M119" s="6">
        <v>0.75</v>
      </c>
      <c r="N119" s="6">
        <v>315</v>
      </c>
      <c r="O119" s="8"/>
      <c r="P119" s="8"/>
      <c r="Q119" s="8"/>
      <c r="R119" s="8"/>
      <c r="S119" s="6">
        <v>240</v>
      </c>
      <c r="T119" s="6" t="s">
        <v>317</v>
      </c>
      <c r="U119" s="8"/>
    </row>
    <row r="120" spans="1:21" ht="12.75" customHeight="1" x14ac:dyDescent="0.2">
      <c r="A120" s="6" t="s">
        <v>169</v>
      </c>
      <c r="B120" s="6" t="s">
        <v>318</v>
      </c>
      <c r="C120" s="6" t="s">
        <v>75</v>
      </c>
      <c r="D120" s="6">
        <v>1</v>
      </c>
      <c r="E120" s="6" t="s">
        <v>319</v>
      </c>
      <c r="F120" s="6" t="s">
        <v>22</v>
      </c>
      <c r="G120" s="6" t="s">
        <v>22</v>
      </c>
      <c r="H120" s="6" t="s">
        <v>172</v>
      </c>
      <c r="I120" s="6" t="s">
        <v>173</v>
      </c>
      <c r="J120" s="8"/>
      <c r="K120" s="8"/>
      <c r="L120" s="6">
        <v>1</v>
      </c>
      <c r="M120" s="6">
        <v>8000</v>
      </c>
      <c r="N120" s="6">
        <v>8000</v>
      </c>
      <c r="O120" s="8"/>
      <c r="P120" s="8"/>
      <c r="Q120" s="8"/>
      <c r="R120" s="8"/>
      <c r="S120" s="9">
        <v>-30</v>
      </c>
      <c r="T120" s="6" t="s">
        <v>174</v>
      </c>
      <c r="U120" s="8"/>
    </row>
    <row r="121" spans="1:21" ht="12.75" customHeight="1" x14ac:dyDescent="0.2">
      <c r="A121" s="6" t="s">
        <v>169</v>
      </c>
      <c r="B121" s="6" t="s">
        <v>318</v>
      </c>
      <c r="C121" s="6" t="s">
        <v>75</v>
      </c>
      <c r="D121" s="6">
        <v>1</v>
      </c>
      <c r="E121" s="8"/>
      <c r="F121" s="6" t="s">
        <v>320</v>
      </c>
      <c r="G121" s="6" t="s">
        <v>33</v>
      </c>
      <c r="H121" s="6" t="s">
        <v>172</v>
      </c>
      <c r="I121" s="6" t="s">
        <v>173</v>
      </c>
      <c r="J121" s="8"/>
      <c r="K121" s="8"/>
      <c r="L121" s="6">
        <v>1</v>
      </c>
      <c r="M121" s="6">
        <v>97.5</v>
      </c>
      <c r="N121" s="6">
        <v>97.5</v>
      </c>
      <c r="O121" s="8"/>
      <c r="P121" s="8"/>
      <c r="Q121" s="8"/>
      <c r="R121" s="8"/>
      <c r="S121" s="6">
        <v>-30</v>
      </c>
      <c r="T121" s="6" t="s">
        <v>34</v>
      </c>
      <c r="U121" s="8"/>
    </row>
    <row r="122" spans="1:21" ht="12.75" customHeight="1" x14ac:dyDescent="0.2">
      <c r="A122" s="6" t="s">
        <v>169</v>
      </c>
      <c r="B122" s="6" t="s">
        <v>318</v>
      </c>
      <c r="C122" s="6" t="s">
        <v>75</v>
      </c>
      <c r="D122" s="6">
        <v>1</v>
      </c>
      <c r="E122" s="8"/>
      <c r="F122" s="6" t="s">
        <v>321</v>
      </c>
      <c r="G122" s="6" t="s">
        <v>26</v>
      </c>
      <c r="H122" s="6" t="s">
        <v>172</v>
      </c>
      <c r="I122" s="6" t="s">
        <v>173</v>
      </c>
      <c r="J122" s="8"/>
      <c r="K122" s="8"/>
      <c r="L122" s="6">
        <v>1</v>
      </c>
      <c r="M122" s="6">
        <v>150</v>
      </c>
      <c r="N122" s="6">
        <v>150</v>
      </c>
      <c r="O122" s="8"/>
      <c r="P122" s="8"/>
      <c r="Q122" s="8"/>
      <c r="R122" s="8"/>
      <c r="S122" s="6">
        <v>-25</v>
      </c>
      <c r="T122" s="6" t="s">
        <v>66</v>
      </c>
      <c r="U122" s="8"/>
    </row>
    <row r="123" spans="1:21" ht="12.75" customHeight="1" x14ac:dyDescent="0.2">
      <c r="A123" s="6" t="s">
        <v>169</v>
      </c>
      <c r="B123" s="6" t="s">
        <v>318</v>
      </c>
      <c r="C123" s="6" t="s">
        <v>75</v>
      </c>
      <c r="D123" s="6">
        <v>1</v>
      </c>
      <c r="E123" s="8"/>
      <c r="F123" s="6" t="s">
        <v>322</v>
      </c>
      <c r="G123" s="6" t="s">
        <v>188</v>
      </c>
      <c r="H123" s="6" t="s">
        <v>181</v>
      </c>
      <c r="I123" s="6" t="s">
        <v>182</v>
      </c>
      <c r="J123" s="8"/>
      <c r="K123" s="8"/>
      <c r="L123" s="6">
        <v>0.5</v>
      </c>
      <c r="M123" s="6">
        <v>55</v>
      </c>
      <c r="N123" s="6">
        <v>27.5</v>
      </c>
      <c r="O123" s="8"/>
      <c r="P123" s="8"/>
      <c r="Q123" s="8"/>
      <c r="R123" s="8"/>
      <c r="S123" s="6">
        <v>-24</v>
      </c>
      <c r="T123" s="6" t="s">
        <v>209</v>
      </c>
      <c r="U123" s="8"/>
    </row>
    <row r="124" spans="1:21" ht="12.75" customHeight="1" x14ac:dyDescent="0.2">
      <c r="A124" s="6" t="s">
        <v>169</v>
      </c>
      <c r="B124" s="6" t="s">
        <v>318</v>
      </c>
      <c r="C124" s="6" t="s">
        <v>75</v>
      </c>
      <c r="D124" s="6">
        <v>1</v>
      </c>
      <c r="E124" s="8"/>
      <c r="F124" s="6" t="s">
        <v>192</v>
      </c>
      <c r="G124" s="6" t="s">
        <v>188</v>
      </c>
      <c r="H124" s="6" t="s">
        <v>181</v>
      </c>
      <c r="I124" s="6" t="s">
        <v>182</v>
      </c>
      <c r="J124" s="8"/>
      <c r="K124" s="8"/>
      <c r="L124" s="6">
        <v>0.5</v>
      </c>
      <c r="M124" s="6">
        <v>55</v>
      </c>
      <c r="N124" s="6">
        <v>27.5</v>
      </c>
      <c r="O124" s="8"/>
      <c r="P124" s="8"/>
      <c r="Q124" s="8"/>
      <c r="R124" s="8"/>
      <c r="S124" s="6">
        <v>-24</v>
      </c>
      <c r="T124" s="6" t="s">
        <v>209</v>
      </c>
      <c r="U124" s="8"/>
    </row>
    <row r="125" spans="1:21" ht="12.75" customHeight="1" x14ac:dyDescent="0.2">
      <c r="A125" s="6" t="s">
        <v>169</v>
      </c>
      <c r="B125" s="6" t="s">
        <v>318</v>
      </c>
      <c r="C125" s="6" t="s">
        <v>75</v>
      </c>
      <c r="D125" s="6">
        <v>1</v>
      </c>
      <c r="E125" s="8"/>
      <c r="F125" s="6" t="s">
        <v>323</v>
      </c>
      <c r="G125" s="6" t="s">
        <v>188</v>
      </c>
      <c r="H125" s="6" t="s">
        <v>181</v>
      </c>
      <c r="I125" s="6" t="s">
        <v>182</v>
      </c>
      <c r="J125" s="8"/>
      <c r="K125" s="8"/>
      <c r="L125" s="6">
        <v>2</v>
      </c>
      <c r="M125" s="6">
        <v>55</v>
      </c>
      <c r="N125" s="6">
        <v>110</v>
      </c>
      <c r="O125" s="8"/>
      <c r="P125" s="8"/>
      <c r="Q125" s="8"/>
      <c r="R125" s="8"/>
      <c r="S125" s="6">
        <v>-11</v>
      </c>
      <c r="T125" s="6" t="s">
        <v>324</v>
      </c>
      <c r="U125" s="8"/>
    </row>
    <row r="126" spans="1:21" ht="12.75" customHeight="1" x14ac:dyDescent="0.2">
      <c r="A126" s="6" t="s">
        <v>169</v>
      </c>
      <c r="B126" s="6" t="s">
        <v>318</v>
      </c>
      <c r="C126" s="6" t="s">
        <v>75</v>
      </c>
      <c r="D126" s="6">
        <v>1</v>
      </c>
      <c r="E126" s="8"/>
      <c r="F126" s="6" t="s">
        <v>325</v>
      </c>
      <c r="G126" s="6" t="s">
        <v>36</v>
      </c>
      <c r="H126" s="6" t="s">
        <v>172</v>
      </c>
      <c r="I126" s="6" t="s">
        <v>173</v>
      </c>
      <c r="J126" s="8"/>
      <c r="K126" s="8"/>
      <c r="L126" s="6">
        <v>0.5</v>
      </c>
      <c r="M126" s="6">
        <v>2600</v>
      </c>
      <c r="N126" s="6">
        <v>1300</v>
      </c>
      <c r="O126" s="8"/>
      <c r="P126" s="8"/>
      <c r="Q126" s="8"/>
      <c r="R126" s="8"/>
      <c r="S126" s="6">
        <v>-7</v>
      </c>
      <c r="T126" s="6" t="s">
        <v>198</v>
      </c>
      <c r="U126" s="8"/>
    </row>
    <row r="127" spans="1:21" ht="12.75" customHeight="1" x14ac:dyDescent="0.2">
      <c r="A127" s="6" t="s">
        <v>169</v>
      </c>
      <c r="B127" s="6" t="s">
        <v>318</v>
      </c>
      <c r="C127" s="6" t="s">
        <v>75</v>
      </c>
      <c r="D127" s="6">
        <v>1</v>
      </c>
      <c r="E127" s="8"/>
      <c r="F127" s="6" t="s">
        <v>26</v>
      </c>
      <c r="G127" s="6" t="s">
        <v>26</v>
      </c>
      <c r="H127" s="6" t="s">
        <v>172</v>
      </c>
      <c r="I127" s="6" t="s">
        <v>173</v>
      </c>
      <c r="J127" s="8"/>
      <c r="K127" s="8"/>
      <c r="L127" s="6">
        <v>1</v>
      </c>
      <c r="M127" s="6">
        <v>750</v>
      </c>
      <c r="N127" s="6">
        <v>750</v>
      </c>
      <c r="O127" s="8"/>
      <c r="P127" s="8"/>
      <c r="Q127" s="8"/>
      <c r="R127" s="8"/>
      <c r="S127" s="6">
        <v>-5</v>
      </c>
      <c r="T127" s="6" t="s">
        <v>58</v>
      </c>
      <c r="U127" s="8"/>
    </row>
    <row r="128" spans="1:21" ht="12.75" customHeight="1" x14ac:dyDescent="0.2">
      <c r="A128" s="6" t="s">
        <v>169</v>
      </c>
      <c r="B128" s="6" t="s">
        <v>318</v>
      </c>
      <c r="C128" s="6" t="s">
        <v>75</v>
      </c>
      <c r="D128" s="6">
        <v>1</v>
      </c>
      <c r="E128" s="8"/>
      <c r="F128" s="6" t="s">
        <v>326</v>
      </c>
      <c r="G128" s="6" t="s">
        <v>26</v>
      </c>
      <c r="H128" s="6" t="s">
        <v>181</v>
      </c>
      <c r="I128" s="6" t="s">
        <v>173</v>
      </c>
      <c r="J128" s="8"/>
      <c r="K128" s="8"/>
      <c r="L128" s="6">
        <v>1</v>
      </c>
      <c r="M128" s="6">
        <v>0</v>
      </c>
      <c r="N128" s="6">
        <v>0</v>
      </c>
      <c r="O128" s="8"/>
      <c r="P128" s="8"/>
      <c r="Q128" s="8"/>
      <c r="R128" s="8"/>
      <c r="S128" s="6">
        <v>-5</v>
      </c>
      <c r="T128" s="6" t="s">
        <v>88</v>
      </c>
      <c r="U128" s="8"/>
    </row>
    <row r="129" spans="1:21" ht="12.75" customHeight="1" x14ac:dyDescent="0.2">
      <c r="A129" s="6" t="s">
        <v>169</v>
      </c>
      <c r="B129" s="6" t="s">
        <v>318</v>
      </c>
      <c r="C129" s="6" t="s">
        <v>75</v>
      </c>
      <c r="D129" s="6">
        <v>1</v>
      </c>
      <c r="E129" s="8"/>
      <c r="F129" s="6" t="s">
        <v>327</v>
      </c>
      <c r="G129" s="6" t="s">
        <v>26</v>
      </c>
      <c r="H129" s="6" t="s">
        <v>181</v>
      </c>
      <c r="I129" s="6" t="s">
        <v>173</v>
      </c>
      <c r="J129" s="8"/>
      <c r="K129" s="8"/>
      <c r="L129" s="6">
        <v>1</v>
      </c>
      <c r="M129" s="6">
        <v>0</v>
      </c>
      <c r="N129" s="6">
        <v>0</v>
      </c>
      <c r="O129" s="8"/>
      <c r="P129" s="8"/>
      <c r="Q129" s="8"/>
      <c r="R129" s="8"/>
      <c r="S129" s="6">
        <v>-5</v>
      </c>
      <c r="T129" s="6" t="s">
        <v>88</v>
      </c>
      <c r="U129" s="8"/>
    </row>
    <row r="130" spans="1:21" ht="13.5" customHeight="1" x14ac:dyDescent="0.2">
      <c r="A130" s="6" t="s">
        <v>169</v>
      </c>
      <c r="B130" s="6" t="s">
        <v>318</v>
      </c>
      <c r="C130" s="6" t="s">
        <v>75</v>
      </c>
      <c r="D130" s="6">
        <v>1</v>
      </c>
      <c r="E130" s="8"/>
      <c r="F130" s="6" t="s">
        <v>328</v>
      </c>
      <c r="G130" s="6" t="s">
        <v>26</v>
      </c>
      <c r="H130" s="6" t="s">
        <v>181</v>
      </c>
      <c r="I130" s="6" t="s">
        <v>173</v>
      </c>
      <c r="J130" s="8"/>
      <c r="K130" s="8"/>
      <c r="L130" s="6">
        <v>1</v>
      </c>
      <c r="M130" s="6">
        <v>0</v>
      </c>
      <c r="N130" s="6">
        <v>0</v>
      </c>
      <c r="O130" s="8"/>
      <c r="P130" s="8"/>
      <c r="Q130" s="8"/>
      <c r="R130" s="8"/>
      <c r="S130" s="6">
        <v>-5</v>
      </c>
      <c r="T130" s="6" t="s">
        <v>88</v>
      </c>
      <c r="U130" s="8"/>
    </row>
    <row r="131" spans="1:21" ht="12.75" customHeight="1" x14ac:dyDescent="0.2">
      <c r="A131" s="6" t="s">
        <v>169</v>
      </c>
      <c r="B131" s="6" t="s">
        <v>318</v>
      </c>
      <c r="C131" s="6" t="s">
        <v>75</v>
      </c>
      <c r="D131" s="6">
        <v>1</v>
      </c>
      <c r="E131" s="8"/>
      <c r="F131" s="6" t="s">
        <v>63</v>
      </c>
      <c r="G131" s="6" t="s">
        <v>26</v>
      </c>
      <c r="H131" s="6" t="s">
        <v>172</v>
      </c>
      <c r="I131" s="6" t="s">
        <v>173</v>
      </c>
      <c r="J131" s="8"/>
      <c r="K131" s="8"/>
      <c r="L131" s="6">
        <v>1</v>
      </c>
      <c r="M131" s="6">
        <v>0</v>
      </c>
      <c r="N131" s="6">
        <v>0</v>
      </c>
      <c r="O131" s="8"/>
      <c r="P131" s="8"/>
      <c r="Q131" s="8"/>
      <c r="R131" s="8"/>
      <c r="S131" s="6">
        <v>-5</v>
      </c>
      <c r="T131" s="6" t="s">
        <v>88</v>
      </c>
      <c r="U131" s="8"/>
    </row>
    <row r="132" spans="1:21" ht="12.75" customHeight="1" x14ac:dyDescent="0.2">
      <c r="A132" s="6" t="s">
        <v>169</v>
      </c>
      <c r="B132" s="6" t="s">
        <v>318</v>
      </c>
      <c r="C132" s="6" t="s">
        <v>75</v>
      </c>
      <c r="D132" s="6">
        <v>1</v>
      </c>
      <c r="E132" s="8"/>
      <c r="F132" s="6" t="s">
        <v>177</v>
      </c>
      <c r="G132" s="6" t="s">
        <v>26</v>
      </c>
      <c r="H132" s="6" t="s">
        <v>181</v>
      </c>
      <c r="I132" s="6" t="s">
        <v>182</v>
      </c>
      <c r="J132" s="8"/>
      <c r="K132" s="8"/>
      <c r="L132" s="6">
        <v>1</v>
      </c>
      <c r="M132" s="6">
        <v>9.8000000000000007</v>
      </c>
      <c r="N132" s="6">
        <v>9.8000000000000007</v>
      </c>
      <c r="O132" s="8"/>
      <c r="P132" s="8"/>
      <c r="Q132" s="8"/>
      <c r="R132" s="8"/>
      <c r="S132" s="9">
        <v>-5</v>
      </c>
      <c r="T132" s="6" t="s">
        <v>179</v>
      </c>
      <c r="U132" s="8"/>
    </row>
    <row r="133" spans="1:21" ht="12.75" customHeight="1" x14ac:dyDescent="0.2">
      <c r="A133" s="6" t="s">
        <v>169</v>
      </c>
      <c r="B133" s="6" t="s">
        <v>318</v>
      </c>
      <c r="C133" s="6" t="s">
        <v>75</v>
      </c>
      <c r="D133" s="6">
        <v>1</v>
      </c>
      <c r="E133" s="8"/>
      <c r="F133" s="6" t="s">
        <v>322</v>
      </c>
      <c r="G133" s="6" t="s">
        <v>188</v>
      </c>
      <c r="H133" s="6" t="s">
        <v>181</v>
      </c>
      <c r="I133" s="6" t="s">
        <v>182</v>
      </c>
      <c r="J133" s="8"/>
      <c r="K133" s="8"/>
      <c r="L133" s="6">
        <v>0.5</v>
      </c>
      <c r="M133" s="6">
        <v>9.8000000000000007</v>
      </c>
      <c r="N133" s="6">
        <v>4.9000000000000004</v>
      </c>
      <c r="O133" s="8"/>
      <c r="P133" s="8"/>
      <c r="Q133" s="8"/>
      <c r="R133" s="8"/>
      <c r="S133" s="9">
        <v>-5</v>
      </c>
      <c r="T133" s="6" t="s">
        <v>329</v>
      </c>
      <c r="U133" s="8"/>
    </row>
    <row r="134" spans="1:21" ht="12.75" customHeight="1" x14ac:dyDescent="0.2">
      <c r="A134" s="6" t="s">
        <v>169</v>
      </c>
      <c r="B134" s="6" t="s">
        <v>318</v>
      </c>
      <c r="C134" s="6" t="s">
        <v>75</v>
      </c>
      <c r="D134" s="6">
        <v>1</v>
      </c>
      <c r="E134" s="8"/>
      <c r="F134" s="6" t="s">
        <v>330</v>
      </c>
      <c r="G134" s="6" t="s">
        <v>30</v>
      </c>
      <c r="H134" s="6" t="s">
        <v>181</v>
      </c>
      <c r="I134" s="6" t="s">
        <v>173</v>
      </c>
      <c r="J134" s="8"/>
      <c r="K134" s="8"/>
      <c r="L134" s="6">
        <v>1</v>
      </c>
      <c r="M134" s="6">
        <v>500</v>
      </c>
      <c r="N134" s="6">
        <v>500</v>
      </c>
      <c r="O134" s="8"/>
      <c r="P134" s="8"/>
      <c r="Q134" s="8"/>
      <c r="R134" s="8"/>
      <c r="S134" s="6">
        <v>0</v>
      </c>
      <c r="T134" s="6" t="s">
        <v>314</v>
      </c>
      <c r="U134" s="8"/>
    </row>
    <row r="135" spans="1:21" ht="12.75" customHeight="1" x14ac:dyDescent="0.2">
      <c r="A135" s="6" t="s">
        <v>169</v>
      </c>
      <c r="B135" s="6" t="s">
        <v>318</v>
      </c>
      <c r="C135" s="6" t="s">
        <v>75</v>
      </c>
      <c r="D135" s="6">
        <v>1</v>
      </c>
      <c r="E135" s="8"/>
      <c r="F135" s="6" t="s">
        <v>29</v>
      </c>
      <c r="G135" s="6" t="s">
        <v>30</v>
      </c>
      <c r="H135" s="6" t="s">
        <v>181</v>
      </c>
      <c r="I135" s="6" t="s">
        <v>182</v>
      </c>
      <c r="J135" s="8"/>
      <c r="K135" s="8"/>
      <c r="L135" s="6">
        <v>1</v>
      </c>
      <c r="M135" s="6">
        <v>1500</v>
      </c>
      <c r="N135" s="6">
        <v>1500</v>
      </c>
      <c r="O135" s="8"/>
      <c r="P135" s="8"/>
      <c r="Q135" s="8"/>
      <c r="R135" s="8"/>
      <c r="S135" s="6">
        <v>0</v>
      </c>
      <c r="T135" s="6" t="s">
        <v>82</v>
      </c>
      <c r="U135" s="8"/>
    </row>
    <row r="136" spans="1:21" ht="12.75" customHeight="1" x14ac:dyDescent="0.2">
      <c r="A136" s="6" t="s">
        <v>169</v>
      </c>
      <c r="B136" s="6" t="s">
        <v>318</v>
      </c>
      <c r="C136" s="6" t="s">
        <v>75</v>
      </c>
      <c r="D136" s="6">
        <v>1</v>
      </c>
      <c r="E136" s="8"/>
      <c r="F136" s="6" t="s">
        <v>331</v>
      </c>
      <c r="G136" s="6" t="s">
        <v>30</v>
      </c>
      <c r="H136" s="6" t="s">
        <v>181</v>
      </c>
      <c r="I136" s="6" t="s">
        <v>182</v>
      </c>
      <c r="J136" s="8"/>
      <c r="K136" s="8"/>
      <c r="L136" s="6">
        <v>0.7</v>
      </c>
      <c r="M136" s="6">
        <v>55</v>
      </c>
      <c r="N136" s="6">
        <v>38.5</v>
      </c>
      <c r="O136" s="8"/>
      <c r="P136" s="8"/>
      <c r="Q136" s="8"/>
      <c r="R136" s="8"/>
      <c r="S136" s="6">
        <v>0</v>
      </c>
      <c r="T136" s="6" t="s">
        <v>332</v>
      </c>
      <c r="U136" s="8"/>
    </row>
    <row r="137" spans="1:21" ht="12.75" customHeight="1" x14ac:dyDescent="0.2">
      <c r="A137" s="6" t="s">
        <v>169</v>
      </c>
      <c r="B137" s="6" t="s">
        <v>318</v>
      </c>
      <c r="C137" s="6" t="s">
        <v>75</v>
      </c>
      <c r="D137" s="6">
        <v>1</v>
      </c>
      <c r="E137" s="8"/>
      <c r="F137" s="6" t="s">
        <v>333</v>
      </c>
      <c r="G137" s="6" t="s">
        <v>30</v>
      </c>
      <c r="H137" s="6" t="s">
        <v>181</v>
      </c>
      <c r="I137" s="6" t="s">
        <v>182</v>
      </c>
      <c r="J137" s="8"/>
      <c r="K137" s="8"/>
      <c r="L137" s="6">
        <v>1.8</v>
      </c>
      <c r="M137" s="6">
        <v>55</v>
      </c>
      <c r="N137" s="6">
        <v>99</v>
      </c>
      <c r="O137" s="8"/>
      <c r="P137" s="8"/>
      <c r="Q137" s="8"/>
      <c r="R137" s="8"/>
      <c r="S137" s="6">
        <v>0</v>
      </c>
      <c r="T137" s="6" t="s">
        <v>334</v>
      </c>
      <c r="U137" s="8"/>
    </row>
    <row r="138" spans="1:21" ht="12.75" customHeight="1" x14ac:dyDescent="0.2">
      <c r="A138" s="6" t="s">
        <v>169</v>
      </c>
      <c r="B138" s="6" t="s">
        <v>318</v>
      </c>
      <c r="C138" s="6" t="s">
        <v>75</v>
      </c>
      <c r="D138" s="6">
        <v>1</v>
      </c>
      <c r="E138" s="8"/>
      <c r="F138" s="6" t="s">
        <v>335</v>
      </c>
      <c r="G138" s="6" t="s">
        <v>188</v>
      </c>
      <c r="H138" s="6" t="s">
        <v>181</v>
      </c>
      <c r="I138" s="6" t="s">
        <v>182</v>
      </c>
      <c r="J138" s="8"/>
      <c r="K138" s="8"/>
      <c r="L138" s="6">
        <v>0.5</v>
      </c>
      <c r="M138" s="6">
        <v>55</v>
      </c>
      <c r="N138" s="6">
        <v>27.5</v>
      </c>
      <c r="O138" s="8"/>
      <c r="P138" s="8"/>
      <c r="Q138" s="8"/>
      <c r="R138" s="8"/>
      <c r="S138" s="6">
        <v>1</v>
      </c>
      <c r="T138" s="6" t="s">
        <v>209</v>
      </c>
      <c r="U138" s="8"/>
    </row>
    <row r="139" spans="1:21" ht="12.75" customHeight="1" x14ac:dyDescent="0.2">
      <c r="A139" s="6" t="s">
        <v>169</v>
      </c>
      <c r="B139" s="6" t="s">
        <v>318</v>
      </c>
      <c r="C139" s="6" t="s">
        <v>75</v>
      </c>
      <c r="D139" s="6">
        <v>1</v>
      </c>
      <c r="E139" s="8"/>
      <c r="F139" s="6" t="s">
        <v>217</v>
      </c>
      <c r="G139" s="6" t="s">
        <v>218</v>
      </c>
      <c r="H139" s="6" t="s">
        <v>219</v>
      </c>
      <c r="I139" s="6" t="s">
        <v>248</v>
      </c>
      <c r="J139" s="6">
        <v>1.5</v>
      </c>
      <c r="K139" s="6">
        <v>1</v>
      </c>
      <c r="L139" s="6">
        <v>1.5</v>
      </c>
      <c r="M139" s="6">
        <v>225</v>
      </c>
      <c r="N139" s="6">
        <v>337.5</v>
      </c>
      <c r="O139" s="8"/>
      <c r="P139" s="8"/>
      <c r="Q139" s="8"/>
      <c r="R139" s="8"/>
      <c r="S139" s="9">
        <v>1</v>
      </c>
      <c r="T139" s="6" t="s">
        <v>221</v>
      </c>
      <c r="U139" s="8"/>
    </row>
    <row r="140" spans="1:21" ht="12.75" customHeight="1" x14ac:dyDescent="0.2">
      <c r="A140" s="6" t="s">
        <v>169</v>
      </c>
      <c r="B140" s="6" t="s">
        <v>318</v>
      </c>
      <c r="C140" s="6" t="s">
        <v>75</v>
      </c>
      <c r="D140" s="6">
        <v>1</v>
      </c>
      <c r="E140" s="8"/>
      <c r="F140" s="6" t="s">
        <v>222</v>
      </c>
      <c r="G140" s="6" t="s">
        <v>223</v>
      </c>
      <c r="H140" s="6" t="s">
        <v>219</v>
      </c>
      <c r="I140" s="6" t="s">
        <v>248</v>
      </c>
      <c r="J140" s="6">
        <v>20</v>
      </c>
      <c r="K140" s="6">
        <v>1</v>
      </c>
      <c r="L140" s="6">
        <v>10</v>
      </c>
      <c r="M140" s="6">
        <v>13.47</v>
      </c>
      <c r="N140" s="6">
        <v>134.69999999999999</v>
      </c>
      <c r="O140" s="8"/>
      <c r="P140" s="8"/>
      <c r="Q140" s="8"/>
      <c r="R140" s="8"/>
      <c r="S140" s="9">
        <v>1</v>
      </c>
      <c r="T140" s="6" t="s">
        <v>224</v>
      </c>
      <c r="U140" s="8"/>
    </row>
    <row r="141" spans="1:21" ht="12.75" customHeight="1" x14ac:dyDescent="0.2">
      <c r="A141" s="6" t="s">
        <v>169</v>
      </c>
      <c r="B141" s="6" t="s">
        <v>318</v>
      </c>
      <c r="C141" s="6" t="s">
        <v>75</v>
      </c>
      <c r="D141" s="6">
        <v>1</v>
      </c>
      <c r="E141" s="8"/>
      <c r="F141" s="6" t="s">
        <v>336</v>
      </c>
      <c r="G141" s="6" t="s">
        <v>337</v>
      </c>
      <c r="H141" s="6" t="s">
        <v>201</v>
      </c>
      <c r="I141" s="6" t="s">
        <v>226</v>
      </c>
      <c r="J141" s="6">
        <v>25</v>
      </c>
      <c r="K141" s="6">
        <v>1</v>
      </c>
      <c r="L141" s="6">
        <v>10</v>
      </c>
      <c r="M141" s="6">
        <v>4.8099999999999996</v>
      </c>
      <c r="N141" s="6">
        <v>48.1</v>
      </c>
      <c r="O141" s="8"/>
      <c r="P141" s="8"/>
      <c r="Q141" s="8"/>
      <c r="R141" s="8"/>
      <c r="S141" s="9">
        <v>1</v>
      </c>
      <c r="T141" s="6" t="s">
        <v>338</v>
      </c>
      <c r="U141" s="8"/>
    </row>
    <row r="142" spans="1:21" ht="12.75" customHeight="1" x14ac:dyDescent="0.2">
      <c r="A142" s="6" t="s">
        <v>169</v>
      </c>
      <c r="B142" s="6" t="s">
        <v>318</v>
      </c>
      <c r="C142" s="6" t="s">
        <v>75</v>
      </c>
      <c r="D142" s="6">
        <v>1</v>
      </c>
      <c r="E142" s="8"/>
      <c r="F142" s="6" t="s">
        <v>203</v>
      </c>
      <c r="G142" s="6" t="s">
        <v>337</v>
      </c>
      <c r="H142" s="6" t="s">
        <v>201</v>
      </c>
      <c r="I142" s="6" t="s">
        <v>226</v>
      </c>
      <c r="J142" s="6">
        <v>25</v>
      </c>
      <c r="K142" s="6">
        <v>1</v>
      </c>
      <c r="L142" s="6">
        <v>25</v>
      </c>
      <c r="M142" s="6">
        <v>4.88</v>
      </c>
      <c r="N142" s="6">
        <v>122</v>
      </c>
      <c r="O142" s="8"/>
      <c r="P142" s="8"/>
      <c r="Q142" s="8"/>
      <c r="R142" s="8"/>
      <c r="S142" s="9">
        <v>1</v>
      </c>
      <c r="T142" s="6" t="s">
        <v>339</v>
      </c>
      <c r="U142" s="8"/>
    </row>
    <row r="143" spans="1:21" ht="12.75" customHeight="1" x14ac:dyDescent="0.2">
      <c r="A143" s="6" t="s">
        <v>169</v>
      </c>
      <c r="B143" s="6" t="s">
        <v>318</v>
      </c>
      <c r="C143" s="6" t="s">
        <v>75</v>
      </c>
      <c r="D143" s="6">
        <v>1</v>
      </c>
      <c r="E143" s="8"/>
      <c r="F143" s="6" t="s">
        <v>340</v>
      </c>
      <c r="G143" s="6" t="s">
        <v>188</v>
      </c>
      <c r="H143" s="6" t="s">
        <v>181</v>
      </c>
      <c r="I143" s="6" t="s">
        <v>182</v>
      </c>
      <c r="J143" s="8"/>
      <c r="K143" s="8"/>
      <c r="L143" s="6">
        <v>0.5</v>
      </c>
      <c r="M143" s="6">
        <v>9.8000000000000007</v>
      </c>
      <c r="N143" s="6">
        <v>4.9000000000000004</v>
      </c>
      <c r="O143" s="8"/>
      <c r="P143" s="8"/>
      <c r="Q143" s="8"/>
      <c r="R143" s="8"/>
      <c r="S143" s="9">
        <v>5</v>
      </c>
      <c r="T143" s="6" t="s">
        <v>329</v>
      </c>
      <c r="U143" s="8"/>
    </row>
    <row r="144" spans="1:21" ht="12.75" customHeight="1" x14ac:dyDescent="0.2">
      <c r="A144" s="6" t="s">
        <v>169</v>
      </c>
      <c r="B144" s="6" t="s">
        <v>318</v>
      </c>
      <c r="C144" s="6" t="s">
        <v>75</v>
      </c>
      <c r="D144" s="6">
        <v>1</v>
      </c>
      <c r="E144" s="8"/>
      <c r="F144" s="6" t="s">
        <v>214</v>
      </c>
      <c r="G144" s="6" t="s">
        <v>215</v>
      </c>
      <c r="H144" s="6" t="s">
        <v>181</v>
      </c>
      <c r="I144" s="6" t="s">
        <v>182</v>
      </c>
      <c r="J144" s="8"/>
      <c r="K144" s="8"/>
      <c r="L144" s="6">
        <v>1</v>
      </c>
      <c r="M144" s="6">
        <v>40</v>
      </c>
      <c r="N144" s="6">
        <v>40</v>
      </c>
      <c r="O144" s="8"/>
      <c r="P144" s="8"/>
      <c r="Q144" s="8"/>
      <c r="R144" s="8"/>
      <c r="S144" s="6">
        <v>5</v>
      </c>
      <c r="T144" s="6" t="s">
        <v>229</v>
      </c>
      <c r="U144" s="8"/>
    </row>
    <row r="145" spans="1:21" ht="12.75" customHeight="1" x14ac:dyDescent="0.2">
      <c r="A145" s="6" t="s">
        <v>169</v>
      </c>
      <c r="B145" s="6" t="s">
        <v>318</v>
      </c>
      <c r="C145" s="6" t="s">
        <v>75</v>
      </c>
      <c r="D145" s="6">
        <v>1</v>
      </c>
      <c r="E145" s="8"/>
      <c r="F145" s="6" t="s">
        <v>230</v>
      </c>
      <c r="G145" s="6" t="s">
        <v>231</v>
      </c>
      <c r="H145" s="6" t="s">
        <v>219</v>
      </c>
      <c r="I145" s="6" t="s">
        <v>248</v>
      </c>
      <c r="J145" s="6">
        <v>0.04</v>
      </c>
      <c r="K145" s="6">
        <v>1</v>
      </c>
      <c r="L145" s="6">
        <v>0.04</v>
      </c>
      <c r="M145" s="6">
        <v>53.2</v>
      </c>
      <c r="N145" s="6">
        <v>2.1280000000000001</v>
      </c>
      <c r="O145" s="8"/>
      <c r="P145" s="8"/>
      <c r="Q145" s="8"/>
      <c r="R145" s="8"/>
      <c r="S145" s="6">
        <v>5</v>
      </c>
      <c r="T145" s="6" t="s">
        <v>232</v>
      </c>
      <c r="U145" s="8"/>
    </row>
    <row r="146" spans="1:21" ht="12.75" customHeight="1" x14ac:dyDescent="0.2">
      <c r="A146" s="6" t="s">
        <v>169</v>
      </c>
      <c r="B146" s="6" t="s">
        <v>318</v>
      </c>
      <c r="C146" s="6" t="s">
        <v>75</v>
      </c>
      <c r="D146" s="6">
        <v>1</v>
      </c>
      <c r="E146" s="8"/>
      <c r="F146" s="6" t="s">
        <v>233</v>
      </c>
      <c r="G146" s="6" t="s">
        <v>234</v>
      </c>
      <c r="H146" s="6" t="s">
        <v>219</v>
      </c>
      <c r="I146" s="6" t="s">
        <v>248</v>
      </c>
      <c r="J146" s="6">
        <v>1.5</v>
      </c>
      <c r="K146" s="6">
        <v>1</v>
      </c>
      <c r="L146" s="6">
        <v>1.5</v>
      </c>
      <c r="M146" s="6">
        <v>38.14</v>
      </c>
      <c r="N146" s="6">
        <v>57.21</v>
      </c>
      <c r="O146" s="8"/>
      <c r="P146" s="8"/>
      <c r="Q146" s="8"/>
      <c r="R146" s="8"/>
      <c r="S146" s="6">
        <v>5</v>
      </c>
      <c r="T146" s="6" t="s">
        <v>235</v>
      </c>
      <c r="U146" s="8"/>
    </row>
    <row r="147" spans="1:21" ht="12.75" customHeight="1" x14ac:dyDescent="0.2">
      <c r="A147" s="6" t="s">
        <v>169</v>
      </c>
      <c r="B147" s="6" t="s">
        <v>318</v>
      </c>
      <c r="C147" s="6" t="s">
        <v>75</v>
      </c>
      <c r="D147" s="6">
        <v>1</v>
      </c>
      <c r="E147" s="8"/>
      <c r="F147" s="6" t="s">
        <v>247</v>
      </c>
      <c r="G147" s="6" t="s">
        <v>239</v>
      </c>
      <c r="H147" s="6" t="s">
        <v>219</v>
      </c>
      <c r="I147" s="6" t="s">
        <v>248</v>
      </c>
      <c r="J147" s="6">
        <v>0.5</v>
      </c>
      <c r="K147" s="6">
        <v>1</v>
      </c>
      <c r="L147" s="6">
        <v>0.5</v>
      </c>
      <c r="M147" s="6">
        <v>57.2</v>
      </c>
      <c r="N147" s="6">
        <v>28.6</v>
      </c>
      <c r="O147" s="8"/>
      <c r="P147" s="8"/>
      <c r="Q147" s="8"/>
      <c r="R147" s="8"/>
      <c r="S147" s="6">
        <v>5</v>
      </c>
      <c r="T147" s="6" t="s">
        <v>249</v>
      </c>
      <c r="U147" s="8"/>
    </row>
    <row r="148" spans="1:21" ht="12.75" customHeight="1" x14ac:dyDescent="0.2">
      <c r="A148" s="6" t="s">
        <v>169</v>
      </c>
      <c r="B148" s="6" t="s">
        <v>318</v>
      </c>
      <c r="C148" s="6" t="s">
        <v>75</v>
      </c>
      <c r="D148" s="6">
        <v>1</v>
      </c>
      <c r="E148" s="8"/>
      <c r="F148" s="6" t="s">
        <v>236</v>
      </c>
      <c r="G148" s="6" t="s">
        <v>218</v>
      </c>
      <c r="H148" s="6" t="s">
        <v>219</v>
      </c>
      <c r="I148" s="6" t="s">
        <v>248</v>
      </c>
      <c r="J148" s="6">
        <v>0.25</v>
      </c>
      <c r="K148" s="6">
        <v>1</v>
      </c>
      <c r="L148" s="6">
        <v>0.25</v>
      </c>
      <c r="M148" s="6">
        <v>62.25</v>
      </c>
      <c r="N148" s="6">
        <v>15.563000000000001</v>
      </c>
      <c r="O148" s="8"/>
      <c r="P148" s="8"/>
      <c r="Q148" s="8"/>
      <c r="R148" s="8"/>
      <c r="S148" s="6">
        <v>5</v>
      </c>
      <c r="T148" s="6" t="s">
        <v>341</v>
      </c>
      <c r="U148" s="8"/>
    </row>
    <row r="149" spans="1:21" ht="12.75" customHeight="1" x14ac:dyDescent="0.2">
      <c r="A149" s="6" t="s">
        <v>169</v>
      </c>
      <c r="B149" s="6" t="s">
        <v>318</v>
      </c>
      <c r="C149" s="6" t="s">
        <v>75</v>
      </c>
      <c r="D149" s="6">
        <v>1</v>
      </c>
      <c r="E149" s="8"/>
      <c r="F149" s="6" t="s">
        <v>214</v>
      </c>
      <c r="G149" s="6" t="s">
        <v>215</v>
      </c>
      <c r="H149" s="6" t="s">
        <v>181</v>
      </c>
      <c r="I149" s="6" t="s">
        <v>182</v>
      </c>
      <c r="J149" s="8"/>
      <c r="K149" s="8"/>
      <c r="L149" s="6">
        <v>1</v>
      </c>
      <c r="M149" s="6">
        <v>40</v>
      </c>
      <c r="N149" s="6">
        <v>40</v>
      </c>
      <c r="O149" s="8"/>
      <c r="P149" s="8"/>
      <c r="Q149" s="8"/>
      <c r="R149" s="8"/>
      <c r="S149" s="6">
        <v>7</v>
      </c>
      <c r="T149" s="6" t="s">
        <v>229</v>
      </c>
      <c r="U149" s="8"/>
    </row>
    <row r="150" spans="1:21" ht="12.75" customHeight="1" x14ac:dyDescent="0.2">
      <c r="A150" s="6" t="s">
        <v>169</v>
      </c>
      <c r="B150" s="6" t="s">
        <v>318</v>
      </c>
      <c r="C150" s="6" t="s">
        <v>75</v>
      </c>
      <c r="D150" s="6">
        <v>1</v>
      </c>
      <c r="E150" s="8"/>
      <c r="F150" s="6" t="s">
        <v>250</v>
      </c>
      <c r="G150" s="6" t="s">
        <v>223</v>
      </c>
      <c r="H150" s="6" t="s">
        <v>219</v>
      </c>
      <c r="I150" s="6" t="s">
        <v>248</v>
      </c>
      <c r="J150" s="6">
        <v>12</v>
      </c>
      <c r="K150" s="6">
        <v>1</v>
      </c>
      <c r="L150" s="6">
        <v>12</v>
      </c>
      <c r="M150" s="6">
        <v>3.5</v>
      </c>
      <c r="N150" s="6">
        <v>42</v>
      </c>
      <c r="O150" s="8"/>
      <c r="P150" s="8"/>
      <c r="Q150" s="8"/>
      <c r="R150" s="8"/>
      <c r="S150" s="6">
        <v>7</v>
      </c>
      <c r="T150" s="6" t="s">
        <v>251</v>
      </c>
      <c r="U150" s="8"/>
    </row>
    <row r="151" spans="1:21" ht="12.75" customHeight="1" x14ac:dyDescent="0.2">
      <c r="A151" s="6" t="s">
        <v>169</v>
      </c>
      <c r="B151" s="6" t="s">
        <v>318</v>
      </c>
      <c r="C151" s="6" t="s">
        <v>75</v>
      </c>
      <c r="D151" s="6">
        <v>1</v>
      </c>
      <c r="E151" s="8"/>
      <c r="F151" s="6" t="s">
        <v>214</v>
      </c>
      <c r="G151" s="6" t="s">
        <v>215</v>
      </c>
      <c r="H151" s="6" t="s">
        <v>181</v>
      </c>
      <c r="I151" s="6" t="s">
        <v>182</v>
      </c>
      <c r="J151" s="8"/>
      <c r="K151" s="8"/>
      <c r="L151" s="6">
        <v>1</v>
      </c>
      <c r="M151" s="6">
        <v>40</v>
      </c>
      <c r="N151" s="6">
        <v>40</v>
      </c>
      <c r="O151" s="8"/>
      <c r="P151" s="8"/>
      <c r="Q151" s="8"/>
      <c r="R151" s="8"/>
      <c r="S151" s="6">
        <v>12</v>
      </c>
      <c r="T151" s="6" t="s">
        <v>229</v>
      </c>
      <c r="U151" s="8"/>
    </row>
    <row r="152" spans="1:21" ht="12.75" customHeight="1" x14ac:dyDescent="0.2">
      <c r="A152" s="6" t="s">
        <v>169</v>
      </c>
      <c r="B152" s="6" t="s">
        <v>318</v>
      </c>
      <c r="C152" s="6" t="s">
        <v>75</v>
      </c>
      <c r="D152" s="6">
        <v>1</v>
      </c>
      <c r="E152" s="8"/>
      <c r="F152" s="6" t="s">
        <v>230</v>
      </c>
      <c r="G152" s="6" t="s">
        <v>231</v>
      </c>
      <c r="H152" s="6" t="s">
        <v>219</v>
      </c>
      <c r="I152" s="6" t="s">
        <v>248</v>
      </c>
      <c r="J152" s="6">
        <v>0.04</v>
      </c>
      <c r="K152" s="6">
        <v>1</v>
      </c>
      <c r="L152" s="6">
        <v>0.04</v>
      </c>
      <c r="M152" s="6">
        <v>53.2</v>
      </c>
      <c r="N152" s="6">
        <v>2.1280000000000001</v>
      </c>
      <c r="O152" s="8"/>
      <c r="P152" s="8"/>
      <c r="Q152" s="8"/>
      <c r="R152" s="8"/>
      <c r="S152" s="6">
        <v>12</v>
      </c>
      <c r="T152" s="6" t="s">
        <v>232</v>
      </c>
      <c r="U152" s="8"/>
    </row>
    <row r="153" spans="1:21" ht="12.75" customHeight="1" x14ac:dyDescent="0.2">
      <c r="A153" s="6" t="s">
        <v>169</v>
      </c>
      <c r="B153" s="6" t="s">
        <v>318</v>
      </c>
      <c r="C153" s="6" t="s">
        <v>75</v>
      </c>
      <c r="D153" s="6">
        <v>1</v>
      </c>
      <c r="E153" s="8"/>
      <c r="F153" s="6" t="s">
        <v>238</v>
      </c>
      <c r="G153" s="6" t="s">
        <v>239</v>
      </c>
      <c r="H153" s="6" t="s">
        <v>219</v>
      </c>
      <c r="I153" s="6" t="s">
        <v>248</v>
      </c>
      <c r="J153" s="6">
        <v>1</v>
      </c>
      <c r="K153" s="6">
        <v>1</v>
      </c>
      <c r="L153" s="6">
        <v>1</v>
      </c>
      <c r="M153" s="6">
        <v>50</v>
      </c>
      <c r="N153" s="6">
        <v>50</v>
      </c>
      <c r="O153" s="8"/>
      <c r="P153" s="8"/>
      <c r="Q153" s="8"/>
      <c r="R153" s="8"/>
      <c r="S153" s="6">
        <v>12</v>
      </c>
      <c r="T153" s="6" t="s">
        <v>240</v>
      </c>
      <c r="U153" s="8"/>
    </row>
    <row r="154" spans="1:21" ht="13.5" customHeight="1" x14ac:dyDescent="0.2">
      <c r="A154" s="6" t="s">
        <v>169</v>
      </c>
      <c r="B154" s="6" t="s">
        <v>318</v>
      </c>
      <c r="C154" s="6" t="s">
        <v>75</v>
      </c>
      <c r="D154" s="6">
        <v>1</v>
      </c>
      <c r="E154" s="8"/>
      <c r="F154" s="6" t="s">
        <v>241</v>
      </c>
      <c r="G154" s="6" t="s">
        <v>218</v>
      </c>
      <c r="H154" s="6" t="s">
        <v>219</v>
      </c>
      <c r="I154" s="6" t="s">
        <v>282</v>
      </c>
      <c r="J154" s="6">
        <v>0.2</v>
      </c>
      <c r="K154" s="6">
        <v>1</v>
      </c>
      <c r="L154" s="6">
        <v>0.2</v>
      </c>
      <c r="M154" s="6">
        <v>64</v>
      </c>
      <c r="N154" s="6">
        <v>12.8</v>
      </c>
      <c r="O154" s="8"/>
      <c r="P154" s="8"/>
      <c r="Q154" s="8"/>
      <c r="R154" s="8"/>
      <c r="S154" s="6">
        <v>12</v>
      </c>
      <c r="T154" s="6" t="s">
        <v>342</v>
      </c>
      <c r="U154" s="8"/>
    </row>
    <row r="155" spans="1:21" ht="13.5" customHeight="1" x14ac:dyDescent="0.2">
      <c r="A155" s="6" t="s">
        <v>169</v>
      </c>
      <c r="B155" s="6" t="s">
        <v>318</v>
      </c>
      <c r="C155" s="6" t="s">
        <v>75</v>
      </c>
      <c r="D155" s="6">
        <v>1</v>
      </c>
      <c r="E155" s="8"/>
      <c r="F155" s="6" t="s">
        <v>258</v>
      </c>
      <c r="G155" s="6" t="s">
        <v>239</v>
      </c>
      <c r="H155" s="6" t="s">
        <v>219</v>
      </c>
      <c r="I155" s="6" t="s">
        <v>248</v>
      </c>
      <c r="J155" s="6">
        <v>0.5</v>
      </c>
      <c r="K155" s="6">
        <v>1</v>
      </c>
      <c r="L155" s="6">
        <v>0.5</v>
      </c>
      <c r="M155" s="6">
        <v>180</v>
      </c>
      <c r="N155" s="6">
        <v>90</v>
      </c>
      <c r="O155" s="8"/>
      <c r="P155" s="8"/>
      <c r="Q155" s="8"/>
      <c r="R155" s="8"/>
      <c r="S155" s="6">
        <v>12</v>
      </c>
      <c r="T155" s="6" t="s">
        <v>213</v>
      </c>
      <c r="U155" s="8"/>
    </row>
    <row r="156" spans="1:21" ht="12.75" customHeight="1" x14ac:dyDescent="0.2">
      <c r="A156" s="6" t="s">
        <v>169</v>
      </c>
      <c r="B156" s="6" t="s">
        <v>318</v>
      </c>
      <c r="C156" s="6" t="s">
        <v>75</v>
      </c>
      <c r="D156" s="6">
        <v>1</v>
      </c>
      <c r="E156" s="8"/>
      <c r="F156" s="6" t="s">
        <v>274</v>
      </c>
      <c r="G156" s="6" t="s">
        <v>218</v>
      </c>
      <c r="H156" s="6" t="s">
        <v>219</v>
      </c>
      <c r="I156" s="6" t="s">
        <v>248</v>
      </c>
      <c r="J156" s="6">
        <v>0.2</v>
      </c>
      <c r="K156" s="6">
        <v>1</v>
      </c>
      <c r="L156" s="6">
        <v>0.2</v>
      </c>
      <c r="M156" s="6">
        <v>91</v>
      </c>
      <c r="N156" s="6">
        <v>18.2</v>
      </c>
      <c r="O156" s="8"/>
      <c r="P156" s="8"/>
      <c r="Q156" s="8"/>
      <c r="R156" s="8"/>
      <c r="S156" s="6">
        <v>12</v>
      </c>
      <c r="T156" s="6" t="s">
        <v>343</v>
      </c>
      <c r="U156" s="8"/>
    </row>
    <row r="157" spans="1:21" ht="12.75" customHeight="1" x14ac:dyDescent="0.2">
      <c r="A157" s="6" t="s">
        <v>169</v>
      </c>
      <c r="B157" s="6" t="s">
        <v>318</v>
      </c>
      <c r="C157" s="6" t="s">
        <v>75</v>
      </c>
      <c r="D157" s="6">
        <v>1</v>
      </c>
      <c r="E157" s="8"/>
      <c r="F157" s="6" t="s">
        <v>243</v>
      </c>
      <c r="G157" s="6" t="s">
        <v>244</v>
      </c>
      <c r="H157" s="6" t="s">
        <v>219</v>
      </c>
      <c r="I157" s="6" t="s">
        <v>220</v>
      </c>
      <c r="J157" s="6">
        <v>0.25</v>
      </c>
      <c r="K157" s="6">
        <v>1</v>
      </c>
      <c r="L157" s="6">
        <v>0.25</v>
      </c>
      <c r="M157" s="6">
        <v>175</v>
      </c>
      <c r="N157" s="6">
        <v>43.75</v>
      </c>
      <c r="O157" s="8"/>
      <c r="P157" s="8"/>
      <c r="Q157" s="8"/>
      <c r="R157" s="8"/>
      <c r="S157" s="6">
        <v>12</v>
      </c>
      <c r="T157" s="6" t="s">
        <v>245</v>
      </c>
      <c r="U157" s="8"/>
    </row>
    <row r="158" spans="1:21" ht="12.75" customHeight="1" x14ac:dyDescent="0.2">
      <c r="A158" s="6" t="s">
        <v>169</v>
      </c>
      <c r="B158" s="6" t="s">
        <v>318</v>
      </c>
      <c r="C158" s="6" t="s">
        <v>75</v>
      </c>
      <c r="D158" s="6">
        <v>1</v>
      </c>
      <c r="E158" s="8"/>
      <c r="F158" s="6" t="s">
        <v>246</v>
      </c>
      <c r="G158" s="6" t="s">
        <v>218</v>
      </c>
      <c r="H158" s="6" t="s">
        <v>219</v>
      </c>
      <c r="I158" s="6" t="s">
        <v>220</v>
      </c>
      <c r="J158" s="6">
        <v>0.25</v>
      </c>
      <c r="K158" s="6">
        <v>1</v>
      </c>
      <c r="L158" s="6">
        <v>0.25</v>
      </c>
      <c r="M158" s="6">
        <v>62.5</v>
      </c>
      <c r="N158" s="6">
        <v>15.625</v>
      </c>
      <c r="O158" s="8"/>
      <c r="P158" s="8"/>
      <c r="Q158" s="8"/>
      <c r="R158" s="8"/>
      <c r="S158" s="6">
        <v>12</v>
      </c>
      <c r="T158" s="6" t="s">
        <v>237</v>
      </c>
      <c r="U158" s="8"/>
    </row>
    <row r="159" spans="1:21" ht="12.75" customHeight="1" x14ac:dyDescent="0.2">
      <c r="A159" s="6" t="s">
        <v>169</v>
      </c>
      <c r="B159" s="6" t="s">
        <v>318</v>
      </c>
      <c r="C159" s="6" t="s">
        <v>75</v>
      </c>
      <c r="D159" s="6">
        <v>1</v>
      </c>
      <c r="E159" s="8"/>
      <c r="F159" s="6" t="s">
        <v>247</v>
      </c>
      <c r="G159" s="6" t="s">
        <v>239</v>
      </c>
      <c r="H159" s="6" t="s">
        <v>219</v>
      </c>
      <c r="I159" s="6" t="s">
        <v>248</v>
      </c>
      <c r="J159" s="6">
        <v>0.5</v>
      </c>
      <c r="K159" s="6">
        <v>1</v>
      </c>
      <c r="L159" s="6">
        <v>0.5</v>
      </c>
      <c r="M159" s="6">
        <v>57.2</v>
      </c>
      <c r="N159" s="6">
        <v>28.6</v>
      </c>
      <c r="O159" s="8"/>
      <c r="P159" s="8"/>
      <c r="Q159" s="8"/>
      <c r="R159" s="8"/>
      <c r="S159" s="6">
        <v>12</v>
      </c>
      <c r="T159" s="6" t="s">
        <v>249</v>
      </c>
      <c r="U159" s="8"/>
    </row>
    <row r="160" spans="1:21" ht="15" customHeight="1" x14ac:dyDescent="0.2">
      <c r="A160" s="6" t="s">
        <v>169</v>
      </c>
      <c r="B160" s="6" t="s">
        <v>318</v>
      </c>
      <c r="C160" s="6" t="s">
        <v>75</v>
      </c>
      <c r="D160" s="6">
        <v>1</v>
      </c>
      <c r="E160" s="8"/>
      <c r="F160" s="6" t="s">
        <v>344</v>
      </c>
      <c r="G160" s="6" t="s">
        <v>51</v>
      </c>
      <c r="H160" s="6" t="s">
        <v>178</v>
      </c>
      <c r="I160" s="6" t="s">
        <v>182</v>
      </c>
      <c r="J160" s="8"/>
      <c r="K160" s="8"/>
      <c r="L160" s="6">
        <v>1</v>
      </c>
      <c r="M160" s="6">
        <v>200</v>
      </c>
      <c r="N160" s="6">
        <v>200</v>
      </c>
      <c r="O160" s="8"/>
      <c r="P160" s="8"/>
      <c r="Q160" s="8"/>
      <c r="R160" s="8"/>
      <c r="S160" s="6">
        <v>15</v>
      </c>
      <c r="T160" s="6" t="s">
        <v>345</v>
      </c>
      <c r="U160" s="8"/>
    </row>
    <row r="161" spans="1:21" ht="12.75" customHeight="1" x14ac:dyDescent="0.2">
      <c r="A161" s="6" t="s">
        <v>169</v>
      </c>
      <c r="B161" s="6" t="s">
        <v>318</v>
      </c>
      <c r="C161" s="6" t="s">
        <v>75</v>
      </c>
      <c r="D161" s="6">
        <v>1</v>
      </c>
      <c r="E161" s="8"/>
      <c r="F161" s="6" t="s">
        <v>346</v>
      </c>
      <c r="G161" s="6" t="s">
        <v>51</v>
      </c>
      <c r="H161" s="6" t="s">
        <v>178</v>
      </c>
      <c r="I161" s="6" t="s">
        <v>182</v>
      </c>
      <c r="J161" s="8"/>
      <c r="K161" s="8"/>
      <c r="L161" s="6">
        <v>2</v>
      </c>
      <c r="M161" s="6">
        <v>180</v>
      </c>
      <c r="N161" s="6">
        <v>360</v>
      </c>
      <c r="O161" s="8"/>
      <c r="P161" s="8"/>
      <c r="Q161" s="8"/>
      <c r="R161" s="8"/>
      <c r="S161" s="6">
        <v>15</v>
      </c>
      <c r="T161" s="6" t="s">
        <v>52</v>
      </c>
      <c r="U161" s="8"/>
    </row>
    <row r="162" spans="1:21" ht="12.75" customHeight="1" x14ac:dyDescent="0.2">
      <c r="A162" s="6" t="s">
        <v>169</v>
      </c>
      <c r="B162" s="6" t="s">
        <v>318</v>
      </c>
      <c r="C162" s="6" t="s">
        <v>75</v>
      </c>
      <c r="D162" s="6">
        <v>1</v>
      </c>
      <c r="E162" s="8"/>
      <c r="F162" s="6" t="s">
        <v>347</v>
      </c>
      <c r="G162" s="6" t="s">
        <v>348</v>
      </c>
      <c r="H162" s="6" t="s">
        <v>181</v>
      </c>
      <c r="I162" s="6" t="s">
        <v>182</v>
      </c>
      <c r="J162" s="8"/>
      <c r="K162" s="8"/>
      <c r="L162" s="6">
        <v>1</v>
      </c>
      <c r="M162" s="6">
        <v>55</v>
      </c>
      <c r="N162" s="6">
        <v>55</v>
      </c>
      <c r="O162" s="8"/>
      <c r="P162" s="8"/>
      <c r="Q162" s="8"/>
      <c r="R162" s="8"/>
      <c r="S162" s="6">
        <v>15</v>
      </c>
      <c r="T162" s="6" t="s">
        <v>211</v>
      </c>
      <c r="U162" s="8"/>
    </row>
    <row r="163" spans="1:21" ht="12.75" customHeight="1" x14ac:dyDescent="0.2">
      <c r="A163" s="6" t="s">
        <v>169</v>
      </c>
      <c r="B163" s="6" t="s">
        <v>318</v>
      </c>
      <c r="C163" s="6" t="s">
        <v>75</v>
      </c>
      <c r="D163" s="6">
        <v>1</v>
      </c>
      <c r="E163" s="8"/>
      <c r="F163" s="6" t="s">
        <v>214</v>
      </c>
      <c r="G163" s="6" t="s">
        <v>215</v>
      </c>
      <c r="H163" s="6" t="s">
        <v>181</v>
      </c>
      <c r="I163" s="6" t="s">
        <v>182</v>
      </c>
      <c r="J163" s="8"/>
      <c r="K163" s="8"/>
      <c r="L163" s="6">
        <v>1</v>
      </c>
      <c r="M163" s="6">
        <v>40</v>
      </c>
      <c r="N163" s="6">
        <v>40</v>
      </c>
      <c r="O163" s="8"/>
      <c r="P163" s="8"/>
      <c r="Q163" s="8"/>
      <c r="R163" s="8"/>
      <c r="S163" s="6">
        <v>16</v>
      </c>
      <c r="T163" s="6" t="s">
        <v>229</v>
      </c>
      <c r="U163" s="8"/>
    </row>
    <row r="164" spans="1:21" ht="13.5" customHeight="1" x14ac:dyDescent="0.2">
      <c r="A164" s="6" t="s">
        <v>169</v>
      </c>
      <c r="B164" s="6" t="s">
        <v>318</v>
      </c>
      <c r="C164" s="6" t="s">
        <v>75</v>
      </c>
      <c r="D164" s="6">
        <v>1</v>
      </c>
      <c r="E164" s="8"/>
      <c r="F164" s="6" t="s">
        <v>230</v>
      </c>
      <c r="G164" s="6" t="s">
        <v>231</v>
      </c>
      <c r="H164" s="6" t="s">
        <v>219</v>
      </c>
      <c r="I164" s="6" t="s">
        <v>248</v>
      </c>
      <c r="J164" s="6">
        <v>0.04</v>
      </c>
      <c r="K164" s="6">
        <v>1</v>
      </c>
      <c r="L164" s="6">
        <v>0.04</v>
      </c>
      <c r="M164" s="6">
        <v>53.2</v>
      </c>
      <c r="N164" s="6">
        <v>2.1280000000000001</v>
      </c>
      <c r="O164" s="8"/>
      <c r="P164" s="8"/>
      <c r="Q164" s="8"/>
      <c r="R164" s="8"/>
      <c r="S164" s="6">
        <v>20</v>
      </c>
      <c r="T164" s="6" t="s">
        <v>232</v>
      </c>
      <c r="U164" s="8"/>
    </row>
    <row r="165" spans="1:21" ht="12.75" customHeight="1" x14ac:dyDescent="0.2">
      <c r="A165" s="6" t="s">
        <v>169</v>
      </c>
      <c r="B165" s="6" t="s">
        <v>318</v>
      </c>
      <c r="C165" s="6" t="s">
        <v>75</v>
      </c>
      <c r="D165" s="6">
        <v>1</v>
      </c>
      <c r="E165" s="8"/>
      <c r="F165" s="6" t="s">
        <v>238</v>
      </c>
      <c r="G165" s="6" t="s">
        <v>239</v>
      </c>
      <c r="H165" s="6" t="s">
        <v>219</v>
      </c>
      <c r="I165" s="6" t="s">
        <v>248</v>
      </c>
      <c r="J165" s="6">
        <v>1</v>
      </c>
      <c r="K165" s="6">
        <v>1</v>
      </c>
      <c r="L165" s="6">
        <v>1</v>
      </c>
      <c r="M165" s="6">
        <v>50</v>
      </c>
      <c r="N165" s="6">
        <v>50</v>
      </c>
      <c r="O165" s="8"/>
      <c r="P165" s="8"/>
      <c r="Q165" s="8"/>
      <c r="R165" s="8"/>
      <c r="S165" s="6">
        <v>20</v>
      </c>
      <c r="T165" s="6" t="s">
        <v>240</v>
      </c>
      <c r="U165" s="8"/>
    </row>
    <row r="166" spans="1:21" ht="12.75" customHeight="1" x14ac:dyDescent="0.2">
      <c r="A166" s="6" t="s">
        <v>169</v>
      </c>
      <c r="B166" s="6" t="s">
        <v>318</v>
      </c>
      <c r="C166" s="6" t="s">
        <v>75</v>
      </c>
      <c r="D166" s="6">
        <v>1</v>
      </c>
      <c r="E166" s="8"/>
      <c r="F166" s="6" t="s">
        <v>255</v>
      </c>
      <c r="G166" s="6" t="s">
        <v>218</v>
      </c>
      <c r="H166" s="6" t="s">
        <v>219</v>
      </c>
      <c r="I166" s="6" t="s">
        <v>202</v>
      </c>
      <c r="J166" s="6">
        <v>0.5</v>
      </c>
      <c r="K166" s="6">
        <v>1</v>
      </c>
      <c r="L166" s="6">
        <v>0.5</v>
      </c>
      <c r="M166" s="6">
        <v>40</v>
      </c>
      <c r="N166" s="6">
        <v>20</v>
      </c>
      <c r="O166" s="8"/>
      <c r="P166" s="8"/>
      <c r="Q166" s="8"/>
      <c r="R166" s="8"/>
      <c r="S166" s="6">
        <v>20</v>
      </c>
      <c r="T166" s="6" t="s">
        <v>257</v>
      </c>
      <c r="U166" s="8"/>
    </row>
    <row r="167" spans="1:21" ht="12.75" customHeight="1" x14ac:dyDescent="0.2">
      <c r="A167" s="6" t="s">
        <v>169</v>
      </c>
      <c r="B167" s="6" t="s">
        <v>318</v>
      </c>
      <c r="C167" s="6" t="s">
        <v>75</v>
      </c>
      <c r="D167" s="6">
        <v>1</v>
      </c>
      <c r="E167" s="8"/>
      <c r="F167" s="6" t="s">
        <v>266</v>
      </c>
      <c r="G167" s="6" t="s">
        <v>244</v>
      </c>
      <c r="H167" s="6" t="s">
        <v>219</v>
      </c>
      <c r="I167" s="6" t="s">
        <v>202</v>
      </c>
      <c r="J167" s="6">
        <v>0.2</v>
      </c>
      <c r="K167" s="6">
        <v>1</v>
      </c>
      <c r="L167" s="6">
        <v>0.2</v>
      </c>
      <c r="M167" s="6">
        <v>269</v>
      </c>
      <c r="N167" s="6">
        <v>53.8</v>
      </c>
      <c r="O167" s="8"/>
      <c r="P167" s="8"/>
      <c r="Q167" s="8"/>
      <c r="R167" s="8"/>
      <c r="S167" s="6">
        <v>20</v>
      </c>
      <c r="T167" s="6" t="s">
        <v>267</v>
      </c>
      <c r="U167" s="8"/>
    </row>
    <row r="168" spans="1:21" ht="12.75" customHeight="1" x14ac:dyDescent="0.2">
      <c r="A168" s="6" t="s">
        <v>169</v>
      </c>
      <c r="B168" s="6" t="s">
        <v>318</v>
      </c>
      <c r="C168" s="6" t="s">
        <v>75</v>
      </c>
      <c r="D168" s="6">
        <v>1</v>
      </c>
      <c r="E168" s="8"/>
      <c r="F168" s="6" t="s">
        <v>264</v>
      </c>
      <c r="G168" s="6" t="s">
        <v>239</v>
      </c>
      <c r="H168" s="6" t="s">
        <v>219</v>
      </c>
      <c r="I168" s="6" t="s">
        <v>248</v>
      </c>
      <c r="J168" s="6">
        <v>2</v>
      </c>
      <c r="K168" s="6">
        <v>1</v>
      </c>
      <c r="L168" s="6">
        <v>2</v>
      </c>
      <c r="M168" s="6">
        <v>38.5</v>
      </c>
      <c r="N168" s="6">
        <v>77</v>
      </c>
      <c r="O168" s="8"/>
      <c r="P168" s="8"/>
      <c r="Q168" s="8"/>
      <c r="R168" s="8"/>
      <c r="S168" s="6">
        <v>20</v>
      </c>
      <c r="T168" s="6" t="s">
        <v>265</v>
      </c>
      <c r="U168" s="8"/>
    </row>
    <row r="169" spans="1:21" ht="12.75" customHeight="1" x14ac:dyDescent="0.2">
      <c r="A169" s="6" t="s">
        <v>169</v>
      </c>
      <c r="B169" s="6" t="s">
        <v>318</v>
      </c>
      <c r="C169" s="6" t="s">
        <v>75</v>
      </c>
      <c r="D169" s="6">
        <v>1</v>
      </c>
      <c r="E169" s="8"/>
      <c r="F169" s="6" t="s">
        <v>236</v>
      </c>
      <c r="G169" s="6" t="s">
        <v>218</v>
      </c>
      <c r="H169" s="6" t="s">
        <v>219</v>
      </c>
      <c r="I169" s="6" t="s">
        <v>248</v>
      </c>
      <c r="J169" s="6">
        <v>0.25</v>
      </c>
      <c r="K169" s="6">
        <v>1</v>
      </c>
      <c r="L169" s="6">
        <v>0.25</v>
      </c>
      <c r="M169" s="6">
        <v>62.25</v>
      </c>
      <c r="N169" s="6">
        <v>15.563000000000001</v>
      </c>
      <c r="O169" s="8"/>
      <c r="P169" s="8"/>
      <c r="Q169" s="8"/>
      <c r="R169" s="8"/>
      <c r="S169" s="6">
        <v>20</v>
      </c>
      <c r="T169" s="6" t="s">
        <v>341</v>
      </c>
      <c r="U169" s="8"/>
    </row>
    <row r="170" spans="1:21" ht="12.75" customHeight="1" x14ac:dyDescent="0.2">
      <c r="A170" s="6" t="s">
        <v>169</v>
      </c>
      <c r="B170" s="6" t="s">
        <v>318</v>
      </c>
      <c r="C170" s="6" t="s">
        <v>75</v>
      </c>
      <c r="D170" s="6">
        <v>1</v>
      </c>
      <c r="E170" s="8"/>
      <c r="F170" s="6" t="s">
        <v>349</v>
      </c>
      <c r="G170" s="6" t="s">
        <v>350</v>
      </c>
      <c r="H170" s="6" t="s">
        <v>178</v>
      </c>
      <c r="I170" s="6" t="s">
        <v>173</v>
      </c>
      <c r="J170" s="8"/>
      <c r="K170" s="8"/>
      <c r="L170" s="6">
        <v>1</v>
      </c>
      <c r="M170" s="9">
        <v>180</v>
      </c>
      <c r="N170" s="6">
        <v>180</v>
      </c>
      <c r="O170" s="8"/>
      <c r="P170" s="8"/>
      <c r="Q170" s="8"/>
      <c r="R170" s="8"/>
      <c r="S170" s="6">
        <v>30</v>
      </c>
      <c r="T170" s="6" t="s">
        <v>175</v>
      </c>
      <c r="U170" s="8"/>
    </row>
    <row r="171" spans="1:21" ht="12.75" customHeight="1" x14ac:dyDescent="0.2">
      <c r="A171" s="6" t="s">
        <v>169</v>
      </c>
      <c r="B171" s="6" t="s">
        <v>318</v>
      </c>
      <c r="C171" s="6" t="s">
        <v>75</v>
      </c>
      <c r="D171" s="6">
        <v>1</v>
      </c>
      <c r="E171" s="8"/>
      <c r="F171" s="6" t="s">
        <v>214</v>
      </c>
      <c r="G171" s="6" t="s">
        <v>215</v>
      </c>
      <c r="H171" s="6" t="s">
        <v>181</v>
      </c>
      <c r="I171" s="6" t="s">
        <v>182</v>
      </c>
      <c r="J171" s="8"/>
      <c r="K171" s="8"/>
      <c r="L171" s="6">
        <v>1</v>
      </c>
      <c r="M171" s="6">
        <v>40</v>
      </c>
      <c r="N171" s="6">
        <v>40</v>
      </c>
      <c r="O171" s="8"/>
      <c r="P171" s="8"/>
      <c r="Q171" s="8"/>
      <c r="R171" s="8"/>
      <c r="S171" s="6">
        <v>34</v>
      </c>
      <c r="T171" s="6" t="s">
        <v>229</v>
      </c>
      <c r="U171" s="8"/>
    </row>
    <row r="172" spans="1:21" ht="12.75" customHeight="1" x14ac:dyDescent="0.2">
      <c r="A172" s="6" t="s">
        <v>169</v>
      </c>
      <c r="B172" s="6" t="s">
        <v>318</v>
      </c>
      <c r="C172" s="6" t="s">
        <v>75</v>
      </c>
      <c r="D172" s="6">
        <v>1</v>
      </c>
      <c r="E172" s="8"/>
      <c r="F172" s="6" t="s">
        <v>230</v>
      </c>
      <c r="G172" s="6" t="s">
        <v>231</v>
      </c>
      <c r="H172" s="6" t="s">
        <v>219</v>
      </c>
      <c r="I172" s="6" t="s">
        <v>248</v>
      </c>
      <c r="J172" s="6">
        <v>0.04</v>
      </c>
      <c r="K172" s="6">
        <v>1</v>
      </c>
      <c r="L172" s="6">
        <v>0.04</v>
      </c>
      <c r="M172" s="6">
        <v>53.2</v>
      </c>
      <c r="N172" s="6">
        <v>2.1280000000000001</v>
      </c>
      <c r="O172" s="8"/>
      <c r="P172" s="8"/>
      <c r="Q172" s="8"/>
      <c r="R172" s="8"/>
      <c r="S172" s="6">
        <v>34</v>
      </c>
      <c r="T172" s="6" t="s">
        <v>232</v>
      </c>
      <c r="U172" s="8"/>
    </row>
    <row r="173" spans="1:21" ht="12.75" customHeight="1" x14ac:dyDescent="0.2">
      <c r="A173" s="6" t="s">
        <v>169</v>
      </c>
      <c r="B173" s="6" t="s">
        <v>318</v>
      </c>
      <c r="C173" s="6" t="s">
        <v>75</v>
      </c>
      <c r="D173" s="6">
        <v>1</v>
      </c>
      <c r="E173" s="8"/>
      <c r="F173" s="6" t="s">
        <v>278</v>
      </c>
      <c r="G173" s="6" t="s">
        <v>239</v>
      </c>
      <c r="H173" s="6" t="s">
        <v>219</v>
      </c>
      <c r="I173" s="6" t="s">
        <v>282</v>
      </c>
      <c r="J173" s="6">
        <v>0.5</v>
      </c>
      <c r="K173" s="6">
        <v>1</v>
      </c>
      <c r="L173" s="6">
        <v>0.5</v>
      </c>
      <c r="M173" s="6">
        <v>65</v>
      </c>
      <c r="N173" s="6">
        <v>32.5</v>
      </c>
      <c r="O173" s="8"/>
      <c r="P173" s="8"/>
      <c r="Q173" s="8"/>
      <c r="R173" s="8"/>
      <c r="S173" s="6">
        <v>34</v>
      </c>
      <c r="T173" s="6" t="s">
        <v>351</v>
      </c>
      <c r="U173" s="8"/>
    </row>
    <row r="174" spans="1:21" ht="12.75" customHeight="1" x14ac:dyDescent="0.2">
      <c r="A174" s="6" t="s">
        <v>169</v>
      </c>
      <c r="B174" s="6" t="s">
        <v>318</v>
      </c>
      <c r="C174" s="6" t="s">
        <v>75</v>
      </c>
      <c r="D174" s="6">
        <v>1</v>
      </c>
      <c r="E174" s="8"/>
      <c r="F174" s="6" t="s">
        <v>241</v>
      </c>
      <c r="G174" s="6" t="s">
        <v>218</v>
      </c>
      <c r="H174" s="6" t="s">
        <v>219</v>
      </c>
      <c r="I174" s="6" t="s">
        <v>282</v>
      </c>
      <c r="J174" s="6">
        <v>0.2</v>
      </c>
      <c r="K174" s="6">
        <v>1</v>
      </c>
      <c r="L174" s="6">
        <v>0.2</v>
      </c>
      <c r="M174" s="6">
        <v>64</v>
      </c>
      <c r="N174" s="6">
        <v>12.8</v>
      </c>
      <c r="O174" s="8"/>
      <c r="P174" s="8"/>
      <c r="Q174" s="8"/>
      <c r="R174" s="8"/>
      <c r="S174" s="6">
        <v>34</v>
      </c>
      <c r="T174" s="6" t="s">
        <v>342</v>
      </c>
      <c r="U174" s="8"/>
    </row>
    <row r="175" spans="1:21" ht="12.75" customHeight="1" x14ac:dyDescent="0.2">
      <c r="A175" s="6" t="s">
        <v>169</v>
      </c>
      <c r="B175" s="6" t="s">
        <v>318</v>
      </c>
      <c r="C175" s="6" t="s">
        <v>75</v>
      </c>
      <c r="D175" s="6">
        <v>1</v>
      </c>
      <c r="E175" s="8"/>
      <c r="F175" s="6" t="s">
        <v>264</v>
      </c>
      <c r="G175" s="6" t="s">
        <v>239</v>
      </c>
      <c r="H175" s="6" t="s">
        <v>219</v>
      </c>
      <c r="I175" s="6" t="s">
        <v>248</v>
      </c>
      <c r="J175" s="6">
        <v>2</v>
      </c>
      <c r="K175" s="6">
        <v>1</v>
      </c>
      <c r="L175" s="6">
        <v>2</v>
      </c>
      <c r="M175" s="6">
        <v>38.5</v>
      </c>
      <c r="N175" s="6">
        <v>77</v>
      </c>
      <c r="O175" s="8"/>
      <c r="P175" s="8"/>
      <c r="Q175" s="8"/>
      <c r="R175" s="8"/>
      <c r="S175" s="6">
        <v>34</v>
      </c>
      <c r="T175" s="6" t="s">
        <v>265</v>
      </c>
      <c r="U175" s="8"/>
    </row>
    <row r="176" spans="1:21" ht="12.75" customHeight="1" x14ac:dyDescent="0.2">
      <c r="A176" s="6" t="s">
        <v>169</v>
      </c>
      <c r="B176" s="6" t="s">
        <v>318</v>
      </c>
      <c r="C176" s="6" t="s">
        <v>75</v>
      </c>
      <c r="D176" s="6">
        <v>1</v>
      </c>
      <c r="E176" s="8"/>
      <c r="F176" s="6" t="s">
        <v>284</v>
      </c>
      <c r="G176" s="6" t="s">
        <v>244</v>
      </c>
      <c r="H176" s="6" t="s">
        <v>219</v>
      </c>
      <c r="I176" s="6" t="s">
        <v>248</v>
      </c>
      <c r="J176" s="6">
        <v>0.5</v>
      </c>
      <c r="K176" s="6">
        <v>1</v>
      </c>
      <c r="L176" s="6">
        <v>0.5</v>
      </c>
      <c r="M176" s="6">
        <v>53</v>
      </c>
      <c r="N176" s="6">
        <v>26.5</v>
      </c>
      <c r="O176" s="8"/>
      <c r="P176" s="8"/>
      <c r="Q176" s="8"/>
      <c r="R176" s="8"/>
      <c r="S176" s="6">
        <v>34</v>
      </c>
      <c r="T176" s="6" t="s">
        <v>352</v>
      </c>
      <c r="U176" s="8"/>
    </row>
    <row r="177" spans="1:21" ht="12.75" customHeight="1" x14ac:dyDescent="0.2">
      <c r="A177" s="6" t="s">
        <v>169</v>
      </c>
      <c r="B177" s="6" t="s">
        <v>318</v>
      </c>
      <c r="C177" s="6" t="s">
        <v>75</v>
      </c>
      <c r="D177" s="6">
        <v>1</v>
      </c>
      <c r="E177" s="8"/>
      <c r="F177" s="6" t="s">
        <v>246</v>
      </c>
      <c r="G177" s="6" t="s">
        <v>218</v>
      </c>
      <c r="H177" s="6" t="s">
        <v>219</v>
      </c>
      <c r="I177" s="6" t="s">
        <v>248</v>
      </c>
      <c r="J177" s="6">
        <v>0.25</v>
      </c>
      <c r="K177" s="6">
        <v>1</v>
      </c>
      <c r="L177" s="6">
        <v>0.25</v>
      </c>
      <c r="M177" s="6">
        <v>62.5</v>
      </c>
      <c r="N177" s="6">
        <v>15.625</v>
      </c>
      <c r="O177" s="8"/>
      <c r="P177" s="8"/>
      <c r="Q177" s="8"/>
      <c r="R177" s="8"/>
      <c r="S177" s="6">
        <v>34</v>
      </c>
      <c r="T177" s="6" t="s">
        <v>237</v>
      </c>
      <c r="U177" s="8"/>
    </row>
    <row r="178" spans="1:21" ht="12.75" customHeight="1" x14ac:dyDescent="0.2">
      <c r="A178" s="6" t="s">
        <v>169</v>
      </c>
      <c r="B178" s="6" t="s">
        <v>318</v>
      </c>
      <c r="C178" s="6" t="s">
        <v>75</v>
      </c>
      <c r="D178" s="6">
        <v>1</v>
      </c>
      <c r="E178" s="8"/>
      <c r="F178" s="6" t="s">
        <v>353</v>
      </c>
      <c r="G178" s="6" t="s">
        <v>253</v>
      </c>
      <c r="H178" s="6" t="s">
        <v>181</v>
      </c>
      <c r="I178" s="6" t="s">
        <v>182</v>
      </c>
      <c r="J178" s="8"/>
      <c r="K178" s="8"/>
      <c r="L178" s="6">
        <v>5</v>
      </c>
      <c r="M178" s="6">
        <v>55</v>
      </c>
      <c r="N178" s="6">
        <v>275</v>
      </c>
      <c r="O178" s="8"/>
      <c r="P178" s="8"/>
      <c r="Q178" s="8"/>
      <c r="R178" s="8"/>
      <c r="S178" s="6">
        <v>35</v>
      </c>
      <c r="T178" s="6" t="s">
        <v>354</v>
      </c>
      <c r="U178" s="8"/>
    </row>
    <row r="179" spans="1:21" ht="12.75" customHeight="1" x14ac:dyDescent="0.2">
      <c r="A179" s="6" t="s">
        <v>169</v>
      </c>
      <c r="B179" s="6" t="s">
        <v>318</v>
      </c>
      <c r="C179" s="6" t="s">
        <v>75</v>
      </c>
      <c r="D179" s="6">
        <v>1</v>
      </c>
      <c r="E179" s="8"/>
      <c r="F179" s="6" t="s">
        <v>214</v>
      </c>
      <c r="G179" s="6" t="s">
        <v>215</v>
      </c>
      <c r="H179" s="6" t="s">
        <v>181</v>
      </c>
      <c r="I179" s="6" t="s">
        <v>182</v>
      </c>
      <c r="J179" s="8"/>
      <c r="K179" s="8"/>
      <c r="L179" s="6">
        <v>1.5</v>
      </c>
      <c r="M179" s="6">
        <v>40</v>
      </c>
      <c r="N179" s="6">
        <v>60</v>
      </c>
      <c r="O179" s="8"/>
      <c r="P179" s="8"/>
      <c r="Q179" s="8"/>
      <c r="R179" s="8"/>
      <c r="S179" s="6">
        <v>36</v>
      </c>
      <c r="T179" s="6" t="s">
        <v>189</v>
      </c>
      <c r="U179" s="8"/>
    </row>
    <row r="180" spans="1:21" ht="15" customHeight="1" x14ac:dyDescent="0.2">
      <c r="A180" s="6" t="s">
        <v>169</v>
      </c>
      <c r="B180" s="6" t="s">
        <v>318</v>
      </c>
      <c r="C180" s="6" t="s">
        <v>75</v>
      </c>
      <c r="D180" s="6">
        <v>1</v>
      </c>
      <c r="E180" s="8"/>
      <c r="F180" s="6" t="s">
        <v>250</v>
      </c>
      <c r="G180" s="6" t="s">
        <v>223</v>
      </c>
      <c r="H180" s="6" t="s">
        <v>219</v>
      </c>
      <c r="I180" s="6" t="s">
        <v>248</v>
      </c>
      <c r="J180" s="6">
        <v>12</v>
      </c>
      <c r="K180" s="6">
        <v>1.5</v>
      </c>
      <c r="L180" s="6">
        <v>18</v>
      </c>
      <c r="M180" s="6">
        <v>3.5</v>
      </c>
      <c r="N180" s="6">
        <v>63</v>
      </c>
      <c r="O180" s="8"/>
      <c r="P180" s="8"/>
      <c r="Q180" s="8"/>
      <c r="R180" s="8"/>
      <c r="S180" s="6">
        <v>36</v>
      </c>
      <c r="T180" s="6" t="s">
        <v>269</v>
      </c>
      <c r="U180" s="8"/>
    </row>
    <row r="181" spans="1:21" ht="12.75" customHeight="1" x14ac:dyDescent="0.2">
      <c r="A181" s="6" t="s">
        <v>169</v>
      </c>
      <c r="B181" s="6" t="s">
        <v>318</v>
      </c>
      <c r="C181" s="6" t="s">
        <v>75</v>
      </c>
      <c r="D181" s="6">
        <v>1</v>
      </c>
      <c r="E181" s="8"/>
      <c r="F181" s="6" t="s">
        <v>322</v>
      </c>
      <c r="G181" s="6" t="s">
        <v>188</v>
      </c>
      <c r="H181" s="6" t="s">
        <v>181</v>
      </c>
      <c r="I181" s="6" t="s">
        <v>182</v>
      </c>
      <c r="J181" s="8"/>
      <c r="K181" s="8"/>
      <c r="L181" s="6">
        <v>0.5</v>
      </c>
      <c r="M181" s="6">
        <v>9.8000000000000007</v>
      </c>
      <c r="N181" s="6">
        <v>4.9000000000000004</v>
      </c>
      <c r="O181" s="8"/>
      <c r="P181" s="8"/>
      <c r="Q181" s="8"/>
      <c r="R181" s="8"/>
      <c r="S181" s="9">
        <v>45</v>
      </c>
      <c r="T181" s="6" t="s">
        <v>329</v>
      </c>
      <c r="U181" s="8"/>
    </row>
    <row r="182" spans="1:21" ht="12.75" customHeight="1" x14ac:dyDescent="0.2">
      <c r="A182" s="6" t="s">
        <v>169</v>
      </c>
      <c r="B182" s="6" t="s">
        <v>318</v>
      </c>
      <c r="C182" s="6" t="s">
        <v>75</v>
      </c>
      <c r="D182" s="6">
        <v>1</v>
      </c>
      <c r="E182" s="8"/>
      <c r="F182" s="6" t="s">
        <v>335</v>
      </c>
      <c r="G182" s="6" t="s">
        <v>188</v>
      </c>
      <c r="H182" s="6" t="s">
        <v>181</v>
      </c>
      <c r="I182" s="6" t="s">
        <v>182</v>
      </c>
      <c r="J182" s="8"/>
      <c r="K182" s="8"/>
      <c r="L182" s="6">
        <v>0.5</v>
      </c>
      <c r="M182" s="6">
        <v>55</v>
      </c>
      <c r="N182" s="6">
        <v>27.5</v>
      </c>
      <c r="O182" s="8"/>
      <c r="P182" s="8"/>
      <c r="Q182" s="8"/>
      <c r="R182" s="8"/>
      <c r="S182" s="6">
        <v>48</v>
      </c>
      <c r="T182" s="6" t="s">
        <v>209</v>
      </c>
      <c r="U182" s="8"/>
    </row>
    <row r="183" spans="1:21" ht="12.75" customHeight="1" x14ac:dyDescent="0.2">
      <c r="A183" s="6" t="s">
        <v>169</v>
      </c>
      <c r="B183" s="6" t="s">
        <v>318</v>
      </c>
      <c r="C183" s="6" t="s">
        <v>75</v>
      </c>
      <c r="D183" s="6">
        <v>1</v>
      </c>
      <c r="E183" s="8"/>
      <c r="F183" s="6" t="s">
        <v>355</v>
      </c>
      <c r="G183" s="6" t="s">
        <v>223</v>
      </c>
      <c r="H183" s="6" t="s">
        <v>219</v>
      </c>
      <c r="I183" s="6" t="s">
        <v>248</v>
      </c>
      <c r="J183" s="6">
        <v>10</v>
      </c>
      <c r="K183" s="6">
        <v>1</v>
      </c>
      <c r="L183" s="6">
        <v>10</v>
      </c>
      <c r="M183" s="6">
        <v>1.2</v>
      </c>
      <c r="N183" s="6">
        <v>12</v>
      </c>
      <c r="O183" s="8"/>
      <c r="P183" s="8"/>
      <c r="Q183" s="8"/>
      <c r="R183" s="8"/>
      <c r="S183" s="9">
        <v>48</v>
      </c>
      <c r="T183" s="6" t="s">
        <v>227</v>
      </c>
      <c r="U183" s="8"/>
    </row>
    <row r="184" spans="1:21" ht="12.75" customHeight="1" x14ac:dyDescent="0.2">
      <c r="A184" s="6" t="s">
        <v>169</v>
      </c>
      <c r="B184" s="6" t="s">
        <v>318</v>
      </c>
      <c r="C184" s="6" t="s">
        <v>75</v>
      </c>
      <c r="D184" s="6">
        <v>1</v>
      </c>
      <c r="E184" s="8"/>
      <c r="F184" s="6" t="s">
        <v>222</v>
      </c>
      <c r="G184" s="6" t="s">
        <v>223</v>
      </c>
      <c r="H184" s="6" t="s">
        <v>219</v>
      </c>
      <c r="I184" s="6" t="s">
        <v>248</v>
      </c>
      <c r="J184" s="6">
        <v>10</v>
      </c>
      <c r="K184" s="6">
        <v>1</v>
      </c>
      <c r="L184" s="6">
        <v>5</v>
      </c>
      <c r="M184" s="6">
        <v>13.47</v>
      </c>
      <c r="N184" s="6">
        <v>67.349999999999994</v>
      </c>
      <c r="O184" s="8"/>
      <c r="P184" s="8"/>
      <c r="Q184" s="8"/>
      <c r="R184" s="8"/>
      <c r="S184" s="9">
        <v>48</v>
      </c>
      <c r="T184" s="6" t="s">
        <v>356</v>
      </c>
      <c r="U184" s="8"/>
    </row>
    <row r="185" spans="1:21" ht="12.75" customHeight="1" x14ac:dyDescent="0.2">
      <c r="A185" s="6" t="s">
        <v>169</v>
      </c>
      <c r="B185" s="6" t="s">
        <v>318</v>
      </c>
      <c r="C185" s="6" t="s">
        <v>75</v>
      </c>
      <c r="D185" s="6">
        <v>1</v>
      </c>
      <c r="E185" s="8"/>
      <c r="F185" s="6" t="s">
        <v>336</v>
      </c>
      <c r="G185" s="6" t="s">
        <v>337</v>
      </c>
      <c r="H185" s="6" t="s">
        <v>201</v>
      </c>
      <c r="I185" s="6" t="s">
        <v>226</v>
      </c>
      <c r="J185" s="6">
        <v>25</v>
      </c>
      <c r="K185" s="6">
        <v>1</v>
      </c>
      <c r="L185" s="6">
        <v>10</v>
      </c>
      <c r="M185" s="6">
        <v>4.8099999999999996</v>
      </c>
      <c r="N185" s="6">
        <v>48.1</v>
      </c>
      <c r="O185" s="8"/>
      <c r="P185" s="8"/>
      <c r="Q185" s="8"/>
      <c r="R185" s="8"/>
      <c r="S185" s="9">
        <v>48</v>
      </c>
      <c r="T185" s="6" t="s">
        <v>338</v>
      </c>
      <c r="U185" s="8"/>
    </row>
    <row r="186" spans="1:21" ht="12.75" customHeight="1" x14ac:dyDescent="0.2">
      <c r="A186" s="6" t="s">
        <v>169</v>
      </c>
      <c r="B186" s="6" t="s">
        <v>318</v>
      </c>
      <c r="C186" s="6" t="s">
        <v>75</v>
      </c>
      <c r="D186" s="6">
        <v>1</v>
      </c>
      <c r="E186" s="8"/>
      <c r="F186" s="6" t="s">
        <v>203</v>
      </c>
      <c r="G186" s="6" t="s">
        <v>337</v>
      </c>
      <c r="H186" s="6" t="s">
        <v>201</v>
      </c>
      <c r="I186" s="6" t="s">
        <v>226</v>
      </c>
      <c r="J186" s="6">
        <v>25</v>
      </c>
      <c r="K186" s="6">
        <v>1</v>
      </c>
      <c r="L186" s="6">
        <v>25</v>
      </c>
      <c r="M186" s="6">
        <v>4.88</v>
      </c>
      <c r="N186" s="6">
        <v>122</v>
      </c>
      <c r="O186" s="8"/>
      <c r="P186" s="8"/>
      <c r="Q186" s="8"/>
      <c r="R186" s="8"/>
      <c r="S186" s="9">
        <v>48</v>
      </c>
      <c r="T186" s="6" t="s">
        <v>339</v>
      </c>
      <c r="U186" s="8"/>
    </row>
    <row r="187" spans="1:21" ht="12.75" customHeight="1" x14ac:dyDescent="0.2">
      <c r="A187" s="6" t="s">
        <v>169</v>
      </c>
      <c r="B187" s="6" t="s">
        <v>318</v>
      </c>
      <c r="C187" s="6" t="s">
        <v>75</v>
      </c>
      <c r="D187" s="6">
        <v>1</v>
      </c>
      <c r="E187" s="8"/>
      <c r="F187" s="6" t="s">
        <v>214</v>
      </c>
      <c r="G187" s="6" t="s">
        <v>215</v>
      </c>
      <c r="H187" s="6" t="s">
        <v>181</v>
      </c>
      <c r="I187" s="6" t="s">
        <v>182</v>
      </c>
      <c r="J187" s="8"/>
      <c r="K187" s="8"/>
      <c r="L187" s="6">
        <v>1</v>
      </c>
      <c r="M187" s="6">
        <v>40</v>
      </c>
      <c r="N187" s="6">
        <v>40</v>
      </c>
      <c r="O187" s="8"/>
      <c r="P187" s="8"/>
      <c r="Q187" s="8"/>
      <c r="R187" s="8"/>
      <c r="S187" s="6">
        <v>50</v>
      </c>
      <c r="T187" s="6" t="s">
        <v>229</v>
      </c>
      <c r="U187" s="8"/>
    </row>
    <row r="188" spans="1:21" ht="12.75" customHeight="1" x14ac:dyDescent="0.2">
      <c r="A188" s="6" t="s">
        <v>169</v>
      </c>
      <c r="B188" s="6" t="s">
        <v>318</v>
      </c>
      <c r="C188" s="6" t="s">
        <v>75</v>
      </c>
      <c r="D188" s="6">
        <v>1</v>
      </c>
      <c r="E188" s="8"/>
      <c r="F188" s="6" t="s">
        <v>230</v>
      </c>
      <c r="G188" s="6" t="s">
        <v>231</v>
      </c>
      <c r="H188" s="6" t="s">
        <v>219</v>
      </c>
      <c r="I188" s="6" t="s">
        <v>248</v>
      </c>
      <c r="J188" s="6">
        <v>0.04</v>
      </c>
      <c r="K188" s="6">
        <v>1</v>
      </c>
      <c r="L188" s="6">
        <v>0.04</v>
      </c>
      <c r="M188" s="6">
        <v>53.2</v>
      </c>
      <c r="N188" s="6">
        <v>2.1280000000000001</v>
      </c>
      <c r="O188" s="8"/>
      <c r="P188" s="8"/>
      <c r="Q188" s="8"/>
      <c r="R188" s="8"/>
      <c r="S188" s="6">
        <v>50</v>
      </c>
      <c r="T188" s="6" t="s">
        <v>232</v>
      </c>
      <c r="U188" s="8"/>
    </row>
    <row r="189" spans="1:21" ht="12.75" customHeight="1" x14ac:dyDescent="0.2">
      <c r="A189" s="6" t="s">
        <v>169</v>
      </c>
      <c r="B189" s="6" t="s">
        <v>318</v>
      </c>
      <c r="C189" s="6" t="s">
        <v>75</v>
      </c>
      <c r="D189" s="6">
        <v>1</v>
      </c>
      <c r="E189" s="8"/>
      <c r="F189" s="6" t="s">
        <v>255</v>
      </c>
      <c r="G189" s="6" t="s">
        <v>218</v>
      </c>
      <c r="H189" s="6" t="s">
        <v>219</v>
      </c>
      <c r="I189" s="6" t="s">
        <v>282</v>
      </c>
      <c r="J189" s="6">
        <v>0.5</v>
      </c>
      <c r="K189" s="6">
        <v>1</v>
      </c>
      <c r="L189" s="6">
        <v>0.5</v>
      </c>
      <c r="M189" s="6">
        <v>40</v>
      </c>
      <c r="N189" s="6">
        <v>20</v>
      </c>
      <c r="O189" s="8"/>
      <c r="P189" s="8"/>
      <c r="Q189" s="8"/>
      <c r="R189" s="8"/>
      <c r="S189" s="6">
        <v>50</v>
      </c>
      <c r="T189" s="6" t="s">
        <v>257</v>
      </c>
      <c r="U189" s="8"/>
    </row>
    <row r="190" spans="1:21" ht="12.75" customHeight="1" x14ac:dyDescent="0.2">
      <c r="A190" s="6" t="s">
        <v>169</v>
      </c>
      <c r="B190" s="6" t="s">
        <v>318</v>
      </c>
      <c r="C190" s="6" t="s">
        <v>75</v>
      </c>
      <c r="D190" s="6">
        <v>1</v>
      </c>
      <c r="E190" s="8"/>
      <c r="F190" s="6" t="s">
        <v>264</v>
      </c>
      <c r="G190" s="6" t="s">
        <v>239</v>
      </c>
      <c r="H190" s="6" t="s">
        <v>219</v>
      </c>
      <c r="I190" s="6" t="s">
        <v>248</v>
      </c>
      <c r="J190" s="6">
        <v>2</v>
      </c>
      <c r="K190" s="6">
        <v>1</v>
      </c>
      <c r="L190" s="6">
        <v>2</v>
      </c>
      <c r="M190" s="6">
        <v>38.5</v>
      </c>
      <c r="N190" s="6">
        <v>77</v>
      </c>
      <c r="O190" s="8"/>
      <c r="P190" s="8"/>
      <c r="Q190" s="8"/>
      <c r="R190" s="8"/>
      <c r="S190" s="6">
        <v>50</v>
      </c>
      <c r="T190" s="6" t="s">
        <v>265</v>
      </c>
      <c r="U190" s="8"/>
    </row>
    <row r="191" spans="1:21" ht="12.75" customHeight="1" x14ac:dyDescent="0.2">
      <c r="A191" s="6" t="s">
        <v>169</v>
      </c>
      <c r="B191" s="6" t="s">
        <v>318</v>
      </c>
      <c r="C191" s="6" t="s">
        <v>75</v>
      </c>
      <c r="D191" s="6">
        <v>1</v>
      </c>
      <c r="E191" s="8"/>
      <c r="F191" s="6" t="s">
        <v>236</v>
      </c>
      <c r="G191" s="6" t="s">
        <v>218</v>
      </c>
      <c r="H191" s="6" t="s">
        <v>219</v>
      </c>
      <c r="I191" s="6" t="s">
        <v>248</v>
      </c>
      <c r="J191" s="6">
        <v>0.25</v>
      </c>
      <c r="K191" s="6">
        <v>1</v>
      </c>
      <c r="L191" s="6">
        <v>0.25</v>
      </c>
      <c r="M191" s="6">
        <v>62.25</v>
      </c>
      <c r="N191" s="6">
        <v>15.563000000000001</v>
      </c>
      <c r="O191" s="8"/>
      <c r="P191" s="8"/>
      <c r="Q191" s="8"/>
      <c r="R191" s="8"/>
      <c r="S191" s="6">
        <v>50</v>
      </c>
      <c r="T191" s="6" t="s">
        <v>341</v>
      </c>
      <c r="U191" s="8"/>
    </row>
    <row r="192" spans="1:21" ht="13.5" customHeight="1" x14ac:dyDescent="0.2">
      <c r="A192" s="6" t="s">
        <v>169</v>
      </c>
      <c r="B192" s="6" t="s">
        <v>318</v>
      </c>
      <c r="C192" s="6" t="s">
        <v>75</v>
      </c>
      <c r="D192" s="6">
        <v>1</v>
      </c>
      <c r="E192" s="8"/>
      <c r="F192" s="6" t="s">
        <v>353</v>
      </c>
      <c r="G192" s="6" t="s">
        <v>253</v>
      </c>
      <c r="H192" s="6" t="s">
        <v>181</v>
      </c>
      <c r="I192" s="6" t="s">
        <v>182</v>
      </c>
      <c r="J192" s="8"/>
      <c r="K192" s="8"/>
      <c r="L192" s="6">
        <v>0</v>
      </c>
      <c r="M192" s="6">
        <v>55</v>
      </c>
      <c r="N192" s="6">
        <v>0</v>
      </c>
      <c r="O192" s="8"/>
      <c r="P192" s="8"/>
      <c r="Q192" s="8"/>
      <c r="R192" s="8"/>
      <c r="S192" s="6">
        <v>55</v>
      </c>
      <c r="T192" s="6" t="s">
        <v>88</v>
      </c>
      <c r="U192" s="8"/>
    </row>
    <row r="193" spans="1:21" ht="12.75" customHeight="1" x14ac:dyDescent="0.2">
      <c r="A193" s="6" t="s">
        <v>169</v>
      </c>
      <c r="B193" s="6" t="s">
        <v>318</v>
      </c>
      <c r="C193" s="6" t="s">
        <v>75</v>
      </c>
      <c r="D193" s="6">
        <v>1</v>
      </c>
      <c r="E193" s="8"/>
      <c r="F193" s="6" t="s">
        <v>281</v>
      </c>
      <c r="G193" s="6" t="s">
        <v>215</v>
      </c>
      <c r="H193" s="6" t="s">
        <v>181</v>
      </c>
      <c r="I193" s="6" t="s">
        <v>182</v>
      </c>
      <c r="J193" s="6">
        <v>1.5</v>
      </c>
      <c r="K193" s="6">
        <v>1</v>
      </c>
      <c r="L193" s="6">
        <v>1.5</v>
      </c>
      <c r="M193" s="6">
        <v>65</v>
      </c>
      <c r="N193" s="6">
        <v>97.5</v>
      </c>
      <c r="O193" s="8"/>
      <c r="P193" s="8"/>
      <c r="Q193" s="8"/>
      <c r="R193" s="8"/>
      <c r="S193" s="6">
        <v>64</v>
      </c>
      <c r="T193" s="6" t="s">
        <v>34</v>
      </c>
      <c r="U193" s="8"/>
    </row>
    <row r="194" spans="1:21" ht="12.75" customHeight="1" x14ac:dyDescent="0.2">
      <c r="A194" s="6" t="s">
        <v>169</v>
      </c>
      <c r="B194" s="6" t="s">
        <v>318</v>
      </c>
      <c r="C194" s="6" t="s">
        <v>75</v>
      </c>
      <c r="D194" s="6">
        <v>1</v>
      </c>
      <c r="E194" s="8"/>
      <c r="F194" s="6" t="s">
        <v>230</v>
      </c>
      <c r="G194" s="6" t="s">
        <v>231</v>
      </c>
      <c r="H194" s="6" t="s">
        <v>219</v>
      </c>
      <c r="I194" s="6" t="s">
        <v>248</v>
      </c>
      <c r="J194" s="6">
        <v>0.04</v>
      </c>
      <c r="K194" s="6">
        <v>1.5</v>
      </c>
      <c r="L194" s="6">
        <v>0.06</v>
      </c>
      <c r="M194" s="6">
        <v>53.2</v>
      </c>
      <c r="N194" s="6">
        <v>3.1920000000000002</v>
      </c>
      <c r="O194" s="8"/>
      <c r="P194" s="8"/>
      <c r="Q194" s="8"/>
      <c r="R194" s="8"/>
      <c r="S194" s="6">
        <v>65</v>
      </c>
      <c r="T194" s="6" t="s">
        <v>272</v>
      </c>
      <c r="U194" s="8"/>
    </row>
    <row r="195" spans="1:21" ht="12.75" customHeight="1" x14ac:dyDescent="0.2">
      <c r="A195" s="6" t="s">
        <v>169</v>
      </c>
      <c r="B195" s="6" t="s">
        <v>318</v>
      </c>
      <c r="C195" s="6" t="s">
        <v>75</v>
      </c>
      <c r="D195" s="6">
        <v>1</v>
      </c>
      <c r="E195" s="8"/>
      <c r="F195" s="6" t="s">
        <v>241</v>
      </c>
      <c r="G195" s="6" t="s">
        <v>218</v>
      </c>
      <c r="H195" s="6" t="s">
        <v>219</v>
      </c>
      <c r="I195" s="6" t="s">
        <v>282</v>
      </c>
      <c r="J195" s="6">
        <v>0.2</v>
      </c>
      <c r="K195" s="6">
        <v>1.5</v>
      </c>
      <c r="L195" s="6">
        <v>0.3</v>
      </c>
      <c r="M195" s="6">
        <v>101.78</v>
      </c>
      <c r="N195" s="6">
        <v>30.533999999999999</v>
      </c>
      <c r="O195" s="8"/>
      <c r="P195" s="8"/>
      <c r="Q195" s="8"/>
      <c r="R195" s="8"/>
      <c r="S195" s="6">
        <v>65</v>
      </c>
      <c r="T195" s="6" t="s">
        <v>283</v>
      </c>
      <c r="U195" s="8"/>
    </row>
    <row r="196" spans="1:21" ht="12.75" customHeight="1" x14ac:dyDescent="0.2">
      <c r="A196" s="6" t="s">
        <v>169</v>
      </c>
      <c r="B196" s="6" t="s">
        <v>318</v>
      </c>
      <c r="C196" s="6" t="s">
        <v>75</v>
      </c>
      <c r="D196" s="6">
        <v>1</v>
      </c>
      <c r="E196" s="8"/>
      <c r="F196" s="6" t="s">
        <v>284</v>
      </c>
      <c r="G196" s="6" t="s">
        <v>244</v>
      </c>
      <c r="H196" s="6" t="s">
        <v>219</v>
      </c>
      <c r="I196" s="6" t="s">
        <v>220</v>
      </c>
      <c r="J196" s="6">
        <v>0.5</v>
      </c>
      <c r="K196" s="6">
        <v>1.5</v>
      </c>
      <c r="L196" s="6">
        <v>0.75</v>
      </c>
      <c r="M196" s="6">
        <v>53</v>
      </c>
      <c r="N196" s="6">
        <v>39.75</v>
      </c>
      <c r="O196" s="8"/>
      <c r="P196" s="8"/>
      <c r="Q196" s="8"/>
      <c r="R196" s="8"/>
      <c r="S196" s="6">
        <v>65</v>
      </c>
      <c r="T196" s="6" t="s">
        <v>285</v>
      </c>
      <c r="U196" s="8"/>
    </row>
    <row r="197" spans="1:21" ht="12.75" customHeight="1" x14ac:dyDescent="0.2">
      <c r="A197" s="6" t="s">
        <v>169</v>
      </c>
      <c r="B197" s="6" t="s">
        <v>318</v>
      </c>
      <c r="C197" s="6" t="s">
        <v>75</v>
      </c>
      <c r="D197" s="6">
        <v>1</v>
      </c>
      <c r="E197" s="8"/>
      <c r="F197" s="6" t="s">
        <v>286</v>
      </c>
      <c r="G197" s="6" t="s">
        <v>239</v>
      </c>
      <c r="H197" s="6" t="s">
        <v>219</v>
      </c>
      <c r="I197" s="6" t="s">
        <v>282</v>
      </c>
      <c r="J197" s="6">
        <v>3</v>
      </c>
      <c r="K197" s="6">
        <v>1.5</v>
      </c>
      <c r="L197" s="6">
        <v>4.5</v>
      </c>
      <c r="M197" s="6">
        <v>22.72</v>
      </c>
      <c r="N197" s="6">
        <v>102.24</v>
      </c>
      <c r="O197" s="8"/>
      <c r="P197" s="8"/>
      <c r="Q197" s="8"/>
      <c r="R197" s="8"/>
      <c r="S197" s="6">
        <v>65</v>
      </c>
      <c r="T197" s="6" t="s">
        <v>287</v>
      </c>
      <c r="U197" s="8"/>
    </row>
    <row r="198" spans="1:21" ht="15" customHeight="1" x14ac:dyDescent="0.2">
      <c r="A198" s="6" t="s">
        <v>169</v>
      </c>
      <c r="B198" s="6" t="s">
        <v>318</v>
      </c>
      <c r="C198" s="6" t="s">
        <v>75</v>
      </c>
      <c r="D198" s="6">
        <v>1</v>
      </c>
      <c r="E198" s="8"/>
      <c r="F198" s="6" t="s">
        <v>236</v>
      </c>
      <c r="G198" s="6" t="s">
        <v>218</v>
      </c>
      <c r="H198" s="6" t="s">
        <v>219</v>
      </c>
      <c r="I198" s="6" t="s">
        <v>248</v>
      </c>
      <c r="J198" s="6">
        <v>0.25</v>
      </c>
      <c r="K198" s="6">
        <v>1.5</v>
      </c>
      <c r="L198" s="6">
        <v>0.375</v>
      </c>
      <c r="M198" s="6">
        <v>62.5</v>
      </c>
      <c r="N198" s="6">
        <v>23.437999999999999</v>
      </c>
      <c r="O198" s="8"/>
      <c r="P198" s="8"/>
      <c r="Q198" s="8"/>
      <c r="R198" s="8"/>
      <c r="S198" s="6">
        <v>65</v>
      </c>
      <c r="T198" s="6" t="s">
        <v>288</v>
      </c>
      <c r="U198" s="8"/>
    </row>
    <row r="199" spans="1:21" ht="12.75" customHeight="1" x14ac:dyDescent="0.2">
      <c r="A199" s="6" t="s">
        <v>169</v>
      </c>
      <c r="B199" s="6" t="s">
        <v>318</v>
      </c>
      <c r="C199" s="6" t="s">
        <v>75</v>
      </c>
      <c r="D199" s="6">
        <v>1</v>
      </c>
      <c r="E199" s="8"/>
      <c r="F199" s="6" t="s">
        <v>250</v>
      </c>
      <c r="G199" s="6" t="s">
        <v>223</v>
      </c>
      <c r="H199" s="6" t="s">
        <v>219</v>
      </c>
      <c r="I199" s="6" t="s">
        <v>220</v>
      </c>
      <c r="J199" s="6">
        <v>12</v>
      </c>
      <c r="K199" s="6">
        <v>1.5</v>
      </c>
      <c r="L199" s="6">
        <v>18</v>
      </c>
      <c r="M199" s="6">
        <v>3.5</v>
      </c>
      <c r="N199" s="6">
        <v>63</v>
      </c>
      <c r="O199" s="8"/>
      <c r="P199" s="8"/>
      <c r="Q199" s="8"/>
      <c r="R199" s="8"/>
      <c r="S199" s="6">
        <v>76</v>
      </c>
      <c r="T199" s="6" t="s">
        <v>269</v>
      </c>
      <c r="U199" s="8"/>
    </row>
    <row r="200" spans="1:21" ht="12.75" customHeight="1" x14ac:dyDescent="0.2">
      <c r="A200" s="6" t="s">
        <v>169</v>
      </c>
      <c r="B200" s="6" t="s">
        <v>318</v>
      </c>
      <c r="C200" s="6" t="s">
        <v>75</v>
      </c>
      <c r="D200" s="6">
        <v>1</v>
      </c>
      <c r="E200" s="8"/>
      <c r="F200" s="6" t="s">
        <v>335</v>
      </c>
      <c r="G200" s="6" t="s">
        <v>188</v>
      </c>
      <c r="H200" s="6" t="s">
        <v>181</v>
      </c>
      <c r="I200" s="6" t="s">
        <v>182</v>
      </c>
      <c r="J200" s="8"/>
      <c r="K200" s="8"/>
      <c r="L200" s="6">
        <v>0.5</v>
      </c>
      <c r="M200" s="6">
        <v>55</v>
      </c>
      <c r="N200" s="6">
        <v>27.5</v>
      </c>
      <c r="O200" s="8"/>
      <c r="P200" s="8"/>
      <c r="Q200" s="8"/>
      <c r="R200" s="8"/>
      <c r="S200" s="6">
        <v>72</v>
      </c>
      <c r="T200" s="6" t="s">
        <v>209</v>
      </c>
      <c r="U200" s="8"/>
    </row>
    <row r="201" spans="1:21" ht="12.75" customHeight="1" x14ac:dyDescent="0.2">
      <c r="A201" s="6" t="s">
        <v>169</v>
      </c>
      <c r="B201" s="6" t="s">
        <v>318</v>
      </c>
      <c r="C201" s="6" t="s">
        <v>75</v>
      </c>
      <c r="D201" s="6">
        <v>1</v>
      </c>
      <c r="E201" s="8"/>
      <c r="F201" s="6" t="s">
        <v>355</v>
      </c>
      <c r="G201" s="6" t="s">
        <v>223</v>
      </c>
      <c r="H201" s="6" t="s">
        <v>219</v>
      </c>
      <c r="I201" s="6" t="s">
        <v>248</v>
      </c>
      <c r="J201" s="6">
        <v>10</v>
      </c>
      <c r="K201" s="6">
        <v>1</v>
      </c>
      <c r="L201" s="6">
        <v>10</v>
      </c>
      <c r="M201" s="6">
        <v>1.2</v>
      </c>
      <c r="N201" s="6">
        <v>12</v>
      </c>
      <c r="O201" s="8"/>
      <c r="P201" s="8"/>
      <c r="Q201" s="8"/>
      <c r="R201" s="8"/>
      <c r="S201" s="9">
        <v>72</v>
      </c>
      <c r="T201" s="6" t="s">
        <v>227</v>
      </c>
      <c r="U201" s="8"/>
    </row>
    <row r="202" spans="1:21" ht="12.75" customHeight="1" x14ac:dyDescent="0.2">
      <c r="A202" s="6" t="s">
        <v>169</v>
      </c>
      <c r="B202" s="6" t="s">
        <v>318</v>
      </c>
      <c r="C202" s="6" t="s">
        <v>75</v>
      </c>
      <c r="D202" s="6">
        <v>1</v>
      </c>
      <c r="E202" s="8"/>
      <c r="F202" s="6" t="s">
        <v>222</v>
      </c>
      <c r="G202" s="6" t="s">
        <v>223</v>
      </c>
      <c r="H202" s="6" t="s">
        <v>219</v>
      </c>
      <c r="I202" s="6" t="s">
        <v>248</v>
      </c>
      <c r="J202" s="6">
        <v>10</v>
      </c>
      <c r="K202" s="6">
        <v>1</v>
      </c>
      <c r="L202" s="6">
        <v>5</v>
      </c>
      <c r="M202" s="6">
        <v>13.47</v>
      </c>
      <c r="N202" s="6">
        <v>67.349999999999994</v>
      </c>
      <c r="O202" s="8"/>
      <c r="P202" s="8"/>
      <c r="Q202" s="8"/>
      <c r="R202" s="8"/>
      <c r="S202" s="9">
        <v>72</v>
      </c>
      <c r="T202" s="6" t="s">
        <v>356</v>
      </c>
      <c r="U202" s="8"/>
    </row>
    <row r="203" spans="1:21" ht="12.75" customHeight="1" x14ac:dyDescent="0.2">
      <c r="A203" s="6" t="s">
        <v>169</v>
      </c>
      <c r="B203" s="6" t="s">
        <v>318</v>
      </c>
      <c r="C203" s="6" t="s">
        <v>75</v>
      </c>
      <c r="D203" s="6">
        <v>1</v>
      </c>
      <c r="E203" s="8"/>
      <c r="F203" s="6" t="s">
        <v>357</v>
      </c>
      <c r="G203" s="6" t="s">
        <v>337</v>
      </c>
      <c r="H203" s="6" t="s">
        <v>201</v>
      </c>
      <c r="I203" s="6" t="s">
        <v>226</v>
      </c>
      <c r="J203" s="6">
        <v>25</v>
      </c>
      <c r="K203" s="6">
        <v>1</v>
      </c>
      <c r="L203" s="6">
        <v>10</v>
      </c>
      <c r="M203" s="6">
        <v>1.33</v>
      </c>
      <c r="N203" s="6">
        <v>13.3</v>
      </c>
      <c r="O203" s="8"/>
      <c r="P203" s="8"/>
      <c r="Q203" s="8"/>
      <c r="R203" s="8"/>
      <c r="S203" s="9">
        <v>72</v>
      </c>
      <c r="T203" s="6" t="s">
        <v>358</v>
      </c>
      <c r="U203" s="8"/>
    </row>
    <row r="204" spans="1:21" ht="12.75" customHeight="1" x14ac:dyDescent="0.2">
      <c r="A204" s="6" t="s">
        <v>169</v>
      </c>
      <c r="B204" s="6" t="s">
        <v>318</v>
      </c>
      <c r="C204" s="6" t="s">
        <v>75</v>
      </c>
      <c r="D204" s="6">
        <v>1</v>
      </c>
      <c r="E204" s="8"/>
      <c r="F204" s="6" t="s">
        <v>289</v>
      </c>
      <c r="G204" s="6" t="s">
        <v>188</v>
      </c>
      <c r="H204" s="6" t="s">
        <v>181</v>
      </c>
      <c r="I204" s="6" t="s">
        <v>182</v>
      </c>
      <c r="J204" s="6">
        <v>1.5</v>
      </c>
      <c r="K204" s="6">
        <v>1</v>
      </c>
      <c r="L204" s="6">
        <v>1.5</v>
      </c>
      <c r="M204" s="6">
        <v>60</v>
      </c>
      <c r="N204" s="6">
        <v>90</v>
      </c>
      <c r="O204" s="8"/>
      <c r="P204" s="8"/>
      <c r="Q204" s="8"/>
      <c r="R204" s="8"/>
      <c r="S204" s="6">
        <v>75</v>
      </c>
      <c r="T204" s="6" t="s">
        <v>213</v>
      </c>
      <c r="U204" s="8"/>
    </row>
    <row r="205" spans="1:21" ht="12.75" customHeight="1" x14ac:dyDescent="0.2">
      <c r="A205" s="6" t="s">
        <v>169</v>
      </c>
      <c r="B205" s="6" t="s">
        <v>318</v>
      </c>
      <c r="C205" s="6" t="s">
        <v>75</v>
      </c>
      <c r="D205" s="6">
        <v>1</v>
      </c>
      <c r="E205" s="8"/>
      <c r="F205" s="6" t="s">
        <v>290</v>
      </c>
      <c r="G205" s="6" t="s">
        <v>215</v>
      </c>
      <c r="H205" s="6" t="s">
        <v>181</v>
      </c>
      <c r="I205" s="6" t="s">
        <v>182</v>
      </c>
      <c r="J205" s="6">
        <v>1.5</v>
      </c>
      <c r="K205" s="6">
        <v>1</v>
      </c>
      <c r="L205" s="6">
        <v>1.5</v>
      </c>
      <c r="M205" s="6">
        <v>65</v>
      </c>
      <c r="N205" s="6">
        <v>97.5</v>
      </c>
      <c r="O205" s="8"/>
      <c r="P205" s="8"/>
      <c r="Q205" s="8"/>
      <c r="R205" s="8"/>
      <c r="S205" s="6">
        <v>80</v>
      </c>
      <c r="T205" s="6" t="s">
        <v>34</v>
      </c>
      <c r="U205" s="8"/>
    </row>
    <row r="206" spans="1:21" ht="12.75" customHeight="1" x14ac:dyDescent="0.2">
      <c r="A206" s="6" t="s">
        <v>169</v>
      </c>
      <c r="B206" s="6" t="s">
        <v>318</v>
      </c>
      <c r="C206" s="6" t="s">
        <v>75</v>
      </c>
      <c r="D206" s="6">
        <v>1</v>
      </c>
      <c r="E206" s="8"/>
      <c r="F206" s="6" t="s">
        <v>230</v>
      </c>
      <c r="G206" s="6" t="s">
        <v>231</v>
      </c>
      <c r="H206" s="6" t="s">
        <v>219</v>
      </c>
      <c r="I206" s="6" t="s">
        <v>248</v>
      </c>
      <c r="J206" s="6">
        <v>0.04</v>
      </c>
      <c r="K206" s="6">
        <v>1.5</v>
      </c>
      <c r="L206" s="6">
        <v>0.06</v>
      </c>
      <c r="M206" s="6">
        <v>53.2</v>
      </c>
      <c r="N206" s="6">
        <v>3.1920000000000002</v>
      </c>
      <c r="O206" s="8"/>
      <c r="P206" s="8"/>
      <c r="Q206" s="8"/>
      <c r="R206" s="8"/>
      <c r="S206" s="6">
        <v>80</v>
      </c>
      <c r="T206" s="6" t="s">
        <v>272</v>
      </c>
      <c r="U206" s="8"/>
    </row>
    <row r="207" spans="1:21" ht="13.5" customHeight="1" x14ac:dyDescent="0.2">
      <c r="A207" s="6" t="s">
        <v>169</v>
      </c>
      <c r="B207" s="6" t="s">
        <v>318</v>
      </c>
      <c r="C207" s="6" t="s">
        <v>75</v>
      </c>
      <c r="D207" s="6">
        <v>1</v>
      </c>
      <c r="E207" s="8"/>
      <c r="F207" s="6" t="s">
        <v>255</v>
      </c>
      <c r="G207" s="6" t="s">
        <v>218</v>
      </c>
      <c r="H207" s="6" t="s">
        <v>219</v>
      </c>
      <c r="I207" s="6" t="s">
        <v>202</v>
      </c>
      <c r="J207" s="6">
        <v>0.5</v>
      </c>
      <c r="K207" s="6">
        <v>1.5</v>
      </c>
      <c r="L207" s="6">
        <v>0.75</v>
      </c>
      <c r="M207" s="6">
        <v>40</v>
      </c>
      <c r="N207" s="6">
        <v>30</v>
      </c>
      <c r="O207" s="8"/>
      <c r="P207" s="8"/>
      <c r="Q207" s="8"/>
      <c r="R207" s="8"/>
      <c r="S207" s="6">
        <v>80</v>
      </c>
      <c r="T207" s="6" t="s">
        <v>291</v>
      </c>
      <c r="U207" s="8"/>
    </row>
    <row r="208" spans="1:21" ht="12.75" customHeight="1" x14ac:dyDescent="0.2">
      <c r="A208" s="6" t="s">
        <v>169</v>
      </c>
      <c r="B208" s="6" t="s">
        <v>318</v>
      </c>
      <c r="C208" s="6" t="s">
        <v>75</v>
      </c>
      <c r="D208" s="6">
        <v>1</v>
      </c>
      <c r="E208" s="8"/>
      <c r="F208" s="6" t="s">
        <v>292</v>
      </c>
      <c r="G208" s="6" t="s">
        <v>239</v>
      </c>
      <c r="H208" s="6" t="s">
        <v>219</v>
      </c>
      <c r="I208" s="6" t="s">
        <v>202</v>
      </c>
      <c r="J208" s="6">
        <v>0.5</v>
      </c>
      <c r="K208" s="6">
        <v>1.5</v>
      </c>
      <c r="L208" s="6">
        <v>0.75</v>
      </c>
      <c r="M208" s="6">
        <v>78.941999999999993</v>
      </c>
      <c r="N208" s="6">
        <v>59.207000000000001</v>
      </c>
      <c r="O208" s="8"/>
      <c r="P208" s="8"/>
      <c r="Q208" s="8"/>
      <c r="R208" s="8"/>
      <c r="S208" s="6">
        <v>80</v>
      </c>
      <c r="T208" s="6" t="s">
        <v>293</v>
      </c>
      <c r="U208" s="8"/>
    </row>
    <row r="209" spans="1:21" ht="12.75" customHeight="1" x14ac:dyDescent="0.2">
      <c r="A209" s="6" t="s">
        <v>169</v>
      </c>
      <c r="B209" s="6" t="s">
        <v>318</v>
      </c>
      <c r="C209" s="6" t="s">
        <v>75</v>
      </c>
      <c r="D209" s="6">
        <v>1</v>
      </c>
      <c r="E209" s="8"/>
      <c r="F209" s="6" t="s">
        <v>246</v>
      </c>
      <c r="G209" s="6" t="s">
        <v>218</v>
      </c>
      <c r="H209" s="6" t="s">
        <v>219</v>
      </c>
      <c r="I209" s="6" t="s">
        <v>248</v>
      </c>
      <c r="J209" s="6">
        <v>0.25</v>
      </c>
      <c r="K209" s="6">
        <v>1.5</v>
      </c>
      <c r="L209" s="6">
        <v>0.375</v>
      </c>
      <c r="M209" s="6">
        <v>62.5</v>
      </c>
      <c r="N209" s="6">
        <v>23.437999999999999</v>
      </c>
      <c r="O209" s="8"/>
      <c r="P209" s="8"/>
      <c r="Q209" s="8"/>
      <c r="R209" s="8"/>
      <c r="S209" s="6">
        <v>80</v>
      </c>
      <c r="T209" s="6" t="s">
        <v>288</v>
      </c>
      <c r="U209" s="8"/>
    </row>
    <row r="210" spans="1:21" ht="12.75" customHeight="1" x14ac:dyDescent="0.2">
      <c r="A210" s="6" t="s">
        <v>169</v>
      </c>
      <c r="B210" s="6" t="s">
        <v>318</v>
      </c>
      <c r="C210" s="6" t="s">
        <v>75</v>
      </c>
      <c r="D210" s="6">
        <v>1</v>
      </c>
      <c r="E210" s="8"/>
      <c r="F210" s="6" t="s">
        <v>286</v>
      </c>
      <c r="G210" s="6" t="s">
        <v>239</v>
      </c>
      <c r="H210" s="6" t="s">
        <v>219</v>
      </c>
      <c r="I210" s="6" t="s">
        <v>202</v>
      </c>
      <c r="J210" s="6">
        <v>3</v>
      </c>
      <c r="K210" s="6">
        <v>1.5</v>
      </c>
      <c r="L210" s="6">
        <v>4.5</v>
      </c>
      <c r="M210" s="6">
        <v>22.72</v>
      </c>
      <c r="N210" s="6">
        <v>102.24</v>
      </c>
      <c r="O210" s="8"/>
      <c r="P210" s="8"/>
      <c r="Q210" s="8"/>
      <c r="R210" s="8"/>
      <c r="S210" s="6">
        <v>80</v>
      </c>
      <c r="T210" s="6" t="s">
        <v>287</v>
      </c>
      <c r="U210" s="8"/>
    </row>
    <row r="211" spans="1:21" ht="12.75" customHeight="1" x14ac:dyDescent="0.2">
      <c r="A211" s="6" t="s">
        <v>169</v>
      </c>
      <c r="B211" s="6" t="s">
        <v>318</v>
      </c>
      <c r="C211" s="6" t="s">
        <v>75</v>
      </c>
      <c r="D211" s="6">
        <v>1</v>
      </c>
      <c r="E211" s="8"/>
      <c r="F211" s="6" t="s">
        <v>335</v>
      </c>
      <c r="G211" s="6" t="s">
        <v>188</v>
      </c>
      <c r="H211" s="6" t="s">
        <v>181</v>
      </c>
      <c r="I211" s="6" t="s">
        <v>182</v>
      </c>
      <c r="J211" s="8"/>
      <c r="K211" s="8"/>
      <c r="L211" s="6">
        <v>0.5</v>
      </c>
      <c r="M211" s="6">
        <v>55</v>
      </c>
      <c r="N211" s="6">
        <v>27.5</v>
      </c>
      <c r="O211" s="8"/>
      <c r="P211" s="8"/>
      <c r="Q211" s="8"/>
      <c r="R211" s="8"/>
      <c r="S211" s="6">
        <v>91</v>
      </c>
      <c r="T211" s="6" t="s">
        <v>209</v>
      </c>
      <c r="U211" s="8"/>
    </row>
    <row r="212" spans="1:21" ht="12.75" customHeight="1" x14ac:dyDescent="0.2">
      <c r="A212" s="6" t="s">
        <v>169</v>
      </c>
      <c r="B212" s="6" t="s">
        <v>318</v>
      </c>
      <c r="C212" s="6" t="s">
        <v>75</v>
      </c>
      <c r="D212" s="6">
        <v>1</v>
      </c>
      <c r="E212" s="8"/>
      <c r="F212" s="6" t="s">
        <v>355</v>
      </c>
      <c r="G212" s="6" t="s">
        <v>223</v>
      </c>
      <c r="H212" s="6" t="s">
        <v>219</v>
      </c>
      <c r="I212" s="6" t="s">
        <v>248</v>
      </c>
      <c r="J212" s="6">
        <v>10</v>
      </c>
      <c r="K212" s="6">
        <v>1</v>
      </c>
      <c r="L212" s="6">
        <v>10</v>
      </c>
      <c r="M212" s="6">
        <v>1.2</v>
      </c>
      <c r="N212" s="6">
        <v>12</v>
      </c>
      <c r="O212" s="8"/>
      <c r="P212" s="8"/>
      <c r="Q212" s="8"/>
      <c r="R212" s="8"/>
      <c r="S212" s="9">
        <v>91</v>
      </c>
      <c r="T212" s="6" t="s">
        <v>227</v>
      </c>
      <c r="U212" s="8"/>
    </row>
    <row r="213" spans="1:21" ht="12.75" customHeight="1" x14ac:dyDescent="0.2">
      <c r="A213" s="6" t="s">
        <v>169</v>
      </c>
      <c r="B213" s="6" t="s">
        <v>318</v>
      </c>
      <c r="C213" s="6" t="s">
        <v>75</v>
      </c>
      <c r="D213" s="6">
        <v>1</v>
      </c>
      <c r="E213" s="8"/>
      <c r="F213" s="6" t="s">
        <v>222</v>
      </c>
      <c r="G213" s="6" t="s">
        <v>223</v>
      </c>
      <c r="H213" s="6" t="s">
        <v>219</v>
      </c>
      <c r="I213" s="6" t="s">
        <v>248</v>
      </c>
      <c r="J213" s="6">
        <v>10</v>
      </c>
      <c r="K213" s="6">
        <v>1</v>
      </c>
      <c r="L213" s="6">
        <v>5</v>
      </c>
      <c r="M213" s="6">
        <v>13.47</v>
      </c>
      <c r="N213" s="6">
        <v>67.349999999999994</v>
      </c>
      <c r="O213" s="8"/>
      <c r="P213" s="8"/>
      <c r="Q213" s="8"/>
      <c r="R213" s="8"/>
      <c r="S213" s="9">
        <v>91</v>
      </c>
      <c r="T213" s="6" t="s">
        <v>356</v>
      </c>
      <c r="U213" s="8"/>
    </row>
    <row r="214" spans="1:21" ht="12.75" customHeight="1" x14ac:dyDescent="0.2">
      <c r="A214" s="6" t="s">
        <v>169</v>
      </c>
      <c r="B214" s="6" t="s">
        <v>318</v>
      </c>
      <c r="C214" s="6" t="s">
        <v>75</v>
      </c>
      <c r="D214" s="6">
        <v>1</v>
      </c>
      <c r="E214" s="8"/>
      <c r="F214" s="6" t="s">
        <v>336</v>
      </c>
      <c r="G214" s="6" t="s">
        <v>337</v>
      </c>
      <c r="H214" s="6" t="s">
        <v>201</v>
      </c>
      <c r="I214" s="6" t="s">
        <v>226</v>
      </c>
      <c r="J214" s="6">
        <v>25</v>
      </c>
      <c r="K214" s="6">
        <v>1</v>
      </c>
      <c r="L214" s="6">
        <v>10</v>
      </c>
      <c r="M214" s="6">
        <v>4.8099999999999996</v>
      </c>
      <c r="N214" s="6">
        <v>48.1</v>
      </c>
      <c r="O214" s="8"/>
      <c r="P214" s="8"/>
      <c r="Q214" s="8"/>
      <c r="R214" s="8"/>
      <c r="S214" s="9">
        <v>91</v>
      </c>
      <c r="T214" s="6" t="s">
        <v>338</v>
      </c>
      <c r="U214" s="8"/>
    </row>
    <row r="215" spans="1:21" ht="12.75" customHeight="1" x14ac:dyDescent="0.2">
      <c r="A215" s="6" t="s">
        <v>169</v>
      </c>
      <c r="B215" s="6" t="s">
        <v>318</v>
      </c>
      <c r="C215" s="6" t="s">
        <v>75</v>
      </c>
      <c r="D215" s="6">
        <v>1</v>
      </c>
      <c r="E215" s="8"/>
      <c r="F215" s="6" t="s">
        <v>203</v>
      </c>
      <c r="G215" s="6" t="s">
        <v>337</v>
      </c>
      <c r="H215" s="6" t="s">
        <v>201</v>
      </c>
      <c r="I215" s="6" t="s">
        <v>226</v>
      </c>
      <c r="J215" s="6">
        <v>25</v>
      </c>
      <c r="K215" s="6">
        <v>1</v>
      </c>
      <c r="L215" s="6">
        <v>25</v>
      </c>
      <c r="M215" s="6">
        <v>4.88</v>
      </c>
      <c r="N215" s="6">
        <v>122</v>
      </c>
      <c r="O215" s="8"/>
      <c r="P215" s="8"/>
      <c r="Q215" s="8"/>
      <c r="R215" s="8"/>
      <c r="S215" s="9">
        <v>91</v>
      </c>
      <c r="T215" s="6" t="s">
        <v>339</v>
      </c>
      <c r="U215" s="8"/>
    </row>
    <row r="216" spans="1:21" ht="12.75" customHeight="1" x14ac:dyDescent="0.2">
      <c r="A216" s="6" t="s">
        <v>169</v>
      </c>
      <c r="B216" s="6" t="s">
        <v>318</v>
      </c>
      <c r="C216" s="6" t="s">
        <v>75</v>
      </c>
      <c r="D216" s="6">
        <v>1</v>
      </c>
      <c r="E216" s="8"/>
      <c r="F216" s="6" t="s">
        <v>294</v>
      </c>
      <c r="G216" s="6" t="s">
        <v>215</v>
      </c>
      <c r="H216" s="6" t="s">
        <v>181</v>
      </c>
      <c r="I216" s="6" t="s">
        <v>182</v>
      </c>
      <c r="J216" s="6">
        <v>1.5</v>
      </c>
      <c r="K216" s="6">
        <v>1</v>
      </c>
      <c r="L216" s="6">
        <v>1.5</v>
      </c>
      <c r="M216" s="6">
        <v>65</v>
      </c>
      <c r="N216" s="6">
        <v>97.5</v>
      </c>
      <c r="O216" s="8"/>
      <c r="P216" s="8"/>
      <c r="Q216" s="8"/>
      <c r="R216" s="8"/>
      <c r="S216" s="6">
        <v>100</v>
      </c>
      <c r="T216" s="6" t="s">
        <v>34</v>
      </c>
      <c r="U216" s="8"/>
    </row>
    <row r="217" spans="1:21" ht="12.75" customHeight="1" x14ac:dyDescent="0.2">
      <c r="A217" s="6" t="s">
        <v>169</v>
      </c>
      <c r="B217" s="6" t="s">
        <v>318</v>
      </c>
      <c r="C217" s="6" t="s">
        <v>75</v>
      </c>
      <c r="D217" s="6">
        <v>1</v>
      </c>
      <c r="E217" s="8"/>
      <c r="F217" s="6" t="s">
        <v>230</v>
      </c>
      <c r="G217" s="6" t="s">
        <v>231</v>
      </c>
      <c r="H217" s="6" t="s">
        <v>219</v>
      </c>
      <c r="I217" s="6" t="s">
        <v>226</v>
      </c>
      <c r="J217" s="6">
        <v>0.04</v>
      </c>
      <c r="K217" s="6">
        <v>1.5</v>
      </c>
      <c r="L217" s="6">
        <v>0.06</v>
      </c>
      <c r="M217" s="6">
        <v>53.2</v>
      </c>
      <c r="N217" s="6">
        <v>3.1920000000000002</v>
      </c>
      <c r="O217" s="8"/>
      <c r="P217" s="8"/>
      <c r="Q217" s="8"/>
      <c r="R217" s="8"/>
      <c r="S217" s="6">
        <v>100</v>
      </c>
      <c r="T217" s="6" t="s">
        <v>272</v>
      </c>
      <c r="U217" s="8"/>
    </row>
    <row r="218" spans="1:21" ht="12.75" customHeight="1" x14ac:dyDescent="0.2">
      <c r="A218" s="6" t="s">
        <v>169</v>
      </c>
      <c r="B218" s="6" t="s">
        <v>318</v>
      </c>
      <c r="C218" s="6" t="s">
        <v>75</v>
      </c>
      <c r="D218" s="6">
        <v>1</v>
      </c>
      <c r="E218" s="8"/>
      <c r="F218" s="6" t="s">
        <v>241</v>
      </c>
      <c r="G218" s="6" t="s">
        <v>218</v>
      </c>
      <c r="H218" s="6" t="s">
        <v>219</v>
      </c>
      <c r="I218" s="6" t="s">
        <v>226</v>
      </c>
      <c r="J218" s="6">
        <v>0.2</v>
      </c>
      <c r="K218" s="6">
        <v>1.5</v>
      </c>
      <c r="L218" s="6">
        <v>0.3</v>
      </c>
      <c r="M218" s="6">
        <v>101.78</v>
      </c>
      <c r="N218" s="6">
        <v>30.533999999999999</v>
      </c>
      <c r="O218" s="8"/>
      <c r="P218" s="8"/>
      <c r="Q218" s="8"/>
      <c r="R218" s="8"/>
      <c r="S218" s="6">
        <v>100</v>
      </c>
      <c r="T218" s="6" t="s">
        <v>283</v>
      </c>
      <c r="U218" s="10" t="s">
        <v>359</v>
      </c>
    </row>
    <row r="219" spans="1:21" ht="12.75" customHeight="1" x14ac:dyDescent="0.2">
      <c r="A219" s="6" t="s">
        <v>169</v>
      </c>
      <c r="B219" s="6" t="s">
        <v>318</v>
      </c>
      <c r="C219" s="6" t="s">
        <v>75</v>
      </c>
      <c r="D219" s="6">
        <v>1</v>
      </c>
      <c r="E219" s="8"/>
      <c r="F219" s="6" t="s">
        <v>276</v>
      </c>
      <c r="G219" s="6" t="s">
        <v>218</v>
      </c>
      <c r="H219" s="6" t="s">
        <v>219</v>
      </c>
      <c r="I219" s="6" t="s">
        <v>248</v>
      </c>
      <c r="J219" s="6">
        <v>0.2</v>
      </c>
      <c r="K219" s="6">
        <v>1.5</v>
      </c>
      <c r="L219" s="6">
        <v>0.3</v>
      </c>
      <c r="M219" s="6">
        <v>93</v>
      </c>
      <c r="N219" s="6">
        <v>27.9</v>
      </c>
      <c r="O219" s="8"/>
      <c r="P219" s="8"/>
      <c r="Q219" s="8"/>
      <c r="R219" s="8"/>
      <c r="S219" s="6">
        <v>100</v>
      </c>
      <c r="T219" s="6" t="s">
        <v>277</v>
      </c>
      <c r="U219" s="8"/>
    </row>
    <row r="220" spans="1:21" ht="12.75" customHeight="1" x14ac:dyDescent="0.2">
      <c r="A220" s="6" t="s">
        <v>169</v>
      </c>
      <c r="B220" s="6" t="s">
        <v>318</v>
      </c>
      <c r="C220" s="6" t="s">
        <v>75</v>
      </c>
      <c r="D220" s="6">
        <v>1</v>
      </c>
      <c r="E220" s="8"/>
      <c r="F220" s="6" t="s">
        <v>295</v>
      </c>
      <c r="G220" s="6" t="s">
        <v>244</v>
      </c>
      <c r="H220" s="6" t="s">
        <v>219</v>
      </c>
      <c r="I220" s="6" t="s">
        <v>220</v>
      </c>
      <c r="J220" s="6">
        <v>0.5</v>
      </c>
      <c r="K220" s="6">
        <v>1.5</v>
      </c>
      <c r="L220" s="6">
        <v>0.75</v>
      </c>
      <c r="M220" s="6">
        <v>77.31</v>
      </c>
      <c r="N220" s="6">
        <v>57.982999999999997</v>
      </c>
      <c r="O220" s="8"/>
      <c r="P220" s="8"/>
      <c r="Q220" s="8"/>
      <c r="R220" s="8"/>
      <c r="S220" s="6">
        <v>100</v>
      </c>
      <c r="T220" s="6" t="s">
        <v>296</v>
      </c>
      <c r="U220" s="8"/>
    </row>
    <row r="221" spans="1:21" ht="12.75" customHeight="1" x14ac:dyDescent="0.2">
      <c r="A221" s="6" t="s">
        <v>169</v>
      </c>
      <c r="B221" s="6" t="s">
        <v>318</v>
      </c>
      <c r="C221" s="6" t="s">
        <v>75</v>
      </c>
      <c r="D221" s="6">
        <v>1</v>
      </c>
      <c r="E221" s="8"/>
      <c r="F221" s="6" t="s">
        <v>286</v>
      </c>
      <c r="G221" s="6" t="s">
        <v>239</v>
      </c>
      <c r="H221" s="6" t="s">
        <v>219</v>
      </c>
      <c r="I221" s="6" t="s">
        <v>226</v>
      </c>
      <c r="J221" s="6">
        <v>3</v>
      </c>
      <c r="K221" s="6">
        <v>1.5</v>
      </c>
      <c r="L221" s="6">
        <v>4.5</v>
      </c>
      <c r="M221" s="6">
        <v>22.72</v>
      </c>
      <c r="N221" s="6">
        <v>102.24</v>
      </c>
      <c r="O221" s="8"/>
      <c r="P221" s="8"/>
      <c r="Q221" s="8"/>
      <c r="R221" s="8"/>
      <c r="S221" s="6">
        <v>100</v>
      </c>
      <c r="T221" s="6" t="s">
        <v>287</v>
      </c>
      <c r="U221" s="8"/>
    </row>
    <row r="222" spans="1:21" ht="12.75" customHeight="1" x14ac:dyDescent="0.2">
      <c r="A222" s="6" t="s">
        <v>169</v>
      </c>
      <c r="B222" s="6" t="s">
        <v>318</v>
      </c>
      <c r="C222" s="6" t="s">
        <v>75</v>
      </c>
      <c r="D222" s="6">
        <v>1</v>
      </c>
      <c r="E222" s="8"/>
      <c r="F222" s="6" t="s">
        <v>335</v>
      </c>
      <c r="G222" s="6" t="s">
        <v>188</v>
      </c>
      <c r="H222" s="6" t="s">
        <v>181</v>
      </c>
      <c r="I222" s="6" t="s">
        <v>182</v>
      </c>
      <c r="J222" s="8"/>
      <c r="K222" s="8"/>
      <c r="L222" s="6">
        <v>0.5</v>
      </c>
      <c r="M222" s="6">
        <v>55</v>
      </c>
      <c r="N222" s="6">
        <v>27.5</v>
      </c>
      <c r="O222" s="8"/>
      <c r="P222" s="8"/>
      <c r="Q222" s="8"/>
      <c r="R222" s="8"/>
      <c r="S222" s="6">
        <v>110</v>
      </c>
      <c r="T222" s="6" t="s">
        <v>209</v>
      </c>
      <c r="U222" s="8"/>
    </row>
    <row r="223" spans="1:21" ht="12.75" customHeight="1" x14ac:dyDescent="0.2">
      <c r="A223" s="6" t="s">
        <v>169</v>
      </c>
      <c r="B223" s="6" t="s">
        <v>318</v>
      </c>
      <c r="C223" s="6" t="s">
        <v>75</v>
      </c>
      <c r="D223" s="6">
        <v>1</v>
      </c>
      <c r="E223" s="8"/>
      <c r="F223" s="6" t="s">
        <v>355</v>
      </c>
      <c r="G223" s="6" t="s">
        <v>223</v>
      </c>
      <c r="H223" s="6" t="s">
        <v>219</v>
      </c>
      <c r="I223" s="6" t="s">
        <v>248</v>
      </c>
      <c r="J223" s="6">
        <v>10</v>
      </c>
      <c r="K223" s="6">
        <v>1</v>
      </c>
      <c r="L223" s="6">
        <v>10</v>
      </c>
      <c r="M223" s="6">
        <v>1.2</v>
      </c>
      <c r="N223" s="6">
        <v>12</v>
      </c>
      <c r="O223" s="8"/>
      <c r="P223" s="8"/>
      <c r="Q223" s="8"/>
      <c r="R223" s="8"/>
      <c r="S223" s="9">
        <v>110</v>
      </c>
      <c r="T223" s="6" t="s">
        <v>227</v>
      </c>
      <c r="U223" s="10" t="s">
        <v>359</v>
      </c>
    </row>
    <row r="224" spans="1:21" ht="12.75" customHeight="1" x14ac:dyDescent="0.2">
      <c r="A224" s="6" t="s">
        <v>169</v>
      </c>
      <c r="B224" s="6" t="s">
        <v>318</v>
      </c>
      <c r="C224" s="6" t="s">
        <v>75</v>
      </c>
      <c r="D224" s="6">
        <v>1</v>
      </c>
      <c r="E224" s="8"/>
      <c r="F224" s="6" t="s">
        <v>222</v>
      </c>
      <c r="G224" s="6" t="s">
        <v>223</v>
      </c>
      <c r="H224" s="6" t="s">
        <v>219</v>
      </c>
      <c r="I224" s="6" t="s">
        <v>248</v>
      </c>
      <c r="J224" s="6">
        <v>10</v>
      </c>
      <c r="K224" s="6">
        <v>1</v>
      </c>
      <c r="L224" s="6">
        <v>5</v>
      </c>
      <c r="M224" s="6">
        <v>13.47</v>
      </c>
      <c r="N224" s="6">
        <v>67.349999999999994</v>
      </c>
      <c r="O224" s="8"/>
      <c r="P224" s="8"/>
      <c r="Q224" s="8"/>
      <c r="R224" s="8"/>
      <c r="S224" s="9">
        <v>110</v>
      </c>
      <c r="T224" s="6" t="s">
        <v>356</v>
      </c>
      <c r="U224" s="8"/>
    </row>
    <row r="225" spans="1:21" ht="12.75" customHeight="1" x14ac:dyDescent="0.2">
      <c r="A225" s="6" t="s">
        <v>169</v>
      </c>
      <c r="B225" s="6" t="s">
        <v>318</v>
      </c>
      <c r="C225" s="6" t="s">
        <v>75</v>
      </c>
      <c r="D225" s="6">
        <v>1</v>
      </c>
      <c r="E225" s="8"/>
      <c r="F225" s="6" t="s">
        <v>336</v>
      </c>
      <c r="G225" s="6" t="s">
        <v>337</v>
      </c>
      <c r="H225" s="6" t="s">
        <v>201</v>
      </c>
      <c r="I225" s="6" t="s">
        <v>226</v>
      </c>
      <c r="J225" s="6">
        <v>25</v>
      </c>
      <c r="K225" s="6">
        <v>1</v>
      </c>
      <c r="L225" s="6">
        <v>10</v>
      </c>
      <c r="M225" s="6">
        <v>4.8099999999999996</v>
      </c>
      <c r="N225" s="6">
        <v>48.1</v>
      </c>
      <c r="O225" s="8"/>
      <c r="P225" s="8"/>
      <c r="Q225" s="8"/>
      <c r="R225" s="8"/>
      <c r="S225" s="9">
        <v>110</v>
      </c>
      <c r="T225" s="6" t="s">
        <v>338</v>
      </c>
      <c r="U225" s="8"/>
    </row>
    <row r="226" spans="1:21" ht="12.75" customHeight="1" x14ac:dyDescent="0.2">
      <c r="A226" s="6" t="s">
        <v>169</v>
      </c>
      <c r="B226" s="6" t="s">
        <v>318</v>
      </c>
      <c r="C226" s="6" t="s">
        <v>75</v>
      </c>
      <c r="D226" s="6">
        <v>1</v>
      </c>
      <c r="E226" s="8"/>
      <c r="F226" s="6" t="s">
        <v>203</v>
      </c>
      <c r="G226" s="6" t="s">
        <v>337</v>
      </c>
      <c r="H226" s="6" t="s">
        <v>201</v>
      </c>
      <c r="I226" s="6" t="s">
        <v>226</v>
      </c>
      <c r="J226" s="6">
        <v>25</v>
      </c>
      <c r="K226" s="6">
        <v>1</v>
      </c>
      <c r="L226" s="6">
        <v>25</v>
      </c>
      <c r="M226" s="6">
        <v>4.88</v>
      </c>
      <c r="N226" s="6">
        <v>122</v>
      </c>
      <c r="O226" s="8"/>
      <c r="P226" s="8"/>
      <c r="Q226" s="8"/>
      <c r="R226" s="8"/>
      <c r="S226" s="9">
        <v>110</v>
      </c>
      <c r="T226" s="6" t="s">
        <v>339</v>
      </c>
      <c r="U226" s="8"/>
    </row>
    <row r="227" spans="1:21" ht="12.75" customHeight="1" x14ac:dyDescent="0.2">
      <c r="A227" s="6" t="s">
        <v>169</v>
      </c>
      <c r="B227" s="6" t="s">
        <v>318</v>
      </c>
      <c r="C227" s="6" t="s">
        <v>75</v>
      </c>
      <c r="D227" s="6">
        <v>1</v>
      </c>
      <c r="E227" s="8"/>
      <c r="F227" s="6" t="s">
        <v>297</v>
      </c>
      <c r="G227" s="6" t="s">
        <v>188</v>
      </c>
      <c r="H227" s="6" t="s">
        <v>181</v>
      </c>
      <c r="I227" s="6" t="s">
        <v>182</v>
      </c>
      <c r="J227" s="6">
        <v>1.5</v>
      </c>
      <c r="K227" s="6">
        <v>1</v>
      </c>
      <c r="L227" s="6">
        <v>1.5</v>
      </c>
      <c r="M227" s="6">
        <v>60</v>
      </c>
      <c r="N227" s="6">
        <v>90</v>
      </c>
      <c r="O227" s="8"/>
      <c r="P227" s="8"/>
      <c r="Q227" s="8"/>
      <c r="R227" s="8"/>
      <c r="S227" s="6">
        <v>105</v>
      </c>
      <c r="T227" s="6" t="s">
        <v>213</v>
      </c>
      <c r="U227" s="8"/>
    </row>
    <row r="228" spans="1:21" ht="12.75" customHeight="1" x14ac:dyDescent="0.2">
      <c r="A228" s="6" t="s">
        <v>169</v>
      </c>
      <c r="B228" s="6" t="s">
        <v>318</v>
      </c>
      <c r="C228" s="6" t="s">
        <v>75</v>
      </c>
      <c r="D228" s="6">
        <v>1</v>
      </c>
      <c r="E228" s="8"/>
      <c r="F228" s="6" t="s">
        <v>298</v>
      </c>
      <c r="G228" s="6" t="s">
        <v>215</v>
      </c>
      <c r="H228" s="6" t="s">
        <v>181</v>
      </c>
      <c r="I228" s="6" t="s">
        <v>182</v>
      </c>
      <c r="J228" s="6">
        <v>1.5</v>
      </c>
      <c r="K228" s="6">
        <v>1</v>
      </c>
      <c r="L228" s="6">
        <v>1.5</v>
      </c>
      <c r="M228" s="6">
        <v>65</v>
      </c>
      <c r="N228" s="6">
        <v>97.5</v>
      </c>
      <c r="O228" s="8"/>
      <c r="P228" s="8"/>
      <c r="Q228" s="8"/>
      <c r="R228" s="8"/>
      <c r="S228" s="6">
        <v>120</v>
      </c>
      <c r="T228" s="6" t="s">
        <v>34</v>
      </c>
      <c r="U228" s="8"/>
    </row>
    <row r="229" spans="1:21" ht="12.75" customHeight="1" x14ac:dyDescent="0.2">
      <c r="A229" s="6" t="s">
        <v>169</v>
      </c>
      <c r="B229" s="6" t="s">
        <v>318</v>
      </c>
      <c r="C229" s="6" t="s">
        <v>75</v>
      </c>
      <c r="D229" s="6">
        <v>1</v>
      </c>
      <c r="E229" s="8"/>
      <c r="F229" s="6" t="s">
        <v>230</v>
      </c>
      <c r="G229" s="6" t="s">
        <v>231</v>
      </c>
      <c r="H229" s="6" t="s">
        <v>219</v>
      </c>
      <c r="I229" s="6" t="s">
        <v>220</v>
      </c>
      <c r="J229" s="6">
        <v>0.04</v>
      </c>
      <c r="K229" s="6">
        <v>1.5</v>
      </c>
      <c r="L229" s="6">
        <v>0.06</v>
      </c>
      <c r="M229" s="6">
        <v>53.2</v>
      </c>
      <c r="N229" s="6">
        <v>3.1920000000000002</v>
      </c>
      <c r="O229" s="8"/>
      <c r="P229" s="8"/>
      <c r="Q229" s="8"/>
      <c r="R229" s="8"/>
      <c r="S229" s="6">
        <v>120</v>
      </c>
      <c r="T229" s="6" t="s">
        <v>272</v>
      </c>
      <c r="U229" s="8"/>
    </row>
    <row r="230" spans="1:21" ht="12.75" customHeight="1" x14ac:dyDescent="0.2">
      <c r="A230" s="6" t="s">
        <v>169</v>
      </c>
      <c r="B230" s="6" t="s">
        <v>318</v>
      </c>
      <c r="C230" s="6" t="s">
        <v>75</v>
      </c>
      <c r="D230" s="6">
        <v>1</v>
      </c>
      <c r="E230" s="8"/>
      <c r="F230" s="6" t="s">
        <v>255</v>
      </c>
      <c r="G230" s="6" t="s">
        <v>218</v>
      </c>
      <c r="H230" s="6" t="s">
        <v>219</v>
      </c>
      <c r="I230" s="6" t="s">
        <v>220</v>
      </c>
      <c r="J230" s="6">
        <v>0.5</v>
      </c>
      <c r="K230" s="6">
        <v>1.5</v>
      </c>
      <c r="L230" s="6">
        <v>0.75</v>
      </c>
      <c r="M230" s="6">
        <v>40</v>
      </c>
      <c r="N230" s="6">
        <v>30</v>
      </c>
      <c r="O230" s="8"/>
      <c r="P230" s="8"/>
      <c r="Q230" s="8"/>
      <c r="R230" s="8"/>
      <c r="S230" s="6">
        <v>120</v>
      </c>
      <c r="T230" s="6" t="s">
        <v>291</v>
      </c>
      <c r="U230" s="8"/>
    </row>
    <row r="231" spans="1:21" ht="12.75" customHeight="1" x14ac:dyDescent="0.2">
      <c r="A231" s="6" t="s">
        <v>169</v>
      </c>
      <c r="B231" s="6" t="s">
        <v>318</v>
      </c>
      <c r="C231" s="6" t="s">
        <v>75</v>
      </c>
      <c r="D231" s="6">
        <v>1</v>
      </c>
      <c r="E231" s="8"/>
      <c r="F231" s="6" t="s">
        <v>246</v>
      </c>
      <c r="G231" s="6" t="s">
        <v>218</v>
      </c>
      <c r="H231" s="6" t="s">
        <v>219</v>
      </c>
      <c r="I231" s="6" t="s">
        <v>220</v>
      </c>
      <c r="J231" s="6">
        <v>0.25</v>
      </c>
      <c r="K231" s="6">
        <v>1.5</v>
      </c>
      <c r="L231" s="6">
        <v>0.375</v>
      </c>
      <c r="M231" s="6">
        <v>62.5</v>
      </c>
      <c r="N231" s="6">
        <v>23.437999999999999</v>
      </c>
      <c r="O231" s="8"/>
      <c r="P231" s="8"/>
      <c r="Q231" s="8"/>
      <c r="R231" s="8"/>
      <c r="S231" s="6">
        <v>120</v>
      </c>
      <c r="T231" s="6" t="s">
        <v>288</v>
      </c>
      <c r="U231" s="8"/>
    </row>
    <row r="232" spans="1:21" ht="12.75" customHeight="1" x14ac:dyDescent="0.2">
      <c r="A232" s="6" t="s">
        <v>169</v>
      </c>
      <c r="B232" s="6" t="s">
        <v>318</v>
      </c>
      <c r="C232" s="6" t="s">
        <v>75</v>
      </c>
      <c r="D232" s="6">
        <v>1</v>
      </c>
      <c r="E232" s="8"/>
      <c r="F232" s="6" t="s">
        <v>292</v>
      </c>
      <c r="G232" s="6" t="s">
        <v>239</v>
      </c>
      <c r="H232" s="6" t="s">
        <v>219</v>
      </c>
      <c r="I232" s="6" t="s">
        <v>226</v>
      </c>
      <c r="J232" s="6">
        <v>0.5</v>
      </c>
      <c r="K232" s="6">
        <v>1.5</v>
      </c>
      <c r="L232" s="6">
        <v>0.75</v>
      </c>
      <c r="M232" s="6">
        <v>78.941999999999993</v>
      </c>
      <c r="N232" s="6">
        <v>59.207000000000001</v>
      </c>
      <c r="O232" s="8"/>
      <c r="P232" s="8"/>
      <c r="Q232" s="8"/>
      <c r="R232" s="8"/>
      <c r="S232" s="6">
        <v>120</v>
      </c>
      <c r="T232" s="6" t="s">
        <v>293</v>
      </c>
      <c r="U232" s="8"/>
    </row>
    <row r="233" spans="1:21" ht="12.75" customHeight="1" x14ac:dyDescent="0.2">
      <c r="A233" s="6" t="s">
        <v>169</v>
      </c>
      <c r="B233" s="6" t="s">
        <v>318</v>
      </c>
      <c r="C233" s="6" t="s">
        <v>75</v>
      </c>
      <c r="D233" s="6">
        <v>1</v>
      </c>
      <c r="E233" s="8"/>
      <c r="F233" s="6" t="s">
        <v>335</v>
      </c>
      <c r="G233" s="6" t="s">
        <v>188</v>
      </c>
      <c r="H233" s="6" t="s">
        <v>181</v>
      </c>
      <c r="I233" s="6" t="s">
        <v>182</v>
      </c>
      <c r="J233" s="8"/>
      <c r="K233" s="8"/>
      <c r="L233" s="6">
        <v>0.5</v>
      </c>
      <c r="M233" s="6">
        <v>55</v>
      </c>
      <c r="N233" s="6">
        <v>27.5</v>
      </c>
      <c r="O233" s="8"/>
      <c r="P233" s="8"/>
      <c r="Q233" s="8"/>
      <c r="R233" s="8"/>
      <c r="S233" s="6">
        <v>130</v>
      </c>
      <c r="T233" s="6" t="s">
        <v>209</v>
      </c>
      <c r="U233" s="8"/>
    </row>
    <row r="234" spans="1:21" ht="12.75" customHeight="1" x14ac:dyDescent="0.2">
      <c r="A234" s="6" t="s">
        <v>169</v>
      </c>
      <c r="B234" s="6" t="s">
        <v>318</v>
      </c>
      <c r="C234" s="6" t="s">
        <v>75</v>
      </c>
      <c r="D234" s="6">
        <v>1</v>
      </c>
      <c r="E234" s="8"/>
      <c r="F234" s="6" t="s">
        <v>355</v>
      </c>
      <c r="G234" s="6" t="s">
        <v>223</v>
      </c>
      <c r="H234" s="6" t="s">
        <v>219</v>
      </c>
      <c r="I234" s="6" t="s">
        <v>248</v>
      </c>
      <c r="J234" s="6">
        <v>10</v>
      </c>
      <c r="K234" s="6">
        <v>1</v>
      </c>
      <c r="L234" s="6">
        <v>10</v>
      </c>
      <c r="M234" s="6">
        <v>1.2</v>
      </c>
      <c r="N234" s="6">
        <v>12</v>
      </c>
      <c r="O234" s="8"/>
      <c r="P234" s="8"/>
      <c r="Q234" s="8"/>
      <c r="R234" s="8"/>
      <c r="S234" s="9">
        <v>130</v>
      </c>
      <c r="T234" s="6" t="s">
        <v>227</v>
      </c>
      <c r="U234" s="8"/>
    </row>
    <row r="235" spans="1:21" ht="12.75" customHeight="1" x14ac:dyDescent="0.2">
      <c r="A235" s="6" t="s">
        <v>169</v>
      </c>
      <c r="B235" s="6" t="s">
        <v>318</v>
      </c>
      <c r="C235" s="6" t="s">
        <v>75</v>
      </c>
      <c r="D235" s="6">
        <v>1</v>
      </c>
      <c r="E235" s="8"/>
      <c r="F235" s="6" t="s">
        <v>222</v>
      </c>
      <c r="G235" s="6" t="s">
        <v>223</v>
      </c>
      <c r="H235" s="6" t="s">
        <v>219</v>
      </c>
      <c r="I235" s="6" t="s">
        <v>248</v>
      </c>
      <c r="J235" s="6">
        <v>10</v>
      </c>
      <c r="K235" s="6">
        <v>1</v>
      </c>
      <c r="L235" s="6">
        <v>5</v>
      </c>
      <c r="M235" s="6">
        <v>13.47</v>
      </c>
      <c r="N235" s="6">
        <v>67.349999999999994</v>
      </c>
      <c r="O235" s="8"/>
      <c r="P235" s="8"/>
      <c r="Q235" s="8"/>
      <c r="R235" s="8"/>
      <c r="S235" s="9">
        <v>130</v>
      </c>
      <c r="T235" s="6" t="s">
        <v>356</v>
      </c>
      <c r="U235" s="8"/>
    </row>
    <row r="236" spans="1:21" ht="12.75" customHeight="1" x14ac:dyDescent="0.2">
      <c r="A236" s="6" t="s">
        <v>169</v>
      </c>
      <c r="B236" s="6" t="s">
        <v>318</v>
      </c>
      <c r="C236" s="6" t="s">
        <v>75</v>
      </c>
      <c r="D236" s="6">
        <v>1</v>
      </c>
      <c r="E236" s="8"/>
      <c r="F236" s="6" t="s">
        <v>336</v>
      </c>
      <c r="G236" s="6" t="s">
        <v>337</v>
      </c>
      <c r="H236" s="6" t="s">
        <v>201</v>
      </c>
      <c r="I236" s="6" t="s">
        <v>226</v>
      </c>
      <c r="J236" s="6">
        <v>25</v>
      </c>
      <c r="K236" s="6">
        <v>1</v>
      </c>
      <c r="L236" s="6">
        <v>10</v>
      </c>
      <c r="M236" s="6">
        <v>4.8099999999999996</v>
      </c>
      <c r="N236" s="6">
        <v>48.1</v>
      </c>
      <c r="O236" s="8"/>
      <c r="P236" s="8"/>
      <c r="Q236" s="8"/>
      <c r="R236" s="8"/>
      <c r="S236" s="9">
        <v>130</v>
      </c>
      <c r="T236" s="6" t="s">
        <v>338</v>
      </c>
      <c r="U236" s="8"/>
    </row>
    <row r="237" spans="1:21" ht="12.75" customHeight="1" x14ac:dyDescent="0.2">
      <c r="A237" s="6" t="s">
        <v>169</v>
      </c>
      <c r="B237" s="6" t="s">
        <v>318</v>
      </c>
      <c r="C237" s="6" t="s">
        <v>75</v>
      </c>
      <c r="D237" s="6">
        <v>1</v>
      </c>
      <c r="E237" s="8"/>
      <c r="F237" s="6" t="s">
        <v>203</v>
      </c>
      <c r="G237" s="6" t="s">
        <v>337</v>
      </c>
      <c r="H237" s="6" t="s">
        <v>201</v>
      </c>
      <c r="I237" s="6" t="s">
        <v>226</v>
      </c>
      <c r="J237" s="6">
        <v>25</v>
      </c>
      <c r="K237" s="6">
        <v>1</v>
      </c>
      <c r="L237" s="6">
        <v>25</v>
      </c>
      <c r="M237" s="6">
        <v>4.88</v>
      </c>
      <c r="N237" s="6">
        <v>122</v>
      </c>
      <c r="O237" s="8"/>
      <c r="P237" s="8"/>
      <c r="Q237" s="8"/>
      <c r="R237" s="8"/>
      <c r="S237" s="9">
        <v>130</v>
      </c>
      <c r="T237" s="6" t="s">
        <v>339</v>
      </c>
      <c r="U237" s="8"/>
    </row>
    <row r="238" spans="1:21" ht="12.75" customHeight="1" x14ac:dyDescent="0.2">
      <c r="A238" s="6" t="s">
        <v>169</v>
      </c>
      <c r="B238" s="6" t="s">
        <v>318</v>
      </c>
      <c r="C238" s="6" t="s">
        <v>75</v>
      </c>
      <c r="D238" s="6">
        <v>1</v>
      </c>
      <c r="E238" s="8"/>
      <c r="F238" s="6" t="s">
        <v>299</v>
      </c>
      <c r="G238" s="6" t="s">
        <v>188</v>
      </c>
      <c r="H238" s="6" t="s">
        <v>181</v>
      </c>
      <c r="I238" s="6" t="s">
        <v>182</v>
      </c>
      <c r="J238" s="6">
        <v>1.5</v>
      </c>
      <c r="K238" s="6">
        <v>1</v>
      </c>
      <c r="L238" s="6">
        <v>1.5</v>
      </c>
      <c r="M238" s="6">
        <v>60</v>
      </c>
      <c r="N238" s="6">
        <v>90</v>
      </c>
      <c r="O238" s="8"/>
      <c r="P238" s="8"/>
      <c r="Q238" s="8"/>
      <c r="R238" s="8"/>
      <c r="S238" s="6">
        <v>135</v>
      </c>
      <c r="T238" s="6" t="s">
        <v>213</v>
      </c>
      <c r="U238" s="8"/>
    </row>
    <row r="239" spans="1:21" ht="12.75" customHeight="1" x14ac:dyDescent="0.2">
      <c r="A239" s="6" t="s">
        <v>169</v>
      </c>
      <c r="B239" s="6" t="s">
        <v>318</v>
      </c>
      <c r="C239" s="6" t="s">
        <v>75</v>
      </c>
      <c r="D239" s="6">
        <v>1</v>
      </c>
      <c r="E239" s="8"/>
      <c r="F239" s="6" t="s">
        <v>300</v>
      </c>
      <c r="G239" s="6" t="s">
        <v>215</v>
      </c>
      <c r="H239" s="6" t="s">
        <v>181</v>
      </c>
      <c r="I239" s="6" t="s">
        <v>182</v>
      </c>
      <c r="J239" s="6">
        <v>1.5</v>
      </c>
      <c r="K239" s="6">
        <v>1</v>
      </c>
      <c r="L239" s="6">
        <v>1.5</v>
      </c>
      <c r="M239" s="6">
        <v>65</v>
      </c>
      <c r="N239" s="6">
        <v>97.5</v>
      </c>
      <c r="O239" s="8"/>
      <c r="P239" s="8"/>
      <c r="Q239" s="8"/>
      <c r="R239" s="8"/>
      <c r="S239" s="6">
        <v>150</v>
      </c>
      <c r="T239" s="6" t="s">
        <v>34</v>
      </c>
      <c r="U239" s="8"/>
    </row>
    <row r="240" spans="1:21" ht="12.75" customHeight="1" x14ac:dyDescent="0.2">
      <c r="A240" s="6" t="s">
        <v>169</v>
      </c>
      <c r="B240" s="6" t="s">
        <v>318</v>
      </c>
      <c r="C240" s="6" t="s">
        <v>75</v>
      </c>
      <c r="D240" s="6">
        <v>1</v>
      </c>
      <c r="E240" s="8"/>
      <c r="F240" s="6" t="s">
        <v>230</v>
      </c>
      <c r="G240" s="6" t="s">
        <v>231</v>
      </c>
      <c r="H240" s="6" t="s">
        <v>219</v>
      </c>
      <c r="I240" s="6" t="s">
        <v>220</v>
      </c>
      <c r="J240" s="6">
        <v>0.04</v>
      </c>
      <c r="K240" s="6">
        <v>1.5</v>
      </c>
      <c r="L240" s="6">
        <v>0.06</v>
      </c>
      <c r="M240" s="6">
        <v>53.2</v>
      </c>
      <c r="N240" s="6">
        <v>3.1920000000000002</v>
      </c>
      <c r="O240" s="8"/>
      <c r="P240" s="8"/>
      <c r="Q240" s="8"/>
      <c r="R240" s="8"/>
      <c r="S240" s="6">
        <v>150</v>
      </c>
      <c r="T240" s="6" t="s">
        <v>272</v>
      </c>
      <c r="U240" s="8"/>
    </row>
    <row r="241" spans="1:21" ht="12.75" customHeight="1" x14ac:dyDescent="0.2">
      <c r="A241" s="6" t="s">
        <v>169</v>
      </c>
      <c r="B241" s="6" t="s">
        <v>318</v>
      </c>
      <c r="C241" s="6" t="s">
        <v>75</v>
      </c>
      <c r="D241" s="6">
        <v>1</v>
      </c>
      <c r="E241" s="8"/>
      <c r="F241" s="6" t="s">
        <v>241</v>
      </c>
      <c r="G241" s="6" t="s">
        <v>218</v>
      </c>
      <c r="H241" s="6" t="s">
        <v>219</v>
      </c>
      <c r="I241" s="6" t="s">
        <v>256</v>
      </c>
      <c r="J241" s="6">
        <v>0.2</v>
      </c>
      <c r="K241" s="6">
        <v>1.5</v>
      </c>
      <c r="L241" s="6">
        <v>0.3</v>
      </c>
      <c r="M241" s="6">
        <v>101.78</v>
      </c>
      <c r="N241" s="6">
        <v>30.533999999999999</v>
      </c>
      <c r="O241" s="8"/>
      <c r="P241" s="8"/>
      <c r="Q241" s="8"/>
      <c r="R241" s="8"/>
      <c r="S241" s="6">
        <v>150</v>
      </c>
      <c r="T241" s="6" t="s">
        <v>283</v>
      </c>
      <c r="U241" s="8"/>
    </row>
    <row r="242" spans="1:21" ht="12.75" customHeight="1" x14ac:dyDescent="0.2">
      <c r="A242" s="6" t="s">
        <v>169</v>
      </c>
      <c r="B242" s="6" t="s">
        <v>318</v>
      </c>
      <c r="C242" s="6" t="s">
        <v>75</v>
      </c>
      <c r="D242" s="6">
        <v>1</v>
      </c>
      <c r="E242" s="8"/>
      <c r="F242" s="6" t="s">
        <v>276</v>
      </c>
      <c r="G242" s="6" t="s">
        <v>218</v>
      </c>
      <c r="H242" s="6" t="s">
        <v>219</v>
      </c>
      <c r="I242" s="6" t="s">
        <v>220</v>
      </c>
      <c r="J242" s="6">
        <v>0.25</v>
      </c>
      <c r="K242" s="6">
        <v>1.5</v>
      </c>
      <c r="L242" s="6">
        <v>0.375</v>
      </c>
      <c r="M242" s="6">
        <v>93</v>
      </c>
      <c r="N242" s="6">
        <v>34.875</v>
      </c>
      <c r="O242" s="8"/>
      <c r="P242" s="8"/>
      <c r="Q242" s="8"/>
      <c r="R242" s="8"/>
      <c r="S242" s="6">
        <v>150</v>
      </c>
      <c r="T242" s="6" t="s">
        <v>301</v>
      </c>
      <c r="U242" s="8"/>
    </row>
    <row r="243" spans="1:21" ht="12.75" customHeight="1" x14ac:dyDescent="0.2">
      <c r="A243" s="6" t="s">
        <v>169</v>
      </c>
      <c r="B243" s="6" t="s">
        <v>318</v>
      </c>
      <c r="C243" s="6" t="s">
        <v>75</v>
      </c>
      <c r="D243" s="6">
        <v>1</v>
      </c>
      <c r="E243" s="8"/>
      <c r="F243" s="6" t="s">
        <v>286</v>
      </c>
      <c r="G243" s="6" t="s">
        <v>239</v>
      </c>
      <c r="H243" s="6" t="s">
        <v>219</v>
      </c>
      <c r="I243" s="6" t="s">
        <v>256</v>
      </c>
      <c r="J243" s="6">
        <v>3</v>
      </c>
      <c r="K243" s="6">
        <v>1.5</v>
      </c>
      <c r="L243" s="6">
        <v>4.5</v>
      </c>
      <c r="M243" s="6">
        <v>22.72</v>
      </c>
      <c r="N243" s="6">
        <v>102.24</v>
      </c>
      <c r="O243" s="8"/>
      <c r="P243" s="8"/>
      <c r="Q243" s="8"/>
      <c r="R243" s="8"/>
      <c r="S243" s="6">
        <v>150</v>
      </c>
      <c r="T243" s="6" t="s">
        <v>287</v>
      </c>
      <c r="U243" s="8"/>
    </row>
    <row r="244" spans="1:21" ht="12.75" customHeight="1" x14ac:dyDescent="0.2">
      <c r="A244" s="6" t="s">
        <v>169</v>
      </c>
      <c r="B244" s="6" t="s">
        <v>318</v>
      </c>
      <c r="C244" s="6" t="s">
        <v>75</v>
      </c>
      <c r="D244" s="6">
        <v>1</v>
      </c>
      <c r="E244" s="8"/>
      <c r="F244" s="6" t="s">
        <v>302</v>
      </c>
      <c r="G244" s="6" t="s">
        <v>215</v>
      </c>
      <c r="H244" s="6" t="s">
        <v>181</v>
      </c>
      <c r="I244" s="6" t="s">
        <v>182</v>
      </c>
      <c r="J244" s="6">
        <v>1.5</v>
      </c>
      <c r="K244" s="6">
        <v>1</v>
      </c>
      <c r="L244" s="6">
        <v>1.5</v>
      </c>
      <c r="M244" s="6">
        <v>65</v>
      </c>
      <c r="N244" s="6">
        <v>97.5</v>
      </c>
      <c r="O244" s="8"/>
      <c r="P244" s="8"/>
      <c r="Q244" s="8"/>
      <c r="R244" s="8"/>
      <c r="S244" s="6">
        <v>180</v>
      </c>
      <c r="T244" s="6" t="s">
        <v>34</v>
      </c>
      <c r="U244" s="8"/>
    </row>
    <row r="245" spans="1:21" ht="12.75" customHeight="1" x14ac:dyDescent="0.2">
      <c r="A245" s="6" t="s">
        <v>169</v>
      </c>
      <c r="B245" s="6" t="s">
        <v>318</v>
      </c>
      <c r="C245" s="6" t="s">
        <v>75</v>
      </c>
      <c r="D245" s="6">
        <v>1</v>
      </c>
      <c r="E245" s="8"/>
      <c r="F245" s="6" t="s">
        <v>230</v>
      </c>
      <c r="G245" s="6" t="s">
        <v>231</v>
      </c>
      <c r="H245" s="6" t="s">
        <v>219</v>
      </c>
      <c r="I245" s="6" t="s">
        <v>220</v>
      </c>
      <c r="J245" s="6">
        <v>0.04</v>
      </c>
      <c r="K245" s="6">
        <v>1.5</v>
      </c>
      <c r="L245" s="6">
        <v>0.06</v>
      </c>
      <c r="M245" s="6">
        <v>53.2</v>
      </c>
      <c r="N245" s="6">
        <v>3.1920000000000002</v>
      </c>
      <c r="O245" s="8"/>
      <c r="P245" s="8"/>
      <c r="Q245" s="8"/>
      <c r="R245" s="8"/>
      <c r="S245" s="6">
        <v>180</v>
      </c>
      <c r="T245" s="6" t="s">
        <v>272</v>
      </c>
      <c r="U245" s="8"/>
    </row>
    <row r="246" spans="1:21" ht="12.75" customHeight="1" x14ac:dyDescent="0.2">
      <c r="A246" s="6" t="s">
        <v>169</v>
      </c>
      <c r="B246" s="6" t="s">
        <v>318</v>
      </c>
      <c r="C246" s="6" t="s">
        <v>75</v>
      </c>
      <c r="D246" s="6">
        <v>1</v>
      </c>
      <c r="E246" s="8"/>
      <c r="F246" s="6" t="s">
        <v>286</v>
      </c>
      <c r="G246" s="6" t="s">
        <v>239</v>
      </c>
      <c r="H246" s="6" t="s">
        <v>219</v>
      </c>
      <c r="I246" s="6" t="s">
        <v>226</v>
      </c>
      <c r="J246" s="6">
        <v>3</v>
      </c>
      <c r="K246" s="6">
        <v>1.5</v>
      </c>
      <c r="L246" s="6">
        <v>4.5</v>
      </c>
      <c r="M246" s="6">
        <v>22.72</v>
      </c>
      <c r="N246" s="6">
        <v>102.24</v>
      </c>
      <c r="O246" s="8"/>
      <c r="P246" s="8"/>
      <c r="Q246" s="8"/>
      <c r="R246" s="8"/>
      <c r="S246" s="6">
        <v>180</v>
      </c>
      <c r="T246" s="6" t="s">
        <v>287</v>
      </c>
      <c r="U246" s="8"/>
    </row>
    <row r="247" spans="1:21" ht="12.75" customHeight="1" x14ac:dyDescent="0.2">
      <c r="A247" s="6" t="s">
        <v>169</v>
      </c>
      <c r="B247" s="6" t="s">
        <v>318</v>
      </c>
      <c r="C247" s="6" t="s">
        <v>75</v>
      </c>
      <c r="D247" s="6">
        <v>1</v>
      </c>
      <c r="E247" s="8"/>
      <c r="F247" s="6" t="s">
        <v>276</v>
      </c>
      <c r="G247" s="6" t="s">
        <v>218</v>
      </c>
      <c r="H247" s="6" t="s">
        <v>219</v>
      </c>
      <c r="I247" s="6" t="s">
        <v>226</v>
      </c>
      <c r="J247" s="6">
        <v>0.25</v>
      </c>
      <c r="K247" s="6">
        <v>1.5</v>
      </c>
      <c r="L247" s="6">
        <v>0.375</v>
      </c>
      <c r="M247" s="6">
        <v>93</v>
      </c>
      <c r="N247" s="6">
        <v>34.875</v>
      </c>
      <c r="O247" s="8"/>
      <c r="P247" s="8"/>
      <c r="Q247" s="8"/>
      <c r="R247" s="8"/>
      <c r="S247" s="6">
        <v>180</v>
      </c>
      <c r="T247" s="6" t="s">
        <v>301</v>
      </c>
      <c r="U247" s="8"/>
    </row>
    <row r="248" spans="1:21" ht="12.75" customHeight="1" x14ac:dyDescent="0.2">
      <c r="A248" s="6" t="s">
        <v>169</v>
      </c>
      <c r="B248" s="6" t="s">
        <v>318</v>
      </c>
      <c r="C248" s="6" t="s">
        <v>75</v>
      </c>
      <c r="D248" s="6">
        <v>1</v>
      </c>
      <c r="E248" s="8"/>
      <c r="F248" s="6" t="s">
        <v>299</v>
      </c>
      <c r="G248" s="6" t="s">
        <v>188</v>
      </c>
      <c r="H248" s="6" t="s">
        <v>181</v>
      </c>
      <c r="I248" s="6" t="s">
        <v>182</v>
      </c>
      <c r="J248" s="6">
        <v>1.5</v>
      </c>
      <c r="K248" s="6">
        <v>1</v>
      </c>
      <c r="L248" s="6">
        <v>1.5</v>
      </c>
      <c r="M248" s="6">
        <v>60</v>
      </c>
      <c r="N248" s="6">
        <v>90</v>
      </c>
      <c r="O248" s="8"/>
      <c r="P248" s="8"/>
      <c r="Q248" s="8"/>
      <c r="R248" s="8"/>
      <c r="S248" s="6">
        <v>135</v>
      </c>
      <c r="T248" s="6" t="s">
        <v>213</v>
      </c>
      <c r="U248" s="8"/>
    </row>
    <row r="249" spans="1:21" ht="12.75" customHeight="1" x14ac:dyDescent="0.2">
      <c r="A249" s="6" t="s">
        <v>169</v>
      </c>
      <c r="B249" s="6" t="s">
        <v>318</v>
      </c>
      <c r="C249" s="6" t="s">
        <v>75</v>
      </c>
      <c r="D249" s="6">
        <v>1</v>
      </c>
      <c r="E249" s="8"/>
      <c r="F249" s="6" t="s">
        <v>303</v>
      </c>
      <c r="G249" s="6" t="s">
        <v>188</v>
      </c>
      <c r="H249" s="6" t="s">
        <v>181</v>
      </c>
      <c r="I249" s="6" t="s">
        <v>182</v>
      </c>
      <c r="J249" s="6">
        <v>1.5</v>
      </c>
      <c r="K249" s="6">
        <v>1</v>
      </c>
      <c r="L249" s="6">
        <v>1.5</v>
      </c>
      <c r="M249" s="6">
        <v>60</v>
      </c>
      <c r="N249" s="6">
        <v>90</v>
      </c>
      <c r="O249" s="8"/>
      <c r="P249" s="8"/>
      <c r="Q249" s="8"/>
      <c r="R249" s="8"/>
      <c r="S249" s="6">
        <v>165</v>
      </c>
      <c r="T249" s="6" t="s">
        <v>213</v>
      </c>
      <c r="U249" s="8"/>
    </row>
    <row r="250" spans="1:21" ht="12.75" customHeight="1" x14ac:dyDescent="0.2">
      <c r="A250" s="6" t="s">
        <v>169</v>
      </c>
      <c r="B250" s="6" t="s">
        <v>318</v>
      </c>
      <c r="C250" s="6" t="s">
        <v>75</v>
      </c>
      <c r="D250" s="6">
        <v>1</v>
      </c>
      <c r="E250" s="8"/>
      <c r="F250" s="6" t="s">
        <v>304</v>
      </c>
      <c r="G250" s="6" t="s">
        <v>215</v>
      </c>
      <c r="H250" s="6" t="s">
        <v>181</v>
      </c>
      <c r="I250" s="6" t="s">
        <v>182</v>
      </c>
      <c r="J250" s="6">
        <v>1.5</v>
      </c>
      <c r="K250" s="6">
        <v>1</v>
      </c>
      <c r="L250" s="6">
        <v>1.5</v>
      </c>
      <c r="M250" s="6">
        <v>65</v>
      </c>
      <c r="N250" s="6">
        <v>97.5</v>
      </c>
      <c r="O250" s="8"/>
      <c r="P250" s="8"/>
      <c r="Q250" s="8"/>
      <c r="R250" s="8"/>
      <c r="S250" s="6">
        <v>210</v>
      </c>
      <c r="T250" s="6" t="s">
        <v>34</v>
      </c>
      <c r="U250" s="8"/>
    </row>
    <row r="251" spans="1:21" ht="12.75" customHeight="1" x14ac:dyDescent="0.2">
      <c r="A251" s="6" t="s">
        <v>169</v>
      </c>
      <c r="B251" s="6" t="s">
        <v>318</v>
      </c>
      <c r="C251" s="6" t="s">
        <v>75</v>
      </c>
      <c r="D251" s="6">
        <v>1</v>
      </c>
      <c r="E251" s="8"/>
      <c r="F251" s="6" t="s">
        <v>230</v>
      </c>
      <c r="G251" s="6" t="s">
        <v>231</v>
      </c>
      <c r="H251" s="6" t="s">
        <v>219</v>
      </c>
      <c r="I251" s="6" t="s">
        <v>248</v>
      </c>
      <c r="J251" s="6">
        <v>0.04</v>
      </c>
      <c r="K251" s="6">
        <v>1.5</v>
      </c>
      <c r="L251" s="6">
        <v>0.06</v>
      </c>
      <c r="M251" s="6">
        <v>53.2</v>
      </c>
      <c r="N251" s="6">
        <v>3.1920000000000002</v>
      </c>
      <c r="O251" s="8"/>
      <c r="P251" s="8"/>
      <c r="Q251" s="8"/>
      <c r="R251" s="8"/>
      <c r="S251" s="6">
        <v>210</v>
      </c>
      <c r="T251" s="6" t="s">
        <v>272</v>
      </c>
      <c r="U251" s="8"/>
    </row>
    <row r="252" spans="1:21" ht="12.75" customHeight="1" x14ac:dyDescent="0.2">
      <c r="A252" s="6" t="s">
        <v>169</v>
      </c>
      <c r="B252" s="6" t="s">
        <v>318</v>
      </c>
      <c r="C252" s="6" t="s">
        <v>75</v>
      </c>
      <c r="D252" s="6">
        <v>1</v>
      </c>
      <c r="E252" s="8"/>
      <c r="F252" s="6" t="s">
        <v>286</v>
      </c>
      <c r="G252" s="6" t="s">
        <v>239</v>
      </c>
      <c r="H252" s="6" t="s">
        <v>219</v>
      </c>
      <c r="I252" s="6" t="s">
        <v>226</v>
      </c>
      <c r="J252" s="6">
        <v>3</v>
      </c>
      <c r="K252" s="6">
        <v>1.5</v>
      </c>
      <c r="L252" s="6">
        <v>4.5</v>
      </c>
      <c r="M252" s="6">
        <v>22.72</v>
      </c>
      <c r="N252" s="6">
        <v>102.24</v>
      </c>
      <c r="O252" s="8"/>
      <c r="P252" s="8"/>
      <c r="Q252" s="8"/>
      <c r="R252" s="8"/>
      <c r="S252" s="6">
        <v>210</v>
      </c>
      <c r="T252" s="6" t="s">
        <v>287</v>
      </c>
      <c r="U252" s="8"/>
    </row>
    <row r="253" spans="1:21" ht="12.75" customHeight="1" x14ac:dyDescent="0.2">
      <c r="A253" s="6" t="s">
        <v>169</v>
      </c>
      <c r="B253" s="6" t="s">
        <v>318</v>
      </c>
      <c r="C253" s="6" t="s">
        <v>75</v>
      </c>
      <c r="D253" s="6">
        <v>1</v>
      </c>
      <c r="E253" s="8"/>
      <c r="F253" s="6" t="s">
        <v>246</v>
      </c>
      <c r="G253" s="6" t="s">
        <v>218</v>
      </c>
      <c r="H253" s="6" t="s">
        <v>219</v>
      </c>
      <c r="I253" s="6" t="s">
        <v>248</v>
      </c>
      <c r="J253" s="6">
        <v>0.25</v>
      </c>
      <c r="K253" s="6">
        <v>1.5</v>
      </c>
      <c r="L253" s="6">
        <v>0.375</v>
      </c>
      <c r="M253" s="6">
        <v>62.5</v>
      </c>
      <c r="N253" s="6">
        <v>23.437999999999999</v>
      </c>
      <c r="O253" s="8"/>
      <c r="P253" s="8"/>
      <c r="Q253" s="8"/>
      <c r="R253" s="8"/>
      <c r="S253" s="6">
        <v>210</v>
      </c>
      <c r="T253" s="6" t="s">
        <v>288</v>
      </c>
      <c r="U253" s="8"/>
    </row>
    <row r="254" spans="1:21" ht="12.75" customHeight="1" x14ac:dyDescent="0.2">
      <c r="A254" s="6" t="s">
        <v>169</v>
      </c>
      <c r="B254" s="6" t="s">
        <v>318</v>
      </c>
      <c r="C254" s="6" t="s">
        <v>75</v>
      </c>
      <c r="D254" s="6">
        <v>1</v>
      </c>
      <c r="E254" s="8"/>
      <c r="F254" s="6" t="s">
        <v>305</v>
      </c>
      <c r="G254" s="6" t="s">
        <v>215</v>
      </c>
      <c r="H254" s="6" t="s">
        <v>181</v>
      </c>
      <c r="I254" s="6" t="s">
        <v>182</v>
      </c>
      <c r="J254" s="6">
        <v>1.5</v>
      </c>
      <c r="K254" s="6">
        <v>1</v>
      </c>
      <c r="L254" s="6">
        <v>1.5</v>
      </c>
      <c r="M254" s="6">
        <v>65</v>
      </c>
      <c r="N254" s="6">
        <v>97.5</v>
      </c>
      <c r="O254" s="8"/>
      <c r="P254" s="8"/>
      <c r="Q254" s="8"/>
      <c r="R254" s="8"/>
      <c r="S254" s="6">
        <v>230</v>
      </c>
      <c r="T254" s="6" t="s">
        <v>34</v>
      </c>
      <c r="U254" s="8"/>
    </row>
    <row r="255" spans="1:21" ht="12.75" customHeight="1" x14ac:dyDescent="0.2">
      <c r="A255" s="6" t="s">
        <v>169</v>
      </c>
      <c r="B255" s="6" t="s">
        <v>318</v>
      </c>
      <c r="C255" s="6" t="s">
        <v>75</v>
      </c>
      <c r="D255" s="6">
        <v>1</v>
      </c>
      <c r="E255" s="8"/>
      <c r="F255" s="6" t="s">
        <v>230</v>
      </c>
      <c r="G255" s="6" t="s">
        <v>231</v>
      </c>
      <c r="H255" s="6" t="s">
        <v>219</v>
      </c>
      <c r="I255" s="6" t="s">
        <v>220</v>
      </c>
      <c r="J255" s="6">
        <v>0.04</v>
      </c>
      <c r="K255" s="6">
        <v>1.5</v>
      </c>
      <c r="L255" s="6">
        <v>0.06</v>
      </c>
      <c r="M255" s="6">
        <v>53.2</v>
      </c>
      <c r="N255" s="6">
        <v>3.1920000000000002</v>
      </c>
      <c r="O255" s="8"/>
      <c r="P255" s="8"/>
      <c r="Q255" s="8"/>
      <c r="R255" s="8"/>
      <c r="S255" s="6">
        <v>230</v>
      </c>
      <c r="T255" s="6" t="s">
        <v>272</v>
      </c>
      <c r="U255" s="8"/>
    </row>
    <row r="256" spans="1:21" ht="12.75" customHeight="1" x14ac:dyDescent="0.2">
      <c r="A256" s="6" t="s">
        <v>169</v>
      </c>
      <c r="B256" s="6" t="s">
        <v>318</v>
      </c>
      <c r="C256" s="6" t="s">
        <v>75</v>
      </c>
      <c r="D256" s="6">
        <v>1</v>
      </c>
      <c r="E256" s="8"/>
      <c r="F256" s="6" t="s">
        <v>286</v>
      </c>
      <c r="G256" s="6" t="s">
        <v>239</v>
      </c>
      <c r="H256" s="6" t="s">
        <v>219</v>
      </c>
      <c r="I256" s="6" t="s">
        <v>226</v>
      </c>
      <c r="J256" s="6">
        <v>3</v>
      </c>
      <c r="K256" s="6">
        <v>1.5</v>
      </c>
      <c r="L256" s="6">
        <v>4.5</v>
      </c>
      <c r="M256" s="6">
        <v>22.72</v>
      </c>
      <c r="N256" s="6">
        <v>102.24</v>
      </c>
      <c r="O256" s="8"/>
      <c r="P256" s="8"/>
      <c r="Q256" s="8"/>
      <c r="R256" s="8"/>
      <c r="S256" s="6">
        <v>230</v>
      </c>
      <c r="T256" s="6" t="s">
        <v>287</v>
      </c>
      <c r="U256" s="8"/>
    </row>
    <row r="257" spans="1:21" ht="12.75" customHeight="1" x14ac:dyDescent="0.2">
      <c r="A257" s="6" t="s">
        <v>169</v>
      </c>
      <c r="B257" s="6" t="s">
        <v>318</v>
      </c>
      <c r="C257" s="6" t="s">
        <v>75</v>
      </c>
      <c r="D257" s="6">
        <v>1</v>
      </c>
      <c r="E257" s="8"/>
      <c r="F257" s="6" t="s">
        <v>276</v>
      </c>
      <c r="G257" s="6" t="s">
        <v>218</v>
      </c>
      <c r="H257" s="6" t="s">
        <v>219</v>
      </c>
      <c r="I257" s="6" t="s">
        <v>220</v>
      </c>
      <c r="J257" s="6">
        <v>0.25</v>
      </c>
      <c r="K257" s="6">
        <v>1.5</v>
      </c>
      <c r="L257" s="6">
        <v>0.375</v>
      </c>
      <c r="M257" s="6">
        <v>93</v>
      </c>
      <c r="N257" s="6">
        <v>34.875</v>
      </c>
      <c r="O257" s="8"/>
      <c r="P257" s="8"/>
      <c r="Q257" s="8"/>
      <c r="R257" s="8"/>
      <c r="S257" s="6">
        <v>230</v>
      </c>
      <c r="T257" s="6" t="s">
        <v>301</v>
      </c>
      <c r="U257" s="8"/>
    </row>
    <row r="258" spans="1:21" ht="12.75" customHeight="1" x14ac:dyDescent="0.2">
      <c r="A258" s="6" t="s">
        <v>169</v>
      </c>
      <c r="B258" s="6" t="s">
        <v>318</v>
      </c>
      <c r="C258" s="6" t="s">
        <v>75</v>
      </c>
      <c r="D258" s="6">
        <v>1</v>
      </c>
      <c r="E258" s="8"/>
      <c r="F258" s="6" t="s">
        <v>306</v>
      </c>
      <c r="G258" s="6" t="s">
        <v>307</v>
      </c>
      <c r="H258" s="6" t="s">
        <v>181</v>
      </c>
      <c r="I258" s="6" t="s">
        <v>182</v>
      </c>
      <c r="J258" s="6">
        <v>8</v>
      </c>
      <c r="K258" s="6">
        <v>1</v>
      </c>
      <c r="L258" s="6">
        <v>8</v>
      </c>
      <c r="M258" s="6">
        <v>70</v>
      </c>
      <c r="N258" s="6">
        <v>560</v>
      </c>
      <c r="O258" s="8"/>
      <c r="P258" s="8"/>
      <c r="Q258" s="8"/>
      <c r="R258" s="8"/>
      <c r="S258" s="6">
        <v>240</v>
      </c>
      <c r="T258" s="6" t="s">
        <v>308</v>
      </c>
      <c r="U258" s="8"/>
    </row>
    <row r="259" spans="1:21" ht="12.75" customHeight="1" x14ac:dyDescent="0.2">
      <c r="A259" s="6" t="s">
        <v>169</v>
      </c>
      <c r="B259" s="6" t="s">
        <v>318</v>
      </c>
      <c r="C259" s="6" t="s">
        <v>75</v>
      </c>
      <c r="D259" s="6">
        <v>1</v>
      </c>
      <c r="E259" s="8"/>
      <c r="F259" s="6" t="s">
        <v>309</v>
      </c>
      <c r="G259" s="6" t="s">
        <v>307</v>
      </c>
      <c r="H259" s="6" t="s">
        <v>181</v>
      </c>
      <c r="I259" s="6" t="s">
        <v>182</v>
      </c>
      <c r="J259" s="6">
        <v>155</v>
      </c>
      <c r="K259" s="6">
        <v>1</v>
      </c>
      <c r="L259" s="6">
        <v>155</v>
      </c>
      <c r="M259" s="6">
        <v>5</v>
      </c>
      <c r="N259" s="6">
        <v>775</v>
      </c>
      <c r="O259" s="8"/>
      <c r="P259" s="8"/>
      <c r="Q259" s="8"/>
      <c r="R259" s="8"/>
      <c r="S259" s="6">
        <v>240</v>
      </c>
      <c r="T259" s="6" t="s">
        <v>310</v>
      </c>
      <c r="U259" s="8"/>
    </row>
    <row r="260" spans="1:21" ht="12.75" customHeight="1" x14ac:dyDescent="0.2">
      <c r="A260" s="6" t="s">
        <v>169</v>
      </c>
      <c r="B260" s="6" t="s">
        <v>318</v>
      </c>
      <c r="C260" s="6" t="s">
        <v>75</v>
      </c>
      <c r="D260" s="6">
        <v>1</v>
      </c>
      <c r="E260" s="8"/>
      <c r="F260" s="6" t="s">
        <v>311</v>
      </c>
      <c r="G260" s="6" t="s">
        <v>312</v>
      </c>
      <c r="H260" s="6" t="s">
        <v>178</v>
      </c>
      <c r="I260" s="6" t="s">
        <v>313</v>
      </c>
      <c r="J260" s="6">
        <v>1</v>
      </c>
      <c r="K260" s="6">
        <v>1</v>
      </c>
      <c r="L260" s="6">
        <v>1</v>
      </c>
      <c r="M260" s="6">
        <v>500</v>
      </c>
      <c r="N260" s="6">
        <v>500</v>
      </c>
      <c r="O260" s="8"/>
      <c r="P260" s="8"/>
      <c r="Q260" s="8"/>
      <c r="R260" s="8"/>
      <c r="S260" s="6">
        <v>240</v>
      </c>
      <c r="T260" s="6" t="s">
        <v>314</v>
      </c>
      <c r="U260" s="8"/>
    </row>
    <row r="261" spans="1:21" ht="12.75" customHeight="1" x14ac:dyDescent="0.2">
      <c r="A261" s="6" t="s">
        <v>169</v>
      </c>
      <c r="B261" s="6" t="s">
        <v>318</v>
      </c>
      <c r="C261" s="6" t="s">
        <v>75</v>
      </c>
      <c r="D261" s="6">
        <v>1</v>
      </c>
      <c r="E261" s="8"/>
      <c r="F261" s="6" t="s">
        <v>315</v>
      </c>
      <c r="G261" s="6" t="s">
        <v>307</v>
      </c>
      <c r="H261" s="6" t="s">
        <v>316</v>
      </c>
      <c r="I261" s="6" t="s">
        <v>182</v>
      </c>
      <c r="J261" s="8"/>
      <c r="K261" s="8"/>
      <c r="L261" s="6">
        <v>420</v>
      </c>
      <c r="M261" s="6">
        <v>0.75</v>
      </c>
      <c r="N261" s="6">
        <v>315</v>
      </c>
      <c r="O261" s="8"/>
      <c r="P261" s="8"/>
      <c r="Q261" s="8"/>
      <c r="R261" s="8"/>
      <c r="S261" s="6">
        <v>240</v>
      </c>
      <c r="T261" s="6" t="s">
        <v>317</v>
      </c>
      <c r="U261" s="8"/>
    </row>
    <row r="262" spans="1:21" ht="12.75" customHeight="1" x14ac:dyDescent="0.2">
      <c r="A262" s="6" t="s">
        <v>360</v>
      </c>
      <c r="B262" s="6" t="s">
        <v>318</v>
      </c>
      <c r="C262" s="6" t="s">
        <v>21</v>
      </c>
      <c r="D262" s="6">
        <v>1</v>
      </c>
      <c r="E262" s="6" t="s">
        <v>361</v>
      </c>
      <c r="F262" s="6" t="s">
        <v>22</v>
      </c>
      <c r="G262" s="6" t="s">
        <v>22</v>
      </c>
      <c r="H262" s="6" t="s">
        <v>172</v>
      </c>
      <c r="I262" s="6" t="s">
        <v>173</v>
      </c>
      <c r="J262" s="8"/>
      <c r="K262" s="8"/>
      <c r="L262" s="6">
        <v>1</v>
      </c>
      <c r="M262" s="6">
        <v>4000</v>
      </c>
      <c r="N262" s="6">
        <v>4000</v>
      </c>
      <c r="O262" s="8"/>
      <c r="P262" s="8"/>
      <c r="Q262" s="8"/>
      <c r="R262" s="8"/>
      <c r="S262" s="9">
        <v>-30</v>
      </c>
      <c r="T262" s="6" t="s">
        <v>24</v>
      </c>
      <c r="U262" s="8"/>
    </row>
    <row r="263" spans="1:21" ht="12.75" customHeight="1" x14ac:dyDescent="0.2">
      <c r="A263" s="6" t="s">
        <v>360</v>
      </c>
      <c r="B263" s="6" t="s">
        <v>318</v>
      </c>
      <c r="C263" s="6" t="s">
        <v>21</v>
      </c>
      <c r="D263" s="6">
        <v>1</v>
      </c>
      <c r="E263" s="8"/>
      <c r="F263" s="6" t="s">
        <v>320</v>
      </c>
      <c r="G263" s="6" t="s">
        <v>33</v>
      </c>
      <c r="H263" s="6" t="s">
        <v>172</v>
      </c>
      <c r="I263" s="6" t="s">
        <v>173</v>
      </c>
      <c r="J263" s="8"/>
      <c r="K263" s="8"/>
      <c r="L263" s="6">
        <v>1</v>
      </c>
      <c r="M263" s="6">
        <v>97.5</v>
      </c>
      <c r="N263" s="6">
        <v>97.5</v>
      </c>
      <c r="O263" s="8"/>
      <c r="P263" s="8"/>
      <c r="Q263" s="8"/>
      <c r="R263" s="8"/>
      <c r="S263" s="6">
        <v>-30</v>
      </c>
      <c r="T263" s="6" t="s">
        <v>34</v>
      </c>
      <c r="U263" s="8"/>
    </row>
    <row r="264" spans="1:21" ht="12.75" customHeight="1" x14ac:dyDescent="0.2">
      <c r="A264" s="6" t="s">
        <v>360</v>
      </c>
      <c r="B264" s="6" t="s">
        <v>318</v>
      </c>
      <c r="C264" s="6" t="s">
        <v>21</v>
      </c>
      <c r="D264" s="6">
        <v>1</v>
      </c>
      <c r="E264" s="8"/>
      <c r="F264" s="6" t="s">
        <v>321</v>
      </c>
      <c r="G264" s="6" t="s">
        <v>26</v>
      </c>
      <c r="H264" s="6" t="s">
        <v>172</v>
      </c>
      <c r="I264" s="6" t="s">
        <v>173</v>
      </c>
      <c r="J264" s="8"/>
      <c r="K264" s="8"/>
      <c r="L264" s="6">
        <v>1</v>
      </c>
      <c r="M264" s="6">
        <v>150</v>
      </c>
      <c r="N264" s="6">
        <v>150</v>
      </c>
      <c r="O264" s="8"/>
      <c r="P264" s="8"/>
      <c r="Q264" s="8"/>
      <c r="R264" s="8"/>
      <c r="S264" s="6">
        <v>-25</v>
      </c>
      <c r="T264" s="6" t="s">
        <v>66</v>
      </c>
      <c r="U264" s="8"/>
    </row>
    <row r="265" spans="1:21" ht="12.75" customHeight="1" x14ac:dyDescent="0.2">
      <c r="A265" s="6" t="s">
        <v>360</v>
      </c>
      <c r="B265" s="6" t="s">
        <v>318</v>
      </c>
      <c r="C265" s="6" t="s">
        <v>21</v>
      </c>
      <c r="D265" s="6">
        <v>1</v>
      </c>
      <c r="E265" s="8"/>
      <c r="F265" s="6" t="s">
        <v>322</v>
      </c>
      <c r="G265" s="6" t="s">
        <v>188</v>
      </c>
      <c r="H265" s="6" t="s">
        <v>181</v>
      </c>
      <c r="I265" s="6" t="s">
        <v>182</v>
      </c>
      <c r="J265" s="8"/>
      <c r="K265" s="8"/>
      <c r="L265" s="6">
        <v>0.5</v>
      </c>
      <c r="M265" s="6">
        <v>55</v>
      </c>
      <c r="N265" s="6">
        <v>27.5</v>
      </c>
      <c r="O265" s="8"/>
      <c r="P265" s="8"/>
      <c r="Q265" s="8"/>
      <c r="R265" s="8"/>
      <c r="S265" s="6">
        <v>-24</v>
      </c>
      <c r="T265" s="6" t="s">
        <v>209</v>
      </c>
      <c r="U265" s="8"/>
    </row>
    <row r="266" spans="1:21" ht="12.75" customHeight="1" x14ac:dyDescent="0.2">
      <c r="A266" s="6" t="s">
        <v>360</v>
      </c>
      <c r="B266" s="6" t="s">
        <v>318</v>
      </c>
      <c r="C266" s="6" t="s">
        <v>21</v>
      </c>
      <c r="D266" s="6">
        <v>1</v>
      </c>
      <c r="E266" s="8"/>
      <c r="F266" s="6" t="s">
        <v>192</v>
      </c>
      <c r="G266" s="6" t="s">
        <v>188</v>
      </c>
      <c r="H266" s="6" t="s">
        <v>181</v>
      </c>
      <c r="I266" s="6" t="s">
        <v>182</v>
      </c>
      <c r="J266" s="8"/>
      <c r="K266" s="8"/>
      <c r="L266" s="6">
        <v>0.5</v>
      </c>
      <c r="M266" s="6">
        <v>55</v>
      </c>
      <c r="N266" s="6">
        <v>27.5</v>
      </c>
      <c r="O266" s="8"/>
      <c r="P266" s="8"/>
      <c r="Q266" s="8"/>
      <c r="R266" s="8"/>
      <c r="S266" s="6">
        <v>-24</v>
      </c>
      <c r="T266" s="6" t="s">
        <v>209</v>
      </c>
      <c r="U266" s="8"/>
    </row>
    <row r="267" spans="1:21" ht="12.75" customHeight="1" x14ac:dyDescent="0.2">
      <c r="A267" s="6" t="s">
        <v>360</v>
      </c>
      <c r="B267" s="6" t="s">
        <v>318</v>
      </c>
      <c r="C267" s="6" t="s">
        <v>21</v>
      </c>
      <c r="D267" s="6">
        <v>1</v>
      </c>
      <c r="E267" s="8"/>
      <c r="F267" s="6" t="s">
        <v>323</v>
      </c>
      <c r="G267" s="6" t="s">
        <v>188</v>
      </c>
      <c r="H267" s="6" t="s">
        <v>181</v>
      </c>
      <c r="I267" s="6" t="s">
        <v>182</v>
      </c>
      <c r="J267" s="8"/>
      <c r="K267" s="8"/>
      <c r="L267" s="6">
        <v>2</v>
      </c>
      <c r="M267" s="6">
        <v>55</v>
      </c>
      <c r="N267" s="6">
        <v>110</v>
      </c>
      <c r="O267" s="8"/>
      <c r="P267" s="8"/>
      <c r="Q267" s="8"/>
      <c r="R267" s="8"/>
      <c r="S267" s="6">
        <v>-11</v>
      </c>
      <c r="T267" s="6" t="s">
        <v>324</v>
      </c>
      <c r="U267" s="8"/>
    </row>
    <row r="268" spans="1:21" ht="12.75" customHeight="1" x14ac:dyDescent="0.2">
      <c r="A268" s="6" t="s">
        <v>360</v>
      </c>
      <c r="B268" s="6" t="s">
        <v>318</v>
      </c>
      <c r="C268" s="6" t="s">
        <v>21</v>
      </c>
      <c r="D268" s="6">
        <v>1</v>
      </c>
      <c r="E268" s="8"/>
      <c r="F268" s="6" t="s">
        <v>325</v>
      </c>
      <c r="G268" s="6" t="s">
        <v>36</v>
      </c>
      <c r="H268" s="6" t="s">
        <v>172</v>
      </c>
      <c r="I268" s="6" t="s">
        <v>173</v>
      </c>
      <c r="J268" s="8"/>
      <c r="K268" s="8"/>
      <c r="L268" s="6">
        <v>0.5</v>
      </c>
      <c r="M268" s="6">
        <v>2600</v>
      </c>
      <c r="N268" s="6">
        <v>1300</v>
      </c>
      <c r="O268" s="8"/>
      <c r="P268" s="8"/>
      <c r="Q268" s="8"/>
      <c r="R268" s="8"/>
      <c r="S268" s="6">
        <v>-7</v>
      </c>
      <c r="T268" s="6" t="s">
        <v>198</v>
      </c>
      <c r="U268" s="8"/>
    </row>
    <row r="269" spans="1:21" ht="12.75" customHeight="1" x14ac:dyDescent="0.2">
      <c r="A269" s="6" t="s">
        <v>360</v>
      </c>
      <c r="B269" s="6" t="s">
        <v>318</v>
      </c>
      <c r="C269" s="6" t="s">
        <v>21</v>
      </c>
      <c r="D269" s="6">
        <v>1</v>
      </c>
      <c r="E269" s="8"/>
      <c r="F269" s="6" t="s">
        <v>26</v>
      </c>
      <c r="G269" s="6" t="s">
        <v>26</v>
      </c>
      <c r="H269" s="6" t="s">
        <v>172</v>
      </c>
      <c r="I269" s="6" t="s">
        <v>173</v>
      </c>
      <c r="J269" s="8"/>
      <c r="K269" s="8"/>
      <c r="L269" s="6">
        <v>1</v>
      </c>
      <c r="M269" s="6">
        <v>750</v>
      </c>
      <c r="N269" s="6">
        <v>750</v>
      </c>
      <c r="O269" s="8"/>
      <c r="P269" s="8"/>
      <c r="Q269" s="8"/>
      <c r="R269" s="8"/>
      <c r="S269" s="6">
        <v>-5</v>
      </c>
      <c r="T269" s="6" t="s">
        <v>58</v>
      </c>
      <c r="U269" s="8"/>
    </row>
    <row r="270" spans="1:21" ht="12.75" customHeight="1" x14ac:dyDescent="0.2">
      <c r="A270" s="6" t="s">
        <v>360</v>
      </c>
      <c r="B270" s="6" t="s">
        <v>318</v>
      </c>
      <c r="C270" s="6" t="s">
        <v>21</v>
      </c>
      <c r="D270" s="6">
        <v>1</v>
      </c>
      <c r="E270" s="8"/>
      <c r="F270" s="6" t="s">
        <v>326</v>
      </c>
      <c r="G270" s="6" t="s">
        <v>26</v>
      </c>
      <c r="H270" s="6" t="s">
        <v>181</v>
      </c>
      <c r="I270" s="6" t="s">
        <v>173</v>
      </c>
      <c r="J270" s="8"/>
      <c r="K270" s="8"/>
      <c r="L270" s="6">
        <v>1</v>
      </c>
      <c r="M270" s="6">
        <v>0</v>
      </c>
      <c r="N270" s="6">
        <v>0</v>
      </c>
      <c r="O270" s="8"/>
      <c r="P270" s="8"/>
      <c r="Q270" s="8"/>
      <c r="R270" s="8"/>
      <c r="S270" s="6">
        <v>-5</v>
      </c>
      <c r="T270" s="6" t="s">
        <v>88</v>
      </c>
      <c r="U270" s="8"/>
    </row>
    <row r="271" spans="1:21" ht="12.75" customHeight="1" x14ac:dyDescent="0.2">
      <c r="A271" s="6" t="s">
        <v>360</v>
      </c>
      <c r="B271" s="6" t="s">
        <v>318</v>
      </c>
      <c r="C271" s="6" t="s">
        <v>21</v>
      </c>
      <c r="D271" s="6">
        <v>1</v>
      </c>
      <c r="E271" s="8"/>
      <c r="F271" s="6" t="s">
        <v>327</v>
      </c>
      <c r="G271" s="6" t="s">
        <v>26</v>
      </c>
      <c r="H271" s="6" t="s">
        <v>181</v>
      </c>
      <c r="I271" s="6" t="s">
        <v>173</v>
      </c>
      <c r="J271" s="8"/>
      <c r="K271" s="8"/>
      <c r="L271" s="6">
        <v>1</v>
      </c>
      <c r="M271" s="6">
        <v>0</v>
      </c>
      <c r="N271" s="6">
        <v>0</v>
      </c>
      <c r="O271" s="8"/>
      <c r="P271" s="8"/>
      <c r="Q271" s="8"/>
      <c r="R271" s="8"/>
      <c r="S271" s="6">
        <v>-5</v>
      </c>
      <c r="T271" s="6" t="s">
        <v>88</v>
      </c>
      <c r="U271" s="8"/>
    </row>
    <row r="272" spans="1:21" ht="12.75" customHeight="1" x14ac:dyDescent="0.2">
      <c r="A272" s="6" t="s">
        <v>360</v>
      </c>
      <c r="B272" s="6" t="s">
        <v>318</v>
      </c>
      <c r="C272" s="6" t="s">
        <v>21</v>
      </c>
      <c r="D272" s="6">
        <v>1</v>
      </c>
      <c r="E272" s="8"/>
      <c r="F272" s="6" t="s">
        <v>328</v>
      </c>
      <c r="G272" s="6" t="s">
        <v>26</v>
      </c>
      <c r="H272" s="6" t="s">
        <v>181</v>
      </c>
      <c r="I272" s="6" t="s">
        <v>173</v>
      </c>
      <c r="J272" s="8"/>
      <c r="K272" s="8"/>
      <c r="L272" s="6">
        <v>1</v>
      </c>
      <c r="M272" s="6">
        <v>0</v>
      </c>
      <c r="N272" s="6">
        <v>0</v>
      </c>
      <c r="O272" s="8"/>
      <c r="P272" s="8"/>
      <c r="Q272" s="8"/>
      <c r="R272" s="8"/>
      <c r="S272" s="6">
        <v>-5</v>
      </c>
      <c r="T272" s="6" t="s">
        <v>88</v>
      </c>
      <c r="U272" s="8"/>
    </row>
    <row r="273" spans="1:21" ht="12.75" customHeight="1" x14ac:dyDescent="0.2">
      <c r="A273" s="6" t="s">
        <v>360</v>
      </c>
      <c r="B273" s="6" t="s">
        <v>318</v>
      </c>
      <c r="C273" s="6" t="s">
        <v>21</v>
      </c>
      <c r="D273" s="6">
        <v>1</v>
      </c>
      <c r="E273" s="8"/>
      <c r="F273" s="6" t="s">
        <v>63</v>
      </c>
      <c r="G273" s="6" t="s">
        <v>26</v>
      </c>
      <c r="H273" s="6" t="s">
        <v>172</v>
      </c>
      <c r="I273" s="6" t="s">
        <v>173</v>
      </c>
      <c r="J273" s="8"/>
      <c r="K273" s="8"/>
      <c r="L273" s="6">
        <v>1</v>
      </c>
      <c r="M273" s="6">
        <v>0</v>
      </c>
      <c r="N273" s="6">
        <v>0</v>
      </c>
      <c r="O273" s="8"/>
      <c r="P273" s="8"/>
      <c r="Q273" s="8"/>
      <c r="R273" s="8"/>
      <c r="S273" s="6">
        <v>-5</v>
      </c>
      <c r="T273" s="6" t="s">
        <v>88</v>
      </c>
      <c r="U273" s="8"/>
    </row>
    <row r="274" spans="1:21" ht="12.75" customHeight="1" x14ac:dyDescent="0.2">
      <c r="A274" s="6" t="s">
        <v>360</v>
      </c>
      <c r="B274" s="6" t="s">
        <v>318</v>
      </c>
      <c r="C274" s="6" t="s">
        <v>21</v>
      </c>
      <c r="D274" s="6">
        <v>1</v>
      </c>
      <c r="E274" s="8"/>
      <c r="F274" s="6" t="s">
        <v>177</v>
      </c>
      <c r="G274" s="6" t="s">
        <v>26</v>
      </c>
      <c r="H274" s="6" t="s">
        <v>181</v>
      </c>
      <c r="I274" s="6" t="s">
        <v>182</v>
      </c>
      <c r="J274" s="8"/>
      <c r="K274" s="8"/>
      <c r="L274" s="6">
        <v>1</v>
      </c>
      <c r="M274" s="6">
        <v>9.8000000000000007</v>
      </c>
      <c r="N274" s="6">
        <v>9.8000000000000007</v>
      </c>
      <c r="O274" s="8"/>
      <c r="P274" s="8"/>
      <c r="Q274" s="8"/>
      <c r="R274" s="8"/>
      <c r="S274" s="9">
        <v>-5</v>
      </c>
      <c r="T274" s="6" t="s">
        <v>179</v>
      </c>
      <c r="U274" s="8"/>
    </row>
    <row r="275" spans="1:21" ht="12.75" customHeight="1" x14ac:dyDescent="0.2">
      <c r="A275" s="6" t="s">
        <v>360</v>
      </c>
      <c r="B275" s="6" t="s">
        <v>318</v>
      </c>
      <c r="C275" s="6" t="s">
        <v>21</v>
      </c>
      <c r="D275" s="6">
        <v>1</v>
      </c>
      <c r="E275" s="8"/>
      <c r="F275" s="6" t="s">
        <v>322</v>
      </c>
      <c r="G275" s="6" t="s">
        <v>188</v>
      </c>
      <c r="H275" s="6" t="s">
        <v>181</v>
      </c>
      <c r="I275" s="6" t="s">
        <v>182</v>
      </c>
      <c r="J275" s="8"/>
      <c r="K275" s="8"/>
      <c r="L275" s="6">
        <v>0.5</v>
      </c>
      <c r="M275" s="6">
        <v>9.8000000000000007</v>
      </c>
      <c r="N275" s="6">
        <v>4.9000000000000004</v>
      </c>
      <c r="O275" s="8"/>
      <c r="P275" s="8"/>
      <c r="Q275" s="8"/>
      <c r="R275" s="8"/>
      <c r="S275" s="9">
        <v>-5</v>
      </c>
      <c r="T275" s="6" t="s">
        <v>329</v>
      </c>
      <c r="U275" s="8"/>
    </row>
    <row r="276" spans="1:21" ht="12.75" customHeight="1" x14ac:dyDescent="0.2">
      <c r="A276" s="6" t="s">
        <v>360</v>
      </c>
      <c r="B276" s="6" t="s">
        <v>318</v>
      </c>
      <c r="C276" s="6" t="s">
        <v>21</v>
      </c>
      <c r="D276" s="6">
        <v>1</v>
      </c>
      <c r="E276" s="8"/>
      <c r="F276" s="6" t="s">
        <v>330</v>
      </c>
      <c r="G276" s="6" t="s">
        <v>30</v>
      </c>
      <c r="H276" s="6" t="s">
        <v>181</v>
      </c>
      <c r="I276" s="6" t="s">
        <v>182</v>
      </c>
      <c r="J276" s="8"/>
      <c r="K276" s="8"/>
      <c r="L276" s="6">
        <v>1</v>
      </c>
      <c r="M276" s="6">
        <v>500</v>
      </c>
      <c r="N276" s="6">
        <v>500</v>
      </c>
      <c r="O276" s="8"/>
      <c r="P276" s="8"/>
      <c r="Q276" s="8"/>
      <c r="R276" s="8"/>
      <c r="S276" s="6">
        <v>0</v>
      </c>
      <c r="T276" s="6" t="s">
        <v>314</v>
      </c>
      <c r="U276" s="8"/>
    </row>
    <row r="277" spans="1:21" ht="12.75" customHeight="1" x14ac:dyDescent="0.2">
      <c r="A277" s="6" t="s">
        <v>360</v>
      </c>
      <c r="B277" s="6" t="s">
        <v>318</v>
      </c>
      <c r="C277" s="6" t="s">
        <v>21</v>
      </c>
      <c r="D277" s="6">
        <v>1</v>
      </c>
      <c r="E277" s="8"/>
      <c r="F277" s="6" t="s">
        <v>29</v>
      </c>
      <c r="G277" s="6" t="s">
        <v>30</v>
      </c>
      <c r="H277" s="6" t="s">
        <v>181</v>
      </c>
      <c r="I277" s="6" t="s">
        <v>182</v>
      </c>
      <c r="J277" s="8"/>
      <c r="K277" s="8"/>
      <c r="L277" s="6">
        <v>1</v>
      </c>
      <c r="M277" s="6">
        <v>1500</v>
      </c>
      <c r="N277" s="6">
        <v>1500</v>
      </c>
      <c r="O277" s="8"/>
      <c r="P277" s="8"/>
      <c r="Q277" s="8"/>
      <c r="R277" s="8"/>
      <c r="S277" s="6">
        <v>0</v>
      </c>
      <c r="T277" s="6" t="s">
        <v>82</v>
      </c>
      <c r="U277" s="8"/>
    </row>
    <row r="278" spans="1:21" ht="12.75" customHeight="1" x14ac:dyDescent="0.2">
      <c r="A278" s="6" t="s">
        <v>360</v>
      </c>
      <c r="B278" s="6" t="s">
        <v>318</v>
      </c>
      <c r="C278" s="6" t="s">
        <v>21</v>
      </c>
      <c r="D278" s="6">
        <v>1</v>
      </c>
      <c r="E278" s="8"/>
      <c r="F278" s="6" t="s">
        <v>331</v>
      </c>
      <c r="G278" s="6" t="s">
        <v>30</v>
      </c>
      <c r="H278" s="6" t="s">
        <v>181</v>
      </c>
      <c r="I278" s="6" t="s">
        <v>182</v>
      </c>
      <c r="J278" s="8"/>
      <c r="K278" s="8"/>
      <c r="L278" s="6">
        <v>0.7</v>
      </c>
      <c r="M278" s="6">
        <v>55</v>
      </c>
      <c r="N278" s="6">
        <v>38.5</v>
      </c>
      <c r="O278" s="8"/>
      <c r="P278" s="8"/>
      <c r="Q278" s="8"/>
      <c r="R278" s="8"/>
      <c r="S278" s="6">
        <v>0</v>
      </c>
      <c r="T278" s="6" t="s">
        <v>332</v>
      </c>
      <c r="U278" s="8"/>
    </row>
    <row r="279" spans="1:21" ht="12.75" customHeight="1" x14ac:dyDescent="0.2">
      <c r="A279" s="6" t="s">
        <v>360</v>
      </c>
      <c r="B279" s="6" t="s">
        <v>318</v>
      </c>
      <c r="C279" s="6" t="s">
        <v>21</v>
      </c>
      <c r="D279" s="6">
        <v>1</v>
      </c>
      <c r="E279" s="8"/>
      <c r="F279" s="6" t="s">
        <v>333</v>
      </c>
      <c r="G279" s="6" t="s">
        <v>30</v>
      </c>
      <c r="H279" s="6" t="s">
        <v>181</v>
      </c>
      <c r="I279" s="6" t="s">
        <v>182</v>
      </c>
      <c r="J279" s="8"/>
      <c r="K279" s="8"/>
      <c r="L279" s="6">
        <v>1.8</v>
      </c>
      <c r="M279" s="6">
        <v>55</v>
      </c>
      <c r="N279" s="6">
        <v>99</v>
      </c>
      <c r="O279" s="8"/>
      <c r="P279" s="8"/>
      <c r="Q279" s="8"/>
      <c r="R279" s="8"/>
      <c r="S279" s="6">
        <v>0</v>
      </c>
      <c r="T279" s="6" t="s">
        <v>334</v>
      </c>
      <c r="U279" s="8"/>
    </row>
    <row r="280" spans="1:21" ht="12.75" customHeight="1" x14ac:dyDescent="0.2">
      <c r="A280" s="6" t="s">
        <v>360</v>
      </c>
      <c r="B280" s="6" t="s">
        <v>318</v>
      </c>
      <c r="C280" s="6" t="s">
        <v>21</v>
      </c>
      <c r="D280" s="6">
        <v>1</v>
      </c>
      <c r="E280" s="8"/>
      <c r="F280" s="6" t="s">
        <v>335</v>
      </c>
      <c r="G280" s="6" t="s">
        <v>188</v>
      </c>
      <c r="H280" s="6" t="s">
        <v>181</v>
      </c>
      <c r="I280" s="6" t="s">
        <v>182</v>
      </c>
      <c r="J280" s="8"/>
      <c r="K280" s="8"/>
      <c r="L280" s="6">
        <v>0.5</v>
      </c>
      <c r="M280" s="6">
        <v>55</v>
      </c>
      <c r="N280" s="6">
        <v>27.5</v>
      </c>
      <c r="O280" s="8"/>
      <c r="P280" s="8"/>
      <c r="Q280" s="8"/>
      <c r="R280" s="8"/>
      <c r="S280" s="6">
        <v>1</v>
      </c>
      <c r="T280" s="6" t="s">
        <v>209</v>
      </c>
      <c r="U280" s="8"/>
    </row>
    <row r="281" spans="1:21" ht="12.75" customHeight="1" x14ac:dyDescent="0.2">
      <c r="A281" s="6" t="s">
        <v>360</v>
      </c>
      <c r="B281" s="6" t="s">
        <v>318</v>
      </c>
      <c r="C281" s="6" t="s">
        <v>21</v>
      </c>
      <c r="D281" s="6">
        <v>1</v>
      </c>
      <c r="E281" s="8"/>
      <c r="F281" s="6" t="s">
        <v>217</v>
      </c>
      <c r="G281" s="6" t="s">
        <v>218</v>
      </c>
      <c r="H281" s="6" t="s">
        <v>219</v>
      </c>
      <c r="I281" s="6" t="s">
        <v>248</v>
      </c>
      <c r="J281" s="6">
        <v>1.5</v>
      </c>
      <c r="K281" s="6">
        <v>1</v>
      </c>
      <c r="L281" s="6">
        <v>1.5</v>
      </c>
      <c r="M281" s="6">
        <v>225</v>
      </c>
      <c r="N281" s="6">
        <v>337.5</v>
      </c>
      <c r="O281" s="8"/>
      <c r="P281" s="8"/>
      <c r="Q281" s="8"/>
      <c r="R281" s="8"/>
      <c r="S281" s="9">
        <v>1</v>
      </c>
      <c r="T281" s="6" t="s">
        <v>221</v>
      </c>
      <c r="U281" s="8"/>
    </row>
    <row r="282" spans="1:21" ht="12.75" customHeight="1" x14ac:dyDescent="0.2">
      <c r="A282" s="6" t="s">
        <v>360</v>
      </c>
      <c r="B282" s="6" t="s">
        <v>318</v>
      </c>
      <c r="C282" s="6" t="s">
        <v>21</v>
      </c>
      <c r="D282" s="6">
        <v>1</v>
      </c>
      <c r="E282" s="8"/>
      <c r="F282" s="6" t="s">
        <v>222</v>
      </c>
      <c r="G282" s="6" t="s">
        <v>223</v>
      </c>
      <c r="H282" s="6" t="s">
        <v>219</v>
      </c>
      <c r="I282" s="6" t="s">
        <v>248</v>
      </c>
      <c r="J282" s="6">
        <v>20</v>
      </c>
      <c r="K282" s="6">
        <v>1</v>
      </c>
      <c r="L282" s="6">
        <v>10</v>
      </c>
      <c r="M282" s="6">
        <v>13.47</v>
      </c>
      <c r="N282" s="6">
        <v>134.69999999999999</v>
      </c>
      <c r="O282" s="8"/>
      <c r="P282" s="8"/>
      <c r="Q282" s="8"/>
      <c r="R282" s="8"/>
      <c r="S282" s="9">
        <v>1</v>
      </c>
      <c r="T282" s="6" t="s">
        <v>224</v>
      </c>
      <c r="U282" s="8"/>
    </row>
    <row r="283" spans="1:21" ht="12.75" customHeight="1" x14ac:dyDescent="0.2">
      <c r="A283" s="6" t="s">
        <v>360</v>
      </c>
      <c r="B283" s="6" t="s">
        <v>318</v>
      </c>
      <c r="C283" s="6" t="s">
        <v>21</v>
      </c>
      <c r="D283" s="6">
        <v>1</v>
      </c>
      <c r="E283" s="8"/>
      <c r="F283" s="6" t="s">
        <v>336</v>
      </c>
      <c r="G283" s="6" t="s">
        <v>337</v>
      </c>
      <c r="H283" s="6" t="s">
        <v>201</v>
      </c>
      <c r="I283" s="6" t="s">
        <v>226</v>
      </c>
      <c r="J283" s="6">
        <v>25</v>
      </c>
      <c r="K283" s="6">
        <v>1</v>
      </c>
      <c r="L283" s="6">
        <v>10</v>
      </c>
      <c r="M283" s="6">
        <v>4.8099999999999996</v>
      </c>
      <c r="N283" s="6">
        <v>48.1</v>
      </c>
      <c r="O283" s="8"/>
      <c r="P283" s="8"/>
      <c r="Q283" s="8"/>
      <c r="R283" s="8"/>
      <c r="S283" s="9">
        <v>1</v>
      </c>
      <c r="T283" s="6" t="s">
        <v>338</v>
      </c>
      <c r="U283" s="8"/>
    </row>
    <row r="284" spans="1:21" ht="12.75" customHeight="1" x14ac:dyDescent="0.2">
      <c r="A284" s="6" t="s">
        <v>360</v>
      </c>
      <c r="B284" s="6" t="s">
        <v>318</v>
      </c>
      <c r="C284" s="6" t="s">
        <v>21</v>
      </c>
      <c r="D284" s="6">
        <v>1</v>
      </c>
      <c r="E284" s="8"/>
      <c r="F284" s="6" t="s">
        <v>203</v>
      </c>
      <c r="G284" s="6" t="s">
        <v>337</v>
      </c>
      <c r="H284" s="6" t="s">
        <v>201</v>
      </c>
      <c r="I284" s="6" t="s">
        <v>226</v>
      </c>
      <c r="J284" s="6">
        <v>25</v>
      </c>
      <c r="K284" s="6">
        <v>1</v>
      </c>
      <c r="L284" s="6">
        <v>25</v>
      </c>
      <c r="M284" s="6">
        <v>4.88</v>
      </c>
      <c r="N284" s="6">
        <v>122</v>
      </c>
      <c r="O284" s="8"/>
      <c r="P284" s="8"/>
      <c r="Q284" s="8"/>
      <c r="R284" s="8"/>
      <c r="S284" s="9">
        <v>1</v>
      </c>
      <c r="T284" s="6" t="s">
        <v>339</v>
      </c>
      <c r="U284" s="8"/>
    </row>
    <row r="285" spans="1:21" ht="12.75" customHeight="1" x14ac:dyDescent="0.2">
      <c r="A285" s="6" t="s">
        <v>360</v>
      </c>
      <c r="B285" s="6" t="s">
        <v>318</v>
      </c>
      <c r="C285" s="6" t="s">
        <v>21</v>
      </c>
      <c r="D285" s="6">
        <v>1</v>
      </c>
      <c r="E285" s="8"/>
      <c r="F285" s="6" t="s">
        <v>340</v>
      </c>
      <c r="G285" s="6" t="s">
        <v>188</v>
      </c>
      <c r="H285" s="6" t="s">
        <v>181</v>
      </c>
      <c r="I285" s="6" t="s">
        <v>182</v>
      </c>
      <c r="J285" s="8"/>
      <c r="K285" s="8"/>
      <c r="L285" s="6">
        <v>0.5</v>
      </c>
      <c r="M285" s="6">
        <v>9.8000000000000007</v>
      </c>
      <c r="N285" s="6">
        <v>4.9000000000000004</v>
      </c>
      <c r="O285" s="8"/>
      <c r="P285" s="8"/>
      <c r="Q285" s="8"/>
      <c r="R285" s="8"/>
      <c r="S285" s="9">
        <v>5</v>
      </c>
      <c r="T285" s="6" t="s">
        <v>329</v>
      </c>
      <c r="U285" s="10" t="s">
        <v>359</v>
      </c>
    </row>
    <row r="286" spans="1:21" ht="12.75" customHeight="1" x14ac:dyDescent="0.2">
      <c r="A286" s="6" t="s">
        <v>360</v>
      </c>
      <c r="B286" s="6" t="s">
        <v>318</v>
      </c>
      <c r="C286" s="6" t="s">
        <v>21</v>
      </c>
      <c r="D286" s="6">
        <v>1</v>
      </c>
      <c r="E286" s="8"/>
      <c r="F286" s="6" t="s">
        <v>214</v>
      </c>
      <c r="G286" s="6" t="s">
        <v>215</v>
      </c>
      <c r="H286" s="6" t="s">
        <v>181</v>
      </c>
      <c r="I286" s="6" t="s">
        <v>182</v>
      </c>
      <c r="J286" s="8"/>
      <c r="K286" s="8"/>
      <c r="L286" s="6">
        <v>1</v>
      </c>
      <c r="M286" s="6">
        <v>40</v>
      </c>
      <c r="N286" s="6">
        <v>40</v>
      </c>
      <c r="O286" s="8"/>
      <c r="P286" s="8"/>
      <c r="Q286" s="8"/>
      <c r="R286" s="8"/>
      <c r="S286" s="6">
        <v>5</v>
      </c>
      <c r="T286" s="6" t="s">
        <v>229</v>
      </c>
      <c r="U286" s="8"/>
    </row>
    <row r="287" spans="1:21" ht="12.75" customHeight="1" x14ac:dyDescent="0.2">
      <c r="A287" s="6" t="s">
        <v>360</v>
      </c>
      <c r="B287" s="6" t="s">
        <v>318</v>
      </c>
      <c r="C287" s="6" t="s">
        <v>21</v>
      </c>
      <c r="D287" s="6">
        <v>1</v>
      </c>
      <c r="E287" s="8"/>
      <c r="F287" s="6" t="s">
        <v>230</v>
      </c>
      <c r="G287" s="6" t="s">
        <v>231</v>
      </c>
      <c r="H287" s="6" t="s">
        <v>219</v>
      </c>
      <c r="I287" s="6" t="s">
        <v>248</v>
      </c>
      <c r="J287" s="6">
        <v>0.04</v>
      </c>
      <c r="K287" s="6">
        <v>1</v>
      </c>
      <c r="L287" s="6">
        <v>0.04</v>
      </c>
      <c r="M287" s="6">
        <v>53.2</v>
      </c>
      <c r="N287" s="6">
        <v>2.1280000000000001</v>
      </c>
      <c r="O287" s="8"/>
      <c r="P287" s="8"/>
      <c r="Q287" s="8"/>
      <c r="R287" s="8"/>
      <c r="S287" s="6">
        <v>5</v>
      </c>
      <c r="T287" s="6" t="s">
        <v>232</v>
      </c>
      <c r="U287" s="8"/>
    </row>
    <row r="288" spans="1:21" ht="12.75" customHeight="1" x14ac:dyDescent="0.2">
      <c r="A288" s="6" t="s">
        <v>360</v>
      </c>
      <c r="B288" s="6" t="s">
        <v>318</v>
      </c>
      <c r="C288" s="6" t="s">
        <v>21</v>
      </c>
      <c r="D288" s="6">
        <v>1</v>
      </c>
      <c r="E288" s="8"/>
      <c r="F288" s="6" t="s">
        <v>233</v>
      </c>
      <c r="G288" s="6" t="s">
        <v>234</v>
      </c>
      <c r="H288" s="6" t="s">
        <v>219</v>
      </c>
      <c r="I288" s="6" t="s">
        <v>248</v>
      </c>
      <c r="J288" s="6">
        <v>1.5</v>
      </c>
      <c r="K288" s="6">
        <v>1</v>
      </c>
      <c r="L288" s="6">
        <v>1.5</v>
      </c>
      <c r="M288" s="6">
        <v>38.14</v>
      </c>
      <c r="N288" s="6">
        <v>57.21</v>
      </c>
      <c r="O288" s="8"/>
      <c r="P288" s="8"/>
      <c r="Q288" s="8"/>
      <c r="R288" s="8"/>
      <c r="S288" s="6">
        <v>5</v>
      </c>
      <c r="T288" s="6" t="s">
        <v>235</v>
      </c>
      <c r="U288" s="8"/>
    </row>
    <row r="289" spans="1:21" ht="12.75" customHeight="1" x14ac:dyDescent="0.2">
      <c r="A289" s="6" t="s">
        <v>360</v>
      </c>
      <c r="B289" s="6" t="s">
        <v>318</v>
      </c>
      <c r="C289" s="6" t="s">
        <v>21</v>
      </c>
      <c r="D289" s="6">
        <v>1</v>
      </c>
      <c r="E289" s="8"/>
      <c r="F289" s="6" t="s">
        <v>247</v>
      </c>
      <c r="G289" s="6" t="s">
        <v>239</v>
      </c>
      <c r="H289" s="6" t="s">
        <v>219</v>
      </c>
      <c r="I289" s="6" t="s">
        <v>248</v>
      </c>
      <c r="J289" s="6">
        <v>0.5</v>
      </c>
      <c r="K289" s="6">
        <v>1</v>
      </c>
      <c r="L289" s="6">
        <v>0.5</v>
      </c>
      <c r="M289" s="6">
        <v>57.2</v>
      </c>
      <c r="N289" s="6">
        <v>28.6</v>
      </c>
      <c r="O289" s="8"/>
      <c r="P289" s="8"/>
      <c r="Q289" s="8"/>
      <c r="R289" s="8"/>
      <c r="S289" s="6">
        <v>5</v>
      </c>
      <c r="T289" s="6" t="s">
        <v>249</v>
      </c>
      <c r="U289" s="8"/>
    </row>
    <row r="290" spans="1:21" ht="12.75" customHeight="1" x14ac:dyDescent="0.2">
      <c r="A290" s="6" t="s">
        <v>360</v>
      </c>
      <c r="B290" s="6" t="s">
        <v>318</v>
      </c>
      <c r="C290" s="6" t="s">
        <v>21</v>
      </c>
      <c r="D290" s="6">
        <v>1</v>
      </c>
      <c r="E290" s="8"/>
      <c r="F290" s="6" t="s">
        <v>236</v>
      </c>
      <c r="G290" s="6" t="s">
        <v>218</v>
      </c>
      <c r="H290" s="6" t="s">
        <v>219</v>
      </c>
      <c r="I290" s="6" t="s">
        <v>248</v>
      </c>
      <c r="J290" s="6">
        <v>0.25</v>
      </c>
      <c r="K290" s="6">
        <v>1</v>
      </c>
      <c r="L290" s="6">
        <v>0.25</v>
      </c>
      <c r="M290" s="6">
        <v>62.25</v>
      </c>
      <c r="N290" s="6">
        <v>15.563000000000001</v>
      </c>
      <c r="O290" s="8"/>
      <c r="P290" s="8"/>
      <c r="Q290" s="8"/>
      <c r="R290" s="8"/>
      <c r="S290" s="6">
        <v>5</v>
      </c>
      <c r="T290" s="6" t="s">
        <v>341</v>
      </c>
      <c r="U290" s="8"/>
    </row>
    <row r="291" spans="1:21" ht="12.75" customHeight="1" x14ac:dyDescent="0.2">
      <c r="A291" s="6" t="s">
        <v>360</v>
      </c>
      <c r="B291" s="6" t="s">
        <v>318</v>
      </c>
      <c r="C291" s="6" t="s">
        <v>21</v>
      </c>
      <c r="D291" s="6">
        <v>1</v>
      </c>
      <c r="E291" s="8"/>
      <c r="F291" s="6" t="s">
        <v>214</v>
      </c>
      <c r="G291" s="6" t="s">
        <v>215</v>
      </c>
      <c r="H291" s="6" t="s">
        <v>181</v>
      </c>
      <c r="I291" s="6" t="s">
        <v>182</v>
      </c>
      <c r="J291" s="8"/>
      <c r="K291" s="8"/>
      <c r="L291" s="6">
        <v>1</v>
      </c>
      <c r="M291" s="6">
        <v>40</v>
      </c>
      <c r="N291" s="6">
        <v>40</v>
      </c>
      <c r="O291" s="8"/>
      <c r="P291" s="8"/>
      <c r="Q291" s="8"/>
      <c r="R291" s="8"/>
      <c r="S291" s="6">
        <v>7</v>
      </c>
      <c r="T291" s="6" t="s">
        <v>229</v>
      </c>
      <c r="U291" s="8"/>
    </row>
    <row r="292" spans="1:21" ht="12.75" customHeight="1" x14ac:dyDescent="0.2">
      <c r="A292" s="6" t="s">
        <v>360</v>
      </c>
      <c r="B292" s="6" t="s">
        <v>318</v>
      </c>
      <c r="C292" s="6" t="s">
        <v>21</v>
      </c>
      <c r="D292" s="6">
        <v>1</v>
      </c>
      <c r="E292" s="8"/>
      <c r="F292" s="6" t="s">
        <v>250</v>
      </c>
      <c r="G292" s="6" t="s">
        <v>223</v>
      </c>
      <c r="H292" s="6" t="s">
        <v>219</v>
      </c>
      <c r="I292" s="6" t="s">
        <v>248</v>
      </c>
      <c r="J292" s="6">
        <v>12</v>
      </c>
      <c r="K292" s="6">
        <v>1</v>
      </c>
      <c r="L292" s="6">
        <v>12</v>
      </c>
      <c r="M292" s="6">
        <v>3.5</v>
      </c>
      <c r="N292" s="6">
        <v>42</v>
      </c>
      <c r="O292" s="8"/>
      <c r="P292" s="8"/>
      <c r="Q292" s="8"/>
      <c r="R292" s="8"/>
      <c r="S292" s="6">
        <v>7</v>
      </c>
      <c r="T292" s="6" t="s">
        <v>251</v>
      </c>
      <c r="U292" s="8"/>
    </row>
    <row r="293" spans="1:21" ht="12.75" customHeight="1" x14ac:dyDescent="0.2">
      <c r="A293" s="6" t="s">
        <v>360</v>
      </c>
      <c r="B293" s="6" t="s">
        <v>318</v>
      </c>
      <c r="C293" s="6" t="s">
        <v>21</v>
      </c>
      <c r="D293" s="6">
        <v>1</v>
      </c>
      <c r="E293" s="8"/>
      <c r="F293" s="6" t="s">
        <v>214</v>
      </c>
      <c r="G293" s="6" t="s">
        <v>215</v>
      </c>
      <c r="H293" s="6" t="s">
        <v>181</v>
      </c>
      <c r="I293" s="6" t="s">
        <v>182</v>
      </c>
      <c r="J293" s="8"/>
      <c r="K293" s="8"/>
      <c r="L293" s="6">
        <v>1</v>
      </c>
      <c r="M293" s="6">
        <v>40</v>
      </c>
      <c r="N293" s="6">
        <v>40</v>
      </c>
      <c r="O293" s="8"/>
      <c r="P293" s="8"/>
      <c r="Q293" s="8"/>
      <c r="R293" s="8"/>
      <c r="S293" s="6">
        <v>12</v>
      </c>
      <c r="T293" s="6" t="s">
        <v>229</v>
      </c>
      <c r="U293" s="8"/>
    </row>
    <row r="294" spans="1:21" ht="12.75" customHeight="1" x14ac:dyDescent="0.2">
      <c r="A294" s="6" t="s">
        <v>360</v>
      </c>
      <c r="B294" s="6" t="s">
        <v>318</v>
      </c>
      <c r="C294" s="6" t="s">
        <v>21</v>
      </c>
      <c r="D294" s="6">
        <v>1</v>
      </c>
      <c r="E294" s="8"/>
      <c r="F294" s="6" t="s">
        <v>230</v>
      </c>
      <c r="G294" s="6" t="s">
        <v>231</v>
      </c>
      <c r="H294" s="6" t="s">
        <v>219</v>
      </c>
      <c r="I294" s="6" t="s">
        <v>248</v>
      </c>
      <c r="J294" s="6">
        <v>0.04</v>
      </c>
      <c r="K294" s="6">
        <v>1</v>
      </c>
      <c r="L294" s="6">
        <v>0.04</v>
      </c>
      <c r="M294" s="6">
        <v>53.2</v>
      </c>
      <c r="N294" s="6">
        <v>2.1280000000000001</v>
      </c>
      <c r="O294" s="8"/>
      <c r="P294" s="8"/>
      <c r="Q294" s="8"/>
      <c r="R294" s="8"/>
      <c r="S294" s="6">
        <v>12</v>
      </c>
      <c r="T294" s="6" t="s">
        <v>232</v>
      </c>
      <c r="U294" s="10" t="s">
        <v>362</v>
      </c>
    </row>
    <row r="295" spans="1:21" ht="12.75" customHeight="1" x14ac:dyDescent="0.2">
      <c r="A295" s="6" t="s">
        <v>360</v>
      </c>
      <c r="B295" s="6" t="s">
        <v>318</v>
      </c>
      <c r="C295" s="6" t="s">
        <v>21</v>
      </c>
      <c r="D295" s="6">
        <v>1</v>
      </c>
      <c r="E295" s="8"/>
      <c r="F295" s="6" t="s">
        <v>238</v>
      </c>
      <c r="G295" s="6" t="s">
        <v>239</v>
      </c>
      <c r="H295" s="6" t="s">
        <v>219</v>
      </c>
      <c r="I295" s="6" t="s">
        <v>248</v>
      </c>
      <c r="J295" s="6">
        <v>1</v>
      </c>
      <c r="K295" s="6">
        <v>1</v>
      </c>
      <c r="L295" s="6">
        <v>1</v>
      </c>
      <c r="M295" s="6">
        <v>50</v>
      </c>
      <c r="N295" s="6">
        <v>50</v>
      </c>
      <c r="O295" s="8"/>
      <c r="P295" s="8"/>
      <c r="Q295" s="8"/>
      <c r="R295" s="8"/>
      <c r="S295" s="6">
        <v>12</v>
      </c>
      <c r="T295" s="6" t="s">
        <v>240</v>
      </c>
      <c r="U295" s="8"/>
    </row>
    <row r="296" spans="1:21" ht="12.75" customHeight="1" x14ac:dyDescent="0.2">
      <c r="A296" s="6" t="s">
        <v>360</v>
      </c>
      <c r="B296" s="6" t="s">
        <v>318</v>
      </c>
      <c r="C296" s="6" t="s">
        <v>21</v>
      </c>
      <c r="D296" s="6">
        <v>1</v>
      </c>
      <c r="E296" s="8"/>
      <c r="F296" s="6" t="s">
        <v>363</v>
      </c>
      <c r="G296" s="6" t="s">
        <v>244</v>
      </c>
      <c r="H296" s="6" t="s">
        <v>219</v>
      </c>
      <c r="I296" s="6" t="s">
        <v>248</v>
      </c>
      <c r="J296" s="6">
        <v>0.2</v>
      </c>
      <c r="K296" s="6">
        <v>1</v>
      </c>
      <c r="L296" s="6">
        <v>0.2</v>
      </c>
      <c r="M296" s="6">
        <v>91.2</v>
      </c>
      <c r="N296" s="6">
        <v>18.239999999999998</v>
      </c>
      <c r="O296" s="8"/>
      <c r="P296" s="8"/>
      <c r="Q296" s="8"/>
      <c r="R296" s="8"/>
      <c r="S296" s="6">
        <v>12</v>
      </c>
      <c r="T296" s="6" t="s">
        <v>364</v>
      </c>
      <c r="U296" s="8"/>
    </row>
    <row r="297" spans="1:21" ht="12.75" customHeight="1" x14ac:dyDescent="0.2">
      <c r="A297" s="6" t="s">
        <v>360</v>
      </c>
      <c r="B297" s="6" t="s">
        <v>318</v>
      </c>
      <c r="C297" s="6" t="s">
        <v>21</v>
      </c>
      <c r="D297" s="6">
        <v>1</v>
      </c>
      <c r="E297" s="8"/>
      <c r="F297" s="6" t="s">
        <v>241</v>
      </c>
      <c r="G297" s="6" t="s">
        <v>218</v>
      </c>
      <c r="H297" s="6" t="s">
        <v>219</v>
      </c>
      <c r="I297" s="6" t="s">
        <v>282</v>
      </c>
      <c r="J297" s="6">
        <v>0.2</v>
      </c>
      <c r="K297" s="6">
        <v>1</v>
      </c>
      <c r="L297" s="6">
        <v>0.2</v>
      </c>
      <c r="M297" s="6">
        <v>64</v>
      </c>
      <c r="N297" s="6">
        <v>12.8</v>
      </c>
      <c r="O297" s="8"/>
      <c r="P297" s="8"/>
      <c r="Q297" s="8"/>
      <c r="R297" s="8"/>
      <c r="S297" s="6">
        <v>12</v>
      </c>
      <c r="T297" s="6" t="s">
        <v>342</v>
      </c>
      <c r="U297" s="8"/>
    </row>
    <row r="298" spans="1:21" ht="12.75" customHeight="1" x14ac:dyDescent="0.2">
      <c r="A298" s="6" t="s">
        <v>360</v>
      </c>
      <c r="B298" s="6" t="s">
        <v>318</v>
      </c>
      <c r="C298" s="6" t="s">
        <v>21</v>
      </c>
      <c r="D298" s="6">
        <v>1</v>
      </c>
      <c r="E298" s="8"/>
      <c r="F298" s="6" t="s">
        <v>258</v>
      </c>
      <c r="G298" s="6" t="s">
        <v>239</v>
      </c>
      <c r="H298" s="6" t="s">
        <v>219</v>
      </c>
      <c r="I298" s="6" t="s">
        <v>248</v>
      </c>
      <c r="J298" s="6">
        <v>0.5</v>
      </c>
      <c r="K298" s="6">
        <v>1</v>
      </c>
      <c r="L298" s="6">
        <v>0.5</v>
      </c>
      <c r="M298" s="6">
        <v>180</v>
      </c>
      <c r="N298" s="6">
        <v>90</v>
      </c>
      <c r="O298" s="8"/>
      <c r="P298" s="8"/>
      <c r="Q298" s="8"/>
      <c r="R298" s="8"/>
      <c r="S298" s="6">
        <v>12</v>
      </c>
      <c r="T298" s="6" t="s">
        <v>213</v>
      </c>
      <c r="U298" s="8"/>
    </row>
    <row r="299" spans="1:21" ht="12.75" customHeight="1" x14ac:dyDescent="0.2">
      <c r="A299" s="6" t="s">
        <v>360</v>
      </c>
      <c r="B299" s="6" t="s">
        <v>318</v>
      </c>
      <c r="C299" s="6" t="s">
        <v>21</v>
      </c>
      <c r="D299" s="6">
        <v>1</v>
      </c>
      <c r="E299" s="8"/>
      <c r="F299" s="6" t="s">
        <v>274</v>
      </c>
      <c r="G299" s="6" t="s">
        <v>218</v>
      </c>
      <c r="H299" s="6" t="s">
        <v>219</v>
      </c>
      <c r="I299" s="6" t="s">
        <v>248</v>
      </c>
      <c r="J299" s="6">
        <v>0.2</v>
      </c>
      <c r="K299" s="6">
        <v>1</v>
      </c>
      <c r="L299" s="6">
        <v>0.2</v>
      </c>
      <c r="M299" s="6">
        <v>91</v>
      </c>
      <c r="N299" s="6">
        <v>18.2</v>
      </c>
      <c r="O299" s="8"/>
      <c r="P299" s="8"/>
      <c r="Q299" s="8"/>
      <c r="R299" s="8"/>
      <c r="S299" s="6">
        <v>12</v>
      </c>
      <c r="T299" s="6" t="s">
        <v>343</v>
      </c>
      <c r="U299" s="8"/>
    </row>
    <row r="300" spans="1:21" ht="12.75" customHeight="1" x14ac:dyDescent="0.2">
      <c r="A300" s="6" t="s">
        <v>360</v>
      </c>
      <c r="B300" s="6" t="s">
        <v>318</v>
      </c>
      <c r="C300" s="6" t="s">
        <v>21</v>
      </c>
      <c r="D300" s="6">
        <v>1</v>
      </c>
      <c r="E300" s="8"/>
      <c r="F300" s="6" t="s">
        <v>247</v>
      </c>
      <c r="G300" s="6" t="s">
        <v>239</v>
      </c>
      <c r="H300" s="6" t="s">
        <v>219</v>
      </c>
      <c r="I300" s="6" t="s">
        <v>248</v>
      </c>
      <c r="J300" s="6">
        <v>0.5</v>
      </c>
      <c r="K300" s="6">
        <v>1</v>
      </c>
      <c r="L300" s="6">
        <v>0.5</v>
      </c>
      <c r="M300" s="6">
        <v>57.2</v>
      </c>
      <c r="N300" s="6">
        <v>28.6</v>
      </c>
      <c r="O300" s="8"/>
      <c r="P300" s="8"/>
      <c r="Q300" s="8"/>
      <c r="R300" s="8"/>
      <c r="S300" s="6">
        <v>12</v>
      </c>
      <c r="T300" s="6" t="s">
        <v>249</v>
      </c>
      <c r="U300" s="8"/>
    </row>
    <row r="301" spans="1:21" ht="12.75" customHeight="1" x14ac:dyDescent="0.2">
      <c r="A301" s="6" t="s">
        <v>360</v>
      </c>
      <c r="B301" s="6" t="s">
        <v>318</v>
      </c>
      <c r="C301" s="6" t="s">
        <v>21</v>
      </c>
      <c r="D301" s="6">
        <v>1</v>
      </c>
      <c r="E301" s="8"/>
      <c r="F301" s="6" t="s">
        <v>344</v>
      </c>
      <c r="G301" s="6" t="s">
        <v>51</v>
      </c>
      <c r="H301" s="6" t="s">
        <v>178</v>
      </c>
      <c r="I301" s="6" t="s">
        <v>182</v>
      </c>
      <c r="J301" s="8"/>
      <c r="K301" s="8"/>
      <c r="L301" s="6">
        <v>1</v>
      </c>
      <c r="M301" s="6">
        <v>200</v>
      </c>
      <c r="N301" s="6">
        <v>200</v>
      </c>
      <c r="O301" s="8"/>
      <c r="P301" s="8"/>
      <c r="Q301" s="8"/>
      <c r="R301" s="8"/>
      <c r="S301" s="6">
        <v>15</v>
      </c>
      <c r="T301" s="6" t="s">
        <v>345</v>
      </c>
      <c r="U301" s="8"/>
    </row>
    <row r="302" spans="1:21" ht="12.75" customHeight="1" x14ac:dyDescent="0.2">
      <c r="A302" s="6" t="s">
        <v>360</v>
      </c>
      <c r="B302" s="6" t="s">
        <v>318</v>
      </c>
      <c r="C302" s="6" t="s">
        <v>21</v>
      </c>
      <c r="D302" s="6">
        <v>1</v>
      </c>
      <c r="E302" s="8"/>
      <c r="F302" s="6" t="s">
        <v>346</v>
      </c>
      <c r="G302" s="6" t="s">
        <v>51</v>
      </c>
      <c r="H302" s="6" t="s">
        <v>178</v>
      </c>
      <c r="I302" s="6" t="s">
        <v>182</v>
      </c>
      <c r="J302" s="8"/>
      <c r="K302" s="8"/>
      <c r="L302" s="6">
        <v>1</v>
      </c>
      <c r="M302" s="6">
        <v>180</v>
      </c>
      <c r="N302" s="6">
        <v>180</v>
      </c>
      <c r="O302" s="8"/>
      <c r="P302" s="8"/>
      <c r="Q302" s="8"/>
      <c r="R302" s="8"/>
      <c r="S302" s="6">
        <v>15</v>
      </c>
      <c r="T302" s="6" t="s">
        <v>175</v>
      </c>
      <c r="U302" s="8"/>
    </row>
    <row r="303" spans="1:21" ht="12.75" customHeight="1" x14ac:dyDescent="0.2">
      <c r="A303" s="6" t="s">
        <v>360</v>
      </c>
      <c r="B303" s="6" t="s">
        <v>318</v>
      </c>
      <c r="C303" s="6" t="s">
        <v>21</v>
      </c>
      <c r="D303" s="6">
        <v>1</v>
      </c>
      <c r="E303" s="8"/>
      <c r="F303" s="6" t="s">
        <v>347</v>
      </c>
      <c r="G303" s="6" t="s">
        <v>348</v>
      </c>
      <c r="H303" s="6" t="s">
        <v>181</v>
      </c>
      <c r="I303" s="6" t="s">
        <v>182</v>
      </c>
      <c r="J303" s="8"/>
      <c r="K303" s="8"/>
      <c r="L303" s="6">
        <v>1</v>
      </c>
      <c r="M303" s="6">
        <v>55</v>
      </c>
      <c r="N303" s="6">
        <v>55</v>
      </c>
      <c r="O303" s="8"/>
      <c r="P303" s="8"/>
      <c r="Q303" s="8"/>
      <c r="R303" s="8"/>
      <c r="S303" s="6">
        <v>15</v>
      </c>
      <c r="T303" s="6" t="s">
        <v>211</v>
      </c>
      <c r="U303" s="8"/>
    </row>
    <row r="304" spans="1:21" ht="12.75" customHeight="1" x14ac:dyDescent="0.2">
      <c r="A304" s="6" t="s">
        <v>360</v>
      </c>
      <c r="B304" s="6" t="s">
        <v>318</v>
      </c>
      <c r="C304" s="6" t="s">
        <v>21</v>
      </c>
      <c r="D304" s="6">
        <v>1</v>
      </c>
      <c r="E304" s="8"/>
      <c r="F304" s="6" t="s">
        <v>214</v>
      </c>
      <c r="G304" s="6" t="s">
        <v>215</v>
      </c>
      <c r="H304" s="6" t="s">
        <v>181</v>
      </c>
      <c r="I304" s="6" t="s">
        <v>182</v>
      </c>
      <c r="J304" s="8"/>
      <c r="K304" s="8"/>
      <c r="L304" s="6">
        <v>1</v>
      </c>
      <c r="M304" s="6">
        <v>40</v>
      </c>
      <c r="N304" s="6">
        <v>40</v>
      </c>
      <c r="O304" s="8"/>
      <c r="P304" s="8"/>
      <c r="Q304" s="8"/>
      <c r="R304" s="8"/>
      <c r="S304" s="6">
        <v>16</v>
      </c>
      <c r="T304" s="6" t="s">
        <v>229</v>
      </c>
      <c r="U304" s="8"/>
    </row>
    <row r="305" spans="1:21" ht="12.75" customHeight="1" x14ac:dyDescent="0.2">
      <c r="A305" s="6" t="s">
        <v>360</v>
      </c>
      <c r="B305" s="6" t="s">
        <v>318</v>
      </c>
      <c r="C305" s="6" t="s">
        <v>21</v>
      </c>
      <c r="D305" s="6">
        <v>1</v>
      </c>
      <c r="E305" s="8"/>
      <c r="F305" s="6" t="s">
        <v>230</v>
      </c>
      <c r="G305" s="6" t="s">
        <v>231</v>
      </c>
      <c r="H305" s="6" t="s">
        <v>219</v>
      </c>
      <c r="I305" s="6" t="s">
        <v>248</v>
      </c>
      <c r="J305" s="6">
        <v>0.04</v>
      </c>
      <c r="K305" s="6">
        <v>1</v>
      </c>
      <c r="L305" s="6">
        <v>0.04</v>
      </c>
      <c r="M305" s="6">
        <v>53.2</v>
      </c>
      <c r="N305" s="6">
        <v>2.1280000000000001</v>
      </c>
      <c r="O305" s="8"/>
      <c r="P305" s="8"/>
      <c r="Q305" s="8"/>
      <c r="R305" s="8"/>
      <c r="S305" s="6">
        <v>20</v>
      </c>
      <c r="T305" s="6" t="s">
        <v>232</v>
      </c>
      <c r="U305" s="8"/>
    </row>
    <row r="306" spans="1:21" ht="12.75" customHeight="1" x14ac:dyDescent="0.2">
      <c r="A306" s="6" t="s">
        <v>360</v>
      </c>
      <c r="B306" s="6" t="s">
        <v>318</v>
      </c>
      <c r="C306" s="6" t="s">
        <v>21</v>
      </c>
      <c r="D306" s="6">
        <v>1</v>
      </c>
      <c r="E306" s="8"/>
      <c r="F306" s="6" t="s">
        <v>238</v>
      </c>
      <c r="G306" s="6" t="s">
        <v>239</v>
      </c>
      <c r="H306" s="6" t="s">
        <v>219</v>
      </c>
      <c r="I306" s="6" t="s">
        <v>248</v>
      </c>
      <c r="J306" s="6">
        <v>1</v>
      </c>
      <c r="K306" s="6">
        <v>1</v>
      </c>
      <c r="L306" s="6">
        <v>1</v>
      </c>
      <c r="M306" s="6">
        <v>50</v>
      </c>
      <c r="N306" s="6">
        <v>50</v>
      </c>
      <c r="O306" s="8"/>
      <c r="P306" s="8"/>
      <c r="Q306" s="8"/>
      <c r="R306" s="8"/>
      <c r="S306" s="6">
        <v>20</v>
      </c>
      <c r="T306" s="6" t="s">
        <v>240</v>
      </c>
      <c r="U306" s="8"/>
    </row>
    <row r="307" spans="1:21" ht="12.75" customHeight="1" x14ac:dyDescent="0.2">
      <c r="A307" s="6" t="s">
        <v>360</v>
      </c>
      <c r="B307" s="6" t="s">
        <v>318</v>
      </c>
      <c r="C307" s="6" t="s">
        <v>21</v>
      </c>
      <c r="D307" s="6">
        <v>1</v>
      </c>
      <c r="E307" s="8"/>
      <c r="F307" s="6" t="s">
        <v>255</v>
      </c>
      <c r="G307" s="6" t="s">
        <v>218</v>
      </c>
      <c r="H307" s="6" t="s">
        <v>219</v>
      </c>
      <c r="I307" s="6" t="s">
        <v>202</v>
      </c>
      <c r="J307" s="6">
        <v>0.5</v>
      </c>
      <c r="K307" s="6">
        <v>1</v>
      </c>
      <c r="L307" s="6">
        <v>0.5</v>
      </c>
      <c r="M307" s="6">
        <v>40</v>
      </c>
      <c r="N307" s="6">
        <v>20</v>
      </c>
      <c r="O307" s="8"/>
      <c r="P307" s="8"/>
      <c r="Q307" s="8"/>
      <c r="R307" s="8"/>
      <c r="S307" s="6">
        <v>20</v>
      </c>
      <c r="T307" s="6" t="s">
        <v>257</v>
      </c>
      <c r="U307" s="8"/>
    </row>
    <row r="308" spans="1:21" ht="12.75" customHeight="1" x14ac:dyDescent="0.2">
      <c r="A308" s="6" t="s">
        <v>360</v>
      </c>
      <c r="B308" s="6" t="s">
        <v>318</v>
      </c>
      <c r="C308" s="6" t="s">
        <v>21</v>
      </c>
      <c r="D308" s="6">
        <v>1</v>
      </c>
      <c r="E308" s="8"/>
      <c r="F308" s="6" t="s">
        <v>266</v>
      </c>
      <c r="G308" s="6" t="s">
        <v>244</v>
      </c>
      <c r="H308" s="6" t="s">
        <v>219</v>
      </c>
      <c r="I308" s="6" t="s">
        <v>202</v>
      </c>
      <c r="J308" s="6">
        <v>0.2</v>
      </c>
      <c r="K308" s="6">
        <v>1</v>
      </c>
      <c r="L308" s="6">
        <v>0.2</v>
      </c>
      <c r="M308" s="6">
        <v>269</v>
      </c>
      <c r="N308" s="6">
        <v>53.8</v>
      </c>
      <c r="O308" s="8"/>
      <c r="P308" s="8"/>
      <c r="Q308" s="8"/>
      <c r="R308" s="8"/>
      <c r="S308" s="6">
        <v>20</v>
      </c>
      <c r="T308" s="6" t="s">
        <v>267</v>
      </c>
      <c r="U308" s="8"/>
    </row>
    <row r="309" spans="1:21" ht="12.75" customHeight="1" x14ac:dyDescent="0.2">
      <c r="A309" s="6" t="s">
        <v>360</v>
      </c>
      <c r="B309" s="6" t="s">
        <v>318</v>
      </c>
      <c r="C309" s="6" t="s">
        <v>21</v>
      </c>
      <c r="D309" s="6">
        <v>1</v>
      </c>
      <c r="E309" s="8"/>
      <c r="F309" s="6" t="s">
        <v>264</v>
      </c>
      <c r="G309" s="6" t="s">
        <v>239</v>
      </c>
      <c r="H309" s="6" t="s">
        <v>219</v>
      </c>
      <c r="I309" s="6" t="s">
        <v>248</v>
      </c>
      <c r="J309" s="6">
        <v>2</v>
      </c>
      <c r="K309" s="6">
        <v>1</v>
      </c>
      <c r="L309" s="6">
        <v>2</v>
      </c>
      <c r="M309" s="6">
        <v>38.5</v>
      </c>
      <c r="N309" s="6">
        <v>77</v>
      </c>
      <c r="O309" s="8"/>
      <c r="P309" s="8"/>
      <c r="Q309" s="8"/>
      <c r="R309" s="8"/>
      <c r="S309" s="6">
        <v>20</v>
      </c>
      <c r="T309" s="6" t="s">
        <v>265</v>
      </c>
      <c r="U309" s="8"/>
    </row>
    <row r="310" spans="1:21" ht="12.75" customHeight="1" x14ac:dyDescent="0.2">
      <c r="A310" s="6" t="s">
        <v>360</v>
      </c>
      <c r="B310" s="6" t="s">
        <v>318</v>
      </c>
      <c r="C310" s="6" t="s">
        <v>21</v>
      </c>
      <c r="D310" s="6">
        <v>1</v>
      </c>
      <c r="E310" s="8"/>
      <c r="F310" s="6" t="s">
        <v>236</v>
      </c>
      <c r="G310" s="6" t="s">
        <v>218</v>
      </c>
      <c r="H310" s="6" t="s">
        <v>219</v>
      </c>
      <c r="I310" s="6" t="s">
        <v>248</v>
      </c>
      <c r="J310" s="6">
        <v>0.25</v>
      </c>
      <c r="K310" s="6">
        <v>1</v>
      </c>
      <c r="L310" s="6">
        <v>0.25</v>
      </c>
      <c r="M310" s="6">
        <v>62.25</v>
      </c>
      <c r="N310" s="6">
        <v>15.563000000000001</v>
      </c>
      <c r="O310" s="8"/>
      <c r="P310" s="8"/>
      <c r="Q310" s="8"/>
      <c r="R310" s="8"/>
      <c r="S310" s="6">
        <v>20</v>
      </c>
      <c r="T310" s="6" t="s">
        <v>341</v>
      </c>
      <c r="U310" s="8"/>
    </row>
    <row r="311" spans="1:21" ht="12.75" customHeight="1" x14ac:dyDescent="0.2">
      <c r="A311" s="6" t="s">
        <v>360</v>
      </c>
      <c r="B311" s="6" t="s">
        <v>318</v>
      </c>
      <c r="C311" s="6" t="s">
        <v>21</v>
      </c>
      <c r="D311" s="6">
        <v>1</v>
      </c>
      <c r="E311" s="8"/>
      <c r="F311" s="6" t="s">
        <v>349</v>
      </c>
      <c r="G311" s="6" t="s">
        <v>350</v>
      </c>
      <c r="H311" s="6" t="s">
        <v>178</v>
      </c>
      <c r="I311" s="6" t="s">
        <v>182</v>
      </c>
      <c r="J311" s="8"/>
      <c r="K311" s="8"/>
      <c r="L311" s="6">
        <v>2</v>
      </c>
      <c r="M311" s="9">
        <v>180</v>
      </c>
      <c r="N311" s="6">
        <v>360</v>
      </c>
      <c r="O311" s="8"/>
      <c r="P311" s="8"/>
      <c r="Q311" s="8"/>
      <c r="R311" s="8"/>
      <c r="S311" s="6">
        <v>30</v>
      </c>
      <c r="T311" s="6" t="s">
        <v>52</v>
      </c>
      <c r="U311" s="8"/>
    </row>
    <row r="312" spans="1:21" ht="12.75" customHeight="1" x14ac:dyDescent="0.2">
      <c r="A312" s="6" t="s">
        <v>360</v>
      </c>
      <c r="B312" s="6" t="s">
        <v>318</v>
      </c>
      <c r="C312" s="6" t="s">
        <v>21</v>
      </c>
      <c r="D312" s="6">
        <v>1</v>
      </c>
      <c r="E312" s="8"/>
      <c r="F312" s="6" t="s">
        <v>214</v>
      </c>
      <c r="G312" s="6" t="s">
        <v>215</v>
      </c>
      <c r="H312" s="6" t="s">
        <v>181</v>
      </c>
      <c r="I312" s="6" t="s">
        <v>182</v>
      </c>
      <c r="J312" s="8"/>
      <c r="K312" s="8"/>
      <c r="L312" s="6">
        <v>1</v>
      </c>
      <c r="M312" s="6">
        <v>40</v>
      </c>
      <c r="N312" s="6">
        <v>40</v>
      </c>
      <c r="O312" s="8"/>
      <c r="P312" s="8"/>
      <c r="Q312" s="8"/>
      <c r="R312" s="8"/>
      <c r="S312" s="6">
        <v>34</v>
      </c>
      <c r="T312" s="6" t="s">
        <v>229</v>
      </c>
      <c r="U312" s="8"/>
    </row>
    <row r="313" spans="1:21" ht="12.75" customHeight="1" x14ac:dyDescent="0.2">
      <c r="A313" s="6" t="s">
        <v>360</v>
      </c>
      <c r="B313" s="6" t="s">
        <v>318</v>
      </c>
      <c r="C313" s="6" t="s">
        <v>21</v>
      </c>
      <c r="D313" s="6">
        <v>1</v>
      </c>
      <c r="E313" s="8"/>
      <c r="F313" s="6" t="s">
        <v>230</v>
      </c>
      <c r="G313" s="6" t="s">
        <v>231</v>
      </c>
      <c r="H313" s="6" t="s">
        <v>219</v>
      </c>
      <c r="I313" s="6" t="s">
        <v>248</v>
      </c>
      <c r="J313" s="6">
        <v>0.04</v>
      </c>
      <c r="K313" s="6">
        <v>1</v>
      </c>
      <c r="L313" s="6">
        <v>0.04</v>
      </c>
      <c r="M313" s="6">
        <v>53.2</v>
      </c>
      <c r="N313" s="6">
        <v>2.1280000000000001</v>
      </c>
      <c r="O313" s="8"/>
      <c r="P313" s="8"/>
      <c r="Q313" s="8"/>
      <c r="R313" s="8"/>
      <c r="S313" s="6">
        <v>34</v>
      </c>
      <c r="T313" s="6" t="s">
        <v>232</v>
      </c>
      <c r="U313" s="8"/>
    </row>
    <row r="314" spans="1:21" ht="12.75" customHeight="1" x14ac:dyDescent="0.2">
      <c r="A314" s="6" t="s">
        <v>360</v>
      </c>
      <c r="B314" s="6" t="s">
        <v>318</v>
      </c>
      <c r="C314" s="6" t="s">
        <v>21</v>
      </c>
      <c r="D314" s="6">
        <v>1</v>
      </c>
      <c r="E314" s="8"/>
      <c r="F314" s="6" t="s">
        <v>278</v>
      </c>
      <c r="G314" s="6" t="s">
        <v>239</v>
      </c>
      <c r="H314" s="6" t="s">
        <v>219</v>
      </c>
      <c r="I314" s="6" t="s">
        <v>282</v>
      </c>
      <c r="J314" s="6">
        <v>0.5</v>
      </c>
      <c r="K314" s="6">
        <v>1</v>
      </c>
      <c r="L314" s="6">
        <v>0.5</v>
      </c>
      <c r="M314" s="6">
        <v>65</v>
      </c>
      <c r="N314" s="6">
        <v>32.5</v>
      </c>
      <c r="O314" s="8"/>
      <c r="P314" s="8"/>
      <c r="Q314" s="8"/>
      <c r="R314" s="8"/>
      <c r="S314" s="6">
        <v>34</v>
      </c>
      <c r="T314" s="6" t="s">
        <v>351</v>
      </c>
      <c r="U314" s="8"/>
    </row>
    <row r="315" spans="1:21" ht="12.75" customHeight="1" x14ac:dyDescent="0.2">
      <c r="A315" s="6" t="s">
        <v>360</v>
      </c>
      <c r="B315" s="6" t="s">
        <v>318</v>
      </c>
      <c r="C315" s="6" t="s">
        <v>21</v>
      </c>
      <c r="D315" s="6">
        <v>1</v>
      </c>
      <c r="E315" s="8"/>
      <c r="F315" s="6" t="s">
        <v>241</v>
      </c>
      <c r="G315" s="6" t="s">
        <v>218</v>
      </c>
      <c r="H315" s="6" t="s">
        <v>219</v>
      </c>
      <c r="I315" s="6" t="s">
        <v>282</v>
      </c>
      <c r="J315" s="6">
        <v>0.2</v>
      </c>
      <c r="K315" s="6">
        <v>1</v>
      </c>
      <c r="L315" s="6">
        <v>0.2</v>
      </c>
      <c r="M315" s="6">
        <v>64</v>
      </c>
      <c r="N315" s="6">
        <v>12.8</v>
      </c>
      <c r="O315" s="8"/>
      <c r="P315" s="8"/>
      <c r="Q315" s="8"/>
      <c r="R315" s="8"/>
      <c r="S315" s="6">
        <v>34</v>
      </c>
      <c r="T315" s="6" t="s">
        <v>342</v>
      </c>
      <c r="U315" s="8"/>
    </row>
    <row r="316" spans="1:21" ht="12.75" customHeight="1" x14ac:dyDescent="0.2">
      <c r="A316" s="6" t="s">
        <v>360</v>
      </c>
      <c r="B316" s="6" t="s">
        <v>318</v>
      </c>
      <c r="C316" s="6" t="s">
        <v>21</v>
      </c>
      <c r="D316" s="6">
        <v>1</v>
      </c>
      <c r="E316" s="8"/>
      <c r="F316" s="6" t="s">
        <v>264</v>
      </c>
      <c r="G316" s="6" t="s">
        <v>239</v>
      </c>
      <c r="H316" s="6" t="s">
        <v>219</v>
      </c>
      <c r="I316" s="6" t="s">
        <v>248</v>
      </c>
      <c r="J316" s="6">
        <v>2</v>
      </c>
      <c r="K316" s="6">
        <v>1</v>
      </c>
      <c r="L316" s="6">
        <v>2</v>
      </c>
      <c r="M316" s="6">
        <v>38.5</v>
      </c>
      <c r="N316" s="6">
        <v>77</v>
      </c>
      <c r="O316" s="8"/>
      <c r="P316" s="8"/>
      <c r="Q316" s="8"/>
      <c r="R316" s="8"/>
      <c r="S316" s="6">
        <v>34</v>
      </c>
      <c r="T316" s="6" t="s">
        <v>265</v>
      </c>
      <c r="U316" s="8"/>
    </row>
    <row r="317" spans="1:21" ht="12.75" customHeight="1" x14ac:dyDescent="0.2">
      <c r="A317" s="6" t="s">
        <v>360</v>
      </c>
      <c r="B317" s="6" t="s">
        <v>318</v>
      </c>
      <c r="C317" s="6" t="s">
        <v>21</v>
      </c>
      <c r="D317" s="6">
        <v>1</v>
      </c>
      <c r="E317" s="8"/>
      <c r="F317" s="6" t="s">
        <v>284</v>
      </c>
      <c r="G317" s="6" t="s">
        <v>244</v>
      </c>
      <c r="H317" s="6" t="s">
        <v>219</v>
      </c>
      <c r="I317" s="6" t="s">
        <v>248</v>
      </c>
      <c r="J317" s="6">
        <v>0.5</v>
      </c>
      <c r="K317" s="6">
        <v>1</v>
      </c>
      <c r="L317" s="6">
        <v>0.5</v>
      </c>
      <c r="M317" s="6">
        <v>53</v>
      </c>
      <c r="N317" s="6">
        <v>26.5</v>
      </c>
      <c r="O317" s="8"/>
      <c r="P317" s="8"/>
      <c r="Q317" s="8"/>
      <c r="R317" s="8"/>
      <c r="S317" s="6">
        <v>34</v>
      </c>
      <c r="T317" s="6" t="s">
        <v>352</v>
      </c>
      <c r="U317" s="8"/>
    </row>
    <row r="318" spans="1:21" ht="12.75" customHeight="1" x14ac:dyDescent="0.2">
      <c r="A318" s="6" t="s">
        <v>360</v>
      </c>
      <c r="B318" s="6" t="s">
        <v>318</v>
      </c>
      <c r="C318" s="6" t="s">
        <v>21</v>
      </c>
      <c r="D318" s="6">
        <v>1</v>
      </c>
      <c r="E318" s="8"/>
      <c r="F318" s="6" t="s">
        <v>276</v>
      </c>
      <c r="G318" s="6" t="s">
        <v>218</v>
      </c>
      <c r="H318" s="6" t="s">
        <v>219</v>
      </c>
      <c r="I318" s="6" t="s">
        <v>248</v>
      </c>
      <c r="J318" s="6">
        <v>0.2</v>
      </c>
      <c r="K318" s="6">
        <v>1</v>
      </c>
      <c r="L318" s="6">
        <v>0.2</v>
      </c>
      <c r="M318" s="6">
        <v>61.12</v>
      </c>
      <c r="N318" s="6">
        <v>12.224</v>
      </c>
      <c r="O318" s="8"/>
      <c r="P318" s="8"/>
      <c r="Q318" s="8"/>
      <c r="R318" s="8"/>
      <c r="S318" s="6">
        <v>34</v>
      </c>
      <c r="T318" s="6" t="s">
        <v>365</v>
      </c>
    </row>
    <row r="319" spans="1:21" ht="15" customHeight="1" x14ac:dyDescent="0.2">
      <c r="A319" s="6" t="s">
        <v>360</v>
      </c>
      <c r="B319" s="6" t="s">
        <v>318</v>
      </c>
      <c r="C319" s="6" t="s">
        <v>21</v>
      </c>
      <c r="D319" s="6">
        <v>1</v>
      </c>
      <c r="E319" s="8"/>
      <c r="F319" s="6" t="s">
        <v>353</v>
      </c>
      <c r="G319" s="6" t="s">
        <v>253</v>
      </c>
      <c r="H319" s="6" t="s">
        <v>181</v>
      </c>
      <c r="I319" s="6" t="s">
        <v>182</v>
      </c>
      <c r="J319" s="8"/>
      <c r="K319" s="8"/>
      <c r="L319" s="6">
        <v>5</v>
      </c>
      <c r="M319" s="6">
        <v>55</v>
      </c>
      <c r="N319" s="6">
        <v>275</v>
      </c>
      <c r="O319" s="8"/>
      <c r="P319" s="8"/>
      <c r="Q319" s="8"/>
      <c r="R319" s="8"/>
      <c r="S319" s="6">
        <v>35</v>
      </c>
      <c r="T319" s="6" t="s">
        <v>354</v>
      </c>
    </row>
    <row r="320" spans="1:21" ht="15" customHeight="1" x14ac:dyDescent="0.2">
      <c r="A320" s="6" t="s">
        <v>360</v>
      </c>
      <c r="B320" s="6" t="s">
        <v>318</v>
      </c>
      <c r="C320" s="6" t="s">
        <v>21</v>
      </c>
      <c r="D320" s="6">
        <v>1</v>
      </c>
      <c r="E320" s="8"/>
      <c r="F320" s="6" t="s">
        <v>214</v>
      </c>
      <c r="G320" s="6" t="s">
        <v>215</v>
      </c>
      <c r="H320" s="6" t="s">
        <v>181</v>
      </c>
      <c r="I320" s="6" t="s">
        <v>182</v>
      </c>
      <c r="J320" s="8"/>
      <c r="K320" s="8"/>
      <c r="L320" s="6">
        <v>1.5</v>
      </c>
      <c r="M320" s="6">
        <v>40</v>
      </c>
      <c r="N320" s="6">
        <v>60</v>
      </c>
      <c r="O320" s="8"/>
      <c r="P320" s="8"/>
      <c r="Q320" s="8"/>
      <c r="R320" s="8"/>
      <c r="S320" s="6">
        <v>36</v>
      </c>
      <c r="T320" s="6" t="s">
        <v>189</v>
      </c>
    </row>
    <row r="321" spans="1:20" ht="15" customHeight="1" x14ac:dyDescent="0.2">
      <c r="A321" s="6" t="s">
        <v>360</v>
      </c>
      <c r="B321" s="6" t="s">
        <v>318</v>
      </c>
      <c r="C321" s="6" t="s">
        <v>21</v>
      </c>
      <c r="D321" s="6">
        <v>1</v>
      </c>
      <c r="E321" s="8"/>
      <c r="F321" s="6" t="s">
        <v>250</v>
      </c>
      <c r="G321" s="6" t="s">
        <v>223</v>
      </c>
      <c r="H321" s="6" t="s">
        <v>219</v>
      </c>
      <c r="I321" s="6" t="s">
        <v>248</v>
      </c>
      <c r="J321" s="6">
        <v>12</v>
      </c>
      <c r="K321" s="6">
        <v>1.5</v>
      </c>
      <c r="L321" s="6">
        <v>18</v>
      </c>
      <c r="M321" s="6">
        <v>3.5</v>
      </c>
      <c r="N321" s="6">
        <v>63</v>
      </c>
      <c r="O321" s="8"/>
      <c r="P321" s="8"/>
      <c r="Q321" s="8"/>
      <c r="R321" s="8"/>
      <c r="S321" s="6">
        <v>36</v>
      </c>
      <c r="T321" s="6" t="s">
        <v>269</v>
      </c>
    </row>
    <row r="322" spans="1:20" ht="15" customHeight="1" x14ac:dyDescent="0.2">
      <c r="A322" s="6" t="s">
        <v>360</v>
      </c>
      <c r="B322" s="6" t="s">
        <v>318</v>
      </c>
      <c r="C322" s="6" t="s">
        <v>21</v>
      </c>
      <c r="D322" s="6">
        <v>1</v>
      </c>
      <c r="E322" s="8"/>
      <c r="F322" s="6" t="s">
        <v>322</v>
      </c>
      <c r="G322" s="6" t="s">
        <v>188</v>
      </c>
      <c r="H322" s="6" t="s">
        <v>181</v>
      </c>
      <c r="I322" s="6" t="s">
        <v>182</v>
      </c>
      <c r="J322" s="8"/>
      <c r="K322" s="8"/>
      <c r="L322" s="6">
        <v>0.5</v>
      </c>
      <c r="M322" s="6">
        <v>9.8000000000000007</v>
      </c>
      <c r="N322" s="6">
        <v>4.9000000000000004</v>
      </c>
      <c r="O322" s="8"/>
      <c r="P322" s="8"/>
      <c r="Q322" s="8"/>
      <c r="R322" s="8"/>
      <c r="S322" s="9">
        <v>45</v>
      </c>
      <c r="T322" s="6" t="s">
        <v>329</v>
      </c>
    </row>
    <row r="323" spans="1:20" ht="15" customHeight="1" x14ac:dyDescent="0.2">
      <c r="A323" s="6" t="s">
        <v>360</v>
      </c>
      <c r="B323" s="6" t="s">
        <v>318</v>
      </c>
      <c r="C323" s="6" t="s">
        <v>21</v>
      </c>
      <c r="D323" s="6">
        <v>1</v>
      </c>
      <c r="E323" s="8"/>
      <c r="F323" s="6" t="s">
        <v>335</v>
      </c>
      <c r="G323" s="6" t="s">
        <v>188</v>
      </c>
      <c r="H323" s="6" t="s">
        <v>181</v>
      </c>
      <c r="I323" s="6" t="s">
        <v>182</v>
      </c>
      <c r="J323" s="8"/>
      <c r="K323" s="8"/>
      <c r="L323" s="6">
        <v>0.5</v>
      </c>
      <c r="M323" s="6">
        <v>55</v>
      </c>
      <c r="N323" s="6">
        <v>27.5</v>
      </c>
      <c r="O323" s="8"/>
      <c r="P323" s="8"/>
      <c r="Q323" s="8"/>
      <c r="R323" s="8"/>
      <c r="S323" s="6">
        <v>48</v>
      </c>
      <c r="T323" s="6" t="s">
        <v>209</v>
      </c>
    </row>
    <row r="324" spans="1:20" ht="15" customHeight="1" x14ac:dyDescent="0.2">
      <c r="A324" s="6" t="s">
        <v>360</v>
      </c>
      <c r="B324" s="6" t="s">
        <v>318</v>
      </c>
      <c r="C324" s="6" t="s">
        <v>21</v>
      </c>
      <c r="D324" s="6">
        <v>1</v>
      </c>
      <c r="E324" s="8"/>
      <c r="F324" s="6" t="s">
        <v>355</v>
      </c>
      <c r="G324" s="6" t="s">
        <v>223</v>
      </c>
      <c r="H324" s="6" t="s">
        <v>219</v>
      </c>
      <c r="I324" s="6" t="s">
        <v>248</v>
      </c>
      <c r="J324" s="6">
        <v>10</v>
      </c>
      <c r="K324" s="6">
        <v>1</v>
      </c>
      <c r="L324" s="6">
        <v>10</v>
      </c>
      <c r="M324" s="6">
        <v>1.2</v>
      </c>
      <c r="N324" s="6">
        <v>12</v>
      </c>
      <c r="O324" s="8"/>
      <c r="P324" s="8"/>
      <c r="Q324" s="8"/>
      <c r="R324" s="8"/>
      <c r="S324" s="9">
        <v>48</v>
      </c>
      <c r="T324" s="6" t="s">
        <v>227</v>
      </c>
    </row>
    <row r="325" spans="1:20" ht="15" customHeight="1" x14ac:dyDescent="0.2">
      <c r="A325" s="6" t="s">
        <v>360</v>
      </c>
      <c r="B325" s="6" t="s">
        <v>318</v>
      </c>
      <c r="C325" s="6" t="s">
        <v>21</v>
      </c>
      <c r="D325" s="6">
        <v>1</v>
      </c>
      <c r="E325" s="8"/>
      <c r="F325" s="6" t="s">
        <v>222</v>
      </c>
      <c r="G325" s="6" t="s">
        <v>223</v>
      </c>
      <c r="H325" s="6" t="s">
        <v>219</v>
      </c>
      <c r="I325" s="6" t="s">
        <v>248</v>
      </c>
      <c r="J325" s="6">
        <v>10</v>
      </c>
      <c r="K325" s="6">
        <v>1</v>
      </c>
      <c r="L325" s="6">
        <v>5</v>
      </c>
      <c r="M325" s="6">
        <v>13.47</v>
      </c>
      <c r="N325" s="6">
        <v>67.349999999999994</v>
      </c>
      <c r="O325" s="8"/>
      <c r="P325" s="8"/>
      <c r="Q325" s="8"/>
      <c r="R325" s="8"/>
      <c r="S325" s="9">
        <v>48</v>
      </c>
      <c r="T325" s="6" t="s">
        <v>356</v>
      </c>
    </row>
    <row r="326" spans="1:20" ht="15" customHeight="1" x14ac:dyDescent="0.2">
      <c r="A326" s="6" t="s">
        <v>360</v>
      </c>
      <c r="B326" s="6" t="s">
        <v>318</v>
      </c>
      <c r="C326" s="6" t="s">
        <v>21</v>
      </c>
      <c r="D326" s="6">
        <v>1</v>
      </c>
      <c r="E326" s="8"/>
      <c r="F326" s="6" t="s">
        <v>336</v>
      </c>
      <c r="G326" s="6" t="s">
        <v>337</v>
      </c>
      <c r="H326" s="6" t="s">
        <v>201</v>
      </c>
      <c r="I326" s="6" t="s">
        <v>226</v>
      </c>
      <c r="J326" s="6">
        <v>25</v>
      </c>
      <c r="K326" s="6">
        <v>1</v>
      </c>
      <c r="L326" s="6">
        <v>10</v>
      </c>
      <c r="M326" s="6">
        <v>4.8099999999999996</v>
      </c>
      <c r="N326" s="6">
        <v>48.1</v>
      </c>
      <c r="O326" s="8"/>
      <c r="P326" s="8"/>
      <c r="Q326" s="8"/>
      <c r="R326" s="8"/>
      <c r="S326" s="9">
        <v>48</v>
      </c>
      <c r="T326" s="6" t="s">
        <v>338</v>
      </c>
    </row>
    <row r="327" spans="1:20" ht="15" customHeight="1" x14ac:dyDescent="0.2">
      <c r="A327" s="6" t="s">
        <v>360</v>
      </c>
      <c r="B327" s="6" t="s">
        <v>318</v>
      </c>
      <c r="C327" s="6" t="s">
        <v>21</v>
      </c>
      <c r="D327" s="6">
        <v>1</v>
      </c>
      <c r="E327" s="8"/>
      <c r="F327" s="6" t="s">
        <v>203</v>
      </c>
      <c r="G327" s="6" t="s">
        <v>337</v>
      </c>
      <c r="H327" s="6" t="s">
        <v>201</v>
      </c>
      <c r="I327" s="6" t="s">
        <v>226</v>
      </c>
      <c r="J327" s="6">
        <v>25</v>
      </c>
      <c r="K327" s="6">
        <v>1</v>
      </c>
      <c r="L327" s="6">
        <v>25</v>
      </c>
      <c r="M327" s="6">
        <v>4.88</v>
      </c>
      <c r="N327" s="6">
        <v>122</v>
      </c>
      <c r="O327" s="8"/>
      <c r="P327" s="8"/>
      <c r="Q327" s="8"/>
      <c r="R327" s="8"/>
      <c r="S327" s="9">
        <v>48</v>
      </c>
      <c r="T327" s="6" t="s">
        <v>339</v>
      </c>
    </row>
    <row r="328" spans="1:20" ht="15" customHeight="1" x14ac:dyDescent="0.2">
      <c r="A328" s="6" t="s">
        <v>360</v>
      </c>
      <c r="B328" s="6" t="s">
        <v>318</v>
      </c>
      <c r="C328" s="6" t="s">
        <v>21</v>
      </c>
      <c r="D328" s="6">
        <v>1</v>
      </c>
      <c r="E328" s="8"/>
      <c r="F328" s="6" t="s">
        <v>214</v>
      </c>
      <c r="G328" s="6" t="s">
        <v>215</v>
      </c>
      <c r="H328" s="6" t="s">
        <v>181</v>
      </c>
      <c r="I328" s="6" t="s">
        <v>182</v>
      </c>
      <c r="J328" s="8"/>
      <c r="K328" s="8"/>
      <c r="L328" s="6">
        <v>1</v>
      </c>
      <c r="M328" s="6">
        <v>40</v>
      </c>
      <c r="N328" s="6">
        <v>40</v>
      </c>
      <c r="O328" s="8"/>
      <c r="P328" s="8"/>
      <c r="Q328" s="8"/>
      <c r="R328" s="8"/>
      <c r="S328" s="6">
        <v>50</v>
      </c>
      <c r="T328" s="6" t="s">
        <v>229</v>
      </c>
    </row>
    <row r="329" spans="1:20" ht="15" customHeight="1" x14ac:dyDescent="0.2">
      <c r="A329" s="6" t="s">
        <v>360</v>
      </c>
      <c r="B329" s="6" t="s">
        <v>318</v>
      </c>
      <c r="C329" s="6" t="s">
        <v>21</v>
      </c>
      <c r="D329" s="6">
        <v>1</v>
      </c>
      <c r="E329" s="8"/>
      <c r="F329" s="6" t="s">
        <v>230</v>
      </c>
      <c r="G329" s="6" t="s">
        <v>231</v>
      </c>
      <c r="H329" s="6" t="s">
        <v>219</v>
      </c>
      <c r="I329" s="6" t="s">
        <v>248</v>
      </c>
      <c r="J329" s="6">
        <v>0.04</v>
      </c>
      <c r="K329" s="6">
        <v>1</v>
      </c>
      <c r="L329" s="6">
        <v>0.04</v>
      </c>
      <c r="M329" s="6">
        <v>53.2</v>
      </c>
      <c r="N329" s="6">
        <v>2.1280000000000001</v>
      </c>
      <c r="O329" s="8"/>
      <c r="P329" s="8"/>
      <c r="Q329" s="8"/>
      <c r="R329" s="8"/>
      <c r="S329" s="6">
        <v>50</v>
      </c>
      <c r="T329" s="6" t="s">
        <v>232</v>
      </c>
    </row>
    <row r="330" spans="1:20" ht="15" customHeight="1" x14ac:dyDescent="0.2">
      <c r="A330" s="6" t="s">
        <v>360</v>
      </c>
      <c r="B330" s="6" t="s">
        <v>318</v>
      </c>
      <c r="C330" s="6" t="s">
        <v>21</v>
      </c>
      <c r="D330" s="6">
        <v>1</v>
      </c>
      <c r="E330" s="8"/>
      <c r="F330" s="6" t="s">
        <v>255</v>
      </c>
      <c r="G330" s="6" t="s">
        <v>218</v>
      </c>
      <c r="H330" s="6" t="s">
        <v>219</v>
      </c>
      <c r="I330" s="6" t="s">
        <v>282</v>
      </c>
      <c r="J330" s="6">
        <v>0.5</v>
      </c>
      <c r="K330" s="6">
        <v>1</v>
      </c>
      <c r="L330" s="6">
        <v>0.5</v>
      </c>
      <c r="M330" s="6">
        <v>40</v>
      </c>
      <c r="N330" s="6">
        <v>20</v>
      </c>
      <c r="O330" s="8"/>
      <c r="P330" s="8"/>
      <c r="Q330" s="8"/>
      <c r="R330" s="8"/>
      <c r="S330" s="6">
        <v>50</v>
      </c>
      <c r="T330" s="6" t="s">
        <v>257</v>
      </c>
    </row>
    <row r="331" spans="1:20" ht="15" customHeight="1" x14ac:dyDescent="0.2">
      <c r="A331" s="6" t="s">
        <v>360</v>
      </c>
      <c r="B331" s="6" t="s">
        <v>318</v>
      </c>
      <c r="C331" s="6" t="s">
        <v>21</v>
      </c>
      <c r="D331" s="6">
        <v>1</v>
      </c>
      <c r="E331" s="8"/>
      <c r="F331" s="6" t="s">
        <v>264</v>
      </c>
      <c r="G331" s="6" t="s">
        <v>239</v>
      </c>
      <c r="H331" s="6" t="s">
        <v>219</v>
      </c>
      <c r="I331" s="6" t="s">
        <v>248</v>
      </c>
      <c r="J331" s="6">
        <v>2</v>
      </c>
      <c r="K331" s="6">
        <v>1</v>
      </c>
      <c r="L331" s="6">
        <v>2</v>
      </c>
      <c r="M331" s="6">
        <v>38.5</v>
      </c>
      <c r="N331" s="6">
        <v>77</v>
      </c>
      <c r="O331" s="8"/>
      <c r="P331" s="8"/>
      <c r="Q331" s="8"/>
      <c r="R331" s="8"/>
      <c r="S331" s="6">
        <v>50</v>
      </c>
      <c r="T331" s="6" t="s">
        <v>265</v>
      </c>
    </row>
    <row r="332" spans="1:20" ht="15" customHeight="1" x14ac:dyDescent="0.2">
      <c r="A332" s="6" t="s">
        <v>360</v>
      </c>
      <c r="B332" s="6" t="s">
        <v>318</v>
      </c>
      <c r="C332" s="6" t="s">
        <v>21</v>
      </c>
      <c r="D332" s="6">
        <v>1</v>
      </c>
      <c r="E332" s="8"/>
      <c r="F332" s="6" t="s">
        <v>236</v>
      </c>
      <c r="G332" s="6" t="s">
        <v>218</v>
      </c>
      <c r="H332" s="6" t="s">
        <v>219</v>
      </c>
      <c r="I332" s="6" t="s">
        <v>248</v>
      </c>
      <c r="J332" s="6">
        <v>0.25</v>
      </c>
      <c r="K332" s="6">
        <v>1</v>
      </c>
      <c r="L332" s="6">
        <v>0.25</v>
      </c>
      <c r="M332" s="6">
        <v>62.25</v>
      </c>
      <c r="N332" s="6">
        <v>15.563000000000001</v>
      </c>
      <c r="O332" s="8"/>
      <c r="P332" s="8"/>
      <c r="Q332" s="8"/>
      <c r="R332" s="8"/>
      <c r="S332" s="6">
        <v>50</v>
      </c>
      <c r="T332" s="6" t="s">
        <v>341</v>
      </c>
    </row>
    <row r="333" spans="1:20" ht="15" customHeight="1" x14ac:dyDescent="0.2">
      <c r="A333" s="6" t="s">
        <v>360</v>
      </c>
      <c r="B333" s="6" t="s">
        <v>318</v>
      </c>
      <c r="C333" s="6" t="s">
        <v>21</v>
      </c>
      <c r="D333" s="6">
        <v>1</v>
      </c>
      <c r="E333" s="8"/>
      <c r="F333" s="6" t="s">
        <v>353</v>
      </c>
      <c r="G333" s="6" t="s">
        <v>253</v>
      </c>
      <c r="H333" s="6" t="s">
        <v>181</v>
      </c>
      <c r="I333" s="6" t="s">
        <v>182</v>
      </c>
      <c r="J333" s="8"/>
      <c r="K333" s="8"/>
      <c r="L333" s="6">
        <v>0</v>
      </c>
      <c r="M333" s="6">
        <v>55</v>
      </c>
      <c r="N333" s="6">
        <v>0</v>
      </c>
      <c r="O333" s="8"/>
      <c r="P333" s="8"/>
      <c r="Q333" s="8"/>
      <c r="R333" s="8"/>
      <c r="S333" s="6">
        <v>55</v>
      </c>
      <c r="T333" s="6" t="s">
        <v>88</v>
      </c>
    </row>
    <row r="334" spans="1:20" ht="15" customHeight="1" x14ac:dyDescent="0.2">
      <c r="A334" s="6" t="s">
        <v>360</v>
      </c>
      <c r="B334" s="6" t="s">
        <v>318</v>
      </c>
      <c r="C334" s="6" t="s">
        <v>21</v>
      </c>
      <c r="D334" s="6">
        <v>1</v>
      </c>
      <c r="E334" s="8"/>
      <c r="F334" s="6" t="s">
        <v>366</v>
      </c>
      <c r="G334" s="6" t="s">
        <v>215</v>
      </c>
      <c r="H334" s="6" t="s">
        <v>181</v>
      </c>
      <c r="I334" s="6" t="s">
        <v>182</v>
      </c>
      <c r="J334" s="8"/>
      <c r="K334" s="8"/>
      <c r="L334" s="6">
        <v>1.5</v>
      </c>
      <c r="M334" s="6">
        <v>65</v>
      </c>
      <c r="N334" s="6">
        <v>97.5</v>
      </c>
      <c r="O334" s="8"/>
      <c r="P334" s="8"/>
      <c r="Q334" s="8"/>
      <c r="R334" s="8"/>
      <c r="S334" s="6">
        <v>64</v>
      </c>
      <c r="T334" s="6" t="s">
        <v>34</v>
      </c>
    </row>
    <row r="335" spans="1:20" ht="15" customHeight="1" x14ac:dyDescent="0.2">
      <c r="A335" s="6" t="s">
        <v>360</v>
      </c>
      <c r="B335" s="6" t="s">
        <v>318</v>
      </c>
      <c r="C335" s="6" t="s">
        <v>21</v>
      </c>
      <c r="D335" s="6">
        <v>1</v>
      </c>
      <c r="E335" s="8"/>
      <c r="F335" s="6" t="s">
        <v>230</v>
      </c>
      <c r="G335" s="6" t="s">
        <v>231</v>
      </c>
      <c r="H335" s="6" t="s">
        <v>219</v>
      </c>
      <c r="I335" s="6" t="s">
        <v>248</v>
      </c>
      <c r="J335" s="6">
        <v>0.04</v>
      </c>
      <c r="K335" s="6">
        <v>1.5</v>
      </c>
      <c r="L335" s="6">
        <v>0.06</v>
      </c>
      <c r="M335" s="6">
        <v>53.2</v>
      </c>
      <c r="N335" s="6">
        <v>3.1920000000000002</v>
      </c>
      <c r="O335" s="8"/>
      <c r="P335" s="8"/>
      <c r="Q335" s="8"/>
      <c r="R335" s="8"/>
      <c r="S335" s="6">
        <v>64</v>
      </c>
      <c r="T335" s="6" t="s">
        <v>272</v>
      </c>
    </row>
    <row r="336" spans="1:20" ht="15" customHeight="1" x14ac:dyDescent="0.2">
      <c r="A336" s="6" t="s">
        <v>360</v>
      </c>
      <c r="B336" s="6" t="s">
        <v>318</v>
      </c>
      <c r="C336" s="6" t="s">
        <v>21</v>
      </c>
      <c r="D336" s="6">
        <v>1</v>
      </c>
      <c r="E336" s="8"/>
      <c r="F336" s="6" t="s">
        <v>241</v>
      </c>
      <c r="G336" s="6" t="s">
        <v>218</v>
      </c>
      <c r="H336" s="6" t="s">
        <v>219</v>
      </c>
      <c r="I336" s="6" t="s">
        <v>202</v>
      </c>
      <c r="J336" s="6">
        <v>0.2</v>
      </c>
      <c r="K336" s="6">
        <v>1.5</v>
      </c>
      <c r="L336" s="6">
        <v>0.3</v>
      </c>
      <c r="M336" s="6">
        <v>64</v>
      </c>
      <c r="N336" s="6">
        <v>19.2</v>
      </c>
      <c r="O336" s="8"/>
      <c r="P336" s="8"/>
      <c r="Q336" s="8"/>
      <c r="R336" s="8"/>
      <c r="S336" s="6">
        <v>64</v>
      </c>
      <c r="T336" s="6" t="s">
        <v>367</v>
      </c>
    </row>
    <row r="337" spans="1:20" ht="15" customHeight="1" x14ac:dyDescent="0.2">
      <c r="A337" s="6" t="s">
        <v>360</v>
      </c>
      <c r="B337" s="6" t="s">
        <v>318</v>
      </c>
      <c r="C337" s="6" t="s">
        <v>21</v>
      </c>
      <c r="D337" s="6">
        <v>1</v>
      </c>
      <c r="E337" s="8"/>
      <c r="F337" s="6" t="s">
        <v>276</v>
      </c>
      <c r="G337" s="6" t="s">
        <v>218</v>
      </c>
      <c r="H337" s="6" t="s">
        <v>219</v>
      </c>
      <c r="I337" s="6" t="s">
        <v>248</v>
      </c>
      <c r="J337" s="6">
        <v>0.2</v>
      </c>
      <c r="K337" s="6">
        <v>1.5</v>
      </c>
      <c r="L337" s="6">
        <v>0.3</v>
      </c>
      <c r="M337" s="6">
        <v>61.12</v>
      </c>
      <c r="N337" s="6">
        <v>18.335999999999999</v>
      </c>
      <c r="O337" s="8"/>
      <c r="P337" s="8"/>
      <c r="Q337" s="8"/>
      <c r="R337" s="8"/>
      <c r="S337" s="6">
        <v>64</v>
      </c>
      <c r="T337" s="6" t="s">
        <v>368</v>
      </c>
    </row>
    <row r="338" spans="1:20" ht="15" customHeight="1" x14ac:dyDescent="0.2">
      <c r="A338" s="6" t="s">
        <v>360</v>
      </c>
      <c r="B338" s="6" t="s">
        <v>318</v>
      </c>
      <c r="C338" s="6" t="s">
        <v>21</v>
      </c>
      <c r="D338" s="6">
        <v>1</v>
      </c>
      <c r="E338" s="8"/>
      <c r="F338" s="6" t="s">
        <v>278</v>
      </c>
      <c r="G338" s="6" t="s">
        <v>239</v>
      </c>
      <c r="H338" s="6" t="s">
        <v>219</v>
      </c>
      <c r="I338" s="6" t="s">
        <v>202</v>
      </c>
      <c r="J338" s="6">
        <v>0.5</v>
      </c>
      <c r="K338" s="6">
        <v>1.5</v>
      </c>
      <c r="L338" s="6">
        <v>0.75</v>
      </c>
      <c r="M338" s="6">
        <v>65</v>
      </c>
      <c r="N338" s="6">
        <v>48.75</v>
      </c>
      <c r="O338" s="8"/>
      <c r="P338" s="8"/>
      <c r="Q338" s="8"/>
      <c r="R338" s="8"/>
      <c r="S338" s="6">
        <v>64</v>
      </c>
      <c r="T338" s="6" t="s">
        <v>279</v>
      </c>
    </row>
    <row r="339" spans="1:20" ht="15" customHeight="1" x14ac:dyDescent="0.2">
      <c r="A339" s="6" t="s">
        <v>360</v>
      </c>
      <c r="B339" s="6" t="s">
        <v>318</v>
      </c>
      <c r="C339" s="6" t="s">
        <v>21</v>
      </c>
      <c r="D339" s="6">
        <v>1</v>
      </c>
      <c r="E339" s="8"/>
      <c r="F339" s="6" t="s">
        <v>274</v>
      </c>
      <c r="G339" s="6" t="s">
        <v>218</v>
      </c>
      <c r="H339" s="6" t="s">
        <v>219</v>
      </c>
      <c r="I339" s="6" t="s">
        <v>248</v>
      </c>
      <c r="J339" s="6">
        <v>0.2</v>
      </c>
      <c r="K339" s="6">
        <v>1.5</v>
      </c>
      <c r="L339" s="6">
        <v>0.3</v>
      </c>
      <c r="M339" s="6">
        <v>91</v>
      </c>
      <c r="N339" s="6">
        <v>27.3</v>
      </c>
      <c r="O339" s="8"/>
      <c r="P339" s="8"/>
      <c r="Q339" s="8"/>
      <c r="R339" s="8"/>
      <c r="S339" s="6">
        <v>64</v>
      </c>
      <c r="T339" s="6" t="s">
        <v>275</v>
      </c>
    </row>
    <row r="340" spans="1:20" ht="15" customHeight="1" x14ac:dyDescent="0.2">
      <c r="A340" s="6" t="s">
        <v>360</v>
      </c>
      <c r="B340" s="6" t="s">
        <v>318</v>
      </c>
      <c r="C340" s="6" t="s">
        <v>21</v>
      </c>
      <c r="D340" s="6">
        <v>1</v>
      </c>
      <c r="E340" s="8"/>
      <c r="F340" s="6" t="s">
        <v>295</v>
      </c>
      <c r="G340" s="6" t="s">
        <v>244</v>
      </c>
      <c r="H340" s="6" t="s">
        <v>219</v>
      </c>
      <c r="I340" s="6" t="s">
        <v>248</v>
      </c>
      <c r="J340" s="6">
        <v>0.5</v>
      </c>
      <c r="K340" s="6">
        <v>1.5</v>
      </c>
      <c r="L340" s="6">
        <v>0.75</v>
      </c>
      <c r="M340" s="6">
        <v>77.31</v>
      </c>
      <c r="N340" s="6">
        <v>57.982999999999997</v>
      </c>
      <c r="O340" s="8"/>
      <c r="P340" s="8"/>
      <c r="Q340" s="8"/>
      <c r="R340" s="8"/>
      <c r="S340" s="6">
        <v>64</v>
      </c>
      <c r="T340" s="6" t="s">
        <v>296</v>
      </c>
    </row>
    <row r="341" spans="1:20" ht="15" customHeight="1" x14ac:dyDescent="0.2">
      <c r="A341" s="6" t="s">
        <v>360</v>
      </c>
      <c r="B341" s="6" t="s">
        <v>318</v>
      </c>
      <c r="C341" s="6" t="s">
        <v>21</v>
      </c>
      <c r="D341" s="6">
        <v>1</v>
      </c>
      <c r="E341" s="8"/>
      <c r="F341" s="6" t="s">
        <v>286</v>
      </c>
      <c r="G341" s="6" t="s">
        <v>239</v>
      </c>
      <c r="H341" s="6" t="s">
        <v>219</v>
      </c>
      <c r="I341" s="6" t="s">
        <v>202</v>
      </c>
      <c r="J341" s="6">
        <v>3</v>
      </c>
      <c r="K341" s="6">
        <v>1.5</v>
      </c>
      <c r="L341" s="6">
        <v>4.5</v>
      </c>
      <c r="M341" s="6">
        <v>22.715</v>
      </c>
      <c r="N341" s="6">
        <v>102.218</v>
      </c>
      <c r="O341" s="8"/>
      <c r="P341" s="8"/>
      <c r="Q341" s="8"/>
      <c r="R341" s="8"/>
      <c r="S341" s="6">
        <v>64</v>
      </c>
      <c r="T341" s="6" t="s">
        <v>369</v>
      </c>
    </row>
    <row r="342" spans="1:20" ht="15" customHeight="1" x14ac:dyDescent="0.2">
      <c r="A342" s="6" t="s">
        <v>360</v>
      </c>
      <c r="B342" s="6" t="s">
        <v>318</v>
      </c>
      <c r="C342" s="6" t="s">
        <v>21</v>
      </c>
      <c r="D342" s="6">
        <v>1</v>
      </c>
      <c r="E342" s="8"/>
      <c r="F342" s="6" t="s">
        <v>335</v>
      </c>
      <c r="G342" s="6" t="s">
        <v>188</v>
      </c>
      <c r="H342" s="6" t="s">
        <v>181</v>
      </c>
      <c r="I342" s="6" t="s">
        <v>182</v>
      </c>
      <c r="J342" s="8"/>
      <c r="K342" s="8"/>
      <c r="L342" s="6">
        <v>0.5</v>
      </c>
      <c r="M342" s="6">
        <v>55</v>
      </c>
      <c r="N342" s="6">
        <v>27.5</v>
      </c>
      <c r="O342" s="8"/>
      <c r="P342" s="8"/>
      <c r="Q342" s="8"/>
      <c r="R342" s="8"/>
      <c r="S342" s="6">
        <v>72</v>
      </c>
      <c r="T342" s="6" t="s">
        <v>209</v>
      </c>
    </row>
    <row r="343" spans="1:20" ht="15" customHeight="1" x14ac:dyDescent="0.2">
      <c r="A343" s="6" t="s">
        <v>360</v>
      </c>
      <c r="B343" s="6" t="s">
        <v>318</v>
      </c>
      <c r="C343" s="6" t="s">
        <v>21</v>
      </c>
      <c r="D343" s="6">
        <v>1</v>
      </c>
      <c r="E343" s="8"/>
      <c r="F343" s="6" t="s">
        <v>355</v>
      </c>
      <c r="G343" s="6" t="s">
        <v>223</v>
      </c>
      <c r="H343" s="6" t="s">
        <v>219</v>
      </c>
      <c r="I343" s="6" t="s">
        <v>248</v>
      </c>
      <c r="J343" s="6">
        <v>10</v>
      </c>
      <c r="K343" s="6">
        <v>1</v>
      </c>
      <c r="L343" s="6">
        <v>10</v>
      </c>
      <c r="M343" s="6">
        <v>1.2</v>
      </c>
      <c r="N343" s="6">
        <v>12</v>
      </c>
      <c r="O343" s="8"/>
      <c r="P343" s="8"/>
      <c r="Q343" s="8"/>
      <c r="R343" s="8"/>
      <c r="S343" s="9">
        <v>72</v>
      </c>
      <c r="T343" s="6" t="s">
        <v>227</v>
      </c>
    </row>
    <row r="344" spans="1:20" ht="15" customHeight="1" x14ac:dyDescent="0.2">
      <c r="A344" s="6" t="s">
        <v>360</v>
      </c>
      <c r="B344" s="6" t="s">
        <v>318</v>
      </c>
      <c r="C344" s="6" t="s">
        <v>21</v>
      </c>
      <c r="D344" s="6">
        <v>1</v>
      </c>
      <c r="E344" s="8"/>
      <c r="F344" s="6" t="s">
        <v>222</v>
      </c>
      <c r="G344" s="6" t="s">
        <v>223</v>
      </c>
      <c r="H344" s="6" t="s">
        <v>219</v>
      </c>
      <c r="I344" s="6" t="s">
        <v>248</v>
      </c>
      <c r="J344" s="6">
        <v>10</v>
      </c>
      <c r="K344" s="6">
        <v>1</v>
      </c>
      <c r="L344" s="6">
        <v>5</v>
      </c>
      <c r="M344" s="6">
        <v>13.47</v>
      </c>
      <c r="N344" s="6">
        <v>67.349999999999994</v>
      </c>
      <c r="O344" s="8"/>
      <c r="P344" s="8"/>
      <c r="Q344" s="8"/>
      <c r="R344" s="8"/>
      <c r="S344" s="9">
        <v>72</v>
      </c>
      <c r="T344" s="6" t="s">
        <v>356</v>
      </c>
    </row>
    <row r="345" spans="1:20" ht="15" customHeight="1" x14ac:dyDescent="0.2">
      <c r="A345" s="6" t="s">
        <v>360</v>
      </c>
      <c r="B345" s="6" t="s">
        <v>318</v>
      </c>
      <c r="C345" s="6" t="s">
        <v>21</v>
      </c>
      <c r="D345" s="6">
        <v>1</v>
      </c>
      <c r="E345" s="8"/>
      <c r="F345" s="6" t="s">
        <v>357</v>
      </c>
      <c r="G345" s="6" t="s">
        <v>337</v>
      </c>
      <c r="H345" s="6" t="s">
        <v>201</v>
      </c>
      <c r="I345" s="6" t="s">
        <v>226</v>
      </c>
      <c r="J345" s="6">
        <v>25</v>
      </c>
      <c r="K345" s="6">
        <v>1</v>
      </c>
      <c r="L345" s="6">
        <v>10</v>
      </c>
      <c r="M345" s="6">
        <v>1.33</v>
      </c>
      <c r="N345" s="6">
        <v>13.3</v>
      </c>
      <c r="O345" s="8"/>
      <c r="P345" s="8"/>
      <c r="Q345" s="8"/>
      <c r="R345" s="8"/>
      <c r="S345" s="9">
        <v>72</v>
      </c>
      <c r="T345" s="6" t="s">
        <v>358</v>
      </c>
    </row>
    <row r="346" spans="1:20" ht="15" customHeight="1" x14ac:dyDescent="0.2">
      <c r="A346" s="6" t="s">
        <v>360</v>
      </c>
      <c r="B346" s="6" t="s">
        <v>318</v>
      </c>
      <c r="C346" s="6" t="s">
        <v>21</v>
      </c>
      <c r="D346" s="6">
        <v>1</v>
      </c>
      <c r="E346" s="8"/>
      <c r="F346" s="6" t="s">
        <v>214</v>
      </c>
      <c r="G346" s="6" t="s">
        <v>215</v>
      </c>
      <c r="H346" s="6" t="s">
        <v>181</v>
      </c>
      <c r="I346" s="6" t="s">
        <v>182</v>
      </c>
      <c r="J346" s="8"/>
      <c r="K346" s="8"/>
      <c r="L346" s="6">
        <v>1.5</v>
      </c>
      <c r="M346" s="6">
        <v>40</v>
      </c>
      <c r="N346" s="6">
        <v>60</v>
      </c>
      <c r="O346" s="8"/>
      <c r="P346" s="8"/>
      <c r="Q346" s="8"/>
      <c r="R346" s="8"/>
      <c r="S346" s="6">
        <v>76</v>
      </c>
      <c r="T346" s="6" t="s">
        <v>189</v>
      </c>
    </row>
    <row r="347" spans="1:20" ht="15" customHeight="1" x14ac:dyDescent="0.2">
      <c r="A347" s="6" t="s">
        <v>360</v>
      </c>
      <c r="B347" s="6" t="s">
        <v>318</v>
      </c>
      <c r="C347" s="6" t="s">
        <v>21</v>
      </c>
      <c r="D347" s="6">
        <v>1</v>
      </c>
      <c r="E347" s="8"/>
      <c r="F347" s="6" t="s">
        <v>250</v>
      </c>
      <c r="G347" s="6" t="s">
        <v>223</v>
      </c>
      <c r="H347" s="6" t="s">
        <v>219</v>
      </c>
      <c r="I347" s="6" t="s">
        <v>248</v>
      </c>
      <c r="J347" s="6">
        <v>12</v>
      </c>
      <c r="K347" s="6">
        <v>1.5</v>
      </c>
      <c r="L347" s="6">
        <v>18</v>
      </c>
      <c r="M347" s="6">
        <v>3.5</v>
      </c>
      <c r="N347" s="6">
        <v>63</v>
      </c>
      <c r="O347" s="8"/>
      <c r="P347" s="8"/>
      <c r="Q347" s="8"/>
      <c r="R347" s="8"/>
      <c r="S347" s="6">
        <v>76</v>
      </c>
      <c r="T347" s="6" t="s">
        <v>269</v>
      </c>
    </row>
    <row r="348" spans="1:20" ht="15" customHeight="1" x14ac:dyDescent="0.2">
      <c r="A348" s="6" t="s">
        <v>360</v>
      </c>
      <c r="B348" s="6" t="s">
        <v>318</v>
      </c>
      <c r="C348" s="6" t="s">
        <v>21</v>
      </c>
      <c r="D348" s="6">
        <v>1</v>
      </c>
      <c r="E348" s="8"/>
      <c r="F348" s="6" t="s">
        <v>353</v>
      </c>
      <c r="G348" s="6" t="s">
        <v>253</v>
      </c>
      <c r="H348" s="6" t="s">
        <v>181</v>
      </c>
      <c r="I348" s="6" t="s">
        <v>182</v>
      </c>
      <c r="J348" s="8"/>
      <c r="K348" s="8"/>
      <c r="L348" s="6">
        <v>5</v>
      </c>
      <c r="M348" s="6">
        <v>55</v>
      </c>
      <c r="N348" s="6">
        <v>275</v>
      </c>
      <c r="O348" s="8"/>
      <c r="P348" s="8"/>
      <c r="Q348" s="8"/>
      <c r="R348" s="8"/>
      <c r="S348" s="6">
        <v>82</v>
      </c>
      <c r="T348" s="6" t="s">
        <v>354</v>
      </c>
    </row>
    <row r="349" spans="1:20" ht="15" customHeight="1" x14ac:dyDescent="0.2">
      <c r="A349" s="6" t="s">
        <v>360</v>
      </c>
      <c r="B349" s="6" t="s">
        <v>318</v>
      </c>
      <c r="C349" s="6" t="s">
        <v>21</v>
      </c>
      <c r="D349" s="6">
        <v>1</v>
      </c>
      <c r="E349" s="8"/>
      <c r="F349" s="6" t="s">
        <v>366</v>
      </c>
      <c r="G349" s="6" t="s">
        <v>215</v>
      </c>
      <c r="H349" s="6" t="s">
        <v>181</v>
      </c>
      <c r="I349" s="6" t="s">
        <v>182</v>
      </c>
      <c r="J349" s="8"/>
      <c r="K349" s="8"/>
      <c r="L349" s="6">
        <v>1.5</v>
      </c>
      <c r="M349" s="6">
        <v>65</v>
      </c>
      <c r="N349" s="6">
        <v>97.5</v>
      </c>
      <c r="O349" s="8"/>
      <c r="P349" s="8"/>
      <c r="Q349" s="8"/>
      <c r="R349" s="8"/>
      <c r="S349" s="6">
        <v>84</v>
      </c>
      <c r="T349" s="6" t="s">
        <v>34</v>
      </c>
    </row>
    <row r="350" spans="1:20" ht="15" customHeight="1" x14ac:dyDescent="0.2">
      <c r="A350" s="6" t="s">
        <v>360</v>
      </c>
      <c r="B350" s="6" t="s">
        <v>318</v>
      </c>
      <c r="C350" s="6" t="s">
        <v>21</v>
      </c>
      <c r="D350" s="6">
        <v>1</v>
      </c>
      <c r="E350" s="8"/>
      <c r="F350" s="6" t="s">
        <v>230</v>
      </c>
      <c r="G350" s="6" t="s">
        <v>231</v>
      </c>
      <c r="H350" s="6" t="s">
        <v>219</v>
      </c>
      <c r="I350" s="6" t="s">
        <v>248</v>
      </c>
      <c r="J350" s="6">
        <v>0.04</v>
      </c>
      <c r="K350" s="6">
        <v>1.5</v>
      </c>
      <c r="L350" s="6">
        <v>0.06</v>
      </c>
      <c r="M350" s="6">
        <v>53.2</v>
      </c>
      <c r="N350" s="6">
        <v>3.1920000000000002</v>
      </c>
      <c r="O350" s="8"/>
      <c r="P350" s="8"/>
      <c r="Q350" s="8"/>
      <c r="R350" s="8"/>
      <c r="S350" s="6">
        <v>84</v>
      </c>
      <c r="T350" s="6" t="s">
        <v>272</v>
      </c>
    </row>
    <row r="351" spans="1:20" ht="15" customHeight="1" x14ac:dyDescent="0.2">
      <c r="A351" s="6" t="s">
        <v>360</v>
      </c>
      <c r="B351" s="6" t="s">
        <v>318</v>
      </c>
      <c r="C351" s="6" t="s">
        <v>21</v>
      </c>
      <c r="D351" s="6">
        <v>1</v>
      </c>
      <c r="E351" s="8"/>
      <c r="F351" s="6" t="s">
        <v>255</v>
      </c>
      <c r="G351" s="6" t="s">
        <v>218</v>
      </c>
      <c r="H351" s="6" t="s">
        <v>219</v>
      </c>
      <c r="I351" s="6" t="s">
        <v>282</v>
      </c>
      <c r="J351" s="6">
        <v>0.5</v>
      </c>
      <c r="K351" s="6">
        <v>1.5</v>
      </c>
      <c r="L351" s="6">
        <v>0.75</v>
      </c>
      <c r="M351" s="6">
        <v>40</v>
      </c>
      <c r="N351" s="6">
        <v>30</v>
      </c>
      <c r="O351" s="8"/>
      <c r="P351" s="8"/>
      <c r="Q351" s="8"/>
      <c r="R351" s="8"/>
      <c r="S351" s="6">
        <v>84</v>
      </c>
      <c r="T351" s="6" t="s">
        <v>291</v>
      </c>
    </row>
    <row r="352" spans="1:20" ht="15" customHeight="1" x14ac:dyDescent="0.2">
      <c r="A352" s="6" t="s">
        <v>360</v>
      </c>
      <c r="B352" s="6" t="s">
        <v>318</v>
      </c>
      <c r="C352" s="6" t="s">
        <v>21</v>
      </c>
      <c r="D352" s="6">
        <v>1</v>
      </c>
      <c r="E352" s="8"/>
      <c r="F352" s="6" t="s">
        <v>246</v>
      </c>
      <c r="G352" s="6" t="s">
        <v>218</v>
      </c>
      <c r="H352" s="6" t="s">
        <v>219</v>
      </c>
      <c r="I352" s="6" t="s">
        <v>248</v>
      </c>
      <c r="J352" s="6">
        <v>0.25</v>
      </c>
      <c r="K352" s="6">
        <v>1.5</v>
      </c>
      <c r="L352" s="6">
        <v>0.375</v>
      </c>
      <c r="M352" s="6">
        <v>62.5</v>
      </c>
      <c r="N352" s="6">
        <v>23.437999999999999</v>
      </c>
      <c r="O352" s="8"/>
      <c r="P352" s="8"/>
      <c r="Q352" s="8"/>
      <c r="R352" s="8"/>
      <c r="S352" s="6">
        <v>84</v>
      </c>
      <c r="T352" s="6" t="s">
        <v>288</v>
      </c>
    </row>
    <row r="353" spans="1:20" ht="15" customHeight="1" x14ac:dyDescent="0.2">
      <c r="A353" s="6" t="s">
        <v>360</v>
      </c>
      <c r="B353" s="6" t="s">
        <v>318</v>
      </c>
      <c r="C353" s="6" t="s">
        <v>21</v>
      </c>
      <c r="D353" s="6">
        <v>1</v>
      </c>
      <c r="E353" s="8"/>
      <c r="F353" s="6" t="s">
        <v>286</v>
      </c>
      <c r="G353" s="6" t="s">
        <v>239</v>
      </c>
      <c r="H353" s="6" t="s">
        <v>219</v>
      </c>
      <c r="I353" s="6" t="s">
        <v>282</v>
      </c>
      <c r="J353" s="6">
        <v>3</v>
      </c>
      <c r="K353" s="6">
        <v>1.5</v>
      </c>
      <c r="L353" s="6">
        <v>4.5</v>
      </c>
      <c r="M353" s="6">
        <v>22.715</v>
      </c>
      <c r="N353" s="6">
        <v>102.218</v>
      </c>
      <c r="O353" s="8"/>
      <c r="P353" s="8"/>
      <c r="Q353" s="8"/>
      <c r="R353" s="8"/>
      <c r="S353" s="6">
        <v>84</v>
      </c>
      <c r="T353" s="6" t="s">
        <v>369</v>
      </c>
    </row>
    <row r="354" spans="1:20" ht="15" customHeight="1" x14ac:dyDescent="0.2">
      <c r="A354" s="6" t="s">
        <v>360</v>
      </c>
      <c r="B354" s="6" t="s">
        <v>318</v>
      </c>
      <c r="C354" s="6" t="s">
        <v>21</v>
      </c>
      <c r="D354" s="6">
        <v>1</v>
      </c>
      <c r="E354" s="8"/>
      <c r="F354" s="6" t="s">
        <v>295</v>
      </c>
      <c r="G354" s="6" t="s">
        <v>244</v>
      </c>
      <c r="H354" s="6" t="s">
        <v>219</v>
      </c>
      <c r="I354" s="6" t="s">
        <v>248</v>
      </c>
      <c r="J354" s="6">
        <v>0.5</v>
      </c>
      <c r="K354" s="6">
        <v>1.5</v>
      </c>
      <c r="L354" s="6">
        <v>0.75</v>
      </c>
      <c r="M354" s="6">
        <v>77.31</v>
      </c>
      <c r="N354" s="6">
        <v>57.982999999999997</v>
      </c>
      <c r="O354" s="8"/>
      <c r="P354" s="8"/>
      <c r="Q354" s="8"/>
      <c r="R354" s="8"/>
      <c r="S354" s="6">
        <v>84</v>
      </c>
      <c r="T354" s="6" t="s">
        <v>296</v>
      </c>
    </row>
    <row r="355" spans="1:20" ht="15" customHeight="1" x14ac:dyDescent="0.2">
      <c r="A355" s="6" t="s">
        <v>360</v>
      </c>
      <c r="B355" s="6" t="s">
        <v>318</v>
      </c>
      <c r="C355" s="6" t="s">
        <v>21</v>
      </c>
      <c r="D355" s="6">
        <v>1</v>
      </c>
      <c r="E355" s="8"/>
      <c r="F355" s="6" t="s">
        <v>335</v>
      </c>
      <c r="G355" s="6" t="s">
        <v>188</v>
      </c>
      <c r="H355" s="6" t="s">
        <v>181</v>
      </c>
      <c r="I355" s="6" t="s">
        <v>182</v>
      </c>
      <c r="J355" s="8"/>
      <c r="K355" s="8"/>
      <c r="L355" s="6">
        <v>0.5</v>
      </c>
      <c r="M355" s="6">
        <v>55</v>
      </c>
      <c r="N355" s="6">
        <v>27.5</v>
      </c>
      <c r="O355" s="8"/>
      <c r="P355" s="8"/>
      <c r="Q355" s="8"/>
      <c r="R355" s="8"/>
      <c r="S355" s="6">
        <v>91</v>
      </c>
      <c r="T355" s="6" t="s">
        <v>209</v>
      </c>
    </row>
    <row r="356" spans="1:20" ht="15" customHeight="1" x14ac:dyDescent="0.2">
      <c r="A356" s="6" t="s">
        <v>360</v>
      </c>
      <c r="B356" s="6" t="s">
        <v>318</v>
      </c>
      <c r="C356" s="6" t="s">
        <v>21</v>
      </c>
      <c r="D356" s="6">
        <v>1</v>
      </c>
      <c r="E356" s="8"/>
      <c r="F356" s="6" t="s">
        <v>355</v>
      </c>
      <c r="G356" s="6" t="s">
        <v>223</v>
      </c>
      <c r="H356" s="6" t="s">
        <v>219</v>
      </c>
      <c r="I356" s="6" t="s">
        <v>248</v>
      </c>
      <c r="J356" s="6">
        <v>10</v>
      </c>
      <c r="K356" s="6">
        <v>1</v>
      </c>
      <c r="L356" s="6">
        <v>10</v>
      </c>
      <c r="M356" s="6">
        <v>1.2</v>
      </c>
      <c r="N356" s="6">
        <v>12</v>
      </c>
      <c r="O356" s="8"/>
      <c r="P356" s="8"/>
      <c r="Q356" s="8"/>
      <c r="R356" s="8"/>
      <c r="S356" s="9">
        <v>91</v>
      </c>
      <c r="T356" s="6" t="s">
        <v>227</v>
      </c>
    </row>
    <row r="357" spans="1:20" ht="15" customHeight="1" x14ac:dyDescent="0.2">
      <c r="A357" s="6" t="s">
        <v>360</v>
      </c>
      <c r="B357" s="6" t="s">
        <v>318</v>
      </c>
      <c r="C357" s="6" t="s">
        <v>21</v>
      </c>
      <c r="D357" s="6">
        <v>1</v>
      </c>
      <c r="E357" s="8"/>
      <c r="F357" s="6" t="s">
        <v>222</v>
      </c>
      <c r="G357" s="6" t="s">
        <v>223</v>
      </c>
      <c r="H357" s="6" t="s">
        <v>219</v>
      </c>
      <c r="I357" s="6" t="s">
        <v>248</v>
      </c>
      <c r="J357" s="6">
        <v>10</v>
      </c>
      <c r="K357" s="6">
        <v>1</v>
      </c>
      <c r="L357" s="6">
        <v>5</v>
      </c>
      <c r="M357" s="6">
        <v>13.47</v>
      </c>
      <c r="N357" s="6">
        <v>67.349999999999994</v>
      </c>
      <c r="O357" s="8"/>
      <c r="P357" s="8"/>
      <c r="Q357" s="8"/>
      <c r="R357" s="8"/>
      <c r="S357" s="9">
        <v>91</v>
      </c>
      <c r="T357" s="6" t="s">
        <v>356</v>
      </c>
    </row>
    <row r="358" spans="1:20" ht="15" customHeight="1" x14ac:dyDescent="0.2">
      <c r="A358" s="6" t="s">
        <v>360</v>
      </c>
      <c r="B358" s="6" t="s">
        <v>318</v>
      </c>
      <c r="C358" s="6" t="s">
        <v>21</v>
      </c>
      <c r="D358" s="6">
        <v>1</v>
      </c>
      <c r="E358" s="8"/>
      <c r="F358" s="6" t="s">
        <v>336</v>
      </c>
      <c r="G358" s="6" t="s">
        <v>337</v>
      </c>
      <c r="H358" s="6" t="s">
        <v>201</v>
      </c>
      <c r="I358" s="6" t="s">
        <v>226</v>
      </c>
      <c r="J358" s="6">
        <v>25</v>
      </c>
      <c r="K358" s="6">
        <v>1</v>
      </c>
      <c r="L358" s="6">
        <v>10</v>
      </c>
      <c r="M358" s="6">
        <v>4.8099999999999996</v>
      </c>
      <c r="N358" s="6">
        <v>48.1</v>
      </c>
      <c r="O358" s="8"/>
      <c r="P358" s="8"/>
      <c r="Q358" s="8"/>
      <c r="R358" s="8"/>
      <c r="S358" s="9">
        <v>91</v>
      </c>
      <c r="T358" s="6" t="s">
        <v>338</v>
      </c>
    </row>
    <row r="359" spans="1:20" ht="15" customHeight="1" x14ac:dyDescent="0.2">
      <c r="A359" s="6" t="s">
        <v>360</v>
      </c>
      <c r="B359" s="6" t="s">
        <v>318</v>
      </c>
      <c r="C359" s="6" t="s">
        <v>21</v>
      </c>
      <c r="D359" s="6">
        <v>1</v>
      </c>
      <c r="E359" s="8"/>
      <c r="F359" s="6" t="s">
        <v>203</v>
      </c>
      <c r="G359" s="6" t="s">
        <v>337</v>
      </c>
      <c r="H359" s="6" t="s">
        <v>201</v>
      </c>
      <c r="I359" s="6" t="s">
        <v>226</v>
      </c>
      <c r="J359" s="6">
        <v>25</v>
      </c>
      <c r="K359" s="6">
        <v>1</v>
      </c>
      <c r="L359" s="6">
        <v>25</v>
      </c>
      <c r="M359" s="6">
        <v>4.88</v>
      </c>
      <c r="N359" s="6">
        <v>122</v>
      </c>
      <c r="O359" s="8"/>
      <c r="P359" s="8"/>
      <c r="Q359" s="8"/>
      <c r="R359" s="8"/>
      <c r="S359" s="9">
        <v>91</v>
      </c>
      <c r="T359" s="6" t="s">
        <v>339</v>
      </c>
    </row>
    <row r="360" spans="1:20" ht="15" customHeight="1" x14ac:dyDescent="0.2">
      <c r="A360" s="6" t="s">
        <v>360</v>
      </c>
      <c r="B360" s="6" t="s">
        <v>318</v>
      </c>
      <c r="C360" s="6" t="s">
        <v>21</v>
      </c>
      <c r="D360" s="6">
        <v>1</v>
      </c>
      <c r="E360" s="8"/>
      <c r="F360" s="6" t="s">
        <v>366</v>
      </c>
      <c r="G360" s="6" t="s">
        <v>215</v>
      </c>
      <c r="H360" s="6" t="s">
        <v>181</v>
      </c>
      <c r="I360" s="6" t="s">
        <v>182</v>
      </c>
      <c r="J360" s="8"/>
      <c r="K360" s="8"/>
      <c r="L360" s="6">
        <v>1.5</v>
      </c>
      <c r="M360" s="6">
        <v>65</v>
      </c>
      <c r="N360" s="6">
        <v>97.5</v>
      </c>
      <c r="O360" s="8"/>
      <c r="P360" s="8"/>
      <c r="Q360" s="8"/>
      <c r="R360" s="8"/>
      <c r="S360" s="6">
        <v>104</v>
      </c>
      <c r="T360" s="6" t="s">
        <v>34</v>
      </c>
    </row>
    <row r="361" spans="1:20" ht="15" customHeight="1" x14ac:dyDescent="0.2">
      <c r="A361" s="6" t="s">
        <v>360</v>
      </c>
      <c r="B361" s="6" t="s">
        <v>318</v>
      </c>
      <c r="C361" s="6" t="s">
        <v>21</v>
      </c>
      <c r="D361" s="6">
        <v>1</v>
      </c>
      <c r="E361" s="8"/>
      <c r="F361" s="6" t="s">
        <v>230</v>
      </c>
      <c r="G361" s="6" t="s">
        <v>231</v>
      </c>
      <c r="H361" s="6" t="s">
        <v>219</v>
      </c>
      <c r="I361" s="6" t="s">
        <v>248</v>
      </c>
      <c r="J361" s="6">
        <v>0.04</v>
      </c>
      <c r="K361" s="6">
        <v>1.5</v>
      </c>
      <c r="L361" s="6">
        <v>0.06</v>
      </c>
      <c r="M361" s="6">
        <v>53.2</v>
      </c>
      <c r="N361" s="6">
        <v>3.1920000000000002</v>
      </c>
      <c r="O361" s="8"/>
      <c r="P361" s="8"/>
      <c r="Q361" s="8"/>
      <c r="R361" s="8"/>
      <c r="S361" s="6">
        <v>104</v>
      </c>
      <c r="T361" s="6" t="s">
        <v>272</v>
      </c>
    </row>
    <row r="362" spans="1:20" ht="15" customHeight="1" x14ac:dyDescent="0.2">
      <c r="A362" s="6" t="s">
        <v>360</v>
      </c>
      <c r="B362" s="6" t="s">
        <v>318</v>
      </c>
      <c r="C362" s="6" t="s">
        <v>21</v>
      </c>
      <c r="D362" s="6">
        <v>1</v>
      </c>
      <c r="E362" s="8"/>
      <c r="F362" s="6" t="s">
        <v>241</v>
      </c>
      <c r="G362" s="6" t="s">
        <v>218</v>
      </c>
      <c r="H362" s="6" t="s">
        <v>219</v>
      </c>
      <c r="I362" s="6" t="s">
        <v>202</v>
      </c>
      <c r="J362" s="6">
        <v>0.2</v>
      </c>
      <c r="K362" s="6">
        <v>1.5</v>
      </c>
      <c r="L362" s="6">
        <v>0.3</v>
      </c>
      <c r="M362" s="6">
        <v>64</v>
      </c>
      <c r="N362" s="6">
        <v>19.2</v>
      </c>
      <c r="O362" s="8"/>
      <c r="P362" s="8"/>
      <c r="Q362" s="8"/>
      <c r="R362" s="8"/>
      <c r="S362" s="6">
        <v>104</v>
      </c>
      <c r="T362" s="6" t="s">
        <v>367</v>
      </c>
    </row>
    <row r="363" spans="1:20" ht="15" customHeight="1" x14ac:dyDescent="0.2">
      <c r="A363" s="6" t="s">
        <v>360</v>
      </c>
      <c r="B363" s="6" t="s">
        <v>318</v>
      </c>
      <c r="C363" s="6" t="s">
        <v>21</v>
      </c>
      <c r="D363" s="6">
        <v>1</v>
      </c>
      <c r="E363" s="8"/>
      <c r="F363" s="6" t="s">
        <v>286</v>
      </c>
      <c r="G363" s="6" t="s">
        <v>239</v>
      </c>
      <c r="H363" s="6" t="s">
        <v>219</v>
      </c>
      <c r="I363" s="6" t="s">
        <v>202</v>
      </c>
      <c r="J363" s="6">
        <v>3</v>
      </c>
      <c r="K363" s="6">
        <v>1.5</v>
      </c>
      <c r="L363" s="6">
        <v>4.5</v>
      </c>
      <c r="M363" s="6">
        <v>22.715</v>
      </c>
      <c r="N363" s="6">
        <v>102.218</v>
      </c>
      <c r="O363" s="8"/>
      <c r="P363" s="8"/>
      <c r="Q363" s="8"/>
      <c r="R363" s="8"/>
      <c r="S363" s="6">
        <v>104</v>
      </c>
      <c r="T363" s="6" t="s">
        <v>369</v>
      </c>
    </row>
    <row r="364" spans="1:20" ht="15" customHeight="1" x14ac:dyDescent="0.2">
      <c r="A364" s="6" t="s">
        <v>360</v>
      </c>
      <c r="B364" s="6" t="s">
        <v>318</v>
      </c>
      <c r="C364" s="6" t="s">
        <v>21</v>
      </c>
      <c r="D364" s="6">
        <v>1</v>
      </c>
      <c r="E364" s="8"/>
      <c r="F364" s="6" t="s">
        <v>276</v>
      </c>
      <c r="G364" s="6" t="s">
        <v>218</v>
      </c>
      <c r="H364" s="6" t="s">
        <v>219</v>
      </c>
      <c r="I364" s="6" t="s">
        <v>248</v>
      </c>
      <c r="J364" s="6">
        <v>0.2</v>
      </c>
      <c r="K364" s="6">
        <v>1.5</v>
      </c>
      <c r="L364" s="6">
        <v>0.3</v>
      </c>
      <c r="M364" s="6">
        <v>61.12</v>
      </c>
      <c r="N364" s="6">
        <v>18.335999999999999</v>
      </c>
      <c r="O364" s="8"/>
      <c r="P364" s="8"/>
      <c r="Q364" s="8"/>
      <c r="R364" s="8"/>
      <c r="S364" s="6">
        <v>104</v>
      </c>
      <c r="T364" s="6" t="s">
        <v>368</v>
      </c>
    </row>
    <row r="365" spans="1:20" ht="15" customHeight="1" x14ac:dyDescent="0.2">
      <c r="A365" s="6" t="s">
        <v>360</v>
      </c>
      <c r="B365" s="6" t="s">
        <v>318</v>
      </c>
      <c r="C365" s="6" t="s">
        <v>21</v>
      </c>
      <c r="D365" s="6">
        <v>1</v>
      </c>
      <c r="E365" s="8"/>
      <c r="F365" s="6" t="s">
        <v>335</v>
      </c>
      <c r="G365" s="6" t="s">
        <v>188</v>
      </c>
      <c r="H365" s="6" t="s">
        <v>181</v>
      </c>
      <c r="I365" s="6" t="s">
        <v>182</v>
      </c>
      <c r="J365" s="8"/>
      <c r="K365" s="8"/>
      <c r="L365" s="6">
        <v>0.5</v>
      </c>
      <c r="M365" s="6">
        <v>55</v>
      </c>
      <c r="N365" s="6">
        <v>27.5</v>
      </c>
      <c r="O365" s="8"/>
      <c r="P365" s="8"/>
      <c r="Q365" s="8"/>
      <c r="R365" s="8"/>
      <c r="S365" s="6">
        <v>110</v>
      </c>
      <c r="T365" s="6" t="s">
        <v>209</v>
      </c>
    </row>
    <row r="366" spans="1:20" ht="15" customHeight="1" x14ac:dyDescent="0.2">
      <c r="A366" s="6" t="s">
        <v>360</v>
      </c>
      <c r="B366" s="6" t="s">
        <v>318</v>
      </c>
      <c r="C366" s="6" t="s">
        <v>21</v>
      </c>
      <c r="D366" s="6">
        <v>1</v>
      </c>
      <c r="E366" s="8"/>
      <c r="F366" s="6" t="s">
        <v>355</v>
      </c>
      <c r="G366" s="6" t="s">
        <v>223</v>
      </c>
      <c r="H366" s="6" t="s">
        <v>219</v>
      </c>
      <c r="I366" s="6" t="s">
        <v>248</v>
      </c>
      <c r="J366" s="6">
        <v>10</v>
      </c>
      <c r="K366" s="6">
        <v>1</v>
      </c>
      <c r="L366" s="6">
        <v>10</v>
      </c>
      <c r="M366" s="6">
        <v>1.2</v>
      </c>
      <c r="N366" s="6">
        <v>12</v>
      </c>
      <c r="O366" s="8"/>
      <c r="P366" s="8"/>
      <c r="Q366" s="8"/>
      <c r="R366" s="8"/>
      <c r="S366" s="9">
        <v>110</v>
      </c>
      <c r="T366" s="6" t="s">
        <v>227</v>
      </c>
    </row>
    <row r="367" spans="1:20" ht="15" customHeight="1" x14ac:dyDescent="0.2">
      <c r="A367" s="6" t="s">
        <v>360</v>
      </c>
      <c r="B367" s="6" t="s">
        <v>318</v>
      </c>
      <c r="C367" s="6" t="s">
        <v>21</v>
      </c>
      <c r="D367" s="6">
        <v>1</v>
      </c>
      <c r="E367" s="8"/>
      <c r="F367" s="6" t="s">
        <v>222</v>
      </c>
      <c r="G367" s="6" t="s">
        <v>223</v>
      </c>
      <c r="H367" s="6" t="s">
        <v>219</v>
      </c>
      <c r="I367" s="6" t="s">
        <v>248</v>
      </c>
      <c r="J367" s="6">
        <v>10</v>
      </c>
      <c r="K367" s="6">
        <v>1</v>
      </c>
      <c r="L367" s="6">
        <v>5</v>
      </c>
      <c r="M367" s="6">
        <v>13.47</v>
      </c>
      <c r="N367" s="6">
        <v>67.349999999999994</v>
      </c>
      <c r="O367" s="8"/>
      <c r="P367" s="8"/>
      <c r="Q367" s="8"/>
      <c r="R367" s="8"/>
      <c r="S367" s="9">
        <v>110</v>
      </c>
      <c r="T367" s="6" t="s">
        <v>356</v>
      </c>
    </row>
    <row r="368" spans="1:20" ht="15" customHeight="1" x14ac:dyDescent="0.2">
      <c r="A368" s="6" t="s">
        <v>360</v>
      </c>
      <c r="B368" s="6" t="s">
        <v>318</v>
      </c>
      <c r="C368" s="6" t="s">
        <v>21</v>
      </c>
      <c r="D368" s="6">
        <v>1</v>
      </c>
      <c r="E368" s="8"/>
      <c r="F368" s="6" t="s">
        <v>336</v>
      </c>
      <c r="G368" s="6" t="s">
        <v>337</v>
      </c>
      <c r="H368" s="6" t="s">
        <v>201</v>
      </c>
      <c r="I368" s="6" t="s">
        <v>226</v>
      </c>
      <c r="J368" s="6">
        <v>25</v>
      </c>
      <c r="K368" s="6">
        <v>1</v>
      </c>
      <c r="L368" s="6">
        <v>10</v>
      </c>
      <c r="M368" s="6">
        <v>4.8099999999999996</v>
      </c>
      <c r="N368" s="6">
        <v>48.1</v>
      </c>
      <c r="O368" s="8"/>
      <c r="P368" s="8"/>
      <c r="Q368" s="8"/>
      <c r="R368" s="8"/>
      <c r="S368" s="9">
        <v>110</v>
      </c>
      <c r="T368" s="6" t="s">
        <v>338</v>
      </c>
    </row>
    <row r="369" spans="1:20" ht="15" customHeight="1" x14ac:dyDescent="0.2">
      <c r="A369" s="6" t="s">
        <v>360</v>
      </c>
      <c r="B369" s="6" t="s">
        <v>318</v>
      </c>
      <c r="C369" s="6" t="s">
        <v>21</v>
      </c>
      <c r="D369" s="6">
        <v>1</v>
      </c>
      <c r="E369" s="8"/>
      <c r="F369" s="6" t="s">
        <v>203</v>
      </c>
      <c r="G369" s="6" t="s">
        <v>337</v>
      </c>
      <c r="H369" s="6" t="s">
        <v>201</v>
      </c>
      <c r="I369" s="6" t="s">
        <v>226</v>
      </c>
      <c r="J369" s="6">
        <v>25</v>
      </c>
      <c r="K369" s="6">
        <v>1</v>
      </c>
      <c r="L369" s="6">
        <v>25</v>
      </c>
      <c r="M369" s="6">
        <v>4.88</v>
      </c>
      <c r="N369" s="6">
        <v>122</v>
      </c>
      <c r="O369" s="8"/>
      <c r="P369" s="8"/>
      <c r="Q369" s="8"/>
      <c r="R369" s="8"/>
      <c r="S369" s="9">
        <v>110</v>
      </c>
      <c r="T369" s="6" t="s">
        <v>339</v>
      </c>
    </row>
    <row r="370" spans="1:20" ht="15" customHeight="1" x14ac:dyDescent="0.2">
      <c r="A370" s="6" t="s">
        <v>360</v>
      </c>
      <c r="B370" s="6" t="s">
        <v>318</v>
      </c>
      <c r="C370" s="6" t="s">
        <v>21</v>
      </c>
      <c r="D370" s="6">
        <v>1</v>
      </c>
      <c r="E370" s="8"/>
      <c r="F370" s="6" t="s">
        <v>335</v>
      </c>
      <c r="G370" s="6" t="s">
        <v>188</v>
      </c>
      <c r="H370" s="6" t="s">
        <v>181</v>
      </c>
      <c r="I370" s="6" t="s">
        <v>182</v>
      </c>
      <c r="J370" s="8"/>
      <c r="K370" s="8"/>
      <c r="L370" s="6">
        <v>0.5</v>
      </c>
      <c r="M370" s="6">
        <v>55</v>
      </c>
      <c r="N370" s="6">
        <v>27.5</v>
      </c>
      <c r="O370" s="8"/>
      <c r="P370" s="8"/>
      <c r="Q370" s="8"/>
      <c r="R370" s="8"/>
      <c r="S370" s="6">
        <v>130</v>
      </c>
      <c r="T370" s="6" t="s">
        <v>209</v>
      </c>
    </row>
    <row r="371" spans="1:20" ht="15" customHeight="1" x14ac:dyDescent="0.2">
      <c r="A371" s="6" t="s">
        <v>360</v>
      </c>
      <c r="B371" s="6" t="s">
        <v>318</v>
      </c>
      <c r="C371" s="6" t="s">
        <v>21</v>
      </c>
      <c r="D371" s="6">
        <v>1</v>
      </c>
      <c r="E371" s="8"/>
      <c r="F371" s="6" t="s">
        <v>355</v>
      </c>
      <c r="G371" s="6" t="s">
        <v>223</v>
      </c>
      <c r="H371" s="6" t="s">
        <v>219</v>
      </c>
      <c r="I371" s="6" t="s">
        <v>248</v>
      </c>
      <c r="J371" s="6">
        <v>10</v>
      </c>
      <c r="K371" s="6">
        <v>1</v>
      </c>
      <c r="L371" s="6">
        <v>10</v>
      </c>
      <c r="M371" s="6">
        <v>1.2</v>
      </c>
      <c r="N371" s="6">
        <v>12</v>
      </c>
      <c r="O371" s="8"/>
      <c r="P371" s="8"/>
      <c r="Q371" s="8"/>
      <c r="R371" s="8"/>
      <c r="S371" s="9">
        <v>130</v>
      </c>
      <c r="T371" s="6" t="s">
        <v>227</v>
      </c>
    </row>
    <row r="372" spans="1:20" ht="15" customHeight="1" x14ac:dyDescent="0.2">
      <c r="A372" s="6" t="s">
        <v>360</v>
      </c>
      <c r="B372" s="6" t="s">
        <v>318</v>
      </c>
      <c r="C372" s="6" t="s">
        <v>21</v>
      </c>
      <c r="D372" s="6">
        <v>1</v>
      </c>
      <c r="E372" s="8"/>
      <c r="F372" s="6" t="s">
        <v>222</v>
      </c>
      <c r="G372" s="6" t="s">
        <v>223</v>
      </c>
      <c r="H372" s="6" t="s">
        <v>219</v>
      </c>
      <c r="I372" s="6" t="s">
        <v>248</v>
      </c>
      <c r="J372" s="6">
        <v>10</v>
      </c>
      <c r="K372" s="6">
        <v>1</v>
      </c>
      <c r="L372" s="6">
        <v>5</v>
      </c>
      <c r="M372" s="6">
        <v>13.47</v>
      </c>
      <c r="N372" s="6">
        <v>67.349999999999994</v>
      </c>
      <c r="O372" s="8"/>
      <c r="P372" s="8"/>
      <c r="Q372" s="8"/>
      <c r="R372" s="8"/>
      <c r="S372" s="9">
        <v>130</v>
      </c>
      <c r="T372" s="6" t="s">
        <v>356</v>
      </c>
    </row>
    <row r="373" spans="1:20" ht="15" customHeight="1" x14ac:dyDescent="0.2">
      <c r="A373" s="6" t="s">
        <v>360</v>
      </c>
      <c r="B373" s="6" t="s">
        <v>318</v>
      </c>
      <c r="C373" s="6" t="s">
        <v>21</v>
      </c>
      <c r="D373" s="6">
        <v>1</v>
      </c>
      <c r="E373" s="8"/>
      <c r="F373" s="6" t="s">
        <v>336</v>
      </c>
      <c r="G373" s="6" t="s">
        <v>337</v>
      </c>
      <c r="H373" s="6" t="s">
        <v>201</v>
      </c>
      <c r="I373" s="6" t="s">
        <v>226</v>
      </c>
      <c r="J373" s="6">
        <v>25</v>
      </c>
      <c r="K373" s="6">
        <v>1</v>
      </c>
      <c r="L373" s="6">
        <v>10</v>
      </c>
      <c r="M373" s="6">
        <v>4.8099999999999996</v>
      </c>
      <c r="N373" s="6">
        <v>48.1</v>
      </c>
      <c r="O373" s="8"/>
      <c r="P373" s="8"/>
      <c r="Q373" s="8"/>
      <c r="R373" s="8"/>
      <c r="S373" s="9">
        <v>130</v>
      </c>
      <c r="T373" s="6" t="s">
        <v>338</v>
      </c>
    </row>
    <row r="374" spans="1:20" ht="15" customHeight="1" x14ac:dyDescent="0.2">
      <c r="A374" s="6" t="s">
        <v>360</v>
      </c>
      <c r="B374" s="6" t="s">
        <v>318</v>
      </c>
      <c r="C374" s="6" t="s">
        <v>21</v>
      </c>
      <c r="D374" s="6">
        <v>1</v>
      </c>
      <c r="E374" s="8"/>
      <c r="F374" s="6" t="s">
        <v>203</v>
      </c>
      <c r="G374" s="6" t="s">
        <v>337</v>
      </c>
      <c r="H374" s="6" t="s">
        <v>201</v>
      </c>
      <c r="I374" s="6" t="s">
        <v>226</v>
      </c>
      <c r="J374" s="6">
        <v>25</v>
      </c>
      <c r="K374" s="6">
        <v>1</v>
      </c>
      <c r="L374" s="6">
        <v>25</v>
      </c>
      <c r="M374" s="6">
        <v>4.88</v>
      </c>
      <c r="N374" s="6">
        <v>122</v>
      </c>
      <c r="O374" s="8"/>
      <c r="P374" s="8"/>
      <c r="Q374" s="8"/>
      <c r="R374" s="8"/>
      <c r="S374" s="9">
        <v>130</v>
      </c>
      <c r="T374" s="6" t="s">
        <v>339</v>
      </c>
    </row>
    <row r="375" spans="1:20" ht="15" customHeight="1" x14ac:dyDescent="0.2">
      <c r="A375" s="6" t="s">
        <v>360</v>
      </c>
      <c r="B375" s="6" t="s">
        <v>318</v>
      </c>
      <c r="C375" s="6" t="s">
        <v>21</v>
      </c>
      <c r="D375" s="6">
        <v>1</v>
      </c>
      <c r="E375" s="8"/>
      <c r="F375" s="6" t="s">
        <v>370</v>
      </c>
      <c r="G375" s="6" t="s">
        <v>307</v>
      </c>
      <c r="H375" s="6" t="s">
        <v>181</v>
      </c>
      <c r="I375" s="6" t="s">
        <v>182</v>
      </c>
      <c r="J375" s="8"/>
      <c r="K375" s="8"/>
      <c r="L375" s="6">
        <v>1</v>
      </c>
      <c r="M375" s="6">
        <v>80</v>
      </c>
      <c r="N375" s="6">
        <v>80</v>
      </c>
      <c r="O375" s="8"/>
      <c r="P375" s="8"/>
      <c r="Q375" s="8"/>
      <c r="R375" s="8"/>
      <c r="S375" s="6">
        <v>150</v>
      </c>
      <c r="T375" s="6" t="s">
        <v>216</v>
      </c>
    </row>
    <row r="376" spans="1:20" ht="15" customHeight="1" x14ac:dyDescent="0.2">
      <c r="A376" s="6" t="s">
        <v>360</v>
      </c>
      <c r="B376" s="6" t="s">
        <v>318</v>
      </c>
      <c r="C376" s="6" t="s">
        <v>21</v>
      </c>
      <c r="D376" s="6">
        <v>1</v>
      </c>
      <c r="E376" s="8"/>
      <c r="F376" s="6" t="s">
        <v>371</v>
      </c>
      <c r="G376" s="6" t="s">
        <v>307</v>
      </c>
      <c r="H376" s="6" t="s">
        <v>181</v>
      </c>
      <c r="I376" s="6" t="s">
        <v>182</v>
      </c>
      <c r="J376" s="8"/>
      <c r="K376" s="8"/>
      <c r="L376" s="6">
        <v>8</v>
      </c>
      <c r="M376" s="6">
        <v>70</v>
      </c>
      <c r="N376" s="6">
        <v>560</v>
      </c>
      <c r="O376" s="8"/>
      <c r="P376" s="8"/>
      <c r="Q376" s="8"/>
      <c r="R376" s="8"/>
      <c r="S376" s="6">
        <v>150</v>
      </c>
      <c r="T376" s="6" t="s">
        <v>308</v>
      </c>
    </row>
    <row r="377" spans="1:20" ht="15" customHeight="1" x14ac:dyDescent="0.2">
      <c r="A377" s="6" t="s">
        <v>360</v>
      </c>
      <c r="B377" s="6" t="s">
        <v>318</v>
      </c>
      <c r="C377" s="6" t="s">
        <v>21</v>
      </c>
      <c r="D377" s="6">
        <v>1</v>
      </c>
      <c r="E377" s="8"/>
      <c r="F377" s="6" t="s">
        <v>309</v>
      </c>
      <c r="G377" s="6" t="s">
        <v>307</v>
      </c>
      <c r="H377" s="6" t="s">
        <v>181</v>
      </c>
      <c r="I377" s="6" t="s">
        <v>182</v>
      </c>
      <c r="J377" s="8"/>
      <c r="K377" s="8"/>
      <c r="L377" s="6">
        <v>420</v>
      </c>
      <c r="M377" s="6">
        <v>5</v>
      </c>
      <c r="N377" s="6">
        <v>2100</v>
      </c>
      <c r="O377" s="8"/>
      <c r="P377" s="8"/>
      <c r="Q377" s="8"/>
      <c r="R377" s="8"/>
      <c r="S377" s="6">
        <v>150</v>
      </c>
      <c r="T377" s="6" t="s">
        <v>372</v>
      </c>
    </row>
    <row r="378" spans="1:20" ht="15" customHeight="1" x14ac:dyDescent="0.2">
      <c r="A378" s="6" t="s">
        <v>360</v>
      </c>
      <c r="B378" s="6" t="s">
        <v>318</v>
      </c>
      <c r="C378" s="6" t="s">
        <v>21</v>
      </c>
      <c r="D378" s="6">
        <v>1</v>
      </c>
      <c r="E378" s="8"/>
      <c r="F378" s="6" t="s">
        <v>315</v>
      </c>
      <c r="G378" s="6" t="s">
        <v>307</v>
      </c>
      <c r="H378" s="6" t="s">
        <v>316</v>
      </c>
      <c r="I378" s="6" t="s">
        <v>182</v>
      </c>
      <c r="J378" s="8"/>
      <c r="K378" s="8"/>
      <c r="L378" s="6">
        <v>420</v>
      </c>
      <c r="M378" s="6">
        <v>0.75</v>
      </c>
      <c r="N378" s="6">
        <v>315</v>
      </c>
      <c r="O378" s="8"/>
      <c r="P378" s="8"/>
      <c r="Q378" s="8"/>
      <c r="R378" s="8"/>
      <c r="S378" s="6">
        <v>150</v>
      </c>
      <c r="T378" s="6" t="s">
        <v>317</v>
      </c>
    </row>
    <row r="379" spans="1:20" ht="15" customHeight="1" x14ac:dyDescent="0.2">
      <c r="A379" s="6" t="s">
        <v>360</v>
      </c>
      <c r="B379" s="6" t="s">
        <v>318</v>
      </c>
      <c r="C379" s="6" t="s">
        <v>21</v>
      </c>
      <c r="D379" s="6">
        <v>1</v>
      </c>
      <c r="E379" s="8"/>
      <c r="F379" s="6" t="s">
        <v>373</v>
      </c>
      <c r="G379" s="6" t="s">
        <v>374</v>
      </c>
      <c r="H379" s="6" t="s">
        <v>181</v>
      </c>
      <c r="I379" s="6" t="s">
        <v>182</v>
      </c>
      <c r="J379" s="8"/>
      <c r="K379" s="8"/>
      <c r="L379" s="6">
        <v>2</v>
      </c>
      <c r="M379" s="6">
        <v>55</v>
      </c>
      <c r="N379" s="6">
        <v>110</v>
      </c>
      <c r="O379" s="8"/>
      <c r="P379" s="8"/>
      <c r="Q379" s="8"/>
      <c r="R379" s="8"/>
      <c r="S379" s="6">
        <v>150</v>
      </c>
      <c r="T379" s="6" t="s">
        <v>324</v>
      </c>
    </row>
    <row r="380" spans="1:20" ht="15" customHeight="1" x14ac:dyDescent="0.2">
      <c r="A380" s="6" t="s">
        <v>360</v>
      </c>
      <c r="B380" s="6" t="s">
        <v>318</v>
      </c>
      <c r="C380" s="6" t="s">
        <v>21</v>
      </c>
      <c r="D380" s="6">
        <v>1</v>
      </c>
      <c r="E380" s="8"/>
      <c r="F380" s="6" t="s">
        <v>375</v>
      </c>
      <c r="G380" s="6" t="s">
        <v>312</v>
      </c>
      <c r="H380" s="6" t="s">
        <v>178</v>
      </c>
      <c r="I380" s="6" t="s">
        <v>182</v>
      </c>
      <c r="J380" s="8"/>
      <c r="K380" s="8"/>
      <c r="L380" s="6">
        <v>1</v>
      </c>
      <c r="M380" s="6">
        <v>500</v>
      </c>
      <c r="N380" s="6">
        <v>500</v>
      </c>
      <c r="O380" s="8"/>
      <c r="P380" s="8"/>
      <c r="Q380" s="8"/>
      <c r="R380" s="8"/>
      <c r="S380" s="6">
        <v>150</v>
      </c>
      <c r="T380" s="6" t="s">
        <v>314</v>
      </c>
    </row>
    <row r="381" spans="1:20" ht="15" customHeight="1" x14ac:dyDescent="0.2">
      <c r="A381" s="6" t="s">
        <v>360</v>
      </c>
      <c r="B381" s="6" t="s">
        <v>170</v>
      </c>
      <c r="C381" s="6" t="s">
        <v>21</v>
      </c>
      <c r="D381" s="6">
        <v>1</v>
      </c>
      <c r="E381" s="6" t="s">
        <v>376</v>
      </c>
      <c r="F381" s="6" t="s">
        <v>22</v>
      </c>
      <c r="G381" s="6" t="s">
        <v>22</v>
      </c>
      <c r="H381" s="6" t="s">
        <v>172</v>
      </c>
      <c r="I381" s="6" t="s">
        <v>173</v>
      </c>
      <c r="J381" s="8"/>
      <c r="K381" s="8"/>
      <c r="L381" s="6">
        <v>1</v>
      </c>
      <c r="M381" s="6">
        <v>4000</v>
      </c>
      <c r="N381" s="6">
        <v>4000</v>
      </c>
      <c r="O381" s="8"/>
      <c r="P381" s="8"/>
      <c r="Q381" s="8"/>
      <c r="R381" s="8"/>
      <c r="S381" s="9">
        <v>-30</v>
      </c>
      <c r="T381" s="6" t="s">
        <v>24</v>
      </c>
    </row>
    <row r="382" spans="1:20" ht="15" customHeight="1" x14ac:dyDescent="0.2">
      <c r="A382" s="6" t="s">
        <v>360</v>
      </c>
      <c r="B382" s="6" t="s">
        <v>170</v>
      </c>
      <c r="C382" s="6" t="s">
        <v>21</v>
      </c>
      <c r="D382" s="6">
        <v>1</v>
      </c>
      <c r="E382" s="8"/>
      <c r="F382" s="6" t="s">
        <v>320</v>
      </c>
      <c r="G382" s="6" t="s">
        <v>33</v>
      </c>
      <c r="H382" s="6" t="s">
        <v>172</v>
      </c>
      <c r="I382" s="6" t="s">
        <v>173</v>
      </c>
      <c r="J382" s="8"/>
      <c r="K382" s="8"/>
      <c r="L382" s="6">
        <v>1</v>
      </c>
      <c r="M382" s="6">
        <v>97.5</v>
      </c>
      <c r="N382" s="6">
        <v>97.5</v>
      </c>
      <c r="O382" s="8"/>
      <c r="P382" s="8"/>
      <c r="Q382" s="8"/>
      <c r="R382" s="8"/>
      <c r="S382" s="6">
        <v>-30</v>
      </c>
      <c r="T382" s="6" t="s">
        <v>34</v>
      </c>
    </row>
    <row r="383" spans="1:20" ht="15" customHeight="1" x14ac:dyDescent="0.2">
      <c r="A383" s="6" t="s">
        <v>360</v>
      </c>
      <c r="B383" s="6" t="s">
        <v>170</v>
      </c>
      <c r="C383" s="6" t="s">
        <v>21</v>
      </c>
      <c r="D383" s="6">
        <v>1</v>
      </c>
      <c r="E383" s="8"/>
      <c r="F383" s="6" t="s">
        <v>377</v>
      </c>
      <c r="G383" s="6" t="s">
        <v>26</v>
      </c>
      <c r="H383" s="6" t="s">
        <v>172</v>
      </c>
      <c r="I383" s="6" t="s">
        <v>173</v>
      </c>
      <c r="J383" s="8"/>
      <c r="K383" s="8"/>
      <c r="L383" s="6">
        <v>1</v>
      </c>
      <c r="M383" s="6">
        <v>150</v>
      </c>
      <c r="N383" s="6">
        <v>150</v>
      </c>
      <c r="O383" s="8"/>
      <c r="P383" s="8"/>
      <c r="Q383" s="8"/>
      <c r="R383" s="8"/>
      <c r="S383" s="6">
        <v>-25</v>
      </c>
      <c r="T383" s="6" t="s">
        <v>66</v>
      </c>
    </row>
    <row r="384" spans="1:20" ht="15" customHeight="1" x14ac:dyDescent="0.2">
      <c r="A384" s="6" t="s">
        <v>360</v>
      </c>
      <c r="B384" s="6" t="s">
        <v>170</v>
      </c>
      <c r="C384" s="6" t="s">
        <v>21</v>
      </c>
      <c r="D384" s="6">
        <v>1</v>
      </c>
      <c r="E384" s="8"/>
      <c r="F384" s="6" t="s">
        <v>192</v>
      </c>
      <c r="G384" s="6" t="s">
        <v>188</v>
      </c>
      <c r="H384" s="6" t="s">
        <v>181</v>
      </c>
      <c r="I384" s="6" t="s">
        <v>182</v>
      </c>
      <c r="J384" s="8"/>
      <c r="K384" s="8"/>
      <c r="L384" s="6">
        <v>2.9</v>
      </c>
      <c r="M384" s="6">
        <v>55</v>
      </c>
      <c r="N384" s="6">
        <v>159.5</v>
      </c>
      <c r="O384" s="8"/>
      <c r="P384" s="8"/>
      <c r="Q384" s="8"/>
      <c r="R384" s="8"/>
      <c r="S384" s="6">
        <v>-24</v>
      </c>
      <c r="T384" s="6" t="s">
        <v>378</v>
      </c>
    </row>
    <row r="385" spans="1:20" ht="15" customHeight="1" x14ac:dyDescent="0.2">
      <c r="A385" s="6" t="s">
        <v>360</v>
      </c>
      <c r="B385" s="6" t="s">
        <v>170</v>
      </c>
      <c r="C385" s="6" t="s">
        <v>21</v>
      </c>
      <c r="D385" s="6">
        <v>1</v>
      </c>
      <c r="E385" s="8"/>
      <c r="F385" s="6" t="s">
        <v>194</v>
      </c>
      <c r="G385" s="6" t="s">
        <v>188</v>
      </c>
      <c r="H385" s="6" t="s">
        <v>181</v>
      </c>
      <c r="I385" s="6" t="s">
        <v>182</v>
      </c>
      <c r="J385" s="8"/>
      <c r="K385" s="8"/>
      <c r="L385" s="6">
        <v>0.16</v>
      </c>
      <c r="M385" s="6">
        <v>55</v>
      </c>
      <c r="N385" s="6">
        <v>8.8000000000000007</v>
      </c>
      <c r="O385" s="8"/>
      <c r="P385" s="8"/>
      <c r="Q385" s="8"/>
      <c r="R385" s="8"/>
      <c r="S385" s="6">
        <v>-11</v>
      </c>
      <c r="T385" s="6" t="s">
        <v>379</v>
      </c>
    </row>
    <row r="386" spans="1:20" ht="15" customHeight="1" x14ac:dyDescent="0.2">
      <c r="A386" s="6" t="s">
        <v>360</v>
      </c>
      <c r="B386" s="6" t="s">
        <v>170</v>
      </c>
      <c r="C386" s="6" t="s">
        <v>21</v>
      </c>
      <c r="D386" s="6">
        <v>1</v>
      </c>
      <c r="E386" s="8"/>
      <c r="F386" s="6" t="s">
        <v>325</v>
      </c>
      <c r="G386" s="6" t="s">
        <v>36</v>
      </c>
      <c r="H386" s="6" t="s">
        <v>172</v>
      </c>
      <c r="I386" s="6" t="s">
        <v>173</v>
      </c>
      <c r="J386" s="8"/>
      <c r="K386" s="8"/>
      <c r="L386" s="6">
        <v>0.5</v>
      </c>
      <c r="M386" s="6">
        <v>2600</v>
      </c>
      <c r="N386" s="6">
        <v>1300</v>
      </c>
      <c r="O386" s="8"/>
      <c r="P386" s="8"/>
      <c r="Q386" s="8"/>
      <c r="R386" s="8"/>
      <c r="S386" s="6">
        <v>-7</v>
      </c>
      <c r="T386" s="6" t="s">
        <v>198</v>
      </c>
    </row>
    <row r="387" spans="1:20" ht="15" customHeight="1" x14ac:dyDescent="0.2">
      <c r="A387" s="6" t="s">
        <v>360</v>
      </c>
      <c r="B387" s="6" t="s">
        <v>170</v>
      </c>
      <c r="C387" s="6" t="s">
        <v>21</v>
      </c>
      <c r="D387" s="6">
        <v>1</v>
      </c>
      <c r="E387" s="8"/>
      <c r="F387" s="6" t="s">
        <v>26</v>
      </c>
      <c r="G387" s="6" t="s">
        <v>26</v>
      </c>
      <c r="H387" s="6" t="s">
        <v>172</v>
      </c>
      <c r="I387" s="6" t="s">
        <v>173</v>
      </c>
      <c r="J387" s="8"/>
      <c r="K387" s="8"/>
      <c r="L387" s="6">
        <v>1</v>
      </c>
      <c r="M387" s="6">
        <v>750</v>
      </c>
      <c r="N387" s="6">
        <v>750</v>
      </c>
      <c r="O387" s="8"/>
      <c r="P387" s="8"/>
      <c r="Q387" s="8"/>
      <c r="R387" s="8"/>
      <c r="S387" s="6">
        <v>-5</v>
      </c>
      <c r="T387" s="6" t="s">
        <v>58</v>
      </c>
    </row>
    <row r="388" spans="1:20" ht="15" customHeight="1" x14ac:dyDescent="0.2">
      <c r="A388" s="6" t="s">
        <v>360</v>
      </c>
      <c r="B388" s="6" t="s">
        <v>170</v>
      </c>
      <c r="C388" s="6" t="s">
        <v>21</v>
      </c>
      <c r="D388" s="6">
        <v>1</v>
      </c>
      <c r="E388" s="8"/>
      <c r="F388" s="6" t="s">
        <v>326</v>
      </c>
      <c r="G388" s="6" t="s">
        <v>26</v>
      </c>
      <c r="H388" s="6" t="s">
        <v>181</v>
      </c>
      <c r="I388" s="6" t="s">
        <v>173</v>
      </c>
      <c r="J388" s="8"/>
      <c r="K388" s="8"/>
      <c r="L388" s="6">
        <v>1</v>
      </c>
      <c r="M388" s="6">
        <v>0</v>
      </c>
      <c r="N388" s="6">
        <v>0</v>
      </c>
      <c r="O388" s="8"/>
      <c r="P388" s="8"/>
      <c r="Q388" s="8"/>
      <c r="R388" s="8"/>
      <c r="S388" s="6">
        <v>-5</v>
      </c>
      <c r="T388" s="6" t="s">
        <v>88</v>
      </c>
    </row>
    <row r="389" spans="1:20" ht="15" customHeight="1" x14ac:dyDescent="0.2">
      <c r="A389" s="6" t="s">
        <v>360</v>
      </c>
      <c r="B389" s="6" t="s">
        <v>170</v>
      </c>
      <c r="C389" s="6" t="s">
        <v>21</v>
      </c>
      <c r="D389" s="6">
        <v>1</v>
      </c>
      <c r="E389" s="8"/>
      <c r="F389" s="6" t="s">
        <v>327</v>
      </c>
      <c r="G389" s="6" t="s">
        <v>26</v>
      </c>
      <c r="H389" s="6" t="s">
        <v>181</v>
      </c>
      <c r="I389" s="6" t="s">
        <v>173</v>
      </c>
      <c r="J389" s="8"/>
      <c r="K389" s="8"/>
      <c r="L389" s="6">
        <v>1</v>
      </c>
      <c r="M389" s="6">
        <v>0</v>
      </c>
      <c r="N389" s="6">
        <v>0</v>
      </c>
      <c r="O389" s="8"/>
      <c r="P389" s="8"/>
      <c r="Q389" s="8"/>
      <c r="R389" s="8"/>
      <c r="S389" s="6">
        <v>-5</v>
      </c>
      <c r="T389" s="6" t="s">
        <v>88</v>
      </c>
    </row>
    <row r="390" spans="1:20" ht="15" customHeight="1" x14ac:dyDescent="0.2">
      <c r="A390" s="6" t="s">
        <v>360</v>
      </c>
      <c r="B390" s="6" t="s">
        <v>170</v>
      </c>
      <c r="C390" s="6" t="s">
        <v>21</v>
      </c>
      <c r="D390" s="6">
        <v>1</v>
      </c>
      <c r="E390" s="8"/>
      <c r="F390" s="6" t="s">
        <v>328</v>
      </c>
      <c r="G390" s="6" t="s">
        <v>26</v>
      </c>
      <c r="H390" s="6" t="s">
        <v>181</v>
      </c>
      <c r="I390" s="6" t="s">
        <v>173</v>
      </c>
      <c r="J390" s="8"/>
      <c r="K390" s="8"/>
      <c r="L390" s="6">
        <v>1</v>
      </c>
      <c r="M390" s="6">
        <v>0</v>
      </c>
      <c r="N390" s="6">
        <v>0</v>
      </c>
      <c r="O390" s="8"/>
      <c r="P390" s="8"/>
      <c r="Q390" s="8"/>
      <c r="R390" s="8"/>
      <c r="S390" s="6">
        <v>-5</v>
      </c>
      <c r="T390" s="6" t="s">
        <v>88</v>
      </c>
    </row>
    <row r="391" spans="1:20" ht="15" customHeight="1" x14ac:dyDescent="0.2">
      <c r="A391" s="6" t="s">
        <v>360</v>
      </c>
      <c r="B391" s="6" t="s">
        <v>170</v>
      </c>
      <c r="C391" s="6" t="s">
        <v>21</v>
      </c>
      <c r="D391" s="6">
        <v>1</v>
      </c>
      <c r="E391" s="8"/>
      <c r="F391" s="6" t="s">
        <v>63</v>
      </c>
      <c r="G391" s="6" t="s">
        <v>26</v>
      </c>
      <c r="H391" s="6" t="s">
        <v>172</v>
      </c>
      <c r="I391" s="6" t="s">
        <v>173</v>
      </c>
      <c r="J391" s="8"/>
      <c r="K391" s="8"/>
      <c r="L391" s="6">
        <v>1</v>
      </c>
      <c r="M391" s="6">
        <v>0</v>
      </c>
      <c r="N391" s="6">
        <v>0</v>
      </c>
      <c r="O391" s="8"/>
      <c r="P391" s="8"/>
      <c r="Q391" s="8"/>
      <c r="R391" s="8"/>
      <c r="S391" s="6">
        <v>-5</v>
      </c>
      <c r="T391" s="6" t="s">
        <v>88</v>
      </c>
    </row>
    <row r="392" spans="1:20" ht="15" customHeight="1" x14ac:dyDescent="0.2">
      <c r="A392" s="6" t="s">
        <v>360</v>
      </c>
      <c r="B392" s="6" t="s">
        <v>170</v>
      </c>
      <c r="C392" s="6" t="s">
        <v>21</v>
      </c>
      <c r="D392" s="6">
        <v>1</v>
      </c>
      <c r="E392" s="8"/>
      <c r="F392" s="6" t="s">
        <v>177</v>
      </c>
      <c r="G392" s="6" t="s">
        <v>26</v>
      </c>
      <c r="H392" s="6" t="s">
        <v>181</v>
      </c>
      <c r="I392" s="6" t="s">
        <v>182</v>
      </c>
      <c r="J392" s="8"/>
      <c r="K392" s="8"/>
      <c r="L392" s="6">
        <v>1</v>
      </c>
      <c r="M392" s="6">
        <v>9.8000000000000007</v>
      </c>
      <c r="N392" s="6">
        <v>9.8000000000000007</v>
      </c>
      <c r="O392" s="8"/>
      <c r="P392" s="8"/>
      <c r="Q392" s="8"/>
      <c r="R392" s="8"/>
      <c r="S392" s="9">
        <v>-5</v>
      </c>
      <c r="T392" s="6" t="s">
        <v>179</v>
      </c>
    </row>
    <row r="393" spans="1:20" ht="15" customHeight="1" x14ac:dyDescent="0.2">
      <c r="A393" s="6" t="s">
        <v>360</v>
      </c>
      <c r="B393" s="6" t="s">
        <v>170</v>
      </c>
      <c r="C393" s="6" t="s">
        <v>21</v>
      </c>
      <c r="D393" s="6">
        <v>1</v>
      </c>
      <c r="E393" s="8"/>
      <c r="F393" s="6" t="s">
        <v>330</v>
      </c>
      <c r="G393" s="6" t="s">
        <v>30</v>
      </c>
      <c r="H393" s="6" t="s">
        <v>181</v>
      </c>
      <c r="I393" s="6" t="s">
        <v>182</v>
      </c>
      <c r="J393" s="8"/>
      <c r="K393" s="8"/>
      <c r="L393" s="6">
        <v>1</v>
      </c>
      <c r="M393" s="6">
        <v>500</v>
      </c>
      <c r="N393" s="6">
        <v>500</v>
      </c>
      <c r="O393" s="8"/>
      <c r="P393" s="8"/>
      <c r="Q393" s="8"/>
      <c r="R393" s="8"/>
      <c r="S393" s="6">
        <v>0</v>
      </c>
      <c r="T393" s="6" t="s">
        <v>314</v>
      </c>
    </row>
    <row r="394" spans="1:20" ht="15" customHeight="1" x14ac:dyDescent="0.2">
      <c r="A394" s="6" t="s">
        <v>360</v>
      </c>
      <c r="B394" s="6" t="s">
        <v>170</v>
      </c>
      <c r="C394" s="6" t="s">
        <v>21</v>
      </c>
      <c r="D394" s="6">
        <v>1</v>
      </c>
      <c r="E394" s="8"/>
      <c r="F394" s="6" t="s">
        <v>29</v>
      </c>
      <c r="G394" s="6" t="s">
        <v>30</v>
      </c>
      <c r="H394" s="6" t="s">
        <v>181</v>
      </c>
      <c r="I394" s="6" t="s">
        <v>182</v>
      </c>
      <c r="J394" s="8"/>
      <c r="K394" s="8"/>
      <c r="L394" s="6">
        <v>1</v>
      </c>
      <c r="M394" s="6">
        <v>1500</v>
      </c>
      <c r="N394" s="6">
        <v>1500</v>
      </c>
      <c r="O394" s="8"/>
      <c r="P394" s="8"/>
      <c r="Q394" s="8"/>
      <c r="R394" s="8"/>
      <c r="S394" s="6">
        <v>0</v>
      </c>
      <c r="T394" s="6" t="s">
        <v>82</v>
      </c>
    </row>
    <row r="395" spans="1:20" ht="15" customHeight="1" x14ac:dyDescent="0.2">
      <c r="A395" s="6" t="s">
        <v>360</v>
      </c>
      <c r="B395" s="6" t="s">
        <v>170</v>
      </c>
      <c r="C395" s="6" t="s">
        <v>21</v>
      </c>
      <c r="D395" s="6">
        <v>1</v>
      </c>
      <c r="E395" s="8"/>
      <c r="F395" s="6" t="s">
        <v>331</v>
      </c>
      <c r="G395" s="6" t="s">
        <v>30</v>
      </c>
      <c r="H395" s="6" t="s">
        <v>181</v>
      </c>
      <c r="I395" s="6" t="s">
        <v>182</v>
      </c>
      <c r="J395" s="8"/>
      <c r="K395" s="8"/>
      <c r="L395" s="6">
        <v>0.7</v>
      </c>
      <c r="M395" s="6">
        <v>55</v>
      </c>
      <c r="N395" s="6">
        <v>38.5</v>
      </c>
      <c r="O395" s="8"/>
      <c r="P395" s="8"/>
      <c r="Q395" s="8"/>
      <c r="R395" s="8"/>
      <c r="S395" s="6">
        <v>0</v>
      </c>
      <c r="T395" s="6" t="s">
        <v>332</v>
      </c>
    </row>
    <row r="396" spans="1:20" ht="15" customHeight="1" x14ac:dyDescent="0.2">
      <c r="A396" s="6" t="s">
        <v>360</v>
      </c>
      <c r="B396" s="6" t="s">
        <v>170</v>
      </c>
      <c r="C396" s="6" t="s">
        <v>21</v>
      </c>
      <c r="D396" s="6">
        <v>1</v>
      </c>
      <c r="E396" s="8"/>
      <c r="F396" s="6" t="s">
        <v>333</v>
      </c>
      <c r="G396" s="6" t="s">
        <v>30</v>
      </c>
      <c r="H396" s="6" t="s">
        <v>181</v>
      </c>
      <c r="I396" s="6" t="s">
        <v>182</v>
      </c>
      <c r="J396" s="8"/>
      <c r="K396" s="8"/>
      <c r="L396" s="6">
        <v>1.8</v>
      </c>
      <c r="M396" s="6">
        <v>55</v>
      </c>
      <c r="N396" s="6">
        <v>99</v>
      </c>
      <c r="O396" s="8"/>
      <c r="P396" s="8"/>
      <c r="Q396" s="8"/>
      <c r="R396" s="8"/>
      <c r="S396" s="6">
        <v>0</v>
      </c>
      <c r="T396" s="6" t="s">
        <v>334</v>
      </c>
    </row>
    <row r="397" spans="1:20" ht="15" customHeight="1" x14ac:dyDescent="0.2">
      <c r="A397" s="6" t="s">
        <v>360</v>
      </c>
      <c r="B397" s="6" t="s">
        <v>170</v>
      </c>
      <c r="C397" s="6" t="s">
        <v>21</v>
      </c>
      <c r="D397" s="6">
        <v>1</v>
      </c>
      <c r="E397" s="8"/>
      <c r="F397" s="6" t="s">
        <v>187</v>
      </c>
      <c r="G397" s="6" t="s">
        <v>188</v>
      </c>
      <c r="H397" s="6" t="s">
        <v>181</v>
      </c>
      <c r="I397" s="6" t="s">
        <v>182</v>
      </c>
      <c r="J397" s="8"/>
      <c r="K397" s="8"/>
      <c r="L397" s="6">
        <v>0.5</v>
      </c>
      <c r="M397" s="6">
        <v>55</v>
      </c>
      <c r="N397" s="6">
        <v>27.5</v>
      </c>
      <c r="O397" s="8"/>
      <c r="P397" s="8"/>
      <c r="Q397" s="8"/>
      <c r="R397" s="8"/>
      <c r="S397" s="6">
        <v>1</v>
      </c>
      <c r="T397" s="6" t="s">
        <v>209</v>
      </c>
    </row>
    <row r="398" spans="1:20" ht="15" customHeight="1" x14ac:dyDescent="0.2">
      <c r="A398" s="6" t="s">
        <v>360</v>
      </c>
      <c r="B398" s="6" t="s">
        <v>170</v>
      </c>
      <c r="C398" s="6" t="s">
        <v>21</v>
      </c>
      <c r="D398" s="6">
        <v>1</v>
      </c>
      <c r="E398" s="8"/>
      <c r="F398" s="6" t="s">
        <v>210</v>
      </c>
      <c r="G398" s="6" t="s">
        <v>188</v>
      </c>
      <c r="H398" s="6" t="s">
        <v>181</v>
      </c>
      <c r="I398" s="6" t="s">
        <v>182</v>
      </c>
      <c r="J398" s="8"/>
      <c r="K398" s="8"/>
      <c r="L398" s="6">
        <v>1</v>
      </c>
      <c r="M398" s="6">
        <v>55</v>
      </c>
      <c r="N398" s="6">
        <v>55</v>
      </c>
      <c r="O398" s="8"/>
      <c r="P398" s="8"/>
      <c r="Q398" s="8"/>
      <c r="R398" s="8"/>
      <c r="S398" s="6">
        <v>1</v>
      </c>
      <c r="T398" s="6" t="s">
        <v>211</v>
      </c>
    </row>
    <row r="399" spans="1:20" ht="15" customHeight="1" x14ac:dyDescent="0.2">
      <c r="A399" s="6" t="s">
        <v>360</v>
      </c>
      <c r="B399" s="6" t="s">
        <v>170</v>
      </c>
      <c r="C399" s="6" t="s">
        <v>21</v>
      </c>
      <c r="D399" s="6">
        <v>1</v>
      </c>
      <c r="E399" s="8"/>
      <c r="F399" s="6" t="s">
        <v>380</v>
      </c>
      <c r="G399" s="6" t="s">
        <v>188</v>
      </c>
      <c r="H399" s="6" t="s">
        <v>181</v>
      </c>
      <c r="I399" s="6" t="s">
        <v>182</v>
      </c>
      <c r="J399" s="8"/>
      <c r="K399" s="8"/>
      <c r="L399" s="6">
        <v>1.8</v>
      </c>
      <c r="M399" s="6">
        <v>55</v>
      </c>
      <c r="N399" s="6">
        <v>99</v>
      </c>
      <c r="O399" s="8"/>
      <c r="P399" s="8"/>
      <c r="Q399" s="8"/>
      <c r="R399" s="8"/>
      <c r="S399" s="6">
        <v>1</v>
      </c>
      <c r="T399" s="6" t="s">
        <v>334</v>
      </c>
    </row>
    <row r="400" spans="1:20" ht="15" customHeight="1" x14ac:dyDescent="0.2">
      <c r="A400" s="6" t="s">
        <v>360</v>
      </c>
      <c r="B400" s="6" t="s">
        <v>170</v>
      </c>
      <c r="C400" s="6" t="s">
        <v>21</v>
      </c>
      <c r="D400" s="6">
        <v>1</v>
      </c>
      <c r="E400" s="8"/>
      <c r="F400" s="6" t="s">
        <v>214</v>
      </c>
      <c r="G400" s="6" t="s">
        <v>215</v>
      </c>
      <c r="H400" s="6" t="s">
        <v>181</v>
      </c>
      <c r="I400" s="6" t="s">
        <v>182</v>
      </c>
      <c r="J400" s="8"/>
      <c r="K400" s="8"/>
      <c r="L400" s="6">
        <v>2</v>
      </c>
      <c r="M400" s="6">
        <v>40</v>
      </c>
      <c r="N400" s="6">
        <v>80</v>
      </c>
      <c r="O400" s="8"/>
      <c r="P400" s="8"/>
      <c r="Q400" s="8"/>
      <c r="R400" s="8"/>
      <c r="S400" s="6">
        <v>4</v>
      </c>
      <c r="T400" s="6" t="s">
        <v>216</v>
      </c>
    </row>
    <row r="401" spans="1:20" ht="15" customHeight="1" x14ac:dyDescent="0.2">
      <c r="A401" s="6" t="s">
        <v>360</v>
      </c>
      <c r="B401" s="6" t="s">
        <v>170</v>
      </c>
      <c r="C401" s="6" t="s">
        <v>21</v>
      </c>
      <c r="D401" s="6">
        <v>1</v>
      </c>
      <c r="E401" s="8"/>
      <c r="F401" s="6" t="s">
        <v>230</v>
      </c>
      <c r="G401" s="6" t="s">
        <v>231</v>
      </c>
      <c r="H401" s="6" t="s">
        <v>219</v>
      </c>
      <c r="I401" s="6" t="s">
        <v>248</v>
      </c>
      <c r="J401" s="6">
        <v>0.04</v>
      </c>
      <c r="K401" s="6">
        <v>2</v>
      </c>
      <c r="L401" s="6">
        <v>0.08</v>
      </c>
      <c r="M401" s="6">
        <v>53.2</v>
      </c>
      <c r="N401" s="6">
        <v>4.2560000000000002</v>
      </c>
      <c r="O401" s="8"/>
      <c r="P401" s="8"/>
      <c r="Q401" s="8"/>
      <c r="R401" s="8"/>
      <c r="S401" s="9">
        <v>4</v>
      </c>
      <c r="T401" s="6" t="s">
        <v>381</v>
      </c>
    </row>
    <row r="402" spans="1:20" ht="15" customHeight="1" x14ac:dyDescent="0.2">
      <c r="A402" s="6" t="s">
        <v>360</v>
      </c>
      <c r="B402" s="6" t="s">
        <v>170</v>
      </c>
      <c r="C402" s="6" t="s">
        <v>21</v>
      </c>
      <c r="D402" s="6">
        <v>1</v>
      </c>
      <c r="E402" s="8"/>
      <c r="F402" s="6" t="s">
        <v>217</v>
      </c>
      <c r="G402" s="6" t="s">
        <v>218</v>
      </c>
      <c r="H402" s="6" t="s">
        <v>219</v>
      </c>
      <c r="I402" s="6" t="s">
        <v>248</v>
      </c>
      <c r="J402" s="6">
        <v>0.75</v>
      </c>
      <c r="K402" s="6">
        <v>2</v>
      </c>
      <c r="L402" s="6">
        <v>1.5</v>
      </c>
      <c r="M402" s="6">
        <v>225</v>
      </c>
      <c r="N402" s="6">
        <v>337.5</v>
      </c>
      <c r="O402" s="8"/>
      <c r="P402" s="8"/>
      <c r="Q402" s="8"/>
      <c r="R402" s="8"/>
      <c r="S402" s="9">
        <v>4</v>
      </c>
      <c r="T402" s="6" t="s">
        <v>221</v>
      </c>
    </row>
    <row r="403" spans="1:20" ht="15" customHeight="1" x14ac:dyDescent="0.2">
      <c r="A403" s="6" t="s">
        <v>360</v>
      </c>
      <c r="B403" s="6" t="s">
        <v>170</v>
      </c>
      <c r="C403" s="6" t="s">
        <v>21</v>
      </c>
      <c r="D403" s="6">
        <v>1</v>
      </c>
      <c r="E403" s="8"/>
      <c r="F403" s="6" t="s">
        <v>222</v>
      </c>
      <c r="G403" s="6" t="s">
        <v>223</v>
      </c>
      <c r="H403" s="6" t="s">
        <v>219</v>
      </c>
      <c r="I403" s="6" t="s">
        <v>248</v>
      </c>
      <c r="J403" s="6">
        <v>5</v>
      </c>
      <c r="K403" s="6">
        <v>2</v>
      </c>
      <c r="L403" s="6">
        <v>10</v>
      </c>
      <c r="M403" s="6">
        <v>13.47</v>
      </c>
      <c r="N403" s="6">
        <v>134.69999999999999</v>
      </c>
      <c r="O403" s="8"/>
      <c r="P403" s="8"/>
      <c r="Q403" s="8"/>
      <c r="R403" s="8"/>
      <c r="S403" s="9">
        <v>4</v>
      </c>
      <c r="T403" s="6" t="s">
        <v>224</v>
      </c>
    </row>
    <row r="404" spans="1:20" ht="15" customHeight="1" x14ac:dyDescent="0.2">
      <c r="A404" s="6" t="s">
        <v>360</v>
      </c>
      <c r="B404" s="6" t="s">
        <v>170</v>
      </c>
      <c r="C404" s="6" t="s">
        <v>21</v>
      </c>
      <c r="D404" s="6">
        <v>1</v>
      </c>
      <c r="E404" s="8"/>
      <c r="F404" s="6" t="s">
        <v>355</v>
      </c>
      <c r="G404" s="6" t="s">
        <v>223</v>
      </c>
      <c r="H404" s="6" t="s">
        <v>219</v>
      </c>
      <c r="I404" s="6" t="s">
        <v>248</v>
      </c>
      <c r="J404" s="6">
        <v>5</v>
      </c>
      <c r="K404" s="6">
        <v>2</v>
      </c>
      <c r="L404" s="6">
        <v>10</v>
      </c>
      <c r="M404" s="6">
        <v>1.2</v>
      </c>
      <c r="N404" s="6">
        <v>12</v>
      </c>
      <c r="O404" s="8"/>
      <c r="P404" s="8"/>
      <c r="Q404" s="8"/>
      <c r="R404" s="8"/>
      <c r="S404" s="9">
        <v>4</v>
      </c>
      <c r="T404" s="6" t="s">
        <v>227</v>
      </c>
    </row>
    <row r="405" spans="1:20" ht="15" customHeight="1" x14ac:dyDescent="0.2">
      <c r="A405" s="6" t="s">
        <v>360</v>
      </c>
      <c r="B405" s="6" t="s">
        <v>170</v>
      </c>
      <c r="C405" s="6" t="s">
        <v>21</v>
      </c>
      <c r="D405" s="6">
        <v>1</v>
      </c>
      <c r="E405" s="8"/>
      <c r="F405" s="6" t="s">
        <v>214</v>
      </c>
      <c r="G405" s="6" t="s">
        <v>215</v>
      </c>
      <c r="H405" s="6" t="s">
        <v>181</v>
      </c>
      <c r="I405" s="6" t="s">
        <v>182</v>
      </c>
      <c r="J405" s="8"/>
      <c r="K405" s="8"/>
      <c r="L405" s="6">
        <v>1</v>
      </c>
      <c r="M405" s="6">
        <v>40</v>
      </c>
      <c r="N405" s="6">
        <v>40</v>
      </c>
      <c r="O405" s="8"/>
      <c r="P405" s="8"/>
      <c r="Q405" s="8"/>
      <c r="R405" s="8"/>
      <c r="S405" s="6">
        <v>5</v>
      </c>
      <c r="T405" s="6" t="s">
        <v>229</v>
      </c>
    </row>
    <row r="406" spans="1:20" ht="15" customHeight="1" x14ac:dyDescent="0.2">
      <c r="A406" s="6" t="s">
        <v>360</v>
      </c>
      <c r="B406" s="6" t="s">
        <v>170</v>
      </c>
      <c r="C406" s="6" t="s">
        <v>21</v>
      </c>
      <c r="D406" s="6">
        <v>1</v>
      </c>
      <c r="E406" s="8"/>
      <c r="F406" s="6" t="s">
        <v>230</v>
      </c>
      <c r="G406" s="6" t="s">
        <v>231</v>
      </c>
      <c r="H406" s="6" t="s">
        <v>219</v>
      </c>
      <c r="I406" s="6" t="s">
        <v>248</v>
      </c>
      <c r="J406" s="6">
        <v>0.04</v>
      </c>
      <c r="K406" s="6">
        <v>1</v>
      </c>
      <c r="L406" s="6">
        <v>0.04</v>
      </c>
      <c r="M406" s="6">
        <v>53.2</v>
      </c>
      <c r="N406" s="6">
        <v>2.1280000000000001</v>
      </c>
      <c r="O406" s="8"/>
      <c r="P406" s="8"/>
      <c r="Q406" s="8"/>
      <c r="R406" s="8"/>
      <c r="S406" s="6">
        <v>5</v>
      </c>
      <c r="T406" s="6" t="s">
        <v>232</v>
      </c>
    </row>
    <row r="407" spans="1:20" ht="15" customHeight="1" x14ac:dyDescent="0.2">
      <c r="A407" s="6" t="s">
        <v>360</v>
      </c>
      <c r="B407" s="6" t="s">
        <v>170</v>
      </c>
      <c r="C407" s="6" t="s">
        <v>21</v>
      </c>
      <c r="D407" s="6">
        <v>1</v>
      </c>
      <c r="E407" s="8"/>
      <c r="F407" s="6" t="s">
        <v>233</v>
      </c>
      <c r="G407" s="6" t="s">
        <v>234</v>
      </c>
      <c r="H407" s="6" t="s">
        <v>219</v>
      </c>
      <c r="I407" s="6" t="s">
        <v>248</v>
      </c>
      <c r="J407" s="6">
        <v>1.5</v>
      </c>
      <c r="K407" s="6">
        <v>1</v>
      </c>
      <c r="L407" s="6">
        <v>1.5</v>
      </c>
      <c r="M407" s="6">
        <v>38.14</v>
      </c>
      <c r="N407" s="6">
        <v>57.21</v>
      </c>
      <c r="O407" s="8"/>
      <c r="P407" s="8"/>
      <c r="Q407" s="8"/>
      <c r="R407" s="8"/>
      <c r="S407" s="6">
        <v>5</v>
      </c>
      <c r="T407" s="6" t="s">
        <v>235</v>
      </c>
    </row>
    <row r="408" spans="1:20" ht="15" customHeight="1" x14ac:dyDescent="0.2">
      <c r="A408" s="6" t="s">
        <v>360</v>
      </c>
      <c r="B408" s="6" t="s">
        <v>170</v>
      </c>
      <c r="C408" s="6" t="s">
        <v>21</v>
      </c>
      <c r="D408" s="6">
        <v>1</v>
      </c>
      <c r="E408" s="8"/>
      <c r="F408" s="6" t="s">
        <v>247</v>
      </c>
      <c r="G408" s="6" t="s">
        <v>239</v>
      </c>
      <c r="H408" s="6" t="s">
        <v>219</v>
      </c>
      <c r="I408" s="6" t="s">
        <v>248</v>
      </c>
      <c r="J408" s="6">
        <v>0.5</v>
      </c>
      <c r="K408" s="6">
        <v>1</v>
      </c>
      <c r="L408" s="6">
        <v>0.5</v>
      </c>
      <c r="M408" s="6">
        <v>57.2</v>
      </c>
      <c r="N408" s="6">
        <v>28.6</v>
      </c>
      <c r="O408" s="8"/>
      <c r="P408" s="8"/>
      <c r="Q408" s="8"/>
      <c r="R408" s="8"/>
      <c r="S408" s="6">
        <v>5</v>
      </c>
      <c r="T408" s="6" t="s">
        <v>249</v>
      </c>
    </row>
    <row r="409" spans="1:20" ht="15" customHeight="1" x14ac:dyDescent="0.2">
      <c r="A409" s="6" t="s">
        <v>360</v>
      </c>
      <c r="B409" s="6" t="s">
        <v>170</v>
      </c>
      <c r="C409" s="6" t="s">
        <v>21</v>
      </c>
      <c r="D409" s="6">
        <v>1</v>
      </c>
      <c r="E409" s="8"/>
      <c r="F409" s="6" t="s">
        <v>236</v>
      </c>
      <c r="G409" s="6" t="s">
        <v>218</v>
      </c>
      <c r="H409" s="6" t="s">
        <v>219</v>
      </c>
      <c r="I409" s="6" t="s">
        <v>248</v>
      </c>
      <c r="J409" s="6">
        <v>0.25</v>
      </c>
      <c r="K409" s="6">
        <v>1</v>
      </c>
      <c r="L409" s="6">
        <v>0.25</v>
      </c>
      <c r="M409" s="6">
        <v>62.25</v>
      </c>
      <c r="N409" s="6">
        <v>15.563000000000001</v>
      </c>
      <c r="O409" s="8"/>
      <c r="P409" s="8"/>
      <c r="Q409" s="8"/>
      <c r="R409" s="8"/>
      <c r="S409" s="6">
        <v>8</v>
      </c>
      <c r="T409" s="6" t="s">
        <v>341</v>
      </c>
    </row>
    <row r="410" spans="1:20" ht="15" customHeight="1" x14ac:dyDescent="0.2">
      <c r="A410" s="6" t="s">
        <v>360</v>
      </c>
      <c r="B410" s="6" t="s">
        <v>170</v>
      </c>
      <c r="C410" s="6" t="s">
        <v>21</v>
      </c>
      <c r="D410" s="6">
        <v>1</v>
      </c>
      <c r="E410" s="8"/>
      <c r="F410" s="6" t="s">
        <v>214</v>
      </c>
      <c r="G410" s="6" t="s">
        <v>215</v>
      </c>
      <c r="H410" s="6" t="s">
        <v>181</v>
      </c>
      <c r="I410" s="6" t="s">
        <v>182</v>
      </c>
      <c r="J410" s="8"/>
      <c r="K410" s="8"/>
      <c r="L410" s="6">
        <v>1</v>
      </c>
      <c r="M410" s="6">
        <v>40</v>
      </c>
      <c r="N410" s="6">
        <v>40</v>
      </c>
      <c r="O410" s="8"/>
      <c r="P410" s="8"/>
      <c r="Q410" s="8"/>
      <c r="R410" s="8"/>
      <c r="S410" s="6">
        <v>8</v>
      </c>
      <c r="T410" s="6" t="s">
        <v>229</v>
      </c>
    </row>
    <row r="411" spans="1:20" ht="15" customHeight="1" x14ac:dyDescent="0.2">
      <c r="A411" s="6" t="s">
        <v>360</v>
      </c>
      <c r="B411" s="6" t="s">
        <v>170</v>
      </c>
      <c r="C411" s="6" t="s">
        <v>21</v>
      </c>
      <c r="D411" s="6">
        <v>1</v>
      </c>
      <c r="E411" s="8"/>
      <c r="F411" s="6" t="s">
        <v>250</v>
      </c>
      <c r="G411" s="6" t="s">
        <v>223</v>
      </c>
      <c r="H411" s="6" t="s">
        <v>219</v>
      </c>
      <c r="I411" s="6" t="s">
        <v>248</v>
      </c>
      <c r="J411" s="6">
        <v>12</v>
      </c>
      <c r="K411" s="6">
        <v>1</v>
      </c>
      <c r="L411" s="6">
        <v>12</v>
      </c>
      <c r="M411" s="6">
        <v>3.5</v>
      </c>
      <c r="N411" s="6">
        <v>42</v>
      </c>
      <c r="O411" s="8"/>
      <c r="P411" s="8"/>
      <c r="Q411" s="8"/>
      <c r="R411" s="8"/>
      <c r="S411" s="6">
        <v>8</v>
      </c>
      <c r="T411" s="6" t="s">
        <v>251</v>
      </c>
    </row>
    <row r="412" spans="1:20" ht="15" customHeight="1" x14ac:dyDescent="0.2">
      <c r="A412" s="6" t="s">
        <v>360</v>
      </c>
      <c r="B412" s="6" t="s">
        <v>170</v>
      </c>
      <c r="C412" s="6" t="s">
        <v>21</v>
      </c>
      <c r="D412" s="6">
        <v>1</v>
      </c>
      <c r="E412" s="8"/>
      <c r="F412" s="6" t="s">
        <v>214</v>
      </c>
      <c r="G412" s="6" t="s">
        <v>215</v>
      </c>
      <c r="H412" s="6" t="s">
        <v>181</v>
      </c>
      <c r="I412" s="6" t="s">
        <v>182</v>
      </c>
      <c r="J412" s="8"/>
      <c r="K412" s="8"/>
      <c r="L412" s="6">
        <v>1</v>
      </c>
      <c r="M412" s="6">
        <v>40</v>
      </c>
      <c r="N412" s="6">
        <v>40</v>
      </c>
      <c r="O412" s="8"/>
      <c r="P412" s="8"/>
      <c r="Q412" s="8"/>
      <c r="R412" s="8"/>
      <c r="S412" s="6">
        <v>12</v>
      </c>
      <c r="T412" s="6" t="s">
        <v>229</v>
      </c>
    </row>
    <row r="413" spans="1:20" ht="15" customHeight="1" x14ac:dyDescent="0.2">
      <c r="A413" s="6" t="s">
        <v>360</v>
      </c>
      <c r="B413" s="6" t="s">
        <v>170</v>
      </c>
      <c r="C413" s="6" t="s">
        <v>21</v>
      </c>
      <c r="D413" s="6">
        <v>1</v>
      </c>
      <c r="E413" s="8"/>
      <c r="F413" s="6" t="s">
        <v>230</v>
      </c>
      <c r="G413" s="6" t="s">
        <v>231</v>
      </c>
      <c r="H413" s="6" t="s">
        <v>219</v>
      </c>
      <c r="I413" s="6" t="s">
        <v>248</v>
      </c>
      <c r="J413" s="6">
        <v>0.04</v>
      </c>
      <c r="K413" s="6">
        <v>1</v>
      </c>
      <c r="L413" s="6">
        <v>0.04</v>
      </c>
      <c r="M413" s="6">
        <v>53.2</v>
      </c>
      <c r="N413" s="6">
        <v>2.1280000000000001</v>
      </c>
      <c r="O413" s="8"/>
      <c r="P413" s="8"/>
      <c r="Q413" s="8"/>
      <c r="R413" s="8"/>
      <c r="S413" s="6">
        <v>12</v>
      </c>
      <c r="T413" s="6" t="s">
        <v>232</v>
      </c>
    </row>
    <row r="414" spans="1:20" ht="15" customHeight="1" x14ac:dyDescent="0.2">
      <c r="A414" s="6" t="s">
        <v>360</v>
      </c>
      <c r="B414" s="6" t="s">
        <v>170</v>
      </c>
      <c r="C414" s="6" t="s">
        <v>21</v>
      </c>
      <c r="D414" s="6">
        <v>1</v>
      </c>
      <c r="E414" s="8"/>
      <c r="F414" s="6" t="s">
        <v>238</v>
      </c>
      <c r="G414" s="6" t="s">
        <v>239</v>
      </c>
      <c r="H414" s="6" t="s">
        <v>219</v>
      </c>
      <c r="I414" s="6" t="s">
        <v>248</v>
      </c>
      <c r="J414" s="6">
        <v>1</v>
      </c>
      <c r="K414" s="6">
        <v>1</v>
      </c>
      <c r="L414" s="6">
        <v>1</v>
      </c>
      <c r="M414" s="6">
        <v>50</v>
      </c>
      <c r="N414" s="6">
        <v>50</v>
      </c>
      <c r="O414" s="8"/>
      <c r="P414" s="8"/>
      <c r="Q414" s="8"/>
      <c r="R414" s="8"/>
      <c r="S414" s="6">
        <v>12</v>
      </c>
      <c r="T414" s="6" t="s">
        <v>240</v>
      </c>
    </row>
    <row r="415" spans="1:20" ht="15" customHeight="1" x14ac:dyDescent="0.2">
      <c r="A415" s="6" t="s">
        <v>360</v>
      </c>
      <c r="B415" s="6" t="s">
        <v>170</v>
      </c>
      <c r="C415" s="6" t="s">
        <v>21</v>
      </c>
      <c r="D415" s="6">
        <v>1</v>
      </c>
      <c r="E415" s="8"/>
      <c r="F415" s="6" t="s">
        <v>241</v>
      </c>
      <c r="G415" s="6" t="s">
        <v>218</v>
      </c>
      <c r="H415" s="6" t="s">
        <v>219</v>
      </c>
      <c r="I415" s="6" t="s">
        <v>282</v>
      </c>
      <c r="J415" s="6">
        <v>0.2</v>
      </c>
      <c r="K415" s="6">
        <v>1</v>
      </c>
      <c r="L415" s="6">
        <v>0.2</v>
      </c>
      <c r="M415" s="6">
        <v>64</v>
      </c>
      <c r="N415" s="6">
        <v>12.8</v>
      </c>
      <c r="O415" s="8"/>
      <c r="P415" s="8"/>
      <c r="Q415" s="8"/>
      <c r="R415" s="8"/>
      <c r="S415" s="6">
        <v>12</v>
      </c>
      <c r="T415" s="6" t="s">
        <v>342</v>
      </c>
    </row>
    <row r="416" spans="1:20" ht="15" customHeight="1" x14ac:dyDescent="0.2">
      <c r="A416" s="6" t="s">
        <v>360</v>
      </c>
      <c r="B416" s="6" t="s">
        <v>170</v>
      </c>
      <c r="C416" s="6" t="s">
        <v>21</v>
      </c>
      <c r="D416" s="6">
        <v>1</v>
      </c>
      <c r="E416" s="8"/>
      <c r="F416" s="6" t="s">
        <v>363</v>
      </c>
      <c r="G416" s="6" t="s">
        <v>244</v>
      </c>
      <c r="H416" s="6" t="s">
        <v>219</v>
      </c>
      <c r="I416" s="6" t="s">
        <v>248</v>
      </c>
      <c r="J416" s="6">
        <v>0.2</v>
      </c>
      <c r="K416" s="6">
        <v>1</v>
      </c>
      <c r="L416" s="6">
        <v>0.2</v>
      </c>
      <c r="M416" s="6">
        <v>91.2</v>
      </c>
      <c r="N416" s="6">
        <v>18.239999999999998</v>
      </c>
      <c r="O416" s="8"/>
      <c r="P416" s="8"/>
      <c r="Q416" s="8"/>
      <c r="R416" s="8"/>
      <c r="S416" s="6">
        <v>12</v>
      </c>
      <c r="T416" s="6" t="s">
        <v>364</v>
      </c>
    </row>
    <row r="417" spans="1:20" ht="15" customHeight="1" x14ac:dyDescent="0.2">
      <c r="A417" s="6" t="s">
        <v>360</v>
      </c>
      <c r="B417" s="6" t="s">
        <v>170</v>
      </c>
      <c r="C417" s="6" t="s">
        <v>21</v>
      </c>
      <c r="D417" s="6">
        <v>1</v>
      </c>
      <c r="E417" s="8"/>
      <c r="F417" s="6" t="s">
        <v>258</v>
      </c>
      <c r="G417" s="6" t="s">
        <v>239</v>
      </c>
      <c r="H417" s="6" t="s">
        <v>219</v>
      </c>
      <c r="I417" s="6" t="s">
        <v>248</v>
      </c>
      <c r="J417" s="6">
        <v>0.5</v>
      </c>
      <c r="K417" s="6">
        <v>1</v>
      </c>
      <c r="L417" s="6">
        <v>0.5</v>
      </c>
      <c r="M417" s="6">
        <v>180</v>
      </c>
      <c r="N417" s="6">
        <v>90</v>
      </c>
      <c r="O417" s="8"/>
      <c r="P417" s="8"/>
      <c r="Q417" s="8"/>
      <c r="R417" s="8"/>
      <c r="S417" s="6">
        <v>12</v>
      </c>
      <c r="T417" s="6" t="s">
        <v>213</v>
      </c>
    </row>
    <row r="418" spans="1:20" ht="15" customHeight="1" x14ac:dyDescent="0.2">
      <c r="A418" s="6" t="s">
        <v>360</v>
      </c>
      <c r="B418" s="6" t="s">
        <v>170</v>
      </c>
      <c r="C418" s="6" t="s">
        <v>21</v>
      </c>
      <c r="D418" s="6">
        <v>1</v>
      </c>
      <c r="E418" s="8"/>
      <c r="F418" s="6" t="s">
        <v>274</v>
      </c>
      <c r="G418" s="6" t="s">
        <v>218</v>
      </c>
      <c r="H418" s="6" t="s">
        <v>219</v>
      </c>
      <c r="I418" s="6" t="s">
        <v>248</v>
      </c>
      <c r="J418" s="6">
        <v>0.2</v>
      </c>
      <c r="K418" s="6">
        <v>1</v>
      </c>
      <c r="L418" s="6">
        <v>0.2</v>
      </c>
      <c r="M418" s="6">
        <v>91</v>
      </c>
      <c r="N418" s="6">
        <v>18.2</v>
      </c>
      <c r="O418" s="8"/>
      <c r="P418" s="8"/>
      <c r="Q418" s="8"/>
      <c r="R418" s="8"/>
      <c r="S418" s="6">
        <v>12</v>
      </c>
      <c r="T418" s="6" t="s">
        <v>343</v>
      </c>
    </row>
    <row r="419" spans="1:20" ht="15" customHeight="1" x14ac:dyDescent="0.2">
      <c r="A419" s="6" t="s">
        <v>360</v>
      </c>
      <c r="B419" s="6" t="s">
        <v>170</v>
      </c>
      <c r="C419" s="6" t="s">
        <v>21</v>
      </c>
      <c r="D419" s="6">
        <v>1</v>
      </c>
      <c r="E419" s="8"/>
      <c r="F419" s="6" t="s">
        <v>247</v>
      </c>
      <c r="G419" s="6" t="s">
        <v>239</v>
      </c>
      <c r="H419" s="6" t="s">
        <v>219</v>
      </c>
      <c r="I419" s="6" t="s">
        <v>248</v>
      </c>
      <c r="J419" s="6">
        <v>0.5</v>
      </c>
      <c r="K419" s="6">
        <v>1</v>
      </c>
      <c r="L419" s="6">
        <v>0.5</v>
      </c>
      <c r="M419" s="6">
        <v>57.2</v>
      </c>
      <c r="N419" s="6">
        <v>28.6</v>
      </c>
      <c r="O419" s="8"/>
      <c r="P419" s="8"/>
      <c r="Q419" s="8"/>
      <c r="R419" s="8"/>
      <c r="S419" s="6">
        <v>12</v>
      </c>
      <c r="T419" s="6" t="s">
        <v>249</v>
      </c>
    </row>
    <row r="420" spans="1:20" ht="15" customHeight="1" x14ac:dyDescent="0.2">
      <c r="A420" s="6" t="s">
        <v>360</v>
      </c>
      <c r="B420" s="6" t="s">
        <v>170</v>
      </c>
      <c r="C420" s="6" t="s">
        <v>21</v>
      </c>
      <c r="D420" s="6">
        <v>1</v>
      </c>
      <c r="E420" s="8"/>
      <c r="F420" s="6" t="s">
        <v>199</v>
      </c>
      <c r="G420" s="6" t="s">
        <v>200</v>
      </c>
      <c r="H420" s="6" t="s">
        <v>201</v>
      </c>
      <c r="I420" s="6" t="s">
        <v>282</v>
      </c>
      <c r="J420" s="6">
        <v>300</v>
      </c>
      <c r="K420" s="6">
        <v>1</v>
      </c>
      <c r="L420" s="6">
        <v>300</v>
      </c>
      <c r="M420" s="6">
        <v>3.6</v>
      </c>
      <c r="N420" s="6">
        <v>1080</v>
      </c>
      <c r="O420" s="8"/>
      <c r="P420" s="8"/>
      <c r="Q420" s="8"/>
      <c r="R420" s="8"/>
      <c r="S420" s="6">
        <v>15</v>
      </c>
      <c r="T420" s="6" t="s">
        <v>62</v>
      </c>
    </row>
    <row r="421" spans="1:20" ht="15" customHeight="1" x14ac:dyDescent="0.2">
      <c r="A421" s="6" t="s">
        <v>360</v>
      </c>
      <c r="B421" s="6" t="s">
        <v>170</v>
      </c>
      <c r="C421" s="6" t="s">
        <v>21</v>
      </c>
      <c r="D421" s="6">
        <v>1</v>
      </c>
      <c r="E421" s="8"/>
      <c r="F421" s="6" t="s">
        <v>203</v>
      </c>
      <c r="G421" s="6" t="s">
        <v>200</v>
      </c>
      <c r="H421" s="6" t="s">
        <v>201</v>
      </c>
      <c r="I421" s="6" t="s">
        <v>282</v>
      </c>
      <c r="J421" s="6">
        <v>100</v>
      </c>
      <c r="K421" s="6">
        <v>1</v>
      </c>
      <c r="L421" s="6">
        <v>100</v>
      </c>
      <c r="M421" s="6">
        <v>3.5</v>
      </c>
      <c r="N421" s="6">
        <v>350</v>
      </c>
      <c r="O421" s="8"/>
      <c r="P421" s="8"/>
      <c r="Q421" s="8"/>
      <c r="R421" s="8"/>
      <c r="S421" s="6">
        <v>15</v>
      </c>
      <c r="T421" s="6" t="s">
        <v>64</v>
      </c>
    </row>
    <row r="422" spans="1:20" ht="15" customHeight="1" x14ac:dyDescent="0.2">
      <c r="A422" s="6" t="s">
        <v>360</v>
      </c>
      <c r="B422" s="6" t="s">
        <v>170</v>
      </c>
      <c r="C422" s="6" t="s">
        <v>21</v>
      </c>
      <c r="D422" s="6">
        <v>1</v>
      </c>
      <c r="E422" s="8"/>
      <c r="F422" s="6" t="s">
        <v>204</v>
      </c>
      <c r="G422" s="6" t="s">
        <v>200</v>
      </c>
      <c r="H422" s="6" t="s">
        <v>201</v>
      </c>
      <c r="I422" s="6" t="s">
        <v>282</v>
      </c>
      <c r="J422" s="6">
        <v>100</v>
      </c>
      <c r="K422" s="6">
        <v>1</v>
      </c>
      <c r="L422" s="6">
        <v>100</v>
      </c>
      <c r="M422" s="6">
        <v>2.2000000000000002</v>
      </c>
      <c r="N422" s="6">
        <v>220</v>
      </c>
      <c r="O422" s="8"/>
      <c r="P422" s="8"/>
      <c r="Q422" s="8"/>
      <c r="R422" s="8"/>
      <c r="S422" s="6">
        <v>15</v>
      </c>
      <c r="T422" s="6" t="s">
        <v>205</v>
      </c>
    </row>
    <row r="423" spans="1:20" ht="15" customHeight="1" x14ac:dyDescent="0.2">
      <c r="A423" s="6" t="s">
        <v>360</v>
      </c>
      <c r="B423" s="6" t="s">
        <v>170</v>
      </c>
      <c r="C423" s="6" t="s">
        <v>21</v>
      </c>
      <c r="D423" s="6">
        <v>1</v>
      </c>
      <c r="E423" s="8"/>
      <c r="F423" s="6" t="s">
        <v>206</v>
      </c>
      <c r="G423" s="6" t="s">
        <v>207</v>
      </c>
      <c r="H423" s="6" t="s">
        <v>181</v>
      </c>
      <c r="I423" s="6" t="s">
        <v>282</v>
      </c>
      <c r="J423" s="8"/>
      <c r="K423" s="8"/>
      <c r="L423" s="6">
        <v>1.5</v>
      </c>
      <c r="M423" s="6">
        <v>55</v>
      </c>
      <c r="N423" s="6">
        <v>82.5</v>
      </c>
      <c r="O423" s="8"/>
      <c r="P423" s="8"/>
      <c r="Q423" s="8"/>
      <c r="R423" s="8"/>
      <c r="S423" s="6">
        <v>15</v>
      </c>
      <c r="T423" s="6" t="s">
        <v>208</v>
      </c>
    </row>
    <row r="424" spans="1:20" ht="15" customHeight="1" x14ac:dyDescent="0.2">
      <c r="A424" s="6" t="s">
        <v>360</v>
      </c>
      <c r="B424" s="6" t="s">
        <v>170</v>
      </c>
      <c r="C424" s="6" t="s">
        <v>21</v>
      </c>
      <c r="D424" s="6">
        <v>1</v>
      </c>
      <c r="E424" s="8"/>
      <c r="F424" s="6" t="s">
        <v>344</v>
      </c>
      <c r="G424" s="6" t="s">
        <v>51</v>
      </c>
      <c r="H424" s="6" t="s">
        <v>178</v>
      </c>
      <c r="I424" s="6" t="s">
        <v>173</v>
      </c>
      <c r="J424" s="8"/>
      <c r="K424" s="8"/>
      <c r="L424" s="6">
        <v>1</v>
      </c>
      <c r="M424" s="6">
        <v>200</v>
      </c>
      <c r="N424" s="6">
        <v>200</v>
      </c>
      <c r="O424" s="8"/>
      <c r="P424" s="8"/>
      <c r="Q424" s="8"/>
      <c r="R424" s="8"/>
      <c r="S424" s="6">
        <v>15</v>
      </c>
      <c r="T424" s="6" t="s">
        <v>345</v>
      </c>
    </row>
    <row r="425" spans="1:20" ht="15" customHeight="1" x14ac:dyDescent="0.2">
      <c r="A425" s="6" t="s">
        <v>360</v>
      </c>
      <c r="B425" s="6" t="s">
        <v>170</v>
      </c>
      <c r="C425" s="6" t="s">
        <v>21</v>
      </c>
      <c r="D425" s="6">
        <v>1</v>
      </c>
      <c r="E425" s="8"/>
      <c r="F425" s="6" t="s">
        <v>346</v>
      </c>
      <c r="G425" s="6" t="s">
        <v>51</v>
      </c>
      <c r="H425" s="6" t="s">
        <v>178</v>
      </c>
      <c r="I425" s="6" t="s">
        <v>173</v>
      </c>
      <c r="J425" s="8"/>
      <c r="K425" s="8"/>
      <c r="L425" s="6">
        <v>1</v>
      </c>
      <c r="M425" s="6">
        <v>180</v>
      </c>
      <c r="N425" s="6">
        <v>180</v>
      </c>
      <c r="O425" s="8"/>
      <c r="P425" s="8"/>
      <c r="Q425" s="8"/>
      <c r="R425" s="8"/>
      <c r="S425" s="6">
        <v>15</v>
      </c>
      <c r="T425" s="6" t="s">
        <v>175</v>
      </c>
    </row>
    <row r="426" spans="1:20" ht="15" customHeight="1" x14ac:dyDescent="0.2">
      <c r="A426" s="6" t="s">
        <v>360</v>
      </c>
      <c r="B426" s="6" t="s">
        <v>170</v>
      </c>
      <c r="C426" s="6" t="s">
        <v>21</v>
      </c>
      <c r="D426" s="6">
        <v>1</v>
      </c>
      <c r="E426" s="8"/>
      <c r="F426" s="6" t="s">
        <v>347</v>
      </c>
      <c r="G426" s="6" t="s">
        <v>348</v>
      </c>
      <c r="H426" s="6" t="s">
        <v>181</v>
      </c>
      <c r="I426" s="6" t="s">
        <v>182</v>
      </c>
      <c r="J426" s="8"/>
      <c r="K426" s="8"/>
      <c r="L426" s="6">
        <v>1</v>
      </c>
      <c r="M426" s="6">
        <v>55</v>
      </c>
      <c r="N426" s="6">
        <v>55</v>
      </c>
      <c r="O426" s="8"/>
      <c r="P426" s="8"/>
      <c r="Q426" s="8"/>
      <c r="R426" s="8"/>
      <c r="S426" s="6">
        <v>15</v>
      </c>
      <c r="T426" s="6" t="s">
        <v>211</v>
      </c>
    </row>
    <row r="427" spans="1:20" ht="15" customHeight="1" x14ac:dyDescent="0.2">
      <c r="A427" s="6" t="s">
        <v>360</v>
      </c>
      <c r="B427" s="6" t="s">
        <v>170</v>
      </c>
      <c r="C427" s="6" t="s">
        <v>21</v>
      </c>
      <c r="D427" s="6">
        <v>1</v>
      </c>
      <c r="E427" s="8"/>
      <c r="F427" s="6" t="s">
        <v>214</v>
      </c>
      <c r="G427" s="6" t="s">
        <v>215</v>
      </c>
      <c r="H427" s="6" t="s">
        <v>181</v>
      </c>
      <c r="I427" s="6" t="s">
        <v>182</v>
      </c>
      <c r="J427" s="8"/>
      <c r="K427" s="8"/>
      <c r="L427" s="6">
        <v>1</v>
      </c>
      <c r="M427" s="6">
        <v>40</v>
      </c>
      <c r="N427" s="6">
        <v>40</v>
      </c>
      <c r="O427" s="8"/>
      <c r="P427" s="8"/>
      <c r="Q427" s="8"/>
      <c r="R427" s="8"/>
      <c r="S427" s="6">
        <v>16</v>
      </c>
      <c r="T427" s="6" t="s">
        <v>229</v>
      </c>
    </row>
    <row r="428" spans="1:20" ht="15" customHeight="1" x14ac:dyDescent="0.2">
      <c r="A428" s="6" t="s">
        <v>360</v>
      </c>
      <c r="B428" s="6" t="s">
        <v>170</v>
      </c>
      <c r="C428" s="6" t="s">
        <v>21</v>
      </c>
      <c r="D428" s="6">
        <v>1</v>
      </c>
      <c r="E428" s="8"/>
      <c r="F428" s="6" t="s">
        <v>230</v>
      </c>
      <c r="G428" s="6" t="s">
        <v>231</v>
      </c>
      <c r="H428" s="6" t="s">
        <v>219</v>
      </c>
      <c r="I428" s="6" t="s">
        <v>248</v>
      </c>
      <c r="J428" s="6">
        <v>0.04</v>
      </c>
      <c r="K428" s="6">
        <v>1</v>
      </c>
      <c r="L428" s="6">
        <v>0.04</v>
      </c>
      <c r="M428" s="6">
        <v>53.2</v>
      </c>
      <c r="N428" s="6">
        <v>2.1280000000000001</v>
      </c>
      <c r="O428" s="8"/>
      <c r="P428" s="8"/>
      <c r="Q428" s="8"/>
      <c r="R428" s="8"/>
      <c r="S428" s="6">
        <v>20</v>
      </c>
      <c r="T428" s="6" t="s">
        <v>232</v>
      </c>
    </row>
    <row r="429" spans="1:20" ht="15" customHeight="1" x14ac:dyDescent="0.2">
      <c r="A429" s="6" t="s">
        <v>360</v>
      </c>
      <c r="B429" s="6" t="s">
        <v>170</v>
      </c>
      <c r="C429" s="6" t="s">
        <v>21</v>
      </c>
      <c r="D429" s="6">
        <v>1</v>
      </c>
      <c r="E429" s="8"/>
      <c r="F429" s="6" t="s">
        <v>238</v>
      </c>
      <c r="G429" s="6" t="s">
        <v>239</v>
      </c>
      <c r="H429" s="6" t="s">
        <v>219</v>
      </c>
      <c r="I429" s="6" t="s">
        <v>248</v>
      </c>
      <c r="J429" s="6">
        <v>1</v>
      </c>
      <c r="K429" s="6">
        <v>1</v>
      </c>
      <c r="L429" s="6">
        <v>1</v>
      </c>
      <c r="M429" s="6">
        <v>50</v>
      </c>
      <c r="N429" s="6">
        <v>50</v>
      </c>
      <c r="O429" s="8"/>
      <c r="P429" s="8"/>
      <c r="Q429" s="8"/>
      <c r="R429" s="8"/>
      <c r="S429" s="6">
        <v>20</v>
      </c>
      <c r="T429" s="6" t="s">
        <v>240</v>
      </c>
    </row>
    <row r="430" spans="1:20" ht="15" customHeight="1" x14ac:dyDescent="0.2">
      <c r="A430" s="6" t="s">
        <v>360</v>
      </c>
      <c r="B430" s="6" t="s">
        <v>170</v>
      </c>
      <c r="C430" s="6" t="s">
        <v>21</v>
      </c>
      <c r="D430" s="6">
        <v>1</v>
      </c>
      <c r="E430" s="8"/>
      <c r="F430" s="6" t="s">
        <v>255</v>
      </c>
      <c r="G430" s="6" t="s">
        <v>218</v>
      </c>
      <c r="H430" s="6" t="s">
        <v>219</v>
      </c>
      <c r="I430" s="6" t="s">
        <v>202</v>
      </c>
      <c r="J430" s="6">
        <v>0.5</v>
      </c>
      <c r="K430" s="6">
        <v>1</v>
      </c>
      <c r="L430" s="6">
        <v>0.5</v>
      </c>
      <c r="M430" s="6">
        <v>40</v>
      </c>
      <c r="N430" s="6">
        <v>20</v>
      </c>
      <c r="O430" s="8"/>
      <c r="P430" s="8"/>
      <c r="Q430" s="8"/>
      <c r="R430" s="8"/>
      <c r="S430" s="6">
        <v>20</v>
      </c>
      <c r="T430" s="6" t="s">
        <v>257</v>
      </c>
    </row>
    <row r="431" spans="1:20" ht="15" customHeight="1" x14ac:dyDescent="0.2">
      <c r="A431" s="6" t="s">
        <v>360</v>
      </c>
      <c r="B431" s="6" t="s">
        <v>170</v>
      </c>
      <c r="C431" s="6" t="s">
        <v>21</v>
      </c>
      <c r="D431" s="6">
        <v>1</v>
      </c>
      <c r="E431" s="8"/>
      <c r="F431" s="6" t="s">
        <v>259</v>
      </c>
      <c r="G431" s="6" t="s">
        <v>218</v>
      </c>
      <c r="H431" s="6" t="s">
        <v>219</v>
      </c>
      <c r="I431" s="6" t="s">
        <v>226</v>
      </c>
      <c r="J431" s="6">
        <v>0.2</v>
      </c>
      <c r="K431" s="6">
        <v>1</v>
      </c>
      <c r="L431" s="6">
        <v>0.2</v>
      </c>
      <c r="M431" s="6">
        <v>90</v>
      </c>
      <c r="N431" s="6">
        <v>18</v>
      </c>
      <c r="O431" s="8"/>
      <c r="P431" s="8"/>
      <c r="Q431" s="8"/>
      <c r="R431" s="8"/>
      <c r="S431" s="6">
        <v>20</v>
      </c>
      <c r="T431" s="6" t="s">
        <v>260</v>
      </c>
    </row>
    <row r="432" spans="1:20" ht="15" customHeight="1" x14ac:dyDescent="0.2">
      <c r="A432" s="6" t="s">
        <v>360</v>
      </c>
      <c r="B432" s="6" t="s">
        <v>170</v>
      </c>
      <c r="C432" s="6" t="s">
        <v>21</v>
      </c>
      <c r="D432" s="6">
        <v>1</v>
      </c>
      <c r="E432" s="8"/>
      <c r="F432" s="6" t="s">
        <v>266</v>
      </c>
      <c r="G432" s="6" t="s">
        <v>244</v>
      </c>
      <c r="H432" s="6" t="s">
        <v>219</v>
      </c>
      <c r="I432" s="6" t="s">
        <v>202</v>
      </c>
      <c r="J432" s="6">
        <v>0.2</v>
      </c>
      <c r="K432" s="6">
        <v>1</v>
      </c>
      <c r="L432" s="6">
        <v>0.2</v>
      </c>
      <c r="M432" s="6">
        <v>269</v>
      </c>
      <c r="N432" s="6">
        <v>53.8</v>
      </c>
      <c r="O432" s="8"/>
      <c r="P432" s="8"/>
      <c r="Q432" s="8"/>
      <c r="R432" s="8"/>
      <c r="S432" s="6">
        <v>20</v>
      </c>
      <c r="T432" s="6" t="s">
        <v>267</v>
      </c>
    </row>
    <row r="433" spans="1:20" ht="15" customHeight="1" x14ac:dyDescent="0.2">
      <c r="A433" s="6" t="s">
        <v>360</v>
      </c>
      <c r="B433" s="6" t="s">
        <v>170</v>
      </c>
      <c r="C433" s="6" t="s">
        <v>21</v>
      </c>
      <c r="D433" s="6">
        <v>1</v>
      </c>
      <c r="E433" s="8"/>
      <c r="F433" s="6" t="s">
        <v>264</v>
      </c>
      <c r="G433" s="6" t="s">
        <v>239</v>
      </c>
      <c r="H433" s="6" t="s">
        <v>219</v>
      </c>
      <c r="I433" s="6" t="s">
        <v>248</v>
      </c>
      <c r="J433" s="6">
        <v>2</v>
      </c>
      <c r="K433" s="6">
        <v>1</v>
      </c>
      <c r="L433" s="6">
        <v>2</v>
      </c>
      <c r="M433" s="6">
        <v>38.5</v>
      </c>
      <c r="N433" s="6">
        <v>77</v>
      </c>
      <c r="O433" s="8"/>
      <c r="P433" s="8"/>
      <c r="Q433" s="8"/>
      <c r="R433" s="8"/>
      <c r="S433" s="6">
        <v>20</v>
      </c>
      <c r="T433" s="6" t="s">
        <v>265</v>
      </c>
    </row>
    <row r="434" spans="1:20" ht="15" customHeight="1" x14ac:dyDescent="0.2">
      <c r="A434" s="6" t="s">
        <v>360</v>
      </c>
      <c r="B434" s="6" t="s">
        <v>170</v>
      </c>
      <c r="C434" s="6" t="s">
        <v>21</v>
      </c>
      <c r="D434" s="6">
        <v>1</v>
      </c>
      <c r="E434" s="8"/>
      <c r="F434" s="6" t="s">
        <v>236</v>
      </c>
      <c r="G434" s="6" t="s">
        <v>218</v>
      </c>
      <c r="H434" s="6" t="s">
        <v>219</v>
      </c>
      <c r="I434" s="6" t="s">
        <v>248</v>
      </c>
      <c r="J434" s="6">
        <v>0.25</v>
      </c>
      <c r="K434" s="6">
        <v>1</v>
      </c>
      <c r="L434" s="6">
        <v>0.25</v>
      </c>
      <c r="M434" s="6">
        <v>62.25</v>
      </c>
      <c r="N434" s="6">
        <v>15.563000000000001</v>
      </c>
      <c r="O434" s="8"/>
      <c r="P434" s="8"/>
      <c r="Q434" s="8"/>
      <c r="R434" s="8"/>
      <c r="S434" s="6">
        <v>20</v>
      </c>
      <c r="T434" s="6" t="s">
        <v>341</v>
      </c>
    </row>
    <row r="435" spans="1:20" ht="15" customHeight="1" x14ac:dyDescent="0.2">
      <c r="A435" s="6" t="s">
        <v>360</v>
      </c>
      <c r="B435" s="6" t="s">
        <v>170</v>
      </c>
      <c r="C435" s="6" t="s">
        <v>21</v>
      </c>
      <c r="D435" s="6">
        <v>1</v>
      </c>
      <c r="E435" s="8"/>
      <c r="F435" s="6" t="s">
        <v>349</v>
      </c>
      <c r="G435" s="6" t="s">
        <v>350</v>
      </c>
      <c r="H435" s="6" t="s">
        <v>178</v>
      </c>
      <c r="I435" s="6" t="s">
        <v>173</v>
      </c>
      <c r="J435" s="8"/>
      <c r="K435" s="8"/>
      <c r="L435" s="6">
        <v>2</v>
      </c>
      <c r="M435" s="9">
        <v>180</v>
      </c>
      <c r="N435" s="6">
        <v>360</v>
      </c>
      <c r="O435" s="8"/>
      <c r="P435" s="8"/>
      <c r="Q435" s="8"/>
      <c r="R435" s="8"/>
      <c r="S435" s="6">
        <v>30</v>
      </c>
      <c r="T435" s="6" t="s">
        <v>52</v>
      </c>
    </row>
    <row r="436" spans="1:20" ht="15" customHeight="1" x14ac:dyDescent="0.2">
      <c r="A436" s="6" t="s">
        <v>360</v>
      </c>
      <c r="B436" s="6" t="s">
        <v>170</v>
      </c>
      <c r="C436" s="6" t="s">
        <v>21</v>
      </c>
      <c r="D436" s="6">
        <v>1</v>
      </c>
      <c r="E436" s="8"/>
      <c r="F436" s="6" t="s">
        <v>382</v>
      </c>
      <c r="G436" s="6" t="s">
        <v>188</v>
      </c>
      <c r="H436" s="6" t="s">
        <v>181</v>
      </c>
      <c r="I436" s="6" t="s">
        <v>182</v>
      </c>
      <c r="J436" s="8"/>
      <c r="K436" s="8"/>
      <c r="L436" s="6">
        <v>0.16</v>
      </c>
      <c r="M436" s="6">
        <v>55</v>
      </c>
      <c r="N436" s="6">
        <v>8.8000000000000007</v>
      </c>
      <c r="O436" s="8"/>
      <c r="P436" s="8"/>
      <c r="Q436" s="8"/>
      <c r="R436" s="8"/>
      <c r="S436" s="6">
        <v>32</v>
      </c>
      <c r="T436" s="6" t="s">
        <v>379</v>
      </c>
    </row>
    <row r="437" spans="1:20" ht="15" customHeight="1" x14ac:dyDescent="0.2">
      <c r="A437" s="6" t="s">
        <v>360</v>
      </c>
      <c r="B437" s="6" t="s">
        <v>170</v>
      </c>
      <c r="C437" s="6" t="s">
        <v>21</v>
      </c>
      <c r="D437" s="6">
        <v>1</v>
      </c>
      <c r="E437" s="8"/>
      <c r="F437" s="6" t="s">
        <v>187</v>
      </c>
      <c r="G437" s="6" t="s">
        <v>188</v>
      </c>
      <c r="H437" s="6" t="s">
        <v>181</v>
      </c>
      <c r="I437" s="6" t="s">
        <v>182</v>
      </c>
      <c r="J437" s="8"/>
      <c r="K437" s="8"/>
      <c r="L437" s="6">
        <v>1</v>
      </c>
      <c r="M437" s="6">
        <v>55</v>
      </c>
      <c r="N437" s="6">
        <v>55</v>
      </c>
      <c r="O437" s="8"/>
      <c r="P437" s="8"/>
      <c r="Q437" s="8"/>
      <c r="R437" s="8"/>
      <c r="S437" s="6">
        <v>32</v>
      </c>
      <c r="T437" s="6" t="s">
        <v>211</v>
      </c>
    </row>
    <row r="438" spans="1:20" ht="15" customHeight="1" x14ac:dyDescent="0.2">
      <c r="A438" s="6" t="s">
        <v>360</v>
      </c>
      <c r="B438" s="6" t="s">
        <v>170</v>
      </c>
      <c r="C438" s="6" t="s">
        <v>21</v>
      </c>
      <c r="D438" s="6">
        <v>1</v>
      </c>
      <c r="E438" s="8"/>
      <c r="F438" s="6" t="s">
        <v>212</v>
      </c>
      <c r="G438" s="6" t="s">
        <v>188</v>
      </c>
      <c r="H438" s="6" t="s">
        <v>181</v>
      </c>
      <c r="I438" s="6" t="s">
        <v>182</v>
      </c>
      <c r="J438" s="8"/>
      <c r="K438" s="8"/>
      <c r="L438" s="6">
        <v>1.5</v>
      </c>
      <c r="M438" s="6">
        <v>55</v>
      </c>
      <c r="N438" s="6">
        <v>82.5</v>
      </c>
      <c r="O438" s="8"/>
      <c r="P438" s="8"/>
      <c r="Q438" s="8"/>
      <c r="R438" s="8"/>
      <c r="S438" s="6">
        <v>33</v>
      </c>
      <c r="T438" s="6" t="s">
        <v>208</v>
      </c>
    </row>
    <row r="439" spans="1:20" ht="15" customHeight="1" x14ac:dyDescent="0.2">
      <c r="A439" s="6" t="s">
        <v>360</v>
      </c>
      <c r="B439" s="6" t="s">
        <v>170</v>
      </c>
      <c r="C439" s="6" t="s">
        <v>21</v>
      </c>
      <c r="D439" s="6">
        <v>1</v>
      </c>
      <c r="E439" s="8"/>
      <c r="F439" s="6" t="s">
        <v>214</v>
      </c>
      <c r="G439" s="6" t="s">
        <v>215</v>
      </c>
      <c r="H439" s="6" t="s">
        <v>181</v>
      </c>
      <c r="I439" s="6" t="s">
        <v>182</v>
      </c>
      <c r="J439" s="8"/>
      <c r="K439" s="8"/>
      <c r="L439" s="6">
        <v>1</v>
      </c>
      <c r="M439" s="6">
        <v>40</v>
      </c>
      <c r="N439" s="6">
        <v>40</v>
      </c>
      <c r="O439" s="8"/>
      <c r="P439" s="8"/>
      <c r="Q439" s="8"/>
      <c r="R439" s="8"/>
      <c r="S439" s="6">
        <v>34</v>
      </c>
      <c r="T439" s="6" t="s">
        <v>229</v>
      </c>
    </row>
    <row r="440" spans="1:20" ht="15" customHeight="1" x14ac:dyDescent="0.2">
      <c r="A440" s="6" t="s">
        <v>360</v>
      </c>
      <c r="B440" s="6" t="s">
        <v>170</v>
      </c>
      <c r="C440" s="6" t="s">
        <v>21</v>
      </c>
      <c r="D440" s="6">
        <v>1</v>
      </c>
      <c r="E440" s="8"/>
      <c r="F440" s="6" t="s">
        <v>230</v>
      </c>
      <c r="G440" s="6" t="s">
        <v>231</v>
      </c>
      <c r="H440" s="6" t="s">
        <v>219</v>
      </c>
      <c r="I440" s="6" t="s">
        <v>248</v>
      </c>
      <c r="J440" s="6">
        <v>0.04</v>
      </c>
      <c r="K440" s="6">
        <v>1</v>
      </c>
      <c r="L440" s="6">
        <v>0.04</v>
      </c>
      <c r="M440" s="6">
        <v>53.2</v>
      </c>
      <c r="N440" s="6">
        <v>2.1280000000000001</v>
      </c>
      <c r="O440" s="8"/>
      <c r="P440" s="8"/>
      <c r="Q440" s="8"/>
      <c r="R440" s="8"/>
      <c r="S440" s="6">
        <v>34</v>
      </c>
      <c r="T440" s="6" t="s">
        <v>232</v>
      </c>
    </row>
    <row r="441" spans="1:20" ht="15" customHeight="1" x14ac:dyDescent="0.2">
      <c r="A441" s="6" t="s">
        <v>360</v>
      </c>
      <c r="B441" s="6" t="s">
        <v>170</v>
      </c>
      <c r="C441" s="6" t="s">
        <v>21</v>
      </c>
      <c r="D441" s="6">
        <v>1</v>
      </c>
      <c r="E441" s="8"/>
      <c r="F441" s="6" t="s">
        <v>278</v>
      </c>
      <c r="G441" s="6" t="s">
        <v>239</v>
      </c>
      <c r="H441" s="6" t="s">
        <v>219</v>
      </c>
      <c r="I441" s="6" t="s">
        <v>282</v>
      </c>
      <c r="J441" s="6">
        <v>0.5</v>
      </c>
      <c r="K441" s="6">
        <v>1</v>
      </c>
      <c r="L441" s="6">
        <v>0.5</v>
      </c>
      <c r="M441" s="6">
        <v>65</v>
      </c>
      <c r="N441" s="6">
        <v>32.5</v>
      </c>
      <c r="O441" s="8"/>
      <c r="P441" s="8"/>
      <c r="Q441" s="8"/>
      <c r="R441" s="8"/>
      <c r="S441" s="6">
        <v>34</v>
      </c>
      <c r="T441" s="6" t="s">
        <v>351</v>
      </c>
    </row>
    <row r="442" spans="1:20" ht="15" customHeight="1" x14ac:dyDescent="0.2">
      <c r="A442" s="6" t="s">
        <v>360</v>
      </c>
      <c r="B442" s="6" t="s">
        <v>170</v>
      </c>
      <c r="C442" s="6" t="s">
        <v>21</v>
      </c>
      <c r="D442" s="6">
        <v>1</v>
      </c>
      <c r="E442" s="8"/>
      <c r="F442" s="6" t="s">
        <v>241</v>
      </c>
      <c r="G442" s="6" t="s">
        <v>218</v>
      </c>
      <c r="H442" s="6" t="s">
        <v>219</v>
      </c>
      <c r="I442" s="6" t="s">
        <v>282</v>
      </c>
      <c r="J442" s="6">
        <v>0.2</v>
      </c>
      <c r="K442" s="6">
        <v>1</v>
      </c>
      <c r="L442" s="6">
        <v>0.2</v>
      </c>
      <c r="M442" s="6">
        <v>64</v>
      </c>
      <c r="N442" s="6">
        <v>12.8</v>
      </c>
      <c r="O442" s="8"/>
      <c r="P442" s="8"/>
      <c r="Q442" s="8"/>
      <c r="R442" s="8"/>
      <c r="S442" s="6">
        <v>34</v>
      </c>
      <c r="T442" s="6" t="s">
        <v>342</v>
      </c>
    </row>
    <row r="443" spans="1:20" ht="15" customHeight="1" x14ac:dyDescent="0.2">
      <c r="A443" s="6" t="s">
        <v>360</v>
      </c>
      <c r="B443" s="6" t="s">
        <v>170</v>
      </c>
      <c r="C443" s="6" t="s">
        <v>21</v>
      </c>
      <c r="D443" s="6">
        <v>1</v>
      </c>
      <c r="E443" s="8"/>
      <c r="F443" s="6" t="s">
        <v>264</v>
      </c>
      <c r="G443" s="6" t="s">
        <v>239</v>
      </c>
      <c r="H443" s="6" t="s">
        <v>219</v>
      </c>
      <c r="I443" s="6" t="s">
        <v>248</v>
      </c>
      <c r="J443" s="6">
        <v>2</v>
      </c>
      <c r="K443" s="6">
        <v>1</v>
      </c>
      <c r="L443" s="6">
        <v>2</v>
      </c>
      <c r="M443" s="6">
        <v>38.5</v>
      </c>
      <c r="N443" s="6">
        <v>77</v>
      </c>
      <c r="O443" s="8"/>
      <c r="P443" s="8"/>
      <c r="Q443" s="8"/>
      <c r="R443" s="8"/>
      <c r="S443" s="6">
        <v>34</v>
      </c>
      <c r="T443" s="6" t="s">
        <v>265</v>
      </c>
    </row>
    <row r="444" spans="1:20" ht="15" customHeight="1" x14ac:dyDescent="0.2">
      <c r="A444" s="6" t="s">
        <v>360</v>
      </c>
      <c r="B444" s="6" t="s">
        <v>170</v>
      </c>
      <c r="C444" s="6" t="s">
        <v>21</v>
      </c>
      <c r="D444" s="6">
        <v>1</v>
      </c>
      <c r="E444" s="8"/>
      <c r="F444" s="6" t="s">
        <v>284</v>
      </c>
      <c r="G444" s="6" t="s">
        <v>244</v>
      </c>
      <c r="H444" s="6" t="s">
        <v>219</v>
      </c>
      <c r="I444" s="6" t="s">
        <v>248</v>
      </c>
      <c r="J444" s="6">
        <v>0.5</v>
      </c>
      <c r="K444" s="6">
        <v>1</v>
      </c>
      <c r="L444" s="6">
        <v>0.5</v>
      </c>
      <c r="M444" s="6">
        <v>53</v>
      </c>
      <c r="N444" s="6">
        <v>26.5</v>
      </c>
      <c r="O444" s="8"/>
      <c r="P444" s="8"/>
      <c r="Q444" s="8"/>
      <c r="R444" s="8"/>
      <c r="S444" s="6">
        <v>34</v>
      </c>
      <c r="T444" s="6" t="s">
        <v>352</v>
      </c>
    </row>
    <row r="445" spans="1:20" ht="15" customHeight="1" x14ac:dyDescent="0.2">
      <c r="A445" s="6" t="s">
        <v>360</v>
      </c>
      <c r="B445" s="6" t="s">
        <v>170</v>
      </c>
      <c r="C445" s="6" t="s">
        <v>21</v>
      </c>
      <c r="D445" s="6">
        <v>1</v>
      </c>
      <c r="E445" s="8"/>
      <c r="F445" s="6" t="s">
        <v>276</v>
      </c>
      <c r="G445" s="6" t="s">
        <v>218</v>
      </c>
      <c r="H445" s="6" t="s">
        <v>219</v>
      </c>
      <c r="I445" s="6" t="s">
        <v>248</v>
      </c>
      <c r="J445" s="6">
        <v>0.2</v>
      </c>
      <c r="K445" s="6">
        <v>1</v>
      </c>
      <c r="L445" s="6">
        <v>0.2</v>
      </c>
      <c r="M445" s="6">
        <v>61.12</v>
      </c>
      <c r="N445" s="6">
        <v>12.224</v>
      </c>
      <c r="O445" s="8"/>
      <c r="P445" s="8"/>
      <c r="Q445" s="8"/>
      <c r="R445" s="8"/>
      <c r="S445" s="6">
        <v>34</v>
      </c>
      <c r="T445" s="6" t="s">
        <v>365</v>
      </c>
    </row>
    <row r="446" spans="1:20" ht="15" customHeight="1" x14ac:dyDescent="0.2">
      <c r="A446" s="6" t="s">
        <v>360</v>
      </c>
      <c r="B446" s="6" t="s">
        <v>170</v>
      </c>
      <c r="C446" s="6" t="s">
        <v>21</v>
      </c>
      <c r="D446" s="6">
        <v>1</v>
      </c>
      <c r="E446" s="8"/>
      <c r="F446" s="6" t="s">
        <v>353</v>
      </c>
      <c r="G446" s="6" t="s">
        <v>253</v>
      </c>
      <c r="H446" s="6" t="s">
        <v>181</v>
      </c>
      <c r="I446" s="6" t="s">
        <v>182</v>
      </c>
      <c r="J446" s="8"/>
      <c r="K446" s="8"/>
      <c r="L446" s="6">
        <v>5</v>
      </c>
      <c r="M446" s="6">
        <v>55</v>
      </c>
      <c r="N446" s="6">
        <v>275</v>
      </c>
      <c r="O446" s="8"/>
      <c r="P446" s="8"/>
      <c r="Q446" s="8"/>
      <c r="R446" s="8"/>
      <c r="S446" s="6">
        <v>35</v>
      </c>
      <c r="T446" s="6" t="s">
        <v>354</v>
      </c>
    </row>
    <row r="447" spans="1:20" ht="15" customHeight="1" x14ac:dyDescent="0.2">
      <c r="A447" s="6" t="s">
        <v>360</v>
      </c>
      <c r="B447" s="6" t="s">
        <v>170</v>
      </c>
      <c r="C447" s="6" t="s">
        <v>21</v>
      </c>
      <c r="D447" s="6">
        <v>1</v>
      </c>
      <c r="E447" s="8"/>
      <c r="F447" s="6" t="s">
        <v>214</v>
      </c>
      <c r="G447" s="6" t="s">
        <v>215</v>
      </c>
      <c r="H447" s="6" t="s">
        <v>181</v>
      </c>
      <c r="I447" s="6" t="s">
        <v>182</v>
      </c>
      <c r="J447" s="8"/>
      <c r="K447" s="8"/>
      <c r="L447" s="6">
        <v>1.5</v>
      </c>
      <c r="M447" s="6">
        <v>40</v>
      </c>
      <c r="N447" s="6">
        <v>60</v>
      </c>
      <c r="O447" s="8"/>
      <c r="P447" s="8"/>
      <c r="Q447" s="8"/>
      <c r="R447" s="8"/>
      <c r="S447" s="6">
        <v>36</v>
      </c>
      <c r="T447" s="6" t="s">
        <v>189</v>
      </c>
    </row>
    <row r="448" spans="1:20" ht="15" customHeight="1" x14ac:dyDescent="0.2">
      <c r="A448" s="6" t="s">
        <v>360</v>
      </c>
      <c r="B448" s="6" t="s">
        <v>170</v>
      </c>
      <c r="C448" s="6" t="s">
        <v>21</v>
      </c>
      <c r="D448" s="6">
        <v>1</v>
      </c>
      <c r="E448" s="8"/>
      <c r="F448" s="6" t="s">
        <v>250</v>
      </c>
      <c r="G448" s="6" t="s">
        <v>223</v>
      </c>
      <c r="H448" s="6" t="s">
        <v>219</v>
      </c>
      <c r="I448" s="6" t="s">
        <v>248</v>
      </c>
      <c r="J448" s="6">
        <v>12</v>
      </c>
      <c r="K448" s="6">
        <v>1.5</v>
      </c>
      <c r="L448" s="6">
        <v>18</v>
      </c>
      <c r="M448" s="6">
        <v>3.5</v>
      </c>
      <c r="N448" s="6">
        <v>63</v>
      </c>
      <c r="O448" s="8"/>
      <c r="P448" s="8"/>
      <c r="Q448" s="8"/>
      <c r="R448" s="8"/>
      <c r="S448" s="6">
        <v>36</v>
      </c>
      <c r="T448" s="6" t="s">
        <v>269</v>
      </c>
    </row>
    <row r="449" spans="1:20" ht="15" customHeight="1" x14ac:dyDescent="0.2">
      <c r="A449" s="6" t="s">
        <v>360</v>
      </c>
      <c r="B449" s="6" t="s">
        <v>170</v>
      </c>
      <c r="C449" s="6" t="s">
        <v>21</v>
      </c>
      <c r="D449" s="6">
        <v>1</v>
      </c>
      <c r="E449" s="8"/>
      <c r="F449" s="6" t="s">
        <v>214</v>
      </c>
      <c r="G449" s="6" t="s">
        <v>215</v>
      </c>
      <c r="H449" s="6" t="s">
        <v>181</v>
      </c>
      <c r="I449" s="6" t="s">
        <v>182</v>
      </c>
      <c r="J449" s="8"/>
      <c r="K449" s="8"/>
      <c r="L449" s="6">
        <v>1</v>
      </c>
      <c r="M449" s="6">
        <v>40</v>
      </c>
      <c r="N449" s="6">
        <v>40</v>
      </c>
      <c r="O449" s="8"/>
      <c r="P449" s="8"/>
      <c r="Q449" s="8"/>
      <c r="R449" s="8"/>
      <c r="S449" s="6">
        <v>50</v>
      </c>
      <c r="T449" s="6" t="s">
        <v>229</v>
      </c>
    </row>
    <row r="450" spans="1:20" ht="15" customHeight="1" x14ac:dyDescent="0.2">
      <c r="A450" s="6" t="s">
        <v>360</v>
      </c>
      <c r="B450" s="6" t="s">
        <v>170</v>
      </c>
      <c r="C450" s="6" t="s">
        <v>21</v>
      </c>
      <c r="D450" s="6">
        <v>1</v>
      </c>
      <c r="E450" s="8"/>
      <c r="F450" s="6" t="s">
        <v>230</v>
      </c>
      <c r="G450" s="6" t="s">
        <v>231</v>
      </c>
      <c r="H450" s="6" t="s">
        <v>219</v>
      </c>
      <c r="I450" s="6" t="s">
        <v>248</v>
      </c>
      <c r="J450" s="6">
        <v>0.04</v>
      </c>
      <c r="K450" s="6">
        <v>1</v>
      </c>
      <c r="L450" s="6">
        <v>0.04</v>
      </c>
      <c r="M450" s="6">
        <v>53.2</v>
      </c>
      <c r="N450" s="6">
        <v>2.1280000000000001</v>
      </c>
      <c r="O450" s="8"/>
      <c r="P450" s="8"/>
      <c r="Q450" s="8"/>
      <c r="R450" s="8"/>
      <c r="S450" s="6">
        <v>50</v>
      </c>
      <c r="T450" s="6" t="s">
        <v>232</v>
      </c>
    </row>
    <row r="451" spans="1:20" ht="15" customHeight="1" x14ac:dyDescent="0.2">
      <c r="A451" s="6" t="s">
        <v>360</v>
      </c>
      <c r="B451" s="6" t="s">
        <v>170</v>
      </c>
      <c r="C451" s="6" t="s">
        <v>21</v>
      </c>
      <c r="D451" s="6">
        <v>1</v>
      </c>
      <c r="E451" s="8"/>
      <c r="F451" s="6" t="s">
        <v>255</v>
      </c>
      <c r="G451" s="6" t="s">
        <v>218</v>
      </c>
      <c r="H451" s="6" t="s">
        <v>219</v>
      </c>
      <c r="I451" s="6" t="s">
        <v>282</v>
      </c>
      <c r="J451" s="6">
        <v>0.5</v>
      </c>
      <c r="K451" s="6">
        <v>1</v>
      </c>
      <c r="L451" s="6">
        <v>0.5</v>
      </c>
      <c r="M451" s="6">
        <v>40</v>
      </c>
      <c r="N451" s="6">
        <v>20</v>
      </c>
      <c r="O451" s="8"/>
      <c r="P451" s="8"/>
      <c r="Q451" s="8"/>
      <c r="R451" s="8"/>
      <c r="S451" s="6">
        <v>50</v>
      </c>
      <c r="T451" s="6" t="s">
        <v>257</v>
      </c>
    </row>
    <row r="452" spans="1:20" ht="15" customHeight="1" x14ac:dyDescent="0.2">
      <c r="A452" s="6" t="s">
        <v>360</v>
      </c>
      <c r="B452" s="6" t="s">
        <v>170</v>
      </c>
      <c r="C452" s="6" t="s">
        <v>21</v>
      </c>
      <c r="D452" s="6">
        <v>1</v>
      </c>
      <c r="E452" s="8"/>
      <c r="F452" s="6" t="s">
        <v>259</v>
      </c>
      <c r="G452" s="6" t="s">
        <v>218</v>
      </c>
      <c r="H452" s="6" t="s">
        <v>219</v>
      </c>
      <c r="I452" s="6" t="s">
        <v>226</v>
      </c>
      <c r="J452" s="6">
        <v>0.2</v>
      </c>
      <c r="K452" s="6">
        <v>1.5</v>
      </c>
      <c r="L452" s="6">
        <v>0.3</v>
      </c>
      <c r="M452" s="6">
        <v>90</v>
      </c>
      <c r="N452" s="6">
        <v>27</v>
      </c>
      <c r="O452" s="8"/>
      <c r="P452" s="8"/>
      <c r="Q452" s="8"/>
      <c r="R452" s="8"/>
      <c r="S452" s="6">
        <v>50</v>
      </c>
      <c r="T452" s="6" t="s">
        <v>273</v>
      </c>
    </row>
    <row r="453" spans="1:20" ht="15" customHeight="1" x14ac:dyDescent="0.2">
      <c r="A453" s="6" t="s">
        <v>360</v>
      </c>
      <c r="B453" s="6" t="s">
        <v>170</v>
      </c>
      <c r="C453" s="6" t="s">
        <v>21</v>
      </c>
      <c r="D453" s="6">
        <v>1</v>
      </c>
      <c r="E453" s="8"/>
      <c r="F453" s="6" t="s">
        <v>264</v>
      </c>
      <c r="G453" s="6" t="s">
        <v>239</v>
      </c>
      <c r="H453" s="6" t="s">
        <v>219</v>
      </c>
      <c r="I453" s="6" t="s">
        <v>248</v>
      </c>
      <c r="J453" s="6">
        <v>2</v>
      </c>
      <c r="K453" s="6">
        <v>1</v>
      </c>
      <c r="L453" s="6">
        <v>2</v>
      </c>
      <c r="M453" s="6">
        <v>38.5</v>
      </c>
      <c r="N453" s="6">
        <v>77</v>
      </c>
      <c r="O453" s="8"/>
      <c r="P453" s="8"/>
      <c r="Q453" s="8"/>
      <c r="R453" s="8"/>
      <c r="S453" s="6">
        <v>50</v>
      </c>
      <c r="T453" s="6" t="s">
        <v>265</v>
      </c>
    </row>
    <row r="454" spans="1:20" ht="15" customHeight="1" x14ac:dyDescent="0.2">
      <c r="A454" s="6" t="s">
        <v>360</v>
      </c>
      <c r="B454" s="6" t="s">
        <v>170</v>
      </c>
      <c r="C454" s="6" t="s">
        <v>21</v>
      </c>
      <c r="D454" s="6">
        <v>1</v>
      </c>
      <c r="E454" s="8"/>
      <c r="F454" s="6" t="s">
        <v>236</v>
      </c>
      <c r="G454" s="6" t="s">
        <v>218</v>
      </c>
      <c r="H454" s="6" t="s">
        <v>219</v>
      </c>
      <c r="I454" s="6" t="s">
        <v>248</v>
      </c>
      <c r="J454" s="6">
        <v>0.25</v>
      </c>
      <c r="K454" s="6">
        <v>1</v>
      </c>
      <c r="L454" s="6">
        <v>0.25</v>
      </c>
      <c r="M454" s="6">
        <v>62.25</v>
      </c>
      <c r="N454" s="6">
        <v>15.563000000000001</v>
      </c>
      <c r="O454" s="8"/>
      <c r="P454" s="8"/>
      <c r="Q454" s="8"/>
      <c r="R454" s="8"/>
      <c r="S454" s="6">
        <v>50</v>
      </c>
      <c r="T454" s="6" t="s">
        <v>341</v>
      </c>
    </row>
    <row r="455" spans="1:20" ht="15" customHeight="1" x14ac:dyDescent="0.2">
      <c r="A455" s="6" t="s">
        <v>360</v>
      </c>
      <c r="B455" s="6" t="s">
        <v>170</v>
      </c>
      <c r="C455" s="6" t="s">
        <v>21</v>
      </c>
      <c r="D455" s="6">
        <v>1</v>
      </c>
      <c r="E455" s="8"/>
      <c r="F455" s="6" t="s">
        <v>353</v>
      </c>
      <c r="G455" s="6" t="s">
        <v>253</v>
      </c>
      <c r="H455" s="6" t="s">
        <v>181</v>
      </c>
      <c r="I455" s="6" t="s">
        <v>182</v>
      </c>
      <c r="J455" s="8"/>
      <c r="K455" s="8"/>
      <c r="L455" s="6">
        <v>0</v>
      </c>
      <c r="M455" s="6">
        <v>55</v>
      </c>
      <c r="N455" s="6">
        <v>0</v>
      </c>
      <c r="O455" s="8"/>
      <c r="P455" s="8"/>
      <c r="Q455" s="8"/>
      <c r="R455" s="8"/>
      <c r="S455" s="6">
        <v>55</v>
      </c>
      <c r="T455" s="6" t="s">
        <v>88</v>
      </c>
    </row>
    <row r="456" spans="1:20" ht="15" customHeight="1" x14ac:dyDescent="0.2">
      <c r="A456" s="6" t="s">
        <v>360</v>
      </c>
      <c r="B456" s="6" t="s">
        <v>170</v>
      </c>
      <c r="C456" s="6" t="s">
        <v>21</v>
      </c>
      <c r="D456" s="6">
        <v>1</v>
      </c>
      <c r="E456" s="8"/>
      <c r="F456" s="6" t="s">
        <v>366</v>
      </c>
      <c r="G456" s="6" t="s">
        <v>215</v>
      </c>
      <c r="H456" s="6" t="s">
        <v>181</v>
      </c>
      <c r="I456" s="6" t="s">
        <v>182</v>
      </c>
      <c r="J456" s="8"/>
      <c r="K456" s="8"/>
      <c r="L456" s="6">
        <v>1.5</v>
      </c>
      <c r="M456" s="6">
        <v>65</v>
      </c>
      <c r="N456" s="6">
        <v>97.5</v>
      </c>
      <c r="O456" s="8"/>
      <c r="P456" s="8"/>
      <c r="Q456" s="8"/>
      <c r="R456" s="8"/>
      <c r="S456" s="6">
        <v>64</v>
      </c>
      <c r="T456" s="6" t="s">
        <v>34</v>
      </c>
    </row>
    <row r="457" spans="1:20" ht="15" customHeight="1" x14ac:dyDescent="0.2">
      <c r="A457" s="6" t="s">
        <v>360</v>
      </c>
      <c r="B457" s="6" t="s">
        <v>170</v>
      </c>
      <c r="C457" s="6" t="s">
        <v>21</v>
      </c>
      <c r="D457" s="6">
        <v>1</v>
      </c>
      <c r="E457" s="8"/>
      <c r="F457" s="6" t="s">
        <v>230</v>
      </c>
      <c r="G457" s="6" t="s">
        <v>231</v>
      </c>
      <c r="H457" s="6" t="s">
        <v>219</v>
      </c>
      <c r="I457" s="6" t="s">
        <v>248</v>
      </c>
      <c r="J457" s="6">
        <v>0.04</v>
      </c>
      <c r="K457" s="6">
        <v>1.5</v>
      </c>
      <c r="L457" s="6">
        <v>0.06</v>
      </c>
      <c r="M457" s="6">
        <v>53.2</v>
      </c>
      <c r="N457" s="6">
        <v>3.1920000000000002</v>
      </c>
      <c r="O457" s="8"/>
      <c r="P457" s="8"/>
      <c r="Q457" s="8"/>
      <c r="R457" s="8"/>
      <c r="S457" s="6">
        <v>64</v>
      </c>
      <c r="T457" s="6" t="s">
        <v>272</v>
      </c>
    </row>
    <row r="458" spans="1:20" ht="15" customHeight="1" x14ac:dyDescent="0.2">
      <c r="A458" s="6" t="s">
        <v>360</v>
      </c>
      <c r="B458" s="6" t="s">
        <v>170</v>
      </c>
      <c r="C458" s="6" t="s">
        <v>21</v>
      </c>
      <c r="D458" s="6">
        <v>1</v>
      </c>
      <c r="E458" s="8"/>
      <c r="F458" s="6" t="s">
        <v>241</v>
      </c>
      <c r="G458" s="6" t="s">
        <v>218</v>
      </c>
      <c r="H458" s="6" t="s">
        <v>219</v>
      </c>
      <c r="I458" s="6" t="s">
        <v>202</v>
      </c>
      <c r="J458" s="6">
        <v>0.2</v>
      </c>
      <c r="K458" s="6">
        <v>1.5</v>
      </c>
      <c r="L458" s="6">
        <v>0.3</v>
      </c>
      <c r="M458" s="6">
        <v>64</v>
      </c>
      <c r="N458" s="6">
        <v>19.2</v>
      </c>
      <c r="O458" s="8"/>
      <c r="P458" s="8"/>
      <c r="Q458" s="8"/>
      <c r="R458" s="8"/>
      <c r="S458" s="6">
        <v>64</v>
      </c>
      <c r="T458" s="6" t="s">
        <v>367</v>
      </c>
    </row>
    <row r="459" spans="1:20" ht="15" customHeight="1" x14ac:dyDescent="0.2">
      <c r="A459" s="6" t="s">
        <v>360</v>
      </c>
      <c r="B459" s="6" t="s">
        <v>170</v>
      </c>
      <c r="C459" s="6" t="s">
        <v>21</v>
      </c>
      <c r="D459" s="6">
        <v>1</v>
      </c>
      <c r="E459" s="8"/>
      <c r="F459" s="6" t="s">
        <v>276</v>
      </c>
      <c r="G459" s="6" t="s">
        <v>218</v>
      </c>
      <c r="H459" s="6" t="s">
        <v>219</v>
      </c>
      <c r="I459" s="6" t="s">
        <v>248</v>
      </c>
      <c r="J459" s="6">
        <v>0.2</v>
      </c>
      <c r="K459" s="6">
        <v>1.5</v>
      </c>
      <c r="L459" s="6">
        <v>0.3</v>
      </c>
      <c r="M459" s="6">
        <v>61.12</v>
      </c>
      <c r="N459" s="6">
        <v>18.335999999999999</v>
      </c>
      <c r="O459" s="8"/>
      <c r="P459" s="8"/>
      <c r="Q459" s="8"/>
      <c r="R459" s="8"/>
      <c r="S459" s="6">
        <v>64</v>
      </c>
      <c r="T459" s="6" t="s">
        <v>368</v>
      </c>
    </row>
    <row r="460" spans="1:20" ht="15" customHeight="1" x14ac:dyDescent="0.2">
      <c r="A460" s="6" t="s">
        <v>360</v>
      </c>
      <c r="B460" s="6" t="s">
        <v>170</v>
      </c>
      <c r="C460" s="6" t="s">
        <v>21</v>
      </c>
      <c r="D460" s="6">
        <v>1</v>
      </c>
      <c r="E460" s="8"/>
      <c r="F460" s="6" t="s">
        <v>278</v>
      </c>
      <c r="G460" s="6" t="s">
        <v>239</v>
      </c>
      <c r="H460" s="6" t="s">
        <v>219</v>
      </c>
      <c r="I460" s="6" t="s">
        <v>202</v>
      </c>
      <c r="J460" s="6">
        <v>0.5</v>
      </c>
      <c r="K460" s="6">
        <v>1.5</v>
      </c>
      <c r="L460" s="6">
        <v>0.75</v>
      </c>
      <c r="M460" s="6">
        <v>65</v>
      </c>
      <c r="N460" s="6">
        <v>48.75</v>
      </c>
      <c r="O460" s="8"/>
      <c r="P460" s="8"/>
      <c r="Q460" s="8"/>
      <c r="R460" s="8"/>
      <c r="S460" s="6">
        <v>64</v>
      </c>
      <c r="T460" s="6" t="s">
        <v>279</v>
      </c>
    </row>
    <row r="461" spans="1:20" ht="15" customHeight="1" x14ac:dyDescent="0.2">
      <c r="A461" s="6" t="s">
        <v>360</v>
      </c>
      <c r="B461" s="6" t="s">
        <v>170</v>
      </c>
      <c r="C461" s="6" t="s">
        <v>21</v>
      </c>
      <c r="D461" s="6">
        <v>1</v>
      </c>
      <c r="E461" s="8"/>
      <c r="F461" s="6" t="s">
        <v>274</v>
      </c>
      <c r="G461" s="6" t="s">
        <v>218</v>
      </c>
      <c r="H461" s="6" t="s">
        <v>219</v>
      </c>
      <c r="I461" s="6" t="s">
        <v>248</v>
      </c>
      <c r="J461" s="6">
        <v>0.2</v>
      </c>
      <c r="K461" s="6">
        <v>1.5</v>
      </c>
      <c r="L461" s="6">
        <v>0.3</v>
      </c>
      <c r="M461" s="6">
        <v>91</v>
      </c>
      <c r="N461" s="6">
        <v>27.3</v>
      </c>
      <c r="O461" s="8"/>
      <c r="P461" s="8"/>
      <c r="Q461" s="8"/>
      <c r="R461" s="8"/>
      <c r="S461" s="6">
        <v>64</v>
      </c>
      <c r="T461" s="6" t="s">
        <v>275</v>
      </c>
    </row>
    <row r="462" spans="1:20" ht="15" customHeight="1" x14ac:dyDescent="0.2">
      <c r="A462" s="6" t="s">
        <v>360</v>
      </c>
      <c r="B462" s="6" t="s">
        <v>170</v>
      </c>
      <c r="C462" s="6" t="s">
        <v>21</v>
      </c>
      <c r="D462" s="6">
        <v>1</v>
      </c>
      <c r="E462" s="8"/>
      <c r="F462" s="6" t="s">
        <v>295</v>
      </c>
      <c r="G462" s="6" t="s">
        <v>244</v>
      </c>
      <c r="H462" s="6" t="s">
        <v>219</v>
      </c>
      <c r="I462" s="6" t="s">
        <v>248</v>
      </c>
      <c r="J462" s="6">
        <v>0.5</v>
      </c>
      <c r="K462" s="6">
        <v>1.5</v>
      </c>
      <c r="L462" s="6">
        <v>0.75</v>
      </c>
      <c r="M462" s="6">
        <v>77.31</v>
      </c>
      <c r="N462" s="6">
        <v>57.982999999999997</v>
      </c>
      <c r="O462" s="8"/>
      <c r="P462" s="8"/>
      <c r="Q462" s="8"/>
      <c r="R462" s="8"/>
      <c r="S462" s="6">
        <v>64</v>
      </c>
      <c r="T462" s="6" t="s">
        <v>296</v>
      </c>
    </row>
    <row r="463" spans="1:20" ht="15" customHeight="1" x14ac:dyDescent="0.2">
      <c r="A463" s="6" t="s">
        <v>360</v>
      </c>
      <c r="B463" s="6" t="s">
        <v>170</v>
      </c>
      <c r="C463" s="6" t="s">
        <v>21</v>
      </c>
      <c r="D463" s="6">
        <v>1</v>
      </c>
      <c r="E463" s="8"/>
      <c r="F463" s="6" t="s">
        <v>286</v>
      </c>
      <c r="G463" s="6" t="s">
        <v>239</v>
      </c>
      <c r="H463" s="6" t="s">
        <v>219</v>
      </c>
      <c r="I463" s="6" t="s">
        <v>202</v>
      </c>
      <c r="J463" s="6">
        <v>3</v>
      </c>
      <c r="K463" s="6">
        <v>1.5</v>
      </c>
      <c r="L463" s="6">
        <v>4.5</v>
      </c>
      <c r="M463" s="6">
        <v>22.715</v>
      </c>
      <c r="N463" s="6">
        <v>102.218</v>
      </c>
      <c r="O463" s="8"/>
      <c r="P463" s="8"/>
      <c r="Q463" s="8"/>
      <c r="R463" s="8"/>
      <c r="S463" s="6">
        <v>64</v>
      </c>
      <c r="T463" s="6" t="s">
        <v>369</v>
      </c>
    </row>
    <row r="464" spans="1:20" ht="15" customHeight="1" x14ac:dyDescent="0.2">
      <c r="A464" s="6" t="s">
        <v>360</v>
      </c>
      <c r="B464" s="6" t="s">
        <v>170</v>
      </c>
      <c r="C464" s="6" t="s">
        <v>21</v>
      </c>
      <c r="D464" s="6">
        <v>1</v>
      </c>
      <c r="E464" s="8"/>
      <c r="F464" s="6" t="s">
        <v>212</v>
      </c>
      <c r="G464" s="6" t="s">
        <v>188</v>
      </c>
      <c r="H464" s="6" t="s">
        <v>181</v>
      </c>
      <c r="I464" s="6" t="s">
        <v>182</v>
      </c>
      <c r="J464" s="8"/>
      <c r="K464" s="8"/>
      <c r="L464" s="6">
        <v>0.6</v>
      </c>
      <c r="M464" s="6">
        <v>55</v>
      </c>
      <c r="N464" s="6">
        <v>33</v>
      </c>
      <c r="O464" s="8"/>
      <c r="P464" s="8"/>
      <c r="Q464" s="8"/>
      <c r="R464" s="8"/>
      <c r="S464" s="6">
        <v>50</v>
      </c>
      <c r="T464" s="6" t="s">
        <v>383</v>
      </c>
    </row>
    <row r="465" spans="1:20" ht="15" customHeight="1" x14ac:dyDescent="0.2">
      <c r="A465" s="6" t="s">
        <v>360</v>
      </c>
      <c r="B465" s="6" t="s">
        <v>170</v>
      </c>
      <c r="C465" s="6" t="s">
        <v>21</v>
      </c>
      <c r="D465" s="6">
        <v>1</v>
      </c>
      <c r="E465" s="8"/>
      <c r="F465" s="6" t="s">
        <v>214</v>
      </c>
      <c r="G465" s="6" t="s">
        <v>215</v>
      </c>
      <c r="H465" s="6" t="s">
        <v>181</v>
      </c>
      <c r="I465" s="6" t="s">
        <v>182</v>
      </c>
      <c r="J465" s="8"/>
      <c r="K465" s="8"/>
      <c r="L465" s="6">
        <v>1.5</v>
      </c>
      <c r="M465" s="6">
        <v>40</v>
      </c>
      <c r="N465" s="6">
        <v>60</v>
      </c>
      <c r="O465" s="8"/>
      <c r="P465" s="8"/>
      <c r="Q465" s="8"/>
      <c r="R465" s="8"/>
      <c r="S465" s="6">
        <v>76</v>
      </c>
      <c r="T465" s="6" t="s">
        <v>189</v>
      </c>
    </row>
    <row r="466" spans="1:20" ht="15" customHeight="1" x14ac:dyDescent="0.2">
      <c r="A466" s="6" t="s">
        <v>360</v>
      </c>
      <c r="B466" s="6" t="s">
        <v>170</v>
      </c>
      <c r="C466" s="6" t="s">
        <v>21</v>
      </c>
      <c r="D466" s="6">
        <v>1</v>
      </c>
      <c r="E466" s="8"/>
      <c r="F466" s="6" t="s">
        <v>250</v>
      </c>
      <c r="G466" s="6" t="s">
        <v>223</v>
      </c>
      <c r="H466" s="6" t="s">
        <v>219</v>
      </c>
      <c r="I466" s="6" t="s">
        <v>248</v>
      </c>
      <c r="J466" s="6">
        <v>12</v>
      </c>
      <c r="K466" s="6">
        <v>1.5</v>
      </c>
      <c r="L466" s="6">
        <v>18</v>
      </c>
      <c r="M466" s="6">
        <v>3.5</v>
      </c>
      <c r="N466" s="6">
        <v>63</v>
      </c>
      <c r="O466" s="8"/>
      <c r="P466" s="8"/>
      <c r="Q466" s="8"/>
      <c r="R466" s="8"/>
      <c r="S466" s="6">
        <v>76</v>
      </c>
      <c r="T466" s="6" t="s">
        <v>269</v>
      </c>
    </row>
    <row r="467" spans="1:20" ht="15" customHeight="1" x14ac:dyDescent="0.2">
      <c r="A467" s="6" t="s">
        <v>360</v>
      </c>
      <c r="B467" s="6" t="s">
        <v>170</v>
      </c>
      <c r="C467" s="6" t="s">
        <v>21</v>
      </c>
      <c r="D467" s="6">
        <v>1</v>
      </c>
      <c r="E467" s="8"/>
      <c r="F467" s="6" t="s">
        <v>384</v>
      </c>
      <c r="G467" s="6" t="s">
        <v>188</v>
      </c>
      <c r="H467" s="6" t="s">
        <v>181</v>
      </c>
      <c r="I467" s="6" t="s">
        <v>182</v>
      </c>
      <c r="J467" s="8"/>
      <c r="K467" s="8"/>
      <c r="L467" s="6">
        <v>2</v>
      </c>
      <c r="M467" s="6">
        <v>55</v>
      </c>
      <c r="N467" s="6">
        <v>110</v>
      </c>
      <c r="O467" s="8"/>
      <c r="P467" s="8"/>
      <c r="Q467" s="8"/>
      <c r="R467" s="8"/>
      <c r="S467" s="6">
        <v>77</v>
      </c>
      <c r="T467" s="6" t="s">
        <v>324</v>
      </c>
    </row>
    <row r="468" spans="1:20" ht="15" customHeight="1" x14ac:dyDescent="0.2">
      <c r="A468" s="6" t="s">
        <v>360</v>
      </c>
      <c r="B468" s="6" t="s">
        <v>170</v>
      </c>
      <c r="C468" s="6" t="s">
        <v>21</v>
      </c>
      <c r="D468" s="6">
        <v>1</v>
      </c>
      <c r="E468" s="8"/>
      <c r="F468" s="6" t="s">
        <v>212</v>
      </c>
      <c r="G468" s="6" t="s">
        <v>188</v>
      </c>
      <c r="H468" s="6" t="s">
        <v>181</v>
      </c>
      <c r="I468" s="6" t="s">
        <v>182</v>
      </c>
      <c r="J468" s="8"/>
      <c r="K468" s="8"/>
      <c r="L468" s="6">
        <v>1</v>
      </c>
      <c r="M468" s="6">
        <v>55</v>
      </c>
      <c r="N468" s="6">
        <v>55</v>
      </c>
      <c r="O468" s="8"/>
      <c r="P468" s="8"/>
      <c r="Q468" s="8"/>
      <c r="R468" s="8"/>
      <c r="S468" s="6">
        <v>78</v>
      </c>
      <c r="T468" s="6" t="s">
        <v>211</v>
      </c>
    </row>
    <row r="469" spans="1:20" ht="15" customHeight="1" x14ac:dyDescent="0.2">
      <c r="A469" s="6" t="s">
        <v>360</v>
      </c>
      <c r="B469" s="6" t="s">
        <v>170</v>
      </c>
      <c r="C469" s="6" t="s">
        <v>21</v>
      </c>
      <c r="D469" s="6">
        <v>1</v>
      </c>
      <c r="E469" s="8"/>
      <c r="F469" s="6" t="s">
        <v>212</v>
      </c>
      <c r="G469" s="6" t="s">
        <v>188</v>
      </c>
      <c r="H469" s="6" t="s">
        <v>181</v>
      </c>
      <c r="I469" s="6" t="s">
        <v>182</v>
      </c>
      <c r="J469" s="8"/>
      <c r="K469" s="8"/>
      <c r="L469" s="6">
        <v>1</v>
      </c>
      <c r="M469" s="6">
        <v>55</v>
      </c>
      <c r="N469" s="6">
        <v>55</v>
      </c>
      <c r="O469" s="8"/>
      <c r="P469" s="8"/>
      <c r="Q469" s="8"/>
      <c r="R469" s="8"/>
      <c r="S469" s="6">
        <v>80</v>
      </c>
      <c r="T469" s="6" t="s">
        <v>211</v>
      </c>
    </row>
    <row r="470" spans="1:20" ht="15" customHeight="1" x14ac:dyDescent="0.2">
      <c r="A470" s="6" t="s">
        <v>360</v>
      </c>
      <c r="B470" s="6" t="s">
        <v>170</v>
      </c>
      <c r="C470" s="6" t="s">
        <v>21</v>
      </c>
      <c r="D470" s="6">
        <v>1</v>
      </c>
      <c r="E470" s="8"/>
      <c r="F470" s="6" t="s">
        <v>353</v>
      </c>
      <c r="G470" s="6" t="s">
        <v>253</v>
      </c>
      <c r="H470" s="6" t="s">
        <v>181</v>
      </c>
      <c r="I470" s="6" t="s">
        <v>182</v>
      </c>
      <c r="J470" s="8"/>
      <c r="K470" s="8"/>
      <c r="L470" s="6">
        <v>5</v>
      </c>
      <c r="M470" s="6">
        <v>55</v>
      </c>
      <c r="N470" s="6">
        <v>275</v>
      </c>
      <c r="O470" s="8"/>
      <c r="P470" s="8"/>
      <c r="Q470" s="8"/>
      <c r="R470" s="8"/>
      <c r="S470" s="6">
        <v>82</v>
      </c>
      <c r="T470" s="6" t="s">
        <v>354</v>
      </c>
    </row>
    <row r="471" spans="1:20" ht="15" customHeight="1" x14ac:dyDescent="0.2">
      <c r="A471" s="6" t="s">
        <v>360</v>
      </c>
      <c r="B471" s="6" t="s">
        <v>170</v>
      </c>
      <c r="C471" s="6" t="s">
        <v>21</v>
      </c>
      <c r="D471" s="6">
        <v>1</v>
      </c>
      <c r="E471" s="8"/>
      <c r="F471" s="6" t="s">
        <v>366</v>
      </c>
      <c r="G471" s="6" t="s">
        <v>215</v>
      </c>
      <c r="H471" s="6" t="s">
        <v>181</v>
      </c>
      <c r="I471" s="6" t="s">
        <v>182</v>
      </c>
      <c r="J471" s="8"/>
      <c r="K471" s="8"/>
      <c r="L471" s="6">
        <v>1.5</v>
      </c>
      <c r="M471" s="6">
        <v>65</v>
      </c>
      <c r="N471" s="6">
        <v>97.5</v>
      </c>
      <c r="O471" s="8"/>
      <c r="P471" s="8"/>
      <c r="Q471" s="8"/>
      <c r="R471" s="8"/>
      <c r="S471" s="6">
        <v>84</v>
      </c>
      <c r="T471" s="6" t="s">
        <v>34</v>
      </c>
    </row>
    <row r="472" spans="1:20" ht="15" customHeight="1" x14ac:dyDescent="0.2">
      <c r="A472" s="6" t="s">
        <v>360</v>
      </c>
      <c r="B472" s="6" t="s">
        <v>170</v>
      </c>
      <c r="C472" s="6" t="s">
        <v>21</v>
      </c>
      <c r="D472" s="6">
        <v>1</v>
      </c>
      <c r="E472" s="8"/>
      <c r="F472" s="6" t="s">
        <v>230</v>
      </c>
      <c r="G472" s="6" t="s">
        <v>231</v>
      </c>
      <c r="H472" s="6" t="s">
        <v>219</v>
      </c>
      <c r="I472" s="6" t="s">
        <v>248</v>
      </c>
      <c r="J472" s="6">
        <v>0.04</v>
      </c>
      <c r="K472" s="6">
        <v>1.5</v>
      </c>
      <c r="L472" s="6">
        <v>0.06</v>
      </c>
      <c r="M472" s="6">
        <v>53.2</v>
      </c>
      <c r="N472" s="6">
        <v>3.1920000000000002</v>
      </c>
      <c r="O472" s="8"/>
      <c r="P472" s="8"/>
      <c r="Q472" s="8"/>
      <c r="R472" s="8"/>
      <c r="S472" s="6">
        <v>84</v>
      </c>
      <c r="T472" s="6" t="s">
        <v>272</v>
      </c>
    </row>
    <row r="473" spans="1:20" ht="15" customHeight="1" x14ac:dyDescent="0.2">
      <c r="A473" s="6" t="s">
        <v>360</v>
      </c>
      <c r="B473" s="6" t="s">
        <v>170</v>
      </c>
      <c r="C473" s="6" t="s">
        <v>21</v>
      </c>
      <c r="D473" s="6">
        <v>1</v>
      </c>
      <c r="E473" s="8"/>
      <c r="F473" s="6" t="s">
        <v>255</v>
      </c>
      <c r="G473" s="6" t="s">
        <v>218</v>
      </c>
      <c r="H473" s="6" t="s">
        <v>219</v>
      </c>
      <c r="I473" s="6" t="s">
        <v>282</v>
      </c>
      <c r="J473" s="6">
        <v>0.5</v>
      </c>
      <c r="K473" s="6">
        <v>1.5</v>
      </c>
      <c r="L473" s="6">
        <v>0.75</v>
      </c>
      <c r="M473" s="6">
        <v>40</v>
      </c>
      <c r="N473" s="6">
        <v>30</v>
      </c>
      <c r="O473" s="8"/>
      <c r="P473" s="8"/>
      <c r="Q473" s="8"/>
      <c r="R473" s="8"/>
      <c r="S473" s="6">
        <v>84</v>
      </c>
      <c r="T473" s="6" t="s">
        <v>291</v>
      </c>
    </row>
    <row r="474" spans="1:20" ht="15" customHeight="1" x14ac:dyDescent="0.2">
      <c r="A474" s="6" t="s">
        <v>360</v>
      </c>
      <c r="B474" s="6" t="s">
        <v>170</v>
      </c>
      <c r="C474" s="6" t="s">
        <v>21</v>
      </c>
      <c r="D474" s="6">
        <v>1</v>
      </c>
      <c r="E474" s="8"/>
      <c r="F474" s="6" t="s">
        <v>246</v>
      </c>
      <c r="G474" s="6" t="s">
        <v>218</v>
      </c>
      <c r="H474" s="6" t="s">
        <v>219</v>
      </c>
      <c r="I474" s="6" t="s">
        <v>248</v>
      </c>
      <c r="J474" s="6">
        <v>0.25</v>
      </c>
      <c r="K474" s="6">
        <v>1.5</v>
      </c>
      <c r="L474" s="6">
        <v>0.375</v>
      </c>
      <c r="M474" s="6">
        <v>62.5</v>
      </c>
      <c r="N474" s="6">
        <v>23.437999999999999</v>
      </c>
      <c r="O474" s="8"/>
      <c r="P474" s="8"/>
      <c r="Q474" s="8"/>
      <c r="R474" s="8"/>
      <c r="S474" s="6">
        <v>84</v>
      </c>
      <c r="T474" s="6" t="s">
        <v>288</v>
      </c>
    </row>
    <row r="475" spans="1:20" ht="15" customHeight="1" x14ac:dyDescent="0.2">
      <c r="A475" s="6" t="s">
        <v>360</v>
      </c>
      <c r="B475" s="6" t="s">
        <v>170</v>
      </c>
      <c r="C475" s="6" t="s">
        <v>21</v>
      </c>
      <c r="D475" s="6">
        <v>1</v>
      </c>
      <c r="E475" s="8"/>
      <c r="F475" s="6" t="s">
        <v>286</v>
      </c>
      <c r="G475" s="6" t="s">
        <v>239</v>
      </c>
      <c r="H475" s="6" t="s">
        <v>219</v>
      </c>
      <c r="I475" s="6" t="s">
        <v>282</v>
      </c>
      <c r="J475" s="6">
        <v>3</v>
      </c>
      <c r="K475" s="6">
        <v>1.5</v>
      </c>
      <c r="L475" s="6">
        <v>4.5</v>
      </c>
      <c r="M475" s="6">
        <v>22.715</v>
      </c>
      <c r="N475" s="6">
        <v>102.218</v>
      </c>
      <c r="O475" s="8"/>
      <c r="P475" s="8"/>
      <c r="Q475" s="8"/>
      <c r="R475" s="8"/>
      <c r="S475" s="6">
        <v>84</v>
      </c>
      <c r="T475" s="6" t="s">
        <v>369</v>
      </c>
    </row>
    <row r="476" spans="1:20" ht="15" customHeight="1" x14ac:dyDescent="0.2">
      <c r="A476" s="6" t="s">
        <v>360</v>
      </c>
      <c r="B476" s="6" t="s">
        <v>170</v>
      </c>
      <c r="C476" s="6" t="s">
        <v>21</v>
      </c>
      <c r="D476" s="6">
        <v>1</v>
      </c>
      <c r="E476" s="8"/>
      <c r="F476" s="6" t="s">
        <v>295</v>
      </c>
      <c r="G476" s="6" t="s">
        <v>244</v>
      </c>
      <c r="H476" s="6" t="s">
        <v>219</v>
      </c>
      <c r="I476" s="6" t="s">
        <v>248</v>
      </c>
      <c r="J476" s="6">
        <v>0.5</v>
      </c>
      <c r="K476" s="6">
        <v>1.5</v>
      </c>
      <c r="L476" s="6">
        <v>0.75</v>
      </c>
      <c r="M476" s="6">
        <v>77.31</v>
      </c>
      <c r="N476" s="6">
        <v>57.982999999999997</v>
      </c>
      <c r="O476" s="8"/>
      <c r="P476" s="8"/>
      <c r="Q476" s="8"/>
      <c r="R476" s="8"/>
      <c r="S476" s="6">
        <v>84</v>
      </c>
      <c r="T476" s="6" t="s">
        <v>296</v>
      </c>
    </row>
    <row r="477" spans="1:20" ht="15" customHeight="1" x14ac:dyDescent="0.2">
      <c r="A477" s="6" t="s">
        <v>360</v>
      </c>
      <c r="B477" s="6" t="s">
        <v>170</v>
      </c>
      <c r="C477" s="6" t="s">
        <v>21</v>
      </c>
      <c r="D477" s="6">
        <v>1</v>
      </c>
      <c r="E477" s="8"/>
      <c r="F477" s="6" t="s">
        <v>366</v>
      </c>
      <c r="G477" s="6" t="s">
        <v>215</v>
      </c>
      <c r="H477" s="6" t="s">
        <v>181</v>
      </c>
      <c r="I477" s="6" t="s">
        <v>182</v>
      </c>
      <c r="J477" s="8"/>
      <c r="K477" s="8"/>
      <c r="L477" s="6">
        <v>1.5</v>
      </c>
      <c r="M477" s="6">
        <v>65</v>
      </c>
      <c r="N477" s="6">
        <v>97.5</v>
      </c>
      <c r="O477" s="8"/>
      <c r="P477" s="8"/>
      <c r="Q477" s="8"/>
      <c r="R477" s="8"/>
      <c r="S477" s="6">
        <v>104</v>
      </c>
      <c r="T477" s="6" t="s">
        <v>34</v>
      </c>
    </row>
    <row r="478" spans="1:20" ht="15" customHeight="1" x14ac:dyDescent="0.2">
      <c r="A478" s="6" t="s">
        <v>360</v>
      </c>
      <c r="B478" s="6" t="s">
        <v>170</v>
      </c>
      <c r="C478" s="6" t="s">
        <v>21</v>
      </c>
      <c r="D478" s="6">
        <v>1</v>
      </c>
      <c r="E478" s="8"/>
      <c r="F478" s="6" t="s">
        <v>230</v>
      </c>
      <c r="G478" s="6" t="s">
        <v>231</v>
      </c>
      <c r="H478" s="6" t="s">
        <v>219</v>
      </c>
      <c r="I478" s="6" t="s">
        <v>248</v>
      </c>
      <c r="J478" s="6">
        <v>0.04</v>
      </c>
      <c r="K478" s="6">
        <v>1.5</v>
      </c>
      <c r="L478" s="6">
        <v>0.06</v>
      </c>
      <c r="M478" s="6">
        <v>53.2</v>
      </c>
      <c r="N478" s="6">
        <v>3.1920000000000002</v>
      </c>
      <c r="O478" s="8"/>
      <c r="P478" s="8"/>
      <c r="Q478" s="8"/>
      <c r="R478" s="8"/>
      <c r="S478" s="6">
        <v>104</v>
      </c>
      <c r="T478" s="6" t="s">
        <v>272</v>
      </c>
    </row>
    <row r="479" spans="1:20" ht="15" customHeight="1" x14ac:dyDescent="0.2">
      <c r="A479" s="6" t="s">
        <v>360</v>
      </c>
      <c r="B479" s="6" t="s">
        <v>170</v>
      </c>
      <c r="C479" s="6" t="s">
        <v>21</v>
      </c>
      <c r="D479" s="6">
        <v>1</v>
      </c>
      <c r="E479" s="8"/>
      <c r="F479" s="6" t="s">
        <v>241</v>
      </c>
      <c r="G479" s="6" t="s">
        <v>218</v>
      </c>
      <c r="H479" s="6" t="s">
        <v>219</v>
      </c>
      <c r="I479" s="6" t="s">
        <v>202</v>
      </c>
      <c r="J479" s="6">
        <v>0.2</v>
      </c>
      <c r="K479" s="6">
        <v>1.5</v>
      </c>
      <c r="L479" s="6">
        <v>0.3</v>
      </c>
      <c r="M479" s="6">
        <v>64</v>
      </c>
      <c r="N479" s="6">
        <v>19.2</v>
      </c>
      <c r="O479" s="8"/>
      <c r="P479" s="8"/>
      <c r="Q479" s="8"/>
      <c r="R479" s="8"/>
      <c r="S479" s="6">
        <v>104</v>
      </c>
      <c r="T479" s="6" t="s">
        <v>367</v>
      </c>
    </row>
    <row r="480" spans="1:20" ht="15" customHeight="1" x14ac:dyDescent="0.2">
      <c r="A480" s="6" t="s">
        <v>360</v>
      </c>
      <c r="B480" s="6" t="s">
        <v>170</v>
      </c>
      <c r="C480" s="6" t="s">
        <v>21</v>
      </c>
      <c r="D480" s="6">
        <v>1</v>
      </c>
      <c r="E480" s="8"/>
      <c r="F480" s="6" t="s">
        <v>286</v>
      </c>
      <c r="G480" s="6" t="s">
        <v>239</v>
      </c>
      <c r="H480" s="6" t="s">
        <v>219</v>
      </c>
      <c r="I480" s="6" t="s">
        <v>202</v>
      </c>
      <c r="J480" s="6">
        <v>3</v>
      </c>
      <c r="K480" s="6">
        <v>1.5</v>
      </c>
      <c r="L480" s="6">
        <v>4.5</v>
      </c>
      <c r="M480" s="6">
        <v>22.715</v>
      </c>
      <c r="N480" s="6">
        <v>102.218</v>
      </c>
      <c r="O480" s="8"/>
      <c r="P480" s="8"/>
      <c r="Q480" s="8"/>
      <c r="R480" s="8"/>
      <c r="S480" s="6">
        <v>104</v>
      </c>
      <c r="T480" s="6" t="s">
        <v>369</v>
      </c>
    </row>
    <row r="481" spans="1:20" ht="15" customHeight="1" x14ac:dyDescent="0.2">
      <c r="A481" s="6" t="s">
        <v>360</v>
      </c>
      <c r="B481" s="6" t="s">
        <v>170</v>
      </c>
      <c r="C481" s="6" t="s">
        <v>21</v>
      </c>
      <c r="D481" s="6">
        <v>1</v>
      </c>
      <c r="E481" s="8"/>
      <c r="F481" s="6" t="s">
        <v>276</v>
      </c>
      <c r="G481" s="6" t="s">
        <v>218</v>
      </c>
      <c r="H481" s="6" t="s">
        <v>219</v>
      </c>
      <c r="I481" s="6" t="s">
        <v>248</v>
      </c>
      <c r="J481" s="6">
        <v>0.2</v>
      </c>
      <c r="K481" s="6">
        <v>1.5</v>
      </c>
      <c r="L481" s="6">
        <v>0.3</v>
      </c>
      <c r="M481" s="6">
        <v>61.12</v>
      </c>
      <c r="N481" s="6">
        <v>18.335999999999999</v>
      </c>
      <c r="O481" s="8"/>
      <c r="P481" s="8"/>
      <c r="Q481" s="8"/>
      <c r="R481" s="8"/>
      <c r="S481" s="6">
        <v>104</v>
      </c>
      <c r="T481" s="6" t="s">
        <v>368</v>
      </c>
    </row>
    <row r="482" spans="1:20" ht="15" customHeight="1" x14ac:dyDescent="0.2">
      <c r="A482" s="6" t="s">
        <v>360</v>
      </c>
      <c r="B482" s="6" t="s">
        <v>170</v>
      </c>
      <c r="C482" s="6" t="s">
        <v>21</v>
      </c>
      <c r="D482" s="6">
        <v>1</v>
      </c>
      <c r="E482" s="8"/>
      <c r="F482" s="6" t="s">
        <v>212</v>
      </c>
      <c r="G482" s="6" t="s">
        <v>188</v>
      </c>
      <c r="H482" s="6" t="s">
        <v>181</v>
      </c>
      <c r="I482" s="6" t="s">
        <v>182</v>
      </c>
      <c r="J482" s="8"/>
      <c r="K482" s="8"/>
      <c r="L482" s="6">
        <v>1</v>
      </c>
      <c r="M482" s="6">
        <v>55</v>
      </c>
      <c r="N482" s="6">
        <v>55</v>
      </c>
      <c r="O482" s="8"/>
      <c r="P482" s="8"/>
      <c r="Q482" s="8"/>
      <c r="R482" s="8"/>
      <c r="S482" s="6">
        <v>135</v>
      </c>
      <c r="T482" s="6" t="s">
        <v>211</v>
      </c>
    </row>
    <row r="483" spans="1:20" ht="15" customHeight="1" x14ac:dyDescent="0.2">
      <c r="A483" s="6" t="s">
        <v>360</v>
      </c>
      <c r="B483" s="6" t="s">
        <v>170</v>
      </c>
      <c r="C483" s="6" t="s">
        <v>21</v>
      </c>
      <c r="D483" s="6">
        <v>1</v>
      </c>
      <c r="E483" s="8"/>
      <c r="F483" s="6" t="s">
        <v>370</v>
      </c>
      <c r="G483" s="6" t="s">
        <v>307</v>
      </c>
      <c r="H483" s="6" t="s">
        <v>181</v>
      </c>
      <c r="I483" s="6" t="s">
        <v>182</v>
      </c>
      <c r="J483" s="8"/>
      <c r="K483" s="8"/>
      <c r="L483" s="6">
        <v>1</v>
      </c>
      <c r="M483" s="6">
        <v>80</v>
      </c>
      <c r="N483" s="6">
        <v>80</v>
      </c>
      <c r="O483" s="8"/>
      <c r="P483" s="8"/>
      <c r="Q483" s="8"/>
      <c r="R483" s="8"/>
      <c r="S483" s="6">
        <v>150</v>
      </c>
      <c r="T483" s="6" t="s">
        <v>216</v>
      </c>
    </row>
    <row r="484" spans="1:20" ht="15" customHeight="1" x14ac:dyDescent="0.2">
      <c r="A484" s="6" t="s">
        <v>360</v>
      </c>
      <c r="B484" s="6" t="s">
        <v>170</v>
      </c>
      <c r="C484" s="6" t="s">
        <v>21</v>
      </c>
      <c r="D484" s="6">
        <v>1</v>
      </c>
      <c r="E484" s="8"/>
      <c r="F484" s="6" t="s">
        <v>371</v>
      </c>
      <c r="G484" s="6" t="s">
        <v>307</v>
      </c>
      <c r="H484" s="6" t="s">
        <v>181</v>
      </c>
      <c r="I484" s="6" t="s">
        <v>182</v>
      </c>
      <c r="J484" s="8"/>
      <c r="K484" s="8"/>
      <c r="L484" s="6">
        <v>8</v>
      </c>
      <c r="M484" s="6">
        <v>70</v>
      </c>
      <c r="N484" s="6">
        <v>560</v>
      </c>
      <c r="O484" s="8"/>
      <c r="P484" s="8"/>
      <c r="Q484" s="8"/>
      <c r="R484" s="8"/>
      <c r="S484" s="6">
        <v>150</v>
      </c>
      <c r="T484" s="6" t="s">
        <v>308</v>
      </c>
    </row>
    <row r="485" spans="1:20" ht="15" customHeight="1" x14ac:dyDescent="0.2">
      <c r="A485" s="6" t="s">
        <v>360</v>
      </c>
      <c r="B485" s="6" t="s">
        <v>170</v>
      </c>
      <c r="C485" s="6" t="s">
        <v>21</v>
      </c>
      <c r="D485" s="6">
        <v>1</v>
      </c>
      <c r="E485" s="8"/>
      <c r="F485" s="6" t="s">
        <v>309</v>
      </c>
      <c r="G485" s="6" t="s">
        <v>307</v>
      </c>
      <c r="H485" s="6" t="s">
        <v>181</v>
      </c>
      <c r="I485" s="6" t="s">
        <v>182</v>
      </c>
      <c r="J485" s="8"/>
      <c r="K485" s="8"/>
      <c r="L485" s="6">
        <v>420</v>
      </c>
      <c r="M485" s="6">
        <v>5</v>
      </c>
      <c r="N485" s="6">
        <v>2100</v>
      </c>
      <c r="O485" s="8"/>
      <c r="P485" s="8"/>
      <c r="Q485" s="8"/>
      <c r="R485" s="8"/>
      <c r="S485" s="6">
        <v>150</v>
      </c>
      <c r="T485" s="6" t="s">
        <v>372</v>
      </c>
    </row>
    <row r="486" spans="1:20" ht="15" customHeight="1" x14ac:dyDescent="0.2">
      <c r="A486" s="6" t="s">
        <v>360</v>
      </c>
      <c r="B486" s="6" t="s">
        <v>170</v>
      </c>
      <c r="C486" s="6" t="s">
        <v>21</v>
      </c>
      <c r="D486" s="6">
        <v>1</v>
      </c>
      <c r="E486" s="8"/>
      <c r="F486" s="6" t="s">
        <v>315</v>
      </c>
      <c r="G486" s="6" t="s">
        <v>307</v>
      </c>
      <c r="H486" s="6" t="s">
        <v>316</v>
      </c>
      <c r="I486" s="6" t="s">
        <v>182</v>
      </c>
      <c r="J486" s="8"/>
      <c r="K486" s="8"/>
      <c r="L486" s="6">
        <v>420</v>
      </c>
      <c r="M486" s="6">
        <v>0.75</v>
      </c>
      <c r="N486" s="6">
        <v>315</v>
      </c>
      <c r="O486" s="8"/>
      <c r="P486" s="8"/>
      <c r="Q486" s="8"/>
      <c r="R486" s="8"/>
      <c r="S486" s="6">
        <v>150</v>
      </c>
      <c r="T486" s="6" t="s">
        <v>317</v>
      </c>
    </row>
    <row r="487" spans="1:20" ht="15" customHeight="1" x14ac:dyDescent="0.2">
      <c r="A487" s="6" t="s">
        <v>360</v>
      </c>
      <c r="B487" s="6" t="s">
        <v>170</v>
      </c>
      <c r="C487" s="6" t="s">
        <v>21</v>
      </c>
      <c r="D487" s="6">
        <v>1</v>
      </c>
      <c r="E487" s="8"/>
      <c r="F487" s="6" t="s">
        <v>373</v>
      </c>
      <c r="G487" s="6" t="s">
        <v>374</v>
      </c>
      <c r="H487" s="6" t="s">
        <v>181</v>
      </c>
      <c r="I487" s="6" t="s">
        <v>182</v>
      </c>
      <c r="J487" s="8"/>
      <c r="K487" s="8"/>
      <c r="L487" s="6">
        <v>2</v>
      </c>
      <c r="M487" s="6">
        <v>55</v>
      </c>
      <c r="N487" s="6">
        <v>110</v>
      </c>
      <c r="O487" s="8"/>
      <c r="P487" s="8"/>
      <c r="Q487" s="8"/>
      <c r="R487" s="8"/>
      <c r="S487" s="6">
        <v>150</v>
      </c>
      <c r="T487" s="6" t="s">
        <v>324</v>
      </c>
    </row>
    <row r="488" spans="1:20" ht="15" customHeight="1" x14ac:dyDescent="0.2">
      <c r="A488" s="6" t="s">
        <v>360</v>
      </c>
      <c r="B488" s="6" t="s">
        <v>170</v>
      </c>
      <c r="C488" s="6" t="s">
        <v>21</v>
      </c>
      <c r="D488" s="6">
        <v>1</v>
      </c>
      <c r="E488" s="8"/>
      <c r="F488" s="6" t="s">
        <v>385</v>
      </c>
      <c r="G488" s="6" t="s">
        <v>312</v>
      </c>
      <c r="H488" s="6" t="s">
        <v>178</v>
      </c>
      <c r="I488" s="6" t="s">
        <v>182</v>
      </c>
      <c r="J488" s="8"/>
      <c r="K488" s="8"/>
      <c r="L488" s="6">
        <v>1</v>
      </c>
      <c r="M488" s="6">
        <v>500</v>
      </c>
      <c r="N488" s="6">
        <v>500</v>
      </c>
      <c r="O488" s="8"/>
      <c r="P488" s="8"/>
      <c r="Q488" s="8"/>
      <c r="R488" s="8"/>
      <c r="S488" s="6">
        <v>150</v>
      </c>
      <c r="T488" s="6" t="s">
        <v>314</v>
      </c>
    </row>
  </sheetData>
  <autoFilter ref="A1:U488" xr:uid="{00000000-0009-0000-0000-000000000000}"/>
  <mergeCells count="19">
    <mergeCell ref="B1:B2"/>
    <mergeCell ref="L1:L2"/>
    <mergeCell ref="N1:N2"/>
    <mergeCell ref="T1:T2"/>
    <mergeCell ref="I1:I2"/>
    <mergeCell ref="S1:S2"/>
    <mergeCell ref="C1:C2"/>
    <mergeCell ref="E1:E2"/>
    <mergeCell ref="K1:K2"/>
    <mergeCell ref="M1:M2"/>
    <mergeCell ref="O1:O2"/>
    <mergeCell ref="U1:U2"/>
    <mergeCell ref="D1:D2"/>
    <mergeCell ref="F1:F2"/>
    <mergeCell ref="H1:H2"/>
    <mergeCell ref="J1:J2"/>
    <mergeCell ref="P1:P2"/>
    <mergeCell ref="R1:R2"/>
    <mergeCell ref="Q1:Q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/>
  </sheetPr>
  <dimension ref="B1:AC1832"/>
  <sheetViews>
    <sheetView zoomScaleNormal="100" workbookViewId="0">
      <pane ySplit="3" topLeftCell="A1801" activePane="bottomLeft" state="frozen"/>
      <selection pane="bottomLeft" activeCell="M500" sqref="M500"/>
    </sheetView>
  </sheetViews>
  <sheetFormatPr baseColWidth="10" defaultColWidth="11.1640625" defaultRowHeight="15" customHeight="1" x14ac:dyDescent="0.15"/>
  <cols>
    <col min="2" max="2" width="5.33203125" customWidth="1"/>
    <col min="3" max="3" width="14.5" customWidth="1"/>
    <col min="4" max="4" width="16.5" customWidth="1"/>
    <col min="5" max="5" width="4.5" customWidth="1"/>
    <col min="6" max="6" width="18.1640625" customWidth="1"/>
    <col min="7" max="7" width="17.5" customWidth="1"/>
    <col min="8" max="8" width="30.5" customWidth="1"/>
    <col min="9" max="9" width="4.1640625" customWidth="1"/>
    <col min="10" max="10" width="18.83203125" customWidth="1"/>
    <col min="11" max="11" width="22.1640625" customWidth="1"/>
    <col min="12" max="12" width="9.6640625" customWidth="1"/>
    <col min="13" max="13" width="25.5" customWidth="1"/>
    <col min="14" max="14" width="13.5" customWidth="1"/>
    <col min="15" max="15" width="6.83203125" customWidth="1"/>
    <col min="16" max="16" width="2.5" customWidth="1"/>
    <col min="17" max="17" width="4.5" customWidth="1"/>
    <col min="18" max="19" width="7.83203125" customWidth="1"/>
    <col min="20" max="20" width="7.1640625" customWidth="1"/>
    <col min="21" max="21" width="10.1640625" customWidth="1"/>
    <col min="22" max="22" width="16.33203125" customWidth="1"/>
    <col min="23" max="23" width="15.5" customWidth="1"/>
    <col min="24" max="24" width="3.83203125" customWidth="1"/>
    <col min="25" max="25" width="18.1640625" customWidth="1"/>
    <col min="26" max="26" width="6.6640625" customWidth="1"/>
    <col min="27" max="27" width="16.83203125" customWidth="1"/>
    <col min="28" max="28" width="10.1640625" customWidth="1"/>
  </cols>
  <sheetData>
    <row r="1" spans="2:29" ht="15" customHeight="1" x14ac:dyDescent="0.15">
      <c r="B1" s="11">
        <v>1</v>
      </c>
      <c r="C1" s="11">
        <v>2</v>
      </c>
      <c r="D1" s="11">
        <v>3</v>
      </c>
      <c r="E1" s="11">
        <v>4</v>
      </c>
      <c r="F1" s="11">
        <v>5</v>
      </c>
      <c r="G1" s="11">
        <v>6</v>
      </c>
      <c r="H1" s="11">
        <v>7</v>
      </c>
      <c r="I1" s="11">
        <v>8</v>
      </c>
      <c r="J1" s="11">
        <v>9</v>
      </c>
      <c r="K1" s="11">
        <v>10</v>
      </c>
      <c r="L1" s="11">
        <v>11</v>
      </c>
      <c r="M1" s="11">
        <v>12</v>
      </c>
      <c r="N1" s="11">
        <v>13</v>
      </c>
      <c r="O1" s="11">
        <v>14</v>
      </c>
      <c r="P1" s="11">
        <v>15</v>
      </c>
      <c r="Q1" s="11">
        <v>16</v>
      </c>
      <c r="R1" s="11">
        <v>17</v>
      </c>
      <c r="S1" s="11">
        <v>18</v>
      </c>
      <c r="T1" s="11">
        <v>19</v>
      </c>
      <c r="U1" s="11">
        <v>20</v>
      </c>
      <c r="V1" s="11">
        <v>21</v>
      </c>
      <c r="W1" s="11">
        <v>22</v>
      </c>
      <c r="X1" s="11">
        <v>23</v>
      </c>
      <c r="Y1" s="11">
        <v>24</v>
      </c>
      <c r="Z1" s="11">
        <v>26</v>
      </c>
      <c r="AA1" s="11">
        <v>27</v>
      </c>
      <c r="AB1" s="11">
        <v>28</v>
      </c>
    </row>
    <row r="2" spans="2:29" ht="12.75" customHeight="1" x14ac:dyDescent="0.15"/>
    <row r="3" spans="2:29" ht="15" customHeight="1" x14ac:dyDescent="0.15">
      <c r="B3" s="12" t="str">
        <f ca="1">IFERROR(__xludf.dummyfunction("QUERY(
  IMPORTRANGE(
    ""https://docs.google.com/spreadsheets/d/13gxGsIWFIyTj8LUpI1PlTs7P7R2q3ZEVdB1wRpJoGCw/edit"",
    ""'REGISTRO DE V.S'!A2:AB10000""
  ))"),"SERIE")</f>
        <v>SERIE</v>
      </c>
      <c r="C3" s="12" t="str">
        <f ca="1">IFERROR(__xludf.dummyfunction("""COMPUTED_VALUE"""),"ESTADO ALMACEN")</f>
        <v>ESTADO ALMACEN</v>
      </c>
      <c r="D3" s="12" t="str">
        <f ca="1">IFERROR(__xludf.dummyfunction("""COMPUTED_VALUE"""),"VALE DE APLICACIÓN")</f>
        <v>VALE DE APLICACIÓN</v>
      </c>
      <c r="E3" s="12" t="str">
        <f ca="1">IFERROR(__xludf.dummyfunction("""COMPUTED_VALUE"""),"ITEM")</f>
        <v>ITEM</v>
      </c>
      <c r="F3" s="12" t="str">
        <f ca="1">IFERROR(__xludf.dummyfunction("""COMPUTED_VALUE"""),"TIPO")</f>
        <v>TIPO</v>
      </c>
      <c r="G3" s="12" t="str">
        <f ca="1">IFERROR(__xludf.dummyfunction("""COMPUTED_VALUE"""),"CLASE")</f>
        <v>CLASE</v>
      </c>
      <c r="H3" s="12" t="str">
        <f ca="1">IFERROR(__xludf.dummyfunction("""COMPUTED_VALUE"""),"DETALLE")</f>
        <v>DETALLE</v>
      </c>
      <c r="I3" s="12" t="str">
        <f ca="1">IFERROR(__xludf.dummyfunction("""COMPUTED_VALUE"""),"SEMANA")</f>
        <v>SEMANA</v>
      </c>
      <c r="J3" s="12" t="str">
        <f ca="1">IFERROR(__xludf.dummyfunction("""COMPUTED_VALUE"""),"FECHA EMISION")</f>
        <v>FECHA EMISION</v>
      </c>
      <c r="K3" s="12" t="str">
        <f ca="1">IFERROR(__xludf.dummyfunction("""COMPUTED_VALUE"""),"FECHA APLICACION")</f>
        <v>FECHA APLICACION</v>
      </c>
      <c r="L3" s="12" t="str">
        <f ca="1">IFERROR(__xludf.dummyfunction("""COMPUTED_VALUE"""),"AUXILIAR")</f>
        <v>AUXILIAR</v>
      </c>
      <c r="M3" s="12" t="str">
        <f ca="1">IFERROR(__xludf.dummyfunction("""COMPUTED_VALUE"""),"NOMBRE COMERCIAL")</f>
        <v>NOMBRE COMERCIAL</v>
      </c>
      <c r="N3" s="12" t="str">
        <f ca="1">IFERROR(__xludf.dummyfunction("""COMPUTED_VALUE"""),"DIAS DE CULTIVO")</f>
        <v>DIAS DE CULTIVO</v>
      </c>
      <c r="O3" s="12" t="str">
        <f ca="1">IFERROR(__xludf.dummyfunction("""COMPUTED_VALUE"""),"UM")</f>
        <v>UM</v>
      </c>
      <c r="P3" s="12" t="str">
        <f ca="1">IFERROR(__xludf.dummyfunction("""COMPUTED_VALUE"""),"CILINDRO")</f>
        <v>CILINDRO</v>
      </c>
      <c r="Q3" s="12" t="str">
        <f ca="1">IFERROR(__xludf.dummyfunction("""COMPUTED_VALUE"""),"CIL. X HA")</f>
        <v>CIL. X HA</v>
      </c>
      <c r="R3" s="12" t="str">
        <f ca="1">IFERROR(__xludf.dummyfunction("""COMPUTED_VALUE"""),"DOSIS POR CILINDRO")</f>
        <v>DOSIS POR CILINDRO</v>
      </c>
      <c r="S3" s="12" t="str">
        <f ca="1">IFERROR(__xludf.dummyfunction("""COMPUTED_VALUE"""),"CANTIDAD")</f>
        <v>CANTIDAD</v>
      </c>
      <c r="T3" s="12" t="str">
        <f ca="1">IFERROR(__xludf.dummyfunction("""COMPUTED_VALUE"""),"CANTIDAD x Ha")</f>
        <v>CANTIDAD x Ha</v>
      </c>
      <c r="U3" s="12" t="str">
        <f ca="1">IFERROR(__xludf.dummyfunction("""COMPUTED_VALUE"""),"CODIGO")</f>
        <v>CODIGO</v>
      </c>
      <c r="V3" s="12" t="str">
        <f ca="1">IFERROR(__xludf.dummyfunction("""COMPUTED_VALUE"""),"PARCELA")</f>
        <v>PARCELA</v>
      </c>
      <c r="W3" s="12" t="str">
        <f ca="1">IFERROR(__xludf.dummyfunction("""COMPUTED_VALUE"""),"CULTIVO")</f>
        <v>CULTIVO</v>
      </c>
      <c r="X3" s="12" t="str">
        <f ca="1">IFERROR(__xludf.dummyfunction("""COMPUTED_VALUE"""),"HA")</f>
        <v>HA</v>
      </c>
      <c r="Y3" s="12" t="str">
        <f ca="1">IFERROR(__xludf.dummyfunction("""COMPUTED_VALUE"""),"MODO DE APLICACIÓN")</f>
        <v>MODO DE APLICACIÓN</v>
      </c>
      <c r="Z3" s="12" t="str">
        <f ca="1">IFERROR(__xludf.dummyfunction("""COMPUTED_VALUE"""),"COSTO UNITARIO")</f>
        <v>COSTO UNITARIO</v>
      </c>
      <c r="AA3" s="13" t="str">
        <f ca="1">IFERROR(__xludf.dummyfunction("""COMPUTED_VALUE"""),"COSTO TOTAL")</f>
        <v>COSTO TOTAL</v>
      </c>
      <c r="AB3" s="12" t="str">
        <f ca="1">IFERROR(__xludf.dummyfunction("""COMPUTED_VALUE"""),"COSTO X HA")</f>
        <v>COSTO X HA</v>
      </c>
      <c r="AC3" s="12"/>
    </row>
    <row r="4" spans="2:29" ht="12.75" customHeight="1" x14ac:dyDescent="0.15">
      <c r="B4" s="14">
        <v>4</v>
      </c>
      <c r="C4" s="11" t="s">
        <v>386</v>
      </c>
      <c r="D4" s="11" t="s">
        <v>387</v>
      </c>
      <c r="E4" s="11">
        <v>1</v>
      </c>
      <c r="F4" s="11" t="s">
        <v>219</v>
      </c>
      <c r="G4" s="11" t="s">
        <v>244</v>
      </c>
      <c r="H4" s="11" t="s">
        <v>388</v>
      </c>
      <c r="I4" s="11">
        <v>2</v>
      </c>
      <c r="J4" s="15">
        <v>45665</v>
      </c>
      <c r="K4" s="15">
        <v>45665</v>
      </c>
      <c r="L4" s="11" t="s">
        <v>389</v>
      </c>
      <c r="M4" s="11" t="s">
        <v>390</v>
      </c>
      <c r="N4" s="16"/>
      <c r="O4" s="11" t="s">
        <v>220</v>
      </c>
      <c r="P4" s="17">
        <v>1</v>
      </c>
      <c r="Q4" s="18"/>
      <c r="R4" s="19">
        <v>4.5750000000000002</v>
      </c>
      <c r="S4" s="19">
        <v>4.5750000000000002</v>
      </c>
      <c r="T4" s="18"/>
      <c r="U4" s="11" t="s">
        <v>391</v>
      </c>
      <c r="V4" s="11" t="s">
        <v>392</v>
      </c>
      <c r="W4" s="11" t="s">
        <v>392</v>
      </c>
      <c r="X4" s="20"/>
      <c r="Y4" s="11" t="s">
        <v>393</v>
      </c>
      <c r="Z4" s="16"/>
      <c r="AA4" s="16"/>
      <c r="AB4" s="16">
        <v>0</v>
      </c>
      <c r="AC4">
        <v>0</v>
      </c>
    </row>
    <row r="5" spans="2:29" ht="12.75" customHeight="1" x14ac:dyDescent="0.15">
      <c r="B5" s="14">
        <v>4</v>
      </c>
      <c r="C5" s="11" t="s">
        <v>386</v>
      </c>
      <c r="D5" s="11" t="s">
        <v>387</v>
      </c>
      <c r="E5" s="11">
        <v>2</v>
      </c>
      <c r="F5" s="11" t="s">
        <v>219</v>
      </c>
      <c r="G5" s="11" t="s">
        <v>218</v>
      </c>
      <c r="H5" s="11" t="s">
        <v>394</v>
      </c>
      <c r="I5" s="11">
        <v>2</v>
      </c>
      <c r="J5" s="15">
        <v>45665</v>
      </c>
      <c r="K5" s="15">
        <v>45665</v>
      </c>
      <c r="L5" s="11" t="s">
        <v>395</v>
      </c>
      <c r="M5" s="11" t="s">
        <v>396</v>
      </c>
      <c r="N5" s="16"/>
      <c r="O5" s="11" t="s">
        <v>220</v>
      </c>
      <c r="P5" s="17">
        <v>1</v>
      </c>
      <c r="Q5" s="18"/>
      <c r="R5" s="19">
        <v>1.4999999999999999E-2</v>
      </c>
      <c r="S5" s="19">
        <v>1.4999999999999999E-2</v>
      </c>
      <c r="T5" s="18"/>
      <c r="U5" s="11" t="s">
        <v>391</v>
      </c>
      <c r="V5" s="11" t="s">
        <v>392</v>
      </c>
      <c r="W5" s="11" t="s">
        <v>392</v>
      </c>
      <c r="X5" s="20"/>
      <c r="Y5" s="11" t="s">
        <v>393</v>
      </c>
      <c r="Z5" s="16"/>
      <c r="AA5" s="16">
        <v>784.7</v>
      </c>
      <c r="AB5" s="16">
        <v>11.77</v>
      </c>
      <c r="AC5">
        <v>0</v>
      </c>
    </row>
    <row r="6" spans="2:29" ht="12.75" customHeight="1" x14ac:dyDescent="0.15">
      <c r="B6" s="14">
        <v>4</v>
      </c>
      <c r="C6" s="11" t="s">
        <v>386</v>
      </c>
      <c r="D6" s="11" t="s">
        <v>387</v>
      </c>
      <c r="E6" s="11">
        <v>3</v>
      </c>
      <c r="F6" s="11" t="s">
        <v>219</v>
      </c>
      <c r="G6" s="11" t="s">
        <v>218</v>
      </c>
      <c r="H6" s="11" t="s">
        <v>397</v>
      </c>
      <c r="I6" s="11">
        <v>2</v>
      </c>
      <c r="J6" s="15">
        <v>45665</v>
      </c>
      <c r="K6" s="15">
        <v>45665</v>
      </c>
      <c r="L6" s="11" t="s">
        <v>398</v>
      </c>
      <c r="M6" s="11" t="s">
        <v>399</v>
      </c>
      <c r="N6" s="16"/>
      <c r="O6" s="11" t="s">
        <v>220</v>
      </c>
      <c r="P6" s="17">
        <v>1</v>
      </c>
      <c r="Q6" s="18"/>
      <c r="R6" s="19">
        <v>0.126</v>
      </c>
      <c r="S6" s="19">
        <v>0.126</v>
      </c>
      <c r="T6" s="18"/>
      <c r="U6" s="11" t="s">
        <v>391</v>
      </c>
      <c r="V6" s="11" t="s">
        <v>392</v>
      </c>
      <c r="W6" s="11" t="s">
        <v>392</v>
      </c>
      <c r="X6" s="20"/>
      <c r="Y6" s="11" t="s">
        <v>393</v>
      </c>
      <c r="Z6" s="16"/>
      <c r="AA6" s="16">
        <v>719.5</v>
      </c>
      <c r="AB6" s="16">
        <v>90.66</v>
      </c>
      <c r="AC6">
        <v>0</v>
      </c>
    </row>
    <row r="7" spans="2:29" ht="12.75" customHeight="1" x14ac:dyDescent="0.15">
      <c r="B7" s="14">
        <v>4</v>
      </c>
      <c r="C7" s="11" t="s">
        <v>386</v>
      </c>
      <c r="D7" s="11" t="s">
        <v>387</v>
      </c>
      <c r="E7" s="11">
        <v>4</v>
      </c>
      <c r="F7" s="11" t="s">
        <v>219</v>
      </c>
      <c r="G7" s="11" t="s">
        <v>218</v>
      </c>
      <c r="H7" s="11" t="s">
        <v>400</v>
      </c>
      <c r="I7" s="11">
        <v>2</v>
      </c>
      <c r="J7" s="15">
        <v>45665</v>
      </c>
      <c r="K7" s="15">
        <v>45665</v>
      </c>
      <c r="L7" s="11" t="s">
        <v>401</v>
      </c>
      <c r="M7" s="11" t="s">
        <v>402</v>
      </c>
      <c r="N7" s="16"/>
      <c r="O7" s="11" t="s">
        <v>226</v>
      </c>
      <c r="P7" s="17">
        <v>1</v>
      </c>
      <c r="Q7" s="18"/>
      <c r="R7" s="19">
        <v>1.7999999999999999E-2</v>
      </c>
      <c r="S7" s="19">
        <v>1.7999999999999999E-2</v>
      </c>
      <c r="T7" s="18"/>
      <c r="U7" s="11" t="s">
        <v>391</v>
      </c>
      <c r="V7" s="11" t="s">
        <v>392</v>
      </c>
      <c r="W7" s="11" t="s">
        <v>392</v>
      </c>
      <c r="X7" s="20"/>
      <c r="Y7" s="11" t="s">
        <v>393</v>
      </c>
      <c r="Z7" s="16"/>
      <c r="AA7" s="16">
        <v>217</v>
      </c>
      <c r="AB7" s="16">
        <v>3.91</v>
      </c>
      <c r="AC7">
        <v>0</v>
      </c>
    </row>
    <row r="8" spans="2:29" ht="12.75" customHeight="1" x14ac:dyDescent="0.15">
      <c r="B8" s="14">
        <v>4</v>
      </c>
      <c r="C8" s="11" t="s">
        <v>386</v>
      </c>
      <c r="D8" s="11" t="s">
        <v>387</v>
      </c>
      <c r="E8" s="11">
        <v>5</v>
      </c>
      <c r="F8" s="11" t="s">
        <v>219</v>
      </c>
      <c r="G8" s="11" t="s">
        <v>218</v>
      </c>
      <c r="H8" s="11" t="s">
        <v>403</v>
      </c>
      <c r="I8" s="11">
        <v>2</v>
      </c>
      <c r="J8" s="15">
        <v>45665</v>
      </c>
      <c r="K8" s="15">
        <v>45665</v>
      </c>
      <c r="L8" s="11" t="s">
        <v>404</v>
      </c>
      <c r="M8" s="11" t="s">
        <v>405</v>
      </c>
      <c r="N8" s="16"/>
      <c r="O8" s="11" t="s">
        <v>220</v>
      </c>
      <c r="P8" s="17">
        <v>1</v>
      </c>
      <c r="Q8" s="18"/>
      <c r="R8" s="19">
        <v>4.0000000000000001E-3</v>
      </c>
      <c r="S8" s="19">
        <v>4.0000000000000001E-3</v>
      </c>
      <c r="T8" s="18"/>
      <c r="U8" s="11" t="s">
        <v>391</v>
      </c>
      <c r="V8" s="11" t="s">
        <v>392</v>
      </c>
      <c r="W8" s="11" t="s">
        <v>392</v>
      </c>
      <c r="X8" s="20"/>
      <c r="Y8" s="11" t="s">
        <v>393</v>
      </c>
      <c r="Z8" s="16"/>
      <c r="AA8" s="16">
        <v>0</v>
      </c>
      <c r="AB8" s="16">
        <v>0</v>
      </c>
      <c r="AC8">
        <v>0</v>
      </c>
    </row>
    <row r="9" spans="2:29" ht="12.75" customHeight="1" x14ac:dyDescent="0.15">
      <c r="B9" s="14">
        <v>4</v>
      </c>
      <c r="C9" s="11" t="s">
        <v>386</v>
      </c>
      <c r="D9" s="11" t="s">
        <v>387</v>
      </c>
      <c r="E9" s="11">
        <v>6</v>
      </c>
      <c r="F9" s="11" t="s">
        <v>219</v>
      </c>
      <c r="G9" s="11" t="s">
        <v>218</v>
      </c>
      <c r="H9" s="11" t="s">
        <v>406</v>
      </c>
      <c r="I9" s="11">
        <v>2</v>
      </c>
      <c r="J9" s="15">
        <v>45665</v>
      </c>
      <c r="K9" s="15">
        <v>45665</v>
      </c>
      <c r="L9" s="11" t="s">
        <v>407</v>
      </c>
      <c r="M9" s="11" t="s">
        <v>408</v>
      </c>
      <c r="N9" s="16"/>
      <c r="O9" s="11" t="s">
        <v>220</v>
      </c>
      <c r="P9" s="17">
        <v>1</v>
      </c>
      <c r="Q9" s="18"/>
      <c r="R9" s="19">
        <v>8.1000000000000003E-2</v>
      </c>
      <c r="S9" s="19">
        <v>8.1000000000000003E-2</v>
      </c>
      <c r="T9" s="18"/>
      <c r="U9" s="11" t="s">
        <v>391</v>
      </c>
      <c r="V9" s="11" t="s">
        <v>392</v>
      </c>
      <c r="W9" s="11" t="s">
        <v>392</v>
      </c>
      <c r="X9" s="20"/>
      <c r="Y9" s="11" t="s">
        <v>393</v>
      </c>
      <c r="Z9" s="16"/>
      <c r="AA9" s="16">
        <v>125</v>
      </c>
      <c r="AB9" s="16">
        <v>10.130000000000001</v>
      </c>
      <c r="AC9">
        <v>0</v>
      </c>
    </row>
    <row r="10" spans="2:29" ht="12.75" customHeight="1" x14ac:dyDescent="0.15">
      <c r="B10" s="14">
        <v>4</v>
      </c>
      <c r="C10" s="11" t="s">
        <v>386</v>
      </c>
      <c r="D10" s="11" t="s">
        <v>387</v>
      </c>
      <c r="E10" s="11">
        <v>7</v>
      </c>
      <c r="F10" s="11" t="s">
        <v>219</v>
      </c>
      <c r="G10" s="11" t="s">
        <v>244</v>
      </c>
      <c r="H10" s="11" t="s">
        <v>409</v>
      </c>
      <c r="I10" s="11">
        <v>2</v>
      </c>
      <c r="J10" s="15">
        <v>45665</v>
      </c>
      <c r="K10" s="15">
        <v>45665</v>
      </c>
      <c r="L10" s="11" t="s">
        <v>410</v>
      </c>
      <c r="M10" s="11" t="s">
        <v>411</v>
      </c>
      <c r="N10" s="16"/>
      <c r="O10" s="11" t="s">
        <v>220</v>
      </c>
      <c r="P10" s="17">
        <v>1</v>
      </c>
      <c r="Q10" s="18"/>
      <c r="R10" s="19">
        <v>0.35</v>
      </c>
      <c r="S10" s="19">
        <v>0.35</v>
      </c>
      <c r="T10" s="18"/>
      <c r="U10" s="11" t="s">
        <v>391</v>
      </c>
      <c r="V10" s="11" t="s">
        <v>392</v>
      </c>
      <c r="W10" s="11" t="s">
        <v>392</v>
      </c>
      <c r="X10" s="20"/>
      <c r="Y10" s="11" t="s">
        <v>393</v>
      </c>
      <c r="Z10" s="16"/>
      <c r="AA10" s="16">
        <v>39.9</v>
      </c>
      <c r="AB10" s="16">
        <v>13.97</v>
      </c>
      <c r="AC10">
        <v>0</v>
      </c>
    </row>
    <row r="11" spans="2:29" ht="12.75" customHeight="1" x14ac:dyDescent="0.15">
      <c r="B11" s="14">
        <v>4</v>
      </c>
      <c r="C11" s="11" t="s">
        <v>386</v>
      </c>
      <c r="D11" s="11" t="s">
        <v>412</v>
      </c>
      <c r="E11" s="11">
        <v>1</v>
      </c>
      <c r="F11" s="11" t="s">
        <v>219</v>
      </c>
      <c r="G11" s="11" t="s">
        <v>218</v>
      </c>
      <c r="H11" s="11" t="s">
        <v>413</v>
      </c>
      <c r="I11" s="11">
        <v>2</v>
      </c>
      <c r="J11" s="15">
        <v>45665</v>
      </c>
      <c r="K11" s="15">
        <v>45665</v>
      </c>
      <c r="L11" s="11" t="s">
        <v>414</v>
      </c>
      <c r="M11" s="11" t="s">
        <v>415</v>
      </c>
      <c r="N11" s="16"/>
      <c r="O11" s="11" t="s">
        <v>220</v>
      </c>
      <c r="P11" s="17">
        <v>1</v>
      </c>
      <c r="Q11" s="18"/>
      <c r="R11" s="19">
        <v>2.3E-2</v>
      </c>
      <c r="S11" s="19">
        <v>2.3E-2</v>
      </c>
      <c r="T11" s="18"/>
      <c r="U11" s="11" t="s">
        <v>391</v>
      </c>
      <c r="V11" s="11" t="s">
        <v>392</v>
      </c>
      <c r="W11" s="11" t="s">
        <v>392</v>
      </c>
      <c r="X11" s="20"/>
      <c r="Y11" s="11" t="s">
        <v>393</v>
      </c>
      <c r="Z11" s="16"/>
      <c r="AA11" s="16">
        <v>233.05</v>
      </c>
      <c r="AB11" s="16">
        <v>5.36</v>
      </c>
      <c r="AC11">
        <v>0</v>
      </c>
    </row>
    <row r="12" spans="2:29" ht="12.75" customHeight="1" x14ac:dyDescent="0.15">
      <c r="B12" s="14">
        <v>4</v>
      </c>
      <c r="C12" s="11" t="s">
        <v>386</v>
      </c>
      <c r="D12" s="11" t="s">
        <v>412</v>
      </c>
      <c r="E12" s="11">
        <v>2</v>
      </c>
      <c r="F12" s="11" t="s">
        <v>416</v>
      </c>
      <c r="G12" s="11" t="s">
        <v>316</v>
      </c>
      <c r="H12" s="11" t="s">
        <v>417</v>
      </c>
      <c r="I12" s="11">
        <v>2</v>
      </c>
      <c r="J12" s="15">
        <v>45665</v>
      </c>
      <c r="K12" s="15">
        <v>45665</v>
      </c>
      <c r="L12" s="11" t="s">
        <v>418</v>
      </c>
      <c r="M12" s="11" t="s">
        <v>419</v>
      </c>
      <c r="N12" s="16"/>
      <c r="O12" s="11" t="s">
        <v>220</v>
      </c>
      <c r="P12" s="17">
        <v>1</v>
      </c>
      <c r="Q12" s="18"/>
      <c r="R12" s="19">
        <v>16</v>
      </c>
      <c r="S12" s="19">
        <v>16</v>
      </c>
      <c r="T12" s="18"/>
      <c r="U12" s="11" t="s">
        <v>391</v>
      </c>
      <c r="V12" s="11" t="s">
        <v>392</v>
      </c>
      <c r="W12" s="11" t="s">
        <v>392</v>
      </c>
      <c r="X12" s="20"/>
      <c r="Y12" s="11" t="s">
        <v>393</v>
      </c>
      <c r="Z12" s="16"/>
      <c r="AA12" s="16">
        <v>1.5</v>
      </c>
      <c r="AB12" s="16">
        <v>24</v>
      </c>
      <c r="AC12">
        <v>0</v>
      </c>
    </row>
    <row r="13" spans="2:29" ht="12.75" customHeight="1" x14ac:dyDescent="0.15">
      <c r="B13" s="14">
        <v>4</v>
      </c>
      <c r="C13" s="11" t="s">
        <v>386</v>
      </c>
      <c r="D13" s="11" t="s">
        <v>412</v>
      </c>
      <c r="E13" s="11">
        <v>3</v>
      </c>
      <c r="F13" s="11" t="s">
        <v>219</v>
      </c>
      <c r="G13" s="11" t="s">
        <v>239</v>
      </c>
      <c r="H13" s="11" t="s">
        <v>420</v>
      </c>
      <c r="I13" s="11">
        <v>2</v>
      </c>
      <c r="J13" s="15">
        <v>45665</v>
      </c>
      <c r="K13" s="15">
        <v>45665</v>
      </c>
      <c r="L13" s="11" t="s">
        <v>421</v>
      </c>
      <c r="M13" s="11" t="s">
        <v>422</v>
      </c>
      <c r="N13" s="16"/>
      <c r="O13" s="11" t="s">
        <v>220</v>
      </c>
      <c r="P13" s="17">
        <v>1</v>
      </c>
      <c r="Q13" s="18"/>
      <c r="R13" s="19">
        <v>0.66</v>
      </c>
      <c r="S13" s="19">
        <v>0.66</v>
      </c>
      <c r="T13" s="18"/>
      <c r="U13" s="11" t="s">
        <v>391</v>
      </c>
      <c r="V13" s="11" t="s">
        <v>392</v>
      </c>
      <c r="W13" s="11" t="s">
        <v>392</v>
      </c>
      <c r="X13" s="20"/>
      <c r="Y13" s="11" t="s">
        <v>393</v>
      </c>
      <c r="Z13" s="16"/>
      <c r="AA13" s="16">
        <v>109</v>
      </c>
      <c r="AB13" s="16">
        <v>71.94</v>
      </c>
      <c r="AC13">
        <v>0</v>
      </c>
    </row>
    <row r="14" spans="2:29" ht="12.75" customHeight="1" x14ac:dyDescent="0.15">
      <c r="B14" s="14">
        <v>4</v>
      </c>
      <c r="C14" s="11" t="s">
        <v>386</v>
      </c>
      <c r="D14" s="11" t="s">
        <v>412</v>
      </c>
      <c r="E14" s="11">
        <v>4</v>
      </c>
      <c r="F14" s="11" t="s">
        <v>219</v>
      </c>
      <c r="G14" s="11" t="s">
        <v>244</v>
      </c>
      <c r="H14" s="11" t="s">
        <v>388</v>
      </c>
      <c r="I14" s="11">
        <v>2</v>
      </c>
      <c r="J14" s="15">
        <v>45665</v>
      </c>
      <c r="K14" s="15">
        <v>45665</v>
      </c>
      <c r="L14" s="11" t="s">
        <v>423</v>
      </c>
      <c r="M14" s="11" t="s">
        <v>424</v>
      </c>
      <c r="N14" s="16"/>
      <c r="O14" s="11" t="s">
        <v>220</v>
      </c>
      <c r="P14" s="17">
        <v>1</v>
      </c>
      <c r="Q14" s="18"/>
      <c r="R14" s="19">
        <v>2.93</v>
      </c>
      <c r="S14" s="19">
        <v>2.93</v>
      </c>
      <c r="T14" s="18"/>
      <c r="U14" s="11" t="s">
        <v>391</v>
      </c>
      <c r="V14" s="11" t="s">
        <v>392</v>
      </c>
      <c r="W14" s="11" t="s">
        <v>392</v>
      </c>
      <c r="X14" s="20"/>
      <c r="Y14" s="11" t="s">
        <v>393</v>
      </c>
      <c r="Z14" s="16"/>
      <c r="AA14" s="16">
        <v>18</v>
      </c>
      <c r="AB14" s="16">
        <v>52.74</v>
      </c>
      <c r="AC14">
        <v>0</v>
      </c>
    </row>
    <row r="15" spans="2:29" ht="12.75" customHeight="1" x14ac:dyDescent="0.15">
      <c r="B15" s="14">
        <v>4</v>
      </c>
      <c r="C15" s="11" t="s">
        <v>386</v>
      </c>
      <c r="D15" s="11" t="s">
        <v>412</v>
      </c>
      <c r="E15" s="11">
        <v>5</v>
      </c>
      <c r="F15" s="11" t="s">
        <v>219</v>
      </c>
      <c r="G15" s="11" t="s">
        <v>218</v>
      </c>
      <c r="H15" s="11" t="s">
        <v>425</v>
      </c>
      <c r="I15" s="11">
        <v>2</v>
      </c>
      <c r="J15" s="15">
        <v>45665</v>
      </c>
      <c r="K15" s="15">
        <v>45665</v>
      </c>
      <c r="L15" s="11" t="s">
        <v>426</v>
      </c>
      <c r="M15" s="11" t="s">
        <v>427</v>
      </c>
      <c r="N15" s="16"/>
      <c r="O15" s="11" t="s">
        <v>220</v>
      </c>
      <c r="P15" s="17">
        <v>1</v>
      </c>
      <c r="Q15" s="18"/>
      <c r="R15" s="19">
        <v>1.4999999999999999E-2</v>
      </c>
      <c r="S15" s="19">
        <v>1.4999999999999999E-2</v>
      </c>
      <c r="T15" s="18"/>
      <c r="U15" s="11" t="s">
        <v>391</v>
      </c>
      <c r="V15" s="11" t="s">
        <v>392</v>
      </c>
      <c r="W15" s="11" t="s">
        <v>392</v>
      </c>
      <c r="X15" s="20"/>
      <c r="Y15" s="11" t="s">
        <v>393</v>
      </c>
      <c r="Z15" s="16"/>
      <c r="AA15" s="16">
        <v>183</v>
      </c>
      <c r="AB15" s="16">
        <v>2.75</v>
      </c>
      <c r="AC15">
        <v>0</v>
      </c>
    </row>
    <row r="16" spans="2:29" ht="12.75" customHeight="1" x14ac:dyDescent="0.15">
      <c r="B16" s="14">
        <v>4</v>
      </c>
      <c r="C16" s="11" t="s">
        <v>386</v>
      </c>
      <c r="D16" s="11" t="s">
        <v>412</v>
      </c>
      <c r="E16" s="11">
        <v>6</v>
      </c>
      <c r="F16" s="11" t="s">
        <v>219</v>
      </c>
      <c r="G16" s="11" t="s">
        <v>218</v>
      </c>
      <c r="H16" s="11"/>
      <c r="I16" s="11">
        <v>2</v>
      </c>
      <c r="J16" s="15">
        <v>45665</v>
      </c>
      <c r="K16" s="15">
        <v>45665</v>
      </c>
      <c r="L16" s="11" t="s">
        <v>428</v>
      </c>
      <c r="M16" s="11" t="s">
        <v>429</v>
      </c>
      <c r="N16" s="16"/>
      <c r="O16" s="11" t="s">
        <v>220</v>
      </c>
      <c r="P16" s="17">
        <v>1</v>
      </c>
      <c r="Q16" s="18"/>
      <c r="R16" s="19">
        <v>0.03</v>
      </c>
      <c r="S16" s="19">
        <v>0.03</v>
      </c>
      <c r="T16" s="18"/>
      <c r="U16" s="11" t="s">
        <v>391</v>
      </c>
      <c r="V16" s="11" t="s">
        <v>392</v>
      </c>
      <c r="W16" s="11" t="s">
        <v>392</v>
      </c>
      <c r="X16" s="20"/>
      <c r="Y16" s="11" t="s">
        <v>393</v>
      </c>
      <c r="Z16" s="16"/>
      <c r="AA16" s="16">
        <v>0</v>
      </c>
      <c r="AB16" s="16">
        <v>0</v>
      </c>
      <c r="AC16">
        <v>0</v>
      </c>
    </row>
    <row r="17" spans="2:29" ht="12.75" customHeight="1" x14ac:dyDescent="0.15">
      <c r="B17" s="14">
        <v>4</v>
      </c>
      <c r="C17" s="11" t="s">
        <v>386</v>
      </c>
      <c r="D17" s="11" t="s">
        <v>412</v>
      </c>
      <c r="E17" s="11">
        <v>7</v>
      </c>
      <c r="F17" s="11" t="s">
        <v>219</v>
      </c>
      <c r="G17" s="11" t="s">
        <v>218</v>
      </c>
      <c r="H17" s="11" t="s">
        <v>406</v>
      </c>
      <c r="I17" s="11">
        <v>2</v>
      </c>
      <c r="J17" s="15">
        <v>45665</v>
      </c>
      <c r="K17" s="15">
        <v>45665</v>
      </c>
      <c r="L17" s="11" t="s">
        <v>430</v>
      </c>
      <c r="M17" s="11" t="s">
        <v>431</v>
      </c>
      <c r="N17" s="16"/>
      <c r="O17" s="11" t="s">
        <v>220</v>
      </c>
      <c r="P17" s="17">
        <v>1</v>
      </c>
      <c r="Q17" s="18"/>
      <c r="R17" s="19">
        <v>3.5000000000000003E-2</v>
      </c>
      <c r="S17" s="19">
        <v>3.5000000000000003E-2</v>
      </c>
      <c r="T17" s="18"/>
      <c r="U17" s="11" t="s">
        <v>391</v>
      </c>
      <c r="V17" s="11" t="s">
        <v>392</v>
      </c>
      <c r="W17" s="11" t="s">
        <v>392</v>
      </c>
      <c r="X17" s="20"/>
      <c r="Y17" s="11" t="s">
        <v>393</v>
      </c>
      <c r="Z17" s="16"/>
      <c r="AA17" s="16">
        <v>143</v>
      </c>
      <c r="AB17" s="16">
        <v>5.01</v>
      </c>
      <c r="AC17">
        <v>0</v>
      </c>
    </row>
    <row r="18" spans="2:29" ht="12.75" customHeight="1" x14ac:dyDescent="0.15">
      <c r="B18" s="14">
        <v>4</v>
      </c>
      <c r="C18" s="11" t="s">
        <v>386</v>
      </c>
      <c r="D18" s="11" t="s">
        <v>432</v>
      </c>
      <c r="E18" s="11">
        <v>1</v>
      </c>
      <c r="F18" s="11" t="s">
        <v>219</v>
      </c>
      <c r="G18" s="11" t="s">
        <v>218</v>
      </c>
      <c r="H18" s="11" t="s">
        <v>433</v>
      </c>
      <c r="I18" s="11">
        <v>3</v>
      </c>
      <c r="J18" s="15">
        <v>45671</v>
      </c>
      <c r="K18" s="15">
        <v>45677</v>
      </c>
      <c r="L18" s="11" t="s">
        <v>434</v>
      </c>
      <c r="M18" s="11" t="s">
        <v>435</v>
      </c>
      <c r="N18" s="16"/>
      <c r="O18" s="11" t="s">
        <v>220</v>
      </c>
      <c r="P18" s="17">
        <v>0</v>
      </c>
      <c r="Q18" s="18"/>
      <c r="R18" s="19">
        <v>0.1</v>
      </c>
      <c r="S18" s="19">
        <v>0.04</v>
      </c>
      <c r="T18" s="18"/>
      <c r="U18" s="11" t="s">
        <v>436</v>
      </c>
      <c r="V18" s="11" t="s">
        <v>437</v>
      </c>
      <c r="W18" s="11" t="s">
        <v>437</v>
      </c>
      <c r="X18" s="20"/>
      <c r="Y18" s="11" t="s">
        <v>438</v>
      </c>
      <c r="Z18" s="16"/>
      <c r="AA18" s="16">
        <v>18.55</v>
      </c>
      <c r="AB18" s="16">
        <v>0.74</v>
      </c>
      <c r="AC18">
        <v>0</v>
      </c>
    </row>
    <row r="19" spans="2:29" ht="12.75" customHeight="1" x14ac:dyDescent="0.15">
      <c r="B19" s="14">
        <v>4</v>
      </c>
      <c r="C19" s="11" t="s">
        <v>386</v>
      </c>
      <c r="D19" s="11" t="s">
        <v>432</v>
      </c>
      <c r="E19" s="11">
        <v>2</v>
      </c>
      <c r="F19" s="11" t="s">
        <v>219</v>
      </c>
      <c r="G19" s="11" t="s">
        <v>439</v>
      </c>
      <c r="H19" s="11" t="s">
        <v>440</v>
      </c>
      <c r="I19" s="11">
        <v>3</v>
      </c>
      <c r="J19" s="15">
        <v>45671</v>
      </c>
      <c r="K19" s="15">
        <v>45677</v>
      </c>
      <c r="L19" s="11" t="s">
        <v>441</v>
      </c>
      <c r="M19" s="11" t="s">
        <v>442</v>
      </c>
      <c r="N19" s="16"/>
      <c r="O19" s="11" t="s">
        <v>220</v>
      </c>
      <c r="P19" s="17">
        <v>0</v>
      </c>
      <c r="Q19" s="18"/>
      <c r="R19" s="19">
        <v>3.5</v>
      </c>
      <c r="S19" s="19">
        <v>1.4</v>
      </c>
      <c r="T19" s="18"/>
      <c r="U19" s="11" t="s">
        <v>436</v>
      </c>
      <c r="V19" s="11" t="s">
        <v>437</v>
      </c>
      <c r="W19" s="11" t="s">
        <v>437</v>
      </c>
      <c r="X19" s="20"/>
      <c r="Y19" s="11" t="s">
        <v>438</v>
      </c>
      <c r="Z19" s="16"/>
      <c r="AA19" s="16">
        <v>20.18</v>
      </c>
      <c r="AB19" s="16">
        <v>28.25</v>
      </c>
      <c r="AC19">
        <v>0</v>
      </c>
    </row>
    <row r="20" spans="2:29" ht="12.75" customHeight="1" x14ac:dyDescent="0.15">
      <c r="B20" s="14">
        <v>4</v>
      </c>
      <c r="C20" s="11" t="s">
        <v>386</v>
      </c>
      <c r="D20" s="11" t="s">
        <v>432</v>
      </c>
      <c r="E20" s="11">
        <v>3</v>
      </c>
      <c r="F20" s="11" t="s">
        <v>219</v>
      </c>
      <c r="G20" s="11" t="s">
        <v>218</v>
      </c>
      <c r="H20" s="11" t="s">
        <v>443</v>
      </c>
      <c r="I20" s="11">
        <v>3</v>
      </c>
      <c r="J20" s="15">
        <v>45671</v>
      </c>
      <c r="K20" s="15">
        <v>45677</v>
      </c>
      <c r="L20" s="11" t="s">
        <v>444</v>
      </c>
      <c r="M20" s="11" t="s">
        <v>445</v>
      </c>
      <c r="N20" s="16"/>
      <c r="O20" s="11" t="s">
        <v>220</v>
      </c>
      <c r="P20" s="17">
        <v>0</v>
      </c>
      <c r="Q20" s="18"/>
      <c r="R20" s="19">
        <v>0.05</v>
      </c>
      <c r="S20" s="19">
        <v>0.02</v>
      </c>
      <c r="T20" s="18"/>
      <c r="U20" s="11" t="s">
        <v>436</v>
      </c>
      <c r="V20" s="11" t="s">
        <v>437</v>
      </c>
      <c r="W20" s="11" t="s">
        <v>437</v>
      </c>
      <c r="X20" s="20"/>
      <c r="Y20" s="11" t="s">
        <v>438</v>
      </c>
      <c r="Z20" s="16"/>
      <c r="AA20" s="16">
        <v>60.65</v>
      </c>
      <c r="AB20" s="16">
        <v>1.21</v>
      </c>
      <c r="AC20">
        <v>0</v>
      </c>
    </row>
    <row r="21" spans="2:29" ht="12.75" customHeight="1" x14ac:dyDescent="0.15">
      <c r="B21" s="14">
        <v>4</v>
      </c>
      <c r="C21" s="11" t="s">
        <v>386</v>
      </c>
      <c r="D21" s="11" t="s">
        <v>446</v>
      </c>
      <c r="E21" s="11">
        <v>1</v>
      </c>
      <c r="F21" s="11" t="s">
        <v>219</v>
      </c>
      <c r="G21" s="11" t="s">
        <v>218</v>
      </c>
      <c r="H21" s="11" t="s">
        <v>433</v>
      </c>
      <c r="I21" s="11">
        <v>6</v>
      </c>
      <c r="J21" s="15">
        <v>45691</v>
      </c>
      <c r="K21" s="15">
        <v>45695</v>
      </c>
      <c r="L21" s="11" t="s">
        <v>447</v>
      </c>
      <c r="M21" s="11" t="s">
        <v>435</v>
      </c>
      <c r="N21" s="16"/>
      <c r="O21" s="11" t="s">
        <v>220</v>
      </c>
      <c r="P21" s="17">
        <v>1</v>
      </c>
      <c r="Q21" s="18"/>
      <c r="R21" s="19">
        <v>0.1</v>
      </c>
      <c r="S21" s="19">
        <v>0.113</v>
      </c>
      <c r="T21" s="18"/>
      <c r="U21" s="11" t="s">
        <v>436</v>
      </c>
      <c r="V21" s="11" t="s">
        <v>437</v>
      </c>
      <c r="W21" s="11" t="s">
        <v>437</v>
      </c>
      <c r="X21" s="20"/>
      <c r="Y21" s="11" t="s">
        <v>438</v>
      </c>
      <c r="Z21" s="16"/>
      <c r="AA21" s="16">
        <v>18.55</v>
      </c>
      <c r="AB21" s="16">
        <v>2.1</v>
      </c>
      <c r="AC21">
        <v>0</v>
      </c>
    </row>
    <row r="22" spans="2:29" ht="12.75" customHeight="1" x14ac:dyDescent="0.15">
      <c r="B22" s="14">
        <v>4</v>
      </c>
      <c r="C22" s="11" t="s">
        <v>386</v>
      </c>
      <c r="D22" s="11" t="s">
        <v>446</v>
      </c>
      <c r="E22" s="11">
        <v>2</v>
      </c>
      <c r="F22" s="11" t="s">
        <v>219</v>
      </c>
      <c r="G22" s="11" t="s">
        <v>439</v>
      </c>
      <c r="H22" s="11" t="s">
        <v>448</v>
      </c>
      <c r="I22" s="11">
        <v>6</v>
      </c>
      <c r="J22" s="15">
        <v>45691</v>
      </c>
      <c r="K22" s="15">
        <v>45695</v>
      </c>
      <c r="L22" s="11" t="s">
        <v>449</v>
      </c>
      <c r="M22" s="11" t="s">
        <v>450</v>
      </c>
      <c r="N22" s="16"/>
      <c r="O22" s="11" t="s">
        <v>220</v>
      </c>
      <c r="P22" s="17">
        <v>1</v>
      </c>
      <c r="Q22" s="18"/>
      <c r="R22" s="19">
        <v>3.5</v>
      </c>
      <c r="S22" s="19">
        <v>3.9550000000000001</v>
      </c>
      <c r="T22" s="18"/>
      <c r="U22" s="11" t="s">
        <v>436</v>
      </c>
      <c r="V22" s="11" t="s">
        <v>437</v>
      </c>
      <c r="W22" s="11" t="s">
        <v>437</v>
      </c>
      <c r="X22" s="20"/>
      <c r="Y22" s="11" t="s">
        <v>438</v>
      </c>
      <c r="Z22" s="16"/>
      <c r="AA22" s="16">
        <v>20.54</v>
      </c>
      <c r="AB22" s="16">
        <v>81.239999999999995</v>
      </c>
      <c r="AC22">
        <v>0</v>
      </c>
    </row>
    <row r="23" spans="2:29" ht="12.75" customHeight="1" x14ac:dyDescent="0.15">
      <c r="B23" s="14">
        <v>4</v>
      </c>
      <c r="C23" s="11" t="s">
        <v>386</v>
      </c>
      <c r="D23" s="11" t="s">
        <v>446</v>
      </c>
      <c r="E23" s="11">
        <v>3</v>
      </c>
      <c r="F23" s="11" t="s">
        <v>219</v>
      </c>
      <c r="G23" s="11" t="s">
        <v>218</v>
      </c>
      <c r="H23" s="11" t="s">
        <v>443</v>
      </c>
      <c r="I23" s="11">
        <v>6</v>
      </c>
      <c r="J23" s="15">
        <v>45691</v>
      </c>
      <c r="K23" s="15">
        <v>45695</v>
      </c>
      <c r="L23" s="11" t="s">
        <v>451</v>
      </c>
      <c r="M23" s="11" t="s">
        <v>445</v>
      </c>
      <c r="N23" s="16"/>
      <c r="O23" s="11" t="s">
        <v>220</v>
      </c>
      <c r="P23" s="17">
        <v>1</v>
      </c>
      <c r="Q23" s="18"/>
      <c r="R23" s="19">
        <v>0.05</v>
      </c>
      <c r="S23" s="19">
        <v>5.7000000000000002E-2</v>
      </c>
      <c r="T23" s="18"/>
      <c r="U23" s="11" t="s">
        <v>436</v>
      </c>
      <c r="V23" s="11" t="s">
        <v>437</v>
      </c>
      <c r="W23" s="11" t="s">
        <v>437</v>
      </c>
      <c r="X23" s="20"/>
      <c r="Y23" s="11" t="s">
        <v>438</v>
      </c>
      <c r="Z23" s="16"/>
      <c r="AA23" s="16">
        <v>60.65</v>
      </c>
      <c r="AB23" s="16">
        <v>3.43</v>
      </c>
      <c r="AC23">
        <v>0</v>
      </c>
    </row>
    <row r="24" spans="2:29" ht="12.75" customHeight="1" x14ac:dyDescent="0.15">
      <c r="B24" s="14">
        <v>4</v>
      </c>
      <c r="C24" s="11" t="s">
        <v>386</v>
      </c>
      <c r="D24" s="11" t="s">
        <v>452</v>
      </c>
      <c r="E24" s="11">
        <v>1</v>
      </c>
      <c r="F24" s="11" t="s">
        <v>219</v>
      </c>
      <c r="G24" s="11" t="s">
        <v>218</v>
      </c>
      <c r="H24" s="11" t="s">
        <v>397</v>
      </c>
      <c r="I24" s="11">
        <v>6</v>
      </c>
      <c r="J24" s="15">
        <v>45691</v>
      </c>
      <c r="K24" s="15">
        <v>45691</v>
      </c>
      <c r="L24" s="11" t="s">
        <v>453</v>
      </c>
      <c r="M24" s="11" t="s">
        <v>454</v>
      </c>
      <c r="N24" s="16"/>
      <c r="O24" s="11" t="s">
        <v>220</v>
      </c>
      <c r="P24" s="17">
        <v>1</v>
      </c>
      <c r="Q24" s="18"/>
      <c r="R24" s="19">
        <v>0.05</v>
      </c>
      <c r="S24" s="19">
        <v>0.05</v>
      </c>
      <c r="T24" s="18"/>
      <c r="U24" s="11" t="s">
        <v>436</v>
      </c>
      <c r="V24" s="11" t="s">
        <v>437</v>
      </c>
      <c r="W24" s="11" t="s">
        <v>437</v>
      </c>
      <c r="X24" s="20"/>
      <c r="Y24" s="11" t="s">
        <v>455</v>
      </c>
      <c r="Z24" s="16"/>
      <c r="AA24" s="16">
        <v>686.05</v>
      </c>
      <c r="AB24" s="16">
        <v>34.299999999999997</v>
      </c>
      <c r="AC24">
        <v>0</v>
      </c>
    </row>
    <row r="25" spans="2:29" ht="12.75" customHeight="1" x14ac:dyDescent="0.15">
      <c r="B25" s="14">
        <v>4</v>
      </c>
      <c r="C25" s="11" t="s">
        <v>386</v>
      </c>
      <c r="D25" s="11" t="s">
        <v>452</v>
      </c>
      <c r="E25" s="11">
        <v>2</v>
      </c>
      <c r="F25" s="11" t="s">
        <v>219</v>
      </c>
      <c r="G25" s="11" t="s">
        <v>239</v>
      </c>
      <c r="H25" s="11" t="s">
        <v>456</v>
      </c>
      <c r="I25" s="11">
        <v>6</v>
      </c>
      <c r="J25" s="15">
        <v>45691</v>
      </c>
      <c r="K25" s="15">
        <v>45691</v>
      </c>
      <c r="L25" s="11" t="s">
        <v>457</v>
      </c>
      <c r="M25" s="11" t="s">
        <v>458</v>
      </c>
      <c r="N25" s="16"/>
      <c r="O25" s="11" t="s">
        <v>220</v>
      </c>
      <c r="P25" s="17">
        <v>1</v>
      </c>
      <c r="Q25" s="18"/>
      <c r="R25" s="19">
        <v>0.05</v>
      </c>
      <c r="S25" s="19">
        <v>0.05</v>
      </c>
      <c r="T25" s="18"/>
      <c r="U25" s="11" t="s">
        <v>436</v>
      </c>
      <c r="V25" s="11" t="s">
        <v>437</v>
      </c>
      <c r="W25" s="11" t="s">
        <v>437</v>
      </c>
      <c r="X25" s="20"/>
      <c r="Y25" s="11" t="s">
        <v>455</v>
      </c>
      <c r="Z25" s="16"/>
      <c r="AA25" s="16">
        <v>49.99</v>
      </c>
      <c r="AB25" s="16">
        <v>2.5</v>
      </c>
      <c r="AC25">
        <v>0</v>
      </c>
    </row>
    <row r="26" spans="2:29" ht="12.75" customHeight="1" x14ac:dyDescent="0.15">
      <c r="B26" s="14">
        <v>4</v>
      </c>
      <c r="C26" s="11" t="s">
        <v>386</v>
      </c>
      <c r="D26" s="11" t="s">
        <v>452</v>
      </c>
      <c r="E26" s="11">
        <v>3</v>
      </c>
      <c r="F26" s="11" t="s">
        <v>219</v>
      </c>
      <c r="G26" s="11" t="s">
        <v>239</v>
      </c>
      <c r="H26" s="11" t="s">
        <v>456</v>
      </c>
      <c r="I26" s="11">
        <v>6</v>
      </c>
      <c r="J26" s="15">
        <v>45691</v>
      </c>
      <c r="K26" s="15">
        <v>45691</v>
      </c>
      <c r="L26" s="11" t="s">
        <v>459</v>
      </c>
      <c r="M26" s="11" t="s">
        <v>460</v>
      </c>
      <c r="N26" s="16"/>
      <c r="O26" s="11" t="s">
        <v>220</v>
      </c>
      <c r="P26" s="17">
        <v>1</v>
      </c>
      <c r="Q26" s="18"/>
      <c r="R26" s="19">
        <v>0.05</v>
      </c>
      <c r="S26" s="19">
        <v>0.05</v>
      </c>
      <c r="T26" s="18"/>
      <c r="U26" s="11" t="s">
        <v>436</v>
      </c>
      <c r="V26" s="11" t="s">
        <v>437</v>
      </c>
      <c r="W26" s="11" t="s">
        <v>437</v>
      </c>
      <c r="X26" s="20"/>
      <c r="Y26" s="11" t="s">
        <v>455</v>
      </c>
      <c r="Z26" s="16"/>
      <c r="AA26" s="16">
        <v>0</v>
      </c>
      <c r="AB26" s="16">
        <v>0</v>
      </c>
      <c r="AC26">
        <v>0</v>
      </c>
    </row>
    <row r="27" spans="2:29" ht="15" customHeight="1" x14ac:dyDescent="0.15">
      <c r="B27">
        <v>4</v>
      </c>
      <c r="C27" t="s">
        <v>386</v>
      </c>
      <c r="D27" t="s">
        <v>461</v>
      </c>
      <c r="E27">
        <v>1</v>
      </c>
      <c r="F27" t="s">
        <v>219</v>
      </c>
      <c r="G27" t="s">
        <v>218</v>
      </c>
      <c r="H27" t="s">
        <v>433</v>
      </c>
      <c r="I27">
        <v>7</v>
      </c>
      <c r="J27" s="21">
        <v>45699</v>
      </c>
      <c r="K27" s="21">
        <v>45702</v>
      </c>
      <c r="L27" t="s">
        <v>462</v>
      </c>
      <c r="M27" t="s">
        <v>435</v>
      </c>
      <c r="O27" t="s">
        <v>220</v>
      </c>
      <c r="P27">
        <v>1</v>
      </c>
      <c r="R27">
        <v>0.1</v>
      </c>
      <c r="S27">
        <v>0.1</v>
      </c>
      <c r="U27" t="s">
        <v>436</v>
      </c>
      <c r="V27" t="s">
        <v>437</v>
      </c>
      <c r="W27" t="s">
        <v>437</v>
      </c>
      <c r="Y27" t="s">
        <v>438</v>
      </c>
      <c r="AA27">
        <v>18.55</v>
      </c>
      <c r="AB27">
        <v>1.86</v>
      </c>
      <c r="AC27">
        <v>0</v>
      </c>
    </row>
    <row r="28" spans="2:29" ht="15" customHeight="1" x14ac:dyDescent="0.15">
      <c r="B28">
        <v>4</v>
      </c>
      <c r="C28" t="s">
        <v>386</v>
      </c>
      <c r="D28" t="s">
        <v>461</v>
      </c>
      <c r="E28">
        <v>2</v>
      </c>
      <c r="F28" t="s">
        <v>219</v>
      </c>
      <c r="G28" t="s">
        <v>439</v>
      </c>
      <c r="H28" t="s">
        <v>448</v>
      </c>
      <c r="I28">
        <v>7</v>
      </c>
      <c r="J28" s="21">
        <v>45699</v>
      </c>
      <c r="K28" s="21">
        <v>45702</v>
      </c>
      <c r="L28" t="s">
        <v>463</v>
      </c>
      <c r="M28" t="s">
        <v>450</v>
      </c>
      <c r="O28" t="s">
        <v>220</v>
      </c>
      <c r="P28">
        <v>1</v>
      </c>
      <c r="R28">
        <v>3.5</v>
      </c>
      <c r="S28">
        <v>3.5</v>
      </c>
      <c r="U28" t="s">
        <v>436</v>
      </c>
      <c r="V28" t="s">
        <v>437</v>
      </c>
      <c r="W28" t="s">
        <v>437</v>
      </c>
      <c r="Y28" t="s">
        <v>438</v>
      </c>
      <c r="AA28">
        <v>20.54</v>
      </c>
      <c r="AB28">
        <v>71.89</v>
      </c>
      <c r="AC28">
        <v>0</v>
      </c>
    </row>
    <row r="29" spans="2:29" ht="15" customHeight="1" x14ac:dyDescent="0.15">
      <c r="B29">
        <v>4</v>
      </c>
      <c r="C29" t="s">
        <v>386</v>
      </c>
      <c r="D29" t="s">
        <v>461</v>
      </c>
      <c r="E29">
        <v>3</v>
      </c>
      <c r="F29" t="s">
        <v>219</v>
      </c>
      <c r="G29" t="s">
        <v>218</v>
      </c>
      <c r="H29" t="s">
        <v>443</v>
      </c>
      <c r="I29">
        <v>7</v>
      </c>
      <c r="J29" s="21">
        <v>45699</v>
      </c>
      <c r="K29" s="21">
        <v>45702</v>
      </c>
      <c r="L29" t="s">
        <v>464</v>
      </c>
      <c r="M29" t="s">
        <v>445</v>
      </c>
      <c r="O29" t="s">
        <v>220</v>
      </c>
      <c r="P29">
        <v>1</v>
      </c>
      <c r="R29">
        <v>0.05</v>
      </c>
      <c r="S29">
        <v>0.05</v>
      </c>
      <c r="U29" t="s">
        <v>436</v>
      </c>
      <c r="V29" t="s">
        <v>437</v>
      </c>
      <c r="W29" t="s">
        <v>437</v>
      </c>
      <c r="Y29" t="s">
        <v>438</v>
      </c>
      <c r="AA29">
        <v>60.65</v>
      </c>
      <c r="AB29">
        <v>3.03</v>
      </c>
      <c r="AC29">
        <v>0</v>
      </c>
    </row>
    <row r="30" spans="2:29" ht="15" customHeight="1" x14ac:dyDescent="0.15">
      <c r="B30">
        <v>4</v>
      </c>
      <c r="C30" t="s">
        <v>386</v>
      </c>
      <c r="D30" t="s">
        <v>465</v>
      </c>
      <c r="E30">
        <v>1</v>
      </c>
      <c r="F30" t="s">
        <v>219</v>
      </c>
      <c r="G30" t="s">
        <v>218</v>
      </c>
      <c r="H30" t="s">
        <v>433</v>
      </c>
      <c r="I30">
        <v>7</v>
      </c>
      <c r="J30" s="21">
        <v>45703</v>
      </c>
      <c r="K30" s="21">
        <v>45708</v>
      </c>
      <c r="L30" t="s">
        <v>466</v>
      </c>
      <c r="M30" t="s">
        <v>435</v>
      </c>
      <c r="O30" t="s">
        <v>220</v>
      </c>
      <c r="P30">
        <v>1</v>
      </c>
      <c r="R30">
        <v>0.1</v>
      </c>
      <c r="S30">
        <v>5.5E-2</v>
      </c>
      <c r="U30" t="s">
        <v>436</v>
      </c>
      <c r="V30" t="s">
        <v>437</v>
      </c>
      <c r="W30" t="s">
        <v>437</v>
      </c>
      <c r="Y30" t="s">
        <v>455</v>
      </c>
      <c r="AA30">
        <v>18.55</v>
      </c>
      <c r="AB30">
        <v>1.02</v>
      </c>
      <c r="AC30">
        <v>0</v>
      </c>
    </row>
    <row r="31" spans="2:29" ht="15" customHeight="1" x14ac:dyDescent="0.15">
      <c r="B31">
        <v>4</v>
      </c>
      <c r="C31" t="s">
        <v>386</v>
      </c>
      <c r="D31" t="s">
        <v>465</v>
      </c>
      <c r="E31">
        <v>2</v>
      </c>
      <c r="F31" t="s">
        <v>219</v>
      </c>
      <c r="G31" t="s">
        <v>439</v>
      </c>
      <c r="H31" t="s">
        <v>448</v>
      </c>
      <c r="I31">
        <v>7</v>
      </c>
      <c r="J31" s="21">
        <v>45703</v>
      </c>
      <c r="K31" s="21">
        <v>45708</v>
      </c>
      <c r="L31" t="s">
        <v>467</v>
      </c>
      <c r="M31" t="s">
        <v>450</v>
      </c>
      <c r="O31" t="s">
        <v>220</v>
      </c>
      <c r="P31">
        <v>1</v>
      </c>
      <c r="R31">
        <v>3.5</v>
      </c>
      <c r="S31">
        <v>1.925</v>
      </c>
      <c r="U31" t="s">
        <v>436</v>
      </c>
      <c r="V31" t="s">
        <v>437</v>
      </c>
      <c r="W31" t="s">
        <v>437</v>
      </c>
      <c r="Y31" t="s">
        <v>455</v>
      </c>
      <c r="AA31">
        <v>20.54</v>
      </c>
      <c r="AB31">
        <v>39.54</v>
      </c>
      <c r="AC31">
        <v>0</v>
      </c>
    </row>
    <row r="32" spans="2:29" ht="15" customHeight="1" x14ac:dyDescent="0.15">
      <c r="B32">
        <v>4</v>
      </c>
      <c r="C32" t="s">
        <v>386</v>
      </c>
      <c r="D32" t="s">
        <v>465</v>
      </c>
      <c r="E32">
        <v>3</v>
      </c>
      <c r="F32" t="s">
        <v>219</v>
      </c>
      <c r="G32" t="s">
        <v>218</v>
      </c>
      <c r="H32" t="s">
        <v>443</v>
      </c>
      <c r="I32">
        <v>7</v>
      </c>
      <c r="J32" s="21">
        <v>45703</v>
      </c>
      <c r="K32" s="21">
        <v>45708</v>
      </c>
      <c r="L32" t="s">
        <v>468</v>
      </c>
      <c r="M32" t="s">
        <v>445</v>
      </c>
      <c r="O32" t="s">
        <v>220</v>
      </c>
      <c r="P32">
        <v>1</v>
      </c>
      <c r="R32">
        <v>0.05</v>
      </c>
      <c r="S32">
        <v>2.8000000000000001E-2</v>
      </c>
      <c r="U32" t="s">
        <v>436</v>
      </c>
      <c r="V32" t="s">
        <v>437</v>
      </c>
      <c r="W32" t="s">
        <v>437</v>
      </c>
      <c r="Y32" t="s">
        <v>455</v>
      </c>
      <c r="AA32">
        <v>60.65</v>
      </c>
      <c r="AB32">
        <v>1.67</v>
      </c>
      <c r="AC32">
        <v>0</v>
      </c>
    </row>
    <row r="33" spans="2:29" ht="15" customHeight="1" x14ac:dyDescent="0.15">
      <c r="B33">
        <v>4</v>
      </c>
      <c r="C33" t="s">
        <v>386</v>
      </c>
      <c r="D33" t="s">
        <v>469</v>
      </c>
      <c r="E33">
        <v>1</v>
      </c>
      <c r="F33" t="s">
        <v>201</v>
      </c>
      <c r="G33" t="s">
        <v>470</v>
      </c>
      <c r="H33" t="s">
        <v>471</v>
      </c>
      <c r="I33">
        <v>7</v>
      </c>
      <c r="J33" s="21">
        <v>45336</v>
      </c>
      <c r="K33" s="21">
        <v>45703</v>
      </c>
      <c r="L33" t="s">
        <v>472</v>
      </c>
      <c r="M33" t="s">
        <v>473</v>
      </c>
      <c r="O33" t="s">
        <v>226</v>
      </c>
      <c r="P33">
        <v>5</v>
      </c>
      <c r="R33">
        <v>0.75</v>
      </c>
      <c r="S33">
        <v>3.75</v>
      </c>
      <c r="U33" t="s">
        <v>436</v>
      </c>
      <c r="V33" t="s">
        <v>437</v>
      </c>
      <c r="W33" t="s">
        <v>437</v>
      </c>
      <c r="Y33" t="s">
        <v>474</v>
      </c>
      <c r="AA33">
        <v>2.16</v>
      </c>
      <c r="AB33">
        <v>8.1</v>
      </c>
      <c r="AC33">
        <v>0</v>
      </c>
    </row>
    <row r="34" spans="2:29" ht="15" customHeight="1" x14ac:dyDescent="0.15">
      <c r="B34">
        <v>4</v>
      </c>
      <c r="C34" t="s">
        <v>386</v>
      </c>
      <c r="D34" t="s">
        <v>469</v>
      </c>
      <c r="E34">
        <v>2</v>
      </c>
      <c r="F34" t="s">
        <v>201</v>
      </c>
      <c r="G34" t="s">
        <v>337</v>
      </c>
      <c r="H34" t="s">
        <v>475</v>
      </c>
      <c r="I34">
        <v>7</v>
      </c>
      <c r="J34" s="21">
        <v>45336</v>
      </c>
      <c r="K34" s="21">
        <v>45703</v>
      </c>
      <c r="L34" t="s">
        <v>476</v>
      </c>
      <c r="M34" t="s">
        <v>477</v>
      </c>
      <c r="O34" t="s">
        <v>226</v>
      </c>
      <c r="P34">
        <v>5</v>
      </c>
      <c r="R34">
        <v>0.75</v>
      </c>
      <c r="S34">
        <v>3.75</v>
      </c>
      <c r="U34" t="s">
        <v>436</v>
      </c>
      <c r="V34" t="s">
        <v>437</v>
      </c>
      <c r="W34" t="s">
        <v>437</v>
      </c>
      <c r="Y34" t="s">
        <v>474</v>
      </c>
      <c r="AA34">
        <v>4.88</v>
      </c>
      <c r="AB34">
        <v>18.3</v>
      </c>
      <c r="AC34">
        <v>0</v>
      </c>
    </row>
    <row r="35" spans="2:29" ht="15" customHeight="1" x14ac:dyDescent="0.15">
      <c r="B35">
        <v>4</v>
      </c>
      <c r="C35" t="s">
        <v>386</v>
      </c>
      <c r="D35" t="s">
        <v>478</v>
      </c>
      <c r="E35">
        <v>1</v>
      </c>
      <c r="F35" t="s">
        <v>416</v>
      </c>
      <c r="G35" t="s">
        <v>316</v>
      </c>
      <c r="I35">
        <v>8</v>
      </c>
      <c r="J35" s="21">
        <v>45709</v>
      </c>
      <c r="K35" s="21">
        <v>45709</v>
      </c>
      <c r="L35" t="s">
        <v>479</v>
      </c>
      <c r="M35" t="s">
        <v>480</v>
      </c>
      <c r="O35" t="s">
        <v>226</v>
      </c>
      <c r="P35">
        <v>1</v>
      </c>
      <c r="R35">
        <v>0.5</v>
      </c>
      <c r="S35">
        <v>0.5</v>
      </c>
      <c r="U35" t="s">
        <v>391</v>
      </c>
      <c r="V35" t="s">
        <v>392</v>
      </c>
      <c r="W35" t="s">
        <v>392</v>
      </c>
      <c r="Y35" t="s">
        <v>481</v>
      </c>
      <c r="AA35">
        <v>5.33</v>
      </c>
      <c r="AB35">
        <v>2.67</v>
      </c>
      <c r="AC35">
        <v>0</v>
      </c>
    </row>
    <row r="36" spans="2:29" ht="15" customHeight="1" x14ac:dyDescent="0.15">
      <c r="B36">
        <v>4</v>
      </c>
      <c r="C36" t="s">
        <v>386</v>
      </c>
      <c r="D36" t="s">
        <v>482</v>
      </c>
      <c r="E36">
        <v>1</v>
      </c>
      <c r="F36" t="s">
        <v>219</v>
      </c>
      <c r="G36" t="s">
        <v>239</v>
      </c>
      <c r="H36" t="s">
        <v>420</v>
      </c>
      <c r="I36">
        <v>9</v>
      </c>
      <c r="J36" s="21">
        <v>45712</v>
      </c>
      <c r="K36" s="21">
        <v>45712</v>
      </c>
      <c r="L36" t="s">
        <v>483</v>
      </c>
      <c r="M36" t="s">
        <v>422</v>
      </c>
      <c r="O36" t="s">
        <v>220</v>
      </c>
      <c r="P36">
        <v>1</v>
      </c>
      <c r="R36">
        <v>0.27500000000000002</v>
      </c>
      <c r="S36">
        <v>0.27500000000000002</v>
      </c>
      <c r="U36" t="s">
        <v>391</v>
      </c>
      <c r="V36" t="s">
        <v>392</v>
      </c>
      <c r="W36" t="s">
        <v>392</v>
      </c>
      <c r="AA36">
        <v>109</v>
      </c>
      <c r="AB36">
        <v>29.98</v>
      </c>
      <c r="AC36">
        <v>0</v>
      </c>
    </row>
    <row r="37" spans="2:29" ht="15" customHeight="1" x14ac:dyDescent="0.15">
      <c r="B37">
        <v>4</v>
      </c>
      <c r="C37" t="s">
        <v>386</v>
      </c>
      <c r="D37" t="s">
        <v>484</v>
      </c>
      <c r="E37">
        <v>1</v>
      </c>
      <c r="F37" t="s">
        <v>219</v>
      </c>
      <c r="G37" t="s">
        <v>218</v>
      </c>
      <c r="H37" t="s">
        <v>485</v>
      </c>
      <c r="I37">
        <v>9</v>
      </c>
      <c r="J37" s="21">
        <v>45717</v>
      </c>
      <c r="K37" s="21">
        <v>45720</v>
      </c>
      <c r="L37" t="s">
        <v>486</v>
      </c>
      <c r="M37" t="s">
        <v>487</v>
      </c>
      <c r="O37" t="s">
        <v>220</v>
      </c>
      <c r="P37">
        <v>1</v>
      </c>
      <c r="R37">
        <v>0.1</v>
      </c>
      <c r="S37">
        <v>0.1</v>
      </c>
      <c r="U37" t="s">
        <v>391</v>
      </c>
      <c r="V37" t="s">
        <v>392</v>
      </c>
      <c r="W37" t="s">
        <v>392</v>
      </c>
      <c r="AA37">
        <v>201.2</v>
      </c>
      <c r="AB37">
        <v>20.12</v>
      </c>
      <c r="AC37">
        <v>0</v>
      </c>
    </row>
    <row r="38" spans="2:29" ht="15" customHeight="1" x14ac:dyDescent="0.15">
      <c r="B38">
        <v>4</v>
      </c>
      <c r="C38" t="s">
        <v>386</v>
      </c>
      <c r="D38" t="s">
        <v>488</v>
      </c>
      <c r="E38">
        <v>1</v>
      </c>
      <c r="F38" t="s">
        <v>219</v>
      </c>
      <c r="G38" t="s">
        <v>218</v>
      </c>
      <c r="H38" t="s">
        <v>433</v>
      </c>
      <c r="I38">
        <v>10</v>
      </c>
      <c r="J38" s="21">
        <v>45721</v>
      </c>
      <c r="K38" s="21">
        <v>45693</v>
      </c>
      <c r="L38" t="s">
        <v>489</v>
      </c>
      <c r="M38" t="s">
        <v>435</v>
      </c>
      <c r="O38" t="s">
        <v>220</v>
      </c>
      <c r="P38">
        <v>2</v>
      </c>
      <c r="R38">
        <v>0.1</v>
      </c>
      <c r="S38">
        <v>0.15</v>
      </c>
      <c r="U38" t="s">
        <v>436</v>
      </c>
      <c r="V38" t="s">
        <v>437</v>
      </c>
      <c r="W38" t="s">
        <v>437</v>
      </c>
      <c r="Y38" t="s">
        <v>438</v>
      </c>
      <c r="AA38">
        <v>18.55</v>
      </c>
      <c r="AB38">
        <v>2.78</v>
      </c>
      <c r="AC38">
        <v>0</v>
      </c>
    </row>
    <row r="39" spans="2:29" ht="15" customHeight="1" x14ac:dyDescent="0.15">
      <c r="B39">
        <v>4</v>
      </c>
      <c r="C39" t="s">
        <v>386</v>
      </c>
      <c r="D39" t="s">
        <v>488</v>
      </c>
      <c r="E39">
        <v>2</v>
      </c>
      <c r="F39" t="s">
        <v>219</v>
      </c>
      <c r="G39" t="s">
        <v>439</v>
      </c>
      <c r="H39" t="s">
        <v>448</v>
      </c>
      <c r="I39">
        <v>10</v>
      </c>
      <c r="J39" s="21">
        <v>45721</v>
      </c>
      <c r="K39" s="21">
        <v>45693</v>
      </c>
      <c r="L39" t="s">
        <v>490</v>
      </c>
      <c r="M39" t="s">
        <v>450</v>
      </c>
      <c r="O39" t="s">
        <v>220</v>
      </c>
      <c r="P39">
        <v>2</v>
      </c>
      <c r="R39">
        <v>3.5</v>
      </c>
      <c r="S39">
        <v>5.25</v>
      </c>
      <c r="U39" t="s">
        <v>436</v>
      </c>
      <c r="V39" t="s">
        <v>437</v>
      </c>
      <c r="W39" t="s">
        <v>437</v>
      </c>
      <c r="Y39" t="s">
        <v>438</v>
      </c>
      <c r="AA39">
        <v>20.54</v>
      </c>
      <c r="AB39">
        <v>107.84</v>
      </c>
      <c r="AC39">
        <v>0</v>
      </c>
    </row>
    <row r="40" spans="2:29" ht="15" customHeight="1" x14ac:dyDescent="0.15">
      <c r="B40">
        <v>4</v>
      </c>
      <c r="C40" t="s">
        <v>386</v>
      </c>
      <c r="D40" t="s">
        <v>488</v>
      </c>
      <c r="E40">
        <v>3</v>
      </c>
      <c r="F40" t="s">
        <v>219</v>
      </c>
      <c r="G40" t="s">
        <v>218</v>
      </c>
      <c r="H40" t="s">
        <v>443</v>
      </c>
      <c r="I40">
        <v>10</v>
      </c>
      <c r="J40" s="21">
        <v>45721</v>
      </c>
      <c r="K40" s="21">
        <v>45693</v>
      </c>
      <c r="L40" t="s">
        <v>491</v>
      </c>
      <c r="M40" t="s">
        <v>445</v>
      </c>
      <c r="O40" t="s">
        <v>220</v>
      </c>
      <c r="P40">
        <v>2</v>
      </c>
      <c r="R40">
        <v>0.05</v>
      </c>
      <c r="S40">
        <v>7.4999999999999997E-2</v>
      </c>
      <c r="U40" t="s">
        <v>436</v>
      </c>
      <c r="V40" t="s">
        <v>437</v>
      </c>
      <c r="W40" t="s">
        <v>437</v>
      </c>
      <c r="Y40" t="s">
        <v>438</v>
      </c>
      <c r="AA40">
        <v>60.65</v>
      </c>
      <c r="AB40">
        <v>4.55</v>
      </c>
      <c r="AC40">
        <v>0</v>
      </c>
    </row>
    <row r="41" spans="2:29" ht="15" hidden="1" customHeight="1" x14ac:dyDescent="0.15">
      <c r="B41">
        <v>4</v>
      </c>
      <c r="C41" t="s">
        <v>386</v>
      </c>
      <c r="D41" t="s">
        <v>492</v>
      </c>
      <c r="E41">
        <v>1</v>
      </c>
      <c r="F41" t="s">
        <v>219</v>
      </c>
      <c r="G41" t="s">
        <v>218</v>
      </c>
      <c r="H41" t="s">
        <v>493</v>
      </c>
      <c r="I41">
        <v>10</v>
      </c>
      <c r="J41" s="21">
        <v>45723</v>
      </c>
      <c r="K41" s="21">
        <v>45723</v>
      </c>
      <c r="L41" t="s">
        <v>494</v>
      </c>
      <c r="M41" t="s">
        <v>495</v>
      </c>
      <c r="O41" t="s">
        <v>226</v>
      </c>
      <c r="P41">
        <v>1</v>
      </c>
      <c r="R41">
        <v>3.3</v>
      </c>
      <c r="S41">
        <v>3.3</v>
      </c>
      <c r="V41" t="s">
        <v>496</v>
      </c>
      <c r="W41" t="s">
        <v>496</v>
      </c>
      <c r="Y41" t="s">
        <v>455</v>
      </c>
      <c r="AA41">
        <v>157.32</v>
      </c>
      <c r="AB41">
        <v>519.16</v>
      </c>
      <c r="AC41">
        <v>0</v>
      </c>
    </row>
    <row r="42" spans="2:29" ht="15" hidden="1" customHeight="1" x14ac:dyDescent="0.15">
      <c r="B42">
        <v>4</v>
      </c>
      <c r="C42" t="s">
        <v>386</v>
      </c>
      <c r="D42" t="s">
        <v>497</v>
      </c>
      <c r="E42">
        <v>1</v>
      </c>
      <c r="F42" t="s">
        <v>416</v>
      </c>
      <c r="G42" t="s">
        <v>416</v>
      </c>
      <c r="H42" t="s">
        <v>498</v>
      </c>
      <c r="I42">
        <v>11</v>
      </c>
      <c r="J42" s="21">
        <v>45726</v>
      </c>
      <c r="K42" s="21">
        <v>45726</v>
      </c>
      <c r="L42" t="s">
        <v>499</v>
      </c>
      <c r="M42" t="s">
        <v>498</v>
      </c>
      <c r="O42" t="s">
        <v>500</v>
      </c>
      <c r="P42">
        <v>1</v>
      </c>
      <c r="R42">
        <v>100</v>
      </c>
      <c r="S42">
        <v>100</v>
      </c>
      <c r="U42" t="s">
        <v>501</v>
      </c>
      <c r="V42" t="s">
        <v>496</v>
      </c>
      <c r="W42" t="s">
        <v>496</v>
      </c>
      <c r="AA42">
        <v>0.6</v>
      </c>
      <c r="AB42">
        <v>60</v>
      </c>
      <c r="AC42">
        <v>0</v>
      </c>
    </row>
    <row r="43" spans="2:29" ht="15" hidden="1" customHeight="1" x14ac:dyDescent="0.15">
      <c r="B43">
        <v>4</v>
      </c>
      <c r="C43" t="s">
        <v>386</v>
      </c>
      <c r="D43" t="s">
        <v>497</v>
      </c>
      <c r="E43">
        <v>2</v>
      </c>
      <c r="F43" t="s">
        <v>416</v>
      </c>
      <c r="G43" t="s">
        <v>416</v>
      </c>
      <c r="H43" t="s">
        <v>416</v>
      </c>
      <c r="I43">
        <v>11</v>
      </c>
      <c r="J43" s="21">
        <v>45726</v>
      </c>
      <c r="K43" s="21">
        <v>45726</v>
      </c>
      <c r="L43" t="s">
        <v>502</v>
      </c>
      <c r="M43" t="s">
        <v>503</v>
      </c>
      <c r="O43" t="s">
        <v>500</v>
      </c>
      <c r="P43">
        <v>1</v>
      </c>
      <c r="R43">
        <v>100</v>
      </c>
      <c r="S43">
        <v>100</v>
      </c>
      <c r="U43" t="s">
        <v>501</v>
      </c>
      <c r="V43" t="s">
        <v>496</v>
      </c>
      <c r="W43" t="s">
        <v>496</v>
      </c>
      <c r="AA43">
        <v>0.6</v>
      </c>
      <c r="AB43">
        <v>60</v>
      </c>
      <c r="AC43">
        <v>0</v>
      </c>
    </row>
    <row r="44" spans="2:29" ht="15" customHeight="1" x14ac:dyDescent="0.15">
      <c r="B44">
        <v>4</v>
      </c>
      <c r="C44" t="s">
        <v>386</v>
      </c>
      <c r="D44" t="s">
        <v>504</v>
      </c>
      <c r="E44">
        <v>1</v>
      </c>
      <c r="F44" t="s">
        <v>219</v>
      </c>
      <c r="G44" t="s">
        <v>218</v>
      </c>
      <c r="H44" t="s">
        <v>433</v>
      </c>
      <c r="I44">
        <v>11</v>
      </c>
      <c r="J44" s="21">
        <v>45731</v>
      </c>
      <c r="K44" s="21">
        <v>45737</v>
      </c>
      <c r="L44" t="s">
        <v>505</v>
      </c>
      <c r="M44" t="s">
        <v>435</v>
      </c>
      <c r="O44" t="s">
        <v>220</v>
      </c>
      <c r="P44">
        <v>0</v>
      </c>
      <c r="R44">
        <v>0.1</v>
      </c>
      <c r="S44">
        <v>3.0000000000000001E-3</v>
      </c>
      <c r="U44" t="s">
        <v>391</v>
      </c>
      <c r="V44" t="s">
        <v>392</v>
      </c>
      <c r="W44" t="s">
        <v>392</v>
      </c>
      <c r="Y44" t="s">
        <v>455</v>
      </c>
      <c r="AA44">
        <v>18.55</v>
      </c>
      <c r="AB44">
        <v>0.05</v>
      </c>
      <c r="AC44">
        <v>0</v>
      </c>
    </row>
    <row r="45" spans="2:29" ht="15" customHeight="1" x14ac:dyDescent="0.15">
      <c r="B45">
        <v>4</v>
      </c>
      <c r="C45" t="s">
        <v>386</v>
      </c>
      <c r="D45" t="s">
        <v>504</v>
      </c>
      <c r="E45">
        <v>2</v>
      </c>
      <c r="F45" t="s">
        <v>219</v>
      </c>
      <c r="G45" t="s">
        <v>239</v>
      </c>
      <c r="H45" t="s">
        <v>456</v>
      </c>
      <c r="I45">
        <v>11</v>
      </c>
      <c r="J45" s="21">
        <v>45731</v>
      </c>
      <c r="K45" s="21">
        <v>45737</v>
      </c>
      <c r="L45" t="s">
        <v>506</v>
      </c>
      <c r="M45" t="s">
        <v>458</v>
      </c>
      <c r="O45" t="s">
        <v>220</v>
      </c>
      <c r="P45">
        <v>0</v>
      </c>
      <c r="R45">
        <v>1</v>
      </c>
      <c r="S45">
        <v>2.5000000000000001E-2</v>
      </c>
      <c r="U45" t="s">
        <v>391</v>
      </c>
      <c r="V45" t="s">
        <v>392</v>
      </c>
      <c r="W45" t="s">
        <v>392</v>
      </c>
      <c r="Y45" t="s">
        <v>455</v>
      </c>
      <c r="AA45">
        <v>49.99</v>
      </c>
      <c r="AB45">
        <v>1.25</v>
      </c>
      <c r="AC45">
        <v>0</v>
      </c>
    </row>
    <row r="46" spans="2:29" ht="15" customHeight="1" x14ac:dyDescent="0.15">
      <c r="B46">
        <v>4</v>
      </c>
      <c r="C46" t="s">
        <v>386</v>
      </c>
      <c r="D46" t="s">
        <v>504</v>
      </c>
      <c r="E46">
        <v>3</v>
      </c>
      <c r="F46" t="s">
        <v>219</v>
      </c>
      <c r="G46" t="s">
        <v>239</v>
      </c>
      <c r="H46" t="s">
        <v>507</v>
      </c>
      <c r="I46">
        <v>11</v>
      </c>
      <c r="J46" s="21">
        <v>45731</v>
      </c>
      <c r="K46" s="21">
        <v>45737</v>
      </c>
      <c r="L46" t="s">
        <v>508</v>
      </c>
      <c r="M46" t="s">
        <v>509</v>
      </c>
      <c r="O46" t="s">
        <v>220</v>
      </c>
      <c r="P46">
        <v>0</v>
      </c>
      <c r="R46">
        <v>1</v>
      </c>
      <c r="S46">
        <v>2.5000000000000001E-2</v>
      </c>
      <c r="U46" t="s">
        <v>391</v>
      </c>
      <c r="V46" t="s">
        <v>392</v>
      </c>
      <c r="W46" t="s">
        <v>392</v>
      </c>
      <c r="Y46" t="s">
        <v>455</v>
      </c>
      <c r="AA46">
        <v>7.61</v>
      </c>
      <c r="AB46">
        <v>0.19</v>
      </c>
      <c r="AC46">
        <v>0</v>
      </c>
    </row>
    <row r="47" spans="2:29" ht="15" customHeight="1" x14ac:dyDescent="0.15">
      <c r="B47">
        <v>4</v>
      </c>
      <c r="C47" t="s">
        <v>386</v>
      </c>
      <c r="D47" t="s">
        <v>510</v>
      </c>
      <c r="E47">
        <v>1</v>
      </c>
      <c r="F47" t="s">
        <v>219</v>
      </c>
      <c r="G47" t="s">
        <v>244</v>
      </c>
      <c r="H47" t="s">
        <v>511</v>
      </c>
      <c r="I47">
        <v>13</v>
      </c>
      <c r="J47" s="21">
        <v>45744</v>
      </c>
      <c r="K47" s="21">
        <v>45744</v>
      </c>
      <c r="L47" t="s">
        <v>512</v>
      </c>
      <c r="M47" t="s">
        <v>513</v>
      </c>
      <c r="O47" t="s">
        <v>226</v>
      </c>
      <c r="P47">
        <v>1</v>
      </c>
      <c r="R47">
        <v>0.31</v>
      </c>
      <c r="S47">
        <v>0.31</v>
      </c>
      <c r="U47" t="s">
        <v>391</v>
      </c>
      <c r="V47" t="s">
        <v>392</v>
      </c>
      <c r="W47" t="s">
        <v>392</v>
      </c>
      <c r="AA47">
        <v>813.56</v>
      </c>
      <c r="AB47">
        <v>252.2</v>
      </c>
      <c r="AC47">
        <v>0</v>
      </c>
    </row>
    <row r="48" spans="2:29" ht="15" customHeight="1" x14ac:dyDescent="0.15">
      <c r="B48">
        <v>4</v>
      </c>
      <c r="C48" t="s">
        <v>386</v>
      </c>
      <c r="D48" t="s">
        <v>510</v>
      </c>
      <c r="E48">
        <v>2</v>
      </c>
      <c r="F48" t="s">
        <v>219</v>
      </c>
      <c r="G48" t="s">
        <v>244</v>
      </c>
      <c r="H48" t="s">
        <v>514</v>
      </c>
      <c r="I48">
        <v>13</v>
      </c>
      <c r="J48" s="21">
        <v>45744</v>
      </c>
      <c r="K48" s="21">
        <v>45744</v>
      </c>
      <c r="L48" t="s">
        <v>515</v>
      </c>
      <c r="M48" t="s">
        <v>516</v>
      </c>
      <c r="O48" t="s">
        <v>220</v>
      </c>
      <c r="P48">
        <v>1</v>
      </c>
      <c r="R48">
        <v>2.3E-2</v>
      </c>
      <c r="S48">
        <v>2.3E-2</v>
      </c>
      <c r="U48" t="s">
        <v>391</v>
      </c>
      <c r="V48" t="s">
        <v>392</v>
      </c>
      <c r="W48" t="s">
        <v>392</v>
      </c>
      <c r="AA48">
        <v>80.5</v>
      </c>
      <c r="AB48">
        <v>1.85</v>
      </c>
      <c r="AC48">
        <v>0</v>
      </c>
    </row>
    <row r="49" spans="2:29" ht="15" customHeight="1" x14ac:dyDescent="0.15">
      <c r="B49">
        <v>4</v>
      </c>
      <c r="C49" t="s">
        <v>386</v>
      </c>
      <c r="D49" t="s">
        <v>510</v>
      </c>
      <c r="E49">
        <v>3</v>
      </c>
      <c r="F49" t="s">
        <v>219</v>
      </c>
      <c r="G49" t="s">
        <v>239</v>
      </c>
      <c r="H49" t="s">
        <v>517</v>
      </c>
      <c r="I49">
        <v>13</v>
      </c>
      <c r="J49" s="21">
        <v>45744</v>
      </c>
      <c r="K49" s="21">
        <v>45744</v>
      </c>
      <c r="L49" t="s">
        <v>518</v>
      </c>
      <c r="M49" t="s">
        <v>519</v>
      </c>
      <c r="O49" t="s">
        <v>226</v>
      </c>
      <c r="P49">
        <v>1</v>
      </c>
      <c r="R49">
        <v>0.125</v>
      </c>
      <c r="S49">
        <v>0.125</v>
      </c>
      <c r="U49" t="s">
        <v>391</v>
      </c>
      <c r="V49" t="s">
        <v>392</v>
      </c>
      <c r="W49" t="s">
        <v>392</v>
      </c>
      <c r="AA49">
        <v>80.72</v>
      </c>
      <c r="AB49">
        <v>10.09</v>
      </c>
      <c r="AC49">
        <v>0</v>
      </c>
    </row>
    <row r="50" spans="2:29" ht="15" customHeight="1" x14ac:dyDescent="0.15">
      <c r="B50">
        <v>4</v>
      </c>
      <c r="C50" t="s">
        <v>386</v>
      </c>
      <c r="D50" t="s">
        <v>510</v>
      </c>
      <c r="E50">
        <v>4</v>
      </c>
      <c r="F50" t="s">
        <v>219</v>
      </c>
      <c r="G50" t="s">
        <v>239</v>
      </c>
      <c r="H50" t="s">
        <v>520</v>
      </c>
      <c r="I50">
        <v>13</v>
      </c>
      <c r="J50" s="21">
        <v>45744</v>
      </c>
      <c r="K50" s="21">
        <v>45744</v>
      </c>
      <c r="L50" t="s">
        <v>521</v>
      </c>
      <c r="M50" t="s">
        <v>522</v>
      </c>
      <c r="O50" t="s">
        <v>220</v>
      </c>
      <c r="P50">
        <v>1</v>
      </c>
      <c r="R50">
        <v>0.35</v>
      </c>
      <c r="S50">
        <v>0.35</v>
      </c>
      <c r="U50" t="s">
        <v>391</v>
      </c>
      <c r="V50" t="s">
        <v>392</v>
      </c>
      <c r="W50" t="s">
        <v>392</v>
      </c>
      <c r="AA50">
        <v>100.55</v>
      </c>
      <c r="AB50">
        <v>35.19</v>
      </c>
      <c r="AC50">
        <v>0</v>
      </c>
    </row>
    <row r="51" spans="2:29" ht="15" customHeight="1" x14ac:dyDescent="0.15">
      <c r="B51">
        <v>4</v>
      </c>
      <c r="C51" t="s">
        <v>386</v>
      </c>
      <c r="D51" t="s">
        <v>510</v>
      </c>
      <c r="E51">
        <v>5</v>
      </c>
      <c r="F51" t="s">
        <v>219</v>
      </c>
      <c r="G51" t="s">
        <v>218</v>
      </c>
      <c r="H51" t="s">
        <v>523</v>
      </c>
      <c r="I51">
        <v>13</v>
      </c>
      <c r="J51" s="21">
        <v>45744</v>
      </c>
      <c r="K51" s="21">
        <v>45744</v>
      </c>
      <c r="L51" t="s">
        <v>524</v>
      </c>
      <c r="M51" t="s">
        <v>525</v>
      </c>
      <c r="O51" t="s">
        <v>220</v>
      </c>
      <c r="P51">
        <v>1</v>
      </c>
      <c r="R51">
        <v>0.14000000000000001</v>
      </c>
      <c r="S51">
        <v>0.14000000000000001</v>
      </c>
      <c r="U51" t="s">
        <v>391</v>
      </c>
      <c r="V51" t="s">
        <v>392</v>
      </c>
      <c r="W51" t="s">
        <v>392</v>
      </c>
      <c r="AA51">
        <v>97.6</v>
      </c>
      <c r="AB51">
        <v>13.66</v>
      </c>
      <c r="AC51">
        <v>0</v>
      </c>
    </row>
    <row r="52" spans="2:29" ht="15" customHeight="1" x14ac:dyDescent="0.15">
      <c r="B52">
        <v>4</v>
      </c>
      <c r="C52" t="s">
        <v>386</v>
      </c>
      <c r="D52" t="s">
        <v>510</v>
      </c>
      <c r="E52">
        <v>6</v>
      </c>
      <c r="F52" t="s">
        <v>219</v>
      </c>
      <c r="G52" t="s">
        <v>218</v>
      </c>
      <c r="H52" t="s">
        <v>433</v>
      </c>
      <c r="I52">
        <v>13</v>
      </c>
      <c r="J52" s="21">
        <v>45744</v>
      </c>
      <c r="K52" s="21">
        <v>45744</v>
      </c>
      <c r="L52" t="s">
        <v>526</v>
      </c>
      <c r="M52" t="s">
        <v>435</v>
      </c>
      <c r="O52" t="s">
        <v>220</v>
      </c>
      <c r="P52">
        <v>1</v>
      </c>
      <c r="R52">
        <v>5.6000000000000001E-2</v>
      </c>
      <c r="S52">
        <v>5.6000000000000001E-2</v>
      </c>
      <c r="U52" t="s">
        <v>391</v>
      </c>
      <c r="V52" t="s">
        <v>392</v>
      </c>
      <c r="W52" t="s">
        <v>392</v>
      </c>
      <c r="AA52">
        <v>18.55</v>
      </c>
      <c r="AB52">
        <v>1.04</v>
      </c>
      <c r="AC52">
        <v>0</v>
      </c>
    </row>
    <row r="53" spans="2:29" ht="15" customHeight="1" x14ac:dyDescent="0.15">
      <c r="B53">
        <v>4</v>
      </c>
      <c r="C53" t="s">
        <v>386</v>
      </c>
      <c r="D53" t="s">
        <v>527</v>
      </c>
      <c r="E53">
        <v>1</v>
      </c>
      <c r="F53" t="s">
        <v>219</v>
      </c>
      <c r="G53" t="s">
        <v>218</v>
      </c>
      <c r="H53" t="s">
        <v>433</v>
      </c>
      <c r="I53">
        <v>14</v>
      </c>
      <c r="J53" s="21">
        <v>45747</v>
      </c>
      <c r="K53" s="21">
        <v>45748</v>
      </c>
      <c r="L53" t="s">
        <v>528</v>
      </c>
      <c r="M53" t="s">
        <v>529</v>
      </c>
      <c r="N53" s="22">
        <v>45748</v>
      </c>
      <c r="O53" t="s">
        <v>220</v>
      </c>
      <c r="P53">
        <v>4</v>
      </c>
      <c r="Q53">
        <v>1.05</v>
      </c>
      <c r="R53">
        <v>0.1</v>
      </c>
      <c r="S53">
        <v>0.4</v>
      </c>
      <c r="T53">
        <v>0.11</v>
      </c>
      <c r="U53" t="s">
        <v>530</v>
      </c>
      <c r="V53" t="s">
        <v>531</v>
      </c>
      <c r="W53" t="s">
        <v>532</v>
      </c>
      <c r="X53">
        <v>3.8</v>
      </c>
      <c r="Y53" t="s">
        <v>438</v>
      </c>
      <c r="AA53">
        <v>17.48</v>
      </c>
      <c r="AB53">
        <v>6.99</v>
      </c>
      <c r="AC53">
        <v>1.84</v>
      </c>
    </row>
    <row r="54" spans="2:29" ht="15" customHeight="1" x14ac:dyDescent="0.15">
      <c r="B54">
        <v>4</v>
      </c>
      <c r="C54" t="s">
        <v>386</v>
      </c>
      <c r="D54" t="s">
        <v>527</v>
      </c>
      <c r="E54">
        <v>2</v>
      </c>
      <c r="F54" t="s">
        <v>219</v>
      </c>
      <c r="G54" t="s">
        <v>439</v>
      </c>
      <c r="H54" t="s">
        <v>533</v>
      </c>
      <c r="I54">
        <v>14</v>
      </c>
      <c r="J54" s="21">
        <v>45747</v>
      </c>
      <c r="K54" s="21">
        <v>45748</v>
      </c>
      <c r="L54" t="s">
        <v>534</v>
      </c>
      <c r="M54" t="s">
        <v>535</v>
      </c>
      <c r="N54" s="22">
        <v>45748</v>
      </c>
      <c r="O54" t="s">
        <v>220</v>
      </c>
      <c r="P54">
        <v>1</v>
      </c>
      <c r="Q54">
        <v>0.39</v>
      </c>
      <c r="R54">
        <v>1.5</v>
      </c>
      <c r="S54">
        <v>2.2010000000000001</v>
      </c>
      <c r="T54">
        <v>0.57999999999999996</v>
      </c>
      <c r="U54" t="s">
        <v>530</v>
      </c>
      <c r="V54" t="s">
        <v>531</v>
      </c>
      <c r="W54" t="s">
        <v>532</v>
      </c>
      <c r="X54">
        <v>3.8</v>
      </c>
      <c r="Y54" t="s">
        <v>438</v>
      </c>
      <c r="AA54">
        <v>38.14</v>
      </c>
      <c r="AB54">
        <v>83.93</v>
      </c>
      <c r="AC54">
        <v>22.09</v>
      </c>
    </row>
    <row r="55" spans="2:29" ht="15" customHeight="1" x14ac:dyDescent="0.15">
      <c r="B55">
        <v>4</v>
      </c>
      <c r="C55" t="s">
        <v>386</v>
      </c>
      <c r="D55" t="s">
        <v>527</v>
      </c>
      <c r="E55">
        <v>3</v>
      </c>
      <c r="F55" t="s">
        <v>219</v>
      </c>
      <c r="G55" t="s">
        <v>439</v>
      </c>
      <c r="H55" t="s">
        <v>536</v>
      </c>
      <c r="I55">
        <v>14</v>
      </c>
      <c r="J55" s="21">
        <v>45747</v>
      </c>
      <c r="K55" s="21">
        <v>45748</v>
      </c>
      <c r="L55" t="s">
        <v>537</v>
      </c>
      <c r="M55" t="s">
        <v>538</v>
      </c>
      <c r="N55" s="22">
        <v>45748</v>
      </c>
      <c r="O55" t="s">
        <v>220</v>
      </c>
      <c r="P55">
        <v>1</v>
      </c>
      <c r="Q55">
        <v>0.18</v>
      </c>
      <c r="R55">
        <v>1.5</v>
      </c>
      <c r="S55">
        <v>1</v>
      </c>
      <c r="T55">
        <v>0.26</v>
      </c>
      <c r="U55" t="s">
        <v>530</v>
      </c>
      <c r="V55" t="s">
        <v>531</v>
      </c>
      <c r="W55" t="s">
        <v>532</v>
      </c>
      <c r="X55">
        <v>3.8</v>
      </c>
      <c r="Y55" t="s">
        <v>438</v>
      </c>
      <c r="AA55">
        <v>37</v>
      </c>
      <c r="AB55">
        <v>37</v>
      </c>
      <c r="AC55">
        <v>9.74</v>
      </c>
    </row>
    <row r="56" spans="2:29" ht="15" customHeight="1" x14ac:dyDescent="0.15">
      <c r="B56">
        <v>4</v>
      </c>
      <c r="C56" t="s">
        <v>386</v>
      </c>
      <c r="D56" t="s">
        <v>527</v>
      </c>
      <c r="E56">
        <v>4</v>
      </c>
      <c r="F56" t="s">
        <v>219</v>
      </c>
      <c r="G56" t="s">
        <v>439</v>
      </c>
      <c r="H56" t="s">
        <v>533</v>
      </c>
      <c r="I56">
        <v>14</v>
      </c>
      <c r="J56" s="21">
        <v>45747</v>
      </c>
      <c r="K56" s="21">
        <v>45748</v>
      </c>
      <c r="L56" t="s">
        <v>539</v>
      </c>
      <c r="M56" t="s">
        <v>540</v>
      </c>
      <c r="N56" s="22">
        <v>45748</v>
      </c>
      <c r="O56" t="s">
        <v>220</v>
      </c>
      <c r="P56">
        <v>2</v>
      </c>
      <c r="Q56">
        <v>0.49</v>
      </c>
      <c r="R56">
        <v>1.5</v>
      </c>
      <c r="S56">
        <v>2.7989999999999999</v>
      </c>
      <c r="T56">
        <v>0.74</v>
      </c>
      <c r="U56" t="s">
        <v>530</v>
      </c>
      <c r="V56" t="s">
        <v>531</v>
      </c>
      <c r="W56" t="s">
        <v>532</v>
      </c>
      <c r="X56">
        <v>3.8</v>
      </c>
      <c r="Y56" t="s">
        <v>438</v>
      </c>
      <c r="AA56">
        <v>37</v>
      </c>
      <c r="AB56">
        <v>103.56</v>
      </c>
      <c r="AC56">
        <v>27.25</v>
      </c>
    </row>
    <row r="57" spans="2:29" ht="15" hidden="1" customHeight="1" x14ac:dyDescent="0.15">
      <c r="B57">
        <v>4</v>
      </c>
      <c r="C57" t="s">
        <v>386</v>
      </c>
      <c r="D57" t="s">
        <v>541</v>
      </c>
      <c r="E57">
        <v>1</v>
      </c>
      <c r="F57" t="s">
        <v>416</v>
      </c>
      <c r="G57" t="s">
        <v>416</v>
      </c>
      <c r="H57" t="s">
        <v>498</v>
      </c>
      <c r="I57">
        <v>13</v>
      </c>
      <c r="J57" s="21">
        <v>45745</v>
      </c>
      <c r="K57" s="21">
        <v>45745</v>
      </c>
      <c r="L57" t="s">
        <v>542</v>
      </c>
      <c r="M57" t="s">
        <v>498</v>
      </c>
      <c r="O57" t="s">
        <v>500</v>
      </c>
      <c r="P57">
        <v>1</v>
      </c>
      <c r="R57">
        <v>100</v>
      </c>
      <c r="S57">
        <v>100</v>
      </c>
      <c r="U57" t="s">
        <v>501</v>
      </c>
      <c r="V57" t="s">
        <v>496</v>
      </c>
      <c r="W57" t="s">
        <v>496</v>
      </c>
      <c r="AA57">
        <v>0.6</v>
      </c>
      <c r="AB57">
        <v>60</v>
      </c>
      <c r="AC57">
        <v>0</v>
      </c>
    </row>
    <row r="58" spans="2:29" ht="15" customHeight="1" x14ac:dyDescent="0.15">
      <c r="B58">
        <v>4</v>
      </c>
      <c r="C58" t="s">
        <v>386</v>
      </c>
      <c r="D58" t="s">
        <v>543</v>
      </c>
      <c r="E58">
        <v>1</v>
      </c>
      <c r="F58" t="s">
        <v>219</v>
      </c>
      <c r="G58" t="s">
        <v>218</v>
      </c>
      <c r="H58" t="s">
        <v>433</v>
      </c>
      <c r="I58">
        <v>14</v>
      </c>
      <c r="J58" s="21">
        <v>45750</v>
      </c>
      <c r="K58" s="21">
        <v>45750</v>
      </c>
      <c r="L58" t="s">
        <v>544</v>
      </c>
      <c r="M58" t="s">
        <v>529</v>
      </c>
      <c r="N58" s="22">
        <v>45750</v>
      </c>
      <c r="O58" t="s">
        <v>220</v>
      </c>
      <c r="P58">
        <v>4</v>
      </c>
      <c r="Q58">
        <v>1</v>
      </c>
      <c r="R58">
        <v>0.1</v>
      </c>
      <c r="S58">
        <v>0.38</v>
      </c>
      <c r="T58">
        <v>0.1</v>
      </c>
      <c r="U58" t="s">
        <v>530</v>
      </c>
      <c r="V58" t="s">
        <v>531</v>
      </c>
      <c r="W58" t="s">
        <v>532</v>
      </c>
      <c r="X58">
        <v>3.8</v>
      </c>
      <c r="Y58" t="s">
        <v>455</v>
      </c>
      <c r="AA58">
        <v>17.48</v>
      </c>
      <c r="AB58">
        <v>6.64</v>
      </c>
      <c r="AC58">
        <v>1.75</v>
      </c>
    </row>
    <row r="59" spans="2:29" ht="15" customHeight="1" x14ac:dyDescent="0.15">
      <c r="B59">
        <v>4</v>
      </c>
      <c r="C59" t="s">
        <v>386</v>
      </c>
      <c r="D59" t="s">
        <v>543</v>
      </c>
      <c r="E59">
        <v>2</v>
      </c>
      <c r="F59" t="s">
        <v>219</v>
      </c>
      <c r="G59" t="s">
        <v>244</v>
      </c>
      <c r="H59" t="s">
        <v>545</v>
      </c>
      <c r="I59">
        <v>14</v>
      </c>
      <c r="J59" s="21">
        <v>45750</v>
      </c>
      <c r="K59" s="21">
        <v>45750</v>
      </c>
      <c r="L59" t="s">
        <v>546</v>
      </c>
      <c r="M59" t="s">
        <v>547</v>
      </c>
      <c r="N59" s="22">
        <v>45750</v>
      </c>
      <c r="O59" t="s">
        <v>220</v>
      </c>
      <c r="P59">
        <v>0</v>
      </c>
      <c r="Q59">
        <v>0.08</v>
      </c>
      <c r="R59">
        <v>0.3</v>
      </c>
      <c r="S59">
        <v>0.09</v>
      </c>
      <c r="T59">
        <v>0.02</v>
      </c>
      <c r="U59" t="s">
        <v>530</v>
      </c>
      <c r="V59" t="s">
        <v>531</v>
      </c>
      <c r="W59" t="s">
        <v>532</v>
      </c>
      <c r="X59">
        <v>3.8</v>
      </c>
      <c r="Y59" t="s">
        <v>455</v>
      </c>
      <c r="AA59">
        <v>97</v>
      </c>
      <c r="AB59">
        <v>8.73</v>
      </c>
      <c r="AC59">
        <v>2.2999999999999998</v>
      </c>
    </row>
    <row r="60" spans="2:29" ht="15" customHeight="1" x14ac:dyDescent="0.15">
      <c r="B60">
        <v>4</v>
      </c>
      <c r="C60" t="s">
        <v>386</v>
      </c>
      <c r="D60" t="s">
        <v>543</v>
      </c>
      <c r="E60">
        <v>3</v>
      </c>
      <c r="F60" t="s">
        <v>219</v>
      </c>
      <c r="G60" t="s">
        <v>244</v>
      </c>
      <c r="H60" t="s">
        <v>545</v>
      </c>
      <c r="I60">
        <v>14</v>
      </c>
      <c r="J60" s="21">
        <v>45750</v>
      </c>
      <c r="K60" s="21">
        <v>45750</v>
      </c>
      <c r="L60" t="s">
        <v>548</v>
      </c>
      <c r="M60" t="s">
        <v>549</v>
      </c>
      <c r="N60" s="22">
        <v>45750</v>
      </c>
      <c r="O60" t="s">
        <v>226</v>
      </c>
      <c r="P60">
        <v>1</v>
      </c>
      <c r="Q60">
        <v>0.13</v>
      </c>
      <c r="R60">
        <v>0.2</v>
      </c>
      <c r="S60">
        <v>0.1</v>
      </c>
      <c r="T60">
        <v>0.03</v>
      </c>
      <c r="U60" t="s">
        <v>530</v>
      </c>
      <c r="V60" t="s">
        <v>531</v>
      </c>
      <c r="W60" t="s">
        <v>532</v>
      </c>
      <c r="X60">
        <v>3.8</v>
      </c>
      <c r="Y60" t="s">
        <v>455</v>
      </c>
      <c r="AA60">
        <v>87.26</v>
      </c>
      <c r="AB60">
        <v>8.73</v>
      </c>
      <c r="AC60">
        <v>2.2999999999999998</v>
      </c>
    </row>
    <row r="61" spans="2:29" ht="15" customHeight="1" x14ac:dyDescent="0.15">
      <c r="B61">
        <v>4</v>
      </c>
      <c r="C61" t="s">
        <v>386</v>
      </c>
      <c r="D61" t="s">
        <v>543</v>
      </c>
      <c r="E61">
        <v>4</v>
      </c>
      <c r="F61" t="s">
        <v>219</v>
      </c>
      <c r="G61" t="s">
        <v>244</v>
      </c>
      <c r="H61" t="s">
        <v>545</v>
      </c>
      <c r="I61">
        <v>14</v>
      </c>
      <c r="J61" s="21">
        <v>45750</v>
      </c>
      <c r="K61" s="21">
        <v>45750</v>
      </c>
      <c r="L61" t="s">
        <v>550</v>
      </c>
      <c r="M61" t="s">
        <v>363</v>
      </c>
      <c r="N61" s="22">
        <v>45750</v>
      </c>
      <c r="O61" t="s">
        <v>226</v>
      </c>
      <c r="P61">
        <v>3</v>
      </c>
      <c r="Q61">
        <v>0.79</v>
      </c>
      <c r="R61">
        <v>0.2</v>
      </c>
      <c r="S61">
        <v>0.6</v>
      </c>
      <c r="T61">
        <v>0.16</v>
      </c>
      <c r="U61" t="s">
        <v>530</v>
      </c>
      <c r="V61" t="s">
        <v>531</v>
      </c>
      <c r="W61" t="s">
        <v>532</v>
      </c>
      <c r="X61">
        <v>3.8</v>
      </c>
      <c r="Y61" t="s">
        <v>455</v>
      </c>
      <c r="AA61">
        <v>91.2</v>
      </c>
      <c r="AB61">
        <v>54.72</v>
      </c>
      <c r="AC61">
        <v>14.4</v>
      </c>
    </row>
    <row r="62" spans="2:29" ht="15" customHeight="1" x14ac:dyDescent="0.15">
      <c r="B62">
        <v>4</v>
      </c>
      <c r="C62" t="s">
        <v>386</v>
      </c>
      <c r="D62" t="s">
        <v>543</v>
      </c>
      <c r="E62">
        <v>5</v>
      </c>
      <c r="F62" t="s">
        <v>219</v>
      </c>
      <c r="G62" t="s">
        <v>239</v>
      </c>
      <c r="H62" t="s">
        <v>551</v>
      </c>
      <c r="I62">
        <v>14</v>
      </c>
      <c r="J62" s="21">
        <v>45750</v>
      </c>
      <c r="K62" s="21">
        <v>45750</v>
      </c>
      <c r="L62" t="s">
        <v>552</v>
      </c>
      <c r="M62" t="s">
        <v>553</v>
      </c>
      <c r="N62" s="22">
        <v>45750</v>
      </c>
      <c r="O62" t="s">
        <v>220</v>
      </c>
      <c r="P62">
        <v>4</v>
      </c>
      <c r="Q62">
        <v>1</v>
      </c>
      <c r="R62">
        <v>0.5</v>
      </c>
      <c r="S62">
        <v>1.9</v>
      </c>
      <c r="T62">
        <v>0.5</v>
      </c>
      <c r="U62" t="s">
        <v>530</v>
      </c>
      <c r="V62" t="s">
        <v>531</v>
      </c>
      <c r="W62" t="s">
        <v>532</v>
      </c>
      <c r="X62">
        <v>3.8</v>
      </c>
      <c r="Y62" t="s">
        <v>455</v>
      </c>
      <c r="AA62">
        <v>110</v>
      </c>
      <c r="AB62">
        <v>209</v>
      </c>
      <c r="AC62">
        <v>55</v>
      </c>
    </row>
    <row r="63" spans="2:29" ht="15" customHeight="1" x14ac:dyDescent="0.15">
      <c r="B63">
        <v>4</v>
      </c>
      <c r="C63" t="s">
        <v>386</v>
      </c>
      <c r="D63" t="s">
        <v>543</v>
      </c>
      <c r="E63">
        <v>6</v>
      </c>
      <c r="F63" t="s">
        <v>219</v>
      </c>
      <c r="G63" t="s">
        <v>239</v>
      </c>
      <c r="H63" t="s">
        <v>456</v>
      </c>
      <c r="I63">
        <v>14</v>
      </c>
      <c r="J63" s="21">
        <v>45750</v>
      </c>
      <c r="K63" s="21">
        <v>45750</v>
      </c>
      <c r="L63" t="s">
        <v>554</v>
      </c>
      <c r="M63" t="s">
        <v>458</v>
      </c>
      <c r="N63" s="22">
        <v>45750</v>
      </c>
      <c r="O63" t="s">
        <v>220</v>
      </c>
      <c r="P63">
        <v>4</v>
      </c>
      <c r="Q63">
        <v>1</v>
      </c>
      <c r="R63">
        <v>3</v>
      </c>
      <c r="S63">
        <v>11.4</v>
      </c>
      <c r="T63">
        <v>3</v>
      </c>
      <c r="U63" t="s">
        <v>530</v>
      </c>
      <c r="V63" t="s">
        <v>531</v>
      </c>
      <c r="W63" t="s">
        <v>532</v>
      </c>
      <c r="X63">
        <v>3.8</v>
      </c>
      <c r="Y63" t="s">
        <v>455</v>
      </c>
      <c r="AA63">
        <v>49.99</v>
      </c>
      <c r="AB63">
        <v>569.89</v>
      </c>
      <c r="AC63">
        <v>149.97</v>
      </c>
    </row>
    <row r="64" spans="2:29" ht="15" customHeight="1" x14ac:dyDescent="0.15">
      <c r="B64">
        <v>4</v>
      </c>
      <c r="C64" t="s">
        <v>386</v>
      </c>
      <c r="D64" t="s">
        <v>555</v>
      </c>
      <c r="E64">
        <v>1</v>
      </c>
      <c r="F64" t="s">
        <v>556</v>
      </c>
      <c r="G64" t="s">
        <v>556</v>
      </c>
      <c r="H64" t="s">
        <v>557</v>
      </c>
      <c r="I64">
        <v>14</v>
      </c>
      <c r="J64" s="21">
        <v>45749</v>
      </c>
      <c r="K64" s="21">
        <v>45749</v>
      </c>
      <c r="L64" t="s">
        <v>558</v>
      </c>
      <c r="M64" t="s">
        <v>559</v>
      </c>
      <c r="O64" t="s">
        <v>226</v>
      </c>
      <c r="P64">
        <v>1</v>
      </c>
      <c r="R64">
        <v>10</v>
      </c>
      <c r="S64">
        <v>13.8</v>
      </c>
      <c r="U64" t="s">
        <v>436</v>
      </c>
      <c r="V64" t="s">
        <v>437</v>
      </c>
      <c r="W64" t="s">
        <v>437</v>
      </c>
      <c r="Y64" t="s">
        <v>560</v>
      </c>
      <c r="AB64">
        <v>0</v>
      </c>
      <c r="AC64">
        <v>0</v>
      </c>
    </row>
    <row r="65" spans="2:29" ht="15" customHeight="1" x14ac:dyDescent="0.15">
      <c r="B65">
        <v>4</v>
      </c>
      <c r="C65" t="s">
        <v>386</v>
      </c>
      <c r="D65" t="s">
        <v>561</v>
      </c>
      <c r="E65">
        <v>1</v>
      </c>
      <c r="F65" t="s">
        <v>416</v>
      </c>
      <c r="G65" t="s">
        <v>316</v>
      </c>
      <c r="H65" t="s">
        <v>562</v>
      </c>
      <c r="I65">
        <v>14</v>
      </c>
      <c r="J65" s="21">
        <v>45752</v>
      </c>
      <c r="K65" s="21">
        <v>45752</v>
      </c>
      <c r="L65" t="s">
        <v>563</v>
      </c>
      <c r="M65" t="s">
        <v>564</v>
      </c>
      <c r="N65" s="22">
        <v>45752</v>
      </c>
      <c r="O65" t="s">
        <v>565</v>
      </c>
      <c r="P65">
        <v>4</v>
      </c>
      <c r="Q65">
        <v>1</v>
      </c>
      <c r="R65">
        <v>6.5789999999999997</v>
      </c>
      <c r="S65">
        <v>25</v>
      </c>
      <c r="T65">
        <v>6.58</v>
      </c>
      <c r="U65" t="s">
        <v>530</v>
      </c>
      <c r="V65" t="s">
        <v>531</v>
      </c>
      <c r="W65" t="s">
        <v>532</v>
      </c>
      <c r="X65">
        <v>3.8</v>
      </c>
      <c r="Y65" t="s">
        <v>566</v>
      </c>
      <c r="AA65">
        <v>1.02</v>
      </c>
      <c r="AB65">
        <v>25.5</v>
      </c>
      <c r="AC65">
        <v>6.71</v>
      </c>
    </row>
    <row r="66" spans="2:29" ht="15" customHeight="1" x14ac:dyDescent="0.15">
      <c r="B66">
        <v>4</v>
      </c>
      <c r="C66" t="s">
        <v>386</v>
      </c>
      <c r="D66" t="s">
        <v>567</v>
      </c>
      <c r="E66">
        <v>1</v>
      </c>
      <c r="F66" t="s">
        <v>416</v>
      </c>
      <c r="G66" t="s">
        <v>316</v>
      </c>
      <c r="H66" t="s">
        <v>562</v>
      </c>
      <c r="I66">
        <v>15</v>
      </c>
      <c r="J66" s="21">
        <v>45755</v>
      </c>
      <c r="K66" s="21">
        <v>45755</v>
      </c>
      <c r="L66" t="s">
        <v>568</v>
      </c>
      <c r="M66" t="s">
        <v>564</v>
      </c>
      <c r="N66" s="22">
        <v>45755</v>
      </c>
      <c r="O66" t="s">
        <v>565</v>
      </c>
      <c r="P66">
        <v>1</v>
      </c>
      <c r="Q66">
        <v>0.26</v>
      </c>
      <c r="R66">
        <v>5</v>
      </c>
      <c r="S66">
        <v>5</v>
      </c>
      <c r="T66">
        <v>1.32</v>
      </c>
      <c r="U66" t="s">
        <v>530</v>
      </c>
      <c r="V66" t="s">
        <v>531</v>
      </c>
      <c r="W66" t="s">
        <v>532</v>
      </c>
      <c r="X66">
        <v>3.8</v>
      </c>
      <c r="Y66" t="s">
        <v>560</v>
      </c>
      <c r="AA66">
        <v>1.02</v>
      </c>
      <c r="AB66">
        <v>5.0999999999999996</v>
      </c>
      <c r="AC66">
        <v>1.34</v>
      </c>
    </row>
    <row r="67" spans="2:29" ht="15" customHeight="1" x14ac:dyDescent="0.15">
      <c r="B67">
        <v>4</v>
      </c>
      <c r="C67" t="s">
        <v>386</v>
      </c>
      <c r="D67" t="s">
        <v>569</v>
      </c>
      <c r="E67">
        <v>1</v>
      </c>
      <c r="F67" t="s">
        <v>219</v>
      </c>
      <c r="G67" t="s">
        <v>218</v>
      </c>
      <c r="H67" t="s">
        <v>433</v>
      </c>
      <c r="I67">
        <v>15</v>
      </c>
      <c r="J67" s="21">
        <v>45757</v>
      </c>
      <c r="K67" s="21">
        <v>45757</v>
      </c>
      <c r="L67" t="s">
        <v>570</v>
      </c>
      <c r="M67" t="s">
        <v>529</v>
      </c>
      <c r="N67" s="22">
        <v>45757</v>
      </c>
      <c r="O67" t="s">
        <v>220</v>
      </c>
      <c r="P67">
        <v>4</v>
      </c>
      <c r="Q67">
        <v>1</v>
      </c>
      <c r="R67">
        <v>0.1</v>
      </c>
      <c r="S67">
        <v>0.38</v>
      </c>
      <c r="T67">
        <v>0.1</v>
      </c>
      <c r="U67" t="s">
        <v>530</v>
      </c>
      <c r="V67" t="s">
        <v>531</v>
      </c>
      <c r="W67" t="s">
        <v>532</v>
      </c>
      <c r="X67">
        <v>3.8</v>
      </c>
      <c r="Y67" t="s">
        <v>455</v>
      </c>
      <c r="AA67">
        <v>17.48</v>
      </c>
      <c r="AB67">
        <v>6.64</v>
      </c>
      <c r="AC67">
        <v>1.75</v>
      </c>
    </row>
    <row r="68" spans="2:29" ht="15" customHeight="1" x14ac:dyDescent="0.15">
      <c r="B68">
        <v>4</v>
      </c>
      <c r="C68" t="s">
        <v>386</v>
      </c>
      <c r="D68" t="s">
        <v>569</v>
      </c>
      <c r="E68">
        <v>2</v>
      </c>
      <c r="F68" t="s">
        <v>219</v>
      </c>
      <c r="G68" t="s">
        <v>244</v>
      </c>
      <c r="H68" t="s">
        <v>571</v>
      </c>
      <c r="I68">
        <v>15</v>
      </c>
      <c r="J68" s="21">
        <v>45757</v>
      </c>
      <c r="K68" s="21">
        <v>45757</v>
      </c>
      <c r="L68" t="s">
        <v>572</v>
      </c>
      <c r="M68" t="s">
        <v>573</v>
      </c>
      <c r="N68" s="22">
        <v>45757</v>
      </c>
      <c r="O68" t="s">
        <v>220</v>
      </c>
      <c r="P68">
        <v>4</v>
      </c>
      <c r="Q68">
        <v>1</v>
      </c>
      <c r="R68">
        <v>0.5</v>
      </c>
      <c r="S68">
        <v>1.9</v>
      </c>
      <c r="T68">
        <v>0.5</v>
      </c>
      <c r="U68" t="s">
        <v>530</v>
      </c>
      <c r="V68" t="s">
        <v>531</v>
      </c>
      <c r="W68" t="s">
        <v>532</v>
      </c>
      <c r="X68">
        <v>3.8</v>
      </c>
      <c r="Y68" t="s">
        <v>455</v>
      </c>
      <c r="AA68">
        <v>73.98</v>
      </c>
      <c r="AB68">
        <v>140.56</v>
      </c>
      <c r="AC68">
        <v>36.99</v>
      </c>
    </row>
    <row r="69" spans="2:29" ht="15" customHeight="1" x14ac:dyDescent="0.15">
      <c r="B69">
        <v>4</v>
      </c>
      <c r="C69" t="s">
        <v>386</v>
      </c>
      <c r="D69" t="s">
        <v>569</v>
      </c>
      <c r="E69">
        <v>3</v>
      </c>
      <c r="F69" t="s">
        <v>219</v>
      </c>
      <c r="G69" t="s">
        <v>239</v>
      </c>
      <c r="H69" t="s">
        <v>456</v>
      </c>
      <c r="I69">
        <v>15</v>
      </c>
      <c r="J69" s="21">
        <v>45757</v>
      </c>
      <c r="K69" s="21">
        <v>45757</v>
      </c>
      <c r="L69" t="s">
        <v>574</v>
      </c>
      <c r="M69" t="s">
        <v>458</v>
      </c>
      <c r="N69" s="22">
        <v>45757</v>
      </c>
      <c r="O69" t="s">
        <v>220</v>
      </c>
      <c r="P69">
        <v>4</v>
      </c>
      <c r="Q69">
        <v>1</v>
      </c>
      <c r="R69">
        <v>3</v>
      </c>
      <c r="S69">
        <v>11.4</v>
      </c>
      <c r="T69">
        <v>3</v>
      </c>
      <c r="U69" t="s">
        <v>530</v>
      </c>
      <c r="V69" t="s">
        <v>531</v>
      </c>
      <c r="W69" t="s">
        <v>532</v>
      </c>
      <c r="X69">
        <v>3.8</v>
      </c>
      <c r="Y69" t="s">
        <v>455</v>
      </c>
      <c r="AA69">
        <v>49.99</v>
      </c>
      <c r="AB69">
        <v>569.89</v>
      </c>
      <c r="AC69">
        <v>149.97</v>
      </c>
    </row>
    <row r="70" spans="2:29" ht="15" customHeight="1" x14ac:dyDescent="0.15">
      <c r="B70">
        <v>4</v>
      </c>
      <c r="C70" t="s">
        <v>386</v>
      </c>
      <c r="D70" t="s">
        <v>569</v>
      </c>
      <c r="E70">
        <v>4</v>
      </c>
      <c r="F70" t="s">
        <v>219</v>
      </c>
      <c r="G70" t="s">
        <v>218</v>
      </c>
      <c r="H70" t="s">
        <v>493</v>
      </c>
      <c r="I70">
        <v>15</v>
      </c>
      <c r="J70" s="21">
        <v>45757</v>
      </c>
      <c r="K70" s="21">
        <v>45757</v>
      </c>
      <c r="L70" t="s">
        <v>575</v>
      </c>
      <c r="M70" t="s">
        <v>576</v>
      </c>
      <c r="N70" s="22">
        <v>45757</v>
      </c>
      <c r="O70" t="s">
        <v>220</v>
      </c>
      <c r="P70">
        <v>4</v>
      </c>
      <c r="Q70">
        <v>1</v>
      </c>
      <c r="R70">
        <v>0.2</v>
      </c>
      <c r="S70">
        <v>0.76</v>
      </c>
      <c r="T70">
        <v>0.2</v>
      </c>
      <c r="U70" t="s">
        <v>530</v>
      </c>
      <c r="V70" t="s">
        <v>531</v>
      </c>
      <c r="W70" t="s">
        <v>532</v>
      </c>
      <c r="X70">
        <v>3.8</v>
      </c>
      <c r="Y70" t="s">
        <v>455</v>
      </c>
      <c r="AA70">
        <v>101.77</v>
      </c>
      <c r="AB70">
        <v>77.349999999999994</v>
      </c>
      <c r="AC70">
        <v>20.350000000000001</v>
      </c>
    </row>
    <row r="71" spans="2:29" ht="15" customHeight="1" x14ac:dyDescent="0.15">
      <c r="B71">
        <v>4</v>
      </c>
      <c r="C71" t="s">
        <v>386</v>
      </c>
      <c r="D71" t="s">
        <v>577</v>
      </c>
      <c r="E71">
        <v>1</v>
      </c>
      <c r="F71" t="s">
        <v>219</v>
      </c>
      <c r="G71" t="s">
        <v>218</v>
      </c>
      <c r="H71" t="s">
        <v>433</v>
      </c>
      <c r="I71">
        <v>15</v>
      </c>
      <c r="J71" s="21">
        <v>45758</v>
      </c>
      <c r="K71" s="21">
        <v>45758</v>
      </c>
      <c r="L71" t="s">
        <v>578</v>
      </c>
      <c r="M71" t="s">
        <v>529</v>
      </c>
      <c r="O71" t="s">
        <v>220</v>
      </c>
      <c r="P71">
        <v>0</v>
      </c>
      <c r="R71">
        <v>0.1</v>
      </c>
      <c r="S71">
        <v>0.03</v>
      </c>
      <c r="U71" t="s">
        <v>579</v>
      </c>
      <c r="V71" t="s">
        <v>579</v>
      </c>
      <c r="W71" t="s">
        <v>496</v>
      </c>
      <c r="Y71" t="s">
        <v>438</v>
      </c>
      <c r="AA71">
        <v>17.48</v>
      </c>
      <c r="AB71">
        <v>0.52</v>
      </c>
      <c r="AC71">
        <v>0</v>
      </c>
    </row>
    <row r="72" spans="2:29" ht="15" customHeight="1" x14ac:dyDescent="0.15">
      <c r="B72">
        <v>4</v>
      </c>
      <c r="C72" t="s">
        <v>386</v>
      </c>
      <c r="D72" t="s">
        <v>577</v>
      </c>
      <c r="E72">
        <v>2</v>
      </c>
      <c r="F72" t="s">
        <v>219</v>
      </c>
      <c r="G72" t="s">
        <v>439</v>
      </c>
      <c r="H72" t="s">
        <v>448</v>
      </c>
      <c r="I72">
        <v>15</v>
      </c>
      <c r="J72" s="21">
        <v>45758</v>
      </c>
      <c r="K72" s="21">
        <v>45758</v>
      </c>
      <c r="L72" t="s">
        <v>580</v>
      </c>
      <c r="M72" t="s">
        <v>450</v>
      </c>
      <c r="O72" t="s">
        <v>220</v>
      </c>
      <c r="P72">
        <v>0</v>
      </c>
      <c r="R72">
        <v>3.5</v>
      </c>
      <c r="S72">
        <v>1.05</v>
      </c>
      <c r="U72" t="s">
        <v>579</v>
      </c>
      <c r="V72" t="s">
        <v>579</v>
      </c>
      <c r="W72" t="s">
        <v>496</v>
      </c>
      <c r="Y72" t="s">
        <v>438</v>
      </c>
      <c r="AA72">
        <v>20.54</v>
      </c>
      <c r="AB72">
        <v>21.57</v>
      </c>
      <c r="AC72">
        <v>0</v>
      </c>
    </row>
    <row r="73" spans="2:29" ht="15" customHeight="1" x14ac:dyDescent="0.15">
      <c r="B73">
        <v>4</v>
      </c>
      <c r="C73" t="s">
        <v>386</v>
      </c>
      <c r="D73" t="s">
        <v>577</v>
      </c>
      <c r="E73">
        <v>3</v>
      </c>
      <c r="F73" t="s">
        <v>219</v>
      </c>
      <c r="G73" t="s">
        <v>218</v>
      </c>
      <c r="H73" t="s">
        <v>581</v>
      </c>
      <c r="I73">
        <v>15</v>
      </c>
      <c r="J73" s="21">
        <v>45758</v>
      </c>
      <c r="K73" s="21">
        <v>45758</v>
      </c>
      <c r="L73" t="s">
        <v>582</v>
      </c>
      <c r="M73" t="s">
        <v>583</v>
      </c>
      <c r="O73" t="s">
        <v>220</v>
      </c>
      <c r="P73">
        <v>0</v>
      </c>
      <c r="R73">
        <v>0.1</v>
      </c>
      <c r="S73">
        <v>0.03</v>
      </c>
      <c r="U73" t="s">
        <v>579</v>
      </c>
      <c r="V73" t="s">
        <v>579</v>
      </c>
      <c r="W73" t="s">
        <v>496</v>
      </c>
      <c r="Y73" t="s">
        <v>438</v>
      </c>
      <c r="AA73">
        <v>76</v>
      </c>
      <c r="AB73">
        <v>2.2799999999999998</v>
      </c>
      <c r="AC73">
        <v>0</v>
      </c>
    </row>
    <row r="74" spans="2:29" ht="15" customHeight="1" x14ac:dyDescent="0.15">
      <c r="B74">
        <v>4</v>
      </c>
      <c r="C74" t="s">
        <v>386</v>
      </c>
      <c r="D74" t="s">
        <v>584</v>
      </c>
      <c r="E74">
        <v>1</v>
      </c>
      <c r="F74" t="s">
        <v>219</v>
      </c>
      <c r="G74" t="s">
        <v>218</v>
      </c>
      <c r="H74" t="s">
        <v>433</v>
      </c>
      <c r="I74">
        <v>15</v>
      </c>
      <c r="J74" s="21">
        <v>45759</v>
      </c>
      <c r="K74" s="21">
        <v>45759</v>
      </c>
      <c r="L74" t="s">
        <v>585</v>
      </c>
      <c r="M74" t="s">
        <v>529</v>
      </c>
      <c r="N74" s="22">
        <v>45759</v>
      </c>
      <c r="O74" t="s">
        <v>220</v>
      </c>
      <c r="P74">
        <v>1</v>
      </c>
      <c r="Q74">
        <v>0.17</v>
      </c>
      <c r="R74">
        <v>0.1</v>
      </c>
      <c r="S74">
        <v>6.5000000000000002E-2</v>
      </c>
      <c r="T74">
        <v>0.02</v>
      </c>
      <c r="U74" t="s">
        <v>530</v>
      </c>
      <c r="V74" t="s">
        <v>531</v>
      </c>
      <c r="W74" t="s">
        <v>532</v>
      </c>
      <c r="X74">
        <v>3.8</v>
      </c>
      <c r="Y74" t="s">
        <v>438</v>
      </c>
      <c r="AA74">
        <v>17.48</v>
      </c>
      <c r="AB74">
        <v>1.1399999999999999</v>
      </c>
      <c r="AC74">
        <v>0.3</v>
      </c>
    </row>
    <row r="75" spans="2:29" ht="15" customHeight="1" x14ac:dyDescent="0.15">
      <c r="B75">
        <v>4</v>
      </c>
      <c r="C75" t="s">
        <v>386</v>
      </c>
      <c r="D75" t="s">
        <v>584</v>
      </c>
      <c r="E75">
        <v>2</v>
      </c>
      <c r="F75" t="s">
        <v>219</v>
      </c>
      <c r="G75" t="s">
        <v>439</v>
      </c>
      <c r="H75" t="s">
        <v>448</v>
      </c>
      <c r="I75">
        <v>15</v>
      </c>
      <c r="J75" s="21">
        <v>45759</v>
      </c>
      <c r="K75" s="21">
        <v>45759</v>
      </c>
      <c r="L75" t="s">
        <v>586</v>
      </c>
      <c r="M75" t="s">
        <v>450</v>
      </c>
      <c r="N75" s="22">
        <v>45759</v>
      </c>
      <c r="O75" t="s">
        <v>220</v>
      </c>
      <c r="P75">
        <v>1</v>
      </c>
      <c r="Q75">
        <v>0.17</v>
      </c>
      <c r="R75">
        <v>3.5</v>
      </c>
      <c r="S75">
        <v>2.2749999999999999</v>
      </c>
      <c r="T75">
        <v>0.6</v>
      </c>
      <c r="U75" t="s">
        <v>530</v>
      </c>
      <c r="V75" t="s">
        <v>531</v>
      </c>
      <c r="W75" t="s">
        <v>532</v>
      </c>
      <c r="X75">
        <v>3.8</v>
      </c>
      <c r="Y75" t="s">
        <v>438</v>
      </c>
      <c r="AA75">
        <v>20.54</v>
      </c>
      <c r="AB75">
        <v>46.73</v>
      </c>
      <c r="AC75">
        <v>12.3</v>
      </c>
    </row>
    <row r="76" spans="2:29" ht="15" customHeight="1" x14ac:dyDescent="0.15">
      <c r="B76">
        <v>4</v>
      </c>
      <c r="C76" t="s">
        <v>386</v>
      </c>
      <c r="D76" t="s">
        <v>584</v>
      </c>
      <c r="E76">
        <v>3</v>
      </c>
      <c r="F76" t="s">
        <v>219</v>
      </c>
      <c r="G76" t="s">
        <v>218</v>
      </c>
      <c r="H76" t="s">
        <v>581</v>
      </c>
      <c r="I76">
        <v>15</v>
      </c>
      <c r="J76" s="21">
        <v>45759</v>
      </c>
      <c r="K76" s="21">
        <v>45759</v>
      </c>
      <c r="L76" t="s">
        <v>587</v>
      </c>
      <c r="M76" t="s">
        <v>583</v>
      </c>
      <c r="N76" s="22">
        <v>45759</v>
      </c>
      <c r="O76" t="s">
        <v>220</v>
      </c>
      <c r="P76">
        <v>1</v>
      </c>
      <c r="Q76">
        <v>0.17</v>
      </c>
      <c r="R76">
        <v>0.1</v>
      </c>
      <c r="S76">
        <v>6.5000000000000002E-2</v>
      </c>
      <c r="T76">
        <v>0.02</v>
      </c>
      <c r="U76" t="s">
        <v>530</v>
      </c>
      <c r="V76" t="s">
        <v>531</v>
      </c>
      <c r="W76" t="s">
        <v>532</v>
      </c>
      <c r="X76">
        <v>3.8</v>
      </c>
      <c r="Y76" t="s">
        <v>438</v>
      </c>
      <c r="AA76">
        <v>76</v>
      </c>
      <c r="AB76">
        <v>4.9400000000000004</v>
      </c>
      <c r="AC76">
        <v>1.3</v>
      </c>
    </row>
    <row r="77" spans="2:29" ht="15" customHeight="1" x14ac:dyDescent="0.15">
      <c r="B77">
        <v>4</v>
      </c>
      <c r="C77" t="s">
        <v>386</v>
      </c>
      <c r="D77" t="s">
        <v>588</v>
      </c>
      <c r="E77">
        <v>1</v>
      </c>
      <c r="F77" t="s">
        <v>219</v>
      </c>
      <c r="G77" t="s">
        <v>218</v>
      </c>
      <c r="H77" t="s">
        <v>433</v>
      </c>
      <c r="I77">
        <v>16</v>
      </c>
      <c r="J77" s="21">
        <v>45761</v>
      </c>
      <c r="K77" s="21">
        <v>45763</v>
      </c>
      <c r="L77" t="s">
        <v>589</v>
      </c>
      <c r="M77" t="s">
        <v>529</v>
      </c>
      <c r="N77" s="22">
        <v>45763</v>
      </c>
      <c r="O77" t="s">
        <v>220</v>
      </c>
      <c r="P77">
        <v>4</v>
      </c>
      <c r="Q77">
        <v>1</v>
      </c>
      <c r="R77">
        <v>0.1</v>
      </c>
      <c r="S77">
        <v>0.38</v>
      </c>
      <c r="T77">
        <v>0.1</v>
      </c>
      <c r="U77" t="s">
        <v>530</v>
      </c>
      <c r="V77" t="s">
        <v>531</v>
      </c>
      <c r="W77" t="s">
        <v>532</v>
      </c>
      <c r="X77">
        <v>3.8</v>
      </c>
      <c r="Y77" t="s">
        <v>455</v>
      </c>
      <c r="AA77">
        <v>17.48</v>
      </c>
      <c r="AB77">
        <v>6.64</v>
      </c>
      <c r="AC77">
        <v>1.75</v>
      </c>
    </row>
    <row r="78" spans="2:29" ht="15" customHeight="1" x14ac:dyDescent="0.15">
      <c r="B78">
        <v>4</v>
      </c>
      <c r="C78" t="s">
        <v>386</v>
      </c>
      <c r="D78" t="s">
        <v>588</v>
      </c>
      <c r="E78">
        <v>2</v>
      </c>
      <c r="F78" t="s">
        <v>219</v>
      </c>
      <c r="G78" t="s">
        <v>218</v>
      </c>
      <c r="H78" t="s">
        <v>493</v>
      </c>
      <c r="I78">
        <v>16</v>
      </c>
      <c r="J78" s="21">
        <v>45761</v>
      </c>
      <c r="K78" s="21">
        <v>45763</v>
      </c>
      <c r="L78" t="s">
        <v>590</v>
      </c>
      <c r="M78" t="s">
        <v>576</v>
      </c>
      <c r="N78" s="22">
        <v>45763</v>
      </c>
      <c r="O78" t="s">
        <v>220</v>
      </c>
      <c r="P78">
        <v>4</v>
      </c>
      <c r="Q78">
        <v>1</v>
      </c>
      <c r="R78">
        <v>0.2</v>
      </c>
      <c r="S78">
        <v>0.76</v>
      </c>
      <c r="T78">
        <v>0.2</v>
      </c>
      <c r="U78" t="s">
        <v>530</v>
      </c>
      <c r="V78" t="s">
        <v>531</v>
      </c>
      <c r="W78" t="s">
        <v>532</v>
      </c>
      <c r="X78">
        <v>3.8</v>
      </c>
      <c r="Y78" t="s">
        <v>455</v>
      </c>
      <c r="AA78">
        <v>101.77</v>
      </c>
      <c r="AB78">
        <v>77.349999999999994</v>
      </c>
      <c r="AC78">
        <v>20.350000000000001</v>
      </c>
    </row>
    <row r="79" spans="2:29" ht="15" customHeight="1" x14ac:dyDescent="0.15">
      <c r="B79">
        <v>4</v>
      </c>
      <c r="C79" t="s">
        <v>386</v>
      </c>
      <c r="D79" t="s">
        <v>588</v>
      </c>
      <c r="E79">
        <v>3</v>
      </c>
      <c r="F79" t="s">
        <v>219</v>
      </c>
      <c r="G79" t="s">
        <v>244</v>
      </c>
      <c r="H79" t="s">
        <v>591</v>
      </c>
      <c r="I79">
        <v>16</v>
      </c>
      <c r="J79" s="21">
        <v>45761</v>
      </c>
      <c r="K79" s="21">
        <v>45763</v>
      </c>
      <c r="L79" t="s">
        <v>592</v>
      </c>
      <c r="M79" t="s">
        <v>593</v>
      </c>
      <c r="N79" s="22">
        <v>45763</v>
      </c>
      <c r="O79" t="s">
        <v>220</v>
      </c>
      <c r="P79">
        <v>4</v>
      </c>
      <c r="Q79">
        <v>1</v>
      </c>
      <c r="R79">
        <v>2</v>
      </c>
      <c r="S79">
        <v>7.6</v>
      </c>
      <c r="T79">
        <v>2</v>
      </c>
      <c r="U79" t="s">
        <v>530</v>
      </c>
      <c r="V79" t="s">
        <v>531</v>
      </c>
      <c r="W79" t="s">
        <v>532</v>
      </c>
      <c r="X79">
        <v>3.8</v>
      </c>
      <c r="Y79" t="s">
        <v>455</v>
      </c>
      <c r="AA79">
        <v>37.58</v>
      </c>
      <c r="AB79">
        <v>285.57</v>
      </c>
      <c r="AC79">
        <v>75.150000000000006</v>
      </c>
    </row>
    <row r="80" spans="2:29" ht="15" customHeight="1" x14ac:dyDescent="0.15">
      <c r="B80">
        <v>4</v>
      </c>
      <c r="C80" t="s">
        <v>386</v>
      </c>
      <c r="D80" t="s">
        <v>588</v>
      </c>
      <c r="E80">
        <v>4</v>
      </c>
      <c r="F80" t="s">
        <v>219</v>
      </c>
      <c r="G80" t="s">
        <v>239</v>
      </c>
      <c r="H80" t="s">
        <v>456</v>
      </c>
      <c r="I80">
        <v>16</v>
      </c>
      <c r="J80" s="21">
        <v>45761</v>
      </c>
      <c r="K80" s="21">
        <v>45763</v>
      </c>
      <c r="L80" t="s">
        <v>594</v>
      </c>
      <c r="M80" t="s">
        <v>458</v>
      </c>
      <c r="N80" s="22">
        <v>45763</v>
      </c>
      <c r="O80" t="s">
        <v>220</v>
      </c>
      <c r="P80">
        <v>4</v>
      </c>
      <c r="Q80">
        <v>1</v>
      </c>
      <c r="R80">
        <v>3</v>
      </c>
      <c r="S80">
        <v>11.4</v>
      </c>
      <c r="T80">
        <v>3</v>
      </c>
      <c r="U80" t="s">
        <v>530</v>
      </c>
      <c r="V80" t="s">
        <v>531</v>
      </c>
      <c r="W80" t="s">
        <v>532</v>
      </c>
      <c r="X80">
        <v>3.8</v>
      </c>
      <c r="Y80" t="s">
        <v>455</v>
      </c>
      <c r="AA80">
        <v>49.99</v>
      </c>
      <c r="AB80">
        <v>569.89</v>
      </c>
      <c r="AC80">
        <v>149.97</v>
      </c>
    </row>
    <row r="81" spans="2:29" ht="15" customHeight="1" x14ac:dyDescent="0.15">
      <c r="B81">
        <v>4</v>
      </c>
      <c r="C81" t="s">
        <v>386</v>
      </c>
      <c r="D81" t="s">
        <v>595</v>
      </c>
      <c r="E81">
        <v>1</v>
      </c>
      <c r="F81" t="s">
        <v>219</v>
      </c>
      <c r="G81" t="s">
        <v>239</v>
      </c>
      <c r="H81" t="s">
        <v>596</v>
      </c>
      <c r="I81">
        <v>17</v>
      </c>
      <c r="J81" s="21">
        <v>45769</v>
      </c>
      <c r="K81" s="21">
        <v>45769</v>
      </c>
      <c r="L81" t="s">
        <v>597</v>
      </c>
      <c r="M81" t="s">
        <v>598</v>
      </c>
      <c r="N81" s="22">
        <v>45769</v>
      </c>
      <c r="O81" t="s">
        <v>226</v>
      </c>
      <c r="P81">
        <v>0</v>
      </c>
      <c r="Q81">
        <v>0.03</v>
      </c>
      <c r="R81">
        <v>30</v>
      </c>
      <c r="S81">
        <v>3</v>
      </c>
      <c r="T81">
        <v>0.79</v>
      </c>
      <c r="U81" t="s">
        <v>530</v>
      </c>
      <c r="V81" t="s">
        <v>531</v>
      </c>
      <c r="W81" t="s">
        <v>532</v>
      </c>
      <c r="X81">
        <v>3.8</v>
      </c>
      <c r="Y81" t="s">
        <v>599</v>
      </c>
      <c r="AA81">
        <v>0</v>
      </c>
      <c r="AB81">
        <v>0</v>
      </c>
      <c r="AC81">
        <v>0</v>
      </c>
    </row>
    <row r="82" spans="2:29" ht="15" customHeight="1" x14ac:dyDescent="0.15">
      <c r="B82">
        <v>4</v>
      </c>
      <c r="C82" t="s">
        <v>386</v>
      </c>
      <c r="D82" t="s">
        <v>600</v>
      </c>
      <c r="E82">
        <v>1</v>
      </c>
      <c r="F82" t="s">
        <v>219</v>
      </c>
      <c r="G82" t="s">
        <v>218</v>
      </c>
      <c r="H82" t="s">
        <v>433</v>
      </c>
      <c r="I82">
        <v>17</v>
      </c>
      <c r="J82" s="21">
        <v>45772</v>
      </c>
      <c r="K82" s="21">
        <v>45772</v>
      </c>
      <c r="L82" t="s">
        <v>601</v>
      </c>
      <c r="M82" t="s">
        <v>529</v>
      </c>
      <c r="N82" s="22">
        <v>45772</v>
      </c>
      <c r="O82" t="s">
        <v>220</v>
      </c>
      <c r="P82">
        <v>1</v>
      </c>
      <c r="Q82">
        <v>0.21</v>
      </c>
      <c r="R82">
        <v>0.1</v>
      </c>
      <c r="S82">
        <v>0.08</v>
      </c>
      <c r="T82">
        <v>0.02</v>
      </c>
      <c r="U82" t="s">
        <v>530</v>
      </c>
      <c r="V82" t="s">
        <v>531</v>
      </c>
      <c r="W82" t="s">
        <v>532</v>
      </c>
      <c r="X82">
        <v>3.8</v>
      </c>
      <c r="Y82" t="s">
        <v>455</v>
      </c>
      <c r="AA82">
        <v>17.48</v>
      </c>
      <c r="AB82">
        <v>1.4</v>
      </c>
      <c r="AC82">
        <v>0.37</v>
      </c>
    </row>
    <row r="83" spans="2:29" ht="15" customHeight="1" x14ac:dyDescent="0.15">
      <c r="B83">
        <v>4</v>
      </c>
      <c r="C83" t="s">
        <v>386</v>
      </c>
      <c r="D83" t="s">
        <v>600</v>
      </c>
      <c r="E83">
        <v>2</v>
      </c>
      <c r="F83" t="s">
        <v>219</v>
      </c>
      <c r="G83" t="s">
        <v>239</v>
      </c>
      <c r="H83" t="s">
        <v>602</v>
      </c>
      <c r="I83">
        <v>17</v>
      </c>
      <c r="J83" s="21">
        <v>45772</v>
      </c>
      <c r="K83" s="21">
        <v>45772</v>
      </c>
      <c r="L83" t="s">
        <v>603</v>
      </c>
      <c r="M83" t="s">
        <v>258</v>
      </c>
      <c r="N83" s="22">
        <v>45772</v>
      </c>
      <c r="O83" t="s">
        <v>220</v>
      </c>
      <c r="P83">
        <v>1</v>
      </c>
      <c r="Q83">
        <v>0.21</v>
      </c>
      <c r="R83">
        <v>0.5</v>
      </c>
      <c r="S83">
        <v>0.4</v>
      </c>
      <c r="T83">
        <v>0.11</v>
      </c>
      <c r="U83" t="s">
        <v>530</v>
      </c>
      <c r="V83" t="s">
        <v>531</v>
      </c>
      <c r="W83" t="s">
        <v>532</v>
      </c>
      <c r="X83">
        <v>3.8</v>
      </c>
      <c r="Y83" t="s">
        <v>455</v>
      </c>
      <c r="AA83">
        <v>180</v>
      </c>
      <c r="AB83">
        <v>72</v>
      </c>
      <c r="AC83">
        <v>18.95</v>
      </c>
    </row>
    <row r="84" spans="2:29" ht="15" customHeight="1" x14ac:dyDescent="0.15">
      <c r="B84">
        <v>4</v>
      </c>
      <c r="C84" t="s">
        <v>386</v>
      </c>
      <c r="D84" t="s">
        <v>600</v>
      </c>
      <c r="E84">
        <v>3</v>
      </c>
      <c r="F84" t="s">
        <v>219</v>
      </c>
      <c r="G84" t="s">
        <v>239</v>
      </c>
      <c r="H84" t="s">
        <v>604</v>
      </c>
      <c r="I84">
        <v>17</v>
      </c>
      <c r="J84" s="21">
        <v>45772</v>
      </c>
      <c r="K84" s="21">
        <v>45772</v>
      </c>
      <c r="L84" t="s">
        <v>605</v>
      </c>
      <c r="M84" t="s">
        <v>606</v>
      </c>
      <c r="N84" s="22">
        <v>45772</v>
      </c>
      <c r="O84" t="s">
        <v>220</v>
      </c>
      <c r="P84">
        <v>1</v>
      </c>
      <c r="Q84">
        <v>0.21</v>
      </c>
      <c r="R84">
        <v>0.2</v>
      </c>
      <c r="S84">
        <v>0.16</v>
      </c>
      <c r="T84">
        <v>0.04</v>
      </c>
      <c r="U84" t="s">
        <v>530</v>
      </c>
      <c r="V84" t="s">
        <v>531</v>
      </c>
      <c r="W84" t="s">
        <v>532</v>
      </c>
      <c r="X84">
        <v>3.8</v>
      </c>
      <c r="Y84" t="s">
        <v>455</v>
      </c>
      <c r="AA84">
        <v>96.28</v>
      </c>
      <c r="AB84">
        <v>15.4</v>
      </c>
      <c r="AC84">
        <v>4.05</v>
      </c>
    </row>
    <row r="85" spans="2:29" ht="15" customHeight="1" x14ac:dyDescent="0.15">
      <c r="B85">
        <v>4</v>
      </c>
      <c r="C85" t="s">
        <v>386</v>
      </c>
      <c r="D85" t="s">
        <v>600</v>
      </c>
      <c r="E85">
        <v>4</v>
      </c>
      <c r="F85" t="s">
        <v>219</v>
      </c>
      <c r="G85" t="s">
        <v>239</v>
      </c>
      <c r="H85" t="s">
        <v>607</v>
      </c>
      <c r="I85">
        <v>17</v>
      </c>
      <c r="J85" s="21">
        <v>45772</v>
      </c>
      <c r="K85" s="21">
        <v>45772</v>
      </c>
      <c r="L85" t="s">
        <v>608</v>
      </c>
      <c r="M85" t="s">
        <v>609</v>
      </c>
      <c r="N85" s="22">
        <v>45772</v>
      </c>
      <c r="O85" t="s">
        <v>220</v>
      </c>
      <c r="P85">
        <v>1</v>
      </c>
      <c r="Q85">
        <v>0.21</v>
      </c>
      <c r="R85">
        <v>0.5</v>
      </c>
      <c r="S85">
        <v>0.4</v>
      </c>
      <c r="T85">
        <v>0.11</v>
      </c>
      <c r="U85" t="s">
        <v>530</v>
      </c>
      <c r="V85" t="s">
        <v>531</v>
      </c>
      <c r="W85" t="s">
        <v>532</v>
      </c>
      <c r="X85">
        <v>3.8</v>
      </c>
      <c r="Y85" t="s">
        <v>455</v>
      </c>
      <c r="AC85">
        <v>0</v>
      </c>
    </row>
    <row r="86" spans="2:29" ht="15" customHeight="1" x14ac:dyDescent="0.15">
      <c r="B86">
        <v>4</v>
      </c>
      <c r="C86" t="s">
        <v>386</v>
      </c>
      <c r="D86" t="s">
        <v>610</v>
      </c>
      <c r="E86">
        <v>1</v>
      </c>
      <c r="F86" t="s">
        <v>219</v>
      </c>
      <c r="G86" t="s">
        <v>218</v>
      </c>
      <c r="H86" t="s">
        <v>433</v>
      </c>
      <c r="I86">
        <v>18</v>
      </c>
      <c r="J86" s="21">
        <v>45775</v>
      </c>
      <c r="K86" s="21">
        <v>45776</v>
      </c>
      <c r="L86" t="s">
        <v>611</v>
      </c>
      <c r="M86" t="s">
        <v>529</v>
      </c>
      <c r="N86" s="22">
        <v>45776</v>
      </c>
      <c r="O86" t="s">
        <v>220</v>
      </c>
      <c r="P86">
        <v>4</v>
      </c>
      <c r="Q86">
        <v>1</v>
      </c>
      <c r="R86">
        <v>0.1</v>
      </c>
      <c r="S86">
        <v>0.38</v>
      </c>
      <c r="T86">
        <v>0.1</v>
      </c>
      <c r="U86" t="s">
        <v>530</v>
      </c>
      <c r="V86" t="s">
        <v>531</v>
      </c>
      <c r="W86" t="s">
        <v>532</v>
      </c>
      <c r="X86">
        <v>3.8</v>
      </c>
      <c r="Y86" t="s">
        <v>455</v>
      </c>
      <c r="AA86">
        <v>17.48</v>
      </c>
      <c r="AB86">
        <v>6.64</v>
      </c>
      <c r="AC86">
        <v>1.75</v>
      </c>
    </row>
    <row r="87" spans="2:29" ht="15" customHeight="1" x14ac:dyDescent="0.15">
      <c r="B87">
        <v>4</v>
      </c>
      <c r="C87" t="s">
        <v>386</v>
      </c>
      <c r="D87" t="s">
        <v>610</v>
      </c>
      <c r="E87">
        <v>2</v>
      </c>
      <c r="F87" t="s">
        <v>219</v>
      </c>
      <c r="G87" t="s">
        <v>244</v>
      </c>
      <c r="H87" t="s">
        <v>591</v>
      </c>
      <c r="I87">
        <v>18</v>
      </c>
      <c r="J87" s="21">
        <v>45775</v>
      </c>
      <c r="K87" s="21">
        <v>45776</v>
      </c>
      <c r="L87" t="s">
        <v>612</v>
      </c>
      <c r="M87" t="s">
        <v>593</v>
      </c>
      <c r="N87" s="22">
        <v>45776</v>
      </c>
      <c r="O87" t="s">
        <v>220</v>
      </c>
      <c r="P87">
        <v>3</v>
      </c>
      <c r="Q87">
        <v>0.79</v>
      </c>
      <c r="R87">
        <v>2</v>
      </c>
      <c r="S87">
        <v>6</v>
      </c>
      <c r="T87">
        <v>1.58</v>
      </c>
      <c r="U87" t="s">
        <v>530</v>
      </c>
      <c r="V87" t="s">
        <v>531</v>
      </c>
      <c r="W87" t="s">
        <v>532</v>
      </c>
      <c r="X87">
        <v>3.8</v>
      </c>
      <c r="Y87" t="s">
        <v>455</v>
      </c>
      <c r="AA87">
        <v>37.58</v>
      </c>
      <c r="AB87">
        <v>225.45</v>
      </c>
      <c r="AC87">
        <v>59.33</v>
      </c>
    </row>
    <row r="88" spans="2:29" ht="15" customHeight="1" x14ac:dyDescent="0.15">
      <c r="B88">
        <v>4</v>
      </c>
      <c r="C88" t="s">
        <v>386</v>
      </c>
      <c r="D88" t="s">
        <v>610</v>
      </c>
      <c r="E88">
        <v>3</v>
      </c>
      <c r="F88" t="s">
        <v>219</v>
      </c>
      <c r="G88" t="s">
        <v>239</v>
      </c>
      <c r="H88" t="s">
        <v>517</v>
      </c>
      <c r="I88">
        <v>18</v>
      </c>
      <c r="J88" s="21">
        <v>45775</v>
      </c>
      <c r="K88" s="21">
        <v>45776</v>
      </c>
      <c r="L88" t="s">
        <v>613</v>
      </c>
      <c r="M88" t="s">
        <v>614</v>
      </c>
      <c r="N88" s="22">
        <v>45776</v>
      </c>
      <c r="O88" t="s">
        <v>220</v>
      </c>
      <c r="P88">
        <v>4</v>
      </c>
      <c r="Q88">
        <v>1</v>
      </c>
      <c r="R88">
        <v>0.5</v>
      </c>
      <c r="S88">
        <v>1.9</v>
      </c>
      <c r="T88">
        <v>0.5</v>
      </c>
      <c r="U88" t="s">
        <v>530</v>
      </c>
      <c r="V88" t="s">
        <v>531</v>
      </c>
      <c r="W88" t="s">
        <v>532</v>
      </c>
      <c r="X88">
        <v>3.8</v>
      </c>
      <c r="Y88" t="s">
        <v>455</v>
      </c>
      <c r="AA88">
        <v>65</v>
      </c>
      <c r="AB88">
        <v>123.5</v>
      </c>
      <c r="AC88">
        <v>32.5</v>
      </c>
    </row>
    <row r="89" spans="2:29" ht="15" customHeight="1" x14ac:dyDescent="0.15">
      <c r="B89">
        <v>4</v>
      </c>
      <c r="C89" t="s">
        <v>386</v>
      </c>
      <c r="D89" t="s">
        <v>610</v>
      </c>
      <c r="E89">
        <v>4</v>
      </c>
      <c r="F89" t="s">
        <v>219</v>
      </c>
      <c r="G89" t="s">
        <v>218</v>
      </c>
      <c r="H89" t="s">
        <v>493</v>
      </c>
      <c r="I89">
        <v>18</v>
      </c>
      <c r="J89" s="21">
        <v>45775</v>
      </c>
      <c r="K89" s="21">
        <v>45776</v>
      </c>
      <c r="L89" t="s">
        <v>615</v>
      </c>
      <c r="M89" t="s">
        <v>576</v>
      </c>
      <c r="N89" s="22">
        <v>45776</v>
      </c>
      <c r="O89" t="s">
        <v>226</v>
      </c>
      <c r="P89">
        <v>3</v>
      </c>
      <c r="Q89">
        <v>0.79</v>
      </c>
      <c r="R89">
        <v>0.2</v>
      </c>
      <c r="S89">
        <v>0.6</v>
      </c>
      <c r="T89">
        <v>0.16</v>
      </c>
      <c r="U89" t="s">
        <v>530</v>
      </c>
      <c r="V89" t="s">
        <v>531</v>
      </c>
      <c r="W89" t="s">
        <v>532</v>
      </c>
      <c r="X89">
        <v>3.8</v>
      </c>
      <c r="Y89" t="s">
        <v>455</v>
      </c>
      <c r="AA89">
        <v>101.77</v>
      </c>
      <c r="AB89">
        <v>61.06</v>
      </c>
      <c r="AC89">
        <v>16.07</v>
      </c>
    </row>
    <row r="90" spans="2:29" ht="15" customHeight="1" x14ac:dyDescent="0.15">
      <c r="B90">
        <v>4</v>
      </c>
      <c r="C90" t="s">
        <v>386</v>
      </c>
      <c r="D90" t="s">
        <v>610</v>
      </c>
      <c r="E90">
        <v>5</v>
      </c>
      <c r="F90" t="s">
        <v>219</v>
      </c>
      <c r="G90" t="s">
        <v>218</v>
      </c>
      <c r="H90" t="s">
        <v>616</v>
      </c>
      <c r="I90">
        <v>18</v>
      </c>
      <c r="J90" s="21">
        <v>45775</v>
      </c>
      <c r="K90" s="21">
        <v>45776</v>
      </c>
      <c r="L90" t="s">
        <v>617</v>
      </c>
      <c r="M90" t="s">
        <v>618</v>
      </c>
      <c r="N90" s="22">
        <v>45776</v>
      </c>
      <c r="O90" t="s">
        <v>220</v>
      </c>
      <c r="P90">
        <v>1</v>
      </c>
      <c r="Q90">
        <v>0.21</v>
      </c>
      <c r="R90">
        <v>0.2</v>
      </c>
      <c r="S90">
        <v>0.16</v>
      </c>
      <c r="T90">
        <v>0.04</v>
      </c>
      <c r="U90" t="s">
        <v>530</v>
      </c>
      <c r="V90" t="s">
        <v>531</v>
      </c>
      <c r="W90" t="s">
        <v>532</v>
      </c>
      <c r="X90">
        <v>3.8</v>
      </c>
      <c r="Y90" t="s">
        <v>455</v>
      </c>
      <c r="AA90">
        <v>96.41</v>
      </c>
      <c r="AB90">
        <v>15.43</v>
      </c>
      <c r="AC90">
        <v>4.0599999999999996</v>
      </c>
    </row>
    <row r="91" spans="2:29" ht="15" hidden="1" customHeight="1" x14ac:dyDescent="0.15">
      <c r="B91">
        <v>4</v>
      </c>
      <c r="C91" t="s">
        <v>386</v>
      </c>
      <c r="D91" t="s">
        <v>619</v>
      </c>
      <c r="E91">
        <v>1</v>
      </c>
      <c r="F91" t="s">
        <v>416</v>
      </c>
      <c r="G91" t="s">
        <v>316</v>
      </c>
      <c r="I91">
        <v>18</v>
      </c>
      <c r="J91" s="21">
        <v>45776</v>
      </c>
      <c r="K91" s="21">
        <v>45776</v>
      </c>
      <c r="L91" t="s">
        <v>620</v>
      </c>
      <c r="M91" t="s">
        <v>480</v>
      </c>
      <c r="O91" t="s">
        <v>226</v>
      </c>
      <c r="P91">
        <v>1</v>
      </c>
      <c r="R91">
        <v>0.4</v>
      </c>
      <c r="S91">
        <v>0.4</v>
      </c>
      <c r="U91" t="s">
        <v>437</v>
      </c>
      <c r="V91" t="s">
        <v>496</v>
      </c>
      <c r="W91" t="s">
        <v>496</v>
      </c>
      <c r="AA91">
        <v>5.33</v>
      </c>
      <c r="AB91">
        <v>2.13</v>
      </c>
      <c r="AC91">
        <v>0</v>
      </c>
    </row>
    <row r="92" spans="2:29" ht="15" customHeight="1" x14ac:dyDescent="0.15">
      <c r="B92">
        <v>4</v>
      </c>
      <c r="C92" t="s">
        <v>386</v>
      </c>
      <c r="D92" t="s">
        <v>621</v>
      </c>
      <c r="E92">
        <v>1</v>
      </c>
      <c r="F92" t="s">
        <v>416</v>
      </c>
      <c r="G92" t="s">
        <v>316</v>
      </c>
      <c r="I92">
        <v>18</v>
      </c>
      <c r="J92" s="21">
        <v>45776</v>
      </c>
      <c r="K92" s="21">
        <v>45776</v>
      </c>
      <c r="L92" t="s">
        <v>622</v>
      </c>
      <c r="M92" t="s">
        <v>480</v>
      </c>
      <c r="O92" t="s">
        <v>226</v>
      </c>
      <c r="P92">
        <v>0</v>
      </c>
      <c r="R92">
        <v>1</v>
      </c>
      <c r="S92">
        <v>0.1</v>
      </c>
      <c r="U92" t="s">
        <v>391</v>
      </c>
      <c r="V92" t="s">
        <v>392</v>
      </c>
      <c r="AA92">
        <v>5.33</v>
      </c>
      <c r="AB92">
        <v>0.53</v>
      </c>
      <c r="AC92">
        <v>0</v>
      </c>
    </row>
    <row r="93" spans="2:29" ht="15" customHeight="1" x14ac:dyDescent="0.15">
      <c r="B93">
        <v>4</v>
      </c>
      <c r="C93" t="s">
        <v>386</v>
      </c>
      <c r="D93" t="s">
        <v>623</v>
      </c>
      <c r="E93">
        <v>1</v>
      </c>
      <c r="F93" t="s">
        <v>201</v>
      </c>
      <c r="G93" t="s">
        <v>200</v>
      </c>
      <c r="H93" t="s">
        <v>624</v>
      </c>
      <c r="I93">
        <v>18</v>
      </c>
      <c r="J93" s="21">
        <v>45779</v>
      </c>
      <c r="K93" s="21">
        <v>45779</v>
      </c>
      <c r="L93" t="s">
        <v>625</v>
      </c>
      <c r="M93" t="s">
        <v>626</v>
      </c>
      <c r="O93" t="s">
        <v>226</v>
      </c>
      <c r="P93">
        <v>2</v>
      </c>
      <c r="Q93">
        <v>1</v>
      </c>
      <c r="R93">
        <v>86.9</v>
      </c>
      <c r="S93">
        <v>173.8</v>
      </c>
      <c r="T93">
        <v>86.9</v>
      </c>
      <c r="U93" t="s">
        <v>627</v>
      </c>
      <c r="V93" t="s">
        <v>628</v>
      </c>
      <c r="W93" t="s">
        <v>532</v>
      </c>
      <c r="X93">
        <v>2</v>
      </c>
      <c r="Y93" t="s">
        <v>629</v>
      </c>
      <c r="AA93">
        <v>1.33</v>
      </c>
      <c r="AB93">
        <v>231.15</v>
      </c>
      <c r="AC93">
        <v>115.58</v>
      </c>
    </row>
    <row r="94" spans="2:29" ht="15" customHeight="1" x14ac:dyDescent="0.15">
      <c r="B94">
        <v>4</v>
      </c>
      <c r="C94" t="s">
        <v>386</v>
      </c>
      <c r="D94" t="s">
        <v>623</v>
      </c>
      <c r="E94">
        <v>2</v>
      </c>
      <c r="F94" t="s">
        <v>201</v>
      </c>
      <c r="G94" t="s">
        <v>200</v>
      </c>
      <c r="H94" t="s">
        <v>475</v>
      </c>
      <c r="I94">
        <v>18</v>
      </c>
      <c r="J94" s="21">
        <v>45779</v>
      </c>
      <c r="K94" s="21">
        <v>45779</v>
      </c>
      <c r="L94" t="s">
        <v>630</v>
      </c>
      <c r="M94" t="s">
        <v>631</v>
      </c>
      <c r="O94" t="s">
        <v>226</v>
      </c>
      <c r="P94">
        <v>2</v>
      </c>
      <c r="Q94">
        <v>1</v>
      </c>
      <c r="R94">
        <v>300</v>
      </c>
      <c r="S94">
        <v>600</v>
      </c>
      <c r="T94">
        <v>300</v>
      </c>
      <c r="U94" t="s">
        <v>627</v>
      </c>
      <c r="V94" t="s">
        <v>628</v>
      </c>
      <c r="W94" t="s">
        <v>532</v>
      </c>
      <c r="X94">
        <v>2</v>
      </c>
      <c r="Y94" t="s">
        <v>629</v>
      </c>
      <c r="AA94">
        <v>3.53</v>
      </c>
      <c r="AB94" s="22">
        <v>2118</v>
      </c>
      <c r="AC94" s="22">
        <v>1059</v>
      </c>
    </row>
    <row r="95" spans="2:29" ht="15" customHeight="1" x14ac:dyDescent="0.15">
      <c r="B95">
        <v>4</v>
      </c>
      <c r="C95" t="s">
        <v>386</v>
      </c>
      <c r="D95" t="s">
        <v>623</v>
      </c>
      <c r="E95">
        <v>3</v>
      </c>
      <c r="F95" t="s">
        <v>201</v>
      </c>
      <c r="G95" t="s">
        <v>200</v>
      </c>
      <c r="H95" t="s">
        <v>632</v>
      </c>
      <c r="I95">
        <v>18</v>
      </c>
      <c r="J95" s="21">
        <v>45779</v>
      </c>
      <c r="K95" s="21">
        <v>45779</v>
      </c>
      <c r="L95" t="s">
        <v>633</v>
      </c>
      <c r="M95" t="s">
        <v>634</v>
      </c>
      <c r="O95" t="s">
        <v>226</v>
      </c>
      <c r="P95">
        <v>2</v>
      </c>
      <c r="Q95">
        <v>1</v>
      </c>
      <c r="R95">
        <v>150</v>
      </c>
      <c r="S95">
        <v>300</v>
      </c>
      <c r="T95">
        <v>150</v>
      </c>
      <c r="U95" t="s">
        <v>627</v>
      </c>
      <c r="V95" t="s">
        <v>628</v>
      </c>
      <c r="W95" t="s">
        <v>532</v>
      </c>
      <c r="X95">
        <v>2</v>
      </c>
      <c r="Y95" t="s">
        <v>629</v>
      </c>
      <c r="AA95">
        <v>3.72</v>
      </c>
      <c r="AB95" s="22">
        <v>1116</v>
      </c>
      <c r="AC95">
        <v>558</v>
      </c>
    </row>
    <row r="96" spans="2:29" ht="15" customHeight="1" x14ac:dyDescent="0.15">
      <c r="B96">
        <v>4</v>
      </c>
      <c r="C96" t="s">
        <v>386</v>
      </c>
      <c r="D96" t="s">
        <v>623</v>
      </c>
      <c r="E96">
        <v>4</v>
      </c>
      <c r="F96" t="s">
        <v>201</v>
      </c>
      <c r="G96" t="s">
        <v>200</v>
      </c>
      <c r="H96" t="s">
        <v>635</v>
      </c>
      <c r="I96">
        <v>18</v>
      </c>
      <c r="J96" s="21">
        <v>45779</v>
      </c>
      <c r="K96" s="21">
        <v>45779</v>
      </c>
      <c r="L96" t="s">
        <v>636</v>
      </c>
      <c r="M96" t="s">
        <v>204</v>
      </c>
      <c r="O96" t="s">
        <v>226</v>
      </c>
      <c r="P96">
        <v>2</v>
      </c>
      <c r="Q96">
        <v>1</v>
      </c>
      <c r="R96">
        <v>100</v>
      </c>
      <c r="S96">
        <v>200</v>
      </c>
      <c r="T96">
        <v>100</v>
      </c>
      <c r="U96" t="s">
        <v>627</v>
      </c>
      <c r="V96" t="s">
        <v>628</v>
      </c>
      <c r="W96" t="s">
        <v>532</v>
      </c>
      <c r="X96">
        <v>2</v>
      </c>
      <c r="Y96" t="s">
        <v>629</v>
      </c>
      <c r="AA96">
        <v>2.06</v>
      </c>
      <c r="AB96">
        <v>411.6</v>
      </c>
      <c r="AC96">
        <v>205.8</v>
      </c>
    </row>
    <row r="97" spans="2:29" ht="15" customHeight="1" x14ac:dyDescent="0.15">
      <c r="B97">
        <v>4</v>
      </c>
      <c r="C97" t="s">
        <v>386</v>
      </c>
      <c r="D97" t="s">
        <v>637</v>
      </c>
      <c r="E97">
        <v>1</v>
      </c>
      <c r="F97" t="s">
        <v>638</v>
      </c>
      <c r="G97" t="s">
        <v>223</v>
      </c>
      <c r="H97" t="s">
        <v>635</v>
      </c>
      <c r="I97">
        <v>18</v>
      </c>
      <c r="J97" s="21">
        <v>45779</v>
      </c>
      <c r="K97" s="21">
        <v>45779</v>
      </c>
      <c r="L97" t="s">
        <v>639</v>
      </c>
      <c r="M97" t="s">
        <v>640</v>
      </c>
      <c r="O97" t="s">
        <v>226</v>
      </c>
      <c r="P97">
        <v>1</v>
      </c>
      <c r="Q97">
        <v>0.5</v>
      </c>
      <c r="R97">
        <v>10000</v>
      </c>
      <c r="S97">
        <v>10000</v>
      </c>
      <c r="T97">
        <v>5000</v>
      </c>
      <c r="U97" t="s">
        <v>627</v>
      </c>
      <c r="V97" t="s">
        <v>628</v>
      </c>
      <c r="W97" t="s">
        <v>532</v>
      </c>
      <c r="X97">
        <v>2</v>
      </c>
      <c r="Y97" t="s">
        <v>641</v>
      </c>
      <c r="AC97">
        <v>0</v>
      </c>
    </row>
    <row r="98" spans="2:29" ht="15" customHeight="1" x14ac:dyDescent="0.15">
      <c r="B98">
        <v>4</v>
      </c>
      <c r="C98" t="s">
        <v>386</v>
      </c>
      <c r="D98" t="s">
        <v>642</v>
      </c>
      <c r="E98">
        <v>1</v>
      </c>
      <c r="F98" t="s">
        <v>556</v>
      </c>
      <c r="G98" t="s">
        <v>556</v>
      </c>
      <c r="H98" t="s">
        <v>557</v>
      </c>
      <c r="I98">
        <v>18</v>
      </c>
      <c r="J98" s="21">
        <v>45779</v>
      </c>
      <c r="K98" s="21">
        <v>45779</v>
      </c>
      <c r="L98" t="s">
        <v>643</v>
      </c>
      <c r="M98" t="s">
        <v>644</v>
      </c>
      <c r="O98" t="s">
        <v>226</v>
      </c>
      <c r="P98">
        <v>1</v>
      </c>
      <c r="R98">
        <v>3</v>
      </c>
      <c r="S98">
        <v>3</v>
      </c>
      <c r="U98" t="s">
        <v>391</v>
      </c>
      <c r="V98" t="s">
        <v>392</v>
      </c>
      <c r="W98" t="s">
        <v>392</v>
      </c>
      <c r="Y98" t="s">
        <v>645</v>
      </c>
      <c r="AB98">
        <v>0</v>
      </c>
      <c r="AC98">
        <v>0</v>
      </c>
    </row>
    <row r="99" spans="2:29" ht="15" customHeight="1" x14ac:dyDescent="0.15">
      <c r="B99">
        <v>4</v>
      </c>
      <c r="C99" t="s">
        <v>386</v>
      </c>
      <c r="D99" t="s">
        <v>646</v>
      </c>
      <c r="E99">
        <v>1</v>
      </c>
      <c r="F99" t="s">
        <v>201</v>
      </c>
      <c r="G99" t="s">
        <v>200</v>
      </c>
      <c r="H99" t="s">
        <v>647</v>
      </c>
      <c r="I99">
        <v>18</v>
      </c>
      <c r="J99" s="21">
        <v>45779</v>
      </c>
      <c r="K99" s="21">
        <v>45779</v>
      </c>
      <c r="L99" t="s">
        <v>648</v>
      </c>
      <c r="M99" t="s">
        <v>647</v>
      </c>
      <c r="O99" t="s">
        <v>226</v>
      </c>
      <c r="P99">
        <v>1</v>
      </c>
      <c r="Q99">
        <v>0.5</v>
      </c>
      <c r="R99">
        <v>50</v>
      </c>
      <c r="S99">
        <v>50</v>
      </c>
      <c r="T99">
        <v>25</v>
      </c>
      <c r="U99" t="s">
        <v>627</v>
      </c>
      <c r="V99" t="s">
        <v>628</v>
      </c>
      <c r="W99" t="s">
        <v>532</v>
      </c>
      <c r="X99">
        <v>2</v>
      </c>
      <c r="Y99" t="s">
        <v>649</v>
      </c>
      <c r="AA99">
        <v>3.19</v>
      </c>
      <c r="AB99">
        <v>159.38</v>
      </c>
      <c r="AC99">
        <v>79.69</v>
      </c>
    </row>
    <row r="100" spans="2:29" ht="15" customHeight="1" x14ac:dyDescent="0.15">
      <c r="B100">
        <v>4</v>
      </c>
      <c r="C100" t="s">
        <v>386</v>
      </c>
      <c r="D100" t="s">
        <v>650</v>
      </c>
      <c r="E100">
        <v>1</v>
      </c>
      <c r="F100" t="s">
        <v>416</v>
      </c>
      <c r="G100" t="s">
        <v>316</v>
      </c>
      <c r="H100" t="s">
        <v>562</v>
      </c>
      <c r="I100">
        <v>19</v>
      </c>
      <c r="J100" s="21">
        <v>45783</v>
      </c>
      <c r="K100" s="21">
        <v>45783</v>
      </c>
      <c r="L100" t="s">
        <v>651</v>
      </c>
      <c r="M100" t="s">
        <v>564</v>
      </c>
      <c r="O100" t="s">
        <v>565</v>
      </c>
      <c r="P100">
        <v>2</v>
      </c>
      <c r="Q100">
        <v>1</v>
      </c>
      <c r="R100">
        <v>12.5</v>
      </c>
      <c r="S100">
        <v>25</v>
      </c>
      <c r="T100">
        <v>12.5</v>
      </c>
      <c r="U100" t="s">
        <v>627</v>
      </c>
      <c r="V100" t="s">
        <v>628</v>
      </c>
      <c r="W100" t="s">
        <v>532</v>
      </c>
      <c r="X100">
        <v>2</v>
      </c>
      <c r="Y100" t="s">
        <v>652</v>
      </c>
      <c r="AA100">
        <v>1.02</v>
      </c>
      <c r="AB100">
        <v>25.5</v>
      </c>
      <c r="AC100">
        <v>12.75</v>
      </c>
    </row>
    <row r="101" spans="2:29" ht="15" customHeight="1" x14ac:dyDescent="0.15">
      <c r="B101">
        <v>4</v>
      </c>
      <c r="C101" t="s">
        <v>386</v>
      </c>
      <c r="D101" t="s">
        <v>653</v>
      </c>
      <c r="E101">
        <v>1</v>
      </c>
      <c r="F101" t="s">
        <v>219</v>
      </c>
      <c r="G101" t="s">
        <v>218</v>
      </c>
      <c r="H101" t="s">
        <v>433</v>
      </c>
      <c r="I101">
        <v>19</v>
      </c>
      <c r="J101" s="21">
        <v>45783</v>
      </c>
      <c r="K101" s="21">
        <v>45783</v>
      </c>
      <c r="L101" t="s">
        <v>654</v>
      </c>
      <c r="M101" t="s">
        <v>529</v>
      </c>
      <c r="O101" t="s">
        <v>220</v>
      </c>
      <c r="P101">
        <v>1</v>
      </c>
      <c r="R101">
        <v>0.1</v>
      </c>
      <c r="S101">
        <v>0.05</v>
      </c>
      <c r="U101" t="s">
        <v>655</v>
      </c>
      <c r="V101" t="s">
        <v>655</v>
      </c>
      <c r="W101" t="s">
        <v>496</v>
      </c>
      <c r="Y101" t="s">
        <v>656</v>
      </c>
      <c r="AA101">
        <v>17.48</v>
      </c>
      <c r="AB101">
        <v>0.87</v>
      </c>
      <c r="AC101">
        <v>0</v>
      </c>
    </row>
    <row r="102" spans="2:29" ht="15" customHeight="1" x14ac:dyDescent="0.15">
      <c r="B102">
        <v>4</v>
      </c>
      <c r="C102" t="s">
        <v>386</v>
      </c>
      <c r="D102" t="s">
        <v>653</v>
      </c>
      <c r="E102">
        <v>2</v>
      </c>
      <c r="F102" t="s">
        <v>219</v>
      </c>
      <c r="G102" t="s">
        <v>439</v>
      </c>
      <c r="H102" t="s">
        <v>448</v>
      </c>
      <c r="I102">
        <v>19</v>
      </c>
      <c r="J102" s="21">
        <v>45783</v>
      </c>
      <c r="K102" s="21">
        <v>45783</v>
      </c>
      <c r="L102" t="s">
        <v>657</v>
      </c>
      <c r="M102" t="s">
        <v>450</v>
      </c>
      <c r="O102" t="s">
        <v>220</v>
      </c>
      <c r="P102">
        <v>1</v>
      </c>
      <c r="R102">
        <v>4</v>
      </c>
      <c r="S102">
        <v>2</v>
      </c>
      <c r="U102" t="s">
        <v>655</v>
      </c>
      <c r="V102" t="s">
        <v>655</v>
      </c>
      <c r="W102" t="s">
        <v>496</v>
      </c>
      <c r="Y102" t="s">
        <v>656</v>
      </c>
      <c r="AA102">
        <v>20.54</v>
      </c>
      <c r="AB102">
        <v>41.08</v>
      </c>
      <c r="AC102">
        <v>0</v>
      </c>
    </row>
    <row r="103" spans="2:29" ht="15" customHeight="1" x14ac:dyDescent="0.15">
      <c r="B103">
        <v>4</v>
      </c>
      <c r="C103" t="s">
        <v>386</v>
      </c>
      <c r="D103" t="s">
        <v>653</v>
      </c>
      <c r="E103">
        <v>3</v>
      </c>
      <c r="F103" t="s">
        <v>219</v>
      </c>
      <c r="G103" t="s">
        <v>218</v>
      </c>
      <c r="H103" t="s">
        <v>581</v>
      </c>
      <c r="I103">
        <v>19</v>
      </c>
      <c r="J103" s="21">
        <v>45783</v>
      </c>
      <c r="K103" s="21">
        <v>45783</v>
      </c>
      <c r="L103" t="s">
        <v>658</v>
      </c>
      <c r="M103" t="s">
        <v>583</v>
      </c>
      <c r="O103" t="s">
        <v>220</v>
      </c>
      <c r="P103">
        <v>1</v>
      </c>
      <c r="R103">
        <v>0.1</v>
      </c>
      <c r="S103">
        <v>0.05</v>
      </c>
      <c r="U103" t="s">
        <v>655</v>
      </c>
      <c r="V103" t="s">
        <v>655</v>
      </c>
      <c r="W103" t="s">
        <v>496</v>
      </c>
      <c r="Y103" t="s">
        <v>656</v>
      </c>
      <c r="AA103">
        <v>76</v>
      </c>
      <c r="AB103">
        <v>3.8</v>
      </c>
      <c r="AC103">
        <v>0</v>
      </c>
    </row>
    <row r="104" spans="2:29" ht="15" customHeight="1" x14ac:dyDescent="0.15">
      <c r="B104">
        <v>4</v>
      </c>
      <c r="C104" t="s">
        <v>386</v>
      </c>
      <c r="D104" t="s">
        <v>659</v>
      </c>
      <c r="E104">
        <v>1</v>
      </c>
      <c r="F104" t="s">
        <v>219</v>
      </c>
      <c r="G104" t="s">
        <v>660</v>
      </c>
      <c r="H104" t="s">
        <v>661</v>
      </c>
      <c r="I104">
        <v>19</v>
      </c>
      <c r="J104" s="21">
        <v>45783</v>
      </c>
      <c r="K104" s="21">
        <v>45783</v>
      </c>
      <c r="L104" t="s">
        <v>662</v>
      </c>
      <c r="M104" t="s">
        <v>663</v>
      </c>
      <c r="O104" t="s">
        <v>226</v>
      </c>
      <c r="P104">
        <v>5</v>
      </c>
      <c r="R104">
        <v>0.222</v>
      </c>
      <c r="S104">
        <v>1</v>
      </c>
      <c r="U104" t="s">
        <v>664</v>
      </c>
      <c r="V104" t="s">
        <v>664</v>
      </c>
      <c r="W104" t="s">
        <v>496</v>
      </c>
      <c r="Y104" t="s">
        <v>665</v>
      </c>
      <c r="AA104">
        <v>94.88</v>
      </c>
      <c r="AB104">
        <v>94.87</v>
      </c>
      <c r="AC104">
        <v>0</v>
      </c>
    </row>
    <row r="105" spans="2:29" ht="15" hidden="1" customHeight="1" x14ac:dyDescent="0.15">
      <c r="B105">
        <v>4</v>
      </c>
      <c r="C105" t="s">
        <v>386</v>
      </c>
      <c r="D105" t="s">
        <v>666</v>
      </c>
      <c r="E105">
        <v>1</v>
      </c>
      <c r="F105" t="s">
        <v>219</v>
      </c>
      <c r="G105" t="s">
        <v>218</v>
      </c>
      <c r="H105" t="s">
        <v>667</v>
      </c>
      <c r="I105">
        <v>19</v>
      </c>
      <c r="J105" s="21">
        <v>45783</v>
      </c>
      <c r="K105" s="21">
        <v>45783</v>
      </c>
      <c r="L105" t="s">
        <v>668</v>
      </c>
      <c r="M105" t="s">
        <v>355</v>
      </c>
      <c r="O105" t="s">
        <v>226</v>
      </c>
      <c r="P105">
        <v>4</v>
      </c>
      <c r="Q105">
        <v>1.9</v>
      </c>
      <c r="R105">
        <v>1.3160000000000001</v>
      </c>
      <c r="S105">
        <v>5</v>
      </c>
      <c r="T105">
        <v>2.5</v>
      </c>
      <c r="U105" t="s">
        <v>627</v>
      </c>
      <c r="V105" t="s">
        <v>496</v>
      </c>
      <c r="W105" t="s">
        <v>532</v>
      </c>
      <c r="X105">
        <v>2</v>
      </c>
      <c r="Y105" t="s">
        <v>669</v>
      </c>
      <c r="AA105">
        <v>1.2</v>
      </c>
      <c r="AB105">
        <v>6</v>
      </c>
      <c r="AC105">
        <v>3</v>
      </c>
    </row>
    <row r="106" spans="2:29" ht="15" customHeight="1" x14ac:dyDescent="0.15">
      <c r="B106">
        <v>4</v>
      </c>
      <c r="C106" t="s">
        <v>386</v>
      </c>
      <c r="D106" t="s">
        <v>670</v>
      </c>
      <c r="E106">
        <v>1</v>
      </c>
      <c r="F106" t="s">
        <v>219</v>
      </c>
      <c r="G106" t="s">
        <v>556</v>
      </c>
      <c r="H106" t="s">
        <v>557</v>
      </c>
      <c r="I106">
        <v>19</v>
      </c>
      <c r="J106" s="21">
        <v>45785</v>
      </c>
      <c r="K106" s="21">
        <v>45784</v>
      </c>
      <c r="L106" t="s">
        <v>671</v>
      </c>
      <c r="M106" t="s">
        <v>672</v>
      </c>
      <c r="O106" t="s">
        <v>226</v>
      </c>
      <c r="P106">
        <v>2</v>
      </c>
      <c r="Q106">
        <v>2</v>
      </c>
      <c r="R106">
        <v>21.7</v>
      </c>
      <c r="S106">
        <v>43.4</v>
      </c>
      <c r="T106">
        <v>43.4</v>
      </c>
      <c r="U106" t="s">
        <v>391</v>
      </c>
      <c r="V106" t="s">
        <v>392</v>
      </c>
      <c r="W106" t="s">
        <v>392</v>
      </c>
      <c r="X106">
        <v>1</v>
      </c>
      <c r="Y106" t="s">
        <v>673</v>
      </c>
      <c r="AA106">
        <v>69</v>
      </c>
      <c r="AB106" s="22">
        <v>2994.6</v>
      </c>
      <c r="AC106" s="22">
        <v>2994.6</v>
      </c>
    </row>
    <row r="107" spans="2:29" ht="15" hidden="1" customHeight="1" x14ac:dyDescent="0.15">
      <c r="B107">
        <v>4</v>
      </c>
      <c r="C107" t="s">
        <v>386</v>
      </c>
      <c r="D107" t="s">
        <v>674</v>
      </c>
      <c r="E107">
        <v>1</v>
      </c>
      <c r="F107" t="s">
        <v>416</v>
      </c>
      <c r="G107" t="s">
        <v>316</v>
      </c>
      <c r="I107">
        <v>19</v>
      </c>
      <c r="J107" s="21">
        <v>45784</v>
      </c>
      <c r="K107" s="21">
        <v>45784</v>
      </c>
      <c r="L107" t="s">
        <v>675</v>
      </c>
      <c r="M107" t="s">
        <v>480</v>
      </c>
      <c r="O107" t="s">
        <v>226</v>
      </c>
      <c r="P107">
        <v>1</v>
      </c>
      <c r="R107">
        <v>0.5</v>
      </c>
      <c r="S107">
        <v>0.5</v>
      </c>
      <c r="U107" t="s">
        <v>676</v>
      </c>
      <c r="V107" t="s">
        <v>496</v>
      </c>
      <c r="W107" t="s">
        <v>496</v>
      </c>
      <c r="AA107">
        <v>5.33</v>
      </c>
      <c r="AB107">
        <v>2.67</v>
      </c>
      <c r="AC107">
        <v>0</v>
      </c>
    </row>
    <row r="108" spans="2:29" ht="15" customHeight="1" x14ac:dyDescent="0.15">
      <c r="B108">
        <v>4</v>
      </c>
      <c r="C108" t="s">
        <v>386</v>
      </c>
      <c r="D108" t="s">
        <v>677</v>
      </c>
      <c r="E108">
        <v>1</v>
      </c>
      <c r="F108" t="s">
        <v>219</v>
      </c>
      <c r="G108" t="s">
        <v>218</v>
      </c>
      <c r="H108" t="s">
        <v>433</v>
      </c>
      <c r="I108">
        <v>19</v>
      </c>
      <c r="J108" s="21">
        <v>45786</v>
      </c>
      <c r="K108" s="21">
        <v>45786</v>
      </c>
      <c r="L108" t="s">
        <v>678</v>
      </c>
      <c r="M108" t="s">
        <v>529</v>
      </c>
      <c r="N108" s="22">
        <v>45786</v>
      </c>
      <c r="O108" t="s">
        <v>220</v>
      </c>
      <c r="P108">
        <v>6</v>
      </c>
      <c r="Q108">
        <v>1.58</v>
      </c>
      <c r="R108">
        <v>0.1</v>
      </c>
      <c r="S108">
        <v>0.6</v>
      </c>
      <c r="T108">
        <v>0.16</v>
      </c>
      <c r="U108" t="s">
        <v>530</v>
      </c>
      <c r="V108" t="s">
        <v>531</v>
      </c>
      <c r="W108" t="s">
        <v>532</v>
      </c>
      <c r="X108">
        <v>3.8</v>
      </c>
      <c r="Y108" t="s">
        <v>679</v>
      </c>
      <c r="AA108">
        <v>17.48</v>
      </c>
      <c r="AB108">
        <v>10.49</v>
      </c>
      <c r="AC108">
        <v>2.76</v>
      </c>
    </row>
    <row r="109" spans="2:29" ht="15" customHeight="1" x14ac:dyDescent="0.15">
      <c r="B109">
        <v>4</v>
      </c>
      <c r="C109" t="s">
        <v>386</v>
      </c>
      <c r="D109" t="s">
        <v>677</v>
      </c>
      <c r="E109">
        <v>2</v>
      </c>
      <c r="F109" t="s">
        <v>219</v>
      </c>
      <c r="G109" t="s">
        <v>218</v>
      </c>
      <c r="H109" t="s">
        <v>680</v>
      </c>
      <c r="I109">
        <v>19</v>
      </c>
      <c r="J109" s="21">
        <v>45786</v>
      </c>
      <c r="K109" s="21">
        <v>45786</v>
      </c>
      <c r="L109" t="s">
        <v>681</v>
      </c>
      <c r="M109" t="s">
        <v>682</v>
      </c>
      <c r="N109" s="22">
        <v>45786</v>
      </c>
      <c r="O109" t="s">
        <v>220</v>
      </c>
      <c r="P109">
        <v>6</v>
      </c>
      <c r="Q109">
        <v>1.58</v>
      </c>
      <c r="R109">
        <v>0.5</v>
      </c>
      <c r="S109">
        <v>3</v>
      </c>
      <c r="T109">
        <v>0.79</v>
      </c>
      <c r="U109" t="s">
        <v>530</v>
      </c>
      <c r="V109" t="s">
        <v>531</v>
      </c>
      <c r="W109" t="s">
        <v>532</v>
      </c>
      <c r="X109">
        <v>3.8</v>
      </c>
      <c r="Y109" t="s">
        <v>679</v>
      </c>
      <c r="AA109">
        <v>128.37</v>
      </c>
      <c r="AB109">
        <v>385.11</v>
      </c>
      <c r="AC109">
        <v>101.34</v>
      </c>
    </row>
    <row r="110" spans="2:29" ht="15" customHeight="1" x14ac:dyDescent="0.15">
      <c r="B110">
        <v>4</v>
      </c>
      <c r="C110" t="s">
        <v>386</v>
      </c>
      <c r="D110" t="s">
        <v>677</v>
      </c>
      <c r="E110">
        <v>3</v>
      </c>
      <c r="F110" t="s">
        <v>219</v>
      </c>
      <c r="G110" t="s">
        <v>218</v>
      </c>
      <c r="H110" t="s">
        <v>683</v>
      </c>
      <c r="I110">
        <v>19</v>
      </c>
      <c r="J110" s="21">
        <v>45786</v>
      </c>
      <c r="K110" s="21">
        <v>45786</v>
      </c>
      <c r="L110" t="s">
        <v>684</v>
      </c>
      <c r="M110" t="s">
        <v>685</v>
      </c>
      <c r="N110" s="22">
        <v>45786</v>
      </c>
      <c r="O110" t="s">
        <v>220</v>
      </c>
      <c r="P110">
        <v>2</v>
      </c>
      <c r="Q110">
        <v>0.53</v>
      </c>
      <c r="R110">
        <v>0.15</v>
      </c>
      <c r="S110">
        <v>0.3</v>
      </c>
      <c r="T110">
        <v>0.08</v>
      </c>
      <c r="U110" t="s">
        <v>530</v>
      </c>
      <c r="V110" t="s">
        <v>531</v>
      </c>
      <c r="W110" t="s">
        <v>532</v>
      </c>
      <c r="X110">
        <v>3.8</v>
      </c>
      <c r="Y110" t="s">
        <v>679</v>
      </c>
      <c r="AA110">
        <v>269</v>
      </c>
      <c r="AB110">
        <v>80.7</v>
      </c>
      <c r="AC110">
        <v>21.24</v>
      </c>
    </row>
    <row r="111" spans="2:29" ht="15" customHeight="1" x14ac:dyDescent="0.15">
      <c r="B111">
        <v>4</v>
      </c>
      <c r="C111" t="s">
        <v>386</v>
      </c>
      <c r="D111" t="s">
        <v>677</v>
      </c>
      <c r="E111">
        <v>4</v>
      </c>
      <c r="F111" t="s">
        <v>219</v>
      </c>
      <c r="G111" t="s">
        <v>218</v>
      </c>
      <c r="H111" t="s">
        <v>686</v>
      </c>
      <c r="I111">
        <v>19</v>
      </c>
      <c r="J111" s="21">
        <v>45786</v>
      </c>
      <c r="K111" s="21">
        <v>45786</v>
      </c>
      <c r="L111" t="s">
        <v>687</v>
      </c>
      <c r="M111" t="s">
        <v>688</v>
      </c>
      <c r="N111" s="22">
        <v>45786</v>
      </c>
      <c r="O111" t="s">
        <v>220</v>
      </c>
      <c r="P111">
        <v>1</v>
      </c>
      <c r="Q111">
        <v>0.26</v>
      </c>
      <c r="R111">
        <v>0.125</v>
      </c>
      <c r="S111">
        <v>0.125</v>
      </c>
      <c r="T111">
        <v>0.03</v>
      </c>
      <c r="U111" t="s">
        <v>530</v>
      </c>
      <c r="V111" t="s">
        <v>531</v>
      </c>
      <c r="W111" t="s">
        <v>532</v>
      </c>
      <c r="X111">
        <v>3.8</v>
      </c>
      <c r="Y111" t="s">
        <v>679</v>
      </c>
      <c r="AA111">
        <v>89.7</v>
      </c>
      <c r="AB111">
        <v>11.21</v>
      </c>
      <c r="AC111">
        <v>2.95</v>
      </c>
    </row>
    <row r="112" spans="2:29" ht="15" customHeight="1" x14ac:dyDescent="0.15">
      <c r="B112">
        <v>4</v>
      </c>
      <c r="C112" t="s">
        <v>386</v>
      </c>
      <c r="D112" t="s">
        <v>677</v>
      </c>
      <c r="E112">
        <v>5</v>
      </c>
      <c r="F112" t="s">
        <v>219</v>
      </c>
      <c r="G112" t="s">
        <v>218</v>
      </c>
      <c r="H112" t="s">
        <v>689</v>
      </c>
      <c r="I112">
        <v>19</v>
      </c>
      <c r="J112" s="21">
        <v>45786</v>
      </c>
      <c r="K112" s="21">
        <v>45786</v>
      </c>
      <c r="L112" t="s">
        <v>690</v>
      </c>
      <c r="M112" t="s">
        <v>691</v>
      </c>
      <c r="N112" s="22">
        <v>45786</v>
      </c>
      <c r="O112" t="s">
        <v>226</v>
      </c>
      <c r="P112">
        <v>3</v>
      </c>
      <c r="Q112">
        <v>0.79</v>
      </c>
      <c r="R112">
        <v>0.255</v>
      </c>
      <c r="S112">
        <v>0.76500000000000001</v>
      </c>
      <c r="T112">
        <v>0.2</v>
      </c>
      <c r="U112" t="s">
        <v>530</v>
      </c>
      <c r="V112" t="s">
        <v>531</v>
      </c>
      <c r="W112" t="s">
        <v>532</v>
      </c>
      <c r="X112">
        <v>3.8</v>
      </c>
      <c r="Y112" t="s">
        <v>679</v>
      </c>
      <c r="AA112">
        <v>147.97</v>
      </c>
      <c r="AB112">
        <v>113.2</v>
      </c>
      <c r="AC112">
        <v>29.79</v>
      </c>
    </row>
    <row r="113" spans="2:29" ht="15" customHeight="1" x14ac:dyDescent="0.15">
      <c r="B113">
        <v>4</v>
      </c>
      <c r="C113" t="s">
        <v>386</v>
      </c>
      <c r="D113" t="s">
        <v>692</v>
      </c>
      <c r="E113">
        <v>1</v>
      </c>
      <c r="F113" t="s">
        <v>219</v>
      </c>
      <c r="G113" t="s">
        <v>218</v>
      </c>
      <c r="H113" t="s">
        <v>433</v>
      </c>
      <c r="I113">
        <v>19</v>
      </c>
      <c r="J113" s="21">
        <v>45786</v>
      </c>
      <c r="K113" s="21">
        <v>45786</v>
      </c>
      <c r="L113" t="s">
        <v>693</v>
      </c>
      <c r="M113" t="s">
        <v>529</v>
      </c>
      <c r="O113" t="s">
        <v>220</v>
      </c>
      <c r="P113">
        <v>2</v>
      </c>
      <c r="Q113">
        <v>1</v>
      </c>
      <c r="R113">
        <v>0.1</v>
      </c>
      <c r="S113">
        <v>0.2</v>
      </c>
      <c r="T113">
        <v>0.1</v>
      </c>
      <c r="U113" t="s">
        <v>627</v>
      </c>
      <c r="V113" t="s">
        <v>628</v>
      </c>
      <c r="W113" t="s">
        <v>532</v>
      </c>
      <c r="X113">
        <v>2</v>
      </c>
      <c r="Y113" t="s">
        <v>438</v>
      </c>
      <c r="AA113">
        <v>17.48</v>
      </c>
      <c r="AB113">
        <v>3.5</v>
      </c>
      <c r="AC113">
        <v>1.75</v>
      </c>
    </row>
    <row r="114" spans="2:29" ht="15" customHeight="1" x14ac:dyDescent="0.15">
      <c r="B114">
        <v>4</v>
      </c>
      <c r="C114" t="s">
        <v>386</v>
      </c>
      <c r="D114" t="s">
        <v>692</v>
      </c>
      <c r="E114">
        <v>2</v>
      </c>
      <c r="F114" t="s">
        <v>219</v>
      </c>
      <c r="G114" t="s">
        <v>439</v>
      </c>
      <c r="H114" t="s">
        <v>533</v>
      </c>
      <c r="I114">
        <v>19</v>
      </c>
      <c r="J114" s="21">
        <v>45786</v>
      </c>
      <c r="K114" s="21">
        <v>45786</v>
      </c>
      <c r="L114" t="s">
        <v>694</v>
      </c>
      <c r="M114" t="s">
        <v>535</v>
      </c>
      <c r="O114" t="s">
        <v>220</v>
      </c>
      <c r="P114">
        <v>2</v>
      </c>
      <c r="Q114">
        <v>1</v>
      </c>
      <c r="R114">
        <v>1.5</v>
      </c>
      <c r="S114">
        <v>3</v>
      </c>
      <c r="T114">
        <v>1.5</v>
      </c>
      <c r="U114" t="s">
        <v>627</v>
      </c>
      <c r="V114" t="s">
        <v>628</v>
      </c>
      <c r="W114" t="s">
        <v>532</v>
      </c>
      <c r="X114">
        <v>2</v>
      </c>
      <c r="Y114" t="s">
        <v>438</v>
      </c>
      <c r="AA114">
        <v>38.14</v>
      </c>
      <c r="AB114">
        <v>114.42</v>
      </c>
      <c r="AC114">
        <v>57.21</v>
      </c>
    </row>
    <row r="115" spans="2:29" ht="15" customHeight="1" x14ac:dyDescent="0.15">
      <c r="B115">
        <v>4</v>
      </c>
      <c r="C115" t="s">
        <v>386</v>
      </c>
      <c r="D115" t="s">
        <v>695</v>
      </c>
      <c r="E115">
        <v>1</v>
      </c>
      <c r="F115" t="s">
        <v>219</v>
      </c>
      <c r="G115" t="s">
        <v>218</v>
      </c>
      <c r="H115" t="s">
        <v>433</v>
      </c>
      <c r="I115">
        <v>20</v>
      </c>
      <c r="J115" s="21">
        <v>45790</v>
      </c>
      <c r="K115" s="21">
        <v>45790</v>
      </c>
      <c r="L115" t="s">
        <v>696</v>
      </c>
      <c r="M115" t="s">
        <v>529</v>
      </c>
      <c r="O115" t="s">
        <v>220</v>
      </c>
      <c r="P115">
        <v>2</v>
      </c>
      <c r="Q115">
        <v>1</v>
      </c>
      <c r="R115">
        <v>0.1</v>
      </c>
      <c r="S115">
        <v>0.2</v>
      </c>
      <c r="T115">
        <v>0.1</v>
      </c>
      <c r="U115" t="s">
        <v>627</v>
      </c>
      <c r="V115" t="s">
        <v>628</v>
      </c>
      <c r="W115" t="s">
        <v>532</v>
      </c>
      <c r="X115">
        <v>2</v>
      </c>
      <c r="Y115" t="s">
        <v>455</v>
      </c>
      <c r="AA115">
        <v>17.48</v>
      </c>
      <c r="AB115">
        <v>3.5</v>
      </c>
      <c r="AC115">
        <v>1.75</v>
      </c>
    </row>
    <row r="116" spans="2:29" ht="15" customHeight="1" x14ac:dyDescent="0.15">
      <c r="B116">
        <v>4</v>
      </c>
      <c r="C116" t="s">
        <v>386</v>
      </c>
      <c r="D116" t="s">
        <v>695</v>
      </c>
      <c r="E116">
        <v>2</v>
      </c>
      <c r="F116" t="s">
        <v>219</v>
      </c>
      <c r="G116" t="s">
        <v>244</v>
      </c>
      <c r="H116" t="s">
        <v>545</v>
      </c>
      <c r="I116">
        <v>20</v>
      </c>
      <c r="J116" s="21">
        <v>45790</v>
      </c>
      <c r="K116" s="21">
        <v>45790</v>
      </c>
      <c r="L116" t="s">
        <v>697</v>
      </c>
      <c r="M116" t="s">
        <v>363</v>
      </c>
      <c r="O116" t="s">
        <v>226</v>
      </c>
      <c r="P116">
        <v>2</v>
      </c>
      <c r="Q116">
        <v>1</v>
      </c>
      <c r="R116">
        <v>0.5</v>
      </c>
      <c r="S116">
        <v>1</v>
      </c>
      <c r="T116">
        <v>0.5</v>
      </c>
      <c r="U116" t="s">
        <v>627</v>
      </c>
      <c r="V116" t="s">
        <v>628</v>
      </c>
      <c r="W116" t="s">
        <v>532</v>
      </c>
      <c r="X116">
        <v>2</v>
      </c>
      <c r="Y116" t="s">
        <v>455</v>
      </c>
      <c r="AA116">
        <v>91.2</v>
      </c>
      <c r="AB116">
        <v>91.2</v>
      </c>
      <c r="AC116">
        <v>45.6</v>
      </c>
    </row>
    <row r="117" spans="2:29" ht="15" customHeight="1" x14ac:dyDescent="0.15">
      <c r="B117">
        <v>4</v>
      </c>
      <c r="C117" t="s">
        <v>386</v>
      </c>
      <c r="D117" t="s">
        <v>695</v>
      </c>
      <c r="E117">
        <v>3</v>
      </c>
      <c r="F117" t="s">
        <v>219</v>
      </c>
      <c r="G117" t="s">
        <v>244</v>
      </c>
      <c r="H117" t="s">
        <v>571</v>
      </c>
      <c r="I117">
        <v>20</v>
      </c>
      <c r="J117" s="21">
        <v>45790</v>
      </c>
      <c r="K117" s="21">
        <v>45790</v>
      </c>
      <c r="L117" t="s">
        <v>698</v>
      </c>
      <c r="M117" t="s">
        <v>573</v>
      </c>
      <c r="O117" t="s">
        <v>220</v>
      </c>
      <c r="P117">
        <v>2</v>
      </c>
      <c r="Q117">
        <v>1</v>
      </c>
      <c r="R117">
        <v>1</v>
      </c>
      <c r="S117">
        <v>2</v>
      </c>
      <c r="T117">
        <v>1</v>
      </c>
      <c r="U117" t="s">
        <v>627</v>
      </c>
      <c r="V117" t="s">
        <v>628</v>
      </c>
      <c r="W117" t="s">
        <v>532</v>
      </c>
      <c r="X117">
        <v>2</v>
      </c>
      <c r="Y117" t="s">
        <v>455</v>
      </c>
      <c r="AA117">
        <v>73.98</v>
      </c>
      <c r="AB117">
        <v>147.96</v>
      </c>
      <c r="AC117">
        <v>73.98</v>
      </c>
    </row>
    <row r="118" spans="2:29" ht="15" customHeight="1" x14ac:dyDescent="0.15">
      <c r="B118">
        <v>4</v>
      </c>
      <c r="C118" t="s">
        <v>386</v>
      </c>
      <c r="D118" t="s">
        <v>695</v>
      </c>
      <c r="E118">
        <v>4</v>
      </c>
      <c r="F118" t="s">
        <v>219</v>
      </c>
      <c r="G118" t="s">
        <v>239</v>
      </c>
      <c r="H118" t="s">
        <v>456</v>
      </c>
      <c r="I118">
        <v>20</v>
      </c>
      <c r="J118" s="21">
        <v>45790</v>
      </c>
      <c r="K118" s="21">
        <v>45790</v>
      </c>
      <c r="L118" t="s">
        <v>699</v>
      </c>
      <c r="M118" t="s">
        <v>458</v>
      </c>
      <c r="O118" t="s">
        <v>220</v>
      </c>
      <c r="P118">
        <v>2</v>
      </c>
      <c r="Q118">
        <v>1</v>
      </c>
      <c r="R118">
        <v>3</v>
      </c>
      <c r="S118">
        <v>6</v>
      </c>
      <c r="T118">
        <v>3</v>
      </c>
      <c r="U118" t="s">
        <v>627</v>
      </c>
      <c r="V118" t="s">
        <v>628</v>
      </c>
      <c r="W118" t="s">
        <v>532</v>
      </c>
      <c r="X118">
        <v>2</v>
      </c>
      <c r="Y118" t="s">
        <v>455</v>
      </c>
      <c r="AA118">
        <v>49.99</v>
      </c>
      <c r="AB118">
        <v>299.94</v>
      </c>
      <c r="AC118">
        <v>149.97</v>
      </c>
    </row>
    <row r="119" spans="2:29" ht="15" customHeight="1" x14ac:dyDescent="0.15">
      <c r="B119">
        <v>4</v>
      </c>
      <c r="C119" t="s">
        <v>386</v>
      </c>
      <c r="D119" t="s">
        <v>700</v>
      </c>
      <c r="E119">
        <v>1</v>
      </c>
      <c r="F119" t="s">
        <v>556</v>
      </c>
      <c r="G119" t="s">
        <v>556</v>
      </c>
      <c r="H119" t="s">
        <v>557</v>
      </c>
      <c r="I119">
        <v>20</v>
      </c>
      <c r="J119" s="21">
        <v>45793</v>
      </c>
      <c r="K119" s="21">
        <v>45793</v>
      </c>
      <c r="L119" t="s">
        <v>701</v>
      </c>
      <c r="M119" t="s">
        <v>702</v>
      </c>
      <c r="O119" t="s">
        <v>226</v>
      </c>
      <c r="P119">
        <v>1</v>
      </c>
      <c r="R119">
        <v>34.65</v>
      </c>
      <c r="S119">
        <v>34.65</v>
      </c>
      <c r="U119" t="s">
        <v>391</v>
      </c>
      <c r="V119" t="s">
        <v>392</v>
      </c>
      <c r="W119" t="s">
        <v>392</v>
      </c>
      <c r="Y119" t="s">
        <v>703</v>
      </c>
      <c r="AA119">
        <v>20.63</v>
      </c>
      <c r="AB119">
        <v>714.66</v>
      </c>
      <c r="AC119">
        <v>0</v>
      </c>
    </row>
    <row r="120" spans="2:29" ht="15" customHeight="1" x14ac:dyDescent="0.15">
      <c r="B120">
        <v>4</v>
      </c>
      <c r="C120" t="s">
        <v>704</v>
      </c>
      <c r="D120" t="s">
        <v>705</v>
      </c>
      <c r="E120">
        <v>1</v>
      </c>
      <c r="F120" t="s">
        <v>556</v>
      </c>
      <c r="G120" t="s">
        <v>556</v>
      </c>
      <c r="H120" t="s">
        <v>557</v>
      </c>
      <c r="I120">
        <v>20</v>
      </c>
      <c r="J120" s="21">
        <v>45793</v>
      </c>
      <c r="L120" t="s">
        <v>706</v>
      </c>
      <c r="M120" t="s">
        <v>672</v>
      </c>
      <c r="O120" t="s">
        <v>226</v>
      </c>
      <c r="P120">
        <v>0</v>
      </c>
      <c r="R120">
        <v>65.099999999999994</v>
      </c>
      <c r="S120">
        <v>0</v>
      </c>
      <c r="U120" t="s">
        <v>391</v>
      </c>
      <c r="V120" t="s">
        <v>392</v>
      </c>
      <c r="W120" t="s">
        <v>392</v>
      </c>
      <c r="Y120" t="s">
        <v>707</v>
      </c>
      <c r="AA120">
        <v>69</v>
      </c>
      <c r="AB120">
        <v>0</v>
      </c>
      <c r="AC120">
        <v>0</v>
      </c>
    </row>
    <row r="121" spans="2:29" ht="15" customHeight="1" x14ac:dyDescent="0.15">
      <c r="B121">
        <v>4</v>
      </c>
      <c r="C121" t="s">
        <v>386</v>
      </c>
      <c r="D121" t="s">
        <v>708</v>
      </c>
      <c r="E121">
        <v>1</v>
      </c>
      <c r="F121" t="s">
        <v>556</v>
      </c>
      <c r="G121" t="s">
        <v>556</v>
      </c>
      <c r="H121" t="s">
        <v>557</v>
      </c>
      <c r="I121">
        <v>20</v>
      </c>
      <c r="J121" s="21">
        <v>45794</v>
      </c>
      <c r="K121" s="21">
        <v>45794</v>
      </c>
      <c r="L121" t="s">
        <v>709</v>
      </c>
      <c r="M121" t="s">
        <v>702</v>
      </c>
      <c r="O121" t="s">
        <v>226</v>
      </c>
      <c r="P121">
        <v>1</v>
      </c>
      <c r="Q121">
        <v>1</v>
      </c>
      <c r="R121">
        <v>28</v>
      </c>
      <c r="S121">
        <v>28</v>
      </c>
      <c r="T121">
        <v>28</v>
      </c>
      <c r="U121" t="s">
        <v>391</v>
      </c>
      <c r="V121" t="s">
        <v>392</v>
      </c>
      <c r="W121" t="s">
        <v>392</v>
      </c>
      <c r="X121">
        <v>1</v>
      </c>
      <c r="Y121" t="s">
        <v>710</v>
      </c>
      <c r="AA121">
        <v>20.63</v>
      </c>
      <c r="AB121">
        <v>577.5</v>
      </c>
      <c r="AC121">
        <v>577.5</v>
      </c>
    </row>
    <row r="122" spans="2:29" ht="15" customHeight="1" x14ac:dyDescent="0.15">
      <c r="B122">
        <v>4</v>
      </c>
      <c r="C122" t="s">
        <v>386</v>
      </c>
      <c r="D122" t="s">
        <v>711</v>
      </c>
      <c r="E122">
        <v>1</v>
      </c>
      <c r="F122" t="s">
        <v>556</v>
      </c>
      <c r="G122" t="s">
        <v>556</v>
      </c>
      <c r="H122" t="s">
        <v>557</v>
      </c>
      <c r="I122">
        <v>20</v>
      </c>
      <c r="J122" s="21">
        <v>45794</v>
      </c>
      <c r="K122" s="21">
        <v>45794</v>
      </c>
      <c r="L122" t="s">
        <v>712</v>
      </c>
      <c r="M122" t="s">
        <v>713</v>
      </c>
      <c r="O122" t="s">
        <v>226</v>
      </c>
      <c r="P122">
        <v>1</v>
      </c>
      <c r="Q122">
        <v>1</v>
      </c>
      <c r="R122">
        <v>22</v>
      </c>
      <c r="S122">
        <v>22</v>
      </c>
      <c r="T122">
        <v>22</v>
      </c>
      <c r="U122" t="s">
        <v>391</v>
      </c>
      <c r="V122" t="s">
        <v>392</v>
      </c>
      <c r="W122" t="s">
        <v>392</v>
      </c>
      <c r="X122">
        <v>1</v>
      </c>
      <c r="Y122" t="s">
        <v>710</v>
      </c>
      <c r="AA122">
        <v>16.5</v>
      </c>
      <c r="AB122">
        <v>363</v>
      </c>
      <c r="AC122">
        <v>363</v>
      </c>
    </row>
    <row r="123" spans="2:29" ht="15" customHeight="1" x14ac:dyDescent="0.15">
      <c r="B123">
        <v>4</v>
      </c>
      <c r="C123" t="s">
        <v>386</v>
      </c>
      <c r="D123" t="s">
        <v>714</v>
      </c>
      <c r="E123">
        <v>1</v>
      </c>
      <c r="F123" t="s">
        <v>556</v>
      </c>
      <c r="G123" t="s">
        <v>556</v>
      </c>
      <c r="H123" t="s">
        <v>557</v>
      </c>
      <c r="I123">
        <v>20</v>
      </c>
      <c r="J123" s="21">
        <v>45794</v>
      </c>
      <c r="K123" s="21">
        <v>45794</v>
      </c>
      <c r="L123" t="s">
        <v>715</v>
      </c>
      <c r="M123" t="s">
        <v>672</v>
      </c>
      <c r="O123" t="s">
        <v>226</v>
      </c>
      <c r="P123">
        <v>1</v>
      </c>
      <c r="Q123">
        <v>1</v>
      </c>
      <c r="R123">
        <v>47.5</v>
      </c>
      <c r="S123">
        <v>47.5</v>
      </c>
      <c r="T123">
        <v>47.5</v>
      </c>
      <c r="U123" t="s">
        <v>391</v>
      </c>
      <c r="V123" t="s">
        <v>392</v>
      </c>
      <c r="W123" t="s">
        <v>392</v>
      </c>
      <c r="X123">
        <v>1</v>
      </c>
      <c r="Y123" t="s">
        <v>716</v>
      </c>
      <c r="AA123">
        <v>69</v>
      </c>
      <c r="AB123" s="22">
        <v>3277.5</v>
      </c>
      <c r="AC123" s="22">
        <v>3277.5</v>
      </c>
    </row>
    <row r="124" spans="2:29" ht="15" customHeight="1" x14ac:dyDescent="0.15">
      <c r="B124">
        <v>4</v>
      </c>
      <c r="C124" t="s">
        <v>386</v>
      </c>
      <c r="D124" t="s">
        <v>717</v>
      </c>
      <c r="E124">
        <v>1</v>
      </c>
      <c r="F124" t="s">
        <v>556</v>
      </c>
      <c r="G124" t="s">
        <v>556</v>
      </c>
      <c r="H124" t="s">
        <v>557</v>
      </c>
      <c r="I124">
        <v>20</v>
      </c>
      <c r="J124" s="21">
        <v>45794</v>
      </c>
      <c r="K124" s="21">
        <v>45794</v>
      </c>
      <c r="L124" t="s">
        <v>718</v>
      </c>
      <c r="M124" t="s">
        <v>702</v>
      </c>
      <c r="O124" t="s">
        <v>226</v>
      </c>
      <c r="P124">
        <v>1</v>
      </c>
      <c r="Q124">
        <v>1</v>
      </c>
      <c r="R124">
        <v>46</v>
      </c>
      <c r="S124">
        <v>46</v>
      </c>
      <c r="T124">
        <v>46</v>
      </c>
      <c r="U124" t="s">
        <v>391</v>
      </c>
      <c r="V124" t="s">
        <v>392</v>
      </c>
      <c r="W124" t="s">
        <v>392</v>
      </c>
      <c r="X124">
        <v>1</v>
      </c>
      <c r="Y124" t="s">
        <v>719</v>
      </c>
      <c r="AA124">
        <v>20.63</v>
      </c>
      <c r="AB124">
        <v>948.75</v>
      </c>
      <c r="AC124">
        <v>948.75</v>
      </c>
    </row>
    <row r="125" spans="2:29" ht="15" customHeight="1" x14ac:dyDescent="0.15">
      <c r="B125">
        <v>4</v>
      </c>
      <c r="C125" t="s">
        <v>386</v>
      </c>
      <c r="D125" t="s">
        <v>717</v>
      </c>
      <c r="E125">
        <v>2</v>
      </c>
      <c r="F125" t="s">
        <v>556</v>
      </c>
      <c r="G125" t="s">
        <v>556</v>
      </c>
      <c r="H125" t="s">
        <v>557</v>
      </c>
      <c r="I125">
        <v>20</v>
      </c>
      <c r="J125" s="21">
        <v>45794</v>
      </c>
      <c r="K125" s="21">
        <v>45794</v>
      </c>
      <c r="L125" t="s">
        <v>720</v>
      </c>
      <c r="M125" t="s">
        <v>713</v>
      </c>
      <c r="O125" t="s">
        <v>226</v>
      </c>
      <c r="P125">
        <v>1</v>
      </c>
      <c r="Q125">
        <v>1</v>
      </c>
      <c r="R125">
        <v>48</v>
      </c>
      <c r="S125">
        <v>48</v>
      </c>
      <c r="T125">
        <v>48</v>
      </c>
      <c r="U125" t="s">
        <v>391</v>
      </c>
      <c r="V125" t="s">
        <v>392</v>
      </c>
      <c r="W125" t="s">
        <v>392</v>
      </c>
      <c r="X125">
        <v>1</v>
      </c>
      <c r="Y125" t="s">
        <v>719</v>
      </c>
      <c r="AA125">
        <v>16.5</v>
      </c>
      <c r="AB125">
        <v>792</v>
      </c>
      <c r="AC125">
        <v>792</v>
      </c>
    </row>
    <row r="126" spans="2:29" ht="15" customHeight="1" x14ac:dyDescent="0.15">
      <c r="B126">
        <v>4</v>
      </c>
      <c r="C126" t="s">
        <v>386</v>
      </c>
      <c r="D126" t="s">
        <v>721</v>
      </c>
      <c r="E126">
        <v>1</v>
      </c>
      <c r="F126" t="s">
        <v>556</v>
      </c>
      <c r="G126" t="s">
        <v>556</v>
      </c>
      <c r="H126" t="s">
        <v>557</v>
      </c>
      <c r="I126">
        <v>20</v>
      </c>
      <c r="J126" s="21">
        <v>45794</v>
      </c>
      <c r="K126" s="21">
        <v>45794</v>
      </c>
      <c r="L126" t="s">
        <v>722</v>
      </c>
      <c r="M126" t="s">
        <v>702</v>
      </c>
      <c r="O126" t="s">
        <v>226</v>
      </c>
      <c r="P126">
        <v>1</v>
      </c>
      <c r="Q126">
        <v>1</v>
      </c>
      <c r="R126">
        <v>28</v>
      </c>
      <c r="S126">
        <v>28</v>
      </c>
      <c r="T126">
        <v>28</v>
      </c>
      <c r="U126" t="s">
        <v>391</v>
      </c>
      <c r="V126" t="s">
        <v>392</v>
      </c>
      <c r="W126" t="s">
        <v>392</v>
      </c>
      <c r="X126">
        <v>1</v>
      </c>
      <c r="Y126" t="s">
        <v>723</v>
      </c>
      <c r="AA126">
        <v>20.63</v>
      </c>
      <c r="AB126">
        <v>577.5</v>
      </c>
      <c r="AC126">
        <v>577.5</v>
      </c>
    </row>
    <row r="127" spans="2:29" ht="15" customHeight="1" x14ac:dyDescent="0.15">
      <c r="B127">
        <v>4</v>
      </c>
      <c r="C127" t="s">
        <v>386</v>
      </c>
      <c r="D127" t="s">
        <v>721</v>
      </c>
      <c r="E127">
        <v>2</v>
      </c>
      <c r="F127" t="s">
        <v>556</v>
      </c>
      <c r="G127" t="s">
        <v>556</v>
      </c>
      <c r="H127" t="s">
        <v>557</v>
      </c>
      <c r="I127">
        <v>20</v>
      </c>
      <c r="J127" s="21">
        <v>45794</v>
      </c>
      <c r="K127" s="21">
        <v>45794</v>
      </c>
      <c r="L127" t="s">
        <v>724</v>
      </c>
      <c r="M127" t="s">
        <v>713</v>
      </c>
      <c r="O127" t="s">
        <v>226</v>
      </c>
      <c r="P127">
        <v>1</v>
      </c>
      <c r="Q127">
        <v>1</v>
      </c>
      <c r="R127">
        <v>22</v>
      </c>
      <c r="S127">
        <v>22</v>
      </c>
      <c r="T127">
        <v>22</v>
      </c>
      <c r="U127" t="s">
        <v>391</v>
      </c>
      <c r="V127" t="s">
        <v>392</v>
      </c>
      <c r="W127" t="s">
        <v>392</v>
      </c>
      <c r="X127">
        <v>1</v>
      </c>
      <c r="Y127" t="s">
        <v>723</v>
      </c>
      <c r="AA127">
        <v>16.5</v>
      </c>
      <c r="AB127">
        <v>363</v>
      </c>
      <c r="AC127">
        <v>363</v>
      </c>
    </row>
    <row r="128" spans="2:29" ht="15" customHeight="1" x14ac:dyDescent="0.15">
      <c r="B128">
        <v>4</v>
      </c>
      <c r="C128" t="s">
        <v>386</v>
      </c>
      <c r="D128" t="s">
        <v>725</v>
      </c>
      <c r="E128">
        <v>1</v>
      </c>
      <c r="F128" t="s">
        <v>219</v>
      </c>
      <c r="G128" t="s">
        <v>218</v>
      </c>
      <c r="H128" t="s">
        <v>433</v>
      </c>
      <c r="I128">
        <v>21</v>
      </c>
      <c r="J128" s="21">
        <v>45796</v>
      </c>
      <c r="K128" s="21">
        <v>45796</v>
      </c>
      <c r="L128" t="s">
        <v>726</v>
      </c>
      <c r="M128" t="s">
        <v>529</v>
      </c>
      <c r="O128" t="s">
        <v>220</v>
      </c>
      <c r="P128">
        <v>2</v>
      </c>
      <c r="Q128">
        <v>1</v>
      </c>
      <c r="R128">
        <v>0.1</v>
      </c>
      <c r="S128">
        <v>0.2</v>
      </c>
      <c r="T128">
        <v>0.1</v>
      </c>
      <c r="U128" t="s">
        <v>627</v>
      </c>
      <c r="V128" t="s">
        <v>628</v>
      </c>
      <c r="W128" t="s">
        <v>532</v>
      </c>
      <c r="X128">
        <v>2</v>
      </c>
      <c r="Y128" t="s">
        <v>455</v>
      </c>
      <c r="AA128">
        <v>17.48</v>
      </c>
      <c r="AB128">
        <v>3.5</v>
      </c>
      <c r="AC128">
        <v>1.75</v>
      </c>
    </row>
    <row r="129" spans="2:29" ht="15" customHeight="1" x14ac:dyDescent="0.15">
      <c r="B129">
        <v>4</v>
      </c>
      <c r="C129" t="s">
        <v>386</v>
      </c>
      <c r="D129" t="s">
        <v>725</v>
      </c>
      <c r="E129">
        <v>2</v>
      </c>
      <c r="F129" t="s">
        <v>219</v>
      </c>
      <c r="G129" t="s">
        <v>218</v>
      </c>
      <c r="H129" t="s">
        <v>493</v>
      </c>
      <c r="I129">
        <v>21</v>
      </c>
      <c r="J129" s="21">
        <v>45796</v>
      </c>
      <c r="K129" s="21">
        <v>45796</v>
      </c>
      <c r="L129" t="s">
        <v>727</v>
      </c>
      <c r="M129" t="s">
        <v>576</v>
      </c>
      <c r="O129" t="s">
        <v>226</v>
      </c>
      <c r="P129">
        <v>2</v>
      </c>
      <c r="Q129">
        <v>1</v>
      </c>
      <c r="R129">
        <v>0.2</v>
      </c>
      <c r="S129">
        <v>0.4</v>
      </c>
      <c r="T129">
        <v>0.2</v>
      </c>
      <c r="U129" t="s">
        <v>627</v>
      </c>
      <c r="V129" t="s">
        <v>628</v>
      </c>
      <c r="W129" t="s">
        <v>532</v>
      </c>
      <c r="X129">
        <v>2</v>
      </c>
      <c r="Y129" t="s">
        <v>455</v>
      </c>
      <c r="AA129">
        <v>101.77</v>
      </c>
      <c r="AB129">
        <v>40.71</v>
      </c>
      <c r="AC129">
        <v>20.350000000000001</v>
      </c>
    </row>
    <row r="130" spans="2:29" ht="15" customHeight="1" x14ac:dyDescent="0.15">
      <c r="B130">
        <v>4</v>
      </c>
      <c r="C130" t="s">
        <v>386</v>
      </c>
      <c r="D130" t="s">
        <v>725</v>
      </c>
      <c r="E130">
        <v>3</v>
      </c>
      <c r="F130" t="s">
        <v>219</v>
      </c>
      <c r="G130" t="s">
        <v>239</v>
      </c>
      <c r="H130" t="s">
        <v>551</v>
      </c>
      <c r="I130">
        <v>21</v>
      </c>
      <c r="J130" s="21">
        <v>45796</v>
      </c>
      <c r="K130" s="21">
        <v>45796</v>
      </c>
      <c r="L130" t="s">
        <v>728</v>
      </c>
      <c r="M130" t="s">
        <v>553</v>
      </c>
      <c r="O130" t="s">
        <v>220</v>
      </c>
      <c r="P130">
        <v>2</v>
      </c>
      <c r="Q130">
        <v>1</v>
      </c>
      <c r="R130">
        <v>0.5</v>
      </c>
      <c r="S130">
        <v>1</v>
      </c>
      <c r="T130">
        <v>0.5</v>
      </c>
      <c r="U130" t="s">
        <v>627</v>
      </c>
      <c r="V130" t="s">
        <v>628</v>
      </c>
      <c r="W130" t="s">
        <v>532</v>
      </c>
      <c r="X130">
        <v>2</v>
      </c>
      <c r="Y130" t="s">
        <v>455</v>
      </c>
      <c r="AA130">
        <v>110</v>
      </c>
      <c r="AB130">
        <v>110</v>
      </c>
      <c r="AC130">
        <v>55</v>
      </c>
    </row>
    <row r="131" spans="2:29" ht="15" customHeight="1" x14ac:dyDescent="0.15">
      <c r="B131">
        <v>4</v>
      </c>
      <c r="C131" t="s">
        <v>729</v>
      </c>
      <c r="D131" t="s">
        <v>730</v>
      </c>
      <c r="E131">
        <v>1</v>
      </c>
      <c r="F131" t="s">
        <v>638</v>
      </c>
      <c r="G131" t="s">
        <v>223</v>
      </c>
      <c r="H131" t="s">
        <v>635</v>
      </c>
      <c r="I131">
        <v>21</v>
      </c>
      <c r="J131" s="21">
        <v>45796</v>
      </c>
      <c r="L131" t="s">
        <v>731</v>
      </c>
      <c r="M131" t="s">
        <v>640</v>
      </c>
      <c r="O131" t="s">
        <v>202</v>
      </c>
      <c r="P131">
        <v>0</v>
      </c>
      <c r="Q131">
        <v>0</v>
      </c>
      <c r="R131">
        <v>400</v>
      </c>
      <c r="S131">
        <v>0</v>
      </c>
      <c r="T131">
        <v>0</v>
      </c>
      <c r="U131" t="s">
        <v>391</v>
      </c>
      <c r="V131" t="s">
        <v>392</v>
      </c>
      <c r="W131" t="s">
        <v>392</v>
      </c>
      <c r="X131">
        <v>1</v>
      </c>
      <c r="Y131" t="s">
        <v>716</v>
      </c>
      <c r="AC131">
        <v>0</v>
      </c>
    </row>
    <row r="132" spans="2:29" ht="15" customHeight="1" x14ac:dyDescent="0.15">
      <c r="B132">
        <v>4</v>
      </c>
      <c r="C132" t="s">
        <v>729</v>
      </c>
      <c r="D132" t="s">
        <v>730</v>
      </c>
      <c r="E132">
        <v>2</v>
      </c>
      <c r="F132" t="s">
        <v>201</v>
      </c>
      <c r="G132" t="s">
        <v>200</v>
      </c>
      <c r="H132" t="s">
        <v>732</v>
      </c>
      <c r="I132">
        <v>21</v>
      </c>
      <c r="J132" s="21">
        <v>45796</v>
      </c>
      <c r="L132" t="s">
        <v>733</v>
      </c>
      <c r="M132" t="s">
        <v>734</v>
      </c>
      <c r="O132" t="s">
        <v>202</v>
      </c>
      <c r="P132">
        <v>0</v>
      </c>
      <c r="Q132">
        <v>0</v>
      </c>
      <c r="R132">
        <v>500</v>
      </c>
      <c r="S132">
        <v>0</v>
      </c>
      <c r="T132">
        <v>0</v>
      </c>
      <c r="U132" t="s">
        <v>391</v>
      </c>
      <c r="V132" t="s">
        <v>392</v>
      </c>
      <c r="W132" t="s">
        <v>392</v>
      </c>
      <c r="X132">
        <v>1</v>
      </c>
      <c r="Y132" t="s">
        <v>716</v>
      </c>
      <c r="AA132">
        <v>3.24</v>
      </c>
      <c r="AB132">
        <v>0</v>
      </c>
      <c r="AC132">
        <v>0</v>
      </c>
    </row>
    <row r="133" spans="2:29" ht="15" customHeight="1" x14ac:dyDescent="0.15">
      <c r="B133">
        <v>4</v>
      </c>
      <c r="C133" t="s">
        <v>729</v>
      </c>
      <c r="D133" t="s">
        <v>730</v>
      </c>
      <c r="E133">
        <v>3</v>
      </c>
      <c r="F133" t="s">
        <v>201</v>
      </c>
      <c r="G133" t="s">
        <v>200</v>
      </c>
      <c r="H133" t="s">
        <v>735</v>
      </c>
      <c r="I133">
        <v>21</v>
      </c>
      <c r="J133" s="21">
        <v>45796</v>
      </c>
      <c r="L133" t="s">
        <v>736</v>
      </c>
      <c r="M133" t="s">
        <v>737</v>
      </c>
      <c r="O133" t="s">
        <v>202</v>
      </c>
      <c r="P133">
        <v>0</v>
      </c>
      <c r="Q133">
        <v>0</v>
      </c>
      <c r="R133">
        <v>300</v>
      </c>
      <c r="S133">
        <v>0</v>
      </c>
      <c r="T133">
        <v>0</v>
      </c>
      <c r="U133" t="s">
        <v>391</v>
      </c>
      <c r="V133" t="s">
        <v>392</v>
      </c>
      <c r="W133" t="s">
        <v>392</v>
      </c>
      <c r="X133">
        <v>1</v>
      </c>
      <c r="Y133" t="s">
        <v>716</v>
      </c>
      <c r="AA133">
        <v>2.7</v>
      </c>
      <c r="AB133">
        <v>0</v>
      </c>
      <c r="AC133">
        <v>0</v>
      </c>
    </row>
    <row r="134" spans="2:29" ht="15" customHeight="1" x14ac:dyDescent="0.15">
      <c r="B134">
        <v>4</v>
      </c>
      <c r="C134" t="s">
        <v>729</v>
      </c>
      <c r="D134" t="s">
        <v>730</v>
      </c>
      <c r="E134">
        <v>4</v>
      </c>
      <c r="F134" t="s">
        <v>201</v>
      </c>
      <c r="G134" t="s">
        <v>337</v>
      </c>
      <c r="H134" t="s">
        <v>607</v>
      </c>
      <c r="I134">
        <v>21</v>
      </c>
      <c r="J134" s="21">
        <v>45796</v>
      </c>
      <c r="L134" t="s">
        <v>738</v>
      </c>
      <c r="M134" t="s">
        <v>739</v>
      </c>
      <c r="O134" t="s">
        <v>202</v>
      </c>
      <c r="P134">
        <v>0</v>
      </c>
      <c r="Q134">
        <v>0</v>
      </c>
      <c r="R134">
        <v>25</v>
      </c>
      <c r="S134">
        <v>0</v>
      </c>
      <c r="T134">
        <v>0</v>
      </c>
      <c r="U134" t="s">
        <v>391</v>
      </c>
      <c r="V134" t="s">
        <v>392</v>
      </c>
      <c r="W134" t="s">
        <v>392</v>
      </c>
      <c r="X134">
        <v>1</v>
      </c>
      <c r="Y134" t="s">
        <v>716</v>
      </c>
      <c r="AA134">
        <v>3.72</v>
      </c>
      <c r="AB134">
        <v>0</v>
      </c>
      <c r="AC134">
        <v>0</v>
      </c>
    </row>
    <row r="135" spans="2:29" ht="15" customHeight="1" x14ac:dyDescent="0.15">
      <c r="B135">
        <v>4</v>
      </c>
      <c r="C135" t="s">
        <v>729</v>
      </c>
      <c r="D135" t="s">
        <v>730</v>
      </c>
      <c r="E135">
        <v>5</v>
      </c>
      <c r="F135" t="s">
        <v>201</v>
      </c>
      <c r="G135" t="s">
        <v>200</v>
      </c>
      <c r="H135" t="s">
        <v>740</v>
      </c>
      <c r="I135">
        <v>21</v>
      </c>
      <c r="J135" s="21">
        <v>45796</v>
      </c>
      <c r="L135" t="s">
        <v>741</v>
      </c>
      <c r="M135" t="s">
        <v>742</v>
      </c>
      <c r="O135" t="s">
        <v>202</v>
      </c>
      <c r="P135">
        <v>0</v>
      </c>
      <c r="Q135">
        <v>0</v>
      </c>
      <c r="R135">
        <v>25</v>
      </c>
      <c r="S135">
        <v>0</v>
      </c>
      <c r="T135">
        <v>0</v>
      </c>
      <c r="U135" t="s">
        <v>391</v>
      </c>
      <c r="V135" t="s">
        <v>392</v>
      </c>
      <c r="W135" t="s">
        <v>392</v>
      </c>
      <c r="X135">
        <v>1</v>
      </c>
      <c r="Y135" t="s">
        <v>716</v>
      </c>
      <c r="AA135">
        <v>3.6</v>
      </c>
      <c r="AB135">
        <v>0</v>
      </c>
      <c r="AC135">
        <v>0</v>
      </c>
    </row>
    <row r="136" spans="2:29" ht="15" customHeight="1" x14ac:dyDescent="0.15">
      <c r="B136">
        <v>4</v>
      </c>
      <c r="C136" t="s">
        <v>729</v>
      </c>
      <c r="D136" t="s">
        <v>730</v>
      </c>
      <c r="E136">
        <v>6</v>
      </c>
      <c r="F136" t="s">
        <v>201</v>
      </c>
      <c r="G136" t="s">
        <v>200</v>
      </c>
      <c r="H136" t="s">
        <v>647</v>
      </c>
      <c r="I136">
        <v>21</v>
      </c>
      <c r="J136" s="21">
        <v>45796</v>
      </c>
      <c r="L136" t="s">
        <v>743</v>
      </c>
      <c r="M136" t="s">
        <v>647</v>
      </c>
      <c r="O136" t="s">
        <v>202</v>
      </c>
      <c r="P136">
        <v>0</v>
      </c>
      <c r="Q136">
        <v>0</v>
      </c>
      <c r="R136">
        <v>500</v>
      </c>
      <c r="S136">
        <v>0</v>
      </c>
      <c r="T136">
        <v>0</v>
      </c>
      <c r="U136" t="s">
        <v>391</v>
      </c>
      <c r="V136" t="s">
        <v>392</v>
      </c>
      <c r="W136" t="s">
        <v>392</v>
      </c>
      <c r="X136">
        <v>1</v>
      </c>
      <c r="Y136" t="s">
        <v>716</v>
      </c>
      <c r="AA136">
        <v>3.19</v>
      </c>
      <c r="AB136">
        <v>0</v>
      </c>
      <c r="AC136">
        <v>0</v>
      </c>
    </row>
    <row r="137" spans="2:29" ht="15" customHeight="1" x14ac:dyDescent="0.15">
      <c r="B137">
        <v>4</v>
      </c>
      <c r="C137" t="s">
        <v>729</v>
      </c>
      <c r="D137" t="s">
        <v>730</v>
      </c>
      <c r="E137">
        <v>7</v>
      </c>
      <c r="F137" t="s">
        <v>201</v>
      </c>
      <c r="G137" t="s">
        <v>200</v>
      </c>
      <c r="H137" t="s">
        <v>635</v>
      </c>
      <c r="I137">
        <v>21</v>
      </c>
      <c r="J137" s="21">
        <v>45796</v>
      </c>
      <c r="L137" t="s">
        <v>744</v>
      </c>
      <c r="M137" t="s">
        <v>204</v>
      </c>
      <c r="O137" t="s">
        <v>202</v>
      </c>
      <c r="P137">
        <v>0</v>
      </c>
      <c r="Q137">
        <v>0</v>
      </c>
      <c r="R137">
        <v>200</v>
      </c>
      <c r="S137">
        <v>0</v>
      </c>
      <c r="T137">
        <v>0</v>
      </c>
      <c r="U137" t="s">
        <v>391</v>
      </c>
      <c r="V137" t="s">
        <v>392</v>
      </c>
      <c r="W137" t="s">
        <v>392</v>
      </c>
      <c r="X137">
        <v>1</v>
      </c>
      <c r="Y137" t="s">
        <v>716</v>
      </c>
      <c r="AA137">
        <v>2.06</v>
      </c>
      <c r="AB137">
        <v>0</v>
      </c>
      <c r="AC137">
        <v>0</v>
      </c>
    </row>
    <row r="138" spans="2:29" ht="15" customHeight="1" x14ac:dyDescent="0.15">
      <c r="B138">
        <v>4</v>
      </c>
      <c r="C138" t="s">
        <v>386</v>
      </c>
      <c r="D138" t="s">
        <v>745</v>
      </c>
      <c r="E138">
        <v>1</v>
      </c>
      <c r="F138" t="s">
        <v>556</v>
      </c>
      <c r="G138" t="s">
        <v>556</v>
      </c>
      <c r="H138" t="s">
        <v>557</v>
      </c>
      <c r="I138">
        <v>21</v>
      </c>
      <c r="J138" s="21">
        <v>45796</v>
      </c>
      <c r="K138" s="21">
        <v>45796</v>
      </c>
      <c r="L138" t="s">
        <v>746</v>
      </c>
      <c r="M138" t="s">
        <v>702</v>
      </c>
      <c r="O138" t="s">
        <v>202</v>
      </c>
      <c r="P138">
        <v>1</v>
      </c>
      <c r="Q138">
        <v>1</v>
      </c>
      <c r="R138">
        <v>25</v>
      </c>
      <c r="S138">
        <v>25</v>
      </c>
      <c r="T138">
        <v>25</v>
      </c>
      <c r="U138" t="s">
        <v>391</v>
      </c>
      <c r="V138" t="s">
        <v>392</v>
      </c>
      <c r="W138" t="s">
        <v>392</v>
      </c>
      <c r="X138">
        <v>1</v>
      </c>
      <c r="Y138" t="s">
        <v>719</v>
      </c>
      <c r="AA138">
        <v>20.63</v>
      </c>
      <c r="AB138">
        <v>515.63</v>
      </c>
      <c r="AC138">
        <v>515.63</v>
      </c>
    </row>
    <row r="139" spans="2:29" ht="15" customHeight="1" x14ac:dyDescent="0.15">
      <c r="B139">
        <v>4</v>
      </c>
      <c r="C139" t="s">
        <v>386</v>
      </c>
      <c r="D139" t="s">
        <v>745</v>
      </c>
      <c r="E139">
        <v>2</v>
      </c>
      <c r="F139" t="s">
        <v>556</v>
      </c>
      <c r="G139" t="s">
        <v>556</v>
      </c>
      <c r="H139" t="s">
        <v>557</v>
      </c>
      <c r="I139">
        <v>21</v>
      </c>
      <c r="J139" s="21">
        <v>45796</v>
      </c>
      <c r="K139" s="21">
        <v>45796</v>
      </c>
      <c r="L139" t="s">
        <v>747</v>
      </c>
      <c r="M139" t="s">
        <v>713</v>
      </c>
      <c r="O139" t="s">
        <v>202</v>
      </c>
      <c r="P139">
        <v>1</v>
      </c>
      <c r="Q139">
        <v>1</v>
      </c>
      <c r="R139">
        <v>10</v>
      </c>
      <c r="S139">
        <v>10</v>
      </c>
      <c r="T139">
        <v>10</v>
      </c>
      <c r="U139" t="s">
        <v>391</v>
      </c>
      <c r="V139" t="s">
        <v>392</v>
      </c>
      <c r="W139" t="s">
        <v>392</v>
      </c>
      <c r="X139">
        <v>1</v>
      </c>
      <c r="Y139" t="s">
        <v>719</v>
      </c>
      <c r="AA139">
        <v>16.5</v>
      </c>
      <c r="AB139">
        <v>165</v>
      </c>
      <c r="AC139">
        <v>165</v>
      </c>
    </row>
    <row r="140" spans="2:29" ht="15" customHeight="1" x14ac:dyDescent="0.15">
      <c r="B140">
        <v>4</v>
      </c>
      <c r="C140" t="s">
        <v>704</v>
      </c>
      <c r="D140" t="s">
        <v>748</v>
      </c>
      <c r="E140">
        <v>1</v>
      </c>
      <c r="F140" t="s">
        <v>556</v>
      </c>
      <c r="G140" t="s">
        <v>556</v>
      </c>
      <c r="H140" t="s">
        <v>557</v>
      </c>
      <c r="I140">
        <v>21</v>
      </c>
      <c r="J140" s="21">
        <v>45797</v>
      </c>
      <c r="L140" t="s">
        <v>749</v>
      </c>
      <c r="M140" t="s">
        <v>702</v>
      </c>
      <c r="O140" t="s">
        <v>226</v>
      </c>
      <c r="P140">
        <v>0</v>
      </c>
      <c r="Q140">
        <v>0</v>
      </c>
      <c r="R140">
        <v>6</v>
      </c>
      <c r="S140">
        <v>0</v>
      </c>
      <c r="T140">
        <v>0</v>
      </c>
      <c r="U140" t="s">
        <v>391</v>
      </c>
      <c r="V140" t="s">
        <v>392</v>
      </c>
      <c r="W140" t="s">
        <v>392</v>
      </c>
      <c r="X140">
        <v>1</v>
      </c>
      <c r="Y140" t="s">
        <v>750</v>
      </c>
      <c r="AA140">
        <v>20.63</v>
      </c>
      <c r="AB140">
        <v>0</v>
      </c>
      <c r="AC140">
        <v>0</v>
      </c>
    </row>
    <row r="141" spans="2:29" ht="15" customHeight="1" x14ac:dyDescent="0.15">
      <c r="B141">
        <v>4</v>
      </c>
      <c r="C141" t="s">
        <v>704</v>
      </c>
      <c r="D141" t="s">
        <v>748</v>
      </c>
      <c r="E141">
        <v>2</v>
      </c>
      <c r="F141" t="s">
        <v>556</v>
      </c>
      <c r="G141" t="s">
        <v>556</v>
      </c>
      <c r="H141" t="s">
        <v>557</v>
      </c>
      <c r="I141">
        <v>21</v>
      </c>
      <c r="J141" s="21">
        <v>45797</v>
      </c>
      <c r="L141" t="s">
        <v>751</v>
      </c>
      <c r="M141" t="s">
        <v>713</v>
      </c>
      <c r="O141" t="s">
        <v>226</v>
      </c>
      <c r="P141">
        <v>0</v>
      </c>
      <c r="Q141">
        <v>0</v>
      </c>
      <c r="R141">
        <v>6</v>
      </c>
      <c r="S141">
        <v>0</v>
      </c>
      <c r="T141">
        <v>0</v>
      </c>
      <c r="U141" t="s">
        <v>391</v>
      </c>
      <c r="V141" t="s">
        <v>392</v>
      </c>
      <c r="W141" t="s">
        <v>392</v>
      </c>
      <c r="X141">
        <v>1</v>
      </c>
      <c r="Y141" t="s">
        <v>750</v>
      </c>
      <c r="AA141">
        <v>16.5</v>
      </c>
      <c r="AB141">
        <v>0</v>
      </c>
      <c r="AC141">
        <v>0</v>
      </c>
    </row>
    <row r="142" spans="2:29" ht="15" customHeight="1" x14ac:dyDescent="0.15">
      <c r="B142">
        <v>4</v>
      </c>
      <c r="C142" t="s">
        <v>386</v>
      </c>
      <c r="D142" t="s">
        <v>752</v>
      </c>
      <c r="E142">
        <v>1</v>
      </c>
      <c r="F142" t="s">
        <v>219</v>
      </c>
      <c r="G142" t="s">
        <v>218</v>
      </c>
      <c r="H142" t="s">
        <v>433</v>
      </c>
      <c r="I142">
        <v>21</v>
      </c>
      <c r="J142" s="21">
        <v>45799</v>
      </c>
      <c r="K142" s="21">
        <v>45799</v>
      </c>
      <c r="L142" t="s">
        <v>753</v>
      </c>
      <c r="M142" t="s">
        <v>529</v>
      </c>
      <c r="O142" t="s">
        <v>220</v>
      </c>
      <c r="P142">
        <v>2</v>
      </c>
      <c r="Q142">
        <v>1</v>
      </c>
      <c r="R142">
        <v>0.1</v>
      </c>
      <c r="S142">
        <v>0.2</v>
      </c>
      <c r="T142">
        <v>0.1</v>
      </c>
      <c r="U142" t="s">
        <v>627</v>
      </c>
      <c r="V142" t="s">
        <v>628</v>
      </c>
      <c r="W142" t="s">
        <v>532</v>
      </c>
      <c r="X142">
        <v>2</v>
      </c>
      <c r="Y142" t="s">
        <v>455</v>
      </c>
      <c r="AA142">
        <v>17.48</v>
      </c>
      <c r="AB142">
        <v>3.5</v>
      </c>
      <c r="AC142">
        <v>1.75</v>
      </c>
    </row>
    <row r="143" spans="2:29" ht="15" customHeight="1" x14ac:dyDescent="0.15">
      <c r="B143">
        <v>4</v>
      </c>
      <c r="C143" t="s">
        <v>386</v>
      </c>
      <c r="D143" t="s">
        <v>752</v>
      </c>
      <c r="E143">
        <v>2</v>
      </c>
      <c r="F143" t="s">
        <v>219</v>
      </c>
      <c r="G143" t="s">
        <v>239</v>
      </c>
      <c r="H143" t="s">
        <v>456</v>
      </c>
      <c r="I143">
        <v>21</v>
      </c>
      <c r="J143" s="21">
        <v>45799</v>
      </c>
      <c r="K143" s="21">
        <v>45799</v>
      </c>
      <c r="L143" t="s">
        <v>754</v>
      </c>
      <c r="M143" t="s">
        <v>458</v>
      </c>
      <c r="O143" t="s">
        <v>220</v>
      </c>
      <c r="P143">
        <v>2</v>
      </c>
      <c r="Q143">
        <v>1</v>
      </c>
      <c r="R143">
        <v>3</v>
      </c>
      <c r="S143">
        <v>6</v>
      </c>
      <c r="T143">
        <v>3</v>
      </c>
      <c r="U143" t="s">
        <v>627</v>
      </c>
      <c r="V143" t="s">
        <v>628</v>
      </c>
      <c r="W143" t="s">
        <v>532</v>
      </c>
      <c r="X143">
        <v>2</v>
      </c>
      <c r="Y143" t="s">
        <v>455</v>
      </c>
      <c r="AA143">
        <v>49.99</v>
      </c>
      <c r="AB143">
        <v>299.94</v>
      </c>
      <c r="AC143">
        <v>149.97</v>
      </c>
    </row>
    <row r="144" spans="2:29" ht="15" customHeight="1" x14ac:dyDescent="0.15">
      <c r="B144">
        <v>4</v>
      </c>
      <c r="C144" t="s">
        <v>386</v>
      </c>
      <c r="D144" t="s">
        <v>752</v>
      </c>
      <c r="E144">
        <v>3</v>
      </c>
      <c r="F144" t="s">
        <v>219</v>
      </c>
      <c r="G144" t="s">
        <v>218</v>
      </c>
      <c r="H144" t="s">
        <v>493</v>
      </c>
      <c r="I144">
        <v>21</v>
      </c>
      <c r="J144" s="21">
        <v>45799</v>
      </c>
      <c r="K144" s="21">
        <v>45799</v>
      </c>
      <c r="L144" t="s">
        <v>755</v>
      </c>
      <c r="M144" t="s">
        <v>576</v>
      </c>
      <c r="O144" t="s">
        <v>220</v>
      </c>
      <c r="P144">
        <v>2</v>
      </c>
      <c r="Q144">
        <v>1</v>
      </c>
      <c r="R144">
        <v>0.2</v>
      </c>
      <c r="S144">
        <v>0.4</v>
      </c>
      <c r="T144">
        <v>0.2</v>
      </c>
      <c r="U144" t="s">
        <v>627</v>
      </c>
      <c r="V144" t="s">
        <v>628</v>
      </c>
      <c r="W144" t="s">
        <v>532</v>
      </c>
      <c r="X144">
        <v>2</v>
      </c>
      <c r="Y144" t="s">
        <v>455</v>
      </c>
      <c r="AA144">
        <v>101.77</v>
      </c>
      <c r="AB144">
        <v>40.71</v>
      </c>
      <c r="AC144">
        <v>20.350000000000001</v>
      </c>
    </row>
    <row r="145" spans="2:29" ht="15" customHeight="1" x14ac:dyDescent="0.15">
      <c r="B145">
        <v>4</v>
      </c>
      <c r="C145" t="s">
        <v>386</v>
      </c>
      <c r="D145" t="s">
        <v>756</v>
      </c>
      <c r="E145">
        <v>1</v>
      </c>
      <c r="F145" t="s">
        <v>556</v>
      </c>
      <c r="G145" t="s">
        <v>556</v>
      </c>
      <c r="H145" t="s">
        <v>557</v>
      </c>
      <c r="I145">
        <v>21</v>
      </c>
      <c r="J145" s="21">
        <v>45799</v>
      </c>
      <c r="K145" s="21">
        <v>45801</v>
      </c>
      <c r="L145" t="s">
        <v>757</v>
      </c>
      <c r="M145" t="s">
        <v>672</v>
      </c>
      <c r="O145" t="s">
        <v>226</v>
      </c>
      <c r="P145">
        <v>1</v>
      </c>
      <c r="Q145">
        <v>1</v>
      </c>
      <c r="R145">
        <v>93.65</v>
      </c>
      <c r="S145">
        <v>93.65</v>
      </c>
      <c r="T145">
        <v>93.65</v>
      </c>
      <c r="U145" t="s">
        <v>391</v>
      </c>
      <c r="V145" t="s">
        <v>392</v>
      </c>
      <c r="W145" t="s">
        <v>392</v>
      </c>
      <c r="X145">
        <v>1</v>
      </c>
      <c r="Y145" t="s">
        <v>758</v>
      </c>
      <c r="AA145">
        <v>69</v>
      </c>
      <c r="AB145" s="22">
        <v>6461.85</v>
      </c>
      <c r="AC145" s="22">
        <v>6461.85</v>
      </c>
    </row>
    <row r="146" spans="2:29" ht="15" customHeight="1" x14ac:dyDescent="0.15">
      <c r="B146">
        <v>4</v>
      </c>
      <c r="C146" t="s">
        <v>386</v>
      </c>
      <c r="D146" t="s">
        <v>756</v>
      </c>
      <c r="E146">
        <v>2</v>
      </c>
      <c r="F146" t="s">
        <v>219</v>
      </c>
      <c r="G146" t="s">
        <v>244</v>
      </c>
      <c r="H146" t="s">
        <v>759</v>
      </c>
      <c r="I146">
        <v>21</v>
      </c>
      <c r="J146" s="21">
        <v>45799</v>
      </c>
      <c r="K146" s="21">
        <v>45801</v>
      </c>
      <c r="L146" t="s">
        <v>760</v>
      </c>
      <c r="M146" t="s">
        <v>761</v>
      </c>
      <c r="O146" t="s">
        <v>220</v>
      </c>
      <c r="P146">
        <v>1</v>
      </c>
      <c r="Q146">
        <v>1</v>
      </c>
      <c r="R146">
        <v>0.5</v>
      </c>
      <c r="S146">
        <v>0.5</v>
      </c>
      <c r="T146">
        <v>0.5</v>
      </c>
      <c r="U146" t="s">
        <v>391</v>
      </c>
      <c r="V146" t="s">
        <v>392</v>
      </c>
      <c r="W146" t="s">
        <v>392</v>
      </c>
      <c r="X146">
        <v>1</v>
      </c>
      <c r="Y146" t="s">
        <v>758</v>
      </c>
      <c r="AA146">
        <v>385</v>
      </c>
      <c r="AB146">
        <v>192.5</v>
      </c>
      <c r="AC146">
        <v>192.5</v>
      </c>
    </row>
    <row r="147" spans="2:29" ht="15" customHeight="1" x14ac:dyDescent="0.15">
      <c r="B147">
        <v>4</v>
      </c>
      <c r="C147" t="s">
        <v>386</v>
      </c>
      <c r="D147" t="s">
        <v>756</v>
      </c>
      <c r="E147">
        <v>3</v>
      </c>
      <c r="F147" t="s">
        <v>219</v>
      </c>
      <c r="G147" t="s">
        <v>239</v>
      </c>
      <c r="H147" t="s">
        <v>551</v>
      </c>
      <c r="I147">
        <v>21</v>
      </c>
      <c r="J147" s="21">
        <v>45799</v>
      </c>
      <c r="K147" s="21">
        <v>45801</v>
      </c>
      <c r="L147" t="s">
        <v>762</v>
      </c>
      <c r="M147" t="s">
        <v>553</v>
      </c>
      <c r="O147" t="s">
        <v>226</v>
      </c>
      <c r="P147">
        <v>1</v>
      </c>
      <c r="Q147">
        <v>1</v>
      </c>
      <c r="R147">
        <v>0.75</v>
      </c>
      <c r="S147">
        <v>0.75</v>
      </c>
      <c r="T147">
        <v>0.75</v>
      </c>
      <c r="U147" t="s">
        <v>391</v>
      </c>
      <c r="V147" t="s">
        <v>392</v>
      </c>
      <c r="W147" t="s">
        <v>392</v>
      </c>
      <c r="X147">
        <v>1</v>
      </c>
      <c r="Y147" t="s">
        <v>758</v>
      </c>
      <c r="AA147">
        <v>110</v>
      </c>
      <c r="AB147">
        <v>82.5</v>
      </c>
      <c r="AC147">
        <v>82.5</v>
      </c>
    </row>
    <row r="148" spans="2:29" ht="15" customHeight="1" x14ac:dyDescent="0.15">
      <c r="B148">
        <v>4</v>
      </c>
      <c r="C148" t="s">
        <v>386</v>
      </c>
      <c r="D148" t="s">
        <v>756</v>
      </c>
      <c r="E148">
        <v>4</v>
      </c>
      <c r="F148" t="s">
        <v>219</v>
      </c>
      <c r="G148" t="s">
        <v>239</v>
      </c>
      <c r="H148" t="s">
        <v>420</v>
      </c>
      <c r="I148">
        <v>21</v>
      </c>
      <c r="J148" s="21">
        <v>45799</v>
      </c>
      <c r="K148" s="21">
        <v>45801</v>
      </c>
      <c r="L148" t="s">
        <v>763</v>
      </c>
      <c r="M148" t="s">
        <v>764</v>
      </c>
      <c r="O148" t="s">
        <v>226</v>
      </c>
      <c r="P148">
        <v>1</v>
      </c>
      <c r="Q148">
        <v>1</v>
      </c>
      <c r="R148">
        <v>0.5</v>
      </c>
      <c r="S148">
        <v>0.5</v>
      </c>
      <c r="T148">
        <v>0.5</v>
      </c>
      <c r="U148" t="s">
        <v>391</v>
      </c>
      <c r="V148" t="s">
        <v>392</v>
      </c>
      <c r="W148" t="s">
        <v>392</v>
      </c>
      <c r="X148">
        <v>1</v>
      </c>
      <c r="Y148" t="s">
        <v>758</v>
      </c>
      <c r="AA148">
        <v>115.5</v>
      </c>
      <c r="AB148">
        <v>57.75</v>
      </c>
      <c r="AC148">
        <v>57.75</v>
      </c>
    </row>
    <row r="149" spans="2:29" ht="15" customHeight="1" x14ac:dyDescent="0.15">
      <c r="B149">
        <v>4</v>
      </c>
      <c r="C149" t="s">
        <v>704</v>
      </c>
      <c r="D149" t="s">
        <v>765</v>
      </c>
      <c r="E149">
        <v>1</v>
      </c>
      <c r="F149" t="s">
        <v>556</v>
      </c>
      <c r="G149" t="s">
        <v>556</v>
      </c>
      <c r="H149" t="s">
        <v>557</v>
      </c>
      <c r="I149">
        <v>21</v>
      </c>
      <c r="J149" s="21">
        <v>45799</v>
      </c>
      <c r="L149" t="s">
        <v>766</v>
      </c>
      <c r="M149" t="s">
        <v>672</v>
      </c>
      <c r="O149" t="s">
        <v>226</v>
      </c>
      <c r="P149">
        <v>0</v>
      </c>
      <c r="Q149">
        <v>0</v>
      </c>
      <c r="R149">
        <v>65</v>
      </c>
      <c r="S149">
        <v>0</v>
      </c>
      <c r="T149">
        <v>0</v>
      </c>
      <c r="U149" t="s">
        <v>391</v>
      </c>
      <c r="V149" t="s">
        <v>392</v>
      </c>
      <c r="W149" t="s">
        <v>392</v>
      </c>
      <c r="X149">
        <v>1</v>
      </c>
      <c r="Y149" t="s">
        <v>767</v>
      </c>
      <c r="AA149">
        <v>69</v>
      </c>
      <c r="AB149">
        <v>0</v>
      </c>
      <c r="AC149">
        <v>0</v>
      </c>
    </row>
    <row r="150" spans="2:29" ht="15" customHeight="1" x14ac:dyDescent="0.15">
      <c r="B150">
        <v>4</v>
      </c>
      <c r="C150" t="s">
        <v>704</v>
      </c>
      <c r="D150" t="s">
        <v>765</v>
      </c>
      <c r="E150">
        <v>2</v>
      </c>
      <c r="F150" t="s">
        <v>219</v>
      </c>
      <c r="G150" t="s">
        <v>244</v>
      </c>
      <c r="H150" t="s">
        <v>759</v>
      </c>
      <c r="I150">
        <v>21</v>
      </c>
      <c r="J150" s="21">
        <v>45799</v>
      </c>
      <c r="L150" t="s">
        <v>768</v>
      </c>
      <c r="M150" t="s">
        <v>761</v>
      </c>
      <c r="O150" t="s">
        <v>220</v>
      </c>
      <c r="P150">
        <v>0</v>
      </c>
      <c r="Q150">
        <v>0</v>
      </c>
      <c r="R150">
        <v>0.3</v>
      </c>
      <c r="S150">
        <v>0</v>
      </c>
      <c r="T150">
        <v>0</v>
      </c>
      <c r="U150" t="s">
        <v>391</v>
      </c>
      <c r="V150" t="s">
        <v>392</v>
      </c>
      <c r="W150" t="s">
        <v>392</v>
      </c>
      <c r="X150">
        <v>1</v>
      </c>
      <c r="Y150" t="s">
        <v>767</v>
      </c>
      <c r="AA150">
        <v>385</v>
      </c>
      <c r="AB150">
        <v>0</v>
      </c>
      <c r="AC150">
        <v>0</v>
      </c>
    </row>
    <row r="151" spans="2:29" ht="15" customHeight="1" x14ac:dyDescent="0.15">
      <c r="B151">
        <v>4</v>
      </c>
      <c r="C151" t="s">
        <v>704</v>
      </c>
      <c r="D151" t="s">
        <v>765</v>
      </c>
      <c r="E151">
        <v>3</v>
      </c>
      <c r="F151" t="s">
        <v>219</v>
      </c>
      <c r="G151" t="s">
        <v>239</v>
      </c>
      <c r="H151" t="s">
        <v>551</v>
      </c>
      <c r="I151">
        <v>21</v>
      </c>
      <c r="J151" s="21">
        <v>45799</v>
      </c>
      <c r="L151" t="s">
        <v>769</v>
      </c>
      <c r="M151" t="s">
        <v>553</v>
      </c>
      <c r="O151" t="s">
        <v>226</v>
      </c>
      <c r="P151">
        <v>0</v>
      </c>
      <c r="Q151">
        <v>0</v>
      </c>
      <c r="R151">
        <v>0.45</v>
      </c>
      <c r="S151">
        <v>0</v>
      </c>
      <c r="T151">
        <v>0</v>
      </c>
      <c r="U151" t="s">
        <v>391</v>
      </c>
      <c r="V151" t="s">
        <v>392</v>
      </c>
      <c r="W151" t="s">
        <v>392</v>
      </c>
      <c r="X151">
        <v>1</v>
      </c>
      <c r="Y151" t="s">
        <v>767</v>
      </c>
      <c r="AA151">
        <v>110</v>
      </c>
      <c r="AB151">
        <v>0</v>
      </c>
      <c r="AC151">
        <v>0</v>
      </c>
    </row>
    <row r="152" spans="2:29" ht="15" customHeight="1" x14ac:dyDescent="0.15">
      <c r="B152">
        <v>4</v>
      </c>
      <c r="C152" t="s">
        <v>704</v>
      </c>
      <c r="D152" t="s">
        <v>765</v>
      </c>
      <c r="E152">
        <v>4</v>
      </c>
      <c r="F152" t="s">
        <v>219</v>
      </c>
      <c r="G152" t="s">
        <v>239</v>
      </c>
      <c r="H152" t="s">
        <v>420</v>
      </c>
      <c r="I152">
        <v>21</v>
      </c>
      <c r="J152" s="21">
        <v>45799</v>
      </c>
      <c r="L152" t="s">
        <v>770</v>
      </c>
      <c r="M152" t="s">
        <v>764</v>
      </c>
      <c r="O152" t="s">
        <v>226</v>
      </c>
      <c r="P152">
        <v>0</v>
      </c>
      <c r="Q152">
        <v>0</v>
      </c>
      <c r="R152">
        <v>0.3</v>
      </c>
      <c r="S152">
        <v>0</v>
      </c>
      <c r="T152">
        <v>0</v>
      </c>
      <c r="U152" t="s">
        <v>391</v>
      </c>
      <c r="V152" t="s">
        <v>392</v>
      </c>
      <c r="W152" t="s">
        <v>392</v>
      </c>
      <c r="X152">
        <v>1</v>
      </c>
      <c r="Y152" t="s">
        <v>767</v>
      </c>
      <c r="AA152">
        <v>115.5</v>
      </c>
      <c r="AB152">
        <v>0</v>
      </c>
      <c r="AC152">
        <v>0</v>
      </c>
    </row>
    <row r="153" spans="2:29" ht="15" customHeight="1" x14ac:dyDescent="0.15">
      <c r="B153">
        <v>4</v>
      </c>
      <c r="C153" t="s">
        <v>386</v>
      </c>
      <c r="D153" t="s">
        <v>771</v>
      </c>
      <c r="E153">
        <v>1</v>
      </c>
      <c r="F153" t="s">
        <v>416</v>
      </c>
      <c r="G153" t="s">
        <v>416</v>
      </c>
      <c r="H153" t="s">
        <v>416</v>
      </c>
      <c r="I153">
        <v>21</v>
      </c>
      <c r="J153" s="21">
        <v>45799</v>
      </c>
      <c r="K153" s="21">
        <v>45800</v>
      </c>
      <c r="L153" t="s">
        <v>772</v>
      </c>
      <c r="M153" t="s">
        <v>773</v>
      </c>
      <c r="O153" t="s">
        <v>500</v>
      </c>
      <c r="P153">
        <v>1</v>
      </c>
      <c r="Q153">
        <v>1</v>
      </c>
      <c r="R153">
        <v>2</v>
      </c>
      <c r="S153">
        <v>2</v>
      </c>
      <c r="T153">
        <v>2</v>
      </c>
      <c r="U153" t="s">
        <v>391</v>
      </c>
      <c r="V153" t="s">
        <v>392</v>
      </c>
      <c r="W153" t="s">
        <v>392</v>
      </c>
      <c r="X153">
        <v>1</v>
      </c>
      <c r="Y153" t="s">
        <v>774</v>
      </c>
      <c r="AA153">
        <v>0.1</v>
      </c>
      <c r="AB153">
        <v>0.2</v>
      </c>
      <c r="AC153">
        <v>0.2</v>
      </c>
    </row>
    <row r="154" spans="2:29" ht="15" customHeight="1" x14ac:dyDescent="0.15">
      <c r="B154">
        <v>4</v>
      </c>
      <c r="C154" t="s">
        <v>386</v>
      </c>
      <c r="D154" t="s">
        <v>771</v>
      </c>
      <c r="E154">
        <v>2</v>
      </c>
      <c r="F154" t="s">
        <v>219</v>
      </c>
      <c r="G154" t="s">
        <v>218</v>
      </c>
      <c r="H154" t="s">
        <v>775</v>
      </c>
      <c r="I154">
        <v>21</v>
      </c>
      <c r="J154" s="21">
        <v>45799</v>
      </c>
      <c r="K154" s="21">
        <v>45800</v>
      </c>
      <c r="L154" t="s">
        <v>776</v>
      </c>
      <c r="M154" t="s">
        <v>777</v>
      </c>
      <c r="O154" t="s">
        <v>220</v>
      </c>
      <c r="P154">
        <v>1</v>
      </c>
      <c r="Q154">
        <v>1</v>
      </c>
      <c r="R154">
        <v>0.3</v>
      </c>
      <c r="S154">
        <v>0.3</v>
      </c>
      <c r="T154">
        <v>0.3</v>
      </c>
      <c r="U154" t="s">
        <v>391</v>
      </c>
      <c r="V154" t="s">
        <v>392</v>
      </c>
      <c r="W154" t="s">
        <v>392</v>
      </c>
      <c r="X154">
        <v>1</v>
      </c>
      <c r="Y154" t="s">
        <v>774</v>
      </c>
      <c r="AA154">
        <v>20.22</v>
      </c>
      <c r="AB154">
        <v>6.07</v>
      </c>
      <c r="AC154">
        <v>6.07</v>
      </c>
    </row>
    <row r="155" spans="2:29" ht="15" customHeight="1" x14ac:dyDescent="0.15">
      <c r="B155">
        <v>4</v>
      </c>
      <c r="C155" t="s">
        <v>386</v>
      </c>
      <c r="D155" t="s">
        <v>778</v>
      </c>
      <c r="E155">
        <v>1</v>
      </c>
      <c r="F155" t="s">
        <v>638</v>
      </c>
      <c r="G155" t="s">
        <v>223</v>
      </c>
      <c r="H155" t="s">
        <v>635</v>
      </c>
      <c r="I155">
        <v>21</v>
      </c>
      <c r="J155" s="21">
        <v>45800</v>
      </c>
      <c r="K155" s="21">
        <v>45800</v>
      </c>
      <c r="L155" t="s">
        <v>779</v>
      </c>
      <c r="M155" t="s">
        <v>640</v>
      </c>
      <c r="O155" t="s">
        <v>226</v>
      </c>
      <c r="P155">
        <v>1</v>
      </c>
      <c r="Q155">
        <v>0.5</v>
      </c>
      <c r="R155">
        <v>280</v>
      </c>
      <c r="S155">
        <v>280</v>
      </c>
      <c r="T155">
        <v>140</v>
      </c>
      <c r="U155" t="s">
        <v>627</v>
      </c>
      <c r="V155" t="s">
        <v>628</v>
      </c>
      <c r="W155" t="s">
        <v>532</v>
      </c>
      <c r="X155">
        <v>2</v>
      </c>
      <c r="Y155" t="s">
        <v>780</v>
      </c>
      <c r="AC155">
        <v>0</v>
      </c>
    </row>
    <row r="156" spans="2:29" ht="15" customHeight="1" x14ac:dyDescent="0.15">
      <c r="B156">
        <v>4</v>
      </c>
      <c r="C156" t="s">
        <v>386</v>
      </c>
      <c r="D156" t="s">
        <v>778</v>
      </c>
      <c r="E156">
        <v>2</v>
      </c>
      <c r="F156" t="s">
        <v>219</v>
      </c>
      <c r="G156" t="s">
        <v>239</v>
      </c>
      <c r="H156" t="s">
        <v>596</v>
      </c>
      <c r="I156">
        <v>21</v>
      </c>
      <c r="J156" s="21">
        <v>45800</v>
      </c>
      <c r="K156" s="21">
        <v>45800</v>
      </c>
      <c r="L156" t="s">
        <v>781</v>
      </c>
      <c r="M156" t="s">
        <v>598</v>
      </c>
      <c r="O156" t="s">
        <v>226</v>
      </c>
      <c r="P156">
        <v>1</v>
      </c>
      <c r="Q156">
        <v>0.5</v>
      </c>
      <c r="R156">
        <v>12</v>
      </c>
      <c r="S156">
        <v>12</v>
      </c>
      <c r="T156">
        <v>6</v>
      </c>
      <c r="U156" t="s">
        <v>627</v>
      </c>
      <c r="V156" t="s">
        <v>628</v>
      </c>
      <c r="W156" t="s">
        <v>532</v>
      </c>
      <c r="X156">
        <v>2</v>
      </c>
      <c r="Y156" t="s">
        <v>780</v>
      </c>
      <c r="AA156">
        <v>0</v>
      </c>
      <c r="AB156">
        <v>0</v>
      </c>
      <c r="AC156">
        <v>0</v>
      </c>
    </row>
    <row r="157" spans="2:29" ht="15" customHeight="1" x14ac:dyDescent="0.15">
      <c r="B157">
        <v>4</v>
      </c>
      <c r="C157" t="s">
        <v>704</v>
      </c>
      <c r="D157" t="s">
        <v>782</v>
      </c>
      <c r="E157">
        <v>1</v>
      </c>
      <c r="F157" t="s">
        <v>556</v>
      </c>
      <c r="G157" t="s">
        <v>556</v>
      </c>
      <c r="H157" t="s">
        <v>557</v>
      </c>
      <c r="I157">
        <v>21</v>
      </c>
      <c r="J157" s="21">
        <v>45801</v>
      </c>
      <c r="L157" t="s">
        <v>783</v>
      </c>
      <c r="M157" t="s">
        <v>702</v>
      </c>
      <c r="O157" t="s">
        <v>226</v>
      </c>
      <c r="P157">
        <v>0</v>
      </c>
      <c r="Q157">
        <v>0</v>
      </c>
      <c r="R157">
        <v>24</v>
      </c>
      <c r="S157">
        <v>0</v>
      </c>
      <c r="T157">
        <v>0</v>
      </c>
      <c r="U157" t="s">
        <v>391</v>
      </c>
      <c r="V157" t="s">
        <v>392</v>
      </c>
      <c r="W157" t="s">
        <v>392</v>
      </c>
      <c r="X157">
        <v>1</v>
      </c>
      <c r="Y157" t="s">
        <v>784</v>
      </c>
      <c r="AA157">
        <v>20.63</v>
      </c>
      <c r="AB157">
        <v>0</v>
      </c>
      <c r="AC157">
        <v>0</v>
      </c>
    </row>
    <row r="158" spans="2:29" ht="15" customHeight="1" x14ac:dyDescent="0.15">
      <c r="B158">
        <v>4</v>
      </c>
      <c r="C158" t="s">
        <v>704</v>
      </c>
      <c r="D158" t="s">
        <v>782</v>
      </c>
      <c r="E158">
        <v>2</v>
      </c>
      <c r="F158" t="s">
        <v>219</v>
      </c>
      <c r="G158" t="s">
        <v>244</v>
      </c>
      <c r="H158" t="s">
        <v>759</v>
      </c>
      <c r="I158">
        <v>21</v>
      </c>
      <c r="J158" s="21">
        <v>45801</v>
      </c>
      <c r="L158" t="s">
        <v>785</v>
      </c>
      <c r="M158" t="s">
        <v>761</v>
      </c>
      <c r="O158" t="s">
        <v>220</v>
      </c>
      <c r="P158">
        <v>0</v>
      </c>
      <c r="Q158">
        <v>0</v>
      </c>
      <c r="R158">
        <v>0.1</v>
      </c>
      <c r="S158">
        <v>0</v>
      </c>
      <c r="T158">
        <v>0</v>
      </c>
      <c r="U158" t="s">
        <v>391</v>
      </c>
      <c r="V158" t="s">
        <v>392</v>
      </c>
      <c r="W158" t="s">
        <v>392</v>
      </c>
      <c r="X158">
        <v>1</v>
      </c>
      <c r="Y158" t="s">
        <v>784</v>
      </c>
      <c r="AA158">
        <v>385</v>
      </c>
      <c r="AB158">
        <v>0</v>
      </c>
      <c r="AC158">
        <v>0</v>
      </c>
    </row>
    <row r="159" spans="2:29" ht="15" customHeight="1" x14ac:dyDescent="0.15">
      <c r="B159">
        <v>4</v>
      </c>
      <c r="C159" t="s">
        <v>704</v>
      </c>
      <c r="D159" t="s">
        <v>782</v>
      </c>
      <c r="E159">
        <v>3</v>
      </c>
      <c r="F159" t="s">
        <v>219</v>
      </c>
      <c r="G159" t="s">
        <v>239</v>
      </c>
      <c r="H159" t="s">
        <v>551</v>
      </c>
      <c r="I159">
        <v>21</v>
      </c>
      <c r="J159" s="21">
        <v>45801</v>
      </c>
      <c r="L159" t="s">
        <v>786</v>
      </c>
      <c r="M159" t="s">
        <v>553</v>
      </c>
      <c r="O159" t="s">
        <v>226</v>
      </c>
      <c r="P159">
        <v>0</v>
      </c>
      <c r="Q159">
        <v>0</v>
      </c>
      <c r="R159">
        <v>0.15</v>
      </c>
      <c r="S159">
        <v>0</v>
      </c>
      <c r="T159">
        <v>0</v>
      </c>
      <c r="U159" t="s">
        <v>391</v>
      </c>
      <c r="V159" t="s">
        <v>392</v>
      </c>
      <c r="W159" t="s">
        <v>392</v>
      </c>
      <c r="X159">
        <v>1</v>
      </c>
      <c r="Y159" t="s">
        <v>784</v>
      </c>
      <c r="AA159">
        <v>110</v>
      </c>
      <c r="AB159">
        <v>0</v>
      </c>
      <c r="AC159">
        <v>0</v>
      </c>
    </row>
    <row r="160" spans="2:29" ht="15" customHeight="1" x14ac:dyDescent="0.15">
      <c r="B160">
        <v>4</v>
      </c>
      <c r="C160" t="s">
        <v>704</v>
      </c>
      <c r="D160" t="s">
        <v>782</v>
      </c>
      <c r="E160">
        <v>4</v>
      </c>
      <c r="F160" t="s">
        <v>219</v>
      </c>
      <c r="G160" t="s">
        <v>239</v>
      </c>
      <c r="H160" t="s">
        <v>420</v>
      </c>
      <c r="I160">
        <v>21</v>
      </c>
      <c r="J160" s="21">
        <v>45801</v>
      </c>
      <c r="L160" t="s">
        <v>787</v>
      </c>
      <c r="M160" t="s">
        <v>764</v>
      </c>
      <c r="O160" t="s">
        <v>226</v>
      </c>
      <c r="P160">
        <v>0</v>
      </c>
      <c r="Q160">
        <v>0</v>
      </c>
      <c r="R160">
        <v>0.1</v>
      </c>
      <c r="S160">
        <v>0</v>
      </c>
      <c r="T160">
        <v>0</v>
      </c>
      <c r="U160" t="s">
        <v>391</v>
      </c>
      <c r="V160" t="s">
        <v>392</v>
      </c>
      <c r="W160" t="s">
        <v>392</v>
      </c>
      <c r="X160">
        <v>1</v>
      </c>
      <c r="Y160" t="s">
        <v>784</v>
      </c>
      <c r="AA160">
        <v>115.5</v>
      </c>
      <c r="AB160">
        <v>0</v>
      </c>
      <c r="AC160">
        <v>0</v>
      </c>
    </row>
    <row r="161" spans="2:29" ht="15" customHeight="1" x14ac:dyDescent="0.15">
      <c r="B161">
        <v>4</v>
      </c>
      <c r="C161" t="s">
        <v>386</v>
      </c>
      <c r="D161" t="s">
        <v>788</v>
      </c>
      <c r="E161">
        <v>1</v>
      </c>
      <c r="F161" t="s">
        <v>219</v>
      </c>
      <c r="G161" t="s">
        <v>218</v>
      </c>
      <c r="H161" t="s">
        <v>433</v>
      </c>
      <c r="I161">
        <v>22</v>
      </c>
      <c r="J161" s="21">
        <v>45803</v>
      </c>
      <c r="K161" s="21">
        <v>45804</v>
      </c>
      <c r="L161" t="s">
        <v>789</v>
      </c>
      <c r="M161" t="s">
        <v>529</v>
      </c>
      <c r="O161" t="s">
        <v>220</v>
      </c>
      <c r="P161">
        <v>2</v>
      </c>
      <c r="Q161">
        <v>1</v>
      </c>
      <c r="R161">
        <v>0.1</v>
      </c>
      <c r="S161">
        <v>0.2</v>
      </c>
      <c r="T161">
        <v>0.1</v>
      </c>
      <c r="U161" t="s">
        <v>627</v>
      </c>
      <c r="V161" t="s">
        <v>628</v>
      </c>
      <c r="W161" t="s">
        <v>532</v>
      </c>
      <c r="X161">
        <v>2</v>
      </c>
      <c r="Y161" t="s">
        <v>455</v>
      </c>
      <c r="AA161">
        <v>17.48</v>
      </c>
      <c r="AB161">
        <v>3.5</v>
      </c>
      <c r="AC161">
        <v>1.75</v>
      </c>
    </row>
    <row r="162" spans="2:29" ht="15" customHeight="1" x14ac:dyDescent="0.15">
      <c r="B162">
        <v>4</v>
      </c>
      <c r="C162" t="s">
        <v>386</v>
      </c>
      <c r="D162" t="s">
        <v>788</v>
      </c>
      <c r="E162">
        <v>2</v>
      </c>
      <c r="F162" t="s">
        <v>219</v>
      </c>
      <c r="G162" t="s">
        <v>244</v>
      </c>
      <c r="H162" t="s">
        <v>591</v>
      </c>
      <c r="I162">
        <v>22</v>
      </c>
      <c r="J162" s="21">
        <v>45803</v>
      </c>
      <c r="K162" s="21">
        <v>45804</v>
      </c>
      <c r="L162" t="s">
        <v>790</v>
      </c>
      <c r="M162" t="s">
        <v>593</v>
      </c>
      <c r="O162" t="s">
        <v>220</v>
      </c>
      <c r="P162">
        <v>2</v>
      </c>
      <c r="Q162">
        <v>1</v>
      </c>
      <c r="R162">
        <v>2</v>
      </c>
      <c r="S162">
        <v>4</v>
      </c>
      <c r="T162">
        <v>2</v>
      </c>
      <c r="U162" t="s">
        <v>627</v>
      </c>
      <c r="V162" t="s">
        <v>628</v>
      </c>
      <c r="W162" t="s">
        <v>532</v>
      </c>
      <c r="X162">
        <v>2</v>
      </c>
      <c r="Y162" t="s">
        <v>455</v>
      </c>
      <c r="AA162">
        <v>37.58</v>
      </c>
      <c r="AB162">
        <v>150.30000000000001</v>
      </c>
      <c r="AC162">
        <v>75.150000000000006</v>
      </c>
    </row>
    <row r="163" spans="2:29" ht="15" customHeight="1" x14ac:dyDescent="0.15">
      <c r="B163">
        <v>4</v>
      </c>
      <c r="C163" t="s">
        <v>386</v>
      </c>
      <c r="D163" t="s">
        <v>788</v>
      </c>
      <c r="E163">
        <v>3</v>
      </c>
      <c r="F163" t="s">
        <v>219</v>
      </c>
      <c r="G163" t="s">
        <v>239</v>
      </c>
      <c r="H163" t="s">
        <v>456</v>
      </c>
      <c r="I163">
        <v>22</v>
      </c>
      <c r="J163" s="21">
        <v>45803</v>
      </c>
      <c r="K163" s="21">
        <v>45804</v>
      </c>
      <c r="L163" t="s">
        <v>791</v>
      </c>
      <c r="M163" t="s">
        <v>458</v>
      </c>
      <c r="O163" t="s">
        <v>220</v>
      </c>
      <c r="P163">
        <v>2</v>
      </c>
      <c r="Q163">
        <v>1</v>
      </c>
      <c r="R163">
        <v>3</v>
      </c>
      <c r="S163">
        <v>6</v>
      </c>
      <c r="T163">
        <v>3</v>
      </c>
      <c r="U163" t="s">
        <v>627</v>
      </c>
      <c r="V163" t="s">
        <v>628</v>
      </c>
      <c r="W163" t="s">
        <v>532</v>
      </c>
      <c r="X163">
        <v>2</v>
      </c>
      <c r="Y163" t="s">
        <v>455</v>
      </c>
      <c r="AA163">
        <v>49.99</v>
      </c>
      <c r="AB163">
        <v>299.94</v>
      </c>
      <c r="AC163">
        <v>149.97</v>
      </c>
    </row>
    <row r="164" spans="2:29" ht="15" customHeight="1" x14ac:dyDescent="0.15">
      <c r="B164">
        <v>4</v>
      </c>
      <c r="C164" t="s">
        <v>386</v>
      </c>
      <c r="D164" t="s">
        <v>792</v>
      </c>
      <c r="E164">
        <v>1</v>
      </c>
      <c r="F164" t="s">
        <v>556</v>
      </c>
      <c r="G164" t="s">
        <v>556</v>
      </c>
      <c r="H164" t="s">
        <v>557</v>
      </c>
      <c r="I164">
        <v>22</v>
      </c>
      <c r="J164" s="21">
        <v>45805</v>
      </c>
      <c r="K164" s="21">
        <v>45805</v>
      </c>
      <c r="L164" t="s">
        <v>793</v>
      </c>
      <c r="M164" t="s">
        <v>702</v>
      </c>
      <c r="O164" t="s">
        <v>202</v>
      </c>
      <c r="P164">
        <v>1</v>
      </c>
      <c r="Q164">
        <v>1</v>
      </c>
      <c r="R164">
        <v>1</v>
      </c>
      <c r="S164">
        <v>1</v>
      </c>
      <c r="T164">
        <v>1</v>
      </c>
      <c r="U164" t="s">
        <v>391</v>
      </c>
      <c r="V164" t="s">
        <v>392</v>
      </c>
      <c r="W164" t="s">
        <v>392</v>
      </c>
      <c r="X164">
        <v>1</v>
      </c>
      <c r="Y164" t="s">
        <v>750</v>
      </c>
      <c r="AA164">
        <v>20.63</v>
      </c>
      <c r="AB164">
        <v>20.63</v>
      </c>
      <c r="AC164">
        <v>20.63</v>
      </c>
    </row>
    <row r="165" spans="2:29" ht="15" customHeight="1" x14ac:dyDescent="0.15">
      <c r="B165">
        <v>4</v>
      </c>
      <c r="C165" t="s">
        <v>386</v>
      </c>
      <c r="D165" t="s">
        <v>794</v>
      </c>
      <c r="E165">
        <v>1</v>
      </c>
      <c r="F165" t="s">
        <v>556</v>
      </c>
      <c r="G165" t="s">
        <v>556</v>
      </c>
      <c r="H165" t="s">
        <v>557</v>
      </c>
      <c r="I165">
        <v>22</v>
      </c>
      <c r="J165" s="21">
        <v>45805</v>
      </c>
      <c r="K165" s="21">
        <v>45805</v>
      </c>
      <c r="L165" t="s">
        <v>795</v>
      </c>
      <c r="M165" t="s">
        <v>702</v>
      </c>
      <c r="O165" t="s">
        <v>202</v>
      </c>
      <c r="P165">
        <v>1</v>
      </c>
      <c r="Q165">
        <v>1</v>
      </c>
      <c r="R165">
        <v>2</v>
      </c>
      <c r="S165">
        <v>2</v>
      </c>
      <c r="T165">
        <v>2</v>
      </c>
      <c r="U165" t="s">
        <v>391</v>
      </c>
      <c r="V165" t="s">
        <v>392</v>
      </c>
      <c r="W165" t="s">
        <v>392</v>
      </c>
      <c r="X165">
        <v>1</v>
      </c>
      <c r="Y165" t="s">
        <v>796</v>
      </c>
      <c r="AA165">
        <v>20.63</v>
      </c>
      <c r="AB165">
        <v>41.25</v>
      </c>
      <c r="AC165">
        <v>41.25</v>
      </c>
    </row>
    <row r="166" spans="2:29" ht="15" customHeight="1" x14ac:dyDescent="0.15">
      <c r="B166">
        <v>4</v>
      </c>
      <c r="C166" t="s">
        <v>386</v>
      </c>
      <c r="D166" t="s">
        <v>797</v>
      </c>
      <c r="E166">
        <v>1</v>
      </c>
      <c r="F166" t="s">
        <v>638</v>
      </c>
      <c r="G166" t="s">
        <v>223</v>
      </c>
      <c r="H166" t="s">
        <v>635</v>
      </c>
      <c r="I166">
        <v>22</v>
      </c>
      <c r="J166" s="21">
        <v>45806</v>
      </c>
      <c r="K166" s="21">
        <v>45806</v>
      </c>
      <c r="L166" t="s">
        <v>798</v>
      </c>
      <c r="M166" t="s">
        <v>640</v>
      </c>
      <c r="O166" t="s">
        <v>202</v>
      </c>
      <c r="P166">
        <v>1</v>
      </c>
      <c r="Q166">
        <v>1</v>
      </c>
      <c r="R166">
        <v>80</v>
      </c>
      <c r="S166">
        <v>80</v>
      </c>
      <c r="T166">
        <v>80</v>
      </c>
      <c r="U166" t="s">
        <v>391</v>
      </c>
      <c r="V166" t="s">
        <v>392</v>
      </c>
      <c r="W166" t="s">
        <v>392</v>
      </c>
      <c r="X166">
        <v>1</v>
      </c>
      <c r="Y166" t="s">
        <v>799</v>
      </c>
      <c r="AC166">
        <v>0</v>
      </c>
    </row>
    <row r="167" spans="2:29" ht="15" customHeight="1" x14ac:dyDescent="0.15">
      <c r="B167">
        <v>4</v>
      </c>
      <c r="C167" t="s">
        <v>386</v>
      </c>
      <c r="D167" t="s">
        <v>800</v>
      </c>
      <c r="E167">
        <v>1</v>
      </c>
      <c r="F167" t="s">
        <v>556</v>
      </c>
      <c r="G167" t="s">
        <v>556</v>
      </c>
      <c r="H167" t="s">
        <v>557</v>
      </c>
      <c r="I167">
        <v>22</v>
      </c>
      <c r="J167" s="21">
        <v>45808</v>
      </c>
      <c r="K167" s="21">
        <v>45806</v>
      </c>
      <c r="L167" t="s">
        <v>801</v>
      </c>
      <c r="M167" t="s">
        <v>702</v>
      </c>
      <c r="O167" t="s">
        <v>226</v>
      </c>
      <c r="P167">
        <v>1</v>
      </c>
      <c r="Q167">
        <v>1</v>
      </c>
      <c r="R167">
        <v>64</v>
      </c>
      <c r="S167">
        <v>64</v>
      </c>
      <c r="T167">
        <v>64</v>
      </c>
      <c r="U167" t="s">
        <v>391</v>
      </c>
      <c r="V167" t="s">
        <v>392</v>
      </c>
      <c r="W167" t="s">
        <v>392</v>
      </c>
      <c r="X167">
        <v>1</v>
      </c>
      <c r="Y167" t="s">
        <v>802</v>
      </c>
      <c r="AA167">
        <v>20.63</v>
      </c>
      <c r="AB167" s="22">
        <v>1320</v>
      </c>
      <c r="AC167" s="22">
        <v>1320</v>
      </c>
    </row>
    <row r="168" spans="2:29" ht="15" customHeight="1" x14ac:dyDescent="0.15">
      <c r="B168">
        <v>4</v>
      </c>
      <c r="C168" t="s">
        <v>386</v>
      </c>
      <c r="D168" t="s">
        <v>803</v>
      </c>
      <c r="E168">
        <v>1</v>
      </c>
      <c r="F168" t="s">
        <v>201</v>
      </c>
      <c r="G168" t="s">
        <v>200</v>
      </c>
      <c r="H168" t="s">
        <v>475</v>
      </c>
      <c r="I168">
        <v>23</v>
      </c>
      <c r="J168" s="21">
        <v>45810</v>
      </c>
      <c r="K168" s="21">
        <v>45810</v>
      </c>
      <c r="L168" t="s">
        <v>804</v>
      </c>
      <c r="M168" t="s">
        <v>631</v>
      </c>
      <c r="O168" t="s">
        <v>226</v>
      </c>
      <c r="P168">
        <v>2</v>
      </c>
      <c r="Q168">
        <v>1</v>
      </c>
      <c r="R168">
        <v>300</v>
      </c>
      <c r="S168">
        <v>600</v>
      </c>
      <c r="T168">
        <v>300</v>
      </c>
      <c r="U168" t="s">
        <v>805</v>
      </c>
      <c r="V168" t="s">
        <v>806</v>
      </c>
      <c r="W168" t="s">
        <v>532</v>
      </c>
      <c r="X168">
        <v>2</v>
      </c>
      <c r="Y168" t="s">
        <v>807</v>
      </c>
      <c r="AA168">
        <v>3.53</v>
      </c>
      <c r="AB168" s="22">
        <v>2118</v>
      </c>
      <c r="AC168" s="22">
        <v>1059</v>
      </c>
    </row>
    <row r="169" spans="2:29" ht="15" customHeight="1" x14ac:dyDescent="0.15">
      <c r="B169">
        <v>4</v>
      </c>
      <c r="C169" t="s">
        <v>386</v>
      </c>
      <c r="D169" t="s">
        <v>803</v>
      </c>
      <c r="E169">
        <v>2</v>
      </c>
      <c r="F169" t="s">
        <v>201</v>
      </c>
      <c r="G169" t="s">
        <v>200</v>
      </c>
      <c r="H169" t="s">
        <v>632</v>
      </c>
      <c r="I169">
        <v>23</v>
      </c>
      <c r="J169" s="21">
        <v>45810</v>
      </c>
      <c r="K169" s="21">
        <v>45810</v>
      </c>
      <c r="L169" t="s">
        <v>808</v>
      </c>
      <c r="M169" t="s">
        <v>634</v>
      </c>
      <c r="O169" t="s">
        <v>226</v>
      </c>
      <c r="P169">
        <v>2</v>
      </c>
      <c r="Q169">
        <v>1</v>
      </c>
      <c r="R169">
        <v>150</v>
      </c>
      <c r="S169">
        <v>300</v>
      </c>
      <c r="T169">
        <v>150</v>
      </c>
      <c r="U169" t="s">
        <v>805</v>
      </c>
      <c r="V169" t="s">
        <v>806</v>
      </c>
      <c r="W169" t="s">
        <v>532</v>
      </c>
      <c r="X169">
        <v>2</v>
      </c>
      <c r="Y169" t="s">
        <v>807</v>
      </c>
      <c r="AA169">
        <v>3.72</v>
      </c>
      <c r="AB169" s="22">
        <v>1116</v>
      </c>
      <c r="AC169">
        <v>558</v>
      </c>
    </row>
    <row r="170" spans="2:29" ht="15" customHeight="1" x14ac:dyDescent="0.15">
      <c r="B170">
        <v>4</v>
      </c>
      <c r="C170" t="s">
        <v>386</v>
      </c>
      <c r="D170" t="s">
        <v>803</v>
      </c>
      <c r="E170">
        <v>3</v>
      </c>
      <c r="F170" t="s">
        <v>201</v>
      </c>
      <c r="G170" t="s">
        <v>200</v>
      </c>
      <c r="H170" t="s">
        <v>635</v>
      </c>
      <c r="I170">
        <v>23</v>
      </c>
      <c r="J170" s="21">
        <v>45810</v>
      </c>
      <c r="K170" s="21">
        <v>45810</v>
      </c>
      <c r="L170" t="s">
        <v>809</v>
      </c>
      <c r="M170" t="s">
        <v>204</v>
      </c>
      <c r="O170" t="s">
        <v>226</v>
      </c>
      <c r="P170">
        <v>2</v>
      </c>
      <c r="Q170">
        <v>1</v>
      </c>
      <c r="R170">
        <v>100</v>
      </c>
      <c r="S170">
        <v>200</v>
      </c>
      <c r="T170">
        <v>100</v>
      </c>
      <c r="U170" t="s">
        <v>805</v>
      </c>
      <c r="V170" t="s">
        <v>806</v>
      </c>
      <c r="W170" t="s">
        <v>532</v>
      </c>
      <c r="X170">
        <v>2</v>
      </c>
      <c r="Y170" t="s">
        <v>807</v>
      </c>
      <c r="AA170">
        <v>2.06</v>
      </c>
      <c r="AB170">
        <v>411.6</v>
      </c>
      <c r="AC170">
        <v>205.8</v>
      </c>
    </row>
    <row r="171" spans="2:29" ht="15" customHeight="1" x14ac:dyDescent="0.15">
      <c r="B171">
        <v>4</v>
      </c>
      <c r="C171" t="s">
        <v>386</v>
      </c>
      <c r="D171" t="s">
        <v>810</v>
      </c>
      <c r="E171">
        <v>1</v>
      </c>
      <c r="F171" t="s">
        <v>556</v>
      </c>
      <c r="G171" t="s">
        <v>556</v>
      </c>
      <c r="H171" t="s">
        <v>557</v>
      </c>
      <c r="I171">
        <v>23</v>
      </c>
      <c r="J171" s="21">
        <v>45810</v>
      </c>
      <c r="K171" s="21">
        <v>45810</v>
      </c>
      <c r="L171" t="s">
        <v>811</v>
      </c>
      <c r="M171" t="s">
        <v>702</v>
      </c>
      <c r="O171" t="s">
        <v>226</v>
      </c>
      <c r="P171">
        <v>1</v>
      </c>
      <c r="R171">
        <v>3</v>
      </c>
      <c r="S171">
        <v>3</v>
      </c>
      <c r="U171" t="s">
        <v>391</v>
      </c>
      <c r="V171" t="s">
        <v>392</v>
      </c>
      <c r="W171" t="s">
        <v>392</v>
      </c>
      <c r="Y171" t="s">
        <v>710</v>
      </c>
      <c r="AA171">
        <v>20.63</v>
      </c>
      <c r="AB171">
        <v>61.88</v>
      </c>
      <c r="AC171">
        <v>0</v>
      </c>
    </row>
    <row r="172" spans="2:29" ht="15" customHeight="1" x14ac:dyDescent="0.15">
      <c r="B172">
        <v>4</v>
      </c>
      <c r="C172" t="s">
        <v>386</v>
      </c>
      <c r="D172" t="s">
        <v>812</v>
      </c>
      <c r="E172">
        <v>1</v>
      </c>
      <c r="F172" t="s">
        <v>556</v>
      </c>
      <c r="G172" t="s">
        <v>556</v>
      </c>
      <c r="H172" t="s">
        <v>557</v>
      </c>
      <c r="I172">
        <v>23</v>
      </c>
      <c r="J172" s="21">
        <v>45810</v>
      </c>
      <c r="K172" s="21">
        <v>45811</v>
      </c>
      <c r="L172" t="s">
        <v>813</v>
      </c>
      <c r="M172" t="s">
        <v>702</v>
      </c>
      <c r="O172" t="s">
        <v>226</v>
      </c>
      <c r="P172">
        <v>1</v>
      </c>
      <c r="R172">
        <v>2</v>
      </c>
      <c r="S172">
        <v>2</v>
      </c>
      <c r="U172" t="s">
        <v>391</v>
      </c>
      <c r="V172" t="s">
        <v>392</v>
      </c>
      <c r="W172" t="s">
        <v>392</v>
      </c>
      <c r="Y172" t="s">
        <v>750</v>
      </c>
      <c r="AA172">
        <v>20.63</v>
      </c>
      <c r="AB172">
        <v>41.25</v>
      </c>
      <c r="AC172">
        <v>0</v>
      </c>
    </row>
    <row r="173" spans="2:29" ht="15" hidden="1" customHeight="1" x14ac:dyDescent="0.15">
      <c r="B173">
        <v>4</v>
      </c>
      <c r="C173" t="s">
        <v>386</v>
      </c>
      <c r="D173" t="s">
        <v>814</v>
      </c>
      <c r="E173">
        <v>1</v>
      </c>
      <c r="F173" t="s">
        <v>219</v>
      </c>
      <c r="G173" t="s">
        <v>218</v>
      </c>
      <c r="H173" t="s">
        <v>433</v>
      </c>
      <c r="I173">
        <v>23</v>
      </c>
      <c r="J173" s="21">
        <v>45810</v>
      </c>
      <c r="K173" s="21">
        <v>45811</v>
      </c>
      <c r="L173" t="s">
        <v>815</v>
      </c>
      <c r="M173" t="s">
        <v>529</v>
      </c>
      <c r="O173" t="s">
        <v>220</v>
      </c>
      <c r="P173">
        <v>0</v>
      </c>
      <c r="R173">
        <v>0.1</v>
      </c>
      <c r="S173">
        <v>0.02</v>
      </c>
      <c r="U173" t="s">
        <v>816</v>
      </c>
      <c r="V173" t="s">
        <v>496</v>
      </c>
      <c r="W173" t="s">
        <v>496</v>
      </c>
      <c r="Y173" t="s">
        <v>438</v>
      </c>
      <c r="AA173">
        <v>17.48</v>
      </c>
      <c r="AB173">
        <v>0.35</v>
      </c>
      <c r="AC173">
        <v>0</v>
      </c>
    </row>
    <row r="174" spans="2:29" ht="15" hidden="1" customHeight="1" x14ac:dyDescent="0.15">
      <c r="B174">
        <v>4</v>
      </c>
      <c r="C174" t="s">
        <v>386</v>
      </c>
      <c r="D174" t="s">
        <v>814</v>
      </c>
      <c r="E174">
        <v>2</v>
      </c>
      <c r="F174" t="s">
        <v>219</v>
      </c>
      <c r="G174" t="s">
        <v>439</v>
      </c>
      <c r="H174" t="s">
        <v>448</v>
      </c>
      <c r="I174">
        <v>23</v>
      </c>
      <c r="J174" s="21">
        <v>45810</v>
      </c>
      <c r="K174" s="21">
        <v>45811</v>
      </c>
      <c r="L174" t="s">
        <v>817</v>
      </c>
      <c r="M174" t="s">
        <v>450</v>
      </c>
      <c r="O174" t="s">
        <v>220</v>
      </c>
      <c r="P174">
        <v>0</v>
      </c>
      <c r="R174">
        <v>3.5</v>
      </c>
      <c r="S174">
        <v>0.7</v>
      </c>
      <c r="U174" t="s">
        <v>816</v>
      </c>
      <c r="V174" t="s">
        <v>496</v>
      </c>
      <c r="W174" t="s">
        <v>496</v>
      </c>
      <c r="Y174" t="s">
        <v>438</v>
      </c>
      <c r="AA174">
        <v>20.54</v>
      </c>
      <c r="AB174">
        <v>14.38</v>
      </c>
      <c r="AC174">
        <v>0</v>
      </c>
    </row>
    <row r="175" spans="2:29" ht="15" hidden="1" customHeight="1" x14ac:dyDescent="0.15">
      <c r="B175">
        <v>4</v>
      </c>
      <c r="C175" t="s">
        <v>386</v>
      </c>
      <c r="D175" t="s">
        <v>814</v>
      </c>
      <c r="E175">
        <v>3</v>
      </c>
      <c r="F175" t="s">
        <v>219</v>
      </c>
      <c r="G175" t="s">
        <v>218</v>
      </c>
      <c r="H175" t="s">
        <v>581</v>
      </c>
      <c r="I175">
        <v>23</v>
      </c>
      <c r="J175" s="21">
        <v>45810</v>
      </c>
      <c r="K175" s="21">
        <v>45811</v>
      </c>
      <c r="L175" t="s">
        <v>818</v>
      </c>
      <c r="M175" t="s">
        <v>583</v>
      </c>
      <c r="O175" t="s">
        <v>220</v>
      </c>
      <c r="P175">
        <v>0</v>
      </c>
      <c r="R175">
        <v>0.1</v>
      </c>
      <c r="S175">
        <v>0.02</v>
      </c>
      <c r="U175" t="s">
        <v>816</v>
      </c>
      <c r="V175" t="s">
        <v>496</v>
      </c>
      <c r="W175" t="s">
        <v>496</v>
      </c>
      <c r="Y175" t="s">
        <v>438</v>
      </c>
      <c r="AA175">
        <v>76</v>
      </c>
      <c r="AB175">
        <v>1.52</v>
      </c>
      <c r="AC175">
        <v>0</v>
      </c>
    </row>
    <row r="176" spans="2:29" ht="15" customHeight="1" x14ac:dyDescent="0.15">
      <c r="B176">
        <v>4</v>
      </c>
      <c r="C176" t="s">
        <v>704</v>
      </c>
      <c r="D176" t="s">
        <v>819</v>
      </c>
      <c r="E176">
        <v>1</v>
      </c>
      <c r="F176" t="s">
        <v>416</v>
      </c>
      <c r="G176" t="s">
        <v>316</v>
      </c>
      <c r="H176" t="s">
        <v>562</v>
      </c>
      <c r="I176">
        <v>23</v>
      </c>
      <c r="J176" s="21">
        <v>45811</v>
      </c>
      <c r="L176" t="s">
        <v>820</v>
      </c>
      <c r="M176" t="s">
        <v>564</v>
      </c>
      <c r="O176" t="s">
        <v>821</v>
      </c>
      <c r="P176">
        <v>0</v>
      </c>
      <c r="Q176">
        <v>0</v>
      </c>
      <c r="R176">
        <v>10</v>
      </c>
      <c r="S176">
        <v>0</v>
      </c>
      <c r="T176">
        <v>0</v>
      </c>
      <c r="U176" t="s">
        <v>805</v>
      </c>
      <c r="V176" t="s">
        <v>806</v>
      </c>
      <c r="W176" t="s">
        <v>532</v>
      </c>
      <c r="X176">
        <v>2</v>
      </c>
      <c r="Y176" t="s">
        <v>822</v>
      </c>
      <c r="AA176">
        <v>1.02</v>
      </c>
      <c r="AB176">
        <v>0</v>
      </c>
      <c r="AC176">
        <v>0</v>
      </c>
    </row>
    <row r="177" spans="2:29" ht="15" customHeight="1" x14ac:dyDescent="0.15">
      <c r="B177">
        <v>4</v>
      </c>
      <c r="C177" t="s">
        <v>704</v>
      </c>
      <c r="D177" t="s">
        <v>823</v>
      </c>
      <c r="E177">
        <v>1</v>
      </c>
      <c r="F177" t="s">
        <v>556</v>
      </c>
      <c r="G177" t="s">
        <v>556</v>
      </c>
      <c r="H177" t="s">
        <v>557</v>
      </c>
      <c r="I177">
        <v>23</v>
      </c>
      <c r="J177" s="21">
        <v>45810</v>
      </c>
      <c r="K177" s="21">
        <v>45810</v>
      </c>
      <c r="L177" t="s">
        <v>824</v>
      </c>
      <c r="M177" t="s">
        <v>713</v>
      </c>
      <c r="O177" t="s">
        <v>226</v>
      </c>
      <c r="P177">
        <v>0</v>
      </c>
      <c r="R177">
        <v>8</v>
      </c>
      <c r="S177">
        <v>0</v>
      </c>
      <c r="U177" t="s">
        <v>391</v>
      </c>
      <c r="V177" t="s">
        <v>392</v>
      </c>
      <c r="W177" t="s">
        <v>392</v>
      </c>
      <c r="Y177" t="s">
        <v>802</v>
      </c>
      <c r="AA177">
        <v>16.5</v>
      </c>
      <c r="AB177">
        <v>0</v>
      </c>
      <c r="AC177">
        <v>0</v>
      </c>
    </row>
    <row r="178" spans="2:29" ht="15" customHeight="1" x14ac:dyDescent="0.15">
      <c r="B178">
        <v>4</v>
      </c>
      <c r="C178" t="s">
        <v>386</v>
      </c>
      <c r="D178" t="s">
        <v>825</v>
      </c>
      <c r="E178">
        <v>1</v>
      </c>
      <c r="F178" t="s">
        <v>556</v>
      </c>
      <c r="G178" t="s">
        <v>556</v>
      </c>
      <c r="H178" t="s">
        <v>557</v>
      </c>
      <c r="I178">
        <v>23</v>
      </c>
      <c r="J178" s="21">
        <v>45811</v>
      </c>
      <c r="K178" s="21">
        <v>45811</v>
      </c>
      <c r="L178" t="s">
        <v>826</v>
      </c>
      <c r="M178" t="s">
        <v>702</v>
      </c>
      <c r="O178" t="s">
        <v>226</v>
      </c>
      <c r="P178">
        <v>1</v>
      </c>
      <c r="R178">
        <v>2.85</v>
      </c>
      <c r="S178">
        <v>2.85</v>
      </c>
      <c r="U178" t="s">
        <v>391</v>
      </c>
      <c r="V178" t="s">
        <v>392</v>
      </c>
      <c r="W178" t="s">
        <v>392</v>
      </c>
      <c r="Y178" t="s">
        <v>750</v>
      </c>
      <c r="AA178">
        <v>20.63</v>
      </c>
      <c r="AB178">
        <v>58.78</v>
      </c>
      <c r="AC178">
        <v>0</v>
      </c>
    </row>
    <row r="179" spans="2:29" ht="15" customHeight="1" x14ac:dyDescent="0.15">
      <c r="B179">
        <v>4</v>
      </c>
      <c r="C179" t="s">
        <v>386</v>
      </c>
      <c r="D179" t="s">
        <v>827</v>
      </c>
      <c r="E179">
        <v>1</v>
      </c>
      <c r="F179" t="s">
        <v>201</v>
      </c>
      <c r="G179" t="s">
        <v>200</v>
      </c>
      <c r="H179" t="s">
        <v>732</v>
      </c>
      <c r="I179">
        <v>23</v>
      </c>
      <c r="J179" s="21">
        <v>45812</v>
      </c>
      <c r="K179" s="21">
        <v>45814</v>
      </c>
      <c r="L179" t="s">
        <v>828</v>
      </c>
      <c r="M179" t="s">
        <v>734</v>
      </c>
      <c r="O179" t="s">
        <v>226</v>
      </c>
      <c r="P179">
        <v>1</v>
      </c>
      <c r="R179">
        <v>500</v>
      </c>
      <c r="S179">
        <v>500</v>
      </c>
      <c r="U179" t="s">
        <v>391</v>
      </c>
      <c r="V179" t="s">
        <v>392</v>
      </c>
      <c r="W179" t="s">
        <v>392</v>
      </c>
      <c r="Y179" t="s">
        <v>716</v>
      </c>
      <c r="AA179">
        <v>3.24</v>
      </c>
      <c r="AB179" s="22">
        <v>1622.25</v>
      </c>
      <c r="AC179">
        <v>0</v>
      </c>
    </row>
    <row r="180" spans="2:29" ht="15" customHeight="1" x14ac:dyDescent="0.15">
      <c r="B180">
        <v>4</v>
      </c>
      <c r="C180" t="s">
        <v>704</v>
      </c>
      <c r="D180" t="s">
        <v>827</v>
      </c>
      <c r="E180">
        <v>2</v>
      </c>
      <c r="F180" t="s">
        <v>201</v>
      </c>
      <c r="G180" t="s">
        <v>200</v>
      </c>
      <c r="H180" t="s">
        <v>735</v>
      </c>
      <c r="I180">
        <v>23</v>
      </c>
      <c r="J180" s="21">
        <v>45812</v>
      </c>
      <c r="L180" t="s">
        <v>829</v>
      </c>
      <c r="M180" t="s">
        <v>737</v>
      </c>
      <c r="O180" t="s">
        <v>226</v>
      </c>
      <c r="P180">
        <v>0</v>
      </c>
      <c r="R180">
        <v>300</v>
      </c>
      <c r="S180">
        <v>0</v>
      </c>
      <c r="U180" t="s">
        <v>391</v>
      </c>
      <c r="V180" t="s">
        <v>392</v>
      </c>
      <c r="W180" t="s">
        <v>392</v>
      </c>
      <c r="Y180" t="s">
        <v>716</v>
      </c>
      <c r="AA180">
        <v>2.7</v>
      </c>
      <c r="AB180">
        <v>0</v>
      </c>
      <c r="AC180">
        <v>0</v>
      </c>
    </row>
    <row r="181" spans="2:29" ht="15" customHeight="1" x14ac:dyDescent="0.15">
      <c r="B181">
        <v>4</v>
      </c>
      <c r="C181" t="s">
        <v>386</v>
      </c>
      <c r="D181" t="s">
        <v>827</v>
      </c>
      <c r="E181">
        <v>3</v>
      </c>
      <c r="F181" t="s">
        <v>201</v>
      </c>
      <c r="G181" t="s">
        <v>337</v>
      </c>
      <c r="H181" t="s">
        <v>607</v>
      </c>
      <c r="I181">
        <v>23</v>
      </c>
      <c r="J181" s="21">
        <v>45812</v>
      </c>
      <c r="K181" s="21">
        <v>45814</v>
      </c>
      <c r="L181" t="s">
        <v>830</v>
      </c>
      <c r="M181" t="s">
        <v>739</v>
      </c>
      <c r="O181" t="s">
        <v>226</v>
      </c>
      <c r="P181">
        <v>1</v>
      </c>
      <c r="R181">
        <v>25</v>
      </c>
      <c r="S181">
        <v>25</v>
      </c>
      <c r="U181" t="s">
        <v>391</v>
      </c>
      <c r="V181" t="s">
        <v>392</v>
      </c>
      <c r="W181" t="s">
        <v>392</v>
      </c>
      <c r="Y181" t="s">
        <v>716</v>
      </c>
      <c r="AA181">
        <v>3.72</v>
      </c>
      <c r="AB181">
        <v>93</v>
      </c>
      <c r="AC181">
        <v>0</v>
      </c>
    </row>
    <row r="182" spans="2:29" ht="15" customHeight="1" x14ac:dyDescent="0.15">
      <c r="B182">
        <v>4</v>
      </c>
      <c r="C182" t="s">
        <v>704</v>
      </c>
      <c r="D182" t="s">
        <v>827</v>
      </c>
      <c r="E182">
        <v>4</v>
      </c>
      <c r="F182" t="s">
        <v>201</v>
      </c>
      <c r="G182" t="s">
        <v>200</v>
      </c>
      <c r="H182" t="s">
        <v>740</v>
      </c>
      <c r="I182">
        <v>23</v>
      </c>
      <c r="J182" s="21">
        <v>45812</v>
      </c>
      <c r="L182" t="s">
        <v>831</v>
      </c>
      <c r="M182" t="s">
        <v>742</v>
      </c>
      <c r="O182" t="s">
        <v>226</v>
      </c>
      <c r="P182">
        <v>0</v>
      </c>
      <c r="R182">
        <v>25</v>
      </c>
      <c r="S182">
        <v>0</v>
      </c>
      <c r="U182" t="s">
        <v>391</v>
      </c>
      <c r="V182" t="s">
        <v>392</v>
      </c>
      <c r="W182" t="s">
        <v>392</v>
      </c>
      <c r="Y182" t="s">
        <v>716</v>
      </c>
      <c r="AA182">
        <v>3.6</v>
      </c>
      <c r="AB182">
        <v>0</v>
      </c>
      <c r="AC182">
        <v>0</v>
      </c>
    </row>
    <row r="183" spans="2:29" ht="15" customHeight="1" x14ac:dyDescent="0.15">
      <c r="B183">
        <v>4</v>
      </c>
      <c r="C183" t="s">
        <v>386</v>
      </c>
      <c r="D183" t="s">
        <v>827</v>
      </c>
      <c r="E183">
        <v>5</v>
      </c>
      <c r="F183" t="s">
        <v>201</v>
      </c>
      <c r="G183" t="s">
        <v>200</v>
      </c>
      <c r="H183" t="s">
        <v>647</v>
      </c>
      <c r="I183">
        <v>23</v>
      </c>
      <c r="J183" s="21">
        <v>45812</v>
      </c>
      <c r="K183" s="21">
        <v>45814</v>
      </c>
      <c r="L183" t="s">
        <v>832</v>
      </c>
      <c r="M183" t="s">
        <v>647</v>
      </c>
      <c r="O183" t="s">
        <v>226</v>
      </c>
      <c r="P183">
        <v>1</v>
      </c>
      <c r="R183">
        <v>500</v>
      </c>
      <c r="S183">
        <v>500</v>
      </c>
      <c r="U183" t="s">
        <v>391</v>
      </c>
      <c r="V183" t="s">
        <v>392</v>
      </c>
      <c r="W183" t="s">
        <v>392</v>
      </c>
      <c r="Y183" t="s">
        <v>716</v>
      </c>
      <c r="AA183">
        <v>3.19</v>
      </c>
      <c r="AB183" s="22">
        <v>1593.75</v>
      </c>
      <c r="AC183">
        <v>0</v>
      </c>
    </row>
    <row r="184" spans="2:29" ht="15" customHeight="1" x14ac:dyDescent="0.15">
      <c r="B184">
        <v>4</v>
      </c>
      <c r="C184" t="s">
        <v>704</v>
      </c>
      <c r="D184" t="s">
        <v>827</v>
      </c>
      <c r="E184">
        <v>6</v>
      </c>
      <c r="F184" t="s">
        <v>201</v>
      </c>
      <c r="G184" t="s">
        <v>200</v>
      </c>
      <c r="H184" t="s">
        <v>635</v>
      </c>
      <c r="I184">
        <v>23</v>
      </c>
      <c r="J184" s="21">
        <v>45812</v>
      </c>
      <c r="L184" t="s">
        <v>833</v>
      </c>
      <c r="M184" t="s">
        <v>204</v>
      </c>
      <c r="O184" t="s">
        <v>226</v>
      </c>
      <c r="P184">
        <v>0</v>
      </c>
      <c r="R184">
        <v>200</v>
      </c>
      <c r="S184">
        <v>0</v>
      </c>
      <c r="U184" t="s">
        <v>391</v>
      </c>
      <c r="V184" t="s">
        <v>392</v>
      </c>
      <c r="W184" t="s">
        <v>392</v>
      </c>
      <c r="Y184" t="s">
        <v>716</v>
      </c>
      <c r="AA184">
        <v>2.06</v>
      </c>
      <c r="AB184">
        <v>0</v>
      </c>
      <c r="AC184">
        <v>0</v>
      </c>
    </row>
    <row r="185" spans="2:29" ht="15" customHeight="1" x14ac:dyDescent="0.15">
      <c r="B185">
        <v>4</v>
      </c>
      <c r="C185" t="s">
        <v>386</v>
      </c>
      <c r="D185" t="s">
        <v>834</v>
      </c>
      <c r="E185">
        <v>1</v>
      </c>
      <c r="F185" t="s">
        <v>556</v>
      </c>
      <c r="G185" t="s">
        <v>556</v>
      </c>
      <c r="H185" t="s">
        <v>557</v>
      </c>
      <c r="I185">
        <v>23</v>
      </c>
      <c r="J185" s="21">
        <v>45812</v>
      </c>
      <c r="K185" s="21">
        <v>45812</v>
      </c>
      <c r="L185" t="s">
        <v>835</v>
      </c>
      <c r="M185" t="s">
        <v>672</v>
      </c>
      <c r="O185" t="s">
        <v>226</v>
      </c>
      <c r="P185">
        <v>1</v>
      </c>
      <c r="R185">
        <v>90.8</v>
      </c>
      <c r="S185">
        <v>90.8</v>
      </c>
      <c r="U185" t="s">
        <v>391</v>
      </c>
      <c r="V185" t="s">
        <v>392</v>
      </c>
      <c r="W185" t="s">
        <v>392</v>
      </c>
      <c r="Y185" t="s">
        <v>836</v>
      </c>
      <c r="AA185">
        <v>69</v>
      </c>
      <c r="AB185" s="22">
        <v>6265.2</v>
      </c>
      <c r="AC185">
        <v>0</v>
      </c>
    </row>
    <row r="186" spans="2:29" ht="15" customHeight="1" x14ac:dyDescent="0.15">
      <c r="B186">
        <v>4</v>
      </c>
      <c r="C186" t="s">
        <v>386</v>
      </c>
      <c r="D186" t="s">
        <v>837</v>
      </c>
      <c r="E186">
        <v>1</v>
      </c>
      <c r="F186" t="s">
        <v>556</v>
      </c>
      <c r="G186" t="s">
        <v>556</v>
      </c>
      <c r="H186" t="s">
        <v>557</v>
      </c>
      <c r="I186">
        <v>23</v>
      </c>
      <c r="J186" s="21">
        <v>45812</v>
      </c>
      <c r="K186" s="21">
        <v>45813</v>
      </c>
      <c r="L186" t="s">
        <v>838</v>
      </c>
      <c r="M186" t="s">
        <v>702</v>
      </c>
      <c r="O186" t="s">
        <v>226</v>
      </c>
      <c r="P186">
        <v>1</v>
      </c>
      <c r="R186">
        <v>24</v>
      </c>
      <c r="S186">
        <v>24</v>
      </c>
      <c r="U186" t="s">
        <v>391</v>
      </c>
      <c r="V186" t="s">
        <v>392</v>
      </c>
      <c r="W186" t="s">
        <v>392</v>
      </c>
      <c r="Y186" t="s">
        <v>784</v>
      </c>
      <c r="AA186">
        <v>20.63</v>
      </c>
      <c r="AB186">
        <v>495</v>
      </c>
      <c r="AC186">
        <v>0</v>
      </c>
    </row>
    <row r="187" spans="2:29" ht="15" customHeight="1" x14ac:dyDescent="0.15">
      <c r="B187">
        <v>4</v>
      </c>
      <c r="C187" t="s">
        <v>386</v>
      </c>
      <c r="D187" t="s">
        <v>837</v>
      </c>
      <c r="E187">
        <v>2</v>
      </c>
      <c r="F187" t="s">
        <v>556</v>
      </c>
      <c r="G187" t="s">
        <v>556</v>
      </c>
      <c r="H187" t="s">
        <v>557</v>
      </c>
      <c r="I187">
        <v>23</v>
      </c>
      <c r="J187" s="21">
        <v>45812</v>
      </c>
      <c r="K187" s="21">
        <v>45813</v>
      </c>
      <c r="L187" t="s">
        <v>839</v>
      </c>
      <c r="M187" t="s">
        <v>713</v>
      </c>
      <c r="O187" t="s">
        <v>226</v>
      </c>
      <c r="P187">
        <v>1</v>
      </c>
      <c r="R187">
        <v>5</v>
      </c>
      <c r="S187">
        <v>5</v>
      </c>
      <c r="U187" t="s">
        <v>391</v>
      </c>
      <c r="V187" t="s">
        <v>392</v>
      </c>
      <c r="W187" t="s">
        <v>392</v>
      </c>
      <c r="Y187" t="s">
        <v>784</v>
      </c>
      <c r="AA187">
        <v>16.5</v>
      </c>
      <c r="AB187">
        <v>82.5</v>
      </c>
      <c r="AC187">
        <v>0</v>
      </c>
    </row>
    <row r="188" spans="2:29" ht="15" customHeight="1" x14ac:dyDescent="0.15">
      <c r="B188">
        <v>4</v>
      </c>
      <c r="C188" t="s">
        <v>386</v>
      </c>
      <c r="D188" t="s">
        <v>837</v>
      </c>
      <c r="E188">
        <v>3</v>
      </c>
      <c r="F188" t="s">
        <v>556</v>
      </c>
      <c r="G188" t="s">
        <v>556</v>
      </c>
      <c r="H188" t="s">
        <v>557</v>
      </c>
      <c r="I188">
        <v>23</v>
      </c>
      <c r="J188" s="21">
        <v>45812</v>
      </c>
      <c r="K188" s="21">
        <v>45813</v>
      </c>
      <c r="L188" t="s">
        <v>840</v>
      </c>
      <c r="M188" t="s">
        <v>672</v>
      </c>
      <c r="O188" t="s">
        <v>226</v>
      </c>
      <c r="P188">
        <v>1</v>
      </c>
      <c r="R188">
        <v>6</v>
      </c>
      <c r="S188">
        <v>6</v>
      </c>
      <c r="U188" t="s">
        <v>391</v>
      </c>
      <c r="V188" t="s">
        <v>392</v>
      </c>
      <c r="W188" t="s">
        <v>392</v>
      </c>
      <c r="Y188" t="s">
        <v>784</v>
      </c>
      <c r="AA188">
        <v>69</v>
      </c>
      <c r="AB188">
        <v>414</v>
      </c>
      <c r="AC188">
        <v>0</v>
      </c>
    </row>
    <row r="189" spans="2:29" ht="15" customHeight="1" x14ac:dyDescent="0.15">
      <c r="B189">
        <v>4</v>
      </c>
      <c r="C189" t="s">
        <v>386</v>
      </c>
      <c r="D189" t="s">
        <v>837</v>
      </c>
      <c r="E189">
        <v>4</v>
      </c>
      <c r="F189" t="s">
        <v>219</v>
      </c>
      <c r="G189" t="s">
        <v>244</v>
      </c>
      <c r="H189" t="s">
        <v>759</v>
      </c>
      <c r="I189">
        <v>23</v>
      </c>
      <c r="J189" s="21">
        <v>45812</v>
      </c>
      <c r="K189" s="21">
        <v>45813</v>
      </c>
      <c r="L189" t="s">
        <v>841</v>
      </c>
      <c r="M189" t="s">
        <v>842</v>
      </c>
      <c r="O189" t="s">
        <v>220</v>
      </c>
      <c r="P189">
        <v>1</v>
      </c>
      <c r="R189">
        <v>0.15</v>
      </c>
      <c r="S189">
        <v>0.15</v>
      </c>
      <c r="U189" t="s">
        <v>391</v>
      </c>
      <c r="V189" t="s">
        <v>392</v>
      </c>
      <c r="W189" t="s">
        <v>392</v>
      </c>
      <c r="Y189" t="s">
        <v>784</v>
      </c>
      <c r="AA189">
        <v>385</v>
      </c>
      <c r="AB189">
        <v>57.75</v>
      </c>
      <c r="AC189">
        <v>0</v>
      </c>
    </row>
    <row r="190" spans="2:29" ht="15" customHeight="1" x14ac:dyDescent="0.15">
      <c r="B190">
        <v>4</v>
      </c>
      <c r="C190" t="s">
        <v>386</v>
      </c>
      <c r="D190" t="s">
        <v>837</v>
      </c>
      <c r="E190">
        <v>5</v>
      </c>
      <c r="F190" t="s">
        <v>219</v>
      </c>
      <c r="G190" t="s">
        <v>239</v>
      </c>
      <c r="H190" t="s">
        <v>551</v>
      </c>
      <c r="I190">
        <v>23</v>
      </c>
      <c r="J190" s="21">
        <v>45812</v>
      </c>
      <c r="K190" s="21">
        <v>45813</v>
      </c>
      <c r="L190" t="s">
        <v>843</v>
      </c>
      <c r="M190" t="s">
        <v>553</v>
      </c>
      <c r="O190" t="s">
        <v>220</v>
      </c>
      <c r="P190">
        <v>1</v>
      </c>
      <c r="R190">
        <v>0.18</v>
      </c>
      <c r="S190">
        <v>0.18</v>
      </c>
      <c r="U190" t="s">
        <v>391</v>
      </c>
      <c r="V190" t="s">
        <v>392</v>
      </c>
      <c r="W190" t="s">
        <v>392</v>
      </c>
      <c r="Y190" t="s">
        <v>784</v>
      </c>
      <c r="AA190">
        <v>110</v>
      </c>
      <c r="AB190">
        <v>19.8</v>
      </c>
      <c r="AC190">
        <v>0</v>
      </c>
    </row>
    <row r="191" spans="2:29" ht="15" customHeight="1" x14ac:dyDescent="0.15">
      <c r="B191">
        <v>4</v>
      </c>
      <c r="C191" t="s">
        <v>386</v>
      </c>
      <c r="D191" t="s">
        <v>837</v>
      </c>
      <c r="E191">
        <v>6</v>
      </c>
      <c r="F191" t="s">
        <v>219</v>
      </c>
      <c r="G191" t="s">
        <v>239</v>
      </c>
      <c r="H191" t="s">
        <v>420</v>
      </c>
      <c r="I191">
        <v>23</v>
      </c>
      <c r="J191" s="21">
        <v>45812</v>
      </c>
      <c r="K191" s="21">
        <v>45813</v>
      </c>
      <c r="L191" t="s">
        <v>844</v>
      </c>
      <c r="M191" t="s">
        <v>764</v>
      </c>
      <c r="O191" t="s">
        <v>220</v>
      </c>
      <c r="P191">
        <v>1</v>
      </c>
      <c r="R191">
        <v>0.15</v>
      </c>
      <c r="S191">
        <v>0.15</v>
      </c>
      <c r="U191" t="s">
        <v>391</v>
      </c>
      <c r="V191" t="s">
        <v>392</v>
      </c>
      <c r="W191" t="s">
        <v>392</v>
      </c>
      <c r="Y191" t="s">
        <v>784</v>
      </c>
      <c r="AA191">
        <v>115.5</v>
      </c>
      <c r="AB191">
        <v>17.329999999999998</v>
      </c>
      <c r="AC191">
        <v>0</v>
      </c>
    </row>
    <row r="192" spans="2:29" ht="15" hidden="1" customHeight="1" x14ac:dyDescent="0.15">
      <c r="B192">
        <v>4</v>
      </c>
      <c r="C192" t="s">
        <v>386</v>
      </c>
      <c r="D192" t="s">
        <v>845</v>
      </c>
      <c r="E192">
        <v>1</v>
      </c>
      <c r="F192" t="s">
        <v>219</v>
      </c>
      <c r="G192" t="s">
        <v>218</v>
      </c>
      <c r="H192" t="s">
        <v>433</v>
      </c>
      <c r="I192">
        <v>23</v>
      </c>
      <c r="J192" s="21">
        <v>45813</v>
      </c>
      <c r="K192" s="21">
        <v>45814</v>
      </c>
      <c r="L192" t="s">
        <v>846</v>
      </c>
      <c r="M192" t="s">
        <v>529</v>
      </c>
      <c r="O192" t="s">
        <v>220</v>
      </c>
      <c r="P192">
        <v>3</v>
      </c>
      <c r="R192">
        <v>0.1</v>
      </c>
      <c r="S192">
        <v>0.3</v>
      </c>
      <c r="U192" t="s">
        <v>847</v>
      </c>
      <c r="V192" t="s">
        <v>496</v>
      </c>
      <c r="W192" t="s">
        <v>496</v>
      </c>
      <c r="Y192" t="s">
        <v>438</v>
      </c>
      <c r="AA192">
        <v>17.48</v>
      </c>
      <c r="AB192">
        <v>5.24</v>
      </c>
      <c r="AC192">
        <v>0</v>
      </c>
    </row>
    <row r="193" spans="2:29" ht="15" hidden="1" customHeight="1" x14ac:dyDescent="0.15">
      <c r="B193">
        <v>4</v>
      </c>
      <c r="C193" t="s">
        <v>386</v>
      </c>
      <c r="D193" t="s">
        <v>845</v>
      </c>
      <c r="E193">
        <v>2</v>
      </c>
      <c r="F193" t="s">
        <v>219</v>
      </c>
      <c r="G193" t="s">
        <v>218</v>
      </c>
      <c r="H193" t="s">
        <v>581</v>
      </c>
      <c r="I193">
        <v>23</v>
      </c>
      <c r="J193" s="21">
        <v>45813</v>
      </c>
      <c r="K193" s="21">
        <v>45814</v>
      </c>
      <c r="L193" t="s">
        <v>848</v>
      </c>
      <c r="M193" t="s">
        <v>583</v>
      </c>
      <c r="O193" t="s">
        <v>220</v>
      </c>
      <c r="P193">
        <v>3</v>
      </c>
      <c r="R193">
        <v>0.1</v>
      </c>
      <c r="S193">
        <v>0.3</v>
      </c>
      <c r="U193" t="s">
        <v>847</v>
      </c>
      <c r="V193" t="s">
        <v>496</v>
      </c>
      <c r="W193" t="s">
        <v>496</v>
      </c>
      <c r="Y193" t="s">
        <v>438</v>
      </c>
      <c r="AA193">
        <v>76</v>
      </c>
      <c r="AB193">
        <v>22.8</v>
      </c>
      <c r="AC193">
        <v>0</v>
      </c>
    </row>
    <row r="194" spans="2:29" ht="15" hidden="1" customHeight="1" x14ac:dyDescent="0.15">
      <c r="B194">
        <v>4</v>
      </c>
      <c r="C194" t="s">
        <v>386</v>
      </c>
      <c r="D194" t="s">
        <v>845</v>
      </c>
      <c r="E194">
        <v>3</v>
      </c>
      <c r="F194" t="s">
        <v>219</v>
      </c>
      <c r="G194" t="s">
        <v>439</v>
      </c>
      <c r="H194" t="s">
        <v>849</v>
      </c>
      <c r="I194">
        <v>23</v>
      </c>
      <c r="J194" s="21">
        <v>45813</v>
      </c>
      <c r="K194" s="21">
        <v>45814</v>
      </c>
      <c r="L194" t="s">
        <v>850</v>
      </c>
      <c r="M194" t="s">
        <v>851</v>
      </c>
      <c r="O194" t="s">
        <v>220</v>
      </c>
      <c r="P194">
        <v>3</v>
      </c>
      <c r="R194">
        <v>4</v>
      </c>
      <c r="S194">
        <v>12</v>
      </c>
      <c r="U194" t="s">
        <v>847</v>
      </c>
      <c r="V194" t="s">
        <v>496</v>
      </c>
      <c r="W194" t="s">
        <v>496</v>
      </c>
      <c r="Y194" t="s">
        <v>438</v>
      </c>
      <c r="AA194">
        <v>24.21</v>
      </c>
      <c r="AB194">
        <v>290.56</v>
      </c>
      <c r="AC194">
        <v>0</v>
      </c>
    </row>
    <row r="195" spans="2:29" ht="15" customHeight="1" x14ac:dyDescent="0.15">
      <c r="B195">
        <v>4</v>
      </c>
      <c r="C195" t="s">
        <v>386</v>
      </c>
      <c r="D195" t="s">
        <v>852</v>
      </c>
      <c r="E195">
        <v>1</v>
      </c>
      <c r="F195" t="s">
        <v>219</v>
      </c>
      <c r="G195" t="s">
        <v>218</v>
      </c>
      <c r="H195" t="s">
        <v>433</v>
      </c>
      <c r="I195">
        <v>23</v>
      </c>
      <c r="J195" s="21">
        <v>45814</v>
      </c>
      <c r="K195" s="21">
        <v>45817</v>
      </c>
      <c r="L195" t="s">
        <v>853</v>
      </c>
      <c r="M195" t="s">
        <v>529</v>
      </c>
      <c r="O195" t="s">
        <v>220</v>
      </c>
      <c r="P195">
        <v>2</v>
      </c>
      <c r="Q195">
        <v>1</v>
      </c>
      <c r="R195">
        <v>0.12</v>
      </c>
      <c r="S195">
        <v>0.24</v>
      </c>
      <c r="T195">
        <v>0.12</v>
      </c>
      <c r="U195" t="s">
        <v>805</v>
      </c>
      <c r="V195" t="s">
        <v>806</v>
      </c>
      <c r="W195" t="s">
        <v>532</v>
      </c>
      <c r="X195">
        <v>2</v>
      </c>
      <c r="Y195" t="s">
        <v>438</v>
      </c>
      <c r="AA195">
        <v>17.48</v>
      </c>
      <c r="AB195">
        <v>4.2</v>
      </c>
      <c r="AC195">
        <v>2.1</v>
      </c>
    </row>
    <row r="196" spans="2:29" ht="15" customHeight="1" x14ac:dyDescent="0.15">
      <c r="B196">
        <v>4</v>
      </c>
      <c r="C196" t="s">
        <v>386</v>
      </c>
      <c r="D196" t="s">
        <v>852</v>
      </c>
      <c r="E196">
        <v>2</v>
      </c>
      <c r="F196" t="s">
        <v>219</v>
      </c>
      <c r="G196" t="s">
        <v>439</v>
      </c>
      <c r="H196" t="s">
        <v>533</v>
      </c>
      <c r="I196">
        <v>23</v>
      </c>
      <c r="J196" s="21">
        <v>45814</v>
      </c>
      <c r="K196" s="21">
        <v>45817</v>
      </c>
      <c r="L196" t="s">
        <v>854</v>
      </c>
      <c r="M196" t="s">
        <v>535</v>
      </c>
      <c r="O196" t="s">
        <v>220</v>
      </c>
      <c r="P196">
        <v>2</v>
      </c>
      <c r="Q196">
        <v>1</v>
      </c>
      <c r="R196">
        <v>1.5</v>
      </c>
      <c r="S196">
        <v>3</v>
      </c>
      <c r="T196">
        <v>1.5</v>
      </c>
      <c r="U196" t="s">
        <v>805</v>
      </c>
      <c r="V196" t="s">
        <v>806</v>
      </c>
      <c r="W196" t="s">
        <v>532</v>
      </c>
      <c r="X196">
        <v>2</v>
      </c>
      <c r="Y196" t="s">
        <v>438</v>
      </c>
      <c r="AA196">
        <v>38.14</v>
      </c>
      <c r="AB196">
        <v>114.42</v>
      </c>
      <c r="AC196">
        <v>57.21</v>
      </c>
    </row>
    <row r="197" spans="2:29" ht="15" customHeight="1" x14ac:dyDescent="0.15">
      <c r="B197">
        <v>4</v>
      </c>
      <c r="C197" t="s">
        <v>386</v>
      </c>
      <c r="D197" t="s">
        <v>855</v>
      </c>
      <c r="E197">
        <v>1</v>
      </c>
      <c r="F197" t="s">
        <v>556</v>
      </c>
      <c r="G197" t="s">
        <v>556</v>
      </c>
      <c r="H197" t="s">
        <v>557</v>
      </c>
      <c r="I197">
        <v>23</v>
      </c>
      <c r="J197" s="21">
        <v>45814</v>
      </c>
      <c r="K197" s="21">
        <v>45814</v>
      </c>
      <c r="L197" t="s">
        <v>856</v>
      </c>
      <c r="M197" t="s">
        <v>672</v>
      </c>
      <c r="O197" t="s">
        <v>226</v>
      </c>
      <c r="P197">
        <v>1</v>
      </c>
      <c r="Q197">
        <v>1</v>
      </c>
      <c r="R197">
        <v>56</v>
      </c>
      <c r="S197">
        <v>56</v>
      </c>
      <c r="T197">
        <v>56</v>
      </c>
      <c r="U197" t="s">
        <v>391</v>
      </c>
      <c r="V197" t="s">
        <v>392</v>
      </c>
      <c r="W197" t="s">
        <v>392</v>
      </c>
      <c r="X197">
        <v>1</v>
      </c>
      <c r="Y197" t="s">
        <v>857</v>
      </c>
      <c r="AA197">
        <v>69</v>
      </c>
      <c r="AB197" s="22">
        <v>3864</v>
      </c>
      <c r="AC197" s="22">
        <v>3864</v>
      </c>
    </row>
    <row r="198" spans="2:29" ht="15" customHeight="1" x14ac:dyDescent="0.15">
      <c r="B198">
        <v>4</v>
      </c>
      <c r="C198" t="s">
        <v>386</v>
      </c>
      <c r="D198" t="s">
        <v>858</v>
      </c>
      <c r="E198">
        <v>1</v>
      </c>
      <c r="F198" t="s">
        <v>219</v>
      </c>
      <c r="G198" t="s">
        <v>218</v>
      </c>
      <c r="H198" t="s">
        <v>433</v>
      </c>
      <c r="I198">
        <v>23</v>
      </c>
      <c r="J198" s="21">
        <v>45815</v>
      </c>
      <c r="K198" s="21">
        <v>45820</v>
      </c>
      <c r="L198" t="s">
        <v>859</v>
      </c>
      <c r="M198" t="s">
        <v>529</v>
      </c>
      <c r="N198" s="22">
        <v>45820</v>
      </c>
      <c r="O198" t="s">
        <v>220</v>
      </c>
      <c r="P198">
        <v>4</v>
      </c>
      <c r="Q198">
        <v>1.05</v>
      </c>
      <c r="R198">
        <v>0.1</v>
      </c>
      <c r="S198">
        <v>0.4</v>
      </c>
      <c r="T198">
        <v>0.11</v>
      </c>
      <c r="U198" t="s">
        <v>530</v>
      </c>
      <c r="V198" t="s">
        <v>531</v>
      </c>
      <c r="W198" t="s">
        <v>532</v>
      </c>
      <c r="X198">
        <v>3.8</v>
      </c>
      <c r="Y198" t="s">
        <v>860</v>
      </c>
      <c r="AA198">
        <v>17.48</v>
      </c>
      <c r="AB198">
        <v>6.99</v>
      </c>
      <c r="AC198">
        <v>1.84</v>
      </c>
    </row>
    <row r="199" spans="2:29" ht="15" customHeight="1" x14ac:dyDescent="0.15">
      <c r="B199">
        <v>4</v>
      </c>
      <c r="C199" t="s">
        <v>386</v>
      </c>
      <c r="D199" t="s">
        <v>858</v>
      </c>
      <c r="E199">
        <v>2</v>
      </c>
      <c r="F199" t="s">
        <v>219</v>
      </c>
      <c r="G199" t="s">
        <v>239</v>
      </c>
      <c r="H199" t="s">
        <v>861</v>
      </c>
      <c r="I199">
        <v>23</v>
      </c>
      <c r="J199" s="21">
        <v>45815</v>
      </c>
      <c r="K199" s="21">
        <v>45820</v>
      </c>
      <c r="L199" t="s">
        <v>862</v>
      </c>
      <c r="M199" t="s">
        <v>863</v>
      </c>
      <c r="N199" s="22">
        <v>45820</v>
      </c>
      <c r="O199" t="s">
        <v>220</v>
      </c>
      <c r="P199">
        <v>4</v>
      </c>
      <c r="Q199">
        <v>1.05</v>
      </c>
      <c r="R199">
        <v>2</v>
      </c>
      <c r="S199">
        <v>8</v>
      </c>
      <c r="T199">
        <v>2.11</v>
      </c>
      <c r="U199" t="s">
        <v>530</v>
      </c>
      <c r="V199" t="s">
        <v>531</v>
      </c>
      <c r="W199" t="s">
        <v>532</v>
      </c>
      <c r="X199">
        <v>3.8</v>
      </c>
      <c r="Y199" t="s">
        <v>860</v>
      </c>
      <c r="AA199">
        <v>29.14</v>
      </c>
      <c r="AB199">
        <v>233.12</v>
      </c>
      <c r="AC199">
        <v>61.35</v>
      </c>
    </row>
    <row r="200" spans="2:29" ht="15" customHeight="1" x14ac:dyDescent="0.15">
      <c r="B200">
        <v>4</v>
      </c>
      <c r="C200" t="s">
        <v>386</v>
      </c>
      <c r="D200" t="s">
        <v>858</v>
      </c>
      <c r="E200">
        <v>3</v>
      </c>
      <c r="F200" t="s">
        <v>219</v>
      </c>
      <c r="G200" t="s">
        <v>218</v>
      </c>
      <c r="H200" t="s">
        <v>864</v>
      </c>
      <c r="I200">
        <v>23</v>
      </c>
      <c r="J200" s="21">
        <v>45815</v>
      </c>
      <c r="K200" s="21">
        <v>45820</v>
      </c>
      <c r="L200" t="s">
        <v>865</v>
      </c>
      <c r="M200" t="s">
        <v>866</v>
      </c>
      <c r="N200" s="22">
        <v>45820</v>
      </c>
      <c r="O200" t="s">
        <v>226</v>
      </c>
      <c r="P200">
        <v>4</v>
      </c>
      <c r="Q200">
        <v>1.05</v>
      </c>
      <c r="R200">
        <v>0.2</v>
      </c>
      <c r="S200">
        <v>0.8</v>
      </c>
      <c r="T200">
        <v>0.21</v>
      </c>
      <c r="U200" t="s">
        <v>530</v>
      </c>
      <c r="V200" t="s">
        <v>531</v>
      </c>
      <c r="W200" t="s">
        <v>532</v>
      </c>
      <c r="X200">
        <v>3.8</v>
      </c>
      <c r="Y200" t="s">
        <v>860</v>
      </c>
      <c r="AA200">
        <v>70.3</v>
      </c>
      <c r="AB200">
        <v>56.24</v>
      </c>
      <c r="AC200">
        <v>14.8</v>
      </c>
    </row>
    <row r="201" spans="2:29" ht="15" customHeight="1" x14ac:dyDescent="0.15">
      <c r="B201">
        <v>4</v>
      </c>
      <c r="C201" t="s">
        <v>386</v>
      </c>
      <c r="D201" t="s">
        <v>858</v>
      </c>
      <c r="E201">
        <v>4</v>
      </c>
      <c r="F201" t="s">
        <v>219</v>
      </c>
      <c r="G201" t="s">
        <v>218</v>
      </c>
      <c r="H201" t="s">
        <v>493</v>
      </c>
      <c r="I201">
        <v>23</v>
      </c>
      <c r="J201" s="21">
        <v>45815</v>
      </c>
      <c r="K201" s="21">
        <v>45820</v>
      </c>
      <c r="L201" t="s">
        <v>867</v>
      </c>
      <c r="M201" t="s">
        <v>576</v>
      </c>
      <c r="N201" s="22">
        <v>45820</v>
      </c>
      <c r="O201" t="s">
        <v>226</v>
      </c>
      <c r="P201">
        <v>4</v>
      </c>
      <c r="Q201">
        <v>1.05</v>
      </c>
      <c r="R201">
        <v>0.2</v>
      </c>
      <c r="S201">
        <v>0.8</v>
      </c>
      <c r="T201">
        <v>0.21</v>
      </c>
      <c r="U201" t="s">
        <v>530</v>
      </c>
      <c r="V201" t="s">
        <v>531</v>
      </c>
      <c r="W201" t="s">
        <v>532</v>
      </c>
      <c r="X201">
        <v>3.8</v>
      </c>
      <c r="Y201" t="s">
        <v>860</v>
      </c>
      <c r="AA201">
        <v>101.77</v>
      </c>
      <c r="AB201">
        <v>81.42</v>
      </c>
      <c r="AC201">
        <v>21.43</v>
      </c>
    </row>
    <row r="202" spans="2:29" ht="15" customHeight="1" x14ac:dyDescent="0.15">
      <c r="B202">
        <v>4</v>
      </c>
      <c r="C202" t="s">
        <v>386</v>
      </c>
      <c r="D202" t="s">
        <v>858</v>
      </c>
      <c r="E202">
        <v>5</v>
      </c>
      <c r="F202" t="s">
        <v>219</v>
      </c>
      <c r="G202" t="s">
        <v>218</v>
      </c>
      <c r="H202" t="s">
        <v>581</v>
      </c>
      <c r="I202">
        <v>23</v>
      </c>
      <c r="J202" s="21">
        <v>45815</v>
      </c>
      <c r="K202" s="21">
        <v>45820</v>
      </c>
      <c r="L202" t="s">
        <v>868</v>
      </c>
      <c r="M202" t="s">
        <v>583</v>
      </c>
      <c r="N202" s="22">
        <v>45820</v>
      </c>
      <c r="O202" t="s">
        <v>220</v>
      </c>
      <c r="P202">
        <v>4</v>
      </c>
      <c r="Q202">
        <v>1.05</v>
      </c>
      <c r="R202">
        <v>0.05</v>
      </c>
      <c r="S202">
        <v>0.2</v>
      </c>
      <c r="T202">
        <v>0.05</v>
      </c>
      <c r="U202" t="s">
        <v>530</v>
      </c>
      <c r="V202" t="s">
        <v>531</v>
      </c>
      <c r="W202" t="s">
        <v>532</v>
      </c>
      <c r="X202">
        <v>3.8</v>
      </c>
      <c r="Y202" t="s">
        <v>860</v>
      </c>
      <c r="AA202">
        <v>76</v>
      </c>
      <c r="AB202">
        <v>15.2</v>
      </c>
      <c r="AC202">
        <v>4</v>
      </c>
    </row>
    <row r="203" spans="2:29" ht="15" customHeight="1" x14ac:dyDescent="0.15">
      <c r="B203">
        <v>4</v>
      </c>
      <c r="C203" t="s">
        <v>386</v>
      </c>
      <c r="D203" t="s">
        <v>869</v>
      </c>
      <c r="E203">
        <v>1</v>
      </c>
      <c r="F203" t="s">
        <v>219</v>
      </c>
      <c r="G203" t="s">
        <v>218</v>
      </c>
      <c r="H203" t="s">
        <v>433</v>
      </c>
      <c r="I203">
        <v>24</v>
      </c>
      <c r="J203" s="21">
        <v>45817</v>
      </c>
      <c r="K203" s="21">
        <v>45817</v>
      </c>
      <c r="L203" t="s">
        <v>870</v>
      </c>
      <c r="M203" t="s">
        <v>529</v>
      </c>
      <c r="O203" t="s">
        <v>220</v>
      </c>
      <c r="P203">
        <v>2</v>
      </c>
      <c r="Q203">
        <v>1</v>
      </c>
      <c r="R203">
        <v>0.1</v>
      </c>
      <c r="S203">
        <v>0.2</v>
      </c>
      <c r="T203">
        <v>0.1</v>
      </c>
      <c r="U203" t="s">
        <v>627</v>
      </c>
      <c r="V203" t="s">
        <v>628</v>
      </c>
      <c r="W203" t="s">
        <v>532</v>
      </c>
      <c r="X203">
        <v>2</v>
      </c>
      <c r="Y203" t="s">
        <v>871</v>
      </c>
      <c r="AA203">
        <v>17.48</v>
      </c>
      <c r="AB203">
        <v>3.5</v>
      </c>
      <c r="AC203">
        <v>1.75</v>
      </c>
    </row>
    <row r="204" spans="2:29" ht="15" customHeight="1" x14ac:dyDescent="0.15">
      <c r="B204">
        <v>4</v>
      </c>
      <c r="C204" t="s">
        <v>386</v>
      </c>
      <c r="D204" t="s">
        <v>869</v>
      </c>
      <c r="E204">
        <v>2</v>
      </c>
      <c r="F204" t="s">
        <v>219</v>
      </c>
      <c r="G204" t="s">
        <v>244</v>
      </c>
      <c r="H204" t="s">
        <v>591</v>
      </c>
      <c r="I204">
        <v>24</v>
      </c>
      <c r="J204" s="21">
        <v>45817</v>
      </c>
      <c r="K204" s="21">
        <v>45817</v>
      </c>
      <c r="L204" t="s">
        <v>872</v>
      </c>
      <c r="M204" t="s">
        <v>593</v>
      </c>
      <c r="O204" t="s">
        <v>220</v>
      </c>
      <c r="P204">
        <v>2</v>
      </c>
      <c r="Q204">
        <v>1</v>
      </c>
      <c r="R204">
        <v>2</v>
      </c>
      <c r="S204">
        <v>4</v>
      </c>
      <c r="T204">
        <v>2</v>
      </c>
      <c r="U204" t="s">
        <v>627</v>
      </c>
      <c r="V204" t="s">
        <v>628</v>
      </c>
      <c r="W204" t="s">
        <v>532</v>
      </c>
      <c r="X204">
        <v>2</v>
      </c>
      <c r="Y204" t="s">
        <v>871</v>
      </c>
      <c r="AA204">
        <v>37.58</v>
      </c>
      <c r="AB204">
        <v>150.30000000000001</v>
      </c>
      <c r="AC204">
        <v>75.150000000000006</v>
      </c>
    </row>
    <row r="205" spans="2:29" ht="15" customHeight="1" x14ac:dyDescent="0.15">
      <c r="B205">
        <v>4</v>
      </c>
      <c r="C205" t="s">
        <v>386</v>
      </c>
      <c r="D205" t="s">
        <v>869</v>
      </c>
      <c r="E205">
        <v>3</v>
      </c>
      <c r="F205" t="s">
        <v>219</v>
      </c>
      <c r="G205" t="s">
        <v>218</v>
      </c>
      <c r="H205" t="s">
        <v>493</v>
      </c>
      <c r="I205">
        <v>24</v>
      </c>
      <c r="J205" s="21">
        <v>45817</v>
      </c>
      <c r="K205" s="21">
        <v>45817</v>
      </c>
      <c r="L205" t="s">
        <v>873</v>
      </c>
      <c r="M205" t="s">
        <v>576</v>
      </c>
      <c r="O205" t="s">
        <v>220</v>
      </c>
      <c r="P205">
        <v>2</v>
      </c>
      <c r="Q205">
        <v>1</v>
      </c>
      <c r="R205">
        <v>0.2</v>
      </c>
      <c r="S205">
        <v>0.4</v>
      </c>
      <c r="T205">
        <v>0.2</v>
      </c>
      <c r="U205" t="s">
        <v>627</v>
      </c>
      <c r="V205" t="s">
        <v>628</v>
      </c>
      <c r="W205" t="s">
        <v>532</v>
      </c>
      <c r="X205">
        <v>2</v>
      </c>
      <c r="Y205" t="s">
        <v>871</v>
      </c>
      <c r="AA205">
        <v>101.77</v>
      </c>
      <c r="AB205">
        <v>40.71</v>
      </c>
      <c r="AC205">
        <v>20.350000000000001</v>
      </c>
    </row>
    <row r="206" spans="2:29" ht="15" customHeight="1" x14ac:dyDescent="0.15">
      <c r="B206">
        <v>4</v>
      </c>
      <c r="C206" t="s">
        <v>386</v>
      </c>
      <c r="D206" t="s">
        <v>869</v>
      </c>
      <c r="E206">
        <v>4</v>
      </c>
      <c r="F206" t="s">
        <v>219</v>
      </c>
      <c r="G206" t="s">
        <v>239</v>
      </c>
      <c r="H206" t="s">
        <v>517</v>
      </c>
      <c r="I206">
        <v>24</v>
      </c>
      <c r="J206" s="21">
        <v>45817</v>
      </c>
      <c r="K206" s="21">
        <v>45817</v>
      </c>
      <c r="L206" t="s">
        <v>874</v>
      </c>
      <c r="M206" t="s">
        <v>614</v>
      </c>
      <c r="O206" t="s">
        <v>220</v>
      </c>
      <c r="P206">
        <v>2</v>
      </c>
      <c r="Q206">
        <v>1</v>
      </c>
      <c r="R206">
        <v>0.5</v>
      </c>
      <c r="S206">
        <v>1</v>
      </c>
      <c r="T206">
        <v>0.5</v>
      </c>
      <c r="U206" t="s">
        <v>627</v>
      </c>
      <c r="V206" t="s">
        <v>628</v>
      </c>
      <c r="W206" t="s">
        <v>532</v>
      </c>
      <c r="X206">
        <v>2</v>
      </c>
      <c r="Y206" t="s">
        <v>871</v>
      </c>
      <c r="AA206">
        <v>65</v>
      </c>
      <c r="AB206">
        <v>65</v>
      </c>
      <c r="AC206">
        <v>32.5</v>
      </c>
    </row>
    <row r="207" spans="2:29" ht="15" customHeight="1" x14ac:dyDescent="0.15">
      <c r="B207">
        <v>4</v>
      </c>
      <c r="C207" t="s">
        <v>386</v>
      </c>
      <c r="D207" t="s">
        <v>875</v>
      </c>
      <c r="E207">
        <v>1</v>
      </c>
      <c r="F207" t="s">
        <v>219</v>
      </c>
      <c r="G207" t="s">
        <v>876</v>
      </c>
      <c r="H207" t="s">
        <v>877</v>
      </c>
      <c r="I207">
        <v>24</v>
      </c>
      <c r="J207" s="21">
        <v>45817</v>
      </c>
      <c r="K207" s="21">
        <v>45820</v>
      </c>
      <c r="L207" t="s">
        <v>878</v>
      </c>
      <c r="M207" t="s">
        <v>879</v>
      </c>
      <c r="O207" t="s">
        <v>226</v>
      </c>
      <c r="P207">
        <v>1</v>
      </c>
      <c r="Q207">
        <v>1</v>
      </c>
      <c r="R207">
        <v>0.5</v>
      </c>
      <c r="S207">
        <v>0.5</v>
      </c>
      <c r="T207">
        <v>0.5</v>
      </c>
      <c r="U207" t="s">
        <v>391</v>
      </c>
      <c r="V207" t="s">
        <v>392</v>
      </c>
      <c r="W207" t="s">
        <v>392</v>
      </c>
      <c r="X207">
        <v>1</v>
      </c>
      <c r="Y207" t="s">
        <v>802</v>
      </c>
      <c r="AA207">
        <v>0</v>
      </c>
      <c r="AB207">
        <v>0</v>
      </c>
      <c r="AC207">
        <v>0</v>
      </c>
    </row>
    <row r="208" spans="2:29" ht="15" customHeight="1" x14ac:dyDescent="0.15">
      <c r="B208">
        <v>4</v>
      </c>
      <c r="C208" t="s">
        <v>386</v>
      </c>
      <c r="D208" t="s">
        <v>880</v>
      </c>
      <c r="E208">
        <v>1</v>
      </c>
      <c r="F208" t="s">
        <v>556</v>
      </c>
      <c r="G208" t="s">
        <v>556</v>
      </c>
      <c r="H208" t="s">
        <v>557</v>
      </c>
      <c r="I208">
        <v>24</v>
      </c>
      <c r="J208" s="21">
        <v>45818</v>
      </c>
      <c r="K208" s="21">
        <v>45818</v>
      </c>
      <c r="L208" t="s">
        <v>881</v>
      </c>
      <c r="M208" t="s">
        <v>882</v>
      </c>
      <c r="O208" t="s">
        <v>226</v>
      </c>
      <c r="P208">
        <v>1</v>
      </c>
      <c r="Q208">
        <v>1</v>
      </c>
      <c r="R208">
        <v>80</v>
      </c>
      <c r="S208">
        <v>80</v>
      </c>
      <c r="T208">
        <v>80</v>
      </c>
      <c r="U208" t="s">
        <v>391</v>
      </c>
      <c r="V208" t="s">
        <v>392</v>
      </c>
      <c r="W208" t="s">
        <v>392</v>
      </c>
      <c r="X208">
        <v>1</v>
      </c>
      <c r="Y208" t="s">
        <v>883</v>
      </c>
      <c r="AB208">
        <v>0</v>
      </c>
      <c r="AC208">
        <v>0</v>
      </c>
    </row>
    <row r="209" spans="2:29" ht="15" customHeight="1" x14ac:dyDescent="0.15">
      <c r="B209">
        <v>4</v>
      </c>
      <c r="C209" t="s">
        <v>386</v>
      </c>
      <c r="D209" t="s">
        <v>884</v>
      </c>
      <c r="E209">
        <v>1</v>
      </c>
      <c r="F209" t="s">
        <v>556</v>
      </c>
      <c r="G209" t="s">
        <v>556</v>
      </c>
      <c r="H209" t="s">
        <v>557</v>
      </c>
      <c r="I209">
        <v>24</v>
      </c>
      <c r="J209" s="21">
        <v>45818</v>
      </c>
      <c r="K209" s="21">
        <v>45818</v>
      </c>
      <c r="L209" t="s">
        <v>885</v>
      </c>
      <c r="M209" t="s">
        <v>882</v>
      </c>
      <c r="O209" t="s">
        <v>226</v>
      </c>
      <c r="P209">
        <v>1</v>
      </c>
      <c r="Q209">
        <v>1</v>
      </c>
      <c r="R209">
        <v>60</v>
      </c>
      <c r="S209">
        <v>60</v>
      </c>
      <c r="T209">
        <v>60</v>
      </c>
      <c r="U209" t="s">
        <v>391</v>
      </c>
      <c r="V209" t="s">
        <v>392</v>
      </c>
      <c r="W209" t="s">
        <v>392</v>
      </c>
      <c r="X209">
        <v>1</v>
      </c>
      <c r="Y209" t="s">
        <v>886</v>
      </c>
      <c r="AB209">
        <v>0</v>
      </c>
      <c r="AC209">
        <v>0</v>
      </c>
    </row>
    <row r="210" spans="2:29" ht="15" customHeight="1" x14ac:dyDescent="0.15">
      <c r="B210">
        <v>4</v>
      </c>
      <c r="C210" t="s">
        <v>386</v>
      </c>
      <c r="D210" t="s">
        <v>887</v>
      </c>
      <c r="E210">
        <v>1</v>
      </c>
      <c r="F210" t="s">
        <v>219</v>
      </c>
      <c r="G210" t="s">
        <v>218</v>
      </c>
      <c r="H210" t="s">
        <v>433</v>
      </c>
      <c r="I210">
        <v>24</v>
      </c>
      <c r="J210" s="21">
        <v>45819</v>
      </c>
      <c r="K210" s="21">
        <v>45819</v>
      </c>
      <c r="L210" t="s">
        <v>888</v>
      </c>
      <c r="M210" t="s">
        <v>529</v>
      </c>
      <c r="O210" t="s">
        <v>220</v>
      </c>
      <c r="P210">
        <v>2</v>
      </c>
      <c r="Q210">
        <v>1</v>
      </c>
      <c r="R210">
        <v>0.1</v>
      </c>
      <c r="S210">
        <v>0.2</v>
      </c>
      <c r="T210">
        <v>0.1</v>
      </c>
      <c r="U210" t="s">
        <v>805</v>
      </c>
      <c r="V210" t="s">
        <v>806</v>
      </c>
      <c r="W210" t="s">
        <v>532</v>
      </c>
      <c r="X210">
        <v>2</v>
      </c>
      <c r="Y210" t="s">
        <v>871</v>
      </c>
      <c r="AA210">
        <v>17.48</v>
      </c>
      <c r="AB210">
        <v>3.5</v>
      </c>
      <c r="AC210">
        <v>1.75</v>
      </c>
    </row>
    <row r="211" spans="2:29" ht="15" customHeight="1" x14ac:dyDescent="0.15">
      <c r="B211">
        <v>4</v>
      </c>
      <c r="C211" t="s">
        <v>386</v>
      </c>
      <c r="D211" t="s">
        <v>887</v>
      </c>
      <c r="E211">
        <v>2</v>
      </c>
      <c r="F211" t="s">
        <v>219</v>
      </c>
      <c r="G211" t="s">
        <v>244</v>
      </c>
      <c r="H211" t="s">
        <v>545</v>
      </c>
      <c r="I211">
        <v>24</v>
      </c>
      <c r="J211" s="21">
        <v>45819</v>
      </c>
      <c r="K211" s="21">
        <v>45819</v>
      </c>
      <c r="L211" t="s">
        <v>889</v>
      </c>
      <c r="M211" t="s">
        <v>363</v>
      </c>
      <c r="O211" t="s">
        <v>226</v>
      </c>
      <c r="P211">
        <v>2</v>
      </c>
      <c r="Q211">
        <v>1</v>
      </c>
      <c r="R211">
        <v>0.5</v>
      </c>
      <c r="S211">
        <v>1</v>
      </c>
      <c r="T211">
        <v>0.5</v>
      </c>
      <c r="U211" t="s">
        <v>805</v>
      </c>
      <c r="V211" t="s">
        <v>806</v>
      </c>
      <c r="W211" t="s">
        <v>532</v>
      </c>
      <c r="X211">
        <v>2</v>
      </c>
      <c r="Y211" t="s">
        <v>871</v>
      </c>
      <c r="AA211">
        <v>91.2</v>
      </c>
      <c r="AB211">
        <v>91.2</v>
      </c>
      <c r="AC211">
        <v>45.6</v>
      </c>
    </row>
    <row r="212" spans="2:29" ht="15" customHeight="1" x14ac:dyDescent="0.15">
      <c r="B212">
        <v>4</v>
      </c>
      <c r="C212" t="s">
        <v>386</v>
      </c>
      <c r="D212" t="s">
        <v>887</v>
      </c>
      <c r="E212">
        <v>3</v>
      </c>
      <c r="F212" t="s">
        <v>219</v>
      </c>
      <c r="G212" t="s">
        <v>244</v>
      </c>
      <c r="H212" t="s">
        <v>571</v>
      </c>
      <c r="I212">
        <v>24</v>
      </c>
      <c r="J212" s="21">
        <v>45819</v>
      </c>
      <c r="K212" s="21">
        <v>45819</v>
      </c>
      <c r="L212" t="s">
        <v>890</v>
      </c>
      <c r="M212" t="s">
        <v>573</v>
      </c>
      <c r="O212" t="s">
        <v>220</v>
      </c>
      <c r="P212">
        <v>2</v>
      </c>
      <c r="Q212">
        <v>1</v>
      </c>
      <c r="R212">
        <v>1</v>
      </c>
      <c r="S212">
        <v>2</v>
      </c>
      <c r="T212">
        <v>1</v>
      </c>
      <c r="U212" t="s">
        <v>805</v>
      </c>
      <c r="V212" t="s">
        <v>806</v>
      </c>
      <c r="W212" t="s">
        <v>532</v>
      </c>
      <c r="X212">
        <v>2</v>
      </c>
      <c r="Y212" t="s">
        <v>871</v>
      </c>
      <c r="AA212">
        <v>73.98</v>
      </c>
      <c r="AB212">
        <v>147.96</v>
      </c>
      <c r="AC212">
        <v>73.98</v>
      </c>
    </row>
    <row r="213" spans="2:29" ht="15" customHeight="1" x14ac:dyDescent="0.15">
      <c r="B213">
        <v>4</v>
      </c>
      <c r="C213" t="s">
        <v>386</v>
      </c>
      <c r="D213" t="s">
        <v>891</v>
      </c>
      <c r="E213">
        <v>1</v>
      </c>
      <c r="F213" t="s">
        <v>556</v>
      </c>
      <c r="G213" t="s">
        <v>556</v>
      </c>
      <c r="H213" t="s">
        <v>557</v>
      </c>
      <c r="I213">
        <v>24</v>
      </c>
      <c r="J213" s="21">
        <v>45819</v>
      </c>
      <c r="K213" s="21">
        <v>45819</v>
      </c>
      <c r="L213" t="s">
        <v>892</v>
      </c>
      <c r="M213" t="s">
        <v>882</v>
      </c>
      <c r="O213" t="s">
        <v>226</v>
      </c>
      <c r="P213">
        <v>1</v>
      </c>
      <c r="Q213">
        <v>1</v>
      </c>
      <c r="R213">
        <v>60</v>
      </c>
      <c r="S213">
        <v>60</v>
      </c>
      <c r="T213">
        <v>60</v>
      </c>
      <c r="U213" t="s">
        <v>391</v>
      </c>
      <c r="V213" t="s">
        <v>392</v>
      </c>
      <c r="W213" t="s">
        <v>392</v>
      </c>
      <c r="X213">
        <v>1</v>
      </c>
      <c r="Y213" t="s">
        <v>893</v>
      </c>
      <c r="AB213">
        <v>0</v>
      </c>
      <c r="AC213">
        <v>0</v>
      </c>
    </row>
    <row r="214" spans="2:29" ht="15" customHeight="1" x14ac:dyDescent="0.15">
      <c r="B214">
        <v>4</v>
      </c>
      <c r="C214" t="s">
        <v>386</v>
      </c>
      <c r="D214" t="s">
        <v>891</v>
      </c>
      <c r="E214">
        <v>2</v>
      </c>
      <c r="F214" t="s">
        <v>219</v>
      </c>
      <c r="G214" t="s">
        <v>244</v>
      </c>
      <c r="H214" t="s">
        <v>877</v>
      </c>
      <c r="I214">
        <v>24</v>
      </c>
      <c r="J214" s="21">
        <v>45819</v>
      </c>
      <c r="K214" s="21">
        <v>45819</v>
      </c>
      <c r="L214" t="s">
        <v>894</v>
      </c>
      <c r="M214" t="s">
        <v>895</v>
      </c>
      <c r="O214" t="s">
        <v>226</v>
      </c>
      <c r="P214">
        <v>1</v>
      </c>
      <c r="R214">
        <v>0.2</v>
      </c>
      <c r="S214">
        <v>0.2</v>
      </c>
      <c r="U214" t="s">
        <v>391</v>
      </c>
      <c r="V214" t="s">
        <v>392</v>
      </c>
      <c r="W214" t="s">
        <v>392</v>
      </c>
      <c r="Y214" t="s">
        <v>896</v>
      </c>
      <c r="AA214" s="22">
        <v>1239.5</v>
      </c>
      <c r="AB214">
        <v>247.9</v>
      </c>
      <c r="AC214">
        <v>0</v>
      </c>
    </row>
    <row r="215" spans="2:29" ht="15" customHeight="1" x14ac:dyDescent="0.15">
      <c r="B215">
        <v>4</v>
      </c>
      <c r="C215" t="s">
        <v>386</v>
      </c>
      <c r="D215" t="s">
        <v>891</v>
      </c>
      <c r="E215">
        <v>3</v>
      </c>
      <c r="F215" t="s">
        <v>219</v>
      </c>
      <c r="G215" t="s">
        <v>239</v>
      </c>
      <c r="H215" t="s">
        <v>420</v>
      </c>
      <c r="I215">
        <v>24</v>
      </c>
      <c r="J215" s="21">
        <v>45819</v>
      </c>
      <c r="K215" s="21">
        <v>45819</v>
      </c>
      <c r="L215" t="s">
        <v>897</v>
      </c>
      <c r="M215" t="s">
        <v>764</v>
      </c>
      <c r="O215" t="s">
        <v>220</v>
      </c>
      <c r="P215">
        <v>1</v>
      </c>
      <c r="R215">
        <v>0.4</v>
      </c>
      <c r="S215">
        <v>0.4</v>
      </c>
      <c r="U215" t="s">
        <v>391</v>
      </c>
      <c r="V215" t="s">
        <v>392</v>
      </c>
      <c r="W215" t="s">
        <v>392</v>
      </c>
      <c r="Y215" t="s">
        <v>896</v>
      </c>
      <c r="AA215">
        <v>115.5</v>
      </c>
      <c r="AB215">
        <v>46.2</v>
      </c>
      <c r="AC215">
        <v>0</v>
      </c>
    </row>
    <row r="216" spans="2:29" ht="15" customHeight="1" x14ac:dyDescent="0.15">
      <c r="B216">
        <v>4</v>
      </c>
      <c r="C216" t="s">
        <v>386</v>
      </c>
      <c r="D216" t="s">
        <v>891</v>
      </c>
      <c r="E216">
        <v>4</v>
      </c>
      <c r="F216" t="s">
        <v>219</v>
      </c>
      <c r="G216" t="s">
        <v>239</v>
      </c>
      <c r="H216" t="s">
        <v>517</v>
      </c>
      <c r="I216">
        <v>24</v>
      </c>
      <c r="J216" s="21">
        <v>45819</v>
      </c>
      <c r="K216" s="21">
        <v>45819</v>
      </c>
      <c r="L216" t="s">
        <v>898</v>
      </c>
      <c r="M216" t="s">
        <v>614</v>
      </c>
      <c r="O216" t="s">
        <v>226</v>
      </c>
      <c r="P216">
        <v>1</v>
      </c>
      <c r="R216">
        <v>0.2</v>
      </c>
      <c r="S216">
        <v>0.2</v>
      </c>
      <c r="U216" t="s">
        <v>391</v>
      </c>
      <c r="V216" t="s">
        <v>392</v>
      </c>
      <c r="W216" t="s">
        <v>392</v>
      </c>
      <c r="Y216" t="s">
        <v>896</v>
      </c>
      <c r="AA216">
        <v>65</v>
      </c>
      <c r="AB216">
        <v>13</v>
      </c>
      <c r="AC216">
        <v>0</v>
      </c>
    </row>
    <row r="217" spans="2:29" ht="15" customHeight="1" x14ac:dyDescent="0.15">
      <c r="B217">
        <v>4</v>
      </c>
      <c r="C217" t="s">
        <v>386</v>
      </c>
      <c r="D217" t="s">
        <v>899</v>
      </c>
      <c r="E217">
        <v>1</v>
      </c>
      <c r="F217" t="s">
        <v>219</v>
      </c>
      <c r="G217" t="s">
        <v>218</v>
      </c>
      <c r="H217" t="s">
        <v>433</v>
      </c>
      <c r="I217">
        <v>24</v>
      </c>
      <c r="J217" s="21">
        <v>45819</v>
      </c>
      <c r="K217" s="21">
        <v>45826</v>
      </c>
      <c r="L217" t="s">
        <v>900</v>
      </c>
      <c r="M217" t="s">
        <v>529</v>
      </c>
      <c r="O217" t="s">
        <v>220</v>
      </c>
      <c r="P217">
        <v>0</v>
      </c>
      <c r="R217">
        <v>0.1</v>
      </c>
      <c r="S217">
        <v>0.01</v>
      </c>
      <c r="U217" t="s">
        <v>391</v>
      </c>
      <c r="V217" t="s">
        <v>392</v>
      </c>
      <c r="W217" t="s">
        <v>392</v>
      </c>
      <c r="Y217" t="s">
        <v>901</v>
      </c>
      <c r="AA217">
        <v>17.48</v>
      </c>
      <c r="AB217">
        <v>0.17</v>
      </c>
      <c r="AC217">
        <v>0</v>
      </c>
    </row>
    <row r="218" spans="2:29" ht="15" customHeight="1" x14ac:dyDescent="0.15">
      <c r="B218">
        <v>4</v>
      </c>
      <c r="C218" t="s">
        <v>386</v>
      </c>
      <c r="D218" t="s">
        <v>899</v>
      </c>
      <c r="E218">
        <v>2</v>
      </c>
      <c r="F218" t="s">
        <v>219</v>
      </c>
      <c r="G218" t="s">
        <v>244</v>
      </c>
      <c r="H218" t="s">
        <v>514</v>
      </c>
      <c r="I218">
        <v>24</v>
      </c>
      <c r="J218" s="21">
        <v>45819</v>
      </c>
      <c r="K218" s="21">
        <v>45826</v>
      </c>
      <c r="L218" t="s">
        <v>902</v>
      </c>
      <c r="M218" t="s">
        <v>903</v>
      </c>
      <c r="O218" t="s">
        <v>220</v>
      </c>
      <c r="P218">
        <v>0</v>
      </c>
      <c r="R218">
        <v>0.2</v>
      </c>
      <c r="S218">
        <v>0.02</v>
      </c>
      <c r="U218" t="s">
        <v>391</v>
      </c>
      <c r="V218" t="s">
        <v>392</v>
      </c>
      <c r="W218" t="s">
        <v>392</v>
      </c>
      <c r="Y218" t="s">
        <v>901</v>
      </c>
      <c r="AA218">
        <v>98.81</v>
      </c>
      <c r="AB218">
        <v>1.98</v>
      </c>
      <c r="AC218">
        <v>0</v>
      </c>
    </row>
    <row r="219" spans="2:29" ht="15" customHeight="1" x14ac:dyDescent="0.15">
      <c r="B219">
        <v>4</v>
      </c>
      <c r="C219" t="s">
        <v>386</v>
      </c>
      <c r="D219" t="s">
        <v>904</v>
      </c>
      <c r="E219">
        <v>1</v>
      </c>
      <c r="F219" t="s">
        <v>219</v>
      </c>
      <c r="G219" t="s">
        <v>218</v>
      </c>
      <c r="H219" t="s">
        <v>397</v>
      </c>
      <c r="I219">
        <v>24</v>
      </c>
      <c r="J219" s="21">
        <v>45819</v>
      </c>
      <c r="K219" s="21">
        <v>45819</v>
      </c>
      <c r="L219" t="s">
        <v>905</v>
      </c>
      <c r="M219" t="s">
        <v>454</v>
      </c>
      <c r="O219" t="s">
        <v>220</v>
      </c>
      <c r="P219">
        <v>1</v>
      </c>
      <c r="R219">
        <v>1</v>
      </c>
      <c r="S219">
        <v>1</v>
      </c>
      <c r="U219" t="s">
        <v>906</v>
      </c>
      <c r="V219" t="s">
        <v>906</v>
      </c>
      <c r="W219" t="s">
        <v>496</v>
      </c>
      <c r="Y219" t="s">
        <v>907</v>
      </c>
      <c r="AA219">
        <v>686.05</v>
      </c>
      <c r="AB219">
        <v>686.05</v>
      </c>
      <c r="AC219">
        <v>0</v>
      </c>
    </row>
    <row r="220" spans="2:29" ht="15" customHeight="1" x14ac:dyDescent="0.15">
      <c r="B220">
        <v>4</v>
      </c>
      <c r="C220" t="s">
        <v>386</v>
      </c>
      <c r="D220" t="s">
        <v>904</v>
      </c>
      <c r="E220">
        <v>2</v>
      </c>
      <c r="F220" t="s">
        <v>219</v>
      </c>
      <c r="G220" t="s">
        <v>218</v>
      </c>
      <c r="H220" t="s">
        <v>908</v>
      </c>
      <c r="I220">
        <v>24</v>
      </c>
      <c r="J220" s="21">
        <v>45819</v>
      </c>
      <c r="K220" s="21">
        <v>45819</v>
      </c>
      <c r="L220" t="s">
        <v>909</v>
      </c>
      <c r="M220" t="s">
        <v>910</v>
      </c>
      <c r="O220" t="s">
        <v>220</v>
      </c>
      <c r="P220">
        <v>1</v>
      </c>
      <c r="R220">
        <v>1</v>
      </c>
      <c r="S220">
        <v>1</v>
      </c>
      <c r="U220" t="s">
        <v>906</v>
      </c>
      <c r="V220" t="s">
        <v>906</v>
      </c>
      <c r="W220" t="s">
        <v>496</v>
      </c>
      <c r="Y220" t="s">
        <v>907</v>
      </c>
      <c r="AA220">
        <v>42.6</v>
      </c>
      <c r="AB220">
        <v>42.6</v>
      </c>
      <c r="AC220">
        <v>0</v>
      </c>
    </row>
    <row r="221" spans="2:29" ht="15" customHeight="1" x14ac:dyDescent="0.15">
      <c r="B221">
        <v>4</v>
      </c>
      <c r="C221" t="s">
        <v>386</v>
      </c>
      <c r="D221" t="s">
        <v>904</v>
      </c>
      <c r="E221">
        <v>3</v>
      </c>
      <c r="F221" t="s">
        <v>219</v>
      </c>
      <c r="G221" t="s">
        <v>218</v>
      </c>
      <c r="H221" t="s">
        <v>911</v>
      </c>
      <c r="I221">
        <v>24</v>
      </c>
      <c r="J221" s="21">
        <v>45819</v>
      </c>
      <c r="K221" s="21">
        <v>45819</v>
      </c>
      <c r="L221" t="s">
        <v>912</v>
      </c>
      <c r="M221" t="s">
        <v>913</v>
      </c>
      <c r="O221" t="s">
        <v>220</v>
      </c>
      <c r="P221">
        <v>1</v>
      </c>
      <c r="R221">
        <v>1</v>
      </c>
      <c r="S221">
        <v>1</v>
      </c>
      <c r="U221" t="s">
        <v>906</v>
      </c>
      <c r="V221" t="s">
        <v>906</v>
      </c>
      <c r="W221" t="s">
        <v>496</v>
      </c>
      <c r="Y221" t="s">
        <v>907</v>
      </c>
      <c r="AA221">
        <v>91.24</v>
      </c>
      <c r="AB221">
        <v>91.24</v>
      </c>
      <c r="AC221">
        <v>0</v>
      </c>
    </row>
    <row r="222" spans="2:29" ht="15" customHeight="1" x14ac:dyDescent="0.15">
      <c r="B222">
        <v>4</v>
      </c>
      <c r="C222" t="s">
        <v>386</v>
      </c>
      <c r="D222" t="s">
        <v>904</v>
      </c>
      <c r="E222">
        <v>4</v>
      </c>
      <c r="F222" t="s">
        <v>219</v>
      </c>
      <c r="G222" t="s">
        <v>239</v>
      </c>
      <c r="H222" t="s">
        <v>914</v>
      </c>
      <c r="I222">
        <v>24</v>
      </c>
      <c r="J222" s="21">
        <v>45819</v>
      </c>
      <c r="K222" s="21">
        <v>45819</v>
      </c>
      <c r="L222" t="s">
        <v>915</v>
      </c>
      <c r="M222" t="s">
        <v>916</v>
      </c>
      <c r="O222" t="s">
        <v>220</v>
      </c>
      <c r="P222">
        <v>1</v>
      </c>
      <c r="R222">
        <v>1</v>
      </c>
      <c r="S222">
        <v>1</v>
      </c>
      <c r="U222" t="s">
        <v>906</v>
      </c>
      <c r="V222" t="s">
        <v>906</v>
      </c>
      <c r="W222" t="s">
        <v>496</v>
      </c>
      <c r="Y222" t="s">
        <v>907</v>
      </c>
      <c r="AA222">
        <v>87.3</v>
      </c>
      <c r="AB222">
        <v>87.3</v>
      </c>
      <c r="AC222">
        <v>0</v>
      </c>
    </row>
    <row r="223" spans="2:29" ht="15" customHeight="1" x14ac:dyDescent="0.15">
      <c r="B223">
        <v>4</v>
      </c>
      <c r="C223" t="s">
        <v>386</v>
      </c>
      <c r="D223" t="s">
        <v>917</v>
      </c>
      <c r="E223">
        <v>1</v>
      </c>
      <c r="F223" t="s">
        <v>556</v>
      </c>
      <c r="G223" t="s">
        <v>556</v>
      </c>
      <c r="H223" t="s">
        <v>557</v>
      </c>
      <c r="I223">
        <v>24</v>
      </c>
      <c r="J223" s="21">
        <v>45822</v>
      </c>
      <c r="K223" s="21">
        <v>45822</v>
      </c>
      <c r="L223" t="s">
        <v>918</v>
      </c>
      <c r="M223" t="s">
        <v>882</v>
      </c>
      <c r="O223" t="s">
        <v>226</v>
      </c>
      <c r="P223">
        <v>1</v>
      </c>
      <c r="Q223">
        <v>1</v>
      </c>
      <c r="R223">
        <v>28</v>
      </c>
      <c r="S223">
        <v>28</v>
      </c>
      <c r="T223">
        <v>28</v>
      </c>
      <c r="U223" t="s">
        <v>391</v>
      </c>
      <c r="V223" t="s">
        <v>392</v>
      </c>
      <c r="W223" t="s">
        <v>392</v>
      </c>
      <c r="X223">
        <v>1</v>
      </c>
      <c r="Y223" t="s">
        <v>919</v>
      </c>
      <c r="AB223">
        <v>0</v>
      </c>
      <c r="AC223">
        <v>0</v>
      </c>
    </row>
    <row r="224" spans="2:29" ht="15" customHeight="1" x14ac:dyDescent="0.15">
      <c r="B224">
        <v>4</v>
      </c>
      <c r="C224" t="s">
        <v>386</v>
      </c>
      <c r="D224" t="s">
        <v>920</v>
      </c>
      <c r="E224">
        <v>1</v>
      </c>
      <c r="F224" t="s">
        <v>201</v>
      </c>
      <c r="G224" t="s">
        <v>337</v>
      </c>
      <c r="H224" t="s">
        <v>921</v>
      </c>
      <c r="I224">
        <v>24</v>
      </c>
      <c r="J224" s="21">
        <v>45822</v>
      </c>
      <c r="K224" s="21">
        <v>45822</v>
      </c>
      <c r="L224" t="s">
        <v>922</v>
      </c>
      <c r="M224" t="s">
        <v>923</v>
      </c>
      <c r="O224" t="s">
        <v>226</v>
      </c>
      <c r="P224">
        <v>1</v>
      </c>
      <c r="Q224">
        <v>1</v>
      </c>
      <c r="R224">
        <v>1.5</v>
      </c>
      <c r="S224">
        <v>1.5</v>
      </c>
      <c r="T224">
        <v>1.5</v>
      </c>
      <c r="U224" t="s">
        <v>391</v>
      </c>
      <c r="V224" t="s">
        <v>392</v>
      </c>
      <c r="W224" t="s">
        <v>392</v>
      </c>
      <c r="X224">
        <v>1</v>
      </c>
      <c r="Y224" t="s">
        <v>392</v>
      </c>
      <c r="AA224">
        <v>7.37</v>
      </c>
      <c r="AB224">
        <v>11.06</v>
      </c>
      <c r="AC224">
        <v>11.06</v>
      </c>
    </row>
    <row r="225" spans="2:29" ht="15" customHeight="1" x14ac:dyDescent="0.15">
      <c r="B225">
        <v>4</v>
      </c>
      <c r="C225" t="s">
        <v>386</v>
      </c>
      <c r="D225" t="s">
        <v>924</v>
      </c>
      <c r="E225">
        <v>1</v>
      </c>
      <c r="F225" t="s">
        <v>219</v>
      </c>
      <c r="G225" t="s">
        <v>218</v>
      </c>
      <c r="H225" t="s">
        <v>433</v>
      </c>
      <c r="I225">
        <v>25</v>
      </c>
      <c r="J225" s="21">
        <v>45824</v>
      </c>
      <c r="K225" s="21">
        <v>45825</v>
      </c>
      <c r="L225" t="s">
        <v>925</v>
      </c>
      <c r="M225" t="s">
        <v>529</v>
      </c>
      <c r="O225" t="s">
        <v>220</v>
      </c>
      <c r="P225">
        <v>2</v>
      </c>
      <c r="Q225">
        <v>1</v>
      </c>
      <c r="R225">
        <v>0.1</v>
      </c>
      <c r="S225">
        <v>0.2</v>
      </c>
      <c r="T225">
        <v>0.1</v>
      </c>
      <c r="U225" t="s">
        <v>805</v>
      </c>
      <c r="V225" t="s">
        <v>806</v>
      </c>
      <c r="W225" t="s">
        <v>532</v>
      </c>
      <c r="X225">
        <v>2</v>
      </c>
      <c r="Y225" t="s">
        <v>871</v>
      </c>
      <c r="AA225">
        <v>17.48</v>
      </c>
      <c r="AB225">
        <v>3.5</v>
      </c>
      <c r="AC225">
        <v>1.75</v>
      </c>
    </row>
    <row r="226" spans="2:29" ht="15" customHeight="1" x14ac:dyDescent="0.15">
      <c r="B226">
        <v>4</v>
      </c>
      <c r="C226" t="s">
        <v>386</v>
      </c>
      <c r="D226" t="s">
        <v>924</v>
      </c>
      <c r="E226">
        <v>2</v>
      </c>
      <c r="F226" t="s">
        <v>219</v>
      </c>
      <c r="G226" t="s">
        <v>239</v>
      </c>
      <c r="H226" t="s">
        <v>456</v>
      </c>
      <c r="I226">
        <v>25</v>
      </c>
      <c r="J226" s="21">
        <v>45824</v>
      </c>
      <c r="K226" s="21">
        <v>45825</v>
      </c>
      <c r="L226" t="s">
        <v>926</v>
      </c>
      <c r="M226" t="s">
        <v>458</v>
      </c>
      <c r="O226" t="s">
        <v>220</v>
      </c>
      <c r="P226">
        <v>2</v>
      </c>
      <c r="Q226">
        <v>1</v>
      </c>
      <c r="R226">
        <v>3</v>
      </c>
      <c r="S226">
        <v>6</v>
      </c>
      <c r="T226">
        <v>3</v>
      </c>
      <c r="U226" t="s">
        <v>805</v>
      </c>
      <c r="V226" t="s">
        <v>806</v>
      </c>
      <c r="W226" t="s">
        <v>532</v>
      </c>
      <c r="X226">
        <v>2</v>
      </c>
      <c r="Y226" t="s">
        <v>871</v>
      </c>
      <c r="AA226">
        <v>49.99</v>
      </c>
      <c r="AB226">
        <v>299.94</v>
      </c>
      <c r="AC226">
        <v>149.97</v>
      </c>
    </row>
    <row r="227" spans="2:29" ht="15" customHeight="1" x14ac:dyDescent="0.15">
      <c r="B227">
        <v>4</v>
      </c>
      <c r="C227" t="s">
        <v>386</v>
      </c>
      <c r="D227" t="s">
        <v>924</v>
      </c>
      <c r="E227">
        <v>3</v>
      </c>
      <c r="F227" t="s">
        <v>219</v>
      </c>
      <c r="G227" t="s">
        <v>218</v>
      </c>
      <c r="H227" t="s">
        <v>493</v>
      </c>
      <c r="I227">
        <v>25</v>
      </c>
      <c r="J227" s="21">
        <v>45824</v>
      </c>
      <c r="K227" s="21">
        <v>45825</v>
      </c>
      <c r="L227" t="s">
        <v>927</v>
      </c>
      <c r="M227" t="s">
        <v>576</v>
      </c>
      <c r="O227" t="s">
        <v>220</v>
      </c>
      <c r="P227">
        <v>2</v>
      </c>
      <c r="Q227">
        <v>1</v>
      </c>
      <c r="R227">
        <v>0.2</v>
      </c>
      <c r="S227">
        <v>0.4</v>
      </c>
      <c r="T227">
        <v>0.2</v>
      </c>
      <c r="U227" t="s">
        <v>805</v>
      </c>
      <c r="V227" t="s">
        <v>806</v>
      </c>
      <c r="W227" t="s">
        <v>532</v>
      </c>
      <c r="X227">
        <v>2</v>
      </c>
      <c r="Y227" t="s">
        <v>871</v>
      </c>
      <c r="AA227">
        <v>101.77</v>
      </c>
      <c r="AB227">
        <v>40.71</v>
      </c>
      <c r="AC227">
        <v>20.350000000000001</v>
      </c>
    </row>
    <row r="228" spans="2:29" ht="15" hidden="1" customHeight="1" x14ac:dyDescent="0.15">
      <c r="B228">
        <v>4</v>
      </c>
      <c r="C228" t="s">
        <v>386</v>
      </c>
      <c r="D228" t="s">
        <v>928</v>
      </c>
      <c r="E228">
        <v>1</v>
      </c>
      <c r="F228" t="s">
        <v>201</v>
      </c>
      <c r="G228" t="s">
        <v>200</v>
      </c>
      <c r="H228" t="s">
        <v>732</v>
      </c>
      <c r="I228">
        <v>25</v>
      </c>
      <c r="J228" s="21">
        <v>45825</v>
      </c>
      <c r="K228" s="21">
        <v>45825</v>
      </c>
      <c r="L228" t="s">
        <v>929</v>
      </c>
      <c r="M228" t="s">
        <v>734</v>
      </c>
      <c r="O228" t="s">
        <v>226</v>
      </c>
      <c r="P228">
        <v>1</v>
      </c>
      <c r="R228">
        <v>250</v>
      </c>
      <c r="S228">
        <v>250</v>
      </c>
      <c r="U228" t="s">
        <v>930</v>
      </c>
      <c r="V228" t="s">
        <v>496</v>
      </c>
      <c r="W228" t="s">
        <v>496</v>
      </c>
      <c r="Y228" t="s">
        <v>931</v>
      </c>
      <c r="AA228">
        <v>3.24</v>
      </c>
      <c r="AB228">
        <v>811.13</v>
      </c>
      <c r="AC228">
        <v>0</v>
      </c>
    </row>
    <row r="229" spans="2:29" ht="15" hidden="1" customHeight="1" x14ac:dyDescent="0.15">
      <c r="B229">
        <v>4</v>
      </c>
      <c r="C229" t="s">
        <v>386</v>
      </c>
      <c r="D229" t="s">
        <v>928</v>
      </c>
      <c r="E229">
        <v>2</v>
      </c>
      <c r="F229" t="s">
        <v>201</v>
      </c>
      <c r="G229" t="s">
        <v>200</v>
      </c>
      <c r="H229" t="s">
        <v>735</v>
      </c>
      <c r="I229">
        <v>25</v>
      </c>
      <c r="J229" s="21">
        <v>45825</v>
      </c>
      <c r="K229" s="21">
        <v>45825</v>
      </c>
      <c r="L229" t="s">
        <v>932</v>
      </c>
      <c r="M229" t="s">
        <v>737</v>
      </c>
      <c r="O229" t="s">
        <v>226</v>
      </c>
      <c r="P229">
        <v>1</v>
      </c>
      <c r="R229">
        <v>150</v>
      </c>
      <c r="S229">
        <v>150</v>
      </c>
      <c r="U229" t="s">
        <v>930</v>
      </c>
      <c r="V229" t="s">
        <v>496</v>
      </c>
      <c r="W229" t="s">
        <v>496</v>
      </c>
      <c r="Y229" t="s">
        <v>931</v>
      </c>
      <c r="AA229">
        <v>2.7</v>
      </c>
      <c r="AB229">
        <v>405</v>
      </c>
      <c r="AC229">
        <v>0</v>
      </c>
    </row>
    <row r="230" spans="2:29" ht="15" hidden="1" customHeight="1" x14ac:dyDescent="0.15">
      <c r="B230">
        <v>4</v>
      </c>
      <c r="C230" t="s">
        <v>386</v>
      </c>
      <c r="D230" t="s">
        <v>928</v>
      </c>
      <c r="E230">
        <v>3</v>
      </c>
      <c r="F230" t="s">
        <v>201</v>
      </c>
      <c r="G230" t="s">
        <v>337</v>
      </c>
      <c r="H230" t="s">
        <v>607</v>
      </c>
      <c r="I230">
        <v>25</v>
      </c>
      <c r="J230" s="21">
        <v>45825</v>
      </c>
      <c r="K230" s="21">
        <v>45825</v>
      </c>
      <c r="L230" t="s">
        <v>933</v>
      </c>
      <c r="M230" t="s">
        <v>739</v>
      </c>
      <c r="O230" t="s">
        <v>226</v>
      </c>
      <c r="P230">
        <v>1</v>
      </c>
      <c r="R230">
        <v>12.5</v>
      </c>
      <c r="S230">
        <v>12.5</v>
      </c>
      <c r="U230" t="s">
        <v>930</v>
      </c>
      <c r="V230" t="s">
        <v>496</v>
      </c>
      <c r="W230" t="s">
        <v>496</v>
      </c>
      <c r="Y230" t="s">
        <v>931</v>
      </c>
      <c r="AA230">
        <v>3.72</v>
      </c>
      <c r="AB230">
        <v>46.5</v>
      </c>
      <c r="AC230">
        <v>0</v>
      </c>
    </row>
    <row r="231" spans="2:29" ht="15" hidden="1" customHeight="1" x14ac:dyDescent="0.15">
      <c r="B231">
        <v>4</v>
      </c>
      <c r="C231" t="s">
        <v>386</v>
      </c>
      <c r="D231" t="s">
        <v>928</v>
      </c>
      <c r="E231">
        <v>4</v>
      </c>
      <c r="F231" t="s">
        <v>201</v>
      </c>
      <c r="G231" t="s">
        <v>200</v>
      </c>
      <c r="H231" t="s">
        <v>740</v>
      </c>
      <c r="I231">
        <v>25</v>
      </c>
      <c r="J231" s="21">
        <v>45825</v>
      </c>
      <c r="K231" s="21">
        <v>45825</v>
      </c>
      <c r="L231" t="s">
        <v>934</v>
      </c>
      <c r="M231" t="s">
        <v>742</v>
      </c>
      <c r="O231" t="s">
        <v>226</v>
      </c>
      <c r="P231">
        <v>1</v>
      </c>
      <c r="R231">
        <v>12.5</v>
      </c>
      <c r="S231">
        <v>12.5</v>
      </c>
      <c r="U231" t="s">
        <v>930</v>
      </c>
      <c r="V231" t="s">
        <v>496</v>
      </c>
      <c r="W231" t="s">
        <v>496</v>
      </c>
      <c r="Y231" t="s">
        <v>931</v>
      </c>
      <c r="AA231">
        <v>3.6</v>
      </c>
      <c r="AB231">
        <v>45</v>
      </c>
      <c r="AC231">
        <v>0</v>
      </c>
    </row>
    <row r="232" spans="2:29" ht="15" hidden="1" customHeight="1" x14ac:dyDescent="0.15">
      <c r="B232">
        <v>4</v>
      </c>
      <c r="C232" t="s">
        <v>386</v>
      </c>
      <c r="D232" t="s">
        <v>928</v>
      </c>
      <c r="E232">
        <v>5</v>
      </c>
      <c r="F232" t="s">
        <v>638</v>
      </c>
      <c r="G232" t="s">
        <v>223</v>
      </c>
      <c r="H232" t="s">
        <v>635</v>
      </c>
      <c r="I232">
        <v>25</v>
      </c>
      <c r="J232" s="21">
        <v>45825</v>
      </c>
      <c r="K232" s="21">
        <v>45825</v>
      </c>
      <c r="L232" t="s">
        <v>935</v>
      </c>
      <c r="M232" t="s">
        <v>640</v>
      </c>
      <c r="O232" t="s">
        <v>226</v>
      </c>
      <c r="P232">
        <v>1</v>
      </c>
      <c r="R232">
        <v>200</v>
      </c>
      <c r="S232">
        <v>200</v>
      </c>
      <c r="U232" t="s">
        <v>930</v>
      </c>
      <c r="V232" t="s">
        <v>496</v>
      </c>
      <c r="W232" t="s">
        <v>496</v>
      </c>
      <c r="Y232" t="s">
        <v>931</v>
      </c>
      <c r="AC232">
        <v>0</v>
      </c>
    </row>
    <row r="233" spans="2:29" ht="15" customHeight="1" x14ac:dyDescent="0.15">
      <c r="B233">
        <v>4</v>
      </c>
      <c r="C233" t="s">
        <v>386</v>
      </c>
      <c r="D233" t="s">
        <v>936</v>
      </c>
      <c r="E233">
        <v>1</v>
      </c>
      <c r="F233" t="s">
        <v>201</v>
      </c>
      <c r="G233" t="s">
        <v>200</v>
      </c>
      <c r="H233" t="s">
        <v>735</v>
      </c>
      <c r="I233">
        <v>25</v>
      </c>
      <c r="J233" s="21">
        <v>45824</v>
      </c>
      <c r="K233" s="21">
        <v>45824</v>
      </c>
      <c r="L233" t="s">
        <v>937</v>
      </c>
      <c r="M233" t="s">
        <v>737</v>
      </c>
      <c r="O233" t="s">
        <v>226</v>
      </c>
      <c r="P233">
        <v>1</v>
      </c>
      <c r="R233">
        <v>350</v>
      </c>
      <c r="S233">
        <v>350</v>
      </c>
      <c r="U233" t="s">
        <v>938</v>
      </c>
      <c r="V233" t="s">
        <v>938</v>
      </c>
      <c r="W233" t="s">
        <v>496</v>
      </c>
      <c r="Y233" t="s">
        <v>207</v>
      </c>
      <c r="AA233">
        <v>2.7</v>
      </c>
      <c r="AB233">
        <v>945</v>
      </c>
      <c r="AC233">
        <v>0</v>
      </c>
    </row>
    <row r="234" spans="2:29" ht="15" customHeight="1" x14ac:dyDescent="0.15">
      <c r="B234">
        <v>4</v>
      </c>
      <c r="C234" t="s">
        <v>386</v>
      </c>
      <c r="D234" t="s">
        <v>936</v>
      </c>
      <c r="E234">
        <v>2</v>
      </c>
      <c r="F234" t="s">
        <v>201</v>
      </c>
      <c r="G234" t="s">
        <v>200</v>
      </c>
      <c r="H234" t="s">
        <v>475</v>
      </c>
      <c r="I234">
        <v>25</v>
      </c>
      <c r="J234" s="21">
        <v>45824</v>
      </c>
      <c r="K234" s="21">
        <v>45824</v>
      </c>
      <c r="L234" t="s">
        <v>939</v>
      </c>
      <c r="M234" t="s">
        <v>631</v>
      </c>
      <c r="O234" t="s">
        <v>226</v>
      </c>
      <c r="P234">
        <v>1</v>
      </c>
      <c r="R234">
        <v>350</v>
      </c>
      <c r="S234">
        <v>350</v>
      </c>
      <c r="U234" t="s">
        <v>938</v>
      </c>
      <c r="V234" t="s">
        <v>938</v>
      </c>
      <c r="W234" t="s">
        <v>496</v>
      </c>
      <c r="Y234" t="s">
        <v>207</v>
      </c>
      <c r="AA234">
        <v>3.53</v>
      </c>
      <c r="AB234" s="22">
        <v>1235.5</v>
      </c>
      <c r="AC234">
        <v>0</v>
      </c>
    </row>
    <row r="235" spans="2:29" ht="15" customHeight="1" x14ac:dyDescent="0.15">
      <c r="B235">
        <v>4</v>
      </c>
      <c r="C235" t="s">
        <v>386</v>
      </c>
      <c r="D235" t="s">
        <v>936</v>
      </c>
      <c r="E235">
        <v>3</v>
      </c>
      <c r="F235" t="s">
        <v>201</v>
      </c>
      <c r="G235" t="s">
        <v>200</v>
      </c>
      <c r="H235" t="s">
        <v>632</v>
      </c>
      <c r="I235">
        <v>25</v>
      </c>
      <c r="J235" s="21">
        <v>45824</v>
      </c>
      <c r="K235" s="21">
        <v>45824</v>
      </c>
      <c r="L235" t="s">
        <v>940</v>
      </c>
      <c r="M235" t="s">
        <v>634</v>
      </c>
      <c r="O235" t="s">
        <v>226</v>
      </c>
      <c r="P235">
        <v>1</v>
      </c>
      <c r="R235">
        <v>550</v>
      </c>
      <c r="S235">
        <v>550</v>
      </c>
      <c r="U235" t="s">
        <v>938</v>
      </c>
      <c r="V235" t="s">
        <v>938</v>
      </c>
      <c r="W235" t="s">
        <v>496</v>
      </c>
      <c r="Y235" t="s">
        <v>207</v>
      </c>
      <c r="AA235">
        <v>3.72</v>
      </c>
      <c r="AB235" s="22">
        <v>2046</v>
      </c>
      <c r="AC235">
        <v>0</v>
      </c>
    </row>
    <row r="236" spans="2:29" ht="15" customHeight="1" x14ac:dyDescent="0.15">
      <c r="B236">
        <v>4</v>
      </c>
      <c r="C236" t="s">
        <v>386</v>
      </c>
      <c r="D236" t="s">
        <v>936</v>
      </c>
      <c r="E236">
        <v>4</v>
      </c>
      <c r="F236" t="s">
        <v>201</v>
      </c>
      <c r="G236" t="s">
        <v>200</v>
      </c>
      <c r="H236" t="s">
        <v>471</v>
      </c>
      <c r="I236">
        <v>25</v>
      </c>
      <c r="J236" s="21">
        <v>45824</v>
      </c>
      <c r="K236" s="21">
        <v>45824</v>
      </c>
      <c r="L236" t="s">
        <v>941</v>
      </c>
      <c r="M236" t="s">
        <v>942</v>
      </c>
      <c r="O236" t="s">
        <v>226</v>
      </c>
      <c r="P236">
        <v>1</v>
      </c>
      <c r="R236">
        <v>550</v>
      </c>
      <c r="S236">
        <v>550</v>
      </c>
      <c r="U236" t="s">
        <v>938</v>
      </c>
      <c r="V236" t="s">
        <v>938</v>
      </c>
      <c r="W236" t="s">
        <v>496</v>
      </c>
      <c r="Y236" t="s">
        <v>207</v>
      </c>
      <c r="AA236">
        <v>1.98</v>
      </c>
      <c r="AB236" s="22">
        <v>1089</v>
      </c>
      <c r="AC236">
        <v>0</v>
      </c>
    </row>
    <row r="237" spans="2:29" ht="15" customHeight="1" x14ac:dyDescent="0.15">
      <c r="B237">
        <v>4</v>
      </c>
      <c r="C237" t="s">
        <v>386</v>
      </c>
      <c r="D237" t="s">
        <v>943</v>
      </c>
      <c r="E237">
        <v>1</v>
      </c>
      <c r="F237" t="s">
        <v>219</v>
      </c>
      <c r="G237" t="s">
        <v>218</v>
      </c>
      <c r="H237" t="s">
        <v>433</v>
      </c>
      <c r="I237">
        <v>25</v>
      </c>
      <c r="J237" s="21">
        <v>45824</v>
      </c>
      <c r="K237" s="21">
        <v>45824</v>
      </c>
      <c r="L237" t="s">
        <v>944</v>
      </c>
      <c r="M237" t="s">
        <v>529</v>
      </c>
      <c r="O237" t="s">
        <v>226</v>
      </c>
      <c r="P237">
        <v>1</v>
      </c>
      <c r="Q237">
        <v>1</v>
      </c>
      <c r="R237">
        <v>0.3</v>
      </c>
      <c r="S237">
        <v>0.3</v>
      </c>
      <c r="T237">
        <v>0.3</v>
      </c>
      <c r="U237" t="s">
        <v>391</v>
      </c>
      <c r="V237" t="s">
        <v>392</v>
      </c>
      <c r="W237" t="s">
        <v>392</v>
      </c>
      <c r="X237">
        <v>1</v>
      </c>
      <c r="Y237" t="s">
        <v>893</v>
      </c>
      <c r="AA237">
        <v>17.48</v>
      </c>
      <c r="AB237">
        <v>5.24</v>
      </c>
      <c r="AC237">
        <v>5.24</v>
      </c>
    </row>
    <row r="238" spans="2:29" ht="15" customHeight="1" x14ac:dyDescent="0.15">
      <c r="B238">
        <v>4</v>
      </c>
      <c r="C238" t="s">
        <v>386</v>
      </c>
      <c r="D238" t="s">
        <v>943</v>
      </c>
      <c r="E238">
        <v>2</v>
      </c>
      <c r="F238" t="s">
        <v>219</v>
      </c>
      <c r="G238" t="s">
        <v>439</v>
      </c>
      <c r="H238" t="s">
        <v>945</v>
      </c>
      <c r="I238">
        <v>25</v>
      </c>
      <c r="J238" s="21">
        <v>45824</v>
      </c>
      <c r="K238" s="21">
        <v>45824</v>
      </c>
      <c r="L238" t="s">
        <v>946</v>
      </c>
      <c r="M238" t="s">
        <v>947</v>
      </c>
      <c r="O238" t="s">
        <v>226</v>
      </c>
      <c r="P238">
        <v>1</v>
      </c>
      <c r="Q238">
        <v>1</v>
      </c>
      <c r="R238">
        <v>0.5</v>
      </c>
      <c r="S238">
        <v>0.5</v>
      </c>
      <c r="T238">
        <v>0.5</v>
      </c>
      <c r="U238" t="s">
        <v>391</v>
      </c>
      <c r="V238" t="s">
        <v>392</v>
      </c>
      <c r="W238" t="s">
        <v>392</v>
      </c>
      <c r="X238">
        <v>1</v>
      </c>
      <c r="Y238" t="s">
        <v>893</v>
      </c>
      <c r="AA238">
        <v>125</v>
      </c>
      <c r="AB238">
        <v>62.5</v>
      </c>
      <c r="AC238">
        <v>62.5</v>
      </c>
    </row>
    <row r="239" spans="2:29" ht="15" customHeight="1" x14ac:dyDescent="0.15">
      <c r="B239">
        <v>4</v>
      </c>
      <c r="C239" t="s">
        <v>386</v>
      </c>
      <c r="D239" t="s">
        <v>948</v>
      </c>
      <c r="E239">
        <v>1</v>
      </c>
      <c r="F239" t="s">
        <v>556</v>
      </c>
      <c r="G239" t="s">
        <v>556</v>
      </c>
      <c r="H239" t="s">
        <v>557</v>
      </c>
      <c r="I239">
        <v>25</v>
      </c>
      <c r="J239" s="21">
        <v>45826</v>
      </c>
      <c r="K239" s="21">
        <v>45827</v>
      </c>
      <c r="L239" t="s">
        <v>949</v>
      </c>
      <c r="M239" t="s">
        <v>882</v>
      </c>
      <c r="O239" t="s">
        <v>226</v>
      </c>
      <c r="P239">
        <v>1</v>
      </c>
      <c r="Q239">
        <v>1</v>
      </c>
      <c r="R239">
        <v>52</v>
      </c>
      <c r="S239">
        <v>52</v>
      </c>
      <c r="T239">
        <v>52</v>
      </c>
      <c r="U239" t="s">
        <v>391</v>
      </c>
      <c r="V239" t="s">
        <v>392</v>
      </c>
      <c r="W239" t="s">
        <v>392</v>
      </c>
      <c r="X239">
        <v>1</v>
      </c>
      <c r="Y239" t="s">
        <v>893</v>
      </c>
      <c r="AB239">
        <v>0</v>
      </c>
      <c r="AC239">
        <v>0</v>
      </c>
    </row>
    <row r="240" spans="2:29" ht="15" customHeight="1" x14ac:dyDescent="0.15">
      <c r="B240">
        <v>4</v>
      </c>
      <c r="C240" t="s">
        <v>386</v>
      </c>
      <c r="D240" t="s">
        <v>948</v>
      </c>
      <c r="E240">
        <v>2</v>
      </c>
      <c r="F240" t="s">
        <v>219</v>
      </c>
      <c r="G240" t="s">
        <v>876</v>
      </c>
      <c r="H240" t="s">
        <v>877</v>
      </c>
      <c r="I240">
        <v>25</v>
      </c>
      <c r="J240" s="21">
        <v>45826</v>
      </c>
      <c r="K240" s="21">
        <v>45827</v>
      </c>
      <c r="L240" t="s">
        <v>950</v>
      </c>
      <c r="M240" t="s">
        <v>951</v>
      </c>
      <c r="O240" t="s">
        <v>220</v>
      </c>
      <c r="P240">
        <v>1</v>
      </c>
      <c r="Q240">
        <v>1</v>
      </c>
      <c r="R240">
        <v>0.5</v>
      </c>
      <c r="S240">
        <v>0.5</v>
      </c>
      <c r="T240">
        <v>0.5</v>
      </c>
      <c r="U240" t="s">
        <v>391</v>
      </c>
      <c r="V240" t="s">
        <v>392</v>
      </c>
      <c r="W240" t="s">
        <v>392</v>
      </c>
      <c r="X240">
        <v>1</v>
      </c>
      <c r="Y240" t="s">
        <v>893</v>
      </c>
      <c r="AA240">
        <v>0</v>
      </c>
      <c r="AB240">
        <v>0</v>
      </c>
      <c r="AC240">
        <v>0</v>
      </c>
    </row>
    <row r="241" spans="2:29" ht="15" customHeight="1" x14ac:dyDescent="0.15">
      <c r="B241">
        <v>4</v>
      </c>
      <c r="C241" t="s">
        <v>386</v>
      </c>
      <c r="D241" t="s">
        <v>948</v>
      </c>
      <c r="E241">
        <v>3</v>
      </c>
      <c r="F241" t="s">
        <v>219</v>
      </c>
      <c r="G241" t="s">
        <v>218</v>
      </c>
      <c r="H241" t="s">
        <v>667</v>
      </c>
      <c r="I241">
        <v>25</v>
      </c>
      <c r="J241" s="21">
        <v>45826</v>
      </c>
      <c r="K241" s="21">
        <v>45827</v>
      </c>
      <c r="L241" t="s">
        <v>952</v>
      </c>
      <c r="M241" t="s">
        <v>355</v>
      </c>
      <c r="O241" t="s">
        <v>226</v>
      </c>
      <c r="P241">
        <v>1</v>
      </c>
      <c r="Q241">
        <v>1</v>
      </c>
      <c r="R241">
        <v>0.4</v>
      </c>
      <c r="S241">
        <v>0.4</v>
      </c>
      <c r="T241">
        <v>0.4</v>
      </c>
      <c r="U241" t="s">
        <v>391</v>
      </c>
      <c r="V241" t="s">
        <v>392</v>
      </c>
      <c r="W241" t="s">
        <v>392</v>
      </c>
      <c r="X241">
        <v>1</v>
      </c>
      <c r="Y241" t="s">
        <v>893</v>
      </c>
      <c r="AA241">
        <v>1.2</v>
      </c>
      <c r="AB241">
        <v>0.48</v>
      </c>
      <c r="AC241">
        <v>0.48</v>
      </c>
    </row>
    <row r="242" spans="2:29" ht="15" customHeight="1" x14ac:dyDescent="0.15">
      <c r="B242">
        <v>4</v>
      </c>
      <c r="C242" t="s">
        <v>386</v>
      </c>
      <c r="D242" t="s">
        <v>948</v>
      </c>
      <c r="E242">
        <v>4</v>
      </c>
      <c r="F242" t="s">
        <v>219</v>
      </c>
      <c r="G242" t="s">
        <v>239</v>
      </c>
      <c r="H242" t="s">
        <v>517</v>
      </c>
      <c r="I242">
        <v>25</v>
      </c>
      <c r="J242" s="21">
        <v>45826</v>
      </c>
      <c r="K242" s="21">
        <v>45827</v>
      </c>
      <c r="L242" t="s">
        <v>953</v>
      </c>
      <c r="M242" t="s">
        <v>614</v>
      </c>
      <c r="O242" t="s">
        <v>226</v>
      </c>
      <c r="P242">
        <v>1</v>
      </c>
      <c r="Q242">
        <v>1</v>
      </c>
      <c r="R242">
        <v>0.3</v>
      </c>
      <c r="S242">
        <v>0.3</v>
      </c>
      <c r="T242">
        <v>0.3</v>
      </c>
      <c r="U242" t="s">
        <v>391</v>
      </c>
      <c r="V242" t="s">
        <v>392</v>
      </c>
      <c r="W242" t="s">
        <v>392</v>
      </c>
      <c r="X242">
        <v>1</v>
      </c>
      <c r="Y242" t="s">
        <v>893</v>
      </c>
      <c r="AA242">
        <v>65</v>
      </c>
      <c r="AB242">
        <v>19.5</v>
      </c>
      <c r="AC242">
        <v>19.5</v>
      </c>
    </row>
    <row r="243" spans="2:29" ht="15" customHeight="1" x14ac:dyDescent="0.15">
      <c r="B243">
        <v>4</v>
      </c>
      <c r="C243" t="s">
        <v>386</v>
      </c>
      <c r="D243" t="s">
        <v>948</v>
      </c>
      <c r="E243">
        <v>5</v>
      </c>
      <c r="F243" t="s">
        <v>219</v>
      </c>
      <c r="G243" t="s">
        <v>244</v>
      </c>
      <c r="H243" t="s">
        <v>877</v>
      </c>
      <c r="I243">
        <v>25</v>
      </c>
      <c r="J243" s="21">
        <v>45826</v>
      </c>
      <c r="K243" s="21">
        <v>45827</v>
      </c>
      <c r="L243" t="s">
        <v>954</v>
      </c>
      <c r="M243" t="s">
        <v>895</v>
      </c>
      <c r="O243" t="s">
        <v>226</v>
      </c>
      <c r="P243">
        <v>1</v>
      </c>
      <c r="Q243">
        <v>1</v>
      </c>
      <c r="R243">
        <v>0.12</v>
      </c>
      <c r="S243">
        <v>0.12</v>
      </c>
      <c r="T243">
        <v>0.12</v>
      </c>
      <c r="U243" t="s">
        <v>391</v>
      </c>
      <c r="V243" t="s">
        <v>392</v>
      </c>
      <c r="W243" t="s">
        <v>392</v>
      </c>
      <c r="X243">
        <v>1</v>
      </c>
      <c r="Y243" t="s">
        <v>893</v>
      </c>
      <c r="AA243" s="22">
        <v>1239.5</v>
      </c>
      <c r="AB243">
        <v>148.74</v>
      </c>
      <c r="AC243">
        <v>148.74</v>
      </c>
    </row>
    <row r="244" spans="2:29" ht="15" customHeight="1" x14ac:dyDescent="0.15">
      <c r="B244">
        <v>4</v>
      </c>
      <c r="C244" t="s">
        <v>386</v>
      </c>
      <c r="D244" t="s">
        <v>948</v>
      </c>
      <c r="E244">
        <v>6</v>
      </c>
      <c r="F244" t="s">
        <v>556</v>
      </c>
      <c r="G244" t="s">
        <v>556</v>
      </c>
      <c r="H244" t="s">
        <v>557</v>
      </c>
      <c r="I244">
        <v>25</v>
      </c>
      <c r="J244" s="21">
        <v>45826</v>
      </c>
      <c r="K244" s="21">
        <v>45827</v>
      </c>
      <c r="L244" t="s">
        <v>955</v>
      </c>
      <c r="M244" t="s">
        <v>702</v>
      </c>
      <c r="O244" t="s">
        <v>226</v>
      </c>
      <c r="P244">
        <v>1</v>
      </c>
      <c r="Q244">
        <v>1</v>
      </c>
      <c r="R244">
        <v>10</v>
      </c>
      <c r="S244">
        <v>10</v>
      </c>
      <c r="T244">
        <v>10</v>
      </c>
      <c r="U244" t="s">
        <v>391</v>
      </c>
      <c r="V244" t="s">
        <v>392</v>
      </c>
      <c r="W244" t="s">
        <v>392</v>
      </c>
      <c r="X244">
        <v>1</v>
      </c>
      <c r="Y244" t="s">
        <v>893</v>
      </c>
      <c r="AA244">
        <v>20.63</v>
      </c>
      <c r="AB244">
        <v>206.25</v>
      </c>
      <c r="AC244">
        <v>206.25</v>
      </c>
    </row>
    <row r="245" spans="2:29" ht="15" customHeight="1" x14ac:dyDescent="0.15">
      <c r="B245">
        <v>4</v>
      </c>
      <c r="C245" t="s">
        <v>386</v>
      </c>
      <c r="D245" t="s">
        <v>956</v>
      </c>
      <c r="E245">
        <v>1</v>
      </c>
      <c r="F245" t="s">
        <v>556</v>
      </c>
      <c r="G245" t="s">
        <v>556</v>
      </c>
      <c r="H245" t="s">
        <v>557</v>
      </c>
      <c r="I245">
        <v>25</v>
      </c>
      <c r="J245" s="21">
        <v>45826</v>
      </c>
      <c r="K245" s="21">
        <v>45827</v>
      </c>
      <c r="L245" t="s">
        <v>957</v>
      </c>
      <c r="M245" t="s">
        <v>702</v>
      </c>
      <c r="O245" t="s">
        <v>226</v>
      </c>
      <c r="P245">
        <v>1</v>
      </c>
      <c r="Q245">
        <v>1</v>
      </c>
      <c r="R245">
        <v>28</v>
      </c>
      <c r="S245">
        <v>28</v>
      </c>
      <c r="T245">
        <v>28</v>
      </c>
      <c r="U245" t="s">
        <v>391</v>
      </c>
      <c r="V245" t="s">
        <v>392</v>
      </c>
      <c r="W245" t="s">
        <v>392</v>
      </c>
      <c r="X245">
        <v>1</v>
      </c>
      <c r="Y245" t="s">
        <v>958</v>
      </c>
      <c r="AA245">
        <v>20.63</v>
      </c>
      <c r="AB245">
        <v>577.5</v>
      </c>
      <c r="AC245">
        <v>577.5</v>
      </c>
    </row>
    <row r="246" spans="2:29" ht="15" customHeight="1" x14ac:dyDescent="0.15">
      <c r="B246">
        <v>4</v>
      </c>
      <c r="C246" t="s">
        <v>386</v>
      </c>
      <c r="D246" t="s">
        <v>959</v>
      </c>
      <c r="E246">
        <v>1</v>
      </c>
      <c r="F246" t="s">
        <v>219</v>
      </c>
      <c r="G246" t="s">
        <v>660</v>
      </c>
      <c r="H246" t="s">
        <v>661</v>
      </c>
      <c r="I246">
        <v>25</v>
      </c>
      <c r="J246" s="21">
        <v>45825</v>
      </c>
      <c r="K246" s="21">
        <v>45825</v>
      </c>
      <c r="L246" t="s">
        <v>960</v>
      </c>
      <c r="M246" t="s">
        <v>663</v>
      </c>
      <c r="O246" t="s">
        <v>226</v>
      </c>
      <c r="P246">
        <v>1</v>
      </c>
      <c r="Q246">
        <v>1</v>
      </c>
      <c r="R246">
        <v>0.5</v>
      </c>
      <c r="S246">
        <v>0.5</v>
      </c>
      <c r="T246">
        <v>0.5</v>
      </c>
      <c r="U246" t="s">
        <v>391</v>
      </c>
      <c r="V246" t="s">
        <v>392</v>
      </c>
      <c r="W246" t="s">
        <v>392</v>
      </c>
      <c r="X246">
        <v>1</v>
      </c>
      <c r="AA246">
        <v>94.88</v>
      </c>
      <c r="AB246">
        <v>47.44</v>
      </c>
      <c r="AC246">
        <v>47.44</v>
      </c>
    </row>
    <row r="247" spans="2:29" ht="15" customHeight="1" x14ac:dyDescent="0.15">
      <c r="B247">
        <v>4</v>
      </c>
      <c r="C247" t="s">
        <v>386</v>
      </c>
      <c r="D247" t="s">
        <v>961</v>
      </c>
      <c r="E247">
        <v>1</v>
      </c>
      <c r="F247" t="s">
        <v>219</v>
      </c>
      <c r="G247" t="s">
        <v>218</v>
      </c>
      <c r="H247" t="s">
        <v>433</v>
      </c>
      <c r="I247">
        <v>25</v>
      </c>
      <c r="J247" s="21">
        <v>45826</v>
      </c>
      <c r="K247" s="21">
        <v>45826</v>
      </c>
      <c r="L247" t="s">
        <v>962</v>
      </c>
      <c r="M247" t="s">
        <v>529</v>
      </c>
      <c r="O247" t="s">
        <v>220</v>
      </c>
      <c r="P247">
        <v>0</v>
      </c>
      <c r="R247">
        <v>0.15</v>
      </c>
      <c r="S247">
        <v>4.4999999999999998E-2</v>
      </c>
      <c r="U247" t="s">
        <v>436</v>
      </c>
      <c r="V247" t="s">
        <v>437</v>
      </c>
      <c r="W247" t="s">
        <v>437</v>
      </c>
      <c r="Y247" t="s">
        <v>438</v>
      </c>
      <c r="AA247">
        <v>17.48</v>
      </c>
      <c r="AB247">
        <v>0.79</v>
      </c>
      <c r="AC247">
        <v>0</v>
      </c>
    </row>
    <row r="248" spans="2:29" ht="15" customHeight="1" x14ac:dyDescent="0.15">
      <c r="B248">
        <v>4</v>
      </c>
      <c r="C248" t="s">
        <v>386</v>
      </c>
      <c r="D248" t="s">
        <v>961</v>
      </c>
      <c r="E248">
        <v>2</v>
      </c>
      <c r="F248" t="s">
        <v>219</v>
      </c>
      <c r="G248" t="s">
        <v>439</v>
      </c>
      <c r="H248" t="s">
        <v>963</v>
      </c>
      <c r="I248">
        <v>25</v>
      </c>
      <c r="J248" s="21">
        <v>45826</v>
      </c>
      <c r="K248" s="21">
        <v>45826</v>
      </c>
      <c r="L248" t="s">
        <v>964</v>
      </c>
      <c r="M248" t="s">
        <v>965</v>
      </c>
      <c r="O248" t="s">
        <v>220</v>
      </c>
      <c r="P248">
        <v>0</v>
      </c>
      <c r="R248">
        <v>4</v>
      </c>
      <c r="S248">
        <v>0.6</v>
      </c>
      <c r="U248" t="s">
        <v>436</v>
      </c>
      <c r="V248" t="s">
        <v>437</v>
      </c>
      <c r="W248" t="s">
        <v>437</v>
      </c>
      <c r="Y248" t="s">
        <v>438</v>
      </c>
      <c r="AA248">
        <v>0</v>
      </c>
      <c r="AB248">
        <v>0</v>
      </c>
      <c r="AC248">
        <v>0</v>
      </c>
    </row>
    <row r="249" spans="2:29" ht="15" customHeight="1" x14ac:dyDescent="0.15">
      <c r="B249">
        <v>4</v>
      </c>
      <c r="C249" t="s">
        <v>386</v>
      </c>
      <c r="D249" t="s">
        <v>961</v>
      </c>
      <c r="E249">
        <v>3</v>
      </c>
      <c r="F249" t="s">
        <v>219</v>
      </c>
      <c r="G249" t="s">
        <v>439</v>
      </c>
      <c r="I249">
        <v>25</v>
      </c>
      <c r="J249" s="21">
        <v>45826</v>
      </c>
      <c r="K249" s="21">
        <v>45826</v>
      </c>
      <c r="L249" t="s">
        <v>966</v>
      </c>
      <c r="M249" t="s">
        <v>967</v>
      </c>
      <c r="O249" t="s">
        <v>220</v>
      </c>
      <c r="P249">
        <v>0</v>
      </c>
      <c r="R249">
        <v>6</v>
      </c>
      <c r="S249">
        <v>0.9</v>
      </c>
      <c r="U249" t="s">
        <v>436</v>
      </c>
      <c r="V249" t="s">
        <v>437</v>
      </c>
      <c r="W249" t="s">
        <v>437</v>
      </c>
      <c r="Y249" t="s">
        <v>438</v>
      </c>
      <c r="AA249">
        <v>0</v>
      </c>
      <c r="AB249">
        <v>0</v>
      </c>
      <c r="AC249">
        <v>0</v>
      </c>
    </row>
    <row r="250" spans="2:29" ht="15" customHeight="1" x14ac:dyDescent="0.15">
      <c r="B250">
        <v>4</v>
      </c>
      <c r="C250" t="s">
        <v>386</v>
      </c>
      <c r="D250" t="s">
        <v>968</v>
      </c>
      <c r="E250">
        <v>1</v>
      </c>
      <c r="F250" t="s">
        <v>556</v>
      </c>
      <c r="G250" t="s">
        <v>556</v>
      </c>
      <c r="H250" t="s">
        <v>557</v>
      </c>
      <c r="I250">
        <v>25</v>
      </c>
      <c r="J250" s="21">
        <v>45826</v>
      </c>
      <c r="K250" s="21">
        <v>45826</v>
      </c>
      <c r="L250" t="s">
        <v>969</v>
      </c>
      <c r="M250" t="s">
        <v>702</v>
      </c>
      <c r="O250" t="s">
        <v>202</v>
      </c>
      <c r="P250">
        <v>1</v>
      </c>
      <c r="Q250">
        <v>1</v>
      </c>
      <c r="R250">
        <v>3</v>
      </c>
      <c r="S250">
        <v>3</v>
      </c>
      <c r="T250">
        <v>3</v>
      </c>
      <c r="U250" t="s">
        <v>391</v>
      </c>
      <c r="V250" t="s">
        <v>392</v>
      </c>
      <c r="W250" t="s">
        <v>392</v>
      </c>
      <c r="X250">
        <v>1</v>
      </c>
      <c r="Y250" t="s">
        <v>802</v>
      </c>
      <c r="AA250">
        <v>20.63</v>
      </c>
      <c r="AB250">
        <v>61.88</v>
      </c>
      <c r="AC250">
        <v>61.88</v>
      </c>
    </row>
    <row r="251" spans="2:29" ht="15" customHeight="1" x14ac:dyDescent="0.15">
      <c r="B251">
        <v>4</v>
      </c>
      <c r="C251" t="s">
        <v>704</v>
      </c>
      <c r="D251" t="s">
        <v>970</v>
      </c>
      <c r="E251">
        <v>1</v>
      </c>
      <c r="F251" t="s">
        <v>219</v>
      </c>
      <c r="G251" t="s">
        <v>218</v>
      </c>
      <c r="H251" t="s">
        <v>433</v>
      </c>
      <c r="I251">
        <v>25</v>
      </c>
      <c r="J251" s="21">
        <v>45827</v>
      </c>
      <c r="L251" t="s">
        <v>971</v>
      </c>
      <c r="M251" t="s">
        <v>529</v>
      </c>
      <c r="O251" t="s">
        <v>220</v>
      </c>
      <c r="P251">
        <v>0</v>
      </c>
      <c r="Q251">
        <v>0</v>
      </c>
      <c r="R251">
        <v>0.18</v>
      </c>
      <c r="S251">
        <v>0</v>
      </c>
      <c r="T251">
        <v>0</v>
      </c>
      <c r="U251" t="s">
        <v>627</v>
      </c>
      <c r="V251" t="s">
        <v>628</v>
      </c>
      <c r="W251" t="s">
        <v>532</v>
      </c>
      <c r="X251">
        <v>2</v>
      </c>
      <c r="Y251" t="s">
        <v>871</v>
      </c>
      <c r="AA251">
        <v>17.48</v>
      </c>
      <c r="AB251">
        <v>0</v>
      </c>
      <c r="AC251">
        <v>0</v>
      </c>
    </row>
    <row r="252" spans="2:29" ht="15" customHeight="1" x14ac:dyDescent="0.15">
      <c r="B252">
        <v>4</v>
      </c>
      <c r="C252" t="s">
        <v>704</v>
      </c>
      <c r="D252" t="s">
        <v>970</v>
      </c>
      <c r="E252">
        <v>2</v>
      </c>
      <c r="F252" t="s">
        <v>219</v>
      </c>
      <c r="G252" t="s">
        <v>218</v>
      </c>
      <c r="H252" t="s">
        <v>493</v>
      </c>
      <c r="I252">
        <v>25</v>
      </c>
      <c r="J252" s="21">
        <v>45827</v>
      </c>
      <c r="L252" t="s">
        <v>972</v>
      </c>
      <c r="M252" t="s">
        <v>576</v>
      </c>
      <c r="O252" t="s">
        <v>226</v>
      </c>
      <c r="P252">
        <v>0</v>
      </c>
      <c r="Q252">
        <v>0</v>
      </c>
      <c r="R252">
        <v>0.2</v>
      </c>
      <c r="S252">
        <v>0</v>
      </c>
      <c r="T252">
        <v>0</v>
      </c>
      <c r="U252" t="s">
        <v>627</v>
      </c>
      <c r="V252" t="s">
        <v>628</v>
      </c>
      <c r="W252" t="s">
        <v>532</v>
      </c>
      <c r="X252">
        <v>2</v>
      </c>
      <c r="Y252" t="s">
        <v>871</v>
      </c>
      <c r="AA252">
        <v>101.77</v>
      </c>
      <c r="AB252">
        <v>0</v>
      </c>
      <c r="AC252">
        <v>0</v>
      </c>
    </row>
    <row r="253" spans="2:29" ht="15" customHeight="1" x14ac:dyDescent="0.15">
      <c r="B253">
        <v>4</v>
      </c>
      <c r="C253" t="s">
        <v>704</v>
      </c>
      <c r="D253" t="s">
        <v>970</v>
      </c>
      <c r="E253">
        <v>3</v>
      </c>
      <c r="F253" t="s">
        <v>219</v>
      </c>
      <c r="G253" t="s">
        <v>244</v>
      </c>
      <c r="H253" t="s">
        <v>591</v>
      </c>
      <c r="I253">
        <v>25</v>
      </c>
      <c r="J253" s="21">
        <v>45827</v>
      </c>
      <c r="L253" t="s">
        <v>973</v>
      </c>
      <c r="M253" t="s">
        <v>593</v>
      </c>
      <c r="O253" t="s">
        <v>220</v>
      </c>
      <c r="P253">
        <v>0</v>
      </c>
      <c r="Q253">
        <v>0</v>
      </c>
      <c r="R253">
        <v>2</v>
      </c>
      <c r="S253">
        <v>0</v>
      </c>
      <c r="T253">
        <v>0</v>
      </c>
      <c r="U253" t="s">
        <v>627</v>
      </c>
      <c r="V253" t="s">
        <v>628</v>
      </c>
      <c r="W253" t="s">
        <v>532</v>
      </c>
      <c r="X253">
        <v>2</v>
      </c>
      <c r="Y253" t="s">
        <v>871</v>
      </c>
      <c r="AA253">
        <v>37.58</v>
      </c>
      <c r="AB253">
        <v>0</v>
      </c>
      <c r="AC253">
        <v>0</v>
      </c>
    </row>
    <row r="254" spans="2:29" ht="15" customHeight="1" x14ac:dyDescent="0.15">
      <c r="B254">
        <v>4</v>
      </c>
      <c r="C254" t="s">
        <v>704</v>
      </c>
      <c r="D254" t="s">
        <v>970</v>
      </c>
      <c r="E254">
        <v>4</v>
      </c>
      <c r="F254" t="s">
        <v>219</v>
      </c>
      <c r="G254" t="s">
        <v>218</v>
      </c>
      <c r="H254" t="s">
        <v>581</v>
      </c>
      <c r="I254">
        <v>25</v>
      </c>
      <c r="J254" s="21">
        <v>45827</v>
      </c>
      <c r="L254" t="s">
        <v>974</v>
      </c>
      <c r="M254" t="s">
        <v>583</v>
      </c>
      <c r="O254" t="s">
        <v>220</v>
      </c>
      <c r="P254">
        <v>0</v>
      </c>
      <c r="Q254">
        <v>0</v>
      </c>
      <c r="R254">
        <v>0.03</v>
      </c>
      <c r="S254">
        <v>0</v>
      </c>
      <c r="T254">
        <v>0</v>
      </c>
      <c r="U254" t="s">
        <v>627</v>
      </c>
      <c r="V254" t="s">
        <v>628</v>
      </c>
      <c r="W254" t="s">
        <v>532</v>
      </c>
      <c r="X254">
        <v>2</v>
      </c>
      <c r="Y254" t="s">
        <v>871</v>
      </c>
      <c r="AA254">
        <v>76</v>
      </c>
      <c r="AB254">
        <v>0</v>
      </c>
      <c r="AC254">
        <v>0</v>
      </c>
    </row>
    <row r="255" spans="2:29" ht="15" customHeight="1" x14ac:dyDescent="0.15">
      <c r="B255">
        <v>4</v>
      </c>
      <c r="C255" t="s">
        <v>386</v>
      </c>
      <c r="D255" t="s">
        <v>975</v>
      </c>
      <c r="E255">
        <v>1</v>
      </c>
      <c r="F255" t="s">
        <v>556</v>
      </c>
      <c r="G255" t="s">
        <v>556</v>
      </c>
      <c r="H255" t="s">
        <v>557</v>
      </c>
      <c r="I255">
        <v>25</v>
      </c>
      <c r="J255" s="21">
        <v>45827</v>
      </c>
      <c r="K255" s="21">
        <v>45827</v>
      </c>
      <c r="L255" t="s">
        <v>976</v>
      </c>
      <c r="M255" t="s">
        <v>672</v>
      </c>
      <c r="O255" t="s">
        <v>226</v>
      </c>
      <c r="P255">
        <v>1</v>
      </c>
      <c r="Q255">
        <v>1</v>
      </c>
      <c r="R255">
        <v>5.25</v>
      </c>
      <c r="S255">
        <v>5.25</v>
      </c>
      <c r="T255">
        <v>5.25</v>
      </c>
      <c r="U255" t="s">
        <v>391</v>
      </c>
      <c r="V255" t="s">
        <v>392</v>
      </c>
      <c r="W255" t="s">
        <v>392</v>
      </c>
      <c r="X255">
        <v>1</v>
      </c>
      <c r="Y255" t="s">
        <v>977</v>
      </c>
      <c r="AA255">
        <v>69</v>
      </c>
      <c r="AB255">
        <v>362.25</v>
      </c>
      <c r="AC255">
        <v>362.25</v>
      </c>
    </row>
    <row r="256" spans="2:29" ht="15" customHeight="1" x14ac:dyDescent="0.15">
      <c r="B256">
        <v>4</v>
      </c>
      <c r="C256" t="s">
        <v>704</v>
      </c>
      <c r="D256" t="s">
        <v>978</v>
      </c>
      <c r="E256">
        <v>1</v>
      </c>
      <c r="F256" t="s">
        <v>556</v>
      </c>
      <c r="G256" t="s">
        <v>556</v>
      </c>
      <c r="H256" t="s">
        <v>557</v>
      </c>
      <c r="I256">
        <v>25</v>
      </c>
      <c r="J256" s="21">
        <v>45827</v>
      </c>
      <c r="L256" t="s">
        <v>979</v>
      </c>
      <c r="M256" t="s">
        <v>702</v>
      </c>
      <c r="O256" t="s">
        <v>226</v>
      </c>
      <c r="P256">
        <v>0</v>
      </c>
      <c r="Q256">
        <v>0</v>
      </c>
      <c r="R256">
        <v>3</v>
      </c>
      <c r="S256">
        <v>0</v>
      </c>
      <c r="T256">
        <v>0</v>
      </c>
      <c r="U256" t="s">
        <v>391</v>
      </c>
      <c r="V256" t="s">
        <v>392</v>
      </c>
      <c r="W256" t="s">
        <v>392</v>
      </c>
      <c r="X256">
        <v>1</v>
      </c>
      <c r="Y256" t="s">
        <v>802</v>
      </c>
      <c r="AA256">
        <v>20.63</v>
      </c>
      <c r="AB256">
        <v>0</v>
      </c>
      <c r="AC256">
        <v>0</v>
      </c>
    </row>
    <row r="257" spans="2:29" ht="15" customHeight="1" x14ac:dyDescent="0.15">
      <c r="B257">
        <v>4</v>
      </c>
      <c r="C257" t="s">
        <v>386</v>
      </c>
      <c r="D257" t="s">
        <v>980</v>
      </c>
      <c r="E257">
        <v>1</v>
      </c>
      <c r="F257" t="s">
        <v>219</v>
      </c>
      <c r="G257" t="s">
        <v>244</v>
      </c>
      <c r="H257" t="s">
        <v>877</v>
      </c>
      <c r="I257">
        <v>25</v>
      </c>
      <c r="J257" s="21">
        <v>45828</v>
      </c>
      <c r="K257" s="21">
        <v>45828</v>
      </c>
      <c r="L257" t="s">
        <v>981</v>
      </c>
      <c r="M257" t="s">
        <v>895</v>
      </c>
      <c r="O257" t="s">
        <v>226</v>
      </c>
      <c r="P257">
        <v>0</v>
      </c>
      <c r="R257">
        <v>0.1</v>
      </c>
      <c r="S257">
        <v>0.01</v>
      </c>
      <c r="U257" t="s">
        <v>982</v>
      </c>
      <c r="V257" t="s">
        <v>982</v>
      </c>
      <c r="W257" t="s">
        <v>496</v>
      </c>
      <c r="Y257" t="s">
        <v>983</v>
      </c>
      <c r="AA257" s="22">
        <v>1239.5</v>
      </c>
      <c r="AB257">
        <v>12.4</v>
      </c>
      <c r="AC257">
        <v>0</v>
      </c>
    </row>
    <row r="258" spans="2:29" ht="15" customHeight="1" x14ac:dyDescent="0.15">
      <c r="B258">
        <v>4</v>
      </c>
      <c r="C258" t="s">
        <v>386</v>
      </c>
      <c r="D258" t="s">
        <v>980</v>
      </c>
      <c r="E258">
        <v>2</v>
      </c>
      <c r="F258" t="s">
        <v>219</v>
      </c>
      <c r="G258" t="s">
        <v>239</v>
      </c>
      <c r="H258" t="s">
        <v>984</v>
      </c>
      <c r="I258">
        <v>25</v>
      </c>
      <c r="J258" s="21">
        <v>45828</v>
      </c>
      <c r="K258" s="21">
        <v>45828</v>
      </c>
      <c r="L258" t="s">
        <v>985</v>
      </c>
      <c r="M258" t="s">
        <v>986</v>
      </c>
      <c r="O258" t="s">
        <v>220</v>
      </c>
      <c r="P258">
        <v>0</v>
      </c>
      <c r="R258">
        <v>0.5</v>
      </c>
      <c r="S258">
        <v>0.05</v>
      </c>
      <c r="U258" t="s">
        <v>982</v>
      </c>
      <c r="V258" t="s">
        <v>982</v>
      </c>
      <c r="W258" t="s">
        <v>496</v>
      </c>
      <c r="Y258" t="s">
        <v>983</v>
      </c>
      <c r="AA258">
        <v>78.540000000000006</v>
      </c>
      <c r="AB258">
        <v>3.93</v>
      </c>
      <c r="AC258">
        <v>0</v>
      </c>
    </row>
    <row r="259" spans="2:29" ht="15" customHeight="1" x14ac:dyDescent="0.15">
      <c r="B259">
        <v>4</v>
      </c>
      <c r="C259" t="s">
        <v>386</v>
      </c>
      <c r="D259" t="s">
        <v>980</v>
      </c>
      <c r="E259">
        <v>3</v>
      </c>
      <c r="F259" t="s">
        <v>219</v>
      </c>
      <c r="G259" t="s">
        <v>223</v>
      </c>
      <c r="H259" t="s">
        <v>987</v>
      </c>
      <c r="I259">
        <v>25</v>
      </c>
      <c r="J259" s="21">
        <v>45828</v>
      </c>
      <c r="K259" s="21">
        <v>45828</v>
      </c>
      <c r="L259" t="s">
        <v>988</v>
      </c>
      <c r="M259" t="s">
        <v>222</v>
      </c>
      <c r="O259" t="s">
        <v>220</v>
      </c>
      <c r="P259">
        <v>0</v>
      </c>
      <c r="R259">
        <v>4</v>
      </c>
      <c r="S259">
        <v>0.4</v>
      </c>
      <c r="U259" t="s">
        <v>982</v>
      </c>
      <c r="V259" t="s">
        <v>982</v>
      </c>
      <c r="W259" t="s">
        <v>496</v>
      </c>
      <c r="Y259" t="s">
        <v>983</v>
      </c>
      <c r="AA259">
        <v>13.47</v>
      </c>
      <c r="AB259">
        <v>5.39</v>
      </c>
      <c r="AC259">
        <v>0</v>
      </c>
    </row>
    <row r="260" spans="2:29" ht="15" customHeight="1" x14ac:dyDescent="0.15">
      <c r="B260">
        <v>4</v>
      </c>
      <c r="C260" t="s">
        <v>386</v>
      </c>
      <c r="D260" t="s">
        <v>989</v>
      </c>
      <c r="E260">
        <v>1</v>
      </c>
      <c r="F260" t="s">
        <v>219</v>
      </c>
      <c r="G260" t="s">
        <v>218</v>
      </c>
      <c r="H260" t="s">
        <v>433</v>
      </c>
      <c r="I260">
        <v>25</v>
      </c>
      <c r="J260" s="21">
        <v>45828</v>
      </c>
      <c r="K260" s="21">
        <v>45828</v>
      </c>
      <c r="L260" t="s">
        <v>990</v>
      </c>
      <c r="M260" t="s">
        <v>529</v>
      </c>
      <c r="O260" t="s">
        <v>220</v>
      </c>
      <c r="P260">
        <v>0</v>
      </c>
      <c r="Q260">
        <v>0.05</v>
      </c>
      <c r="R260">
        <v>0.18</v>
      </c>
      <c r="S260">
        <v>1.7999999999999999E-2</v>
      </c>
      <c r="T260">
        <v>0.01</v>
      </c>
      <c r="U260" t="s">
        <v>627</v>
      </c>
      <c r="V260" t="s">
        <v>628</v>
      </c>
      <c r="W260" t="s">
        <v>532</v>
      </c>
      <c r="X260">
        <v>2</v>
      </c>
      <c r="Y260" t="s">
        <v>871</v>
      </c>
      <c r="AA260">
        <v>17.48</v>
      </c>
      <c r="AB260">
        <v>0.31</v>
      </c>
      <c r="AC260">
        <v>0.16</v>
      </c>
    </row>
    <row r="261" spans="2:29" ht="15" customHeight="1" x14ac:dyDescent="0.15">
      <c r="B261">
        <v>4</v>
      </c>
      <c r="C261" t="s">
        <v>386</v>
      </c>
      <c r="D261" t="s">
        <v>989</v>
      </c>
      <c r="E261">
        <v>2</v>
      </c>
      <c r="F261" t="s">
        <v>219</v>
      </c>
      <c r="G261" t="s">
        <v>239</v>
      </c>
      <c r="H261" t="s">
        <v>604</v>
      </c>
      <c r="I261">
        <v>25</v>
      </c>
      <c r="J261" s="21">
        <v>45828</v>
      </c>
      <c r="K261" s="21">
        <v>45828</v>
      </c>
      <c r="L261" t="s">
        <v>991</v>
      </c>
      <c r="M261" t="s">
        <v>606</v>
      </c>
      <c r="O261" t="s">
        <v>220</v>
      </c>
      <c r="P261">
        <v>0</v>
      </c>
      <c r="Q261">
        <v>0.05</v>
      </c>
      <c r="R261">
        <v>0.3</v>
      </c>
      <c r="S261">
        <v>0.03</v>
      </c>
      <c r="T261">
        <v>0.02</v>
      </c>
      <c r="U261" t="s">
        <v>627</v>
      </c>
      <c r="V261" t="s">
        <v>628</v>
      </c>
      <c r="W261" t="s">
        <v>532</v>
      </c>
      <c r="X261">
        <v>2</v>
      </c>
      <c r="Y261" t="s">
        <v>871</v>
      </c>
      <c r="AA261">
        <v>96.28</v>
      </c>
      <c r="AB261">
        <v>2.89</v>
      </c>
      <c r="AC261">
        <v>1.44</v>
      </c>
    </row>
    <row r="262" spans="2:29" ht="15" customHeight="1" x14ac:dyDescent="0.15">
      <c r="B262">
        <v>4</v>
      </c>
      <c r="C262" t="s">
        <v>386</v>
      </c>
      <c r="D262" t="s">
        <v>989</v>
      </c>
      <c r="E262">
        <v>3</v>
      </c>
      <c r="F262" t="s">
        <v>219</v>
      </c>
      <c r="G262" t="s">
        <v>239</v>
      </c>
      <c r="H262" t="s">
        <v>602</v>
      </c>
      <c r="I262">
        <v>25</v>
      </c>
      <c r="J262" s="21">
        <v>45828</v>
      </c>
      <c r="K262" s="21">
        <v>45828</v>
      </c>
      <c r="L262" t="s">
        <v>992</v>
      </c>
      <c r="M262" t="s">
        <v>258</v>
      </c>
      <c r="O262" t="s">
        <v>220</v>
      </c>
      <c r="P262">
        <v>0</v>
      </c>
      <c r="Q262">
        <v>0.05</v>
      </c>
      <c r="R262">
        <v>0.5</v>
      </c>
      <c r="S262">
        <v>0.05</v>
      </c>
      <c r="T262">
        <v>0.03</v>
      </c>
      <c r="U262" t="s">
        <v>627</v>
      </c>
      <c r="V262" t="s">
        <v>628</v>
      </c>
      <c r="W262" t="s">
        <v>532</v>
      </c>
      <c r="X262">
        <v>2</v>
      </c>
      <c r="Y262" t="s">
        <v>871</v>
      </c>
      <c r="AA262">
        <v>180</v>
      </c>
      <c r="AB262">
        <v>9</v>
      </c>
      <c r="AC262">
        <v>4.5</v>
      </c>
    </row>
    <row r="263" spans="2:29" ht="15" customHeight="1" x14ac:dyDescent="0.15">
      <c r="B263">
        <v>4</v>
      </c>
      <c r="C263" t="s">
        <v>386</v>
      </c>
      <c r="D263" t="s">
        <v>989</v>
      </c>
      <c r="E263">
        <v>4</v>
      </c>
      <c r="F263" t="s">
        <v>219</v>
      </c>
      <c r="G263" t="s">
        <v>239</v>
      </c>
      <c r="H263" t="s">
        <v>517</v>
      </c>
      <c r="I263">
        <v>25</v>
      </c>
      <c r="J263" s="21">
        <v>45828</v>
      </c>
      <c r="K263" s="21">
        <v>45828</v>
      </c>
      <c r="L263" t="s">
        <v>993</v>
      </c>
      <c r="M263" t="s">
        <v>614</v>
      </c>
      <c r="O263" t="s">
        <v>220</v>
      </c>
      <c r="P263">
        <v>0</v>
      </c>
      <c r="Q263">
        <v>0.05</v>
      </c>
      <c r="R263">
        <v>0.5</v>
      </c>
      <c r="S263">
        <v>0.05</v>
      </c>
      <c r="T263">
        <v>0.03</v>
      </c>
      <c r="U263" t="s">
        <v>627</v>
      </c>
      <c r="V263" t="s">
        <v>628</v>
      </c>
      <c r="W263" t="s">
        <v>532</v>
      </c>
      <c r="X263">
        <v>2</v>
      </c>
      <c r="Y263" t="s">
        <v>871</v>
      </c>
      <c r="AA263">
        <v>65</v>
      </c>
      <c r="AB263">
        <v>3.25</v>
      </c>
      <c r="AC263">
        <v>1.63</v>
      </c>
    </row>
    <row r="264" spans="2:29" ht="15" customHeight="1" x14ac:dyDescent="0.15">
      <c r="B264">
        <v>4</v>
      </c>
      <c r="C264" t="s">
        <v>386</v>
      </c>
      <c r="D264" t="s">
        <v>994</v>
      </c>
      <c r="E264">
        <v>1</v>
      </c>
      <c r="F264" t="s">
        <v>556</v>
      </c>
      <c r="G264" t="s">
        <v>556</v>
      </c>
      <c r="H264" t="s">
        <v>557</v>
      </c>
      <c r="I264">
        <v>25</v>
      </c>
      <c r="J264" s="21">
        <v>45829</v>
      </c>
      <c r="K264" s="21">
        <v>45828</v>
      </c>
      <c r="L264" t="s">
        <v>995</v>
      </c>
      <c r="M264" t="s">
        <v>672</v>
      </c>
      <c r="O264" t="s">
        <v>226</v>
      </c>
      <c r="P264">
        <v>1</v>
      </c>
      <c r="Q264">
        <v>1</v>
      </c>
      <c r="R264">
        <v>5</v>
      </c>
      <c r="S264">
        <v>5</v>
      </c>
      <c r="T264">
        <v>5</v>
      </c>
      <c r="U264" t="s">
        <v>391</v>
      </c>
      <c r="V264" t="s">
        <v>392</v>
      </c>
      <c r="W264" t="s">
        <v>392</v>
      </c>
      <c r="X264">
        <v>1</v>
      </c>
      <c r="Y264" t="s">
        <v>977</v>
      </c>
      <c r="AA264">
        <v>69</v>
      </c>
      <c r="AB264">
        <v>345</v>
      </c>
      <c r="AC264">
        <v>345</v>
      </c>
    </row>
    <row r="265" spans="2:29" ht="15" customHeight="1" x14ac:dyDescent="0.15">
      <c r="B265">
        <v>4</v>
      </c>
      <c r="C265" t="s">
        <v>386</v>
      </c>
      <c r="D265" t="s">
        <v>996</v>
      </c>
      <c r="E265">
        <v>1</v>
      </c>
      <c r="F265" t="s">
        <v>219</v>
      </c>
      <c r="G265" t="s">
        <v>218</v>
      </c>
      <c r="H265" t="s">
        <v>433</v>
      </c>
      <c r="I265">
        <v>26</v>
      </c>
      <c r="J265" s="21">
        <v>45831</v>
      </c>
      <c r="K265" s="21">
        <v>45831</v>
      </c>
      <c r="L265" t="s">
        <v>997</v>
      </c>
      <c r="M265" t="s">
        <v>529</v>
      </c>
      <c r="O265" t="s">
        <v>220</v>
      </c>
      <c r="P265">
        <v>2</v>
      </c>
      <c r="Q265">
        <v>1</v>
      </c>
      <c r="R265">
        <v>0.18</v>
      </c>
      <c r="S265">
        <v>0.36</v>
      </c>
      <c r="T265">
        <v>0.18</v>
      </c>
      <c r="U265" t="s">
        <v>805</v>
      </c>
      <c r="V265" t="s">
        <v>806</v>
      </c>
      <c r="W265" t="s">
        <v>532</v>
      </c>
      <c r="X265">
        <v>2</v>
      </c>
      <c r="Y265" t="s">
        <v>871</v>
      </c>
      <c r="AA265">
        <v>17.48</v>
      </c>
      <c r="AB265">
        <v>6.29</v>
      </c>
      <c r="AC265">
        <v>3.15</v>
      </c>
    </row>
    <row r="266" spans="2:29" ht="15" customHeight="1" x14ac:dyDescent="0.15">
      <c r="B266">
        <v>4</v>
      </c>
      <c r="C266" t="s">
        <v>386</v>
      </c>
      <c r="D266" t="s">
        <v>996</v>
      </c>
      <c r="E266">
        <v>2</v>
      </c>
      <c r="F266" t="s">
        <v>219</v>
      </c>
      <c r="G266" t="s">
        <v>244</v>
      </c>
      <c r="H266" t="s">
        <v>591</v>
      </c>
      <c r="I266">
        <v>26</v>
      </c>
      <c r="J266" s="21">
        <v>45831</v>
      </c>
      <c r="K266" s="21">
        <v>45831</v>
      </c>
      <c r="L266" t="s">
        <v>998</v>
      </c>
      <c r="M266" t="s">
        <v>593</v>
      </c>
      <c r="O266" t="s">
        <v>220</v>
      </c>
      <c r="P266">
        <v>2</v>
      </c>
      <c r="Q266">
        <v>1</v>
      </c>
      <c r="R266">
        <v>2</v>
      </c>
      <c r="S266">
        <v>4</v>
      </c>
      <c r="T266">
        <v>2</v>
      </c>
      <c r="U266" t="s">
        <v>805</v>
      </c>
      <c r="V266" t="s">
        <v>806</v>
      </c>
      <c r="W266" t="s">
        <v>532</v>
      </c>
      <c r="X266">
        <v>2</v>
      </c>
      <c r="Y266" t="s">
        <v>871</v>
      </c>
      <c r="AA266">
        <v>37.58</v>
      </c>
      <c r="AB266">
        <v>150.30000000000001</v>
      </c>
      <c r="AC266">
        <v>75.150000000000006</v>
      </c>
    </row>
    <row r="267" spans="2:29" ht="15" customHeight="1" x14ac:dyDescent="0.15">
      <c r="B267">
        <v>4</v>
      </c>
      <c r="C267" t="s">
        <v>386</v>
      </c>
      <c r="D267" t="s">
        <v>996</v>
      </c>
      <c r="E267">
        <v>3</v>
      </c>
      <c r="F267" t="s">
        <v>219</v>
      </c>
      <c r="G267" t="s">
        <v>239</v>
      </c>
      <c r="H267" t="s">
        <v>456</v>
      </c>
      <c r="I267">
        <v>26</v>
      </c>
      <c r="J267" s="21">
        <v>45831</v>
      </c>
      <c r="K267" s="21">
        <v>45831</v>
      </c>
      <c r="L267" t="s">
        <v>999</v>
      </c>
      <c r="M267" t="s">
        <v>458</v>
      </c>
      <c r="O267" t="s">
        <v>220</v>
      </c>
      <c r="P267">
        <v>2</v>
      </c>
      <c r="Q267">
        <v>1</v>
      </c>
      <c r="R267">
        <v>3</v>
      </c>
      <c r="S267">
        <v>6</v>
      </c>
      <c r="T267">
        <v>3</v>
      </c>
      <c r="U267" t="s">
        <v>805</v>
      </c>
      <c r="V267" t="s">
        <v>806</v>
      </c>
      <c r="W267" t="s">
        <v>532</v>
      </c>
      <c r="X267">
        <v>2</v>
      </c>
      <c r="Y267" t="s">
        <v>871</v>
      </c>
      <c r="AA267">
        <v>49.99</v>
      </c>
      <c r="AB267">
        <v>299.94</v>
      </c>
      <c r="AC267">
        <v>149.97</v>
      </c>
    </row>
    <row r="268" spans="2:29" ht="15" customHeight="1" x14ac:dyDescent="0.15">
      <c r="B268">
        <v>4</v>
      </c>
      <c r="C268" t="s">
        <v>386</v>
      </c>
      <c r="D268" t="s">
        <v>1000</v>
      </c>
      <c r="E268">
        <v>1</v>
      </c>
      <c r="F268" t="s">
        <v>556</v>
      </c>
      <c r="G268" t="s">
        <v>556</v>
      </c>
      <c r="H268" t="s">
        <v>557</v>
      </c>
      <c r="I268">
        <v>25</v>
      </c>
      <c r="J268" s="21">
        <v>45829</v>
      </c>
      <c r="K268" s="21">
        <v>45829</v>
      </c>
      <c r="L268" t="s">
        <v>1001</v>
      </c>
      <c r="M268" t="s">
        <v>1002</v>
      </c>
      <c r="O268" t="s">
        <v>226</v>
      </c>
      <c r="P268">
        <v>1</v>
      </c>
      <c r="Q268">
        <v>1</v>
      </c>
      <c r="R268">
        <v>2</v>
      </c>
      <c r="S268">
        <v>2</v>
      </c>
      <c r="T268">
        <v>2</v>
      </c>
      <c r="U268" t="s">
        <v>391</v>
      </c>
      <c r="V268" t="s">
        <v>392</v>
      </c>
      <c r="W268" t="s">
        <v>392</v>
      </c>
      <c r="X268">
        <v>1</v>
      </c>
      <c r="Y268" t="s">
        <v>1003</v>
      </c>
      <c r="AA268">
        <v>46.23</v>
      </c>
      <c r="AB268">
        <v>92.46</v>
      </c>
      <c r="AC268">
        <v>92.46</v>
      </c>
    </row>
    <row r="269" spans="2:29" ht="15" customHeight="1" x14ac:dyDescent="0.15">
      <c r="B269">
        <v>4</v>
      </c>
      <c r="C269" t="s">
        <v>386</v>
      </c>
      <c r="D269" t="s">
        <v>1000</v>
      </c>
      <c r="E269">
        <v>2</v>
      </c>
      <c r="F269" t="s">
        <v>556</v>
      </c>
      <c r="G269" t="s">
        <v>556</v>
      </c>
      <c r="H269" t="s">
        <v>557</v>
      </c>
      <c r="I269">
        <v>25</v>
      </c>
      <c r="J269" s="21">
        <v>45829</v>
      </c>
      <c r="K269" s="21">
        <v>45829</v>
      </c>
      <c r="L269" t="s">
        <v>1004</v>
      </c>
      <c r="M269" t="s">
        <v>672</v>
      </c>
      <c r="O269" t="s">
        <v>226</v>
      </c>
      <c r="P269">
        <v>1</v>
      </c>
      <c r="Q269">
        <v>1</v>
      </c>
      <c r="R269">
        <v>2</v>
      </c>
      <c r="S269">
        <v>2</v>
      </c>
      <c r="T269">
        <v>2</v>
      </c>
      <c r="U269" t="s">
        <v>391</v>
      </c>
      <c r="V269" t="s">
        <v>392</v>
      </c>
      <c r="W269" t="s">
        <v>392</v>
      </c>
      <c r="X269">
        <v>1</v>
      </c>
      <c r="Y269" t="s">
        <v>1003</v>
      </c>
      <c r="AA269">
        <v>69</v>
      </c>
      <c r="AB269">
        <v>138</v>
      </c>
      <c r="AC269">
        <v>138</v>
      </c>
    </row>
    <row r="270" spans="2:29" ht="15" customHeight="1" x14ac:dyDescent="0.15">
      <c r="B270">
        <v>4</v>
      </c>
      <c r="C270" t="s">
        <v>386</v>
      </c>
      <c r="D270" t="s">
        <v>1005</v>
      </c>
      <c r="E270">
        <v>1</v>
      </c>
      <c r="F270" t="s">
        <v>556</v>
      </c>
      <c r="G270" t="s">
        <v>556</v>
      </c>
      <c r="H270" t="s">
        <v>557</v>
      </c>
      <c r="I270">
        <v>26</v>
      </c>
      <c r="J270" s="21">
        <v>45831</v>
      </c>
      <c r="K270" s="21">
        <v>45831</v>
      </c>
      <c r="L270" t="s">
        <v>1006</v>
      </c>
      <c r="M270" t="s">
        <v>702</v>
      </c>
      <c r="O270" t="s">
        <v>226</v>
      </c>
      <c r="P270">
        <v>1</v>
      </c>
      <c r="Q270">
        <v>1</v>
      </c>
      <c r="R270">
        <v>28</v>
      </c>
      <c r="S270">
        <v>28</v>
      </c>
      <c r="T270">
        <v>28</v>
      </c>
      <c r="U270" t="s">
        <v>391</v>
      </c>
      <c r="V270" t="s">
        <v>392</v>
      </c>
      <c r="W270" t="s">
        <v>392</v>
      </c>
      <c r="X270">
        <v>1</v>
      </c>
      <c r="Y270" t="s">
        <v>1007</v>
      </c>
      <c r="AA270">
        <v>20.63</v>
      </c>
      <c r="AB270">
        <v>577.5</v>
      </c>
      <c r="AC270">
        <v>577.5</v>
      </c>
    </row>
    <row r="271" spans="2:29" ht="15" customHeight="1" x14ac:dyDescent="0.15">
      <c r="B271">
        <v>4</v>
      </c>
      <c r="C271" t="s">
        <v>386</v>
      </c>
      <c r="D271" t="s">
        <v>1008</v>
      </c>
      <c r="E271">
        <v>1</v>
      </c>
      <c r="F271" t="s">
        <v>556</v>
      </c>
      <c r="G271" t="s">
        <v>556</v>
      </c>
      <c r="H271" t="s">
        <v>557</v>
      </c>
      <c r="I271">
        <v>26</v>
      </c>
      <c r="J271" s="21">
        <v>45831</v>
      </c>
      <c r="K271" s="21">
        <v>45831</v>
      </c>
      <c r="L271" t="s">
        <v>1009</v>
      </c>
      <c r="M271" t="s">
        <v>702</v>
      </c>
      <c r="O271" t="s">
        <v>226</v>
      </c>
      <c r="P271">
        <v>1</v>
      </c>
      <c r="R271">
        <v>28</v>
      </c>
      <c r="S271">
        <v>28</v>
      </c>
      <c r="U271" t="s">
        <v>391</v>
      </c>
      <c r="V271" t="s">
        <v>392</v>
      </c>
      <c r="W271" t="s">
        <v>392</v>
      </c>
      <c r="Y271" t="s">
        <v>1010</v>
      </c>
      <c r="AA271">
        <v>20.63</v>
      </c>
      <c r="AB271">
        <v>577.5</v>
      </c>
      <c r="AC271">
        <v>0</v>
      </c>
    </row>
    <row r="272" spans="2:29" ht="15" customHeight="1" x14ac:dyDescent="0.15">
      <c r="B272">
        <v>4</v>
      </c>
      <c r="C272" t="s">
        <v>386</v>
      </c>
      <c r="D272" t="s">
        <v>1011</v>
      </c>
      <c r="E272">
        <v>1</v>
      </c>
      <c r="F272" t="s">
        <v>556</v>
      </c>
      <c r="G272" t="s">
        <v>556</v>
      </c>
      <c r="H272" t="s">
        <v>557</v>
      </c>
      <c r="I272">
        <v>26</v>
      </c>
      <c r="J272" s="21">
        <v>45831</v>
      </c>
      <c r="K272" s="21">
        <v>45831</v>
      </c>
      <c r="L272" t="s">
        <v>1012</v>
      </c>
      <c r="M272" t="s">
        <v>672</v>
      </c>
      <c r="O272" t="s">
        <v>226</v>
      </c>
      <c r="P272">
        <v>2</v>
      </c>
      <c r="R272">
        <v>23</v>
      </c>
      <c r="S272">
        <v>46</v>
      </c>
      <c r="U272" t="s">
        <v>391</v>
      </c>
      <c r="V272" t="s">
        <v>392</v>
      </c>
      <c r="W272" t="s">
        <v>392</v>
      </c>
      <c r="Y272" t="s">
        <v>1013</v>
      </c>
      <c r="AA272">
        <v>69</v>
      </c>
      <c r="AB272" s="22">
        <v>3174</v>
      </c>
      <c r="AC272">
        <v>0</v>
      </c>
    </row>
    <row r="273" spans="2:29" ht="15" customHeight="1" x14ac:dyDescent="0.15">
      <c r="B273">
        <v>4</v>
      </c>
      <c r="C273" t="s">
        <v>386</v>
      </c>
      <c r="D273" t="s">
        <v>1014</v>
      </c>
      <c r="E273">
        <v>1</v>
      </c>
      <c r="F273" t="s">
        <v>219</v>
      </c>
      <c r="G273" t="s">
        <v>218</v>
      </c>
      <c r="H273" t="s">
        <v>433</v>
      </c>
      <c r="I273">
        <v>26</v>
      </c>
      <c r="J273" s="21">
        <v>45831</v>
      </c>
      <c r="K273" s="21">
        <v>45831</v>
      </c>
      <c r="L273" t="s">
        <v>1015</v>
      </c>
      <c r="M273" t="s">
        <v>529</v>
      </c>
      <c r="O273" t="s">
        <v>220</v>
      </c>
      <c r="P273">
        <v>2</v>
      </c>
      <c r="R273">
        <v>0.1</v>
      </c>
      <c r="S273">
        <v>0.2</v>
      </c>
      <c r="U273" t="s">
        <v>391</v>
      </c>
      <c r="V273" t="s">
        <v>392</v>
      </c>
      <c r="W273" t="s">
        <v>392</v>
      </c>
      <c r="Y273" t="s">
        <v>1016</v>
      </c>
      <c r="AA273">
        <v>17.48</v>
      </c>
      <c r="AB273">
        <v>3.5</v>
      </c>
      <c r="AC273">
        <v>0</v>
      </c>
    </row>
    <row r="274" spans="2:29" ht="15" customHeight="1" x14ac:dyDescent="0.15">
      <c r="B274">
        <v>4</v>
      </c>
      <c r="C274" t="s">
        <v>386</v>
      </c>
      <c r="D274" t="s">
        <v>1014</v>
      </c>
      <c r="E274">
        <v>2</v>
      </c>
      <c r="F274" t="s">
        <v>219</v>
      </c>
      <c r="G274" t="s">
        <v>218</v>
      </c>
      <c r="H274" t="s">
        <v>400</v>
      </c>
      <c r="I274">
        <v>26</v>
      </c>
      <c r="J274" s="21">
        <v>45831</v>
      </c>
      <c r="K274" s="21">
        <v>45831</v>
      </c>
      <c r="L274" t="s">
        <v>1017</v>
      </c>
      <c r="M274" t="s">
        <v>402</v>
      </c>
      <c r="O274" t="s">
        <v>226</v>
      </c>
      <c r="P274">
        <v>2</v>
      </c>
      <c r="R274">
        <v>0.1</v>
      </c>
      <c r="S274">
        <v>0.2</v>
      </c>
      <c r="U274" t="s">
        <v>391</v>
      </c>
      <c r="V274" t="s">
        <v>392</v>
      </c>
      <c r="W274" t="s">
        <v>392</v>
      </c>
      <c r="Y274" t="s">
        <v>1016</v>
      </c>
      <c r="AA274">
        <v>217</v>
      </c>
      <c r="AB274">
        <v>43.4</v>
      </c>
      <c r="AC274">
        <v>0</v>
      </c>
    </row>
    <row r="275" spans="2:29" ht="15" customHeight="1" x14ac:dyDescent="0.15">
      <c r="B275">
        <v>4</v>
      </c>
      <c r="C275" t="s">
        <v>386</v>
      </c>
      <c r="D275" t="s">
        <v>1014</v>
      </c>
      <c r="E275">
        <v>3</v>
      </c>
      <c r="F275" t="s">
        <v>219</v>
      </c>
      <c r="G275" t="s">
        <v>218</v>
      </c>
      <c r="H275" t="s">
        <v>1018</v>
      </c>
      <c r="I275">
        <v>26</v>
      </c>
      <c r="J275" s="21">
        <v>45831</v>
      </c>
      <c r="K275" s="21">
        <v>45831</v>
      </c>
      <c r="L275" t="s">
        <v>1019</v>
      </c>
      <c r="M275" t="s">
        <v>1020</v>
      </c>
      <c r="O275" t="s">
        <v>220</v>
      </c>
      <c r="P275">
        <v>2</v>
      </c>
      <c r="R275">
        <v>0.15</v>
      </c>
      <c r="S275">
        <v>0.3</v>
      </c>
      <c r="U275" t="s">
        <v>391</v>
      </c>
      <c r="V275" t="s">
        <v>392</v>
      </c>
      <c r="W275" t="s">
        <v>392</v>
      </c>
      <c r="Y275" t="s">
        <v>1016</v>
      </c>
      <c r="AA275">
        <v>85.01</v>
      </c>
      <c r="AB275">
        <v>25.5</v>
      </c>
      <c r="AC275">
        <v>0</v>
      </c>
    </row>
    <row r="276" spans="2:29" ht="15" customHeight="1" x14ac:dyDescent="0.15">
      <c r="B276">
        <v>4</v>
      </c>
      <c r="C276" t="s">
        <v>386</v>
      </c>
      <c r="D276" t="s">
        <v>1014</v>
      </c>
      <c r="E276">
        <v>4</v>
      </c>
      <c r="F276" t="s">
        <v>219</v>
      </c>
      <c r="G276" t="s">
        <v>239</v>
      </c>
      <c r="H276" t="s">
        <v>420</v>
      </c>
      <c r="I276">
        <v>26</v>
      </c>
      <c r="J276" s="21">
        <v>45831</v>
      </c>
      <c r="K276" s="21">
        <v>45831</v>
      </c>
      <c r="L276" t="s">
        <v>1021</v>
      </c>
      <c r="M276" t="s">
        <v>764</v>
      </c>
      <c r="O276" t="s">
        <v>220</v>
      </c>
      <c r="P276">
        <v>2</v>
      </c>
      <c r="R276">
        <v>0.5</v>
      </c>
      <c r="S276">
        <v>1</v>
      </c>
      <c r="U276" t="s">
        <v>391</v>
      </c>
      <c r="V276" t="s">
        <v>392</v>
      </c>
      <c r="W276" t="s">
        <v>392</v>
      </c>
      <c r="Y276" t="s">
        <v>1016</v>
      </c>
      <c r="AA276">
        <v>115.5</v>
      </c>
      <c r="AB276">
        <v>115.5</v>
      </c>
      <c r="AC276">
        <v>0</v>
      </c>
    </row>
    <row r="277" spans="2:29" ht="15" customHeight="1" x14ac:dyDescent="0.15">
      <c r="B277">
        <v>4</v>
      </c>
      <c r="C277" t="s">
        <v>386</v>
      </c>
      <c r="D277" t="s">
        <v>1014</v>
      </c>
      <c r="E277">
        <v>5</v>
      </c>
      <c r="F277" t="s">
        <v>219</v>
      </c>
      <c r="G277" t="s">
        <v>218</v>
      </c>
      <c r="H277" t="s">
        <v>911</v>
      </c>
      <c r="I277">
        <v>26</v>
      </c>
      <c r="J277" s="21">
        <v>45831</v>
      </c>
      <c r="K277" s="21">
        <v>45831</v>
      </c>
      <c r="L277" t="s">
        <v>1022</v>
      </c>
      <c r="M277" t="s">
        <v>913</v>
      </c>
      <c r="O277" t="s">
        <v>220</v>
      </c>
      <c r="P277">
        <v>2</v>
      </c>
      <c r="R277">
        <v>0.25</v>
      </c>
      <c r="S277">
        <v>0.5</v>
      </c>
      <c r="U277" t="s">
        <v>391</v>
      </c>
      <c r="V277" t="s">
        <v>392</v>
      </c>
      <c r="W277" t="s">
        <v>392</v>
      </c>
      <c r="Y277" t="s">
        <v>1016</v>
      </c>
      <c r="AA277">
        <v>91.24</v>
      </c>
      <c r="AB277">
        <v>45.62</v>
      </c>
      <c r="AC277">
        <v>0</v>
      </c>
    </row>
    <row r="278" spans="2:29" ht="15" customHeight="1" x14ac:dyDescent="0.15">
      <c r="B278">
        <v>4</v>
      </c>
      <c r="C278" t="s">
        <v>386</v>
      </c>
      <c r="D278" t="s">
        <v>1023</v>
      </c>
      <c r="E278">
        <v>1</v>
      </c>
      <c r="F278" t="s">
        <v>219</v>
      </c>
      <c r="G278" t="s">
        <v>218</v>
      </c>
      <c r="H278" t="s">
        <v>433</v>
      </c>
      <c r="I278">
        <v>26</v>
      </c>
      <c r="J278" s="21">
        <v>45831</v>
      </c>
      <c r="K278" s="21">
        <v>45831</v>
      </c>
      <c r="L278" t="s">
        <v>1024</v>
      </c>
      <c r="M278" t="s">
        <v>529</v>
      </c>
      <c r="O278" t="s">
        <v>220</v>
      </c>
      <c r="P278">
        <v>3</v>
      </c>
      <c r="R278">
        <v>0.1</v>
      </c>
      <c r="S278">
        <v>0.25</v>
      </c>
      <c r="U278" t="s">
        <v>391</v>
      </c>
      <c r="V278" t="s">
        <v>392</v>
      </c>
      <c r="W278" t="s">
        <v>392</v>
      </c>
      <c r="Y278" t="s">
        <v>1016</v>
      </c>
      <c r="AA278">
        <v>17.48</v>
      </c>
      <c r="AB278">
        <v>4.37</v>
      </c>
      <c r="AC278">
        <v>0</v>
      </c>
    </row>
    <row r="279" spans="2:29" ht="15" customHeight="1" x14ac:dyDescent="0.15">
      <c r="B279">
        <v>4</v>
      </c>
      <c r="C279" t="s">
        <v>386</v>
      </c>
      <c r="D279" t="s">
        <v>1023</v>
      </c>
      <c r="E279">
        <v>2</v>
      </c>
      <c r="F279" t="s">
        <v>219</v>
      </c>
      <c r="G279" t="s">
        <v>439</v>
      </c>
      <c r="H279" t="s">
        <v>945</v>
      </c>
      <c r="I279">
        <v>26</v>
      </c>
      <c r="J279" s="21">
        <v>45831</v>
      </c>
      <c r="K279" s="21">
        <v>45831</v>
      </c>
      <c r="L279" t="s">
        <v>1025</v>
      </c>
      <c r="M279" t="s">
        <v>947</v>
      </c>
      <c r="O279" t="s">
        <v>220</v>
      </c>
      <c r="P279">
        <v>3</v>
      </c>
      <c r="R279">
        <v>0.25</v>
      </c>
      <c r="S279">
        <v>0.625</v>
      </c>
      <c r="U279" t="s">
        <v>391</v>
      </c>
      <c r="V279" t="s">
        <v>392</v>
      </c>
      <c r="W279" t="s">
        <v>392</v>
      </c>
      <c r="Y279" t="s">
        <v>1016</v>
      </c>
      <c r="AA279">
        <v>125</v>
      </c>
      <c r="AB279">
        <v>78.13</v>
      </c>
      <c r="AC279">
        <v>0</v>
      </c>
    </row>
    <row r="280" spans="2:29" ht="15" customHeight="1" x14ac:dyDescent="0.15">
      <c r="B280">
        <v>4</v>
      </c>
      <c r="C280" t="s">
        <v>386</v>
      </c>
      <c r="D280" t="s">
        <v>1023</v>
      </c>
      <c r="E280">
        <v>3</v>
      </c>
      <c r="F280" t="s">
        <v>219</v>
      </c>
      <c r="G280" t="s">
        <v>218</v>
      </c>
      <c r="H280" t="s">
        <v>908</v>
      </c>
      <c r="I280">
        <v>26</v>
      </c>
      <c r="J280" s="21">
        <v>45831</v>
      </c>
      <c r="K280" s="21">
        <v>45831</v>
      </c>
      <c r="L280" t="s">
        <v>1026</v>
      </c>
      <c r="M280" t="s">
        <v>1027</v>
      </c>
      <c r="O280" t="s">
        <v>220</v>
      </c>
      <c r="P280">
        <v>3</v>
      </c>
      <c r="R280">
        <v>0.15</v>
      </c>
      <c r="S280">
        <v>0.375</v>
      </c>
      <c r="U280" t="s">
        <v>391</v>
      </c>
      <c r="V280" t="s">
        <v>392</v>
      </c>
      <c r="W280" t="s">
        <v>392</v>
      </c>
      <c r="Y280" t="s">
        <v>1016</v>
      </c>
      <c r="AA280">
        <v>31.3</v>
      </c>
      <c r="AB280">
        <v>11.74</v>
      </c>
      <c r="AC280">
        <v>0</v>
      </c>
    </row>
    <row r="281" spans="2:29" ht="15" customHeight="1" x14ac:dyDescent="0.15">
      <c r="B281">
        <v>4</v>
      </c>
      <c r="C281" t="s">
        <v>386</v>
      </c>
      <c r="D281" t="s">
        <v>1028</v>
      </c>
      <c r="E281">
        <v>1</v>
      </c>
      <c r="F281" t="s">
        <v>219</v>
      </c>
      <c r="G281" t="s">
        <v>231</v>
      </c>
      <c r="H281" t="s">
        <v>433</v>
      </c>
      <c r="I281">
        <v>26</v>
      </c>
      <c r="J281" s="21">
        <v>45834</v>
      </c>
      <c r="K281" s="21">
        <v>45835</v>
      </c>
      <c r="L281" t="s">
        <v>1029</v>
      </c>
      <c r="M281" t="s">
        <v>1030</v>
      </c>
      <c r="N281" s="22">
        <v>45835</v>
      </c>
      <c r="O281" t="s">
        <v>220</v>
      </c>
      <c r="P281">
        <v>4</v>
      </c>
      <c r="Q281">
        <v>1.05</v>
      </c>
      <c r="R281">
        <v>0.12</v>
      </c>
      <c r="S281">
        <v>0.48</v>
      </c>
      <c r="T281">
        <v>0.13</v>
      </c>
      <c r="U281" t="s">
        <v>530</v>
      </c>
      <c r="V281" t="s">
        <v>531</v>
      </c>
      <c r="W281" t="s">
        <v>532</v>
      </c>
      <c r="X281">
        <v>3.8</v>
      </c>
      <c r="Y281" t="s">
        <v>860</v>
      </c>
      <c r="AA281">
        <v>21.83</v>
      </c>
      <c r="AB281">
        <v>10.48</v>
      </c>
      <c r="AC281">
        <v>2.76</v>
      </c>
    </row>
    <row r="282" spans="2:29" ht="15" customHeight="1" x14ac:dyDescent="0.15">
      <c r="B282">
        <v>4</v>
      </c>
      <c r="C282" t="s">
        <v>386</v>
      </c>
      <c r="D282" t="s">
        <v>1028</v>
      </c>
      <c r="E282">
        <v>2</v>
      </c>
      <c r="F282" t="s">
        <v>219</v>
      </c>
      <c r="G282" t="s">
        <v>239</v>
      </c>
      <c r="H282" t="s">
        <v>861</v>
      </c>
      <c r="I282">
        <v>26</v>
      </c>
      <c r="J282" s="21">
        <v>45834</v>
      </c>
      <c r="K282" s="21">
        <v>45835</v>
      </c>
      <c r="L282" t="s">
        <v>1031</v>
      </c>
      <c r="M282" t="s">
        <v>863</v>
      </c>
      <c r="N282" s="22">
        <v>45835</v>
      </c>
      <c r="O282" t="s">
        <v>220</v>
      </c>
      <c r="P282">
        <v>4</v>
      </c>
      <c r="Q282">
        <v>1.05</v>
      </c>
      <c r="R282">
        <v>2</v>
      </c>
      <c r="S282">
        <v>8</v>
      </c>
      <c r="T282">
        <v>2.11</v>
      </c>
      <c r="U282" t="s">
        <v>530</v>
      </c>
      <c r="V282" t="s">
        <v>531</v>
      </c>
      <c r="W282" t="s">
        <v>532</v>
      </c>
      <c r="X282">
        <v>3.8</v>
      </c>
      <c r="Y282" t="s">
        <v>860</v>
      </c>
      <c r="AA282">
        <v>29.14</v>
      </c>
      <c r="AB282">
        <v>233.12</v>
      </c>
      <c r="AC282">
        <v>61.35</v>
      </c>
    </row>
    <row r="283" spans="2:29" ht="15" customHeight="1" x14ac:dyDescent="0.15">
      <c r="B283">
        <v>4</v>
      </c>
      <c r="C283" t="s">
        <v>386</v>
      </c>
      <c r="D283" t="s">
        <v>1028</v>
      </c>
      <c r="E283">
        <v>3</v>
      </c>
      <c r="F283" t="s">
        <v>219</v>
      </c>
      <c r="G283" t="s">
        <v>218</v>
      </c>
      <c r="H283" t="s">
        <v>864</v>
      </c>
      <c r="I283">
        <v>26</v>
      </c>
      <c r="J283" s="21">
        <v>45834</v>
      </c>
      <c r="K283" s="21">
        <v>45835</v>
      </c>
      <c r="L283" t="s">
        <v>1032</v>
      </c>
      <c r="M283" t="s">
        <v>866</v>
      </c>
      <c r="N283" s="22">
        <v>45835</v>
      </c>
      <c r="O283" t="s">
        <v>226</v>
      </c>
      <c r="P283">
        <v>4</v>
      </c>
      <c r="Q283">
        <v>1.05</v>
      </c>
      <c r="R283">
        <v>0.2</v>
      </c>
      <c r="S283">
        <v>0.8</v>
      </c>
      <c r="T283">
        <v>0.21</v>
      </c>
      <c r="U283" t="s">
        <v>530</v>
      </c>
      <c r="V283" t="s">
        <v>531</v>
      </c>
      <c r="W283" t="s">
        <v>532</v>
      </c>
      <c r="X283">
        <v>3.8</v>
      </c>
      <c r="Y283" t="s">
        <v>860</v>
      </c>
      <c r="AA283">
        <v>70.3</v>
      </c>
      <c r="AB283">
        <v>56.24</v>
      </c>
      <c r="AC283">
        <v>14.8</v>
      </c>
    </row>
    <row r="284" spans="2:29" ht="15" customHeight="1" x14ac:dyDescent="0.15">
      <c r="B284">
        <v>4</v>
      </c>
      <c r="C284" t="s">
        <v>386</v>
      </c>
      <c r="D284" t="s">
        <v>1028</v>
      </c>
      <c r="E284">
        <v>4</v>
      </c>
      <c r="F284" t="s">
        <v>219</v>
      </c>
      <c r="G284" t="s">
        <v>218</v>
      </c>
      <c r="H284" t="s">
        <v>493</v>
      </c>
      <c r="I284">
        <v>26</v>
      </c>
      <c r="J284" s="21">
        <v>45834</v>
      </c>
      <c r="K284" s="21">
        <v>45835</v>
      </c>
      <c r="L284" t="s">
        <v>1033</v>
      </c>
      <c r="M284" t="s">
        <v>576</v>
      </c>
      <c r="N284" s="22">
        <v>45835</v>
      </c>
      <c r="O284" t="s">
        <v>220</v>
      </c>
      <c r="P284">
        <v>4</v>
      </c>
      <c r="Q284">
        <v>1.05</v>
      </c>
      <c r="R284">
        <v>0.2</v>
      </c>
      <c r="S284">
        <v>0.8</v>
      </c>
      <c r="T284">
        <v>0.21</v>
      </c>
      <c r="U284" t="s">
        <v>530</v>
      </c>
      <c r="V284" t="s">
        <v>531</v>
      </c>
      <c r="W284" t="s">
        <v>532</v>
      </c>
      <c r="X284">
        <v>3.8</v>
      </c>
      <c r="Y284" t="s">
        <v>860</v>
      </c>
      <c r="AA284">
        <v>101.77</v>
      </c>
      <c r="AB284">
        <v>81.42</v>
      </c>
      <c r="AC284">
        <v>21.43</v>
      </c>
    </row>
    <row r="285" spans="2:29" ht="15" customHeight="1" x14ac:dyDescent="0.15">
      <c r="B285">
        <v>4</v>
      </c>
      <c r="C285" t="s">
        <v>386</v>
      </c>
      <c r="D285" t="s">
        <v>1028</v>
      </c>
      <c r="E285">
        <v>5</v>
      </c>
      <c r="F285" t="s">
        <v>219</v>
      </c>
      <c r="G285" t="s">
        <v>218</v>
      </c>
      <c r="H285" t="s">
        <v>581</v>
      </c>
      <c r="I285">
        <v>26</v>
      </c>
      <c r="J285" s="21">
        <v>45834</v>
      </c>
      <c r="K285" s="21">
        <v>45835</v>
      </c>
      <c r="L285" t="s">
        <v>1034</v>
      </c>
      <c r="M285" t="s">
        <v>583</v>
      </c>
      <c r="N285" s="22">
        <v>45835</v>
      </c>
      <c r="O285" t="s">
        <v>220</v>
      </c>
      <c r="P285">
        <v>4</v>
      </c>
      <c r="Q285">
        <v>1.05</v>
      </c>
      <c r="R285">
        <v>0.03</v>
      </c>
      <c r="S285">
        <v>0.12</v>
      </c>
      <c r="T285">
        <v>0.03</v>
      </c>
      <c r="U285" t="s">
        <v>530</v>
      </c>
      <c r="V285" t="s">
        <v>531</v>
      </c>
      <c r="W285" t="s">
        <v>532</v>
      </c>
      <c r="X285">
        <v>3.8</v>
      </c>
      <c r="Y285" t="s">
        <v>860</v>
      </c>
      <c r="AA285">
        <v>76</v>
      </c>
      <c r="AB285">
        <v>9.1199999999999992</v>
      </c>
      <c r="AC285">
        <v>2.4</v>
      </c>
    </row>
    <row r="286" spans="2:29" ht="15" customHeight="1" x14ac:dyDescent="0.15">
      <c r="B286">
        <v>4</v>
      </c>
      <c r="C286" t="s">
        <v>386</v>
      </c>
      <c r="D286" t="s">
        <v>1035</v>
      </c>
      <c r="E286">
        <v>1</v>
      </c>
      <c r="F286" t="s">
        <v>416</v>
      </c>
      <c r="G286" t="s">
        <v>1036</v>
      </c>
      <c r="H286" t="s">
        <v>562</v>
      </c>
      <c r="I286">
        <v>26</v>
      </c>
      <c r="J286" s="21">
        <v>45834</v>
      </c>
      <c r="K286" s="21">
        <v>45834</v>
      </c>
      <c r="L286" t="s">
        <v>1037</v>
      </c>
      <c r="M286" t="s">
        <v>1038</v>
      </c>
      <c r="O286" t="s">
        <v>226</v>
      </c>
      <c r="P286">
        <v>1</v>
      </c>
      <c r="Q286">
        <v>1</v>
      </c>
      <c r="R286">
        <v>309.5</v>
      </c>
      <c r="S286">
        <v>309.5</v>
      </c>
      <c r="T286">
        <v>309.5</v>
      </c>
      <c r="U286" t="s">
        <v>391</v>
      </c>
      <c r="V286" t="s">
        <v>392</v>
      </c>
      <c r="W286" t="s">
        <v>392</v>
      </c>
      <c r="X286">
        <v>1</v>
      </c>
      <c r="Y286" t="s">
        <v>750</v>
      </c>
      <c r="AA286">
        <v>6.7</v>
      </c>
      <c r="AB286" s="22">
        <v>2073.65</v>
      </c>
      <c r="AC286" s="22">
        <v>2073.65</v>
      </c>
    </row>
    <row r="287" spans="2:29" ht="15" customHeight="1" x14ac:dyDescent="0.15">
      <c r="B287">
        <v>4</v>
      </c>
      <c r="C287" t="s">
        <v>386</v>
      </c>
      <c r="D287" t="s">
        <v>1039</v>
      </c>
      <c r="E287">
        <v>1</v>
      </c>
      <c r="F287" t="s">
        <v>219</v>
      </c>
      <c r="G287" t="s">
        <v>231</v>
      </c>
      <c r="H287" t="s">
        <v>433</v>
      </c>
      <c r="I287">
        <v>26</v>
      </c>
      <c r="J287" s="21">
        <v>45834</v>
      </c>
      <c r="K287" s="21">
        <v>45834</v>
      </c>
      <c r="L287" t="s">
        <v>1040</v>
      </c>
      <c r="M287" t="s">
        <v>1030</v>
      </c>
      <c r="O287" t="s">
        <v>220</v>
      </c>
      <c r="P287">
        <v>1</v>
      </c>
      <c r="R287">
        <v>3.5000000000000003E-2</v>
      </c>
      <c r="S287">
        <v>3.5000000000000003E-2</v>
      </c>
      <c r="U287" t="s">
        <v>391</v>
      </c>
      <c r="V287" t="s">
        <v>392</v>
      </c>
      <c r="W287" t="s">
        <v>392</v>
      </c>
      <c r="AA287">
        <v>21.83</v>
      </c>
      <c r="AB287">
        <v>0.76</v>
      </c>
      <c r="AC287">
        <v>0</v>
      </c>
    </row>
    <row r="288" spans="2:29" ht="15" customHeight="1" x14ac:dyDescent="0.15">
      <c r="B288">
        <v>4</v>
      </c>
      <c r="C288" t="s">
        <v>386</v>
      </c>
      <c r="D288" t="s">
        <v>1039</v>
      </c>
      <c r="E288">
        <v>2</v>
      </c>
      <c r="F288" t="s">
        <v>219</v>
      </c>
      <c r="G288" t="s">
        <v>439</v>
      </c>
      <c r="I288">
        <v>26</v>
      </c>
      <c r="J288" s="21">
        <v>45834</v>
      </c>
      <c r="K288" s="21">
        <v>45834</v>
      </c>
      <c r="L288" t="s">
        <v>1041</v>
      </c>
      <c r="M288" t="s">
        <v>967</v>
      </c>
      <c r="O288" t="s">
        <v>220</v>
      </c>
      <c r="P288">
        <v>1</v>
      </c>
      <c r="R288">
        <v>0.6</v>
      </c>
      <c r="S288">
        <v>0.6</v>
      </c>
      <c r="U288" t="s">
        <v>391</v>
      </c>
      <c r="V288" t="s">
        <v>392</v>
      </c>
      <c r="W288" t="s">
        <v>392</v>
      </c>
      <c r="AA288">
        <v>0</v>
      </c>
      <c r="AB288">
        <v>0</v>
      </c>
      <c r="AC288">
        <v>0</v>
      </c>
    </row>
    <row r="289" spans="2:29" ht="15" customHeight="1" x14ac:dyDescent="0.15">
      <c r="B289">
        <v>4</v>
      </c>
      <c r="C289" t="s">
        <v>386</v>
      </c>
      <c r="D289" t="s">
        <v>1039</v>
      </c>
      <c r="E289">
        <v>3</v>
      </c>
      <c r="F289" t="s">
        <v>219</v>
      </c>
      <c r="G289" t="s">
        <v>439</v>
      </c>
      <c r="H289" t="s">
        <v>963</v>
      </c>
      <c r="I289">
        <v>26</v>
      </c>
      <c r="J289" s="21">
        <v>45834</v>
      </c>
      <c r="K289" s="21">
        <v>45834</v>
      </c>
      <c r="L289" t="s">
        <v>1042</v>
      </c>
      <c r="M289" t="s">
        <v>965</v>
      </c>
      <c r="O289" t="s">
        <v>220</v>
      </c>
      <c r="P289">
        <v>1</v>
      </c>
      <c r="R289">
        <v>0.4</v>
      </c>
      <c r="S289">
        <v>0.4</v>
      </c>
      <c r="U289" t="s">
        <v>391</v>
      </c>
      <c r="V289" t="s">
        <v>392</v>
      </c>
      <c r="W289" t="s">
        <v>392</v>
      </c>
      <c r="AA289">
        <v>0</v>
      </c>
      <c r="AB289">
        <v>0</v>
      </c>
      <c r="AC289">
        <v>0</v>
      </c>
    </row>
    <row r="290" spans="2:29" ht="15" hidden="1" customHeight="1" x14ac:dyDescent="0.15">
      <c r="B290">
        <v>4</v>
      </c>
      <c r="C290" t="s">
        <v>386</v>
      </c>
      <c r="D290" t="s">
        <v>1043</v>
      </c>
      <c r="E290">
        <v>1</v>
      </c>
      <c r="F290" t="s">
        <v>416</v>
      </c>
      <c r="G290" t="s">
        <v>316</v>
      </c>
      <c r="H290" t="s">
        <v>562</v>
      </c>
      <c r="I290">
        <v>26</v>
      </c>
      <c r="J290" s="21">
        <v>45835</v>
      </c>
      <c r="K290" s="21">
        <v>45835</v>
      </c>
      <c r="L290" t="s">
        <v>1044</v>
      </c>
      <c r="M290" t="s">
        <v>564</v>
      </c>
      <c r="O290" t="s">
        <v>1045</v>
      </c>
      <c r="P290">
        <v>4</v>
      </c>
      <c r="R290">
        <v>10</v>
      </c>
      <c r="S290">
        <v>40</v>
      </c>
      <c r="U290" t="s">
        <v>1046</v>
      </c>
      <c r="V290" t="s">
        <v>496</v>
      </c>
      <c r="W290" t="s">
        <v>496</v>
      </c>
      <c r="Y290" t="s">
        <v>1047</v>
      </c>
      <c r="AA290">
        <v>1.02</v>
      </c>
      <c r="AB290">
        <v>40.799999999999997</v>
      </c>
      <c r="AC290">
        <v>0</v>
      </c>
    </row>
    <row r="291" spans="2:29" ht="15" customHeight="1" x14ac:dyDescent="0.15">
      <c r="B291">
        <v>4</v>
      </c>
      <c r="C291" t="s">
        <v>386</v>
      </c>
      <c r="D291" t="s">
        <v>1048</v>
      </c>
      <c r="E291">
        <v>1</v>
      </c>
      <c r="F291" t="s">
        <v>219</v>
      </c>
      <c r="G291" t="s">
        <v>231</v>
      </c>
      <c r="H291" t="s">
        <v>433</v>
      </c>
      <c r="I291">
        <v>26</v>
      </c>
      <c r="J291" s="21">
        <v>45836</v>
      </c>
      <c r="K291" s="21">
        <v>45840</v>
      </c>
      <c r="L291" t="s">
        <v>1049</v>
      </c>
      <c r="M291" t="s">
        <v>1030</v>
      </c>
      <c r="O291" t="s">
        <v>220</v>
      </c>
      <c r="P291">
        <v>3</v>
      </c>
      <c r="Q291">
        <v>1.5</v>
      </c>
      <c r="R291">
        <v>0.15</v>
      </c>
      <c r="S291">
        <v>0.45</v>
      </c>
      <c r="T291">
        <v>0.23</v>
      </c>
      <c r="U291" t="s">
        <v>1050</v>
      </c>
      <c r="V291" t="s">
        <v>847</v>
      </c>
      <c r="W291" t="s">
        <v>532</v>
      </c>
      <c r="X291">
        <v>2</v>
      </c>
      <c r="Y291" t="s">
        <v>438</v>
      </c>
      <c r="AA291">
        <v>21.83</v>
      </c>
      <c r="AB291">
        <v>9.82</v>
      </c>
      <c r="AC291">
        <v>4.91</v>
      </c>
    </row>
    <row r="292" spans="2:29" ht="15" customHeight="1" x14ac:dyDescent="0.15">
      <c r="B292">
        <v>4</v>
      </c>
      <c r="C292" t="s">
        <v>386</v>
      </c>
      <c r="D292" t="s">
        <v>1048</v>
      </c>
      <c r="E292">
        <v>2</v>
      </c>
      <c r="F292" t="s">
        <v>219</v>
      </c>
      <c r="G292" t="s">
        <v>439</v>
      </c>
      <c r="H292" t="s">
        <v>849</v>
      </c>
      <c r="I292">
        <v>26</v>
      </c>
      <c r="J292" s="21">
        <v>45836</v>
      </c>
      <c r="K292" s="21">
        <v>45840</v>
      </c>
      <c r="L292" t="s">
        <v>1051</v>
      </c>
      <c r="M292" t="s">
        <v>851</v>
      </c>
      <c r="O292" t="s">
        <v>220</v>
      </c>
      <c r="P292">
        <v>2</v>
      </c>
      <c r="Q292">
        <v>1</v>
      </c>
      <c r="R292">
        <v>4</v>
      </c>
      <c r="S292">
        <v>8</v>
      </c>
      <c r="T292">
        <v>4</v>
      </c>
      <c r="U292" t="s">
        <v>1050</v>
      </c>
      <c r="V292" t="s">
        <v>847</v>
      </c>
      <c r="W292" t="s">
        <v>532</v>
      </c>
      <c r="X292">
        <v>2</v>
      </c>
      <c r="Y292" t="s">
        <v>438</v>
      </c>
      <c r="AA292">
        <v>24.21</v>
      </c>
      <c r="AB292">
        <v>193.71</v>
      </c>
      <c r="AC292">
        <v>96.85</v>
      </c>
    </row>
    <row r="293" spans="2:29" ht="15" customHeight="1" x14ac:dyDescent="0.15">
      <c r="B293">
        <v>4</v>
      </c>
      <c r="C293" t="s">
        <v>386</v>
      </c>
      <c r="D293" t="s">
        <v>1048</v>
      </c>
      <c r="E293">
        <v>3</v>
      </c>
      <c r="F293" t="s">
        <v>219</v>
      </c>
      <c r="G293" t="s">
        <v>218</v>
      </c>
      <c r="H293" t="s">
        <v>581</v>
      </c>
      <c r="I293">
        <v>26</v>
      </c>
      <c r="J293" s="21">
        <v>45836</v>
      </c>
      <c r="K293" s="21">
        <v>45840</v>
      </c>
      <c r="L293" t="s">
        <v>1052</v>
      </c>
      <c r="M293" t="s">
        <v>583</v>
      </c>
      <c r="O293" t="s">
        <v>220</v>
      </c>
      <c r="P293">
        <v>3</v>
      </c>
      <c r="Q293">
        <v>1.5</v>
      </c>
      <c r="R293">
        <v>0.1</v>
      </c>
      <c r="S293">
        <v>0.3</v>
      </c>
      <c r="T293">
        <v>0.15</v>
      </c>
      <c r="U293" t="s">
        <v>1050</v>
      </c>
      <c r="V293" t="s">
        <v>847</v>
      </c>
      <c r="W293" t="s">
        <v>532</v>
      </c>
      <c r="X293">
        <v>2</v>
      </c>
      <c r="Y293" t="s">
        <v>438</v>
      </c>
      <c r="AA293">
        <v>76</v>
      </c>
      <c r="AB293">
        <v>22.8</v>
      </c>
      <c r="AC293">
        <v>11.4</v>
      </c>
    </row>
    <row r="294" spans="2:29" ht="15" customHeight="1" x14ac:dyDescent="0.15">
      <c r="B294">
        <v>4</v>
      </c>
      <c r="C294" t="s">
        <v>386</v>
      </c>
      <c r="D294" t="s">
        <v>1048</v>
      </c>
      <c r="E294">
        <v>4</v>
      </c>
      <c r="F294" t="s">
        <v>219</v>
      </c>
      <c r="G294" t="s">
        <v>439</v>
      </c>
      <c r="H294" t="s">
        <v>448</v>
      </c>
      <c r="I294">
        <v>26</v>
      </c>
      <c r="J294" s="21">
        <v>45836</v>
      </c>
      <c r="K294" s="21">
        <v>45840</v>
      </c>
      <c r="L294" t="s">
        <v>1053</v>
      </c>
      <c r="M294" t="s">
        <v>450</v>
      </c>
      <c r="O294" t="s">
        <v>220</v>
      </c>
      <c r="P294">
        <v>1</v>
      </c>
      <c r="Q294">
        <v>0.5</v>
      </c>
      <c r="R294">
        <v>4</v>
      </c>
      <c r="S294">
        <v>4</v>
      </c>
      <c r="T294">
        <v>2</v>
      </c>
      <c r="U294" t="s">
        <v>1050</v>
      </c>
      <c r="V294" t="s">
        <v>847</v>
      </c>
      <c r="W294" t="s">
        <v>532</v>
      </c>
      <c r="X294">
        <v>2</v>
      </c>
      <c r="Y294" t="s">
        <v>438</v>
      </c>
      <c r="AA294">
        <v>20.54</v>
      </c>
      <c r="AB294">
        <v>82.16</v>
      </c>
      <c r="AC294">
        <v>41.08</v>
      </c>
    </row>
    <row r="295" spans="2:29" ht="15" customHeight="1" x14ac:dyDescent="0.15">
      <c r="B295">
        <v>4</v>
      </c>
      <c r="C295" t="s">
        <v>386</v>
      </c>
      <c r="D295" t="s">
        <v>1054</v>
      </c>
      <c r="E295">
        <v>1</v>
      </c>
      <c r="F295" t="s">
        <v>201</v>
      </c>
      <c r="G295" t="s">
        <v>200</v>
      </c>
      <c r="H295" t="s">
        <v>475</v>
      </c>
      <c r="I295">
        <v>26</v>
      </c>
      <c r="J295" s="21">
        <v>45836</v>
      </c>
      <c r="K295" s="21">
        <v>45840</v>
      </c>
      <c r="L295" t="s">
        <v>1055</v>
      </c>
      <c r="M295" t="s">
        <v>631</v>
      </c>
      <c r="O295" t="s">
        <v>226</v>
      </c>
      <c r="P295">
        <v>2</v>
      </c>
      <c r="Q295">
        <v>1</v>
      </c>
      <c r="R295">
        <v>250</v>
      </c>
      <c r="S295">
        <v>500</v>
      </c>
      <c r="T295">
        <v>250</v>
      </c>
      <c r="U295" t="s">
        <v>1056</v>
      </c>
      <c r="V295" t="s">
        <v>1057</v>
      </c>
      <c r="W295" t="s">
        <v>532</v>
      </c>
      <c r="X295">
        <v>2</v>
      </c>
      <c r="Y295" t="s">
        <v>1058</v>
      </c>
      <c r="AA295">
        <v>3.53</v>
      </c>
      <c r="AB295" s="22">
        <v>1765</v>
      </c>
      <c r="AC295">
        <v>882.5</v>
      </c>
    </row>
    <row r="296" spans="2:29" ht="15" customHeight="1" x14ac:dyDescent="0.15">
      <c r="B296">
        <v>4</v>
      </c>
      <c r="C296" t="s">
        <v>386</v>
      </c>
      <c r="D296" t="s">
        <v>1054</v>
      </c>
      <c r="E296">
        <v>2</v>
      </c>
      <c r="F296" t="s">
        <v>201</v>
      </c>
      <c r="G296" t="s">
        <v>200</v>
      </c>
      <c r="H296" t="s">
        <v>1059</v>
      </c>
      <c r="I296">
        <v>26</v>
      </c>
      <c r="J296" s="21">
        <v>45836</v>
      </c>
      <c r="K296" s="21">
        <v>45840</v>
      </c>
      <c r="L296" t="s">
        <v>1060</v>
      </c>
      <c r="M296" t="s">
        <v>1061</v>
      </c>
      <c r="O296" t="s">
        <v>226</v>
      </c>
      <c r="P296">
        <v>2</v>
      </c>
      <c r="Q296">
        <v>1</v>
      </c>
      <c r="R296">
        <v>300</v>
      </c>
      <c r="S296">
        <v>600</v>
      </c>
      <c r="T296">
        <v>300</v>
      </c>
      <c r="U296" t="s">
        <v>1056</v>
      </c>
      <c r="V296" t="s">
        <v>1057</v>
      </c>
      <c r="W296" t="s">
        <v>532</v>
      </c>
      <c r="X296">
        <v>2</v>
      </c>
      <c r="Y296" t="s">
        <v>1058</v>
      </c>
      <c r="AA296">
        <v>1.72</v>
      </c>
      <c r="AB296" s="22">
        <v>1032</v>
      </c>
      <c r="AC296">
        <v>516</v>
      </c>
    </row>
    <row r="297" spans="2:29" ht="15" customHeight="1" x14ac:dyDescent="0.15">
      <c r="B297">
        <v>4</v>
      </c>
      <c r="C297" t="s">
        <v>386</v>
      </c>
      <c r="D297" t="s">
        <v>1062</v>
      </c>
      <c r="E297">
        <v>1</v>
      </c>
      <c r="F297" t="s">
        <v>219</v>
      </c>
      <c r="G297" t="s">
        <v>231</v>
      </c>
      <c r="H297" t="s">
        <v>433</v>
      </c>
      <c r="I297">
        <v>26</v>
      </c>
      <c r="J297" s="21">
        <v>45836</v>
      </c>
      <c r="K297" s="21">
        <v>45842</v>
      </c>
      <c r="L297" t="s">
        <v>1063</v>
      </c>
      <c r="M297" t="s">
        <v>1030</v>
      </c>
      <c r="O297" t="s">
        <v>220</v>
      </c>
      <c r="P297">
        <v>0</v>
      </c>
      <c r="R297">
        <v>0.12</v>
      </c>
      <c r="S297">
        <v>6.0000000000000001E-3</v>
      </c>
      <c r="U297" t="s">
        <v>1064</v>
      </c>
      <c r="V297" t="s">
        <v>1064</v>
      </c>
      <c r="W297" t="s">
        <v>496</v>
      </c>
      <c r="Y297" t="s">
        <v>1065</v>
      </c>
      <c r="AA297">
        <v>21.83</v>
      </c>
      <c r="AB297">
        <v>0.13</v>
      </c>
      <c r="AC297">
        <v>0</v>
      </c>
    </row>
    <row r="298" spans="2:29" ht="15" customHeight="1" x14ac:dyDescent="0.15">
      <c r="B298">
        <v>4</v>
      </c>
      <c r="C298" t="s">
        <v>386</v>
      </c>
      <c r="D298" t="s">
        <v>1062</v>
      </c>
      <c r="E298">
        <v>2</v>
      </c>
      <c r="F298" t="s">
        <v>219</v>
      </c>
      <c r="G298" t="s">
        <v>239</v>
      </c>
      <c r="H298" t="s">
        <v>1066</v>
      </c>
      <c r="I298">
        <v>26</v>
      </c>
      <c r="J298" s="21">
        <v>45836</v>
      </c>
      <c r="K298" s="21">
        <v>45842</v>
      </c>
      <c r="L298" t="s">
        <v>1067</v>
      </c>
      <c r="M298" t="s">
        <v>1068</v>
      </c>
      <c r="O298" t="s">
        <v>220</v>
      </c>
      <c r="P298">
        <v>0</v>
      </c>
      <c r="R298">
        <v>0.5</v>
      </c>
      <c r="S298">
        <v>2.5000000000000001E-2</v>
      </c>
      <c r="U298" t="s">
        <v>1064</v>
      </c>
      <c r="V298" t="s">
        <v>1064</v>
      </c>
      <c r="W298" t="s">
        <v>496</v>
      </c>
      <c r="Y298" t="s">
        <v>1065</v>
      </c>
      <c r="AA298">
        <v>138.68</v>
      </c>
      <c r="AB298">
        <v>3.47</v>
      </c>
      <c r="AC298">
        <v>0</v>
      </c>
    </row>
    <row r="299" spans="2:29" ht="15" customHeight="1" x14ac:dyDescent="0.15">
      <c r="B299">
        <v>4</v>
      </c>
      <c r="C299" t="s">
        <v>386</v>
      </c>
      <c r="D299" t="s">
        <v>1062</v>
      </c>
      <c r="E299">
        <v>3</v>
      </c>
      <c r="F299" t="s">
        <v>219</v>
      </c>
      <c r="G299" t="s">
        <v>239</v>
      </c>
      <c r="H299" t="s">
        <v>1069</v>
      </c>
      <c r="I299">
        <v>26</v>
      </c>
      <c r="J299" s="21">
        <v>45836</v>
      </c>
      <c r="K299" s="21">
        <v>45842</v>
      </c>
      <c r="L299" t="s">
        <v>1070</v>
      </c>
      <c r="M299" t="s">
        <v>1071</v>
      </c>
      <c r="O299" t="s">
        <v>220</v>
      </c>
      <c r="P299">
        <v>0</v>
      </c>
      <c r="R299">
        <v>0.5</v>
      </c>
      <c r="S299">
        <v>2.5000000000000001E-2</v>
      </c>
      <c r="U299" t="s">
        <v>1064</v>
      </c>
      <c r="V299" t="s">
        <v>1064</v>
      </c>
      <c r="W299" t="s">
        <v>496</v>
      </c>
      <c r="Y299" t="s">
        <v>1065</v>
      </c>
      <c r="AA299">
        <v>106.87</v>
      </c>
      <c r="AB299">
        <v>2.67</v>
      </c>
      <c r="AC299">
        <v>0</v>
      </c>
    </row>
    <row r="300" spans="2:29" ht="15" customHeight="1" x14ac:dyDescent="0.15">
      <c r="B300">
        <v>4</v>
      </c>
      <c r="C300" t="s">
        <v>386</v>
      </c>
      <c r="D300" t="s">
        <v>1062</v>
      </c>
      <c r="E300">
        <v>4</v>
      </c>
      <c r="F300" t="s">
        <v>219</v>
      </c>
      <c r="G300" t="s">
        <v>239</v>
      </c>
      <c r="H300" t="s">
        <v>984</v>
      </c>
      <c r="I300">
        <v>26</v>
      </c>
      <c r="J300" s="21">
        <v>45836</v>
      </c>
      <c r="K300" s="21">
        <v>45842</v>
      </c>
      <c r="L300" t="s">
        <v>1072</v>
      </c>
      <c r="M300" t="s">
        <v>986</v>
      </c>
      <c r="O300" t="s">
        <v>220</v>
      </c>
      <c r="P300">
        <v>0</v>
      </c>
      <c r="R300">
        <v>0.5</v>
      </c>
      <c r="S300">
        <v>2.5000000000000001E-2</v>
      </c>
      <c r="U300" t="s">
        <v>1064</v>
      </c>
      <c r="V300" t="s">
        <v>1064</v>
      </c>
      <c r="W300" t="s">
        <v>496</v>
      </c>
      <c r="Y300" t="s">
        <v>1065</v>
      </c>
      <c r="AA300">
        <v>78.540000000000006</v>
      </c>
      <c r="AB300">
        <v>1.96</v>
      </c>
      <c r="AC300">
        <v>0</v>
      </c>
    </row>
    <row r="301" spans="2:29" ht="15" customHeight="1" x14ac:dyDescent="0.15">
      <c r="B301">
        <v>4</v>
      </c>
      <c r="C301" t="s">
        <v>704</v>
      </c>
      <c r="D301" t="s">
        <v>1073</v>
      </c>
      <c r="E301">
        <v>1</v>
      </c>
      <c r="F301" t="s">
        <v>556</v>
      </c>
      <c r="G301" t="s">
        <v>556</v>
      </c>
      <c r="H301" t="s">
        <v>557</v>
      </c>
      <c r="I301">
        <v>26</v>
      </c>
      <c r="J301" s="21">
        <v>45836</v>
      </c>
      <c r="L301" t="s">
        <v>1074</v>
      </c>
      <c r="M301" t="s">
        <v>713</v>
      </c>
      <c r="O301" t="s">
        <v>226</v>
      </c>
      <c r="P301">
        <v>1</v>
      </c>
      <c r="Q301">
        <v>1</v>
      </c>
      <c r="R301">
        <v>56</v>
      </c>
      <c r="S301">
        <v>56</v>
      </c>
      <c r="T301">
        <v>0</v>
      </c>
      <c r="U301" t="s">
        <v>391</v>
      </c>
      <c r="V301" t="s">
        <v>392</v>
      </c>
      <c r="W301" t="s">
        <v>392</v>
      </c>
      <c r="X301">
        <v>1</v>
      </c>
      <c r="Y301" t="s">
        <v>723</v>
      </c>
      <c r="AA301">
        <v>16.5</v>
      </c>
      <c r="AB301">
        <v>924</v>
      </c>
      <c r="AC301">
        <v>924</v>
      </c>
    </row>
    <row r="302" spans="2:29" ht="15" customHeight="1" x14ac:dyDescent="0.15">
      <c r="B302">
        <v>4</v>
      </c>
      <c r="C302" t="s">
        <v>386</v>
      </c>
      <c r="D302" t="s">
        <v>1075</v>
      </c>
      <c r="E302">
        <v>1</v>
      </c>
      <c r="F302" t="s">
        <v>219</v>
      </c>
      <c r="G302" t="s">
        <v>231</v>
      </c>
      <c r="H302" t="s">
        <v>433</v>
      </c>
      <c r="I302">
        <v>27</v>
      </c>
      <c r="J302" s="21">
        <v>45838</v>
      </c>
      <c r="K302" s="21">
        <v>45839</v>
      </c>
      <c r="L302" t="s">
        <v>1076</v>
      </c>
      <c r="M302" t="s">
        <v>1030</v>
      </c>
      <c r="O302" t="s">
        <v>220</v>
      </c>
      <c r="P302">
        <v>2</v>
      </c>
      <c r="Q302">
        <v>1</v>
      </c>
      <c r="R302">
        <v>0.12</v>
      </c>
      <c r="S302">
        <v>0.24</v>
      </c>
      <c r="T302">
        <v>0.12</v>
      </c>
      <c r="U302" t="s">
        <v>627</v>
      </c>
      <c r="V302" t="s">
        <v>628</v>
      </c>
      <c r="W302" t="s">
        <v>532</v>
      </c>
      <c r="X302">
        <v>2</v>
      </c>
      <c r="Y302" t="s">
        <v>871</v>
      </c>
      <c r="AA302">
        <v>21.83</v>
      </c>
      <c r="AB302">
        <v>5.24</v>
      </c>
      <c r="AC302">
        <v>2.62</v>
      </c>
    </row>
    <row r="303" spans="2:29" ht="15" customHeight="1" x14ac:dyDescent="0.15">
      <c r="B303">
        <v>4</v>
      </c>
      <c r="C303" t="s">
        <v>386</v>
      </c>
      <c r="D303" t="s">
        <v>1075</v>
      </c>
      <c r="E303">
        <v>2</v>
      </c>
      <c r="F303" t="s">
        <v>219</v>
      </c>
      <c r="G303" t="s">
        <v>218</v>
      </c>
      <c r="H303" t="s">
        <v>493</v>
      </c>
      <c r="I303">
        <v>27</v>
      </c>
      <c r="J303" s="21">
        <v>45838</v>
      </c>
      <c r="K303" s="21">
        <v>45839</v>
      </c>
      <c r="L303" t="s">
        <v>1077</v>
      </c>
      <c r="M303" t="s">
        <v>576</v>
      </c>
      <c r="O303" t="s">
        <v>220</v>
      </c>
      <c r="P303">
        <v>2</v>
      </c>
      <c r="Q303">
        <v>1</v>
      </c>
      <c r="R303">
        <v>0.2</v>
      </c>
      <c r="S303">
        <v>0.4</v>
      </c>
      <c r="T303">
        <v>0.2</v>
      </c>
      <c r="U303" t="s">
        <v>627</v>
      </c>
      <c r="V303" t="s">
        <v>628</v>
      </c>
      <c r="W303" t="s">
        <v>532</v>
      </c>
      <c r="X303">
        <v>2</v>
      </c>
      <c r="Y303" t="s">
        <v>871</v>
      </c>
      <c r="AA303">
        <v>101.77</v>
      </c>
      <c r="AB303">
        <v>40.71</v>
      </c>
      <c r="AC303">
        <v>20.350000000000001</v>
      </c>
    </row>
    <row r="304" spans="2:29" ht="15" customHeight="1" x14ac:dyDescent="0.15">
      <c r="B304">
        <v>4</v>
      </c>
      <c r="C304" t="s">
        <v>386</v>
      </c>
      <c r="D304" t="s">
        <v>1075</v>
      </c>
      <c r="E304">
        <v>3</v>
      </c>
      <c r="F304" t="s">
        <v>219</v>
      </c>
      <c r="G304" t="s">
        <v>218</v>
      </c>
      <c r="H304" t="s">
        <v>908</v>
      </c>
      <c r="I304">
        <v>27</v>
      </c>
      <c r="J304" s="21">
        <v>45838</v>
      </c>
      <c r="K304" s="21">
        <v>45839</v>
      </c>
      <c r="L304" t="s">
        <v>1078</v>
      </c>
      <c r="M304" t="s">
        <v>1027</v>
      </c>
      <c r="O304" t="s">
        <v>220</v>
      </c>
      <c r="P304">
        <v>2</v>
      </c>
      <c r="Q304">
        <v>1</v>
      </c>
      <c r="R304">
        <v>0.3</v>
      </c>
      <c r="S304">
        <v>0.6</v>
      </c>
      <c r="T304">
        <v>0.3</v>
      </c>
      <c r="U304" t="s">
        <v>627</v>
      </c>
      <c r="V304" t="s">
        <v>628</v>
      </c>
      <c r="W304" t="s">
        <v>532</v>
      </c>
      <c r="X304">
        <v>2</v>
      </c>
      <c r="Y304" t="s">
        <v>871</v>
      </c>
      <c r="AA304">
        <v>31.3</v>
      </c>
      <c r="AB304">
        <v>18.78</v>
      </c>
      <c r="AC304">
        <v>9.39</v>
      </c>
    </row>
    <row r="305" spans="2:29" ht="15" customHeight="1" x14ac:dyDescent="0.15">
      <c r="B305">
        <v>4</v>
      </c>
      <c r="C305" t="s">
        <v>386</v>
      </c>
      <c r="D305" t="s">
        <v>1075</v>
      </c>
      <c r="E305">
        <v>4</v>
      </c>
      <c r="F305" t="s">
        <v>219</v>
      </c>
      <c r="G305" t="s">
        <v>244</v>
      </c>
      <c r="H305" t="s">
        <v>409</v>
      </c>
      <c r="I305">
        <v>27</v>
      </c>
      <c r="J305" s="21">
        <v>45838</v>
      </c>
      <c r="K305" s="21">
        <v>45839</v>
      </c>
      <c r="L305" t="s">
        <v>1079</v>
      </c>
      <c r="M305" t="s">
        <v>284</v>
      </c>
      <c r="O305" t="s">
        <v>220</v>
      </c>
      <c r="P305">
        <v>2</v>
      </c>
      <c r="Q305">
        <v>1</v>
      </c>
      <c r="R305">
        <v>0.5</v>
      </c>
      <c r="S305">
        <v>1</v>
      </c>
      <c r="T305">
        <v>0.5</v>
      </c>
      <c r="U305" t="s">
        <v>627</v>
      </c>
      <c r="V305" t="s">
        <v>628</v>
      </c>
      <c r="W305" t="s">
        <v>532</v>
      </c>
      <c r="X305">
        <v>2</v>
      </c>
      <c r="Y305" t="s">
        <v>871</v>
      </c>
      <c r="AA305">
        <v>53.07</v>
      </c>
      <c r="AB305">
        <v>53.07</v>
      </c>
      <c r="AC305">
        <v>26.54</v>
      </c>
    </row>
    <row r="306" spans="2:29" ht="15" customHeight="1" x14ac:dyDescent="0.15">
      <c r="B306">
        <v>4</v>
      </c>
      <c r="C306" t="s">
        <v>386</v>
      </c>
      <c r="D306" t="s">
        <v>1075</v>
      </c>
      <c r="E306">
        <v>5</v>
      </c>
      <c r="F306" t="s">
        <v>219</v>
      </c>
      <c r="G306" t="s">
        <v>218</v>
      </c>
      <c r="H306" t="s">
        <v>581</v>
      </c>
      <c r="I306">
        <v>27</v>
      </c>
      <c r="J306" s="21">
        <v>45838</v>
      </c>
      <c r="K306" s="21">
        <v>45839</v>
      </c>
      <c r="L306" t="s">
        <v>1080</v>
      </c>
      <c r="M306" t="s">
        <v>583</v>
      </c>
      <c r="O306" t="s">
        <v>220</v>
      </c>
      <c r="P306">
        <v>2</v>
      </c>
      <c r="Q306">
        <v>1</v>
      </c>
      <c r="R306">
        <v>0.03</v>
      </c>
      <c r="S306">
        <v>0.06</v>
      </c>
      <c r="T306">
        <v>0.03</v>
      </c>
      <c r="U306" t="s">
        <v>627</v>
      </c>
      <c r="V306" t="s">
        <v>628</v>
      </c>
      <c r="W306" t="s">
        <v>532</v>
      </c>
      <c r="X306">
        <v>2</v>
      </c>
      <c r="Y306" t="s">
        <v>871</v>
      </c>
      <c r="AA306">
        <v>76</v>
      </c>
      <c r="AB306">
        <v>4.5599999999999996</v>
      </c>
      <c r="AC306">
        <v>2.2799999999999998</v>
      </c>
    </row>
    <row r="307" spans="2:29" ht="15" customHeight="1" x14ac:dyDescent="0.15">
      <c r="B307">
        <v>4</v>
      </c>
      <c r="C307" t="s">
        <v>386</v>
      </c>
      <c r="D307" t="s">
        <v>1081</v>
      </c>
      <c r="E307">
        <v>1</v>
      </c>
      <c r="F307" t="s">
        <v>556</v>
      </c>
      <c r="G307" t="s">
        <v>556</v>
      </c>
      <c r="H307" t="s">
        <v>557</v>
      </c>
      <c r="I307">
        <v>27</v>
      </c>
      <c r="J307" s="21">
        <v>45838</v>
      </c>
      <c r="K307" s="21">
        <v>45838</v>
      </c>
      <c r="L307" t="s">
        <v>1082</v>
      </c>
      <c r="M307" t="s">
        <v>702</v>
      </c>
      <c r="O307" t="s">
        <v>226</v>
      </c>
      <c r="P307">
        <v>1</v>
      </c>
      <c r="Q307">
        <v>1</v>
      </c>
      <c r="R307">
        <v>56</v>
      </c>
      <c r="S307">
        <v>56</v>
      </c>
      <c r="T307">
        <v>56</v>
      </c>
      <c r="U307" t="s">
        <v>391</v>
      </c>
      <c r="V307" t="s">
        <v>392</v>
      </c>
      <c r="W307" t="s">
        <v>392</v>
      </c>
      <c r="X307">
        <v>1</v>
      </c>
      <c r="Y307" t="s">
        <v>1083</v>
      </c>
      <c r="AA307">
        <v>20.63</v>
      </c>
      <c r="AB307" s="22">
        <v>1155</v>
      </c>
      <c r="AC307" s="22">
        <v>1155</v>
      </c>
    </row>
    <row r="308" spans="2:29" ht="15" customHeight="1" x14ac:dyDescent="0.15">
      <c r="B308">
        <v>4</v>
      </c>
      <c r="C308" t="s">
        <v>386</v>
      </c>
      <c r="D308" t="s">
        <v>1084</v>
      </c>
      <c r="E308">
        <v>1</v>
      </c>
      <c r="F308" t="s">
        <v>556</v>
      </c>
      <c r="G308" t="s">
        <v>556</v>
      </c>
      <c r="H308" t="s">
        <v>557</v>
      </c>
      <c r="I308">
        <v>27</v>
      </c>
      <c r="J308" s="21">
        <v>45839</v>
      </c>
      <c r="K308" s="21">
        <v>45839</v>
      </c>
      <c r="L308" t="s">
        <v>1085</v>
      </c>
      <c r="M308" t="s">
        <v>713</v>
      </c>
      <c r="O308" t="s">
        <v>226</v>
      </c>
      <c r="P308">
        <v>1</v>
      </c>
      <c r="Q308">
        <v>1</v>
      </c>
      <c r="R308">
        <v>12</v>
      </c>
      <c r="S308">
        <v>12.1</v>
      </c>
      <c r="T308">
        <v>12.1</v>
      </c>
      <c r="U308" t="s">
        <v>391</v>
      </c>
      <c r="V308" t="s">
        <v>392</v>
      </c>
      <c r="W308" t="s">
        <v>392</v>
      </c>
      <c r="X308">
        <v>1</v>
      </c>
      <c r="Y308" t="s">
        <v>796</v>
      </c>
      <c r="AA308">
        <v>16.5</v>
      </c>
      <c r="AB308">
        <v>199.65</v>
      </c>
      <c r="AC308">
        <v>199.65</v>
      </c>
    </row>
    <row r="309" spans="2:29" ht="15" customHeight="1" x14ac:dyDescent="0.15">
      <c r="B309">
        <v>4</v>
      </c>
      <c r="C309" t="s">
        <v>386</v>
      </c>
      <c r="D309" t="s">
        <v>1086</v>
      </c>
      <c r="E309">
        <v>1</v>
      </c>
      <c r="F309" t="s">
        <v>219</v>
      </c>
      <c r="G309" t="s">
        <v>231</v>
      </c>
      <c r="H309" t="s">
        <v>433</v>
      </c>
      <c r="I309">
        <v>27</v>
      </c>
      <c r="J309" s="21">
        <v>45839</v>
      </c>
      <c r="K309" s="21">
        <v>45839</v>
      </c>
      <c r="L309" t="s">
        <v>1087</v>
      </c>
      <c r="M309" t="s">
        <v>1030</v>
      </c>
      <c r="O309" t="s">
        <v>220</v>
      </c>
      <c r="P309">
        <v>4</v>
      </c>
      <c r="Q309">
        <v>4</v>
      </c>
      <c r="R309">
        <v>0.12</v>
      </c>
      <c r="S309">
        <v>0.48</v>
      </c>
      <c r="T309">
        <v>0.48</v>
      </c>
      <c r="U309" t="s">
        <v>391</v>
      </c>
      <c r="V309" t="s">
        <v>392</v>
      </c>
      <c r="W309" t="s">
        <v>392</v>
      </c>
      <c r="X309">
        <v>1</v>
      </c>
      <c r="Y309" t="s">
        <v>893</v>
      </c>
      <c r="AA309">
        <v>21.83</v>
      </c>
      <c r="AB309">
        <v>10.48</v>
      </c>
      <c r="AC309">
        <v>10.48</v>
      </c>
    </row>
    <row r="310" spans="2:29" ht="15" customHeight="1" x14ac:dyDescent="0.15">
      <c r="B310">
        <v>4</v>
      </c>
      <c r="C310" t="s">
        <v>386</v>
      </c>
      <c r="D310" t="s">
        <v>1086</v>
      </c>
      <c r="E310">
        <v>2</v>
      </c>
      <c r="F310" t="s">
        <v>219</v>
      </c>
      <c r="G310" t="s">
        <v>218</v>
      </c>
      <c r="H310" t="s">
        <v>911</v>
      </c>
      <c r="I310">
        <v>27</v>
      </c>
      <c r="J310" s="21">
        <v>45839</v>
      </c>
      <c r="K310" s="21">
        <v>45839</v>
      </c>
      <c r="L310" t="s">
        <v>1088</v>
      </c>
      <c r="M310" t="s">
        <v>913</v>
      </c>
      <c r="O310" t="s">
        <v>220</v>
      </c>
      <c r="P310">
        <v>4</v>
      </c>
      <c r="Q310">
        <v>4</v>
      </c>
      <c r="R310">
        <v>0.25</v>
      </c>
      <c r="S310">
        <v>1</v>
      </c>
      <c r="T310">
        <v>1</v>
      </c>
      <c r="U310" t="s">
        <v>391</v>
      </c>
      <c r="V310" t="s">
        <v>392</v>
      </c>
      <c r="W310" t="s">
        <v>392</v>
      </c>
      <c r="X310">
        <v>1</v>
      </c>
      <c r="Y310" t="s">
        <v>893</v>
      </c>
      <c r="AA310">
        <v>91.24</v>
      </c>
      <c r="AB310">
        <v>91.24</v>
      </c>
      <c r="AC310">
        <v>91.24</v>
      </c>
    </row>
    <row r="311" spans="2:29" ht="15" customHeight="1" x14ac:dyDescent="0.15">
      <c r="B311">
        <v>4</v>
      </c>
      <c r="C311" t="s">
        <v>386</v>
      </c>
      <c r="D311" t="s">
        <v>1086</v>
      </c>
      <c r="E311">
        <v>3</v>
      </c>
      <c r="F311" t="s">
        <v>219</v>
      </c>
      <c r="G311" t="s">
        <v>218</v>
      </c>
      <c r="H311" t="s">
        <v>400</v>
      </c>
      <c r="I311">
        <v>27</v>
      </c>
      <c r="J311" s="21">
        <v>45839</v>
      </c>
      <c r="K311" s="21">
        <v>45839</v>
      </c>
      <c r="L311" t="s">
        <v>1089</v>
      </c>
      <c r="M311" t="s">
        <v>402</v>
      </c>
      <c r="O311" t="s">
        <v>226</v>
      </c>
      <c r="P311">
        <v>4</v>
      </c>
      <c r="Q311">
        <v>4</v>
      </c>
      <c r="R311">
        <v>0.1</v>
      </c>
      <c r="S311">
        <v>0.4</v>
      </c>
      <c r="T311">
        <v>0.4</v>
      </c>
      <c r="U311" t="s">
        <v>391</v>
      </c>
      <c r="V311" t="s">
        <v>392</v>
      </c>
      <c r="W311" t="s">
        <v>392</v>
      </c>
      <c r="X311">
        <v>1</v>
      </c>
      <c r="Y311" t="s">
        <v>893</v>
      </c>
      <c r="AA311">
        <v>217</v>
      </c>
      <c r="AB311">
        <v>86.8</v>
      </c>
      <c r="AC311">
        <v>86.8</v>
      </c>
    </row>
    <row r="312" spans="2:29" ht="15" customHeight="1" x14ac:dyDescent="0.15">
      <c r="B312">
        <v>4</v>
      </c>
      <c r="C312" t="s">
        <v>386</v>
      </c>
      <c r="D312" t="s">
        <v>1086</v>
      </c>
      <c r="E312">
        <v>4</v>
      </c>
      <c r="F312" t="s">
        <v>219</v>
      </c>
      <c r="G312" t="s">
        <v>218</v>
      </c>
      <c r="H312" t="s">
        <v>1090</v>
      </c>
      <c r="I312">
        <v>27</v>
      </c>
      <c r="J312" s="21">
        <v>45839</v>
      </c>
      <c r="K312" s="21">
        <v>45839</v>
      </c>
      <c r="L312" t="s">
        <v>1091</v>
      </c>
      <c r="M312" t="s">
        <v>1092</v>
      </c>
      <c r="O312" t="s">
        <v>220</v>
      </c>
      <c r="P312">
        <v>4</v>
      </c>
      <c r="Q312">
        <v>4</v>
      </c>
      <c r="R312">
        <v>2</v>
      </c>
      <c r="S312">
        <v>8</v>
      </c>
      <c r="T312">
        <v>8</v>
      </c>
      <c r="U312" t="s">
        <v>391</v>
      </c>
      <c r="V312" t="s">
        <v>392</v>
      </c>
      <c r="W312" t="s">
        <v>392</v>
      </c>
      <c r="X312">
        <v>1</v>
      </c>
      <c r="Y312" t="s">
        <v>893</v>
      </c>
      <c r="AC312">
        <v>0</v>
      </c>
    </row>
    <row r="313" spans="2:29" ht="15" customHeight="1" x14ac:dyDescent="0.15">
      <c r="B313">
        <v>4</v>
      </c>
      <c r="C313" t="s">
        <v>386</v>
      </c>
      <c r="D313" t="s">
        <v>1086</v>
      </c>
      <c r="E313">
        <v>5</v>
      </c>
      <c r="F313" t="s">
        <v>219</v>
      </c>
      <c r="G313" t="s">
        <v>244</v>
      </c>
      <c r="H313" t="s">
        <v>1093</v>
      </c>
      <c r="I313">
        <v>27</v>
      </c>
      <c r="J313" s="21">
        <v>45839</v>
      </c>
      <c r="K313" s="21">
        <v>45839</v>
      </c>
      <c r="L313" t="s">
        <v>1094</v>
      </c>
      <c r="M313" t="s">
        <v>1095</v>
      </c>
      <c r="O313" t="s">
        <v>226</v>
      </c>
      <c r="P313">
        <v>4</v>
      </c>
      <c r="Q313">
        <v>4</v>
      </c>
      <c r="R313">
        <v>0.5</v>
      </c>
      <c r="S313">
        <v>2</v>
      </c>
      <c r="T313">
        <v>2</v>
      </c>
      <c r="U313" t="s">
        <v>391</v>
      </c>
      <c r="V313" t="s">
        <v>392</v>
      </c>
      <c r="W313" t="s">
        <v>392</v>
      </c>
      <c r="X313">
        <v>1</v>
      </c>
      <c r="Y313" t="s">
        <v>893</v>
      </c>
      <c r="AA313">
        <v>92.42</v>
      </c>
      <c r="AB313">
        <v>184.84</v>
      </c>
      <c r="AC313">
        <v>184.84</v>
      </c>
    </row>
    <row r="314" spans="2:29" ht="15" customHeight="1" x14ac:dyDescent="0.15">
      <c r="B314">
        <v>4</v>
      </c>
      <c r="C314" t="s">
        <v>386</v>
      </c>
      <c r="D314" t="s">
        <v>1096</v>
      </c>
      <c r="E314">
        <v>1</v>
      </c>
      <c r="F314" t="s">
        <v>556</v>
      </c>
      <c r="G314" t="s">
        <v>556</v>
      </c>
      <c r="H314" t="s">
        <v>557</v>
      </c>
      <c r="I314">
        <v>27</v>
      </c>
      <c r="J314" s="21">
        <v>45840</v>
      </c>
      <c r="K314" s="21">
        <v>45840</v>
      </c>
      <c r="L314" t="s">
        <v>1097</v>
      </c>
      <c r="M314" t="s">
        <v>713</v>
      </c>
      <c r="O314" t="s">
        <v>226</v>
      </c>
      <c r="P314">
        <v>1</v>
      </c>
      <c r="Q314">
        <v>1</v>
      </c>
      <c r="R314">
        <v>5</v>
      </c>
      <c r="S314">
        <v>5</v>
      </c>
      <c r="T314">
        <v>5</v>
      </c>
      <c r="U314" t="s">
        <v>391</v>
      </c>
      <c r="V314" t="s">
        <v>392</v>
      </c>
      <c r="W314" t="s">
        <v>392</v>
      </c>
      <c r="X314">
        <v>1</v>
      </c>
      <c r="Y314" t="s">
        <v>1083</v>
      </c>
      <c r="AA314">
        <v>16.5</v>
      </c>
      <c r="AB314">
        <v>82.5</v>
      </c>
      <c r="AC314">
        <v>82.5</v>
      </c>
    </row>
    <row r="315" spans="2:29" ht="15" customHeight="1" x14ac:dyDescent="0.15">
      <c r="B315">
        <v>4</v>
      </c>
      <c r="C315" t="s">
        <v>386</v>
      </c>
      <c r="D315" t="s">
        <v>1098</v>
      </c>
      <c r="E315">
        <v>1</v>
      </c>
      <c r="F315" t="s">
        <v>219</v>
      </c>
      <c r="G315" t="s">
        <v>218</v>
      </c>
      <c r="H315" t="s">
        <v>1099</v>
      </c>
      <c r="I315">
        <v>27</v>
      </c>
      <c r="J315" s="21">
        <v>45840</v>
      </c>
      <c r="K315" s="21">
        <v>45840</v>
      </c>
      <c r="L315" t="s">
        <v>1100</v>
      </c>
      <c r="M315" t="s">
        <v>1101</v>
      </c>
      <c r="O315" t="s">
        <v>220</v>
      </c>
      <c r="P315">
        <v>2</v>
      </c>
      <c r="Q315">
        <v>1</v>
      </c>
      <c r="R315">
        <v>0.6</v>
      </c>
      <c r="S315">
        <v>1.2</v>
      </c>
      <c r="T315">
        <v>0.6</v>
      </c>
      <c r="U315" t="s">
        <v>627</v>
      </c>
      <c r="V315" t="s">
        <v>628</v>
      </c>
      <c r="W315" t="s">
        <v>532</v>
      </c>
      <c r="X315">
        <v>2</v>
      </c>
      <c r="Y315" t="s">
        <v>1102</v>
      </c>
      <c r="AA315">
        <v>50.23</v>
      </c>
      <c r="AB315">
        <v>60.28</v>
      </c>
      <c r="AC315">
        <v>30.14</v>
      </c>
    </row>
    <row r="316" spans="2:29" ht="15" customHeight="1" x14ac:dyDescent="0.15">
      <c r="B316">
        <v>4</v>
      </c>
      <c r="C316" t="s">
        <v>386</v>
      </c>
      <c r="D316" t="s">
        <v>1103</v>
      </c>
      <c r="E316">
        <v>1</v>
      </c>
      <c r="F316" t="s">
        <v>556</v>
      </c>
      <c r="G316" t="s">
        <v>556</v>
      </c>
      <c r="H316" t="s">
        <v>557</v>
      </c>
      <c r="I316">
        <v>27</v>
      </c>
      <c r="J316" s="21">
        <v>45841</v>
      </c>
      <c r="K316" s="21">
        <v>45841</v>
      </c>
      <c r="L316" t="s">
        <v>1104</v>
      </c>
      <c r="M316" t="s">
        <v>713</v>
      </c>
      <c r="O316" t="s">
        <v>226</v>
      </c>
      <c r="P316">
        <v>1</v>
      </c>
      <c r="Q316">
        <v>1</v>
      </c>
      <c r="R316">
        <v>3</v>
      </c>
      <c r="S316">
        <v>3</v>
      </c>
      <c r="T316">
        <v>3</v>
      </c>
      <c r="U316" t="s">
        <v>391</v>
      </c>
      <c r="V316" t="s">
        <v>392</v>
      </c>
      <c r="W316" t="s">
        <v>392</v>
      </c>
      <c r="X316">
        <v>1</v>
      </c>
      <c r="Y316" t="s">
        <v>1083</v>
      </c>
      <c r="AA316">
        <v>16.5</v>
      </c>
      <c r="AB316">
        <v>49.5</v>
      </c>
      <c r="AC316">
        <v>49.5</v>
      </c>
    </row>
    <row r="317" spans="2:29" ht="15" customHeight="1" x14ac:dyDescent="0.15">
      <c r="B317">
        <v>4</v>
      </c>
      <c r="C317" t="s">
        <v>386</v>
      </c>
      <c r="D317" t="s">
        <v>1105</v>
      </c>
      <c r="E317">
        <v>1</v>
      </c>
      <c r="F317" t="s">
        <v>556</v>
      </c>
      <c r="G317" t="s">
        <v>556</v>
      </c>
      <c r="H317" t="s">
        <v>557</v>
      </c>
      <c r="I317">
        <v>27</v>
      </c>
      <c r="J317" s="21">
        <v>45841</v>
      </c>
      <c r="K317" s="21">
        <v>45841</v>
      </c>
      <c r="L317" t="s">
        <v>1106</v>
      </c>
      <c r="M317" t="s">
        <v>713</v>
      </c>
      <c r="O317" t="s">
        <v>226</v>
      </c>
      <c r="P317">
        <v>1</v>
      </c>
      <c r="Q317">
        <v>1</v>
      </c>
      <c r="R317">
        <v>60</v>
      </c>
      <c r="S317">
        <v>60</v>
      </c>
      <c r="T317">
        <v>60</v>
      </c>
      <c r="U317" t="s">
        <v>391</v>
      </c>
      <c r="V317" t="s">
        <v>392</v>
      </c>
      <c r="W317" t="s">
        <v>392</v>
      </c>
      <c r="X317">
        <v>1</v>
      </c>
      <c r="Y317" t="s">
        <v>719</v>
      </c>
      <c r="AA317">
        <v>16.5</v>
      </c>
      <c r="AB317">
        <v>990</v>
      </c>
      <c r="AC317">
        <v>990</v>
      </c>
    </row>
    <row r="318" spans="2:29" ht="15" customHeight="1" x14ac:dyDescent="0.15">
      <c r="B318">
        <v>4</v>
      </c>
      <c r="C318" t="s">
        <v>386</v>
      </c>
      <c r="D318" t="s">
        <v>1107</v>
      </c>
      <c r="E318">
        <v>1</v>
      </c>
      <c r="F318" t="s">
        <v>556</v>
      </c>
      <c r="G318" t="s">
        <v>556</v>
      </c>
      <c r="H318" t="s">
        <v>557</v>
      </c>
      <c r="I318">
        <v>27</v>
      </c>
      <c r="J318" s="21">
        <v>45842</v>
      </c>
      <c r="K318" s="21">
        <v>45842</v>
      </c>
      <c r="L318" t="s">
        <v>1108</v>
      </c>
      <c r="M318" t="s">
        <v>702</v>
      </c>
      <c r="O318" t="s">
        <v>226</v>
      </c>
      <c r="P318">
        <v>1</v>
      </c>
      <c r="Q318">
        <v>1</v>
      </c>
      <c r="R318">
        <v>3</v>
      </c>
      <c r="S318">
        <v>3</v>
      </c>
      <c r="T318">
        <v>3</v>
      </c>
      <c r="U318" t="s">
        <v>391</v>
      </c>
      <c r="V318" t="s">
        <v>392</v>
      </c>
      <c r="W318" t="s">
        <v>392</v>
      </c>
      <c r="X318">
        <v>1</v>
      </c>
      <c r="Y318" t="s">
        <v>1109</v>
      </c>
      <c r="AA318">
        <v>20.63</v>
      </c>
      <c r="AB318">
        <v>61.88</v>
      </c>
      <c r="AC318">
        <v>61.88</v>
      </c>
    </row>
    <row r="319" spans="2:29" ht="15" customHeight="1" x14ac:dyDescent="0.15">
      <c r="B319">
        <v>4</v>
      </c>
      <c r="C319" t="s">
        <v>386</v>
      </c>
      <c r="D319" t="s">
        <v>1110</v>
      </c>
      <c r="E319">
        <v>1</v>
      </c>
      <c r="F319" t="s">
        <v>556</v>
      </c>
      <c r="G319" t="s">
        <v>556</v>
      </c>
      <c r="H319" t="s">
        <v>557</v>
      </c>
      <c r="I319">
        <v>27</v>
      </c>
      <c r="J319" s="21">
        <v>45842</v>
      </c>
      <c r="K319" s="21">
        <v>45842</v>
      </c>
      <c r="L319" t="s">
        <v>1111</v>
      </c>
      <c r="M319" t="s">
        <v>702</v>
      </c>
      <c r="O319" t="s">
        <v>226</v>
      </c>
      <c r="P319">
        <v>1</v>
      </c>
      <c r="Q319">
        <v>1</v>
      </c>
      <c r="R319">
        <v>60</v>
      </c>
      <c r="S319">
        <v>60</v>
      </c>
      <c r="T319">
        <v>60</v>
      </c>
      <c r="U319" t="s">
        <v>391</v>
      </c>
      <c r="V319" t="s">
        <v>392</v>
      </c>
      <c r="W319" t="s">
        <v>392</v>
      </c>
      <c r="X319">
        <v>1</v>
      </c>
      <c r="Y319" t="s">
        <v>886</v>
      </c>
      <c r="AA319">
        <v>20.63</v>
      </c>
      <c r="AB319" s="22">
        <v>1237.5</v>
      </c>
      <c r="AC319" s="22">
        <v>1237.5</v>
      </c>
    </row>
    <row r="320" spans="2:29" ht="15" customHeight="1" x14ac:dyDescent="0.15">
      <c r="B320">
        <v>4</v>
      </c>
      <c r="C320" t="s">
        <v>386</v>
      </c>
      <c r="D320" t="s">
        <v>1112</v>
      </c>
      <c r="E320">
        <v>1</v>
      </c>
      <c r="F320" t="s">
        <v>556</v>
      </c>
      <c r="G320" t="s">
        <v>556</v>
      </c>
      <c r="H320" t="s">
        <v>557</v>
      </c>
      <c r="I320">
        <v>27</v>
      </c>
      <c r="J320" s="21">
        <v>45842</v>
      </c>
      <c r="K320" s="21">
        <v>45842</v>
      </c>
      <c r="L320" t="s">
        <v>1113</v>
      </c>
      <c r="M320" t="s">
        <v>713</v>
      </c>
      <c r="O320" t="s">
        <v>282</v>
      </c>
      <c r="P320">
        <v>1</v>
      </c>
      <c r="Q320">
        <v>1</v>
      </c>
      <c r="R320">
        <v>7</v>
      </c>
      <c r="S320">
        <v>7</v>
      </c>
      <c r="T320">
        <v>7</v>
      </c>
      <c r="U320" t="s">
        <v>391</v>
      </c>
      <c r="V320" t="s">
        <v>392</v>
      </c>
      <c r="W320" t="s">
        <v>392</v>
      </c>
      <c r="X320">
        <v>1</v>
      </c>
      <c r="Y320" t="s">
        <v>750</v>
      </c>
      <c r="AA320">
        <v>16.5</v>
      </c>
      <c r="AB320">
        <v>115.5</v>
      </c>
      <c r="AC320">
        <v>115.5</v>
      </c>
    </row>
    <row r="321" spans="2:29" ht="15" customHeight="1" x14ac:dyDescent="0.15">
      <c r="B321">
        <v>4</v>
      </c>
      <c r="C321" t="s">
        <v>704</v>
      </c>
      <c r="D321" t="s">
        <v>1114</v>
      </c>
      <c r="E321">
        <v>1</v>
      </c>
      <c r="F321" t="s">
        <v>416</v>
      </c>
      <c r="G321" t="s">
        <v>316</v>
      </c>
      <c r="H321" t="s">
        <v>562</v>
      </c>
      <c r="I321">
        <v>27</v>
      </c>
      <c r="J321" s="21">
        <v>45843</v>
      </c>
      <c r="L321" t="s">
        <v>1115</v>
      </c>
      <c r="M321" t="s">
        <v>564</v>
      </c>
      <c r="O321" t="s">
        <v>1116</v>
      </c>
      <c r="P321">
        <v>0</v>
      </c>
      <c r="R321">
        <v>10</v>
      </c>
      <c r="S321">
        <v>0</v>
      </c>
      <c r="U321" t="s">
        <v>1117</v>
      </c>
      <c r="V321" t="s">
        <v>1117</v>
      </c>
      <c r="W321" t="s">
        <v>496</v>
      </c>
      <c r="Y321" t="s">
        <v>822</v>
      </c>
      <c r="AA321">
        <v>1.02</v>
      </c>
      <c r="AB321">
        <v>0</v>
      </c>
      <c r="AC321">
        <v>0</v>
      </c>
    </row>
    <row r="322" spans="2:29" ht="15" customHeight="1" x14ac:dyDescent="0.15">
      <c r="B322">
        <v>4</v>
      </c>
      <c r="C322" t="s">
        <v>704</v>
      </c>
      <c r="D322" t="s">
        <v>1118</v>
      </c>
      <c r="E322">
        <v>1</v>
      </c>
      <c r="F322" t="s">
        <v>219</v>
      </c>
      <c r="G322" t="s">
        <v>231</v>
      </c>
      <c r="H322" t="s">
        <v>433</v>
      </c>
      <c r="I322">
        <v>27</v>
      </c>
      <c r="J322" s="21">
        <v>45843</v>
      </c>
      <c r="L322" t="s">
        <v>1119</v>
      </c>
      <c r="M322" t="s">
        <v>1030</v>
      </c>
      <c r="O322" t="s">
        <v>220</v>
      </c>
      <c r="P322">
        <v>0</v>
      </c>
      <c r="R322">
        <v>0.12</v>
      </c>
      <c r="S322">
        <v>0</v>
      </c>
      <c r="U322" t="s">
        <v>982</v>
      </c>
      <c r="V322" t="s">
        <v>982</v>
      </c>
      <c r="W322" t="s">
        <v>496</v>
      </c>
      <c r="Y322" t="s">
        <v>1120</v>
      </c>
      <c r="AA322">
        <v>21.83</v>
      </c>
      <c r="AB322">
        <v>0</v>
      </c>
      <c r="AC322">
        <v>0</v>
      </c>
    </row>
    <row r="323" spans="2:29" ht="15" customHeight="1" x14ac:dyDescent="0.15">
      <c r="B323">
        <v>4</v>
      </c>
      <c r="C323" t="s">
        <v>704</v>
      </c>
      <c r="D323" t="s">
        <v>1118</v>
      </c>
      <c r="E323">
        <v>2</v>
      </c>
      <c r="F323" t="s">
        <v>219</v>
      </c>
      <c r="G323" t="s">
        <v>244</v>
      </c>
      <c r="H323" t="s">
        <v>1093</v>
      </c>
      <c r="I323">
        <v>27</v>
      </c>
      <c r="J323" s="21">
        <v>45843</v>
      </c>
      <c r="L323" t="s">
        <v>1121</v>
      </c>
      <c r="M323" t="s">
        <v>1095</v>
      </c>
      <c r="O323" t="s">
        <v>220</v>
      </c>
      <c r="P323">
        <v>0</v>
      </c>
      <c r="R323">
        <v>0.75</v>
      </c>
      <c r="S323">
        <v>0</v>
      </c>
      <c r="U323" t="s">
        <v>982</v>
      </c>
      <c r="V323" t="s">
        <v>982</v>
      </c>
      <c r="W323" t="s">
        <v>496</v>
      </c>
      <c r="Y323" t="s">
        <v>1120</v>
      </c>
      <c r="AA323">
        <v>92.42</v>
      </c>
      <c r="AB323">
        <v>0</v>
      </c>
      <c r="AC323">
        <v>0</v>
      </c>
    </row>
    <row r="324" spans="2:29" ht="15" customHeight="1" x14ac:dyDescent="0.15">
      <c r="B324">
        <v>4</v>
      </c>
      <c r="C324" t="s">
        <v>386</v>
      </c>
      <c r="D324" t="s">
        <v>1122</v>
      </c>
      <c r="E324">
        <v>1</v>
      </c>
      <c r="F324" t="s">
        <v>201</v>
      </c>
      <c r="G324" t="s">
        <v>337</v>
      </c>
      <c r="H324" t="s">
        <v>1123</v>
      </c>
      <c r="I324">
        <v>28</v>
      </c>
      <c r="J324" s="21">
        <v>45845</v>
      </c>
      <c r="K324" s="21">
        <v>45845</v>
      </c>
      <c r="L324" t="s">
        <v>1124</v>
      </c>
      <c r="M324" t="s">
        <v>1125</v>
      </c>
      <c r="O324" t="s">
        <v>226</v>
      </c>
      <c r="P324">
        <v>0</v>
      </c>
      <c r="R324">
        <v>4</v>
      </c>
      <c r="S324">
        <v>0.16</v>
      </c>
      <c r="U324" t="s">
        <v>982</v>
      </c>
      <c r="V324" t="s">
        <v>982</v>
      </c>
      <c r="W324" t="s">
        <v>496</v>
      </c>
      <c r="Y324" t="s">
        <v>1126</v>
      </c>
      <c r="AA324">
        <v>0.78</v>
      </c>
      <c r="AB324">
        <v>0.12</v>
      </c>
      <c r="AC324">
        <v>0</v>
      </c>
    </row>
    <row r="325" spans="2:29" ht="15" customHeight="1" x14ac:dyDescent="0.15">
      <c r="B325">
        <v>4</v>
      </c>
      <c r="C325" t="s">
        <v>386</v>
      </c>
      <c r="D325" t="s">
        <v>1122</v>
      </c>
      <c r="E325">
        <v>2</v>
      </c>
      <c r="F325" t="s">
        <v>201</v>
      </c>
      <c r="G325" t="s">
        <v>337</v>
      </c>
      <c r="H325" t="s">
        <v>475</v>
      </c>
      <c r="I325">
        <v>28</v>
      </c>
      <c r="J325" s="21">
        <v>45845</v>
      </c>
      <c r="K325" s="21">
        <v>45845</v>
      </c>
      <c r="L325" t="s">
        <v>1127</v>
      </c>
      <c r="M325" t="s">
        <v>477</v>
      </c>
      <c r="O325" t="s">
        <v>226</v>
      </c>
      <c r="P325">
        <v>0</v>
      </c>
      <c r="R325">
        <v>10</v>
      </c>
      <c r="S325">
        <v>0.4</v>
      </c>
      <c r="U325" t="s">
        <v>982</v>
      </c>
      <c r="V325" t="s">
        <v>982</v>
      </c>
      <c r="W325" t="s">
        <v>496</v>
      </c>
      <c r="Y325" t="s">
        <v>1126</v>
      </c>
      <c r="AA325">
        <v>4.88</v>
      </c>
      <c r="AB325">
        <v>1.95</v>
      </c>
      <c r="AC325">
        <v>0</v>
      </c>
    </row>
    <row r="326" spans="2:29" ht="15" customHeight="1" x14ac:dyDescent="0.15">
      <c r="B326">
        <v>4</v>
      </c>
      <c r="C326" t="s">
        <v>386</v>
      </c>
      <c r="D326" t="s">
        <v>1122</v>
      </c>
      <c r="E326">
        <v>3</v>
      </c>
      <c r="F326" t="s">
        <v>201</v>
      </c>
      <c r="G326" t="s">
        <v>337</v>
      </c>
      <c r="H326" t="s">
        <v>1128</v>
      </c>
      <c r="I326">
        <v>28</v>
      </c>
      <c r="J326" s="21">
        <v>45845</v>
      </c>
      <c r="K326" s="21">
        <v>45845</v>
      </c>
      <c r="L326" t="s">
        <v>1129</v>
      </c>
      <c r="M326" t="s">
        <v>1130</v>
      </c>
      <c r="O326" t="s">
        <v>226</v>
      </c>
      <c r="P326">
        <v>0</v>
      </c>
      <c r="R326">
        <v>0.5</v>
      </c>
      <c r="S326">
        <v>0.02</v>
      </c>
      <c r="U326" t="s">
        <v>982</v>
      </c>
      <c r="V326" t="s">
        <v>982</v>
      </c>
      <c r="W326" t="s">
        <v>496</v>
      </c>
      <c r="Y326" t="s">
        <v>1126</v>
      </c>
      <c r="AA326">
        <v>5.61</v>
      </c>
      <c r="AB326">
        <v>0.11</v>
      </c>
      <c r="AC326">
        <v>0</v>
      </c>
    </row>
    <row r="327" spans="2:29" ht="15" customHeight="1" x14ac:dyDescent="0.15">
      <c r="B327">
        <v>4</v>
      </c>
      <c r="C327" t="s">
        <v>386</v>
      </c>
      <c r="D327" t="s">
        <v>1122</v>
      </c>
      <c r="E327">
        <v>4</v>
      </c>
      <c r="F327" t="s">
        <v>201</v>
      </c>
      <c r="G327" t="s">
        <v>470</v>
      </c>
      <c r="H327" t="s">
        <v>471</v>
      </c>
      <c r="I327">
        <v>28</v>
      </c>
      <c r="J327" s="21">
        <v>45845</v>
      </c>
      <c r="K327" s="21">
        <v>45845</v>
      </c>
      <c r="L327" t="s">
        <v>1131</v>
      </c>
      <c r="M327" t="s">
        <v>473</v>
      </c>
      <c r="O327" t="s">
        <v>226</v>
      </c>
      <c r="P327">
        <v>0</v>
      </c>
      <c r="R327">
        <v>5</v>
      </c>
      <c r="S327">
        <v>0.2</v>
      </c>
      <c r="U327" t="s">
        <v>982</v>
      </c>
      <c r="V327" t="s">
        <v>982</v>
      </c>
      <c r="W327" t="s">
        <v>496</v>
      </c>
      <c r="Y327" t="s">
        <v>1126</v>
      </c>
      <c r="AA327">
        <v>2.16</v>
      </c>
      <c r="AB327">
        <v>0.43</v>
      </c>
      <c r="AC327">
        <v>0</v>
      </c>
    </row>
    <row r="328" spans="2:29" ht="15" customHeight="1" x14ac:dyDescent="0.15">
      <c r="B328">
        <v>4</v>
      </c>
      <c r="C328" t="s">
        <v>386</v>
      </c>
      <c r="D328" t="s">
        <v>1122</v>
      </c>
      <c r="E328">
        <v>5</v>
      </c>
      <c r="F328" t="s">
        <v>201</v>
      </c>
      <c r="G328" t="s">
        <v>337</v>
      </c>
      <c r="H328" t="s">
        <v>1132</v>
      </c>
      <c r="I328">
        <v>28</v>
      </c>
      <c r="J328" s="21">
        <v>45845</v>
      </c>
      <c r="K328" s="21">
        <v>45845</v>
      </c>
      <c r="L328" t="s">
        <v>1133</v>
      </c>
      <c r="M328" t="s">
        <v>1134</v>
      </c>
      <c r="O328" t="s">
        <v>226</v>
      </c>
      <c r="P328">
        <v>0</v>
      </c>
      <c r="R328">
        <v>5</v>
      </c>
      <c r="S328">
        <v>0.2</v>
      </c>
      <c r="U328" t="s">
        <v>982</v>
      </c>
      <c r="V328" t="s">
        <v>982</v>
      </c>
      <c r="W328" t="s">
        <v>496</v>
      </c>
      <c r="Y328" t="s">
        <v>1126</v>
      </c>
      <c r="AA328">
        <v>5.28</v>
      </c>
      <c r="AB328">
        <v>1.06</v>
      </c>
      <c r="AC328">
        <v>0</v>
      </c>
    </row>
    <row r="329" spans="2:29" ht="15" customHeight="1" x14ac:dyDescent="0.15">
      <c r="B329">
        <v>4</v>
      </c>
      <c r="C329" t="s">
        <v>386</v>
      </c>
      <c r="D329" t="s">
        <v>1122</v>
      </c>
      <c r="E329">
        <v>6</v>
      </c>
      <c r="F329" t="s">
        <v>201</v>
      </c>
      <c r="G329" t="s">
        <v>337</v>
      </c>
      <c r="H329" t="s">
        <v>921</v>
      </c>
      <c r="I329">
        <v>28</v>
      </c>
      <c r="J329" s="21">
        <v>45845</v>
      </c>
      <c r="K329" s="21">
        <v>45845</v>
      </c>
      <c r="L329" t="s">
        <v>1135</v>
      </c>
      <c r="M329" t="s">
        <v>923</v>
      </c>
      <c r="O329" t="s">
        <v>226</v>
      </c>
      <c r="P329">
        <v>0</v>
      </c>
      <c r="R329">
        <v>10</v>
      </c>
      <c r="S329">
        <v>0.4</v>
      </c>
      <c r="U329" t="s">
        <v>982</v>
      </c>
      <c r="V329" t="s">
        <v>982</v>
      </c>
      <c r="W329" t="s">
        <v>496</v>
      </c>
      <c r="Y329" t="s">
        <v>1126</v>
      </c>
      <c r="AA329">
        <v>7.37</v>
      </c>
      <c r="AB329">
        <v>2.95</v>
      </c>
      <c r="AC329">
        <v>0</v>
      </c>
    </row>
    <row r="330" spans="2:29" ht="15" customHeight="1" x14ac:dyDescent="0.15">
      <c r="B330">
        <v>4</v>
      </c>
      <c r="C330" t="s">
        <v>386</v>
      </c>
      <c r="D330" t="s">
        <v>1136</v>
      </c>
      <c r="E330">
        <v>1</v>
      </c>
      <c r="F330" t="s">
        <v>219</v>
      </c>
      <c r="G330" t="s">
        <v>231</v>
      </c>
      <c r="H330" t="s">
        <v>433</v>
      </c>
      <c r="I330">
        <v>28</v>
      </c>
      <c r="J330" s="21">
        <v>45845</v>
      </c>
      <c r="K330" s="21">
        <v>45845</v>
      </c>
      <c r="L330" t="s">
        <v>1137</v>
      </c>
      <c r="M330" t="s">
        <v>1030</v>
      </c>
      <c r="O330" t="s">
        <v>220</v>
      </c>
      <c r="P330">
        <v>2</v>
      </c>
      <c r="Q330">
        <v>1</v>
      </c>
      <c r="R330">
        <v>0.12</v>
      </c>
      <c r="S330">
        <v>0.24</v>
      </c>
      <c r="T330">
        <v>0.12</v>
      </c>
      <c r="U330" t="s">
        <v>805</v>
      </c>
      <c r="V330" t="s">
        <v>806</v>
      </c>
      <c r="W330" t="s">
        <v>532</v>
      </c>
      <c r="X330">
        <v>2</v>
      </c>
      <c r="Y330" t="s">
        <v>871</v>
      </c>
      <c r="AA330">
        <v>21.83</v>
      </c>
      <c r="AB330">
        <v>5.24</v>
      </c>
      <c r="AC330">
        <v>2.62</v>
      </c>
    </row>
    <row r="331" spans="2:29" ht="15" customHeight="1" x14ac:dyDescent="0.15">
      <c r="B331">
        <v>4</v>
      </c>
      <c r="C331" t="s">
        <v>386</v>
      </c>
      <c r="D331" t="s">
        <v>1136</v>
      </c>
      <c r="E331">
        <v>2</v>
      </c>
      <c r="F331" t="s">
        <v>219</v>
      </c>
      <c r="G331" t="s">
        <v>218</v>
      </c>
      <c r="H331" t="s">
        <v>493</v>
      </c>
      <c r="I331">
        <v>28</v>
      </c>
      <c r="J331" s="21">
        <v>45845</v>
      </c>
      <c r="K331" s="21">
        <v>45845</v>
      </c>
      <c r="L331" t="s">
        <v>1138</v>
      </c>
      <c r="M331" t="s">
        <v>576</v>
      </c>
      <c r="O331" t="s">
        <v>220</v>
      </c>
      <c r="P331">
        <v>2</v>
      </c>
      <c r="Q331">
        <v>1</v>
      </c>
      <c r="R331">
        <v>0.2</v>
      </c>
      <c r="S331">
        <v>0.4</v>
      </c>
      <c r="T331">
        <v>0.2</v>
      </c>
      <c r="U331" t="s">
        <v>805</v>
      </c>
      <c r="V331" t="s">
        <v>806</v>
      </c>
      <c r="W331" t="s">
        <v>532</v>
      </c>
      <c r="X331">
        <v>2</v>
      </c>
      <c r="Y331" t="s">
        <v>871</v>
      </c>
      <c r="AA331">
        <v>101.77</v>
      </c>
      <c r="AB331">
        <v>40.71</v>
      </c>
      <c r="AC331">
        <v>20.350000000000001</v>
      </c>
    </row>
    <row r="332" spans="2:29" ht="15" customHeight="1" x14ac:dyDescent="0.15">
      <c r="B332">
        <v>4</v>
      </c>
      <c r="C332" t="s">
        <v>386</v>
      </c>
      <c r="D332" t="s">
        <v>1136</v>
      </c>
      <c r="E332">
        <v>3</v>
      </c>
      <c r="F332" t="s">
        <v>219</v>
      </c>
      <c r="G332" t="s">
        <v>244</v>
      </c>
      <c r="H332" t="s">
        <v>591</v>
      </c>
      <c r="I332">
        <v>28</v>
      </c>
      <c r="J332" s="21">
        <v>45845</v>
      </c>
      <c r="K332" s="21">
        <v>45845</v>
      </c>
      <c r="L332" t="s">
        <v>1139</v>
      </c>
      <c r="M332" t="s">
        <v>593</v>
      </c>
      <c r="O332" t="s">
        <v>220</v>
      </c>
      <c r="P332">
        <v>2</v>
      </c>
      <c r="Q332">
        <v>1</v>
      </c>
      <c r="R332">
        <v>2</v>
      </c>
      <c r="S332">
        <v>4</v>
      </c>
      <c r="T332">
        <v>2</v>
      </c>
      <c r="U332" t="s">
        <v>805</v>
      </c>
      <c r="V332" t="s">
        <v>806</v>
      </c>
      <c r="W332" t="s">
        <v>532</v>
      </c>
      <c r="X332">
        <v>2</v>
      </c>
      <c r="Y332" t="s">
        <v>871</v>
      </c>
      <c r="AA332">
        <v>37.58</v>
      </c>
      <c r="AB332">
        <v>150.30000000000001</v>
      </c>
      <c r="AC332">
        <v>75.150000000000006</v>
      </c>
    </row>
    <row r="333" spans="2:29" ht="15" customHeight="1" x14ac:dyDescent="0.15">
      <c r="B333">
        <v>4</v>
      </c>
      <c r="C333" t="s">
        <v>386</v>
      </c>
      <c r="D333" t="s">
        <v>1136</v>
      </c>
      <c r="E333">
        <v>4</v>
      </c>
      <c r="F333" t="s">
        <v>219</v>
      </c>
      <c r="G333" t="s">
        <v>239</v>
      </c>
      <c r="H333" t="s">
        <v>517</v>
      </c>
      <c r="I333">
        <v>28</v>
      </c>
      <c r="J333" s="21">
        <v>45845</v>
      </c>
      <c r="K333" s="21">
        <v>45845</v>
      </c>
      <c r="L333" t="s">
        <v>1140</v>
      </c>
      <c r="M333" t="s">
        <v>614</v>
      </c>
      <c r="O333" t="s">
        <v>220</v>
      </c>
      <c r="P333">
        <v>2</v>
      </c>
      <c r="Q333">
        <v>1</v>
      </c>
      <c r="R333">
        <v>0.5</v>
      </c>
      <c r="S333">
        <v>1</v>
      </c>
      <c r="T333">
        <v>0.5</v>
      </c>
      <c r="U333" t="s">
        <v>805</v>
      </c>
      <c r="V333" t="s">
        <v>806</v>
      </c>
      <c r="W333" t="s">
        <v>532</v>
      </c>
      <c r="X333">
        <v>2</v>
      </c>
      <c r="Y333" t="s">
        <v>871</v>
      </c>
      <c r="AA333">
        <v>65</v>
      </c>
      <c r="AB333">
        <v>65</v>
      </c>
      <c r="AC333">
        <v>32.5</v>
      </c>
    </row>
    <row r="334" spans="2:29" ht="15" customHeight="1" x14ac:dyDescent="0.15">
      <c r="B334">
        <v>4</v>
      </c>
      <c r="C334" t="s">
        <v>386</v>
      </c>
      <c r="D334" t="s">
        <v>1136</v>
      </c>
      <c r="E334">
        <v>5</v>
      </c>
      <c r="F334" t="s">
        <v>219</v>
      </c>
      <c r="G334" t="s">
        <v>239</v>
      </c>
      <c r="H334" t="s">
        <v>602</v>
      </c>
      <c r="I334">
        <v>28</v>
      </c>
      <c r="J334" s="21">
        <v>45845</v>
      </c>
      <c r="K334" s="21">
        <v>45845</v>
      </c>
      <c r="L334" t="s">
        <v>1141</v>
      </c>
      <c r="M334" t="s">
        <v>258</v>
      </c>
      <c r="O334" t="s">
        <v>220</v>
      </c>
      <c r="P334">
        <v>2</v>
      </c>
      <c r="Q334">
        <v>1</v>
      </c>
      <c r="R334">
        <v>0.3</v>
      </c>
      <c r="S334">
        <v>0.6</v>
      </c>
      <c r="T334">
        <v>0.3</v>
      </c>
      <c r="U334" t="s">
        <v>805</v>
      </c>
      <c r="V334" t="s">
        <v>806</v>
      </c>
      <c r="W334" t="s">
        <v>532</v>
      </c>
      <c r="X334">
        <v>2</v>
      </c>
      <c r="Y334" t="s">
        <v>871</v>
      </c>
      <c r="AA334">
        <v>180</v>
      </c>
      <c r="AB334">
        <v>108</v>
      </c>
      <c r="AC334">
        <v>54</v>
      </c>
    </row>
    <row r="335" spans="2:29" ht="15" customHeight="1" x14ac:dyDescent="0.15">
      <c r="B335">
        <v>4</v>
      </c>
      <c r="C335" t="s">
        <v>386</v>
      </c>
      <c r="D335" t="s">
        <v>1136</v>
      </c>
      <c r="E335">
        <v>6</v>
      </c>
      <c r="F335" t="s">
        <v>219</v>
      </c>
      <c r="G335" t="s">
        <v>239</v>
      </c>
      <c r="H335" t="s">
        <v>607</v>
      </c>
      <c r="I335">
        <v>28</v>
      </c>
      <c r="J335" s="21">
        <v>45845</v>
      </c>
      <c r="K335" s="21">
        <v>45845</v>
      </c>
      <c r="L335" t="s">
        <v>1142</v>
      </c>
      <c r="M335" t="s">
        <v>609</v>
      </c>
      <c r="O335" t="s">
        <v>220</v>
      </c>
      <c r="P335">
        <v>2</v>
      </c>
      <c r="Q335">
        <v>1</v>
      </c>
      <c r="R335">
        <v>0.5</v>
      </c>
      <c r="S335">
        <v>1</v>
      </c>
      <c r="T335">
        <v>0.5</v>
      </c>
      <c r="U335" t="s">
        <v>805</v>
      </c>
      <c r="V335" t="s">
        <v>806</v>
      </c>
      <c r="W335" t="s">
        <v>532</v>
      </c>
      <c r="X335">
        <v>2</v>
      </c>
      <c r="Y335" t="s">
        <v>871</v>
      </c>
      <c r="AC335">
        <v>0</v>
      </c>
    </row>
    <row r="336" spans="2:29" ht="15" customHeight="1" x14ac:dyDescent="0.15">
      <c r="B336">
        <v>4</v>
      </c>
      <c r="C336" t="s">
        <v>386</v>
      </c>
      <c r="D336" t="s">
        <v>1143</v>
      </c>
      <c r="E336">
        <v>1</v>
      </c>
      <c r="F336" t="s">
        <v>556</v>
      </c>
      <c r="G336" t="s">
        <v>556</v>
      </c>
      <c r="H336" t="s">
        <v>556</v>
      </c>
      <c r="I336">
        <v>28</v>
      </c>
      <c r="J336" s="21">
        <v>45845</v>
      </c>
      <c r="K336" s="21">
        <v>45850</v>
      </c>
      <c r="L336" t="s">
        <v>1144</v>
      </c>
      <c r="M336" t="s">
        <v>1145</v>
      </c>
      <c r="O336" t="s">
        <v>282</v>
      </c>
      <c r="P336">
        <v>1</v>
      </c>
      <c r="R336">
        <v>50</v>
      </c>
      <c r="S336">
        <v>50</v>
      </c>
      <c r="U336" t="s">
        <v>1146</v>
      </c>
      <c r="V336" t="s">
        <v>1146</v>
      </c>
      <c r="W336" t="s">
        <v>496</v>
      </c>
      <c r="Y336" t="s">
        <v>1147</v>
      </c>
      <c r="AA336">
        <v>1.6</v>
      </c>
      <c r="AB336">
        <v>80</v>
      </c>
      <c r="AC336">
        <v>0</v>
      </c>
    </row>
    <row r="337" spans="2:29" ht="15" customHeight="1" x14ac:dyDescent="0.15">
      <c r="B337">
        <v>4</v>
      </c>
      <c r="C337" t="s">
        <v>386</v>
      </c>
      <c r="D337" t="s">
        <v>1148</v>
      </c>
      <c r="E337">
        <v>1</v>
      </c>
      <c r="F337" t="s">
        <v>219</v>
      </c>
      <c r="G337" t="s">
        <v>231</v>
      </c>
      <c r="H337" t="s">
        <v>433</v>
      </c>
      <c r="I337">
        <v>28</v>
      </c>
      <c r="J337" s="21">
        <v>45847</v>
      </c>
      <c r="K337" s="21">
        <v>45847</v>
      </c>
      <c r="L337" t="s">
        <v>1149</v>
      </c>
      <c r="M337" t="s">
        <v>1030</v>
      </c>
      <c r="O337" t="s">
        <v>220</v>
      </c>
      <c r="P337">
        <v>2</v>
      </c>
      <c r="Q337">
        <v>1</v>
      </c>
      <c r="R337">
        <v>0.12</v>
      </c>
      <c r="S337">
        <v>0.24</v>
      </c>
      <c r="T337">
        <v>0.12</v>
      </c>
      <c r="U337" t="s">
        <v>1056</v>
      </c>
      <c r="V337" t="s">
        <v>1057</v>
      </c>
      <c r="W337" t="s">
        <v>532</v>
      </c>
      <c r="X337">
        <v>2</v>
      </c>
      <c r="Y337" t="s">
        <v>438</v>
      </c>
      <c r="AA337">
        <v>21.83</v>
      </c>
      <c r="AB337">
        <v>5.24</v>
      </c>
      <c r="AC337">
        <v>2.62</v>
      </c>
    </row>
    <row r="338" spans="2:29" ht="15" customHeight="1" x14ac:dyDescent="0.15">
      <c r="B338">
        <v>4</v>
      </c>
      <c r="C338" t="s">
        <v>386</v>
      </c>
      <c r="D338" t="s">
        <v>1148</v>
      </c>
      <c r="E338">
        <v>2</v>
      </c>
      <c r="F338" t="s">
        <v>219</v>
      </c>
      <c r="G338" t="s">
        <v>439</v>
      </c>
      <c r="H338" t="s">
        <v>533</v>
      </c>
      <c r="I338">
        <v>28</v>
      </c>
      <c r="J338" s="21">
        <v>45847</v>
      </c>
      <c r="K338" s="21">
        <v>45847</v>
      </c>
      <c r="L338" t="s">
        <v>1150</v>
      </c>
      <c r="M338" t="s">
        <v>535</v>
      </c>
      <c r="O338" t="s">
        <v>220</v>
      </c>
      <c r="P338">
        <v>2</v>
      </c>
      <c r="Q338">
        <v>1</v>
      </c>
      <c r="R338">
        <v>1.5</v>
      </c>
      <c r="S338">
        <v>3</v>
      </c>
      <c r="T338">
        <v>1.5</v>
      </c>
      <c r="U338" t="s">
        <v>1056</v>
      </c>
      <c r="V338" t="s">
        <v>1057</v>
      </c>
      <c r="W338" t="s">
        <v>532</v>
      </c>
      <c r="X338">
        <v>2</v>
      </c>
      <c r="Y338" t="s">
        <v>438</v>
      </c>
      <c r="AA338">
        <v>38.14</v>
      </c>
      <c r="AB338">
        <v>114.42</v>
      </c>
      <c r="AC338">
        <v>57.21</v>
      </c>
    </row>
    <row r="339" spans="2:29" ht="15" customHeight="1" x14ac:dyDescent="0.15">
      <c r="B339">
        <v>4</v>
      </c>
      <c r="C339" t="s">
        <v>386</v>
      </c>
      <c r="D339" t="s">
        <v>1148</v>
      </c>
      <c r="E339">
        <v>3</v>
      </c>
      <c r="F339" t="s">
        <v>219</v>
      </c>
      <c r="G339" t="s">
        <v>439</v>
      </c>
      <c r="H339" t="s">
        <v>533</v>
      </c>
      <c r="I339">
        <v>28</v>
      </c>
      <c r="J339" s="21">
        <v>45847</v>
      </c>
      <c r="K339" s="21">
        <v>45847</v>
      </c>
      <c r="L339" t="s">
        <v>1151</v>
      </c>
      <c r="M339" t="s">
        <v>540</v>
      </c>
      <c r="O339" t="s">
        <v>220</v>
      </c>
      <c r="P339">
        <v>0</v>
      </c>
      <c r="Q339">
        <v>7.0000000000000007E-2</v>
      </c>
      <c r="R339">
        <v>1.5</v>
      </c>
      <c r="S339">
        <v>0.2</v>
      </c>
      <c r="T339">
        <v>0.1</v>
      </c>
      <c r="U339" t="s">
        <v>1056</v>
      </c>
      <c r="V339" t="s">
        <v>1057</v>
      </c>
      <c r="W339" t="s">
        <v>532</v>
      </c>
      <c r="X339">
        <v>2</v>
      </c>
      <c r="Y339" t="s">
        <v>438</v>
      </c>
      <c r="AA339">
        <v>37</v>
      </c>
      <c r="AB339">
        <v>7.38</v>
      </c>
      <c r="AC339">
        <v>3.69</v>
      </c>
    </row>
    <row r="340" spans="2:29" ht="15" customHeight="1" x14ac:dyDescent="0.15">
      <c r="B340">
        <v>4</v>
      </c>
      <c r="C340" t="s">
        <v>386</v>
      </c>
      <c r="D340" t="s">
        <v>1148</v>
      </c>
      <c r="E340">
        <v>4</v>
      </c>
      <c r="F340" t="s">
        <v>219</v>
      </c>
      <c r="G340" t="s">
        <v>439</v>
      </c>
      <c r="H340" t="s">
        <v>1152</v>
      </c>
      <c r="I340">
        <v>28</v>
      </c>
      <c r="J340" s="21">
        <v>45847</v>
      </c>
      <c r="K340" s="21">
        <v>45847</v>
      </c>
      <c r="L340" t="s">
        <v>1153</v>
      </c>
      <c r="M340" t="s">
        <v>1154</v>
      </c>
      <c r="O340" t="s">
        <v>220</v>
      </c>
      <c r="P340">
        <v>0</v>
      </c>
      <c r="Q340">
        <v>0.02</v>
      </c>
      <c r="R340">
        <v>1.5</v>
      </c>
      <c r="S340">
        <v>0.05</v>
      </c>
      <c r="T340">
        <v>0.02</v>
      </c>
      <c r="U340" t="s">
        <v>1056</v>
      </c>
      <c r="V340" t="s">
        <v>1057</v>
      </c>
      <c r="W340" t="s">
        <v>532</v>
      </c>
      <c r="X340">
        <v>2</v>
      </c>
      <c r="Y340" t="s">
        <v>438</v>
      </c>
      <c r="AA340">
        <v>325.97000000000003</v>
      </c>
      <c r="AB340">
        <v>16.14</v>
      </c>
      <c r="AC340">
        <v>8.07</v>
      </c>
    </row>
    <row r="341" spans="2:29" ht="15" customHeight="1" x14ac:dyDescent="0.15">
      <c r="B341">
        <v>4</v>
      </c>
      <c r="C341" t="s">
        <v>386</v>
      </c>
      <c r="D341" t="s">
        <v>1155</v>
      </c>
      <c r="E341">
        <v>1</v>
      </c>
      <c r="F341" t="s">
        <v>219</v>
      </c>
      <c r="G341" t="s">
        <v>231</v>
      </c>
      <c r="H341" t="s">
        <v>433</v>
      </c>
      <c r="I341">
        <v>28</v>
      </c>
      <c r="J341" s="21">
        <v>45847</v>
      </c>
      <c r="K341" s="21">
        <v>45847</v>
      </c>
      <c r="L341" t="s">
        <v>1156</v>
      </c>
      <c r="M341" t="s">
        <v>1030</v>
      </c>
      <c r="O341" t="s">
        <v>220</v>
      </c>
      <c r="P341">
        <v>2</v>
      </c>
      <c r="Q341">
        <v>1</v>
      </c>
      <c r="R341">
        <v>0.12</v>
      </c>
      <c r="S341">
        <v>0.24</v>
      </c>
      <c r="T341">
        <v>0.12</v>
      </c>
      <c r="U341" t="s">
        <v>627</v>
      </c>
      <c r="V341" t="s">
        <v>628</v>
      </c>
      <c r="W341" t="s">
        <v>532</v>
      </c>
      <c r="X341">
        <v>2</v>
      </c>
      <c r="Y341" t="s">
        <v>871</v>
      </c>
      <c r="AA341">
        <v>21.83</v>
      </c>
      <c r="AB341">
        <v>5.24</v>
      </c>
      <c r="AC341">
        <v>2.62</v>
      </c>
    </row>
    <row r="342" spans="2:29" ht="15" customHeight="1" x14ac:dyDescent="0.15">
      <c r="B342">
        <v>4</v>
      </c>
      <c r="C342" t="s">
        <v>386</v>
      </c>
      <c r="D342" t="s">
        <v>1155</v>
      </c>
      <c r="E342">
        <v>2</v>
      </c>
      <c r="F342" t="s">
        <v>219</v>
      </c>
      <c r="G342" t="s">
        <v>218</v>
      </c>
      <c r="H342" t="s">
        <v>493</v>
      </c>
      <c r="I342">
        <v>28</v>
      </c>
      <c r="J342" s="21">
        <v>45847</v>
      </c>
      <c r="K342" s="21">
        <v>45847</v>
      </c>
      <c r="L342" t="s">
        <v>1157</v>
      </c>
      <c r="M342" t="s">
        <v>576</v>
      </c>
      <c r="O342" t="s">
        <v>220</v>
      </c>
      <c r="P342">
        <v>2</v>
      </c>
      <c r="Q342">
        <v>1</v>
      </c>
      <c r="R342">
        <v>0.2</v>
      </c>
      <c r="S342">
        <v>0.4</v>
      </c>
      <c r="T342">
        <v>0.2</v>
      </c>
      <c r="U342" t="s">
        <v>627</v>
      </c>
      <c r="V342" t="s">
        <v>628</v>
      </c>
      <c r="W342" t="s">
        <v>532</v>
      </c>
      <c r="X342">
        <v>2</v>
      </c>
      <c r="Y342" t="s">
        <v>871</v>
      </c>
      <c r="AA342">
        <v>101.77</v>
      </c>
      <c r="AB342">
        <v>40.71</v>
      </c>
      <c r="AC342">
        <v>20.350000000000001</v>
      </c>
    </row>
    <row r="343" spans="2:29" ht="15" customHeight="1" x14ac:dyDescent="0.15">
      <c r="B343">
        <v>4</v>
      </c>
      <c r="C343" t="s">
        <v>386</v>
      </c>
      <c r="D343" t="s">
        <v>1155</v>
      </c>
      <c r="E343">
        <v>3</v>
      </c>
      <c r="F343" t="s">
        <v>219</v>
      </c>
      <c r="G343" t="s">
        <v>218</v>
      </c>
      <c r="H343" t="s">
        <v>864</v>
      </c>
      <c r="I343">
        <v>28</v>
      </c>
      <c r="J343" s="21">
        <v>45847</v>
      </c>
      <c r="K343" s="21">
        <v>45847</v>
      </c>
      <c r="L343" t="s">
        <v>1158</v>
      </c>
      <c r="M343" t="s">
        <v>866</v>
      </c>
      <c r="O343" t="s">
        <v>220</v>
      </c>
      <c r="P343">
        <v>2</v>
      </c>
      <c r="Q343">
        <v>1</v>
      </c>
      <c r="R343">
        <v>0.2</v>
      </c>
      <c r="S343">
        <v>0.4</v>
      </c>
      <c r="T343">
        <v>0.2</v>
      </c>
      <c r="U343" t="s">
        <v>627</v>
      </c>
      <c r="V343" t="s">
        <v>628</v>
      </c>
      <c r="W343" t="s">
        <v>532</v>
      </c>
      <c r="X343">
        <v>2</v>
      </c>
      <c r="Y343" t="s">
        <v>871</v>
      </c>
      <c r="AA343">
        <v>70.3</v>
      </c>
      <c r="AB343">
        <v>28.12</v>
      </c>
      <c r="AC343">
        <v>14.06</v>
      </c>
    </row>
    <row r="344" spans="2:29" ht="15" customHeight="1" x14ac:dyDescent="0.15">
      <c r="B344">
        <v>4</v>
      </c>
      <c r="C344" t="s">
        <v>386</v>
      </c>
      <c r="D344" t="s">
        <v>1155</v>
      </c>
      <c r="E344">
        <v>4</v>
      </c>
      <c r="F344" t="s">
        <v>219</v>
      </c>
      <c r="G344" t="s">
        <v>239</v>
      </c>
      <c r="H344" t="s">
        <v>602</v>
      </c>
      <c r="I344">
        <v>28</v>
      </c>
      <c r="J344" s="21">
        <v>45847</v>
      </c>
      <c r="K344" s="21">
        <v>45847</v>
      </c>
      <c r="L344" t="s">
        <v>1159</v>
      </c>
      <c r="M344" t="s">
        <v>258</v>
      </c>
      <c r="O344" t="s">
        <v>220</v>
      </c>
      <c r="P344">
        <v>2</v>
      </c>
      <c r="Q344">
        <v>1</v>
      </c>
      <c r="R344">
        <v>0.35</v>
      </c>
      <c r="S344">
        <v>0.7</v>
      </c>
      <c r="T344">
        <v>0.35</v>
      </c>
      <c r="U344" t="s">
        <v>627</v>
      </c>
      <c r="V344" t="s">
        <v>628</v>
      </c>
      <c r="W344" t="s">
        <v>532</v>
      </c>
      <c r="X344">
        <v>2</v>
      </c>
      <c r="Y344" t="s">
        <v>871</v>
      </c>
      <c r="AA344">
        <v>180</v>
      </c>
      <c r="AB344">
        <v>126</v>
      </c>
      <c r="AC344">
        <v>63</v>
      </c>
    </row>
    <row r="345" spans="2:29" ht="15" customHeight="1" x14ac:dyDescent="0.15">
      <c r="B345">
        <v>4</v>
      </c>
      <c r="C345" t="s">
        <v>386</v>
      </c>
      <c r="D345" t="s">
        <v>1155</v>
      </c>
      <c r="E345">
        <v>5</v>
      </c>
      <c r="F345" t="s">
        <v>219</v>
      </c>
      <c r="G345" t="s">
        <v>239</v>
      </c>
      <c r="H345" t="s">
        <v>607</v>
      </c>
      <c r="I345">
        <v>28</v>
      </c>
      <c r="J345" s="21">
        <v>45847</v>
      </c>
      <c r="K345" s="21">
        <v>45847</v>
      </c>
      <c r="L345" t="s">
        <v>1160</v>
      </c>
      <c r="M345" t="s">
        <v>609</v>
      </c>
      <c r="O345" t="s">
        <v>220</v>
      </c>
      <c r="P345">
        <v>2</v>
      </c>
      <c r="Q345">
        <v>1</v>
      </c>
      <c r="R345">
        <v>0.5</v>
      </c>
      <c r="S345">
        <v>1</v>
      </c>
      <c r="T345">
        <v>0.5</v>
      </c>
      <c r="U345" t="s">
        <v>627</v>
      </c>
      <c r="V345" t="s">
        <v>628</v>
      </c>
      <c r="W345" t="s">
        <v>532</v>
      </c>
      <c r="X345">
        <v>2</v>
      </c>
      <c r="Y345" t="s">
        <v>871</v>
      </c>
      <c r="AC345">
        <v>0</v>
      </c>
    </row>
    <row r="346" spans="2:29" ht="15" customHeight="1" x14ac:dyDescent="0.15">
      <c r="B346">
        <v>4</v>
      </c>
      <c r="C346" t="s">
        <v>386</v>
      </c>
      <c r="D346" t="s">
        <v>1161</v>
      </c>
      <c r="E346">
        <v>1</v>
      </c>
      <c r="F346" t="s">
        <v>219</v>
      </c>
      <c r="G346" t="s">
        <v>231</v>
      </c>
      <c r="H346" t="s">
        <v>433</v>
      </c>
      <c r="I346">
        <v>28</v>
      </c>
      <c r="J346" s="21">
        <v>45847</v>
      </c>
      <c r="K346" s="21">
        <v>45849</v>
      </c>
      <c r="L346" t="s">
        <v>1162</v>
      </c>
      <c r="M346" t="s">
        <v>1030</v>
      </c>
      <c r="O346" t="s">
        <v>220</v>
      </c>
      <c r="P346">
        <v>2</v>
      </c>
      <c r="Q346">
        <v>1</v>
      </c>
      <c r="R346">
        <v>0.12</v>
      </c>
      <c r="S346">
        <v>0.24</v>
      </c>
      <c r="T346">
        <v>0.12</v>
      </c>
      <c r="U346" t="s">
        <v>1056</v>
      </c>
      <c r="V346" t="s">
        <v>1057</v>
      </c>
      <c r="W346" t="s">
        <v>532</v>
      </c>
      <c r="X346">
        <v>2</v>
      </c>
      <c r="Y346" t="s">
        <v>871</v>
      </c>
      <c r="AA346">
        <v>21.83</v>
      </c>
      <c r="AB346">
        <v>5.24</v>
      </c>
      <c r="AC346">
        <v>2.62</v>
      </c>
    </row>
    <row r="347" spans="2:29" ht="15" customHeight="1" x14ac:dyDescent="0.15">
      <c r="B347">
        <v>4</v>
      </c>
      <c r="C347" t="s">
        <v>386</v>
      </c>
      <c r="D347" t="s">
        <v>1161</v>
      </c>
      <c r="E347">
        <v>2</v>
      </c>
      <c r="F347" t="s">
        <v>219</v>
      </c>
      <c r="G347" t="s">
        <v>244</v>
      </c>
      <c r="H347" t="s">
        <v>545</v>
      </c>
      <c r="I347">
        <v>28</v>
      </c>
      <c r="J347" s="21">
        <v>45847</v>
      </c>
      <c r="K347" s="21">
        <v>45849</v>
      </c>
      <c r="L347" t="s">
        <v>1163</v>
      </c>
      <c r="M347" t="s">
        <v>363</v>
      </c>
      <c r="O347" t="s">
        <v>220</v>
      </c>
      <c r="P347">
        <v>2</v>
      </c>
      <c r="Q347">
        <v>1</v>
      </c>
      <c r="R347">
        <v>0.5</v>
      </c>
      <c r="S347">
        <v>1</v>
      </c>
      <c r="T347">
        <v>0.5</v>
      </c>
      <c r="U347" t="s">
        <v>1056</v>
      </c>
      <c r="V347" t="s">
        <v>1057</v>
      </c>
      <c r="W347" t="s">
        <v>532</v>
      </c>
      <c r="X347">
        <v>2</v>
      </c>
      <c r="Y347" t="s">
        <v>871</v>
      </c>
      <c r="AA347">
        <v>91.2</v>
      </c>
      <c r="AB347">
        <v>91.2</v>
      </c>
      <c r="AC347">
        <v>45.6</v>
      </c>
    </row>
    <row r="348" spans="2:29" ht="15" customHeight="1" x14ac:dyDescent="0.15">
      <c r="B348">
        <v>4</v>
      </c>
      <c r="C348" t="s">
        <v>386</v>
      </c>
      <c r="D348" t="s">
        <v>1161</v>
      </c>
      <c r="E348">
        <v>3</v>
      </c>
      <c r="F348" t="s">
        <v>219</v>
      </c>
      <c r="G348" t="s">
        <v>239</v>
      </c>
      <c r="H348" t="s">
        <v>551</v>
      </c>
      <c r="I348">
        <v>28</v>
      </c>
      <c r="J348" s="21">
        <v>45847</v>
      </c>
      <c r="K348" s="21">
        <v>45849</v>
      </c>
      <c r="L348" t="s">
        <v>1164</v>
      </c>
      <c r="M348" t="s">
        <v>1165</v>
      </c>
      <c r="O348" t="s">
        <v>220</v>
      </c>
      <c r="P348">
        <v>2</v>
      </c>
      <c r="Q348">
        <v>1</v>
      </c>
      <c r="R348">
        <v>0.5</v>
      </c>
      <c r="S348">
        <v>1</v>
      </c>
      <c r="T348">
        <v>0.5</v>
      </c>
      <c r="U348" t="s">
        <v>1056</v>
      </c>
      <c r="V348" t="s">
        <v>1057</v>
      </c>
      <c r="W348" t="s">
        <v>532</v>
      </c>
      <c r="X348">
        <v>2</v>
      </c>
      <c r="Y348" t="s">
        <v>871</v>
      </c>
      <c r="AA348">
        <v>57.53</v>
      </c>
      <c r="AB348">
        <v>57.53</v>
      </c>
      <c r="AC348">
        <v>28.76</v>
      </c>
    </row>
    <row r="349" spans="2:29" ht="15" customHeight="1" x14ac:dyDescent="0.15">
      <c r="B349">
        <v>4</v>
      </c>
      <c r="C349" t="s">
        <v>386</v>
      </c>
      <c r="D349" t="s">
        <v>1166</v>
      </c>
      <c r="E349">
        <v>1</v>
      </c>
      <c r="F349" t="s">
        <v>556</v>
      </c>
      <c r="G349" t="s">
        <v>556</v>
      </c>
      <c r="H349" t="s">
        <v>557</v>
      </c>
      <c r="I349">
        <v>28</v>
      </c>
      <c r="J349" s="21">
        <v>45845</v>
      </c>
      <c r="K349" s="21">
        <v>45845</v>
      </c>
      <c r="L349" t="s">
        <v>1167</v>
      </c>
      <c r="M349" t="s">
        <v>702</v>
      </c>
      <c r="O349" t="s">
        <v>226</v>
      </c>
      <c r="P349">
        <v>1</v>
      </c>
      <c r="Q349">
        <v>1</v>
      </c>
      <c r="R349">
        <v>1</v>
      </c>
      <c r="S349">
        <v>1</v>
      </c>
      <c r="T349">
        <v>1</v>
      </c>
      <c r="U349" t="s">
        <v>391</v>
      </c>
      <c r="V349" t="s">
        <v>392</v>
      </c>
      <c r="W349" t="s">
        <v>392</v>
      </c>
      <c r="X349">
        <v>1</v>
      </c>
      <c r="Y349" t="s">
        <v>750</v>
      </c>
      <c r="AA349">
        <v>20.63</v>
      </c>
      <c r="AB349">
        <v>20.63</v>
      </c>
      <c r="AC349">
        <v>20.63</v>
      </c>
    </row>
    <row r="350" spans="2:29" ht="15" customHeight="1" x14ac:dyDescent="0.15">
      <c r="B350">
        <v>4</v>
      </c>
      <c r="C350" t="s">
        <v>386</v>
      </c>
      <c r="D350" t="s">
        <v>1168</v>
      </c>
      <c r="E350">
        <v>1</v>
      </c>
      <c r="F350" t="s">
        <v>556</v>
      </c>
      <c r="G350" t="s">
        <v>556</v>
      </c>
      <c r="H350" t="s">
        <v>557</v>
      </c>
      <c r="I350">
        <v>28</v>
      </c>
      <c r="J350" s="21">
        <v>45845</v>
      </c>
      <c r="K350" s="21">
        <v>45845</v>
      </c>
      <c r="L350" t="s">
        <v>1169</v>
      </c>
      <c r="M350" t="s">
        <v>713</v>
      </c>
      <c r="O350" t="s">
        <v>226</v>
      </c>
      <c r="P350">
        <v>1</v>
      </c>
      <c r="Q350">
        <v>1</v>
      </c>
      <c r="R350">
        <v>1</v>
      </c>
      <c r="S350">
        <v>1</v>
      </c>
      <c r="T350">
        <v>1</v>
      </c>
      <c r="U350" t="s">
        <v>391</v>
      </c>
      <c r="V350" t="s">
        <v>392</v>
      </c>
      <c r="W350" t="s">
        <v>392</v>
      </c>
      <c r="X350">
        <v>1</v>
      </c>
      <c r="Y350" t="s">
        <v>723</v>
      </c>
      <c r="AA350">
        <v>16.5</v>
      </c>
      <c r="AB350">
        <v>16.5</v>
      </c>
      <c r="AC350">
        <v>16.5</v>
      </c>
    </row>
    <row r="351" spans="2:29" ht="15" customHeight="1" x14ac:dyDescent="0.15">
      <c r="B351">
        <v>4</v>
      </c>
      <c r="C351" t="s">
        <v>386</v>
      </c>
      <c r="D351" t="s">
        <v>1170</v>
      </c>
      <c r="E351">
        <v>1</v>
      </c>
      <c r="F351" t="s">
        <v>556</v>
      </c>
      <c r="G351" t="s">
        <v>556</v>
      </c>
      <c r="H351" t="s">
        <v>557</v>
      </c>
      <c r="I351">
        <v>28</v>
      </c>
      <c r="J351" s="21">
        <v>45845</v>
      </c>
      <c r="K351" s="21">
        <v>45845</v>
      </c>
      <c r="L351" t="s">
        <v>1171</v>
      </c>
      <c r="M351" t="s">
        <v>713</v>
      </c>
      <c r="O351" t="s">
        <v>202</v>
      </c>
      <c r="P351">
        <v>1</v>
      </c>
      <c r="Q351">
        <v>1</v>
      </c>
      <c r="R351">
        <v>1</v>
      </c>
      <c r="S351">
        <v>1</v>
      </c>
      <c r="T351">
        <v>1</v>
      </c>
      <c r="U351" t="s">
        <v>391</v>
      </c>
      <c r="V351" t="s">
        <v>392</v>
      </c>
      <c r="W351" t="s">
        <v>392</v>
      </c>
      <c r="X351">
        <v>1</v>
      </c>
      <c r="Y351" t="s">
        <v>1172</v>
      </c>
      <c r="AA351">
        <v>16.5</v>
      </c>
      <c r="AB351">
        <v>16.5</v>
      </c>
      <c r="AC351">
        <v>16.5</v>
      </c>
    </row>
    <row r="352" spans="2:29" ht="15" customHeight="1" x14ac:dyDescent="0.15">
      <c r="B352">
        <v>4</v>
      </c>
      <c r="C352" t="s">
        <v>386</v>
      </c>
      <c r="D352" t="s">
        <v>1170</v>
      </c>
      <c r="E352">
        <v>2</v>
      </c>
      <c r="F352" t="s">
        <v>556</v>
      </c>
      <c r="G352" t="s">
        <v>556</v>
      </c>
      <c r="H352" t="s">
        <v>557</v>
      </c>
      <c r="I352">
        <v>28</v>
      </c>
      <c r="J352" s="21">
        <v>45845</v>
      </c>
      <c r="K352" s="21">
        <v>45845</v>
      </c>
      <c r="L352" t="s">
        <v>1173</v>
      </c>
      <c r="M352" t="s">
        <v>672</v>
      </c>
      <c r="O352" t="s">
        <v>202</v>
      </c>
      <c r="P352">
        <v>1</v>
      </c>
      <c r="Q352">
        <v>1</v>
      </c>
      <c r="R352">
        <v>1</v>
      </c>
      <c r="S352">
        <v>1</v>
      </c>
      <c r="T352">
        <v>1</v>
      </c>
      <c r="U352" t="s">
        <v>391</v>
      </c>
      <c r="V352" t="s">
        <v>392</v>
      </c>
      <c r="W352" t="s">
        <v>392</v>
      </c>
      <c r="X352">
        <v>1</v>
      </c>
      <c r="Y352" t="s">
        <v>1172</v>
      </c>
      <c r="AA352">
        <v>69</v>
      </c>
      <c r="AB352">
        <v>69</v>
      </c>
      <c r="AC352">
        <v>69</v>
      </c>
    </row>
    <row r="353" spans="2:29" ht="15" customHeight="1" x14ac:dyDescent="0.15">
      <c r="B353">
        <v>4</v>
      </c>
      <c r="C353" t="s">
        <v>386</v>
      </c>
      <c r="D353" t="s">
        <v>1174</v>
      </c>
      <c r="E353">
        <v>1</v>
      </c>
      <c r="F353" t="s">
        <v>219</v>
      </c>
      <c r="G353" t="s">
        <v>218</v>
      </c>
      <c r="H353" t="s">
        <v>1175</v>
      </c>
      <c r="I353">
        <v>28</v>
      </c>
      <c r="J353" s="21">
        <v>45846</v>
      </c>
      <c r="K353" s="21">
        <v>45846</v>
      </c>
      <c r="L353" t="s">
        <v>1176</v>
      </c>
      <c r="M353" t="s">
        <v>1177</v>
      </c>
      <c r="O353" t="s">
        <v>220</v>
      </c>
      <c r="P353">
        <v>1</v>
      </c>
      <c r="Q353">
        <v>0.5</v>
      </c>
      <c r="R353">
        <v>0.15</v>
      </c>
      <c r="S353">
        <v>0.15</v>
      </c>
      <c r="T353">
        <v>0.08</v>
      </c>
      <c r="U353" t="s">
        <v>627</v>
      </c>
      <c r="V353" t="s">
        <v>628</v>
      </c>
      <c r="W353" t="s">
        <v>532</v>
      </c>
      <c r="X353">
        <v>2</v>
      </c>
      <c r="Y353" t="s">
        <v>1178</v>
      </c>
      <c r="AA353">
        <v>177</v>
      </c>
      <c r="AB353">
        <v>26.55</v>
      </c>
      <c r="AC353">
        <v>13.28</v>
      </c>
    </row>
    <row r="354" spans="2:29" ht="15" customHeight="1" x14ac:dyDescent="0.15">
      <c r="B354">
        <v>4</v>
      </c>
      <c r="C354" t="s">
        <v>386</v>
      </c>
      <c r="D354" t="s">
        <v>1179</v>
      </c>
      <c r="E354">
        <v>1</v>
      </c>
      <c r="F354" t="s">
        <v>201</v>
      </c>
      <c r="G354" t="s">
        <v>200</v>
      </c>
      <c r="H354" t="s">
        <v>647</v>
      </c>
      <c r="I354">
        <v>28</v>
      </c>
      <c r="J354" s="21">
        <v>45846</v>
      </c>
      <c r="K354" s="21">
        <v>45846</v>
      </c>
      <c r="L354" t="s">
        <v>1180</v>
      </c>
      <c r="M354" t="s">
        <v>647</v>
      </c>
      <c r="O354" t="s">
        <v>202</v>
      </c>
      <c r="P354">
        <v>1</v>
      </c>
      <c r="Q354">
        <v>1</v>
      </c>
      <c r="R354">
        <v>500</v>
      </c>
      <c r="S354">
        <v>500</v>
      </c>
      <c r="T354">
        <v>500</v>
      </c>
      <c r="U354" t="s">
        <v>391</v>
      </c>
      <c r="V354" t="s">
        <v>392</v>
      </c>
      <c r="W354" t="s">
        <v>392</v>
      </c>
      <c r="X354">
        <v>1</v>
      </c>
      <c r="Y354" t="s">
        <v>1181</v>
      </c>
      <c r="AA354">
        <v>3.19</v>
      </c>
      <c r="AB354" s="22">
        <v>1593.75</v>
      </c>
      <c r="AC354" s="22">
        <v>1593.75</v>
      </c>
    </row>
    <row r="355" spans="2:29" ht="15" customHeight="1" x14ac:dyDescent="0.15">
      <c r="B355">
        <v>4</v>
      </c>
      <c r="C355" t="s">
        <v>386</v>
      </c>
      <c r="D355" t="s">
        <v>1179</v>
      </c>
      <c r="E355">
        <v>2</v>
      </c>
      <c r="F355" t="s">
        <v>201</v>
      </c>
      <c r="G355" t="s">
        <v>200</v>
      </c>
      <c r="H355" t="s">
        <v>732</v>
      </c>
      <c r="I355">
        <v>28</v>
      </c>
      <c r="J355" s="21">
        <v>45846</v>
      </c>
      <c r="K355" s="21">
        <v>45846</v>
      </c>
      <c r="L355" t="s">
        <v>1182</v>
      </c>
      <c r="M355" t="s">
        <v>734</v>
      </c>
      <c r="O355" t="s">
        <v>202</v>
      </c>
      <c r="P355">
        <v>1</v>
      </c>
      <c r="Q355">
        <v>1</v>
      </c>
      <c r="R355">
        <v>500</v>
      </c>
      <c r="S355">
        <v>500</v>
      </c>
      <c r="T355">
        <v>500</v>
      </c>
      <c r="U355" t="s">
        <v>391</v>
      </c>
      <c r="V355" t="s">
        <v>392</v>
      </c>
      <c r="W355" t="s">
        <v>392</v>
      </c>
      <c r="X355">
        <v>1</v>
      </c>
      <c r="Y355" t="s">
        <v>1181</v>
      </c>
      <c r="AA355">
        <v>3.24</v>
      </c>
      <c r="AB355" s="22">
        <v>1622.25</v>
      </c>
      <c r="AC355" s="22">
        <v>1622.25</v>
      </c>
    </row>
    <row r="356" spans="2:29" ht="15" customHeight="1" x14ac:dyDescent="0.15">
      <c r="B356">
        <v>4</v>
      </c>
      <c r="C356" t="s">
        <v>386</v>
      </c>
      <c r="D356" t="s">
        <v>1179</v>
      </c>
      <c r="E356">
        <v>3</v>
      </c>
      <c r="F356" t="s">
        <v>201</v>
      </c>
      <c r="G356" t="s">
        <v>200</v>
      </c>
      <c r="H356" t="s">
        <v>635</v>
      </c>
      <c r="I356">
        <v>28</v>
      </c>
      <c r="J356" s="21">
        <v>45846</v>
      </c>
      <c r="K356" s="21">
        <v>45846</v>
      </c>
      <c r="L356" t="s">
        <v>1183</v>
      </c>
      <c r="M356" t="s">
        <v>204</v>
      </c>
      <c r="O356" t="s">
        <v>202</v>
      </c>
      <c r="P356">
        <v>1</v>
      </c>
      <c r="Q356">
        <v>1</v>
      </c>
      <c r="R356">
        <v>100</v>
      </c>
      <c r="S356">
        <v>100</v>
      </c>
      <c r="T356">
        <v>100</v>
      </c>
      <c r="U356" t="s">
        <v>391</v>
      </c>
      <c r="V356" t="s">
        <v>392</v>
      </c>
      <c r="W356" t="s">
        <v>392</v>
      </c>
      <c r="X356">
        <v>1</v>
      </c>
      <c r="Y356" t="s">
        <v>1181</v>
      </c>
      <c r="AA356">
        <v>2.06</v>
      </c>
      <c r="AB356">
        <v>205.8</v>
      </c>
      <c r="AC356">
        <v>205.8</v>
      </c>
    </row>
    <row r="357" spans="2:29" ht="15" customHeight="1" x14ac:dyDescent="0.15">
      <c r="B357">
        <v>4</v>
      </c>
      <c r="C357" t="s">
        <v>386</v>
      </c>
      <c r="D357" t="s">
        <v>1179</v>
      </c>
      <c r="E357">
        <v>4</v>
      </c>
      <c r="F357" t="s">
        <v>201</v>
      </c>
      <c r="G357" t="s">
        <v>200</v>
      </c>
      <c r="H357" t="s">
        <v>1059</v>
      </c>
      <c r="I357">
        <v>28</v>
      </c>
      <c r="J357" s="21">
        <v>45846</v>
      </c>
      <c r="K357" s="21">
        <v>45846</v>
      </c>
      <c r="L357" t="s">
        <v>1184</v>
      </c>
      <c r="M357" t="s">
        <v>1061</v>
      </c>
      <c r="O357" t="s">
        <v>202</v>
      </c>
      <c r="P357">
        <v>1</v>
      </c>
      <c r="Q357">
        <v>1</v>
      </c>
      <c r="R357">
        <v>100</v>
      </c>
      <c r="S357">
        <v>100</v>
      </c>
      <c r="T357">
        <v>100</v>
      </c>
      <c r="U357" t="s">
        <v>391</v>
      </c>
      <c r="V357" t="s">
        <v>392</v>
      </c>
      <c r="W357" t="s">
        <v>392</v>
      </c>
      <c r="X357">
        <v>1</v>
      </c>
      <c r="Y357" t="s">
        <v>1181</v>
      </c>
      <c r="AA357">
        <v>1.72</v>
      </c>
      <c r="AB357">
        <v>172</v>
      </c>
      <c r="AC357">
        <v>172</v>
      </c>
    </row>
    <row r="358" spans="2:29" ht="15" customHeight="1" x14ac:dyDescent="0.15">
      <c r="B358">
        <v>4</v>
      </c>
      <c r="C358" t="s">
        <v>386</v>
      </c>
      <c r="D358" t="s">
        <v>1179</v>
      </c>
      <c r="E358">
        <v>5</v>
      </c>
      <c r="F358" t="s">
        <v>201</v>
      </c>
      <c r="G358" t="s">
        <v>200</v>
      </c>
      <c r="H358" t="s">
        <v>735</v>
      </c>
      <c r="I358">
        <v>28</v>
      </c>
      <c r="J358" s="21">
        <v>45846</v>
      </c>
      <c r="K358" s="21">
        <v>45846</v>
      </c>
      <c r="L358" t="s">
        <v>1185</v>
      </c>
      <c r="M358" t="s">
        <v>737</v>
      </c>
      <c r="O358" t="s">
        <v>202</v>
      </c>
      <c r="P358">
        <v>1</v>
      </c>
      <c r="Q358">
        <v>1</v>
      </c>
      <c r="R358">
        <v>300</v>
      </c>
      <c r="S358">
        <v>300</v>
      </c>
      <c r="T358">
        <v>300</v>
      </c>
      <c r="U358" t="s">
        <v>391</v>
      </c>
      <c r="V358" t="s">
        <v>392</v>
      </c>
      <c r="W358" t="s">
        <v>392</v>
      </c>
      <c r="X358">
        <v>1</v>
      </c>
      <c r="Y358" t="s">
        <v>1181</v>
      </c>
      <c r="AA358">
        <v>2.7</v>
      </c>
      <c r="AB358">
        <v>810</v>
      </c>
      <c r="AC358">
        <v>810</v>
      </c>
    </row>
    <row r="359" spans="2:29" ht="15" customHeight="1" x14ac:dyDescent="0.15">
      <c r="B359">
        <v>4</v>
      </c>
      <c r="C359" t="s">
        <v>386</v>
      </c>
      <c r="D359" t="s">
        <v>1179</v>
      </c>
      <c r="E359">
        <v>6</v>
      </c>
      <c r="F359" t="s">
        <v>201</v>
      </c>
      <c r="G359" t="s">
        <v>337</v>
      </c>
      <c r="H359" t="s">
        <v>607</v>
      </c>
      <c r="I359">
        <v>28</v>
      </c>
      <c r="J359" s="21">
        <v>45846</v>
      </c>
      <c r="K359" s="21">
        <v>45846</v>
      </c>
      <c r="L359" t="s">
        <v>1186</v>
      </c>
      <c r="M359" t="s">
        <v>1187</v>
      </c>
      <c r="O359" t="s">
        <v>202</v>
      </c>
      <c r="P359">
        <v>1</v>
      </c>
      <c r="Q359">
        <v>1</v>
      </c>
      <c r="R359">
        <v>25</v>
      </c>
      <c r="S359">
        <v>25</v>
      </c>
      <c r="T359">
        <v>25</v>
      </c>
      <c r="U359" t="s">
        <v>391</v>
      </c>
      <c r="V359" t="s">
        <v>392</v>
      </c>
      <c r="W359" t="s">
        <v>392</v>
      </c>
      <c r="X359">
        <v>1</v>
      </c>
      <c r="Y359" t="s">
        <v>1181</v>
      </c>
      <c r="AA359">
        <v>3.72</v>
      </c>
      <c r="AB359">
        <v>93</v>
      </c>
      <c r="AC359">
        <v>93</v>
      </c>
    </row>
    <row r="360" spans="2:29" ht="15" customHeight="1" x14ac:dyDescent="0.15">
      <c r="B360">
        <v>4</v>
      </c>
      <c r="C360" t="s">
        <v>386</v>
      </c>
      <c r="D360" t="s">
        <v>1179</v>
      </c>
      <c r="E360">
        <v>7</v>
      </c>
      <c r="F360" t="s">
        <v>201</v>
      </c>
      <c r="G360" t="s">
        <v>200</v>
      </c>
      <c r="H360" t="s">
        <v>740</v>
      </c>
      <c r="I360">
        <v>28</v>
      </c>
      <c r="J360" s="21">
        <v>45846</v>
      </c>
      <c r="K360" s="21">
        <v>45846</v>
      </c>
      <c r="L360" t="s">
        <v>1188</v>
      </c>
      <c r="M360" t="s">
        <v>1189</v>
      </c>
      <c r="O360" t="s">
        <v>202</v>
      </c>
      <c r="P360">
        <v>1</v>
      </c>
      <c r="Q360">
        <v>1</v>
      </c>
      <c r="R360">
        <v>25</v>
      </c>
      <c r="S360">
        <v>25</v>
      </c>
      <c r="T360">
        <v>25</v>
      </c>
      <c r="U360" t="s">
        <v>391</v>
      </c>
      <c r="V360" t="s">
        <v>392</v>
      </c>
      <c r="W360" t="s">
        <v>392</v>
      </c>
      <c r="X360">
        <v>1</v>
      </c>
      <c r="Y360" t="s">
        <v>1181</v>
      </c>
      <c r="AA360">
        <v>3.6</v>
      </c>
      <c r="AB360">
        <v>90</v>
      </c>
      <c r="AC360">
        <v>90</v>
      </c>
    </row>
    <row r="361" spans="2:29" ht="15" customHeight="1" x14ac:dyDescent="0.15">
      <c r="B361">
        <v>4</v>
      </c>
      <c r="C361" t="s">
        <v>386</v>
      </c>
      <c r="D361" t="s">
        <v>1190</v>
      </c>
      <c r="E361">
        <v>1</v>
      </c>
      <c r="F361" t="s">
        <v>219</v>
      </c>
      <c r="G361" t="s">
        <v>231</v>
      </c>
      <c r="H361" t="s">
        <v>433</v>
      </c>
      <c r="I361">
        <v>28</v>
      </c>
      <c r="J361" s="21">
        <v>45847</v>
      </c>
      <c r="K361" s="21">
        <v>45847</v>
      </c>
      <c r="L361" t="s">
        <v>1191</v>
      </c>
      <c r="M361" t="s">
        <v>1030</v>
      </c>
      <c r="O361" t="s">
        <v>220</v>
      </c>
      <c r="P361">
        <v>4</v>
      </c>
      <c r="Q361">
        <v>4</v>
      </c>
      <c r="R361">
        <v>0.15</v>
      </c>
      <c r="S361">
        <v>0.6</v>
      </c>
      <c r="T361">
        <v>0.6</v>
      </c>
      <c r="U361" t="s">
        <v>391</v>
      </c>
      <c r="V361" t="s">
        <v>392</v>
      </c>
      <c r="W361" t="s">
        <v>392</v>
      </c>
      <c r="X361">
        <v>1</v>
      </c>
      <c r="Y361" t="s">
        <v>1181</v>
      </c>
      <c r="AA361">
        <v>21.83</v>
      </c>
      <c r="AB361">
        <v>13.1</v>
      </c>
      <c r="AC361">
        <v>13.1</v>
      </c>
    </row>
    <row r="362" spans="2:29" ht="15" customHeight="1" x14ac:dyDescent="0.15">
      <c r="B362">
        <v>4</v>
      </c>
      <c r="C362" t="s">
        <v>386</v>
      </c>
      <c r="D362" t="s">
        <v>1190</v>
      </c>
      <c r="E362">
        <v>2</v>
      </c>
      <c r="F362" t="s">
        <v>219</v>
      </c>
      <c r="G362" t="s">
        <v>239</v>
      </c>
      <c r="H362" t="s">
        <v>1066</v>
      </c>
      <c r="I362">
        <v>28</v>
      </c>
      <c r="J362" s="21">
        <v>45847</v>
      </c>
      <c r="K362" s="21">
        <v>45847</v>
      </c>
      <c r="L362" t="s">
        <v>1192</v>
      </c>
      <c r="M362" t="s">
        <v>1068</v>
      </c>
      <c r="O362" t="s">
        <v>220</v>
      </c>
      <c r="P362">
        <v>4</v>
      </c>
      <c r="Q362">
        <v>4</v>
      </c>
      <c r="R362">
        <v>0.5</v>
      </c>
      <c r="S362">
        <v>2</v>
      </c>
      <c r="T362">
        <v>2</v>
      </c>
      <c r="U362" t="s">
        <v>391</v>
      </c>
      <c r="V362" t="s">
        <v>392</v>
      </c>
      <c r="W362" t="s">
        <v>392</v>
      </c>
      <c r="X362">
        <v>1</v>
      </c>
      <c r="Y362" t="s">
        <v>1181</v>
      </c>
      <c r="AA362">
        <v>138.68</v>
      </c>
      <c r="AB362">
        <v>277.36</v>
      </c>
      <c r="AC362">
        <v>277.36</v>
      </c>
    </row>
    <row r="363" spans="2:29" ht="15" customHeight="1" x14ac:dyDescent="0.15">
      <c r="B363">
        <v>4</v>
      </c>
      <c r="C363" t="s">
        <v>386</v>
      </c>
      <c r="D363" t="s">
        <v>1190</v>
      </c>
      <c r="E363">
        <v>3</v>
      </c>
      <c r="F363" t="s">
        <v>219</v>
      </c>
      <c r="G363" t="s">
        <v>239</v>
      </c>
      <c r="H363" t="s">
        <v>420</v>
      </c>
      <c r="I363">
        <v>28</v>
      </c>
      <c r="J363" s="21">
        <v>45847</v>
      </c>
      <c r="K363" s="21">
        <v>45847</v>
      </c>
      <c r="L363" t="s">
        <v>1193</v>
      </c>
      <c r="M363" t="s">
        <v>764</v>
      </c>
      <c r="O363" t="s">
        <v>220</v>
      </c>
      <c r="P363">
        <v>4</v>
      </c>
      <c r="Q363">
        <v>4</v>
      </c>
      <c r="R363">
        <v>0.5</v>
      </c>
      <c r="S363">
        <v>2</v>
      </c>
      <c r="T363">
        <v>2</v>
      </c>
      <c r="U363" t="s">
        <v>391</v>
      </c>
      <c r="V363" t="s">
        <v>392</v>
      </c>
      <c r="W363" t="s">
        <v>392</v>
      </c>
      <c r="X363">
        <v>1</v>
      </c>
      <c r="Y363" t="s">
        <v>1181</v>
      </c>
      <c r="AA363">
        <v>115.5</v>
      </c>
      <c r="AB363">
        <v>231</v>
      </c>
      <c r="AC363">
        <v>231</v>
      </c>
    </row>
    <row r="364" spans="2:29" ht="15" customHeight="1" x14ac:dyDescent="0.15">
      <c r="B364">
        <v>4</v>
      </c>
      <c r="C364" t="s">
        <v>386</v>
      </c>
      <c r="D364" t="s">
        <v>1190</v>
      </c>
      <c r="E364">
        <v>4</v>
      </c>
      <c r="F364" t="s">
        <v>219</v>
      </c>
      <c r="G364" t="s">
        <v>239</v>
      </c>
      <c r="H364" t="s">
        <v>520</v>
      </c>
      <c r="I364">
        <v>28</v>
      </c>
      <c r="J364" s="21">
        <v>45847</v>
      </c>
      <c r="K364" s="21">
        <v>45847</v>
      </c>
      <c r="L364" t="s">
        <v>1194</v>
      </c>
      <c r="M364" t="s">
        <v>522</v>
      </c>
      <c r="O364" t="s">
        <v>220</v>
      </c>
      <c r="P364">
        <v>2</v>
      </c>
      <c r="Q364">
        <v>2</v>
      </c>
      <c r="R364">
        <v>0.58699999999999997</v>
      </c>
      <c r="S364">
        <v>1.1739999999999999</v>
      </c>
      <c r="T364">
        <v>1.17</v>
      </c>
      <c r="U364" t="s">
        <v>391</v>
      </c>
      <c r="V364" t="s">
        <v>392</v>
      </c>
      <c r="W364" t="s">
        <v>392</v>
      </c>
      <c r="X364">
        <v>1</v>
      </c>
      <c r="Y364" t="s">
        <v>1181</v>
      </c>
      <c r="AA364">
        <v>100.55</v>
      </c>
      <c r="AB364">
        <v>118.05</v>
      </c>
      <c r="AC364">
        <v>118.05</v>
      </c>
    </row>
    <row r="365" spans="2:29" ht="15" customHeight="1" x14ac:dyDescent="0.15">
      <c r="B365">
        <v>4</v>
      </c>
      <c r="C365" t="s">
        <v>386</v>
      </c>
      <c r="D365" t="s">
        <v>1190</v>
      </c>
      <c r="E365">
        <v>5</v>
      </c>
      <c r="F365" t="s">
        <v>219</v>
      </c>
      <c r="G365" t="s">
        <v>239</v>
      </c>
      <c r="H365" t="s">
        <v>551</v>
      </c>
      <c r="I365">
        <v>28</v>
      </c>
      <c r="J365" s="21">
        <v>45847</v>
      </c>
      <c r="K365" s="21">
        <v>45847</v>
      </c>
      <c r="L365" t="s">
        <v>1195</v>
      </c>
      <c r="M365" t="s">
        <v>1165</v>
      </c>
      <c r="O365" t="s">
        <v>220</v>
      </c>
      <c r="P365">
        <v>4</v>
      </c>
      <c r="Q365">
        <v>4</v>
      </c>
      <c r="R365">
        <v>0.5</v>
      </c>
      <c r="S365">
        <v>2</v>
      </c>
      <c r="T365">
        <v>2</v>
      </c>
      <c r="U365" t="s">
        <v>391</v>
      </c>
      <c r="V365" t="s">
        <v>392</v>
      </c>
      <c r="W365" t="s">
        <v>392</v>
      </c>
      <c r="X365">
        <v>1</v>
      </c>
      <c r="Y365" t="s">
        <v>1181</v>
      </c>
      <c r="AA365">
        <v>57.53</v>
      </c>
      <c r="AB365">
        <v>115.05</v>
      </c>
      <c r="AC365">
        <v>115.05</v>
      </c>
    </row>
    <row r="366" spans="2:29" ht="15" customHeight="1" x14ac:dyDescent="0.15">
      <c r="B366">
        <v>4</v>
      </c>
      <c r="C366" t="s">
        <v>386</v>
      </c>
      <c r="D366" t="s">
        <v>1190</v>
      </c>
      <c r="E366">
        <v>6</v>
      </c>
      <c r="F366" t="s">
        <v>219</v>
      </c>
      <c r="G366" t="s">
        <v>239</v>
      </c>
      <c r="H366" t="s">
        <v>1196</v>
      </c>
      <c r="I366">
        <v>28</v>
      </c>
      <c r="J366" s="21">
        <v>45847</v>
      </c>
      <c r="K366" s="21">
        <v>45847</v>
      </c>
      <c r="L366" t="s">
        <v>1197</v>
      </c>
      <c r="M366" t="s">
        <v>1198</v>
      </c>
      <c r="O366" t="s">
        <v>220</v>
      </c>
      <c r="P366">
        <v>2</v>
      </c>
      <c r="Q366">
        <v>2</v>
      </c>
      <c r="R366">
        <v>0.5</v>
      </c>
      <c r="S366">
        <v>1</v>
      </c>
      <c r="T366">
        <v>1</v>
      </c>
      <c r="U366" t="s">
        <v>391</v>
      </c>
      <c r="V366" t="s">
        <v>392</v>
      </c>
      <c r="W366" t="s">
        <v>392</v>
      </c>
      <c r="X366">
        <v>1</v>
      </c>
      <c r="Y366" t="s">
        <v>1181</v>
      </c>
      <c r="AA366">
        <v>27.82</v>
      </c>
      <c r="AB366">
        <v>27.82</v>
      </c>
      <c r="AC366">
        <v>27.82</v>
      </c>
    </row>
    <row r="367" spans="2:29" ht="15" customHeight="1" x14ac:dyDescent="0.15">
      <c r="B367">
        <v>4</v>
      </c>
      <c r="C367" t="s">
        <v>386</v>
      </c>
      <c r="D367" t="s">
        <v>1199</v>
      </c>
      <c r="E367">
        <v>1</v>
      </c>
      <c r="F367" t="s">
        <v>219</v>
      </c>
      <c r="G367" t="s">
        <v>218</v>
      </c>
      <c r="H367" t="s">
        <v>1200</v>
      </c>
      <c r="I367">
        <v>28</v>
      </c>
      <c r="J367" s="21">
        <v>45849</v>
      </c>
      <c r="K367" s="21">
        <v>45849</v>
      </c>
      <c r="L367" t="s">
        <v>1201</v>
      </c>
      <c r="M367" t="s">
        <v>1202</v>
      </c>
      <c r="O367" t="s">
        <v>220</v>
      </c>
      <c r="P367">
        <v>1</v>
      </c>
      <c r="Q367">
        <v>0.5</v>
      </c>
      <c r="R367">
        <v>0.5</v>
      </c>
      <c r="S367">
        <v>0.5</v>
      </c>
      <c r="T367">
        <v>0.25</v>
      </c>
      <c r="U367" t="s">
        <v>627</v>
      </c>
      <c r="V367" t="s">
        <v>628</v>
      </c>
      <c r="W367" t="s">
        <v>532</v>
      </c>
      <c r="X367">
        <v>2</v>
      </c>
      <c r="Y367" t="s">
        <v>860</v>
      </c>
      <c r="AA367">
        <v>18.63</v>
      </c>
      <c r="AB367">
        <v>9.32</v>
      </c>
      <c r="AC367">
        <v>4.66</v>
      </c>
    </row>
    <row r="368" spans="2:29" ht="15" customHeight="1" x14ac:dyDescent="0.15">
      <c r="B368">
        <v>4</v>
      </c>
      <c r="C368" t="s">
        <v>386</v>
      </c>
      <c r="D368" t="s">
        <v>1203</v>
      </c>
      <c r="E368">
        <v>1</v>
      </c>
      <c r="F368" t="s">
        <v>201</v>
      </c>
      <c r="G368" t="s">
        <v>337</v>
      </c>
      <c r="H368" t="s">
        <v>1123</v>
      </c>
      <c r="I368">
        <v>28</v>
      </c>
      <c r="J368" s="21">
        <v>45850</v>
      </c>
      <c r="K368" s="21">
        <v>45850</v>
      </c>
      <c r="L368" t="s">
        <v>1204</v>
      </c>
      <c r="M368" t="s">
        <v>1125</v>
      </c>
      <c r="O368" t="s">
        <v>226</v>
      </c>
      <c r="P368">
        <v>0</v>
      </c>
      <c r="R368">
        <v>4</v>
      </c>
      <c r="S368">
        <v>0.16</v>
      </c>
      <c r="U368" t="s">
        <v>982</v>
      </c>
      <c r="V368" t="s">
        <v>982</v>
      </c>
      <c r="W368" t="s">
        <v>496</v>
      </c>
      <c r="Y368" t="s">
        <v>1126</v>
      </c>
      <c r="AA368">
        <v>0.78</v>
      </c>
      <c r="AB368">
        <v>0.12</v>
      </c>
      <c r="AC368">
        <v>0</v>
      </c>
    </row>
    <row r="369" spans="2:29" ht="15" customHeight="1" x14ac:dyDescent="0.15">
      <c r="B369">
        <v>4</v>
      </c>
      <c r="C369" t="s">
        <v>386</v>
      </c>
      <c r="D369" t="s">
        <v>1203</v>
      </c>
      <c r="E369">
        <v>2</v>
      </c>
      <c r="F369" t="s">
        <v>201</v>
      </c>
      <c r="G369" t="s">
        <v>337</v>
      </c>
      <c r="H369" t="s">
        <v>475</v>
      </c>
      <c r="I369">
        <v>28</v>
      </c>
      <c r="J369" s="21">
        <v>45850</v>
      </c>
      <c r="K369" s="21">
        <v>45850</v>
      </c>
      <c r="L369" t="s">
        <v>1205</v>
      </c>
      <c r="M369" t="s">
        <v>477</v>
      </c>
      <c r="O369" t="s">
        <v>226</v>
      </c>
      <c r="P369">
        <v>0</v>
      </c>
      <c r="R369">
        <v>10</v>
      </c>
      <c r="S369">
        <v>0.4</v>
      </c>
      <c r="U369" t="s">
        <v>982</v>
      </c>
      <c r="V369" t="s">
        <v>982</v>
      </c>
      <c r="W369" t="s">
        <v>496</v>
      </c>
      <c r="Y369" t="s">
        <v>1126</v>
      </c>
      <c r="AA369">
        <v>4.88</v>
      </c>
      <c r="AB369">
        <v>1.95</v>
      </c>
      <c r="AC369">
        <v>0</v>
      </c>
    </row>
    <row r="370" spans="2:29" ht="15" customHeight="1" x14ac:dyDescent="0.15">
      <c r="B370">
        <v>4</v>
      </c>
      <c r="C370" t="s">
        <v>386</v>
      </c>
      <c r="D370" t="s">
        <v>1203</v>
      </c>
      <c r="E370">
        <v>3</v>
      </c>
      <c r="F370" t="s">
        <v>201</v>
      </c>
      <c r="G370" t="s">
        <v>337</v>
      </c>
      <c r="H370" t="s">
        <v>1128</v>
      </c>
      <c r="I370">
        <v>28</v>
      </c>
      <c r="J370" s="21">
        <v>45850</v>
      </c>
      <c r="K370" s="21">
        <v>45850</v>
      </c>
      <c r="L370" t="s">
        <v>1206</v>
      </c>
      <c r="M370" t="s">
        <v>1130</v>
      </c>
      <c r="O370" t="s">
        <v>226</v>
      </c>
      <c r="P370">
        <v>0</v>
      </c>
      <c r="R370">
        <v>0.5</v>
      </c>
      <c r="S370">
        <v>0.02</v>
      </c>
      <c r="U370" t="s">
        <v>982</v>
      </c>
      <c r="V370" t="s">
        <v>982</v>
      </c>
      <c r="W370" t="s">
        <v>496</v>
      </c>
      <c r="Y370" t="s">
        <v>1126</v>
      </c>
      <c r="AA370">
        <v>5.61</v>
      </c>
      <c r="AB370">
        <v>0.11</v>
      </c>
      <c r="AC370">
        <v>0</v>
      </c>
    </row>
    <row r="371" spans="2:29" ht="15" customHeight="1" x14ac:dyDescent="0.15">
      <c r="B371">
        <v>4</v>
      </c>
      <c r="C371" t="s">
        <v>386</v>
      </c>
      <c r="D371" t="s">
        <v>1203</v>
      </c>
      <c r="E371">
        <v>4</v>
      </c>
      <c r="F371" t="s">
        <v>201</v>
      </c>
      <c r="G371" t="s">
        <v>470</v>
      </c>
      <c r="H371" t="s">
        <v>471</v>
      </c>
      <c r="I371">
        <v>28</v>
      </c>
      <c r="J371" s="21">
        <v>45850</v>
      </c>
      <c r="K371" s="21">
        <v>45850</v>
      </c>
      <c r="L371" t="s">
        <v>1207</v>
      </c>
      <c r="M371" t="s">
        <v>473</v>
      </c>
      <c r="O371" t="s">
        <v>226</v>
      </c>
      <c r="P371">
        <v>0</v>
      </c>
      <c r="R371">
        <v>5</v>
      </c>
      <c r="S371">
        <v>0.2</v>
      </c>
      <c r="U371" t="s">
        <v>982</v>
      </c>
      <c r="V371" t="s">
        <v>982</v>
      </c>
      <c r="W371" t="s">
        <v>496</v>
      </c>
      <c r="Y371" t="s">
        <v>1126</v>
      </c>
      <c r="AA371">
        <v>2.16</v>
      </c>
      <c r="AB371">
        <v>0.43</v>
      </c>
      <c r="AC371">
        <v>0</v>
      </c>
    </row>
    <row r="372" spans="2:29" ht="15" customHeight="1" x14ac:dyDescent="0.15">
      <c r="B372">
        <v>4</v>
      </c>
      <c r="C372" t="s">
        <v>386</v>
      </c>
      <c r="D372" t="s">
        <v>1203</v>
      </c>
      <c r="E372">
        <v>5</v>
      </c>
      <c r="F372" t="s">
        <v>201</v>
      </c>
      <c r="G372" t="s">
        <v>337</v>
      </c>
      <c r="H372" t="s">
        <v>1132</v>
      </c>
      <c r="I372">
        <v>28</v>
      </c>
      <c r="J372" s="21">
        <v>45850</v>
      </c>
      <c r="K372" s="21">
        <v>45850</v>
      </c>
      <c r="L372" t="s">
        <v>1208</v>
      </c>
      <c r="M372" t="s">
        <v>1134</v>
      </c>
      <c r="O372" t="s">
        <v>226</v>
      </c>
      <c r="P372">
        <v>0</v>
      </c>
      <c r="R372">
        <v>5</v>
      </c>
      <c r="S372">
        <v>0.2</v>
      </c>
      <c r="U372" t="s">
        <v>982</v>
      </c>
      <c r="V372" t="s">
        <v>982</v>
      </c>
      <c r="W372" t="s">
        <v>496</v>
      </c>
      <c r="Y372" t="s">
        <v>1126</v>
      </c>
      <c r="AA372">
        <v>5.28</v>
      </c>
      <c r="AB372">
        <v>1.06</v>
      </c>
      <c r="AC372">
        <v>0</v>
      </c>
    </row>
    <row r="373" spans="2:29" ht="15" customHeight="1" x14ac:dyDescent="0.15">
      <c r="B373">
        <v>4</v>
      </c>
      <c r="C373" t="s">
        <v>386</v>
      </c>
      <c r="D373" t="s">
        <v>1203</v>
      </c>
      <c r="E373">
        <v>6</v>
      </c>
      <c r="F373" t="s">
        <v>201</v>
      </c>
      <c r="G373" t="s">
        <v>337</v>
      </c>
      <c r="H373" t="s">
        <v>921</v>
      </c>
      <c r="I373">
        <v>28</v>
      </c>
      <c r="J373" s="21">
        <v>45850</v>
      </c>
      <c r="K373" s="21">
        <v>45850</v>
      </c>
      <c r="L373" t="s">
        <v>1209</v>
      </c>
      <c r="M373" t="s">
        <v>923</v>
      </c>
      <c r="O373" t="s">
        <v>226</v>
      </c>
      <c r="P373">
        <v>0</v>
      </c>
      <c r="R373">
        <v>10</v>
      </c>
      <c r="S373">
        <v>0.4</v>
      </c>
      <c r="U373" t="s">
        <v>982</v>
      </c>
      <c r="V373" t="s">
        <v>982</v>
      </c>
      <c r="W373" t="s">
        <v>496</v>
      </c>
      <c r="Y373" t="s">
        <v>1126</v>
      </c>
      <c r="AA373">
        <v>7.37</v>
      </c>
      <c r="AB373">
        <v>2.95</v>
      </c>
      <c r="AC373">
        <v>0</v>
      </c>
    </row>
    <row r="374" spans="2:29" ht="15" customHeight="1" x14ac:dyDescent="0.15">
      <c r="B374">
        <v>4</v>
      </c>
      <c r="C374" t="s">
        <v>386</v>
      </c>
      <c r="D374" t="s">
        <v>1210</v>
      </c>
      <c r="E374">
        <v>1</v>
      </c>
      <c r="F374" t="s">
        <v>219</v>
      </c>
      <c r="G374" t="s">
        <v>231</v>
      </c>
      <c r="H374" t="s">
        <v>433</v>
      </c>
      <c r="I374">
        <v>28</v>
      </c>
      <c r="J374" s="21">
        <v>45849</v>
      </c>
      <c r="K374" s="21">
        <v>45849</v>
      </c>
      <c r="L374" t="s">
        <v>1211</v>
      </c>
      <c r="M374" t="s">
        <v>1030</v>
      </c>
      <c r="O374" t="s">
        <v>220</v>
      </c>
      <c r="P374">
        <v>4</v>
      </c>
      <c r="Q374">
        <v>4</v>
      </c>
      <c r="R374">
        <v>0.15</v>
      </c>
      <c r="S374">
        <v>0.6</v>
      </c>
      <c r="T374">
        <v>0.6</v>
      </c>
      <c r="U374" t="s">
        <v>391</v>
      </c>
      <c r="V374" t="s">
        <v>392</v>
      </c>
      <c r="W374" t="s">
        <v>392</v>
      </c>
      <c r="X374">
        <v>1</v>
      </c>
      <c r="Y374" t="s">
        <v>1181</v>
      </c>
      <c r="AA374">
        <v>21.83</v>
      </c>
      <c r="AB374">
        <v>13.1</v>
      </c>
      <c r="AC374">
        <v>13.1</v>
      </c>
    </row>
    <row r="375" spans="2:29" ht="15" customHeight="1" x14ac:dyDescent="0.15">
      <c r="B375">
        <v>4</v>
      </c>
      <c r="C375" t="s">
        <v>386</v>
      </c>
      <c r="D375" t="s">
        <v>1210</v>
      </c>
      <c r="E375">
        <v>2</v>
      </c>
      <c r="F375" t="s">
        <v>219</v>
      </c>
      <c r="G375" t="s">
        <v>218</v>
      </c>
      <c r="H375" t="s">
        <v>400</v>
      </c>
      <c r="I375">
        <v>28</v>
      </c>
      <c r="J375" s="21">
        <v>45849</v>
      </c>
      <c r="K375" s="21">
        <v>45849</v>
      </c>
      <c r="L375" t="s">
        <v>1212</v>
      </c>
      <c r="M375" t="s">
        <v>1213</v>
      </c>
      <c r="O375" t="s">
        <v>226</v>
      </c>
      <c r="P375">
        <v>4</v>
      </c>
      <c r="Q375">
        <v>4</v>
      </c>
      <c r="R375">
        <v>0.25</v>
      </c>
      <c r="S375">
        <v>1</v>
      </c>
      <c r="T375">
        <v>1</v>
      </c>
      <c r="U375" t="s">
        <v>391</v>
      </c>
      <c r="V375" t="s">
        <v>392</v>
      </c>
      <c r="W375" t="s">
        <v>392</v>
      </c>
      <c r="X375">
        <v>1</v>
      </c>
      <c r="Y375" t="s">
        <v>1181</v>
      </c>
      <c r="AA375">
        <v>78.8</v>
      </c>
      <c r="AB375">
        <v>78.8</v>
      </c>
      <c r="AC375">
        <v>78.8</v>
      </c>
    </row>
    <row r="376" spans="2:29" ht="15" customHeight="1" x14ac:dyDescent="0.15">
      <c r="B376">
        <v>4</v>
      </c>
      <c r="C376" t="s">
        <v>386</v>
      </c>
      <c r="D376" t="s">
        <v>1210</v>
      </c>
      <c r="E376">
        <v>3</v>
      </c>
      <c r="F376" t="s">
        <v>219</v>
      </c>
      <c r="G376" t="s">
        <v>218</v>
      </c>
      <c r="H376" t="s">
        <v>1214</v>
      </c>
      <c r="I376">
        <v>28</v>
      </c>
      <c r="J376" s="21">
        <v>45849</v>
      </c>
      <c r="K376" s="21">
        <v>45849</v>
      </c>
      <c r="L376" t="s">
        <v>1215</v>
      </c>
      <c r="M376" t="s">
        <v>1216</v>
      </c>
      <c r="O376" t="s">
        <v>220</v>
      </c>
      <c r="P376">
        <v>4</v>
      </c>
      <c r="Q376">
        <v>4</v>
      </c>
      <c r="R376">
        <v>7.4999999999999997E-2</v>
      </c>
      <c r="S376">
        <v>0.3</v>
      </c>
      <c r="T376">
        <v>0.3</v>
      </c>
      <c r="U376" t="s">
        <v>391</v>
      </c>
      <c r="V376" t="s">
        <v>392</v>
      </c>
      <c r="W376" t="s">
        <v>392</v>
      </c>
      <c r="X376">
        <v>1</v>
      </c>
      <c r="Y376" t="s">
        <v>1181</v>
      </c>
      <c r="AA376">
        <v>251.16</v>
      </c>
      <c r="AB376">
        <v>75.349999999999994</v>
      </c>
      <c r="AC376">
        <v>75.349999999999994</v>
      </c>
    </row>
    <row r="377" spans="2:29" ht="15" customHeight="1" x14ac:dyDescent="0.15">
      <c r="B377">
        <v>4</v>
      </c>
      <c r="C377" t="s">
        <v>386</v>
      </c>
      <c r="D377" t="s">
        <v>1210</v>
      </c>
      <c r="E377">
        <v>4</v>
      </c>
      <c r="F377" t="s">
        <v>219</v>
      </c>
      <c r="G377" t="s">
        <v>244</v>
      </c>
      <c r="H377" t="s">
        <v>409</v>
      </c>
      <c r="I377">
        <v>28</v>
      </c>
      <c r="J377" s="21">
        <v>45849</v>
      </c>
      <c r="K377" s="21">
        <v>45849</v>
      </c>
      <c r="L377" t="s">
        <v>1217</v>
      </c>
      <c r="M377" t="s">
        <v>284</v>
      </c>
      <c r="O377" t="s">
        <v>220</v>
      </c>
      <c r="P377">
        <v>4</v>
      </c>
      <c r="Q377">
        <v>4</v>
      </c>
      <c r="R377">
        <v>0.5</v>
      </c>
      <c r="S377">
        <v>2</v>
      </c>
      <c r="T377">
        <v>2</v>
      </c>
      <c r="U377" t="s">
        <v>391</v>
      </c>
      <c r="V377" t="s">
        <v>392</v>
      </c>
      <c r="W377" t="s">
        <v>392</v>
      </c>
      <c r="X377">
        <v>1</v>
      </c>
      <c r="Y377" t="s">
        <v>1181</v>
      </c>
      <c r="AA377">
        <v>53.07</v>
      </c>
      <c r="AB377">
        <v>106.14</v>
      </c>
      <c r="AC377">
        <v>106.14</v>
      </c>
    </row>
    <row r="378" spans="2:29" ht="15" customHeight="1" x14ac:dyDescent="0.15">
      <c r="B378">
        <v>4</v>
      </c>
      <c r="C378" t="s">
        <v>386</v>
      </c>
      <c r="D378" t="s">
        <v>1210</v>
      </c>
      <c r="E378">
        <v>5</v>
      </c>
      <c r="F378" t="s">
        <v>219</v>
      </c>
      <c r="G378" t="s">
        <v>218</v>
      </c>
      <c r="H378" t="s">
        <v>686</v>
      </c>
      <c r="I378">
        <v>28</v>
      </c>
      <c r="J378" s="21">
        <v>45849</v>
      </c>
      <c r="K378" s="21">
        <v>45849</v>
      </c>
      <c r="L378" t="s">
        <v>1218</v>
      </c>
      <c r="M378" t="s">
        <v>1219</v>
      </c>
      <c r="O378" t="s">
        <v>220</v>
      </c>
      <c r="P378">
        <v>4</v>
      </c>
      <c r="Q378">
        <v>4</v>
      </c>
      <c r="R378">
        <v>0.15</v>
      </c>
      <c r="S378">
        <v>0.6</v>
      </c>
      <c r="T378">
        <v>0.6</v>
      </c>
      <c r="U378" t="s">
        <v>391</v>
      </c>
      <c r="V378" t="s">
        <v>392</v>
      </c>
      <c r="W378" t="s">
        <v>392</v>
      </c>
      <c r="X378">
        <v>1</v>
      </c>
      <c r="Y378" t="s">
        <v>1181</v>
      </c>
      <c r="AA378">
        <v>163</v>
      </c>
      <c r="AB378">
        <v>97.8</v>
      </c>
      <c r="AC378">
        <v>97.8</v>
      </c>
    </row>
    <row r="379" spans="2:29" ht="15" customHeight="1" x14ac:dyDescent="0.15">
      <c r="B379">
        <v>4</v>
      </c>
      <c r="C379" t="s">
        <v>386</v>
      </c>
      <c r="D379" t="s">
        <v>1210</v>
      </c>
      <c r="E379">
        <v>6</v>
      </c>
      <c r="F379" t="s">
        <v>219</v>
      </c>
      <c r="G379" t="s">
        <v>239</v>
      </c>
      <c r="H379" t="s">
        <v>1196</v>
      </c>
      <c r="I379">
        <v>28</v>
      </c>
      <c r="J379" s="21">
        <v>45849</v>
      </c>
      <c r="K379" s="21">
        <v>45849</v>
      </c>
      <c r="L379" t="s">
        <v>1220</v>
      </c>
      <c r="M379" t="s">
        <v>1198</v>
      </c>
      <c r="O379" t="s">
        <v>220</v>
      </c>
      <c r="P379">
        <v>4</v>
      </c>
      <c r="Q379">
        <v>4</v>
      </c>
      <c r="R379">
        <v>0.5</v>
      </c>
      <c r="S379">
        <v>2</v>
      </c>
      <c r="T379">
        <v>2</v>
      </c>
      <c r="U379" t="s">
        <v>391</v>
      </c>
      <c r="V379" t="s">
        <v>392</v>
      </c>
      <c r="W379" t="s">
        <v>392</v>
      </c>
      <c r="X379">
        <v>1</v>
      </c>
      <c r="Y379" t="s">
        <v>1181</v>
      </c>
      <c r="AA379">
        <v>27.82</v>
      </c>
      <c r="AB379">
        <v>55.64</v>
      </c>
      <c r="AC379">
        <v>55.64</v>
      </c>
    </row>
    <row r="380" spans="2:29" ht="15" customHeight="1" x14ac:dyDescent="0.15">
      <c r="B380">
        <v>4</v>
      </c>
      <c r="C380" t="s">
        <v>386</v>
      </c>
      <c r="D380" t="s">
        <v>1221</v>
      </c>
      <c r="E380">
        <v>1</v>
      </c>
      <c r="F380" t="s">
        <v>556</v>
      </c>
      <c r="G380" t="s">
        <v>556</v>
      </c>
      <c r="H380" t="s">
        <v>557</v>
      </c>
      <c r="I380">
        <v>28</v>
      </c>
      <c r="J380" s="21">
        <v>45850</v>
      </c>
      <c r="K380" s="21">
        <v>45850</v>
      </c>
      <c r="L380" t="s">
        <v>1222</v>
      </c>
      <c r="M380" t="s">
        <v>713</v>
      </c>
      <c r="O380" t="s">
        <v>226</v>
      </c>
      <c r="P380">
        <v>1</v>
      </c>
      <c r="Q380">
        <v>1</v>
      </c>
      <c r="R380">
        <v>40</v>
      </c>
      <c r="S380">
        <v>40</v>
      </c>
      <c r="T380">
        <v>40</v>
      </c>
      <c r="U380" t="s">
        <v>391</v>
      </c>
      <c r="V380" t="s">
        <v>392</v>
      </c>
      <c r="W380" t="s">
        <v>392</v>
      </c>
      <c r="X380">
        <v>1</v>
      </c>
      <c r="Y380" t="s">
        <v>886</v>
      </c>
      <c r="AA380">
        <v>16.5</v>
      </c>
      <c r="AB380">
        <v>660</v>
      </c>
      <c r="AC380">
        <v>660</v>
      </c>
    </row>
    <row r="381" spans="2:29" ht="15" customHeight="1" x14ac:dyDescent="0.15">
      <c r="B381">
        <v>4</v>
      </c>
      <c r="C381" t="s">
        <v>386</v>
      </c>
      <c r="D381" t="s">
        <v>1223</v>
      </c>
      <c r="E381">
        <v>1</v>
      </c>
      <c r="F381" t="s">
        <v>219</v>
      </c>
      <c r="G381" t="s">
        <v>231</v>
      </c>
      <c r="H381" t="s">
        <v>433</v>
      </c>
      <c r="I381">
        <v>29</v>
      </c>
      <c r="J381" s="21">
        <v>45852</v>
      </c>
      <c r="K381" s="21">
        <v>45852</v>
      </c>
      <c r="L381" t="s">
        <v>1224</v>
      </c>
      <c r="M381" t="s">
        <v>1030</v>
      </c>
      <c r="O381" t="s">
        <v>220</v>
      </c>
      <c r="P381">
        <v>2</v>
      </c>
      <c r="Q381">
        <v>1</v>
      </c>
      <c r="R381">
        <v>0.12</v>
      </c>
      <c r="S381">
        <v>0.24</v>
      </c>
      <c r="T381">
        <v>0.12</v>
      </c>
      <c r="U381" t="s">
        <v>1056</v>
      </c>
      <c r="V381" t="s">
        <v>1057</v>
      </c>
      <c r="W381" t="s">
        <v>532</v>
      </c>
      <c r="X381">
        <v>2</v>
      </c>
      <c r="Y381" t="s">
        <v>871</v>
      </c>
      <c r="AA381">
        <v>21.83</v>
      </c>
      <c r="AB381">
        <v>5.24</v>
      </c>
      <c r="AC381">
        <v>2.62</v>
      </c>
    </row>
    <row r="382" spans="2:29" ht="15" customHeight="1" x14ac:dyDescent="0.15">
      <c r="B382">
        <v>4</v>
      </c>
      <c r="C382" t="s">
        <v>386</v>
      </c>
      <c r="D382" t="s">
        <v>1223</v>
      </c>
      <c r="E382">
        <v>2</v>
      </c>
      <c r="F382" t="s">
        <v>219</v>
      </c>
      <c r="G382" t="s">
        <v>244</v>
      </c>
      <c r="H382" t="s">
        <v>571</v>
      </c>
      <c r="I382">
        <v>29</v>
      </c>
      <c r="J382" s="21">
        <v>45852</v>
      </c>
      <c r="K382" s="21">
        <v>45852</v>
      </c>
      <c r="L382" t="s">
        <v>1225</v>
      </c>
      <c r="M382" t="s">
        <v>573</v>
      </c>
      <c r="O382" t="s">
        <v>220</v>
      </c>
      <c r="P382">
        <v>2</v>
      </c>
      <c r="Q382">
        <v>1</v>
      </c>
      <c r="R382">
        <v>0.5</v>
      </c>
      <c r="S382">
        <v>1</v>
      </c>
      <c r="T382">
        <v>0.5</v>
      </c>
      <c r="U382" t="s">
        <v>1056</v>
      </c>
      <c r="V382" t="s">
        <v>1057</v>
      </c>
      <c r="W382" t="s">
        <v>532</v>
      </c>
      <c r="X382">
        <v>2</v>
      </c>
      <c r="Y382" t="s">
        <v>871</v>
      </c>
      <c r="AA382">
        <v>73.98</v>
      </c>
      <c r="AB382">
        <v>73.98</v>
      </c>
      <c r="AC382">
        <v>36.99</v>
      </c>
    </row>
    <row r="383" spans="2:29" ht="15" customHeight="1" x14ac:dyDescent="0.15">
      <c r="B383">
        <v>4</v>
      </c>
      <c r="C383" t="s">
        <v>386</v>
      </c>
      <c r="D383" t="s">
        <v>1226</v>
      </c>
      <c r="E383">
        <v>1</v>
      </c>
      <c r="F383" t="s">
        <v>416</v>
      </c>
      <c r="G383" t="s">
        <v>1036</v>
      </c>
      <c r="H383" t="s">
        <v>562</v>
      </c>
      <c r="I383">
        <v>28</v>
      </c>
      <c r="J383" s="21">
        <v>45850</v>
      </c>
      <c r="K383" s="21">
        <v>45850</v>
      </c>
      <c r="L383" t="s">
        <v>1227</v>
      </c>
      <c r="M383" t="s">
        <v>1038</v>
      </c>
      <c r="O383" t="s">
        <v>202</v>
      </c>
      <c r="P383">
        <v>1</v>
      </c>
      <c r="Q383">
        <v>1</v>
      </c>
      <c r="R383">
        <v>513.79999999999995</v>
      </c>
      <c r="S383">
        <v>513.79999999999995</v>
      </c>
      <c r="T383">
        <v>513.79999999999995</v>
      </c>
      <c r="U383" t="s">
        <v>391</v>
      </c>
      <c r="V383" t="s">
        <v>392</v>
      </c>
      <c r="W383" t="s">
        <v>392</v>
      </c>
      <c r="X383">
        <v>1</v>
      </c>
      <c r="Y383" t="s">
        <v>750</v>
      </c>
      <c r="AA383">
        <v>6.7</v>
      </c>
      <c r="AB383" s="22">
        <v>3442.46</v>
      </c>
      <c r="AC383" s="22">
        <v>3442.46</v>
      </c>
    </row>
    <row r="384" spans="2:29" ht="15" customHeight="1" x14ac:dyDescent="0.15">
      <c r="B384">
        <v>4</v>
      </c>
      <c r="C384" t="s">
        <v>386</v>
      </c>
      <c r="D384" t="s">
        <v>1228</v>
      </c>
      <c r="E384">
        <v>1</v>
      </c>
      <c r="F384" t="s">
        <v>556</v>
      </c>
      <c r="G384" t="s">
        <v>556</v>
      </c>
      <c r="H384" t="s">
        <v>557</v>
      </c>
      <c r="I384">
        <v>29</v>
      </c>
      <c r="J384" s="21">
        <v>45852</v>
      </c>
      <c r="K384" s="21">
        <v>45852</v>
      </c>
      <c r="L384" t="s">
        <v>1229</v>
      </c>
      <c r="M384" t="s">
        <v>713</v>
      </c>
      <c r="O384" t="s">
        <v>202</v>
      </c>
      <c r="P384">
        <v>1</v>
      </c>
      <c r="Q384">
        <v>1</v>
      </c>
      <c r="R384">
        <v>5</v>
      </c>
      <c r="S384">
        <v>5</v>
      </c>
      <c r="T384">
        <v>5</v>
      </c>
      <c r="U384" t="s">
        <v>391</v>
      </c>
      <c r="V384" t="s">
        <v>1230</v>
      </c>
      <c r="W384" t="s">
        <v>392</v>
      </c>
      <c r="X384">
        <v>1</v>
      </c>
      <c r="Y384" t="s">
        <v>1230</v>
      </c>
      <c r="AA384">
        <v>16.5</v>
      </c>
      <c r="AB384">
        <v>82.5</v>
      </c>
      <c r="AC384">
        <v>82.5</v>
      </c>
    </row>
    <row r="385" spans="2:29" ht="15" customHeight="1" x14ac:dyDescent="0.15">
      <c r="B385">
        <v>4</v>
      </c>
      <c r="C385" t="s">
        <v>386</v>
      </c>
      <c r="D385" t="s">
        <v>1231</v>
      </c>
      <c r="E385">
        <v>1</v>
      </c>
      <c r="F385" t="s">
        <v>556</v>
      </c>
      <c r="G385" t="s">
        <v>556</v>
      </c>
      <c r="H385" t="s">
        <v>557</v>
      </c>
      <c r="I385">
        <v>29</v>
      </c>
      <c r="J385" s="21">
        <v>45852</v>
      </c>
      <c r="K385" s="21">
        <v>45852</v>
      </c>
      <c r="L385" t="s">
        <v>1232</v>
      </c>
      <c r="M385" t="s">
        <v>713</v>
      </c>
      <c r="O385" t="s">
        <v>202</v>
      </c>
      <c r="P385">
        <v>1</v>
      </c>
      <c r="Q385">
        <v>1</v>
      </c>
      <c r="R385">
        <v>4</v>
      </c>
      <c r="S385">
        <v>4</v>
      </c>
      <c r="T385">
        <v>4</v>
      </c>
      <c r="U385" t="s">
        <v>391</v>
      </c>
      <c r="V385" t="s">
        <v>796</v>
      </c>
      <c r="W385" t="s">
        <v>392</v>
      </c>
      <c r="X385">
        <v>1</v>
      </c>
      <c r="Y385" t="s">
        <v>796</v>
      </c>
      <c r="AA385">
        <v>16.5</v>
      </c>
      <c r="AB385">
        <v>66</v>
      </c>
      <c r="AC385">
        <v>66</v>
      </c>
    </row>
    <row r="386" spans="2:29" ht="15" customHeight="1" x14ac:dyDescent="0.15">
      <c r="B386">
        <v>4</v>
      </c>
      <c r="C386" t="s">
        <v>386</v>
      </c>
      <c r="D386" t="s">
        <v>1233</v>
      </c>
      <c r="E386">
        <v>1</v>
      </c>
      <c r="F386" t="s">
        <v>556</v>
      </c>
      <c r="G386" t="s">
        <v>556</v>
      </c>
      <c r="H386" t="s">
        <v>557</v>
      </c>
      <c r="I386">
        <v>29</v>
      </c>
      <c r="J386" s="21">
        <v>45852</v>
      </c>
      <c r="K386" s="21">
        <v>45852</v>
      </c>
      <c r="L386" t="s">
        <v>1234</v>
      </c>
      <c r="M386" t="s">
        <v>702</v>
      </c>
      <c r="O386" t="s">
        <v>202</v>
      </c>
      <c r="P386">
        <v>1</v>
      </c>
      <c r="Q386">
        <v>1</v>
      </c>
      <c r="R386">
        <v>3</v>
      </c>
      <c r="S386">
        <v>3</v>
      </c>
      <c r="T386">
        <v>3</v>
      </c>
      <c r="U386" t="s">
        <v>391</v>
      </c>
      <c r="V386" t="s">
        <v>1235</v>
      </c>
      <c r="W386" t="s">
        <v>392</v>
      </c>
      <c r="X386">
        <v>1</v>
      </c>
      <c r="Y386" t="s">
        <v>1083</v>
      </c>
      <c r="AA386">
        <v>20.63</v>
      </c>
      <c r="AB386">
        <v>61.88</v>
      </c>
      <c r="AC386">
        <v>61.88</v>
      </c>
    </row>
    <row r="387" spans="2:29" ht="15" customHeight="1" x14ac:dyDescent="0.15">
      <c r="B387">
        <v>4</v>
      </c>
      <c r="C387" t="s">
        <v>386</v>
      </c>
      <c r="D387" t="s">
        <v>1236</v>
      </c>
      <c r="E387">
        <v>1</v>
      </c>
      <c r="F387" t="s">
        <v>416</v>
      </c>
      <c r="G387" t="s">
        <v>1036</v>
      </c>
      <c r="H387" t="s">
        <v>562</v>
      </c>
      <c r="I387">
        <v>29</v>
      </c>
      <c r="J387" s="21">
        <v>45852</v>
      </c>
      <c r="K387" s="21">
        <v>45852</v>
      </c>
      <c r="L387" t="s">
        <v>1237</v>
      </c>
      <c r="M387" t="s">
        <v>1038</v>
      </c>
      <c r="O387" t="s">
        <v>202</v>
      </c>
      <c r="P387">
        <v>4</v>
      </c>
      <c r="Q387">
        <v>4</v>
      </c>
      <c r="R387">
        <v>25</v>
      </c>
      <c r="S387">
        <v>100</v>
      </c>
      <c r="T387">
        <v>100</v>
      </c>
      <c r="U387" t="s">
        <v>391</v>
      </c>
      <c r="V387" t="s">
        <v>1013</v>
      </c>
      <c r="W387" t="s">
        <v>392</v>
      </c>
      <c r="X387">
        <v>1</v>
      </c>
      <c r="Y387" t="s">
        <v>1013</v>
      </c>
      <c r="AA387">
        <v>6.7</v>
      </c>
      <c r="AB387">
        <v>670</v>
      </c>
      <c r="AC387">
        <v>670</v>
      </c>
    </row>
    <row r="388" spans="2:29" ht="15" customHeight="1" x14ac:dyDescent="0.15">
      <c r="B388">
        <v>4</v>
      </c>
      <c r="C388" t="s">
        <v>386</v>
      </c>
      <c r="D388" t="s">
        <v>1238</v>
      </c>
      <c r="E388">
        <v>1</v>
      </c>
      <c r="F388" t="s">
        <v>556</v>
      </c>
      <c r="G388" t="s">
        <v>556</v>
      </c>
      <c r="H388" t="s">
        <v>557</v>
      </c>
      <c r="I388">
        <v>29</v>
      </c>
      <c r="J388" s="21">
        <v>45852</v>
      </c>
      <c r="K388" s="21">
        <v>45852</v>
      </c>
      <c r="L388" t="s">
        <v>1239</v>
      </c>
      <c r="M388" t="s">
        <v>672</v>
      </c>
      <c r="O388" t="s">
        <v>202</v>
      </c>
      <c r="P388">
        <v>1</v>
      </c>
      <c r="Q388">
        <v>1</v>
      </c>
      <c r="R388">
        <v>5</v>
      </c>
      <c r="S388">
        <v>5</v>
      </c>
      <c r="T388">
        <v>5</v>
      </c>
      <c r="U388" t="s">
        <v>391</v>
      </c>
      <c r="V388" t="s">
        <v>1013</v>
      </c>
      <c r="W388" t="s">
        <v>392</v>
      </c>
      <c r="X388">
        <v>1</v>
      </c>
      <c r="Y388" t="s">
        <v>1013</v>
      </c>
      <c r="AA388">
        <v>69</v>
      </c>
      <c r="AB388">
        <v>345</v>
      </c>
      <c r="AC388">
        <v>345</v>
      </c>
    </row>
    <row r="389" spans="2:29" ht="15" customHeight="1" x14ac:dyDescent="0.15">
      <c r="B389">
        <v>4</v>
      </c>
      <c r="C389" t="s">
        <v>386</v>
      </c>
      <c r="D389" t="s">
        <v>1240</v>
      </c>
      <c r="E389">
        <v>1</v>
      </c>
      <c r="F389" t="s">
        <v>219</v>
      </c>
      <c r="G389" t="s">
        <v>231</v>
      </c>
      <c r="H389" t="s">
        <v>433</v>
      </c>
      <c r="I389">
        <v>29</v>
      </c>
      <c r="J389" s="21">
        <v>45853</v>
      </c>
      <c r="K389" s="21">
        <v>45855</v>
      </c>
      <c r="L389" t="s">
        <v>1241</v>
      </c>
      <c r="M389" t="s">
        <v>1030</v>
      </c>
      <c r="O389" t="s">
        <v>220</v>
      </c>
      <c r="P389">
        <v>0</v>
      </c>
      <c r="R389">
        <v>0.12</v>
      </c>
      <c r="S389">
        <v>1.2E-2</v>
      </c>
      <c r="U389" t="s">
        <v>391</v>
      </c>
      <c r="V389" t="s">
        <v>392</v>
      </c>
      <c r="W389" t="s">
        <v>392</v>
      </c>
      <c r="Y389" t="s">
        <v>871</v>
      </c>
      <c r="AA389">
        <v>21.83</v>
      </c>
      <c r="AB389">
        <v>0.26</v>
      </c>
      <c r="AC389">
        <v>0</v>
      </c>
    </row>
    <row r="390" spans="2:29" ht="15" customHeight="1" x14ac:dyDescent="0.15">
      <c r="B390">
        <v>4</v>
      </c>
      <c r="C390" t="s">
        <v>386</v>
      </c>
      <c r="D390" t="s">
        <v>1240</v>
      </c>
      <c r="E390">
        <v>2</v>
      </c>
      <c r="F390" t="s">
        <v>219</v>
      </c>
      <c r="G390" t="s">
        <v>244</v>
      </c>
      <c r="H390" t="s">
        <v>511</v>
      </c>
      <c r="I390">
        <v>29</v>
      </c>
      <c r="J390" s="21">
        <v>45853</v>
      </c>
      <c r="K390" s="21">
        <v>45855</v>
      </c>
      <c r="L390" t="s">
        <v>1242</v>
      </c>
      <c r="M390" t="s">
        <v>1243</v>
      </c>
      <c r="O390" t="s">
        <v>226</v>
      </c>
      <c r="P390">
        <v>0</v>
      </c>
      <c r="R390">
        <v>0.25</v>
      </c>
      <c r="S390">
        <v>2.5000000000000001E-2</v>
      </c>
      <c r="U390" t="s">
        <v>391</v>
      </c>
      <c r="V390" t="s">
        <v>392</v>
      </c>
      <c r="W390" t="s">
        <v>392</v>
      </c>
      <c r="Y390" t="s">
        <v>871</v>
      </c>
      <c r="AA390">
        <v>269</v>
      </c>
      <c r="AB390">
        <v>6.73</v>
      </c>
      <c r="AC390">
        <v>0</v>
      </c>
    </row>
    <row r="391" spans="2:29" ht="15" customHeight="1" x14ac:dyDescent="0.15">
      <c r="B391">
        <v>4</v>
      </c>
      <c r="C391" t="s">
        <v>386</v>
      </c>
      <c r="D391" t="s">
        <v>1244</v>
      </c>
      <c r="E391">
        <v>1</v>
      </c>
      <c r="F391" t="s">
        <v>416</v>
      </c>
      <c r="G391" t="s">
        <v>316</v>
      </c>
      <c r="H391" t="s">
        <v>562</v>
      </c>
      <c r="I391">
        <v>29</v>
      </c>
      <c r="J391" s="21">
        <v>45853</v>
      </c>
      <c r="K391" s="21">
        <v>45853</v>
      </c>
      <c r="L391" t="s">
        <v>1245</v>
      </c>
      <c r="M391" t="s">
        <v>564</v>
      </c>
      <c r="O391" t="s">
        <v>1116</v>
      </c>
      <c r="P391">
        <v>2</v>
      </c>
      <c r="Q391">
        <v>1</v>
      </c>
      <c r="R391">
        <v>8.8800000000000008</v>
      </c>
      <c r="S391">
        <v>15.096</v>
      </c>
      <c r="T391">
        <v>8.8800000000000008</v>
      </c>
      <c r="U391" t="s">
        <v>1246</v>
      </c>
      <c r="V391" t="s">
        <v>1247</v>
      </c>
      <c r="W391" t="s">
        <v>532</v>
      </c>
      <c r="X391">
        <v>1.7</v>
      </c>
      <c r="Y391" t="s">
        <v>652</v>
      </c>
      <c r="AA391">
        <v>1.02</v>
      </c>
      <c r="AB391">
        <v>15.4</v>
      </c>
      <c r="AC391">
        <v>9.06</v>
      </c>
    </row>
    <row r="392" spans="2:29" ht="15" customHeight="1" x14ac:dyDescent="0.15">
      <c r="B392">
        <v>4</v>
      </c>
      <c r="C392" t="s">
        <v>386</v>
      </c>
      <c r="D392" t="s">
        <v>1248</v>
      </c>
      <c r="E392">
        <v>1</v>
      </c>
      <c r="F392" t="s">
        <v>219</v>
      </c>
      <c r="G392" t="s">
        <v>231</v>
      </c>
      <c r="H392" t="s">
        <v>433</v>
      </c>
      <c r="I392">
        <v>29</v>
      </c>
      <c r="J392" s="21">
        <v>45854</v>
      </c>
      <c r="K392" s="21">
        <v>45854</v>
      </c>
      <c r="L392" t="s">
        <v>1249</v>
      </c>
      <c r="M392" t="s">
        <v>1030</v>
      </c>
      <c r="O392" t="s">
        <v>220</v>
      </c>
      <c r="P392">
        <v>2</v>
      </c>
      <c r="Q392">
        <v>1</v>
      </c>
      <c r="R392">
        <v>0.12</v>
      </c>
      <c r="S392">
        <v>0.24</v>
      </c>
      <c r="T392">
        <v>0.12</v>
      </c>
      <c r="U392" t="s">
        <v>1056</v>
      </c>
      <c r="V392" t="s">
        <v>1057</v>
      </c>
      <c r="W392" t="s">
        <v>532</v>
      </c>
      <c r="X392">
        <v>2</v>
      </c>
      <c r="Y392" t="s">
        <v>871</v>
      </c>
      <c r="AA392">
        <v>21.83</v>
      </c>
      <c r="AB392">
        <v>5.24</v>
      </c>
      <c r="AC392">
        <v>2.62</v>
      </c>
    </row>
    <row r="393" spans="2:29" ht="15" customHeight="1" x14ac:dyDescent="0.15">
      <c r="B393">
        <v>4</v>
      </c>
      <c r="C393" t="s">
        <v>386</v>
      </c>
      <c r="D393" t="s">
        <v>1248</v>
      </c>
      <c r="E393">
        <v>2</v>
      </c>
      <c r="F393" t="s">
        <v>219</v>
      </c>
      <c r="G393" t="s">
        <v>239</v>
      </c>
      <c r="H393" t="s">
        <v>456</v>
      </c>
      <c r="I393">
        <v>29</v>
      </c>
      <c r="J393" s="21">
        <v>45854</v>
      </c>
      <c r="K393" s="21">
        <v>45854</v>
      </c>
      <c r="L393" t="s">
        <v>1250</v>
      </c>
      <c r="M393" t="s">
        <v>458</v>
      </c>
      <c r="O393" t="s">
        <v>220</v>
      </c>
      <c r="P393">
        <v>2</v>
      </c>
      <c r="Q393">
        <v>1</v>
      </c>
      <c r="R393">
        <v>1</v>
      </c>
      <c r="S393">
        <v>2</v>
      </c>
      <c r="T393">
        <v>1</v>
      </c>
      <c r="U393" t="s">
        <v>1056</v>
      </c>
      <c r="V393" t="s">
        <v>1057</v>
      </c>
      <c r="W393" t="s">
        <v>532</v>
      </c>
      <c r="X393">
        <v>2</v>
      </c>
      <c r="Y393" t="s">
        <v>871</v>
      </c>
      <c r="AA393">
        <v>49.99</v>
      </c>
      <c r="AB393">
        <v>99.98</v>
      </c>
      <c r="AC393">
        <v>49.99</v>
      </c>
    </row>
    <row r="394" spans="2:29" ht="15" customHeight="1" x14ac:dyDescent="0.15">
      <c r="B394">
        <v>4</v>
      </c>
      <c r="C394" t="s">
        <v>386</v>
      </c>
      <c r="D394" t="s">
        <v>1248</v>
      </c>
      <c r="E394">
        <v>3</v>
      </c>
      <c r="F394" t="s">
        <v>219</v>
      </c>
      <c r="G394" t="s">
        <v>239</v>
      </c>
      <c r="H394" t="s">
        <v>551</v>
      </c>
      <c r="I394">
        <v>29</v>
      </c>
      <c r="J394" s="21">
        <v>45854</v>
      </c>
      <c r="K394" s="21">
        <v>45854</v>
      </c>
      <c r="L394" t="s">
        <v>1251</v>
      </c>
      <c r="M394" t="s">
        <v>1165</v>
      </c>
      <c r="O394" t="s">
        <v>220</v>
      </c>
      <c r="P394">
        <v>2</v>
      </c>
      <c r="Q394">
        <v>1</v>
      </c>
      <c r="R394">
        <v>0.5</v>
      </c>
      <c r="S394">
        <v>1</v>
      </c>
      <c r="T394">
        <v>0.5</v>
      </c>
      <c r="U394" t="s">
        <v>1056</v>
      </c>
      <c r="V394" t="s">
        <v>1057</v>
      </c>
      <c r="W394" t="s">
        <v>532</v>
      </c>
      <c r="X394">
        <v>2</v>
      </c>
      <c r="Y394" t="s">
        <v>871</v>
      </c>
      <c r="AA394">
        <v>57.53</v>
      </c>
      <c r="AB394">
        <v>57.53</v>
      </c>
      <c r="AC394">
        <v>28.76</v>
      </c>
    </row>
    <row r="395" spans="2:29" ht="15" customHeight="1" x14ac:dyDescent="0.15">
      <c r="B395">
        <v>4</v>
      </c>
      <c r="C395" t="s">
        <v>386</v>
      </c>
      <c r="D395" t="s">
        <v>1248</v>
      </c>
      <c r="E395">
        <v>4</v>
      </c>
      <c r="F395" t="s">
        <v>219</v>
      </c>
      <c r="G395" t="s">
        <v>218</v>
      </c>
      <c r="H395" t="s">
        <v>493</v>
      </c>
      <c r="I395">
        <v>29</v>
      </c>
      <c r="J395" s="21">
        <v>45854</v>
      </c>
      <c r="K395" s="21">
        <v>45854</v>
      </c>
      <c r="L395" t="s">
        <v>1252</v>
      </c>
      <c r="M395" t="s">
        <v>576</v>
      </c>
      <c r="O395" t="s">
        <v>226</v>
      </c>
      <c r="P395">
        <v>2</v>
      </c>
      <c r="Q395">
        <v>1</v>
      </c>
      <c r="R395">
        <v>0.2</v>
      </c>
      <c r="S395">
        <v>0.4</v>
      </c>
      <c r="T395">
        <v>0.2</v>
      </c>
      <c r="U395" t="s">
        <v>1056</v>
      </c>
      <c r="V395" t="s">
        <v>1057</v>
      </c>
      <c r="W395" t="s">
        <v>532</v>
      </c>
      <c r="X395">
        <v>2</v>
      </c>
      <c r="Y395" t="s">
        <v>871</v>
      </c>
      <c r="AA395">
        <v>101.77</v>
      </c>
      <c r="AB395">
        <v>40.71</v>
      </c>
      <c r="AC395">
        <v>20.350000000000001</v>
      </c>
    </row>
    <row r="396" spans="2:29" ht="15" customHeight="1" x14ac:dyDescent="0.15">
      <c r="B396">
        <v>4</v>
      </c>
      <c r="C396" t="s">
        <v>386</v>
      </c>
      <c r="D396" t="s">
        <v>1253</v>
      </c>
      <c r="E396">
        <v>1</v>
      </c>
      <c r="F396" t="s">
        <v>201</v>
      </c>
      <c r="G396" t="s">
        <v>200</v>
      </c>
      <c r="H396" t="s">
        <v>647</v>
      </c>
      <c r="I396">
        <v>29</v>
      </c>
      <c r="J396" s="21">
        <v>45854</v>
      </c>
      <c r="K396" s="21">
        <v>45855</v>
      </c>
      <c r="L396" t="s">
        <v>1254</v>
      </c>
      <c r="M396" t="s">
        <v>647</v>
      </c>
      <c r="O396" t="s">
        <v>282</v>
      </c>
      <c r="P396">
        <v>1</v>
      </c>
      <c r="Q396">
        <v>1</v>
      </c>
      <c r="R396">
        <v>550</v>
      </c>
      <c r="S396">
        <v>550</v>
      </c>
      <c r="T396">
        <v>550</v>
      </c>
      <c r="U396" t="s">
        <v>391</v>
      </c>
      <c r="V396" t="s">
        <v>392</v>
      </c>
      <c r="W396" t="s">
        <v>392</v>
      </c>
      <c r="X396">
        <v>1</v>
      </c>
      <c r="Y396" t="s">
        <v>893</v>
      </c>
      <c r="AA396">
        <v>3.19</v>
      </c>
      <c r="AB396" s="22">
        <v>1753.13</v>
      </c>
      <c r="AC396" s="22">
        <v>1753.13</v>
      </c>
    </row>
    <row r="397" spans="2:29" ht="15" customHeight="1" x14ac:dyDescent="0.15">
      <c r="B397">
        <v>4</v>
      </c>
      <c r="C397" t="s">
        <v>386</v>
      </c>
      <c r="D397" t="s">
        <v>1253</v>
      </c>
      <c r="E397">
        <v>2</v>
      </c>
      <c r="F397" t="s">
        <v>201</v>
      </c>
      <c r="G397" t="s">
        <v>200</v>
      </c>
      <c r="H397" t="s">
        <v>732</v>
      </c>
      <c r="I397">
        <v>29</v>
      </c>
      <c r="J397" s="21">
        <v>45854</v>
      </c>
      <c r="K397" s="21">
        <v>45855</v>
      </c>
      <c r="L397" t="s">
        <v>1255</v>
      </c>
      <c r="M397" t="s">
        <v>734</v>
      </c>
      <c r="O397" t="s">
        <v>282</v>
      </c>
      <c r="P397">
        <v>1</v>
      </c>
      <c r="Q397">
        <v>1</v>
      </c>
      <c r="R397">
        <v>550</v>
      </c>
      <c r="S397">
        <v>550</v>
      </c>
      <c r="T397">
        <v>550</v>
      </c>
      <c r="U397" t="s">
        <v>391</v>
      </c>
      <c r="V397" t="s">
        <v>392</v>
      </c>
      <c r="W397" t="s">
        <v>392</v>
      </c>
      <c r="X397">
        <v>1</v>
      </c>
      <c r="Y397" t="s">
        <v>893</v>
      </c>
      <c r="AA397">
        <v>3.24</v>
      </c>
      <c r="AB397" s="22">
        <v>1784.48</v>
      </c>
      <c r="AC397" s="22">
        <v>1784.48</v>
      </c>
    </row>
    <row r="398" spans="2:29" ht="15" customHeight="1" x14ac:dyDescent="0.15">
      <c r="B398">
        <v>4</v>
      </c>
      <c r="C398" t="s">
        <v>386</v>
      </c>
      <c r="D398" t="s">
        <v>1253</v>
      </c>
      <c r="E398">
        <v>3</v>
      </c>
      <c r="F398" t="s">
        <v>201</v>
      </c>
      <c r="G398" t="s">
        <v>200</v>
      </c>
      <c r="H398" t="s">
        <v>735</v>
      </c>
      <c r="I398">
        <v>29</v>
      </c>
      <c r="J398" s="21">
        <v>45854</v>
      </c>
      <c r="K398" s="21">
        <v>45855</v>
      </c>
      <c r="L398" t="s">
        <v>1256</v>
      </c>
      <c r="M398" t="s">
        <v>737</v>
      </c>
      <c r="O398" t="s">
        <v>282</v>
      </c>
      <c r="P398">
        <v>1</v>
      </c>
      <c r="Q398">
        <v>1</v>
      </c>
      <c r="R398">
        <v>300</v>
      </c>
      <c r="S398">
        <v>300</v>
      </c>
      <c r="T398">
        <v>300</v>
      </c>
      <c r="U398" t="s">
        <v>391</v>
      </c>
      <c r="V398" t="s">
        <v>392</v>
      </c>
      <c r="W398" t="s">
        <v>392</v>
      </c>
      <c r="X398">
        <v>1</v>
      </c>
      <c r="Y398" t="s">
        <v>893</v>
      </c>
      <c r="AA398">
        <v>2.7</v>
      </c>
      <c r="AB398">
        <v>810</v>
      </c>
      <c r="AC398">
        <v>810</v>
      </c>
    </row>
    <row r="399" spans="2:29" ht="15" customHeight="1" x14ac:dyDescent="0.15">
      <c r="B399">
        <v>4</v>
      </c>
      <c r="C399" t="s">
        <v>386</v>
      </c>
      <c r="D399" t="s">
        <v>1253</v>
      </c>
      <c r="E399">
        <v>4</v>
      </c>
      <c r="F399" t="s">
        <v>201</v>
      </c>
      <c r="G399" t="s">
        <v>200</v>
      </c>
      <c r="H399" t="s">
        <v>635</v>
      </c>
      <c r="I399">
        <v>29</v>
      </c>
      <c r="J399" s="21">
        <v>45854</v>
      </c>
      <c r="K399" s="21">
        <v>45855</v>
      </c>
      <c r="L399" t="s">
        <v>1257</v>
      </c>
      <c r="M399" t="s">
        <v>204</v>
      </c>
      <c r="O399" t="s">
        <v>282</v>
      </c>
      <c r="P399">
        <v>1</v>
      </c>
      <c r="Q399">
        <v>1</v>
      </c>
      <c r="R399">
        <v>200</v>
      </c>
      <c r="S399">
        <v>200</v>
      </c>
      <c r="T399">
        <v>200</v>
      </c>
      <c r="U399" t="s">
        <v>391</v>
      </c>
      <c r="V399" t="s">
        <v>392</v>
      </c>
      <c r="W399" t="s">
        <v>392</v>
      </c>
      <c r="X399">
        <v>1</v>
      </c>
      <c r="Y399" t="s">
        <v>893</v>
      </c>
      <c r="AA399">
        <v>2.06</v>
      </c>
      <c r="AB399">
        <v>411.6</v>
      </c>
      <c r="AC399">
        <v>411.6</v>
      </c>
    </row>
    <row r="400" spans="2:29" ht="15" customHeight="1" x14ac:dyDescent="0.15">
      <c r="B400">
        <v>4</v>
      </c>
      <c r="C400" t="s">
        <v>386</v>
      </c>
      <c r="D400" t="s">
        <v>1253</v>
      </c>
      <c r="E400">
        <v>5</v>
      </c>
      <c r="F400" t="s">
        <v>201</v>
      </c>
      <c r="G400" t="s">
        <v>337</v>
      </c>
      <c r="H400" t="s">
        <v>607</v>
      </c>
      <c r="I400">
        <v>29</v>
      </c>
      <c r="J400" s="21">
        <v>45854</v>
      </c>
      <c r="K400" s="21">
        <v>45855</v>
      </c>
      <c r="L400" t="s">
        <v>1258</v>
      </c>
      <c r="M400" t="s">
        <v>739</v>
      </c>
      <c r="O400" t="s">
        <v>282</v>
      </c>
      <c r="P400">
        <v>1</v>
      </c>
      <c r="Q400">
        <v>1</v>
      </c>
      <c r="R400">
        <v>25</v>
      </c>
      <c r="S400">
        <v>25</v>
      </c>
      <c r="T400">
        <v>25</v>
      </c>
      <c r="U400" t="s">
        <v>391</v>
      </c>
      <c r="V400" t="s">
        <v>392</v>
      </c>
      <c r="W400" t="s">
        <v>392</v>
      </c>
      <c r="X400">
        <v>1</v>
      </c>
      <c r="Y400" t="s">
        <v>893</v>
      </c>
      <c r="AA400">
        <v>3.72</v>
      </c>
      <c r="AB400">
        <v>93</v>
      </c>
      <c r="AC400">
        <v>93</v>
      </c>
    </row>
    <row r="401" spans="2:29" ht="15" customHeight="1" x14ac:dyDescent="0.15">
      <c r="B401">
        <v>4</v>
      </c>
      <c r="C401" t="s">
        <v>386</v>
      </c>
      <c r="D401" t="s">
        <v>1253</v>
      </c>
      <c r="E401">
        <v>6</v>
      </c>
      <c r="F401" t="s">
        <v>201</v>
      </c>
      <c r="G401" t="s">
        <v>200</v>
      </c>
      <c r="H401" t="s">
        <v>740</v>
      </c>
      <c r="I401">
        <v>29</v>
      </c>
      <c r="J401" s="21">
        <v>45854</v>
      </c>
      <c r="K401" s="21">
        <v>45855</v>
      </c>
      <c r="L401" t="s">
        <v>1259</v>
      </c>
      <c r="M401" t="s">
        <v>742</v>
      </c>
      <c r="O401" t="s">
        <v>282</v>
      </c>
      <c r="P401">
        <v>1</v>
      </c>
      <c r="Q401">
        <v>1</v>
      </c>
      <c r="R401">
        <v>25</v>
      </c>
      <c r="S401">
        <v>25</v>
      </c>
      <c r="T401">
        <v>25</v>
      </c>
      <c r="U401" t="s">
        <v>391</v>
      </c>
      <c r="V401" t="s">
        <v>392</v>
      </c>
      <c r="W401" t="s">
        <v>392</v>
      </c>
      <c r="X401">
        <v>1</v>
      </c>
      <c r="Y401" t="s">
        <v>893</v>
      </c>
      <c r="AA401">
        <v>3.6</v>
      </c>
      <c r="AB401">
        <v>90</v>
      </c>
      <c r="AC401">
        <v>90</v>
      </c>
    </row>
    <row r="402" spans="2:29" ht="15" customHeight="1" x14ac:dyDescent="0.15">
      <c r="B402">
        <v>4</v>
      </c>
      <c r="C402" t="s">
        <v>386</v>
      </c>
      <c r="D402" t="s">
        <v>1260</v>
      </c>
      <c r="E402">
        <v>1</v>
      </c>
      <c r="F402" t="s">
        <v>219</v>
      </c>
      <c r="G402" t="s">
        <v>231</v>
      </c>
      <c r="H402" t="s">
        <v>433</v>
      </c>
      <c r="I402">
        <v>29</v>
      </c>
      <c r="J402" s="21">
        <v>45855</v>
      </c>
      <c r="K402" s="21">
        <v>45855</v>
      </c>
      <c r="L402" t="s">
        <v>1261</v>
      </c>
      <c r="M402" t="s">
        <v>1030</v>
      </c>
      <c r="O402" t="s">
        <v>220</v>
      </c>
      <c r="P402">
        <v>2</v>
      </c>
      <c r="Q402">
        <v>1</v>
      </c>
      <c r="R402">
        <v>0.12</v>
      </c>
      <c r="S402">
        <v>0.24</v>
      </c>
      <c r="T402">
        <v>0.12</v>
      </c>
      <c r="U402" t="s">
        <v>805</v>
      </c>
      <c r="V402" t="s">
        <v>806</v>
      </c>
      <c r="W402" t="s">
        <v>532</v>
      </c>
      <c r="X402">
        <v>2</v>
      </c>
      <c r="Y402" t="s">
        <v>871</v>
      </c>
      <c r="AA402">
        <v>21.83</v>
      </c>
      <c r="AB402">
        <v>5.24</v>
      </c>
      <c r="AC402">
        <v>2.62</v>
      </c>
    </row>
    <row r="403" spans="2:29" ht="15" customHeight="1" x14ac:dyDescent="0.15">
      <c r="B403">
        <v>4</v>
      </c>
      <c r="C403" t="s">
        <v>386</v>
      </c>
      <c r="D403" t="s">
        <v>1260</v>
      </c>
      <c r="E403">
        <v>2</v>
      </c>
      <c r="F403" t="s">
        <v>219</v>
      </c>
      <c r="G403" t="s">
        <v>218</v>
      </c>
      <c r="H403" t="s">
        <v>493</v>
      </c>
      <c r="I403">
        <v>29</v>
      </c>
      <c r="J403" s="21">
        <v>45855</v>
      </c>
      <c r="K403" s="21">
        <v>45855</v>
      </c>
      <c r="L403" t="s">
        <v>1262</v>
      </c>
      <c r="M403" t="s">
        <v>576</v>
      </c>
      <c r="O403" t="s">
        <v>220</v>
      </c>
      <c r="P403">
        <v>2</v>
      </c>
      <c r="Q403">
        <v>1</v>
      </c>
      <c r="R403">
        <v>0.2</v>
      </c>
      <c r="S403">
        <v>0.4</v>
      </c>
      <c r="T403">
        <v>0.2</v>
      </c>
      <c r="U403" t="s">
        <v>805</v>
      </c>
      <c r="V403" t="s">
        <v>806</v>
      </c>
      <c r="W403" t="s">
        <v>532</v>
      </c>
      <c r="X403">
        <v>2</v>
      </c>
      <c r="Y403" t="s">
        <v>871</v>
      </c>
      <c r="AA403">
        <v>101.77</v>
      </c>
      <c r="AB403">
        <v>40.71</v>
      </c>
      <c r="AC403">
        <v>20.350000000000001</v>
      </c>
    </row>
    <row r="404" spans="2:29" ht="15" customHeight="1" x14ac:dyDescent="0.15">
      <c r="B404">
        <v>4</v>
      </c>
      <c r="C404" t="s">
        <v>386</v>
      </c>
      <c r="D404" t="s">
        <v>1260</v>
      </c>
      <c r="E404">
        <v>3</v>
      </c>
      <c r="F404" t="s">
        <v>219</v>
      </c>
      <c r="G404" t="s">
        <v>244</v>
      </c>
      <c r="H404" t="s">
        <v>591</v>
      </c>
      <c r="I404">
        <v>29</v>
      </c>
      <c r="J404" s="21">
        <v>45855</v>
      </c>
      <c r="K404" s="21">
        <v>45855</v>
      </c>
      <c r="L404" t="s">
        <v>1263</v>
      </c>
      <c r="M404" t="s">
        <v>593</v>
      </c>
      <c r="O404" t="s">
        <v>220</v>
      </c>
      <c r="P404">
        <v>2</v>
      </c>
      <c r="Q404">
        <v>1</v>
      </c>
      <c r="R404">
        <v>2</v>
      </c>
      <c r="S404">
        <v>4</v>
      </c>
      <c r="T404">
        <v>2</v>
      </c>
      <c r="U404" t="s">
        <v>805</v>
      </c>
      <c r="V404" t="s">
        <v>806</v>
      </c>
      <c r="W404" t="s">
        <v>532</v>
      </c>
      <c r="X404">
        <v>2</v>
      </c>
      <c r="Y404" t="s">
        <v>871</v>
      </c>
      <c r="AA404">
        <v>37.58</v>
      </c>
      <c r="AB404">
        <v>150.30000000000001</v>
      </c>
      <c r="AC404">
        <v>75.150000000000006</v>
      </c>
    </row>
    <row r="405" spans="2:29" ht="15" customHeight="1" x14ac:dyDescent="0.15">
      <c r="B405">
        <v>4</v>
      </c>
      <c r="C405" t="s">
        <v>386</v>
      </c>
      <c r="D405" t="s">
        <v>1260</v>
      </c>
      <c r="E405">
        <v>4</v>
      </c>
      <c r="F405" t="s">
        <v>219</v>
      </c>
      <c r="G405" t="s">
        <v>244</v>
      </c>
      <c r="H405" t="s">
        <v>409</v>
      </c>
      <c r="I405">
        <v>29</v>
      </c>
      <c r="J405" s="21">
        <v>45855</v>
      </c>
      <c r="K405" s="21">
        <v>45855</v>
      </c>
      <c r="L405" t="s">
        <v>1264</v>
      </c>
      <c r="M405" t="s">
        <v>284</v>
      </c>
      <c r="O405" t="s">
        <v>220</v>
      </c>
      <c r="P405">
        <v>2</v>
      </c>
      <c r="Q405">
        <v>1</v>
      </c>
      <c r="R405">
        <v>0.5</v>
      </c>
      <c r="S405">
        <v>1</v>
      </c>
      <c r="T405">
        <v>0.5</v>
      </c>
      <c r="U405" t="s">
        <v>805</v>
      </c>
      <c r="V405" t="s">
        <v>806</v>
      </c>
      <c r="W405" t="s">
        <v>532</v>
      </c>
      <c r="X405">
        <v>2</v>
      </c>
      <c r="Y405" t="s">
        <v>871</v>
      </c>
      <c r="AA405">
        <v>53.07</v>
      </c>
      <c r="AB405">
        <v>53.07</v>
      </c>
      <c r="AC405">
        <v>26.54</v>
      </c>
    </row>
    <row r="406" spans="2:29" ht="15" customHeight="1" x14ac:dyDescent="0.15">
      <c r="B406">
        <v>4</v>
      </c>
      <c r="C406" t="s">
        <v>386</v>
      </c>
      <c r="D406" t="s">
        <v>1265</v>
      </c>
      <c r="E406">
        <v>1</v>
      </c>
      <c r="F406" t="s">
        <v>219</v>
      </c>
      <c r="G406" t="s">
        <v>231</v>
      </c>
      <c r="H406" t="s">
        <v>433</v>
      </c>
      <c r="I406">
        <v>29</v>
      </c>
      <c r="J406" s="21">
        <v>45855</v>
      </c>
      <c r="K406" s="21">
        <v>45856</v>
      </c>
      <c r="L406" t="s">
        <v>1266</v>
      </c>
      <c r="M406" t="s">
        <v>1030</v>
      </c>
      <c r="N406" s="22">
        <v>45856</v>
      </c>
      <c r="O406" t="s">
        <v>220</v>
      </c>
      <c r="P406">
        <v>6</v>
      </c>
      <c r="Q406">
        <v>1.58</v>
      </c>
      <c r="R406">
        <v>0.12</v>
      </c>
      <c r="S406">
        <v>0.72</v>
      </c>
      <c r="T406">
        <v>0.19</v>
      </c>
      <c r="U406" t="s">
        <v>530</v>
      </c>
      <c r="V406" t="s">
        <v>531</v>
      </c>
      <c r="W406" t="s">
        <v>532</v>
      </c>
      <c r="X406">
        <v>3.8</v>
      </c>
      <c r="Y406" t="s">
        <v>860</v>
      </c>
      <c r="AA406">
        <v>21.83</v>
      </c>
      <c r="AB406">
        <v>15.72</v>
      </c>
      <c r="AC406">
        <v>4.1399999999999997</v>
      </c>
    </row>
    <row r="407" spans="2:29" ht="15" customHeight="1" x14ac:dyDescent="0.15">
      <c r="B407">
        <v>4</v>
      </c>
      <c r="C407" t="s">
        <v>386</v>
      </c>
      <c r="D407" t="s">
        <v>1265</v>
      </c>
      <c r="E407">
        <v>2</v>
      </c>
      <c r="F407" t="s">
        <v>219</v>
      </c>
      <c r="G407" t="s">
        <v>239</v>
      </c>
      <c r="H407" t="s">
        <v>861</v>
      </c>
      <c r="I407">
        <v>29</v>
      </c>
      <c r="J407" s="21">
        <v>45855</v>
      </c>
      <c r="K407" s="21">
        <v>45856</v>
      </c>
      <c r="L407" t="s">
        <v>1267</v>
      </c>
      <c r="M407" t="s">
        <v>863</v>
      </c>
      <c r="N407" s="22">
        <v>45856</v>
      </c>
      <c r="O407" t="s">
        <v>220</v>
      </c>
      <c r="P407">
        <v>6</v>
      </c>
      <c r="Q407">
        <v>1.58</v>
      </c>
      <c r="R407">
        <v>2</v>
      </c>
      <c r="S407">
        <v>12</v>
      </c>
      <c r="T407">
        <v>3.16</v>
      </c>
      <c r="U407" t="s">
        <v>530</v>
      </c>
      <c r="V407" t="s">
        <v>531</v>
      </c>
      <c r="W407" t="s">
        <v>532</v>
      </c>
      <c r="X407">
        <v>3.8</v>
      </c>
      <c r="Y407" t="s">
        <v>860</v>
      </c>
      <c r="AA407">
        <v>29.14</v>
      </c>
      <c r="AB407">
        <v>349.68</v>
      </c>
      <c r="AC407">
        <v>92.02</v>
      </c>
    </row>
    <row r="408" spans="2:29" ht="15" customHeight="1" x14ac:dyDescent="0.15">
      <c r="B408">
        <v>4</v>
      </c>
      <c r="C408" t="s">
        <v>386</v>
      </c>
      <c r="D408" t="s">
        <v>1265</v>
      </c>
      <c r="E408">
        <v>3</v>
      </c>
      <c r="F408" t="s">
        <v>219</v>
      </c>
      <c r="G408" t="s">
        <v>239</v>
      </c>
      <c r="H408" t="s">
        <v>607</v>
      </c>
      <c r="I408">
        <v>29</v>
      </c>
      <c r="J408" s="21">
        <v>45855</v>
      </c>
      <c r="K408" s="21">
        <v>45856</v>
      </c>
      <c r="L408" t="s">
        <v>1268</v>
      </c>
      <c r="M408" t="s">
        <v>609</v>
      </c>
      <c r="N408" s="22">
        <v>45856</v>
      </c>
      <c r="O408" t="s">
        <v>220</v>
      </c>
      <c r="P408">
        <v>6</v>
      </c>
      <c r="Q408">
        <v>1.58</v>
      </c>
      <c r="R408">
        <v>0.72499999999999998</v>
      </c>
      <c r="S408">
        <v>4.3499999999999996</v>
      </c>
      <c r="T408">
        <v>1.1399999999999999</v>
      </c>
      <c r="U408" t="s">
        <v>530</v>
      </c>
      <c r="V408" t="s">
        <v>531</v>
      </c>
      <c r="W408" t="s">
        <v>532</v>
      </c>
      <c r="X408">
        <v>3.8</v>
      </c>
      <c r="Y408" t="s">
        <v>860</v>
      </c>
      <c r="AC408">
        <v>0</v>
      </c>
    </row>
    <row r="409" spans="2:29" ht="15" customHeight="1" x14ac:dyDescent="0.15">
      <c r="B409">
        <v>4</v>
      </c>
      <c r="C409" t="s">
        <v>386</v>
      </c>
      <c r="D409" t="s">
        <v>1265</v>
      </c>
      <c r="E409">
        <v>4</v>
      </c>
      <c r="F409" t="s">
        <v>219</v>
      </c>
      <c r="G409" t="s">
        <v>218</v>
      </c>
      <c r="H409" t="s">
        <v>864</v>
      </c>
      <c r="I409">
        <v>29</v>
      </c>
      <c r="J409" s="21">
        <v>45855</v>
      </c>
      <c r="K409" s="21">
        <v>45856</v>
      </c>
      <c r="L409" t="s">
        <v>1269</v>
      </c>
      <c r="M409" t="s">
        <v>866</v>
      </c>
      <c r="N409" s="22">
        <v>45856</v>
      </c>
      <c r="O409" t="s">
        <v>220</v>
      </c>
      <c r="P409">
        <v>6</v>
      </c>
      <c r="Q409">
        <v>1.58</v>
      </c>
      <c r="R409">
        <v>0.2</v>
      </c>
      <c r="S409">
        <v>1.2</v>
      </c>
      <c r="T409">
        <v>0.32</v>
      </c>
      <c r="U409" t="s">
        <v>530</v>
      </c>
      <c r="V409" t="s">
        <v>531</v>
      </c>
      <c r="W409" t="s">
        <v>532</v>
      </c>
      <c r="X409">
        <v>3.8</v>
      </c>
      <c r="Y409" t="s">
        <v>860</v>
      </c>
      <c r="AA409">
        <v>70.3</v>
      </c>
      <c r="AB409">
        <v>84.36</v>
      </c>
      <c r="AC409">
        <v>22.2</v>
      </c>
    </row>
    <row r="410" spans="2:29" ht="15" customHeight="1" x14ac:dyDescent="0.15">
      <c r="B410">
        <v>4</v>
      </c>
      <c r="C410" t="s">
        <v>386</v>
      </c>
      <c r="D410" t="s">
        <v>1265</v>
      </c>
      <c r="E410">
        <v>5</v>
      </c>
      <c r="F410" t="s">
        <v>219</v>
      </c>
      <c r="G410" t="s">
        <v>218</v>
      </c>
      <c r="H410" t="s">
        <v>493</v>
      </c>
      <c r="I410">
        <v>29</v>
      </c>
      <c r="J410" s="21">
        <v>45855</v>
      </c>
      <c r="K410" s="21">
        <v>45856</v>
      </c>
      <c r="L410" t="s">
        <v>1270</v>
      </c>
      <c r="M410" t="s">
        <v>576</v>
      </c>
      <c r="N410" s="22">
        <v>45856</v>
      </c>
      <c r="O410" t="s">
        <v>220</v>
      </c>
      <c r="P410">
        <v>6</v>
      </c>
      <c r="Q410">
        <v>1.58</v>
      </c>
      <c r="R410">
        <v>0.2</v>
      </c>
      <c r="S410">
        <v>1.2</v>
      </c>
      <c r="T410">
        <v>0.32</v>
      </c>
      <c r="U410" t="s">
        <v>530</v>
      </c>
      <c r="V410" t="s">
        <v>531</v>
      </c>
      <c r="W410" t="s">
        <v>532</v>
      </c>
      <c r="X410">
        <v>3.8</v>
      </c>
      <c r="Y410" t="s">
        <v>860</v>
      </c>
      <c r="AA410">
        <v>101.77</v>
      </c>
      <c r="AB410">
        <v>122.12</v>
      </c>
      <c r="AC410">
        <v>32.14</v>
      </c>
    </row>
    <row r="411" spans="2:29" ht="15" customHeight="1" x14ac:dyDescent="0.15">
      <c r="B411">
        <v>4</v>
      </c>
      <c r="C411" t="s">
        <v>386</v>
      </c>
      <c r="D411" t="s">
        <v>1265</v>
      </c>
      <c r="E411">
        <v>6</v>
      </c>
      <c r="F411" t="s">
        <v>219</v>
      </c>
      <c r="G411" t="s">
        <v>244</v>
      </c>
      <c r="H411" t="s">
        <v>409</v>
      </c>
      <c r="I411">
        <v>29</v>
      </c>
      <c r="J411" s="21">
        <v>45855</v>
      </c>
      <c r="K411" s="21">
        <v>45856</v>
      </c>
      <c r="L411" t="s">
        <v>1271</v>
      </c>
      <c r="M411" t="s">
        <v>284</v>
      </c>
      <c r="N411" s="22">
        <v>45856</v>
      </c>
      <c r="O411" t="s">
        <v>220</v>
      </c>
      <c r="P411">
        <v>6</v>
      </c>
      <c r="Q411">
        <v>1.58</v>
      </c>
      <c r="R411">
        <v>0.5</v>
      </c>
      <c r="S411">
        <v>3</v>
      </c>
      <c r="T411">
        <v>0.79</v>
      </c>
      <c r="U411" t="s">
        <v>530</v>
      </c>
      <c r="V411" t="s">
        <v>531</v>
      </c>
      <c r="W411" t="s">
        <v>532</v>
      </c>
      <c r="X411">
        <v>3.8</v>
      </c>
      <c r="Y411" t="s">
        <v>860</v>
      </c>
      <c r="AA411">
        <v>53.07</v>
      </c>
      <c r="AB411">
        <v>159.21</v>
      </c>
      <c r="AC411">
        <v>41.9</v>
      </c>
    </row>
    <row r="412" spans="2:29" ht="15" customHeight="1" x14ac:dyDescent="0.15">
      <c r="B412">
        <v>4</v>
      </c>
      <c r="C412" t="s">
        <v>704</v>
      </c>
      <c r="D412" t="s">
        <v>1272</v>
      </c>
      <c r="E412">
        <v>1</v>
      </c>
      <c r="F412" t="s">
        <v>201</v>
      </c>
      <c r="G412" t="s">
        <v>200</v>
      </c>
      <c r="H412" t="s">
        <v>647</v>
      </c>
      <c r="I412">
        <v>29</v>
      </c>
      <c r="J412" s="21">
        <v>45855</v>
      </c>
      <c r="L412" t="s">
        <v>1273</v>
      </c>
      <c r="M412" t="s">
        <v>647</v>
      </c>
      <c r="O412" t="s">
        <v>226</v>
      </c>
      <c r="P412">
        <v>0</v>
      </c>
      <c r="Q412">
        <v>0</v>
      </c>
      <c r="R412">
        <v>0</v>
      </c>
      <c r="S412">
        <v>0</v>
      </c>
      <c r="T412">
        <v>0</v>
      </c>
      <c r="U412" t="s">
        <v>391</v>
      </c>
      <c r="V412" t="s">
        <v>392</v>
      </c>
      <c r="W412" t="s">
        <v>392</v>
      </c>
      <c r="X412">
        <v>1</v>
      </c>
      <c r="Y412" t="s">
        <v>1013</v>
      </c>
      <c r="AA412">
        <v>3.19</v>
      </c>
      <c r="AB412">
        <v>0</v>
      </c>
      <c r="AC412">
        <v>0</v>
      </c>
    </row>
    <row r="413" spans="2:29" ht="15" customHeight="1" x14ac:dyDescent="0.15">
      <c r="B413">
        <v>4</v>
      </c>
      <c r="C413" t="s">
        <v>386</v>
      </c>
      <c r="D413" t="s">
        <v>1272</v>
      </c>
      <c r="E413">
        <v>2</v>
      </c>
      <c r="F413" t="s">
        <v>201</v>
      </c>
      <c r="G413" t="s">
        <v>200</v>
      </c>
      <c r="H413" t="s">
        <v>732</v>
      </c>
      <c r="I413">
        <v>29</v>
      </c>
      <c r="J413" s="21">
        <v>45855</v>
      </c>
      <c r="K413" s="21">
        <v>45860</v>
      </c>
      <c r="L413" t="s">
        <v>1274</v>
      </c>
      <c r="M413" t="s">
        <v>734</v>
      </c>
      <c r="O413" t="s">
        <v>226</v>
      </c>
      <c r="P413">
        <v>1</v>
      </c>
      <c r="Q413">
        <v>1</v>
      </c>
      <c r="R413">
        <v>550</v>
      </c>
      <c r="S413">
        <v>550</v>
      </c>
      <c r="T413">
        <v>550</v>
      </c>
      <c r="U413" t="s">
        <v>391</v>
      </c>
      <c r="V413" t="s">
        <v>392</v>
      </c>
      <c r="W413" t="s">
        <v>392</v>
      </c>
      <c r="X413">
        <v>1</v>
      </c>
      <c r="Y413" t="s">
        <v>1013</v>
      </c>
      <c r="AA413">
        <v>3.24</v>
      </c>
      <c r="AB413" s="22">
        <v>1784.48</v>
      </c>
      <c r="AC413" s="22">
        <v>1784.48</v>
      </c>
    </row>
    <row r="414" spans="2:29" ht="15" customHeight="1" x14ac:dyDescent="0.15">
      <c r="B414">
        <v>4</v>
      </c>
      <c r="C414" t="s">
        <v>386</v>
      </c>
      <c r="D414" t="s">
        <v>1272</v>
      </c>
      <c r="E414">
        <v>3</v>
      </c>
      <c r="F414" t="s">
        <v>201</v>
      </c>
      <c r="G414" t="s">
        <v>200</v>
      </c>
      <c r="H414" t="s">
        <v>735</v>
      </c>
      <c r="I414">
        <v>29</v>
      </c>
      <c r="J414" s="21">
        <v>45855</v>
      </c>
      <c r="K414" s="21">
        <v>45860</v>
      </c>
      <c r="L414" t="s">
        <v>1275</v>
      </c>
      <c r="M414" t="s">
        <v>737</v>
      </c>
      <c r="O414" t="s">
        <v>226</v>
      </c>
      <c r="P414">
        <v>1</v>
      </c>
      <c r="Q414">
        <v>1</v>
      </c>
      <c r="R414">
        <v>300</v>
      </c>
      <c r="S414">
        <v>300</v>
      </c>
      <c r="T414">
        <v>300</v>
      </c>
      <c r="U414" t="s">
        <v>391</v>
      </c>
      <c r="V414" t="s">
        <v>392</v>
      </c>
      <c r="W414" t="s">
        <v>392</v>
      </c>
      <c r="X414">
        <v>1</v>
      </c>
      <c r="Y414" t="s">
        <v>1013</v>
      </c>
      <c r="AA414">
        <v>2.7</v>
      </c>
      <c r="AB414">
        <v>810</v>
      </c>
      <c r="AC414">
        <v>810</v>
      </c>
    </row>
    <row r="415" spans="2:29" ht="15" customHeight="1" x14ac:dyDescent="0.15">
      <c r="B415">
        <v>4</v>
      </c>
      <c r="C415" t="s">
        <v>704</v>
      </c>
      <c r="D415" t="s">
        <v>1272</v>
      </c>
      <c r="E415">
        <v>4</v>
      </c>
      <c r="F415" t="s">
        <v>201</v>
      </c>
      <c r="G415" t="s">
        <v>200</v>
      </c>
      <c r="H415" t="s">
        <v>635</v>
      </c>
      <c r="I415">
        <v>29</v>
      </c>
      <c r="J415" s="21">
        <v>45855</v>
      </c>
      <c r="L415" t="s">
        <v>1276</v>
      </c>
      <c r="M415" t="s">
        <v>204</v>
      </c>
      <c r="O415" t="s">
        <v>226</v>
      </c>
      <c r="P415">
        <v>0</v>
      </c>
      <c r="Q415">
        <v>0</v>
      </c>
      <c r="R415">
        <v>0</v>
      </c>
      <c r="S415">
        <v>0</v>
      </c>
      <c r="T415">
        <v>0</v>
      </c>
      <c r="U415" t="s">
        <v>391</v>
      </c>
      <c r="V415" t="s">
        <v>392</v>
      </c>
      <c r="W415" t="s">
        <v>392</v>
      </c>
      <c r="X415">
        <v>1</v>
      </c>
      <c r="Y415" t="s">
        <v>1013</v>
      </c>
      <c r="AA415">
        <v>2.06</v>
      </c>
      <c r="AB415">
        <v>0</v>
      </c>
      <c r="AC415">
        <v>0</v>
      </c>
    </row>
    <row r="416" spans="2:29" ht="15" customHeight="1" x14ac:dyDescent="0.15">
      <c r="B416">
        <v>4</v>
      </c>
      <c r="C416" t="s">
        <v>386</v>
      </c>
      <c r="D416" t="s">
        <v>1277</v>
      </c>
      <c r="E416">
        <v>1</v>
      </c>
      <c r="F416" t="s">
        <v>556</v>
      </c>
      <c r="G416" t="s">
        <v>556</v>
      </c>
      <c r="H416" t="s">
        <v>557</v>
      </c>
      <c r="I416">
        <v>29</v>
      </c>
      <c r="J416" s="21">
        <v>45855</v>
      </c>
      <c r="K416" s="21">
        <v>45855</v>
      </c>
      <c r="L416" t="s">
        <v>1278</v>
      </c>
      <c r="M416" t="s">
        <v>672</v>
      </c>
      <c r="O416" t="s">
        <v>226</v>
      </c>
      <c r="P416">
        <v>1</v>
      </c>
      <c r="Q416">
        <v>1</v>
      </c>
      <c r="R416">
        <v>10</v>
      </c>
      <c r="S416">
        <v>10</v>
      </c>
      <c r="T416">
        <v>10</v>
      </c>
      <c r="U416" t="s">
        <v>391</v>
      </c>
      <c r="V416" t="s">
        <v>392</v>
      </c>
      <c r="W416" t="s">
        <v>392</v>
      </c>
      <c r="X416">
        <v>1</v>
      </c>
      <c r="Y416" t="s">
        <v>1013</v>
      </c>
      <c r="AA416">
        <v>69</v>
      </c>
      <c r="AB416">
        <v>690</v>
      </c>
      <c r="AC416">
        <v>690</v>
      </c>
    </row>
    <row r="417" spans="2:29" ht="15" customHeight="1" x14ac:dyDescent="0.15">
      <c r="B417">
        <v>4</v>
      </c>
      <c r="C417" t="s">
        <v>386</v>
      </c>
      <c r="D417" t="s">
        <v>1279</v>
      </c>
      <c r="E417">
        <v>1</v>
      </c>
      <c r="F417" t="s">
        <v>219</v>
      </c>
      <c r="G417" t="s">
        <v>231</v>
      </c>
      <c r="H417" t="s">
        <v>433</v>
      </c>
      <c r="I417">
        <v>29</v>
      </c>
      <c r="J417" s="21">
        <v>45857</v>
      </c>
      <c r="K417" s="21">
        <v>45862</v>
      </c>
      <c r="L417" t="s">
        <v>1280</v>
      </c>
      <c r="M417" t="s">
        <v>1030</v>
      </c>
      <c r="O417" t="s">
        <v>220</v>
      </c>
      <c r="P417">
        <v>2</v>
      </c>
      <c r="Q417">
        <v>1</v>
      </c>
      <c r="R417">
        <v>0.12</v>
      </c>
      <c r="S417">
        <v>0.24</v>
      </c>
      <c r="T417">
        <v>0.12</v>
      </c>
      <c r="U417" t="s">
        <v>627</v>
      </c>
      <c r="V417" t="s">
        <v>628</v>
      </c>
      <c r="W417" t="s">
        <v>532</v>
      </c>
      <c r="X417">
        <v>2</v>
      </c>
      <c r="Y417" t="s">
        <v>871</v>
      </c>
      <c r="AA417">
        <v>21.83</v>
      </c>
      <c r="AB417">
        <v>5.24</v>
      </c>
      <c r="AC417">
        <v>2.62</v>
      </c>
    </row>
    <row r="418" spans="2:29" ht="15" customHeight="1" x14ac:dyDescent="0.15">
      <c r="B418">
        <v>4</v>
      </c>
      <c r="C418" t="s">
        <v>386</v>
      </c>
      <c r="D418" t="s">
        <v>1279</v>
      </c>
      <c r="E418">
        <v>2</v>
      </c>
      <c r="F418" t="s">
        <v>219</v>
      </c>
      <c r="G418" t="s">
        <v>239</v>
      </c>
      <c r="H418" t="s">
        <v>861</v>
      </c>
      <c r="I418">
        <v>29</v>
      </c>
      <c r="J418" s="21">
        <v>45857</v>
      </c>
      <c r="K418" s="21">
        <v>45862</v>
      </c>
      <c r="L418" t="s">
        <v>1281</v>
      </c>
      <c r="M418" t="s">
        <v>863</v>
      </c>
      <c r="O418" t="s">
        <v>220</v>
      </c>
      <c r="P418">
        <v>2</v>
      </c>
      <c r="Q418">
        <v>1</v>
      </c>
      <c r="R418">
        <v>2</v>
      </c>
      <c r="S418">
        <v>4</v>
      </c>
      <c r="T418">
        <v>2</v>
      </c>
      <c r="U418" t="s">
        <v>627</v>
      </c>
      <c r="V418" t="s">
        <v>628</v>
      </c>
      <c r="W418" t="s">
        <v>532</v>
      </c>
      <c r="X418">
        <v>2</v>
      </c>
      <c r="Y418" t="s">
        <v>871</v>
      </c>
      <c r="AA418">
        <v>29.14</v>
      </c>
      <c r="AB418">
        <v>116.56</v>
      </c>
      <c r="AC418">
        <v>58.28</v>
      </c>
    </row>
    <row r="419" spans="2:29" ht="15" customHeight="1" x14ac:dyDescent="0.15">
      <c r="B419">
        <v>4</v>
      </c>
      <c r="C419" t="s">
        <v>386</v>
      </c>
      <c r="D419" t="s">
        <v>1279</v>
      </c>
      <c r="E419">
        <v>3</v>
      </c>
      <c r="F419" t="s">
        <v>219</v>
      </c>
      <c r="G419" t="s">
        <v>218</v>
      </c>
      <c r="H419" t="s">
        <v>908</v>
      </c>
      <c r="I419">
        <v>29</v>
      </c>
      <c r="J419" s="21">
        <v>45857</v>
      </c>
      <c r="K419" s="21">
        <v>45862</v>
      </c>
      <c r="L419" t="s">
        <v>1282</v>
      </c>
      <c r="M419" t="s">
        <v>1027</v>
      </c>
      <c r="O419" t="s">
        <v>220</v>
      </c>
      <c r="P419">
        <v>2</v>
      </c>
      <c r="Q419">
        <v>1</v>
      </c>
      <c r="R419">
        <v>0.3</v>
      </c>
      <c r="S419">
        <v>0.6</v>
      </c>
      <c r="T419">
        <v>0.3</v>
      </c>
      <c r="U419" t="s">
        <v>627</v>
      </c>
      <c r="V419" t="s">
        <v>628</v>
      </c>
      <c r="W419" t="s">
        <v>532</v>
      </c>
      <c r="X419">
        <v>2</v>
      </c>
      <c r="Y419" t="s">
        <v>871</v>
      </c>
      <c r="AA419">
        <v>31.3</v>
      </c>
      <c r="AB419">
        <v>18.78</v>
      </c>
      <c r="AC419">
        <v>9.39</v>
      </c>
    </row>
    <row r="420" spans="2:29" ht="15" customHeight="1" x14ac:dyDescent="0.15">
      <c r="B420">
        <v>4</v>
      </c>
      <c r="C420" t="s">
        <v>386</v>
      </c>
      <c r="D420" t="s">
        <v>1279</v>
      </c>
      <c r="E420">
        <v>4</v>
      </c>
      <c r="F420" t="s">
        <v>219</v>
      </c>
      <c r="G420" t="s">
        <v>239</v>
      </c>
      <c r="H420" t="s">
        <v>607</v>
      </c>
      <c r="I420">
        <v>29</v>
      </c>
      <c r="J420" s="21">
        <v>45857</v>
      </c>
      <c r="K420" s="21">
        <v>45862</v>
      </c>
      <c r="L420" t="s">
        <v>1283</v>
      </c>
      <c r="M420" t="s">
        <v>609</v>
      </c>
      <c r="O420" t="s">
        <v>220</v>
      </c>
      <c r="P420">
        <v>2</v>
      </c>
      <c r="Q420">
        <v>1</v>
      </c>
      <c r="R420">
        <v>0.5</v>
      </c>
      <c r="S420">
        <v>1</v>
      </c>
      <c r="T420">
        <v>0.5</v>
      </c>
      <c r="U420" t="s">
        <v>627</v>
      </c>
      <c r="V420" t="s">
        <v>628</v>
      </c>
      <c r="W420" t="s">
        <v>532</v>
      </c>
      <c r="X420">
        <v>2</v>
      </c>
      <c r="Y420" t="s">
        <v>871</v>
      </c>
      <c r="AC420">
        <v>0</v>
      </c>
    </row>
    <row r="421" spans="2:29" ht="15" customHeight="1" x14ac:dyDescent="0.15">
      <c r="B421">
        <v>4</v>
      </c>
      <c r="C421" t="s">
        <v>386</v>
      </c>
      <c r="D421" t="s">
        <v>1284</v>
      </c>
      <c r="E421">
        <v>1</v>
      </c>
      <c r="F421" t="s">
        <v>219</v>
      </c>
      <c r="G421" t="s">
        <v>218</v>
      </c>
      <c r="H421" t="s">
        <v>1018</v>
      </c>
      <c r="I421">
        <v>29</v>
      </c>
      <c r="J421" s="21">
        <v>45857</v>
      </c>
      <c r="K421" s="21">
        <v>45857</v>
      </c>
      <c r="L421" t="s">
        <v>1285</v>
      </c>
      <c r="M421" t="s">
        <v>1020</v>
      </c>
      <c r="O421" t="s">
        <v>220</v>
      </c>
      <c r="P421">
        <v>1</v>
      </c>
      <c r="Q421">
        <v>1</v>
      </c>
      <c r="R421">
        <v>1</v>
      </c>
      <c r="S421">
        <v>1</v>
      </c>
      <c r="T421">
        <v>1</v>
      </c>
      <c r="U421" t="s">
        <v>391</v>
      </c>
      <c r="V421" t="s">
        <v>392</v>
      </c>
      <c r="W421" t="s">
        <v>392</v>
      </c>
      <c r="X421">
        <v>1</v>
      </c>
      <c r="Y421" t="s">
        <v>893</v>
      </c>
      <c r="AA421">
        <v>85.01</v>
      </c>
      <c r="AB421">
        <v>85.01</v>
      </c>
      <c r="AC421">
        <v>85.01</v>
      </c>
    </row>
    <row r="422" spans="2:29" ht="15" customHeight="1" x14ac:dyDescent="0.15">
      <c r="B422">
        <v>4</v>
      </c>
      <c r="C422" t="s">
        <v>386</v>
      </c>
      <c r="D422" t="s">
        <v>1286</v>
      </c>
      <c r="E422">
        <v>1</v>
      </c>
      <c r="F422" t="s">
        <v>219</v>
      </c>
      <c r="G422" t="s">
        <v>231</v>
      </c>
      <c r="H422" t="s">
        <v>433</v>
      </c>
      <c r="I422">
        <v>30</v>
      </c>
      <c r="J422" s="21">
        <v>45859</v>
      </c>
      <c r="K422" s="21">
        <v>45859</v>
      </c>
      <c r="L422" t="s">
        <v>1287</v>
      </c>
      <c r="M422" t="s">
        <v>1030</v>
      </c>
      <c r="O422" t="s">
        <v>220</v>
      </c>
      <c r="P422">
        <v>2</v>
      </c>
      <c r="Q422">
        <v>1</v>
      </c>
      <c r="R422">
        <v>0.12</v>
      </c>
      <c r="S422">
        <v>0.24</v>
      </c>
      <c r="T422">
        <v>0.12</v>
      </c>
      <c r="U422" t="s">
        <v>1056</v>
      </c>
      <c r="V422" t="s">
        <v>1057</v>
      </c>
      <c r="W422" t="s">
        <v>532</v>
      </c>
      <c r="X422">
        <v>2</v>
      </c>
      <c r="Y422" t="s">
        <v>455</v>
      </c>
      <c r="AA422">
        <v>21.83</v>
      </c>
      <c r="AB422">
        <v>5.24</v>
      </c>
      <c r="AC422">
        <v>2.62</v>
      </c>
    </row>
    <row r="423" spans="2:29" ht="15" customHeight="1" x14ac:dyDescent="0.15">
      <c r="B423">
        <v>4</v>
      </c>
      <c r="C423" t="s">
        <v>386</v>
      </c>
      <c r="D423" t="s">
        <v>1286</v>
      </c>
      <c r="E423">
        <v>2</v>
      </c>
      <c r="F423" t="s">
        <v>219</v>
      </c>
      <c r="G423" t="s">
        <v>239</v>
      </c>
      <c r="H423" t="s">
        <v>456</v>
      </c>
      <c r="I423">
        <v>30</v>
      </c>
      <c r="J423" s="21">
        <v>45859</v>
      </c>
      <c r="K423" s="21">
        <v>45859</v>
      </c>
      <c r="L423" t="s">
        <v>1288</v>
      </c>
      <c r="M423" t="s">
        <v>458</v>
      </c>
      <c r="O423" t="s">
        <v>220</v>
      </c>
      <c r="P423">
        <v>2</v>
      </c>
      <c r="Q423">
        <v>1</v>
      </c>
      <c r="R423">
        <v>3</v>
      </c>
      <c r="S423">
        <v>6</v>
      </c>
      <c r="T423">
        <v>3</v>
      </c>
      <c r="U423" t="s">
        <v>1056</v>
      </c>
      <c r="V423" t="s">
        <v>1057</v>
      </c>
      <c r="W423" t="s">
        <v>532</v>
      </c>
      <c r="X423">
        <v>2</v>
      </c>
      <c r="Y423" t="s">
        <v>455</v>
      </c>
      <c r="AA423">
        <v>49.99</v>
      </c>
      <c r="AB423">
        <v>299.94</v>
      </c>
      <c r="AC423">
        <v>149.97</v>
      </c>
    </row>
    <row r="424" spans="2:29" ht="15" customHeight="1" x14ac:dyDescent="0.15">
      <c r="B424">
        <v>4</v>
      </c>
      <c r="C424" t="s">
        <v>386</v>
      </c>
      <c r="D424" t="s">
        <v>1286</v>
      </c>
      <c r="E424">
        <v>3</v>
      </c>
      <c r="F424" t="s">
        <v>219</v>
      </c>
      <c r="G424" t="s">
        <v>239</v>
      </c>
      <c r="H424" t="s">
        <v>602</v>
      </c>
      <c r="I424">
        <v>30</v>
      </c>
      <c r="J424" s="21">
        <v>45859</v>
      </c>
      <c r="K424" s="21">
        <v>45859</v>
      </c>
      <c r="L424" t="s">
        <v>1289</v>
      </c>
      <c r="M424" t="s">
        <v>258</v>
      </c>
      <c r="O424" t="s">
        <v>220</v>
      </c>
      <c r="P424">
        <v>2</v>
      </c>
      <c r="Q424">
        <v>1</v>
      </c>
      <c r="R424">
        <v>0.3</v>
      </c>
      <c r="S424">
        <v>0.6</v>
      </c>
      <c r="T424">
        <v>0.3</v>
      </c>
      <c r="U424" t="s">
        <v>1056</v>
      </c>
      <c r="V424" t="s">
        <v>1057</v>
      </c>
      <c r="W424" t="s">
        <v>532</v>
      </c>
      <c r="X424">
        <v>2</v>
      </c>
      <c r="Y424" t="s">
        <v>455</v>
      </c>
      <c r="AA424">
        <v>180</v>
      </c>
      <c r="AB424">
        <v>108</v>
      </c>
      <c r="AC424">
        <v>54</v>
      </c>
    </row>
    <row r="425" spans="2:29" ht="15" customHeight="1" x14ac:dyDescent="0.15">
      <c r="B425">
        <v>4</v>
      </c>
      <c r="C425" t="s">
        <v>386</v>
      </c>
      <c r="D425" t="s">
        <v>1286</v>
      </c>
      <c r="E425">
        <v>4</v>
      </c>
      <c r="F425" t="s">
        <v>219</v>
      </c>
      <c r="G425" t="s">
        <v>218</v>
      </c>
      <c r="H425" t="s">
        <v>493</v>
      </c>
      <c r="I425">
        <v>30</v>
      </c>
      <c r="J425" s="21">
        <v>45859</v>
      </c>
      <c r="K425" s="21">
        <v>45859</v>
      </c>
      <c r="L425" t="s">
        <v>1290</v>
      </c>
      <c r="M425" t="s">
        <v>576</v>
      </c>
      <c r="O425" t="s">
        <v>220</v>
      </c>
      <c r="P425">
        <v>2</v>
      </c>
      <c r="Q425">
        <v>1</v>
      </c>
      <c r="R425">
        <v>0.2</v>
      </c>
      <c r="S425">
        <v>0.4</v>
      </c>
      <c r="T425">
        <v>0.2</v>
      </c>
      <c r="U425" t="s">
        <v>1056</v>
      </c>
      <c r="V425" t="s">
        <v>1057</v>
      </c>
      <c r="W425" t="s">
        <v>532</v>
      </c>
      <c r="X425">
        <v>2</v>
      </c>
      <c r="Y425" t="s">
        <v>455</v>
      </c>
      <c r="AA425">
        <v>101.77</v>
      </c>
      <c r="AB425">
        <v>40.71</v>
      </c>
      <c r="AC425">
        <v>20.350000000000001</v>
      </c>
    </row>
    <row r="426" spans="2:29" ht="15" customHeight="1" x14ac:dyDescent="0.15">
      <c r="B426">
        <v>4</v>
      </c>
      <c r="C426" t="s">
        <v>386</v>
      </c>
      <c r="D426" t="s">
        <v>1291</v>
      </c>
      <c r="E426">
        <v>1</v>
      </c>
      <c r="F426" t="s">
        <v>219</v>
      </c>
      <c r="G426" t="s">
        <v>1292</v>
      </c>
      <c r="H426" t="s">
        <v>1293</v>
      </c>
      <c r="I426">
        <v>30</v>
      </c>
      <c r="J426" s="21">
        <v>45859</v>
      </c>
      <c r="K426" s="21">
        <v>45859</v>
      </c>
      <c r="L426" t="s">
        <v>1294</v>
      </c>
      <c r="M426" t="s">
        <v>1295</v>
      </c>
      <c r="O426" t="s">
        <v>220</v>
      </c>
      <c r="P426">
        <v>4</v>
      </c>
      <c r="Q426">
        <v>2.35</v>
      </c>
      <c r="R426">
        <v>3</v>
      </c>
      <c r="S426">
        <v>12</v>
      </c>
      <c r="T426">
        <v>7.06</v>
      </c>
      <c r="U426" t="s">
        <v>1246</v>
      </c>
      <c r="V426" t="s">
        <v>1247</v>
      </c>
      <c r="W426" t="s">
        <v>532</v>
      </c>
      <c r="X426">
        <v>1.7</v>
      </c>
      <c r="Y426" t="s">
        <v>1296</v>
      </c>
      <c r="AA426">
        <v>19.75</v>
      </c>
      <c r="AB426">
        <v>237</v>
      </c>
      <c r="AC426">
        <v>139.41</v>
      </c>
    </row>
    <row r="427" spans="2:29" ht="15" customHeight="1" x14ac:dyDescent="0.15">
      <c r="B427">
        <v>4</v>
      </c>
      <c r="C427" t="s">
        <v>386</v>
      </c>
      <c r="D427" t="s">
        <v>1291</v>
      </c>
      <c r="E427">
        <v>2</v>
      </c>
      <c r="F427" t="s">
        <v>219</v>
      </c>
      <c r="G427" t="s">
        <v>223</v>
      </c>
      <c r="H427" t="s">
        <v>987</v>
      </c>
      <c r="I427">
        <v>30</v>
      </c>
      <c r="J427" s="21">
        <v>45859</v>
      </c>
      <c r="K427" s="21">
        <v>45859</v>
      </c>
      <c r="L427" t="s">
        <v>1297</v>
      </c>
      <c r="M427" t="s">
        <v>222</v>
      </c>
      <c r="O427" t="s">
        <v>220</v>
      </c>
      <c r="P427">
        <v>4</v>
      </c>
      <c r="Q427">
        <v>2.35</v>
      </c>
      <c r="R427">
        <v>3</v>
      </c>
      <c r="S427">
        <v>12</v>
      </c>
      <c r="T427">
        <v>7.06</v>
      </c>
      <c r="U427" t="s">
        <v>1246</v>
      </c>
      <c r="V427" t="s">
        <v>1247</v>
      </c>
      <c r="W427" t="s">
        <v>532</v>
      </c>
      <c r="X427">
        <v>1.7</v>
      </c>
      <c r="Y427" t="s">
        <v>1296</v>
      </c>
      <c r="AA427">
        <v>13.47</v>
      </c>
      <c r="AB427">
        <v>161.63999999999999</v>
      </c>
      <c r="AC427">
        <v>95.08</v>
      </c>
    </row>
    <row r="428" spans="2:29" ht="15" customHeight="1" x14ac:dyDescent="0.15">
      <c r="B428">
        <v>4</v>
      </c>
      <c r="C428" t="s">
        <v>386</v>
      </c>
      <c r="D428" t="s">
        <v>1291</v>
      </c>
      <c r="E428">
        <v>3</v>
      </c>
      <c r="F428" t="s">
        <v>219</v>
      </c>
      <c r="G428" t="s">
        <v>223</v>
      </c>
      <c r="H428" t="s">
        <v>1298</v>
      </c>
      <c r="I428">
        <v>30</v>
      </c>
      <c r="J428" s="21">
        <v>45859</v>
      </c>
      <c r="K428" s="21">
        <v>45859</v>
      </c>
      <c r="L428" t="s">
        <v>1299</v>
      </c>
      <c r="M428" t="s">
        <v>1300</v>
      </c>
      <c r="O428" t="s">
        <v>220</v>
      </c>
      <c r="P428">
        <v>4</v>
      </c>
      <c r="Q428">
        <v>2.35</v>
      </c>
      <c r="R428">
        <v>3</v>
      </c>
      <c r="S428">
        <v>12</v>
      </c>
      <c r="T428">
        <v>7.06</v>
      </c>
      <c r="U428" t="s">
        <v>1246</v>
      </c>
      <c r="V428" t="s">
        <v>1247</v>
      </c>
      <c r="W428" t="s">
        <v>532</v>
      </c>
      <c r="X428">
        <v>1.7</v>
      </c>
      <c r="Y428" t="s">
        <v>1296</v>
      </c>
      <c r="AA428">
        <v>30.4</v>
      </c>
      <c r="AB428">
        <v>364.8</v>
      </c>
      <c r="AC428">
        <v>214.59</v>
      </c>
    </row>
    <row r="429" spans="2:29" ht="15" customHeight="1" x14ac:dyDescent="0.15">
      <c r="B429">
        <v>4</v>
      </c>
      <c r="C429" t="s">
        <v>386</v>
      </c>
      <c r="D429" t="s">
        <v>1301</v>
      </c>
      <c r="E429">
        <v>1</v>
      </c>
      <c r="F429" t="s">
        <v>219</v>
      </c>
      <c r="G429" t="s">
        <v>231</v>
      </c>
      <c r="H429" t="s">
        <v>433</v>
      </c>
      <c r="I429">
        <v>30</v>
      </c>
      <c r="J429" s="21">
        <v>45859</v>
      </c>
      <c r="K429" s="21">
        <v>45859</v>
      </c>
      <c r="L429" t="s">
        <v>1302</v>
      </c>
      <c r="M429" t="s">
        <v>1030</v>
      </c>
      <c r="O429" t="s">
        <v>220</v>
      </c>
      <c r="P429">
        <v>2</v>
      </c>
      <c r="Q429">
        <v>1</v>
      </c>
      <c r="R429">
        <v>0.15</v>
      </c>
      <c r="S429">
        <v>0.3</v>
      </c>
      <c r="T429">
        <v>0.15</v>
      </c>
      <c r="U429" t="s">
        <v>391</v>
      </c>
      <c r="V429" t="s">
        <v>392</v>
      </c>
      <c r="W429" t="s">
        <v>392</v>
      </c>
      <c r="X429">
        <v>2</v>
      </c>
      <c r="Y429" t="s">
        <v>1303</v>
      </c>
      <c r="AA429">
        <v>21.83</v>
      </c>
      <c r="AB429">
        <v>6.55</v>
      </c>
      <c r="AC429">
        <v>3.27</v>
      </c>
    </row>
    <row r="430" spans="2:29" ht="15" customHeight="1" x14ac:dyDescent="0.15">
      <c r="B430">
        <v>4</v>
      </c>
      <c r="C430" t="s">
        <v>386</v>
      </c>
      <c r="D430" t="s">
        <v>1301</v>
      </c>
      <c r="E430">
        <v>2</v>
      </c>
      <c r="F430" t="s">
        <v>219</v>
      </c>
      <c r="G430" t="s">
        <v>218</v>
      </c>
      <c r="H430" t="s">
        <v>400</v>
      </c>
      <c r="I430">
        <v>30</v>
      </c>
      <c r="J430" s="21">
        <v>45859</v>
      </c>
      <c r="K430" s="21">
        <v>45859</v>
      </c>
      <c r="L430" t="s">
        <v>1304</v>
      </c>
      <c r="M430" t="s">
        <v>1213</v>
      </c>
      <c r="O430" t="s">
        <v>220</v>
      </c>
      <c r="P430">
        <v>2</v>
      </c>
      <c r="Q430">
        <v>1</v>
      </c>
      <c r="R430">
        <v>0.25</v>
      </c>
      <c r="S430">
        <v>0.5</v>
      </c>
      <c r="T430">
        <v>0.25</v>
      </c>
      <c r="U430" t="s">
        <v>391</v>
      </c>
      <c r="V430" t="s">
        <v>392</v>
      </c>
      <c r="W430" t="s">
        <v>392</v>
      </c>
      <c r="X430">
        <v>2</v>
      </c>
      <c r="Y430" t="s">
        <v>1303</v>
      </c>
      <c r="AA430">
        <v>78.8</v>
      </c>
      <c r="AB430">
        <v>39.4</v>
      </c>
      <c r="AC430">
        <v>19.7</v>
      </c>
    </row>
    <row r="431" spans="2:29" ht="15" customHeight="1" x14ac:dyDescent="0.15">
      <c r="B431">
        <v>4</v>
      </c>
      <c r="C431" t="s">
        <v>386</v>
      </c>
      <c r="D431" t="s">
        <v>1301</v>
      </c>
      <c r="E431">
        <v>3</v>
      </c>
      <c r="F431" t="s">
        <v>219</v>
      </c>
      <c r="G431" t="s">
        <v>218</v>
      </c>
      <c r="H431" t="s">
        <v>911</v>
      </c>
      <c r="I431">
        <v>30</v>
      </c>
      <c r="J431" s="21">
        <v>45859</v>
      </c>
      <c r="K431" s="21">
        <v>45859</v>
      </c>
      <c r="L431" t="s">
        <v>1305</v>
      </c>
      <c r="M431" t="s">
        <v>913</v>
      </c>
      <c r="O431" t="s">
        <v>220</v>
      </c>
      <c r="P431">
        <v>2</v>
      </c>
      <c r="Q431">
        <v>1</v>
      </c>
      <c r="R431">
        <v>0.25</v>
      </c>
      <c r="S431">
        <v>0.5</v>
      </c>
      <c r="T431">
        <v>0.25</v>
      </c>
      <c r="U431" t="s">
        <v>391</v>
      </c>
      <c r="V431" t="s">
        <v>392</v>
      </c>
      <c r="W431" t="s">
        <v>392</v>
      </c>
      <c r="X431">
        <v>2</v>
      </c>
      <c r="Y431" t="s">
        <v>1303</v>
      </c>
      <c r="AA431">
        <v>91.24</v>
      </c>
      <c r="AB431">
        <v>45.62</v>
      </c>
      <c r="AC431">
        <v>22.81</v>
      </c>
    </row>
    <row r="432" spans="2:29" ht="15" customHeight="1" x14ac:dyDescent="0.15">
      <c r="B432">
        <v>4</v>
      </c>
      <c r="C432" t="s">
        <v>386</v>
      </c>
      <c r="D432" t="s">
        <v>1301</v>
      </c>
      <c r="E432">
        <v>4</v>
      </c>
      <c r="F432" t="s">
        <v>219</v>
      </c>
      <c r="G432" t="s">
        <v>218</v>
      </c>
      <c r="H432" t="s">
        <v>1018</v>
      </c>
      <c r="I432">
        <v>30</v>
      </c>
      <c r="J432" s="21">
        <v>45859</v>
      </c>
      <c r="K432" s="21">
        <v>45859</v>
      </c>
      <c r="L432" t="s">
        <v>1306</v>
      </c>
      <c r="M432" t="s">
        <v>1020</v>
      </c>
      <c r="O432" t="s">
        <v>220</v>
      </c>
      <c r="P432">
        <v>2</v>
      </c>
      <c r="Q432">
        <v>1</v>
      </c>
      <c r="R432">
        <v>0.25</v>
      </c>
      <c r="S432">
        <v>0.5</v>
      </c>
      <c r="T432">
        <v>0.25</v>
      </c>
      <c r="U432" t="s">
        <v>391</v>
      </c>
      <c r="V432" t="s">
        <v>392</v>
      </c>
      <c r="W432" t="s">
        <v>392</v>
      </c>
      <c r="X432">
        <v>2</v>
      </c>
      <c r="Y432" t="s">
        <v>1303</v>
      </c>
      <c r="AA432">
        <v>85.01</v>
      </c>
      <c r="AB432">
        <v>42.51</v>
      </c>
      <c r="AC432">
        <v>21.25</v>
      </c>
    </row>
    <row r="433" spans="2:29" ht="15" customHeight="1" x14ac:dyDescent="0.15">
      <c r="B433">
        <v>4</v>
      </c>
      <c r="C433" t="s">
        <v>386</v>
      </c>
      <c r="D433" t="s">
        <v>1301</v>
      </c>
      <c r="E433">
        <v>5</v>
      </c>
      <c r="F433" t="s">
        <v>219</v>
      </c>
      <c r="G433" t="s">
        <v>239</v>
      </c>
      <c r="H433" t="s">
        <v>1196</v>
      </c>
      <c r="I433">
        <v>30</v>
      </c>
      <c r="J433" s="21">
        <v>45859</v>
      </c>
      <c r="K433" s="21">
        <v>45859</v>
      </c>
      <c r="L433" t="s">
        <v>1307</v>
      </c>
      <c r="M433" t="s">
        <v>1198</v>
      </c>
      <c r="O433" t="s">
        <v>220</v>
      </c>
      <c r="P433">
        <v>2</v>
      </c>
      <c r="Q433">
        <v>1</v>
      </c>
      <c r="R433">
        <v>0.5</v>
      </c>
      <c r="S433">
        <v>1</v>
      </c>
      <c r="T433">
        <v>0.5</v>
      </c>
      <c r="U433" t="s">
        <v>391</v>
      </c>
      <c r="V433" t="s">
        <v>392</v>
      </c>
      <c r="W433" t="s">
        <v>392</v>
      </c>
      <c r="X433">
        <v>2</v>
      </c>
      <c r="Y433" t="s">
        <v>1303</v>
      </c>
      <c r="AA433">
        <v>27.82</v>
      </c>
      <c r="AB433">
        <v>27.82</v>
      </c>
      <c r="AC433">
        <v>13.91</v>
      </c>
    </row>
    <row r="434" spans="2:29" ht="15" customHeight="1" x14ac:dyDescent="0.15">
      <c r="B434">
        <v>4</v>
      </c>
      <c r="C434" t="s">
        <v>386</v>
      </c>
      <c r="D434" t="s">
        <v>1301</v>
      </c>
      <c r="E434">
        <v>6</v>
      </c>
      <c r="F434" t="s">
        <v>219</v>
      </c>
      <c r="G434" t="s">
        <v>239</v>
      </c>
      <c r="H434" t="s">
        <v>1308</v>
      </c>
      <c r="I434">
        <v>30</v>
      </c>
      <c r="J434" s="21">
        <v>45859</v>
      </c>
      <c r="K434" s="21">
        <v>45859</v>
      </c>
      <c r="L434" t="s">
        <v>1309</v>
      </c>
      <c r="M434" t="s">
        <v>1310</v>
      </c>
      <c r="O434" t="s">
        <v>226</v>
      </c>
      <c r="P434">
        <v>2</v>
      </c>
      <c r="Q434">
        <v>1</v>
      </c>
      <c r="R434">
        <v>0.1</v>
      </c>
      <c r="S434">
        <v>0.2</v>
      </c>
      <c r="T434">
        <v>0.1</v>
      </c>
      <c r="U434" t="s">
        <v>391</v>
      </c>
      <c r="V434" t="s">
        <v>392</v>
      </c>
      <c r="W434" t="s">
        <v>392</v>
      </c>
      <c r="X434">
        <v>2</v>
      </c>
      <c r="Y434" t="s">
        <v>1303</v>
      </c>
      <c r="AA434">
        <v>182.78</v>
      </c>
      <c r="AB434">
        <v>36.56</v>
      </c>
      <c r="AC434">
        <v>18.28</v>
      </c>
    </row>
    <row r="435" spans="2:29" ht="15" customHeight="1" x14ac:dyDescent="0.15">
      <c r="B435">
        <v>4</v>
      </c>
      <c r="C435" t="s">
        <v>386</v>
      </c>
      <c r="D435" t="s">
        <v>1311</v>
      </c>
      <c r="E435">
        <v>1</v>
      </c>
      <c r="F435" t="s">
        <v>219</v>
      </c>
      <c r="G435" t="s">
        <v>231</v>
      </c>
      <c r="H435" t="s">
        <v>433</v>
      </c>
      <c r="I435">
        <v>30</v>
      </c>
      <c r="J435" s="21">
        <v>45859</v>
      </c>
      <c r="K435" s="21">
        <v>45859</v>
      </c>
      <c r="L435" t="s">
        <v>1312</v>
      </c>
      <c r="M435" t="s">
        <v>1030</v>
      </c>
      <c r="O435" t="s">
        <v>220</v>
      </c>
      <c r="P435">
        <v>2</v>
      </c>
      <c r="Q435">
        <v>1</v>
      </c>
      <c r="R435">
        <v>0.15</v>
      </c>
      <c r="S435">
        <v>0.3</v>
      </c>
      <c r="T435">
        <v>0.15</v>
      </c>
      <c r="U435" t="s">
        <v>391</v>
      </c>
      <c r="V435" t="s">
        <v>392</v>
      </c>
      <c r="W435" t="s">
        <v>392</v>
      </c>
      <c r="X435">
        <v>2</v>
      </c>
      <c r="Y435" t="s">
        <v>1303</v>
      </c>
      <c r="AA435">
        <v>21.83</v>
      </c>
      <c r="AB435">
        <v>6.55</v>
      </c>
      <c r="AC435">
        <v>3.27</v>
      </c>
    </row>
    <row r="436" spans="2:29" ht="15" customHeight="1" x14ac:dyDescent="0.15">
      <c r="B436">
        <v>4</v>
      </c>
      <c r="C436" t="s">
        <v>386</v>
      </c>
      <c r="D436" t="s">
        <v>1311</v>
      </c>
      <c r="E436">
        <v>2</v>
      </c>
      <c r="F436" t="s">
        <v>219</v>
      </c>
      <c r="G436" t="s">
        <v>218</v>
      </c>
      <c r="H436" t="s">
        <v>400</v>
      </c>
      <c r="I436">
        <v>30</v>
      </c>
      <c r="J436" s="21">
        <v>45859</v>
      </c>
      <c r="K436" s="21">
        <v>45859</v>
      </c>
      <c r="L436" t="s">
        <v>1313</v>
      </c>
      <c r="M436" t="s">
        <v>1213</v>
      </c>
      <c r="O436" t="s">
        <v>220</v>
      </c>
      <c r="P436">
        <v>2</v>
      </c>
      <c r="Q436">
        <v>1</v>
      </c>
      <c r="R436">
        <v>0.25</v>
      </c>
      <c r="S436">
        <v>0.5</v>
      </c>
      <c r="T436">
        <v>0.25</v>
      </c>
      <c r="U436" t="s">
        <v>391</v>
      </c>
      <c r="V436" t="s">
        <v>392</v>
      </c>
      <c r="W436" t="s">
        <v>392</v>
      </c>
      <c r="X436">
        <v>2</v>
      </c>
      <c r="Y436" t="s">
        <v>1303</v>
      </c>
      <c r="AA436">
        <v>78.8</v>
      </c>
      <c r="AB436">
        <v>39.4</v>
      </c>
      <c r="AC436">
        <v>19.7</v>
      </c>
    </row>
    <row r="437" spans="2:29" ht="15" customHeight="1" x14ac:dyDescent="0.15">
      <c r="B437">
        <v>4</v>
      </c>
      <c r="C437" t="s">
        <v>386</v>
      </c>
      <c r="D437" t="s">
        <v>1311</v>
      </c>
      <c r="E437">
        <v>3</v>
      </c>
      <c r="F437" t="s">
        <v>219</v>
      </c>
      <c r="G437" t="s">
        <v>218</v>
      </c>
      <c r="H437" t="s">
        <v>911</v>
      </c>
      <c r="I437">
        <v>30</v>
      </c>
      <c r="J437" s="21">
        <v>45859</v>
      </c>
      <c r="K437" s="21">
        <v>45859</v>
      </c>
      <c r="L437" t="s">
        <v>1314</v>
      </c>
      <c r="M437" t="s">
        <v>913</v>
      </c>
      <c r="O437" t="s">
        <v>220</v>
      </c>
      <c r="P437">
        <v>2</v>
      </c>
      <c r="Q437">
        <v>1</v>
      </c>
      <c r="R437">
        <v>0.25</v>
      </c>
      <c r="S437">
        <v>0.5</v>
      </c>
      <c r="T437">
        <v>0.25</v>
      </c>
      <c r="U437" t="s">
        <v>391</v>
      </c>
      <c r="V437" t="s">
        <v>392</v>
      </c>
      <c r="W437" t="s">
        <v>392</v>
      </c>
      <c r="X437">
        <v>2</v>
      </c>
      <c r="Y437" t="s">
        <v>1303</v>
      </c>
      <c r="AA437">
        <v>91.24</v>
      </c>
      <c r="AB437">
        <v>45.62</v>
      </c>
      <c r="AC437">
        <v>22.81</v>
      </c>
    </row>
    <row r="438" spans="2:29" ht="15" customHeight="1" x14ac:dyDescent="0.15">
      <c r="B438">
        <v>4</v>
      </c>
      <c r="C438" t="s">
        <v>386</v>
      </c>
      <c r="D438" t="s">
        <v>1311</v>
      </c>
      <c r="E438">
        <v>4</v>
      </c>
      <c r="F438" t="s">
        <v>219</v>
      </c>
      <c r="G438" t="s">
        <v>218</v>
      </c>
      <c r="H438" t="s">
        <v>485</v>
      </c>
      <c r="I438">
        <v>30</v>
      </c>
      <c r="J438" s="21">
        <v>45859</v>
      </c>
      <c r="K438" s="21">
        <v>45859</v>
      </c>
      <c r="L438" t="s">
        <v>1315</v>
      </c>
      <c r="M438" t="s">
        <v>1316</v>
      </c>
      <c r="O438" t="s">
        <v>220</v>
      </c>
      <c r="P438">
        <v>2</v>
      </c>
      <c r="Q438">
        <v>1</v>
      </c>
      <c r="R438">
        <v>0.7</v>
      </c>
      <c r="S438">
        <v>1.4</v>
      </c>
      <c r="T438">
        <v>0.7</v>
      </c>
      <c r="U438" t="s">
        <v>391</v>
      </c>
      <c r="V438" t="s">
        <v>392</v>
      </c>
      <c r="W438" t="s">
        <v>392</v>
      </c>
      <c r="X438">
        <v>2</v>
      </c>
      <c r="Y438" t="s">
        <v>1303</v>
      </c>
      <c r="AA438">
        <v>92.82</v>
      </c>
      <c r="AB438">
        <v>129.94999999999999</v>
      </c>
      <c r="AC438">
        <v>64.97</v>
      </c>
    </row>
    <row r="439" spans="2:29" ht="15" customHeight="1" x14ac:dyDescent="0.15">
      <c r="B439">
        <v>4</v>
      </c>
      <c r="C439" t="s">
        <v>386</v>
      </c>
      <c r="D439" t="s">
        <v>1311</v>
      </c>
      <c r="E439">
        <v>5</v>
      </c>
      <c r="F439" t="s">
        <v>219</v>
      </c>
      <c r="G439" t="s">
        <v>239</v>
      </c>
      <c r="H439" t="s">
        <v>1196</v>
      </c>
      <c r="I439">
        <v>30</v>
      </c>
      <c r="J439" s="21">
        <v>45859</v>
      </c>
      <c r="K439" s="21">
        <v>45859</v>
      </c>
      <c r="L439" t="s">
        <v>1317</v>
      </c>
      <c r="M439" t="s">
        <v>1198</v>
      </c>
      <c r="O439" t="s">
        <v>220</v>
      </c>
      <c r="P439">
        <v>2</v>
      </c>
      <c r="Q439">
        <v>1</v>
      </c>
      <c r="R439">
        <v>0.5</v>
      </c>
      <c r="S439">
        <v>1</v>
      </c>
      <c r="T439">
        <v>0.5</v>
      </c>
      <c r="U439" t="s">
        <v>391</v>
      </c>
      <c r="V439" t="s">
        <v>392</v>
      </c>
      <c r="W439" t="s">
        <v>392</v>
      </c>
      <c r="X439">
        <v>2</v>
      </c>
      <c r="Y439" t="s">
        <v>1303</v>
      </c>
      <c r="AA439">
        <v>27.82</v>
      </c>
      <c r="AB439">
        <v>27.82</v>
      </c>
      <c r="AC439">
        <v>13.91</v>
      </c>
    </row>
    <row r="440" spans="2:29" ht="15" customHeight="1" x14ac:dyDescent="0.15">
      <c r="B440">
        <v>4</v>
      </c>
      <c r="C440" t="s">
        <v>386</v>
      </c>
      <c r="D440" t="s">
        <v>1311</v>
      </c>
      <c r="E440">
        <v>6</v>
      </c>
      <c r="F440" t="s">
        <v>219</v>
      </c>
      <c r="G440" t="s">
        <v>218</v>
      </c>
      <c r="H440" t="s">
        <v>686</v>
      </c>
      <c r="I440">
        <v>30</v>
      </c>
      <c r="J440" s="21">
        <v>45859</v>
      </c>
      <c r="K440" s="21">
        <v>45859</v>
      </c>
      <c r="L440" t="s">
        <v>1318</v>
      </c>
      <c r="M440" t="s">
        <v>1219</v>
      </c>
      <c r="O440" t="s">
        <v>220</v>
      </c>
      <c r="P440">
        <v>2</v>
      </c>
      <c r="Q440">
        <v>1</v>
      </c>
      <c r="R440">
        <v>0.15</v>
      </c>
      <c r="S440">
        <v>0.3</v>
      </c>
      <c r="T440">
        <v>0.15</v>
      </c>
      <c r="U440" t="s">
        <v>391</v>
      </c>
      <c r="V440" t="s">
        <v>392</v>
      </c>
      <c r="W440" t="s">
        <v>392</v>
      </c>
      <c r="X440">
        <v>2</v>
      </c>
      <c r="Y440" t="s">
        <v>1303</v>
      </c>
      <c r="AA440">
        <v>163</v>
      </c>
      <c r="AB440">
        <v>48.9</v>
      </c>
      <c r="AC440">
        <v>24.45</v>
      </c>
    </row>
    <row r="441" spans="2:29" ht="15" customHeight="1" x14ac:dyDescent="0.15">
      <c r="B441">
        <v>4</v>
      </c>
      <c r="C441" t="s">
        <v>386</v>
      </c>
      <c r="D441" t="s">
        <v>1311</v>
      </c>
      <c r="E441">
        <v>7</v>
      </c>
      <c r="F441" t="s">
        <v>219</v>
      </c>
      <c r="G441" t="s">
        <v>239</v>
      </c>
      <c r="H441" t="s">
        <v>1308</v>
      </c>
      <c r="I441">
        <v>30</v>
      </c>
      <c r="J441" s="21">
        <v>45859</v>
      </c>
      <c r="K441" s="21">
        <v>45859</v>
      </c>
      <c r="L441" t="s">
        <v>1319</v>
      </c>
      <c r="M441" t="s">
        <v>1310</v>
      </c>
      <c r="O441" t="s">
        <v>226</v>
      </c>
      <c r="P441">
        <v>2</v>
      </c>
      <c r="Q441">
        <v>1</v>
      </c>
      <c r="R441">
        <v>0.1</v>
      </c>
      <c r="S441">
        <v>0.2</v>
      </c>
      <c r="T441">
        <v>0.1</v>
      </c>
      <c r="U441" t="s">
        <v>391</v>
      </c>
      <c r="V441" t="s">
        <v>392</v>
      </c>
      <c r="W441" t="s">
        <v>392</v>
      </c>
      <c r="X441">
        <v>2</v>
      </c>
      <c r="Y441" t="s">
        <v>1303</v>
      </c>
      <c r="AA441">
        <v>182.78</v>
      </c>
      <c r="AB441">
        <v>36.56</v>
      </c>
      <c r="AC441">
        <v>18.28</v>
      </c>
    </row>
    <row r="442" spans="2:29" ht="15" customHeight="1" x14ac:dyDescent="0.15">
      <c r="B442">
        <v>4</v>
      </c>
      <c r="C442" t="s">
        <v>386</v>
      </c>
      <c r="D442" t="s">
        <v>1320</v>
      </c>
      <c r="E442">
        <v>1</v>
      </c>
      <c r="F442" t="s">
        <v>556</v>
      </c>
      <c r="G442" t="s">
        <v>556</v>
      </c>
      <c r="H442" t="s">
        <v>557</v>
      </c>
      <c r="I442">
        <v>30</v>
      </c>
      <c r="J442" s="21">
        <v>45859</v>
      </c>
      <c r="K442" s="21">
        <v>45859</v>
      </c>
      <c r="L442" t="s">
        <v>1321</v>
      </c>
      <c r="M442" t="s">
        <v>882</v>
      </c>
      <c r="O442" t="s">
        <v>226</v>
      </c>
      <c r="P442">
        <v>1</v>
      </c>
      <c r="Q442">
        <v>1</v>
      </c>
      <c r="R442">
        <v>40</v>
      </c>
      <c r="S442">
        <v>40</v>
      </c>
      <c r="T442">
        <v>40</v>
      </c>
      <c r="U442" t="s">
        <v>391</v>
      </c>
      <c r="V442" t="s">
        <v>392</v>
      </c>
      <c r="W442" t="s">
        <v>392</v>
      </c>
      <c r="X442">
        <v>1</v>
      </c>
      <c r="Y442" t="s">
        <v>710</v>
      </c>
      <c r="AB442">
        <v>0</v>
      </c>
      <c r="AC442">
        <v>0</v>
      </c>
    </row>
    <row r="443" spans="2:29" ht="15" customHeight="1" x14ac:dyDescent="0.15">
      <c r="B443">
        <v>4</v>
      </c>
      <c r="C443" t="s">
        <v>386</v>
      </c>
      <c r="D443" t="s">
        <v>1322</v>
      </c>
      <c r="E443">
        <v>1</v>
      </c>
      <c r="F443" t="s">
        <v>556</v>
      </c>
      <c r="G443" t="s">
        <v>556</v>
      </c>
      <c r="H443" t="s">
        <v>557</v>
      </c>
      <c r="I443">
        <v>30</v>
      </c>
      <c r="J443" s="21">
        <v>45859</v>
      </c>
      <c r="K443" s="21">
        <v>45859</v>
      </c>
      <c r="L443" t="s">
        <v>1323</v>
      </c>
      <c r="M443" t="s">
        <v>882</v>
      </c>
      <c r="O443" t="s">
        <v>226</v>
      </c>
      <c r="P443">
        <v>1</v>
      </c>
      <c r="Q443">
        <v>1</v>
      </c>
      <c r="R443">
        <v>100</v>
      </c>
      <c r="S443">
        <v>100</v>
      </c>
      <c r="T443">
        <v>100</v>
      </c>
      <c r="U443" t="s">
        <v>391</v>
      </c>
      <c r="V443" t="s">
        <v>392</v>
      </c>
      <c r="W443" t="s">
        <v>392</v>
      </c>
      <c r="X443">
        <v>1</v>
      </c>
      <c r="Y443" t="s">
        <v>750</v>
      </c>
      <c r="AB443">
        <v>0</v>
      </c>
      <c r="AC443">
        <v>0</v>
      </c>
    </row>
    <row r="444" spans="2:29" ht="15" customHeight="1" x14ac:dyDescent="0.15">
      <c r="B444">
        <v>4</v>
      </c>
      <c r="C444" t="s">
        <v>386</v>
      </c>
      <c r="D444" t="s">
        <v>1324</v>
      </c>
      <c r="E444">
        <v>1</v>
      </c>
      <c r="F444" t="s">
        <v>416</v>
      </c>
      <c r="G444" t="s">
        <v>316</v>
      </c>
      <c r="H444" t="s">
        <v>562</v>
      </c>
      <c r="I444">
        <v>30</v>
      </c>
      <c r="J444" s="21">
        <v>45858</v>
      </c>
      <c r="K444" s="21">
        <v>45858</v>
      </c>
      <c r="L444" t="s">
        <v>1325</v>
      </c>
      <c r="M444" t="s">
        <v>564</v>
      </c>
      <c r="O444" t="s">
        <v>1326</v>
      </c>
      <c r="P444">
        <v>1</v>
      </c>
      <c r="R444">
        <v>25</v>
      </c>
      <c r="S444">
        <v>25</v>
      </c>
      <c r="U444" t="s">
        <v>436</v>
      </c>
      <c r="V444" t="s">
        <v>437</v>
      </c>
      <c r="W444" t="s">
        <v>437</v>
      </c>
      <c r="Y444" t="s">
        <v>1327</v>
      </c>
      <c r="AA444">
        <v>1.02</v>
      </c>
      <c r="AB444">
        <v>25.5</v>
      </c>
      <c r="AC444">
        <v>0</v>
      </c>
    </row>
    <row r="445" spans="2:29" ht="15" customHeight="1" x14ac:dyDescent="0.15">
      <c r="B445">
        <v>4</v>
      </c>
      <c r="C445" t="s">
        <v>386</v>
      </c>
      <c r="D445" t="s">
        <v>1328</v>
      </c>
      <c r="E445">
        <v>1</v>
      </c>
      <c r="F445" t="s">
        <v>201</v>
      </c>
      <c r="G445" t="s">
        <v>337</v>
      </c>
      <c r="H445" t="s">
        <v>1132</v>
      </c>
      <c r="I445">
        <v>30</v>
      </c>
      <c r="J445" s="21">
        <v>45860</v>
      </c>
      <c r="K445" s="21">
        <v>45860</v>
      </c>
      <c r="L445" t="s">
        <v>1329</v>
      </c>
      <c r="M445" t="s">
        <v>357</v>
      </c>
      <c r="O445" t="s">
        <v>226</v>
      </c>
      <c r="P445">
        <v>0</v>
      </c>
      <c r="R445">
        <v>10</v>
      </c>
      <c r="S445">
        <v>0.4</v>
      </c>
      <c r="U445" t="s">
        <v>1330</v>
      </c>
      <c r="V445" t="s">
        <v>1330</v>
      </c>
      <c r="W445" t="s">
        <v>496</v>
      </c>
      <c r="Y445" t="s">
        <v>1331</v>
      </c>
      <c r="AA445">
        <v>1.33</v>
      </c>
      <c r="AB445">
        <v>0.53</v>
      </c>
      <c r="AC445">
        <v>0</v>
      </c>
    </row>
    <row r="446" spans="2:29" ht="15" customHeight="1" x14ac:dyDescent="0.15">
      <c r="B446">
        <v>4</v>
      </c>
      <c r="C446" t="s">
        <v>386</v>
      </c>
      <c r="D446" t="s">
        <v>1332</v>
      </c>
      <c r="E446">
        <v>1</v>
      </c>
      <c r="F446" t="s">
        <v>219</v>
      </c>
      <c r="G446" t="s">
        <v>223</v>
      </c>
      <c r="H446" t="s">
        <v>987</v>
      </c>
      <c r="I446">
        <v>30</v>
      </c>
      <c r="J446" s="21">
        <v>45860</v>
      </c>
      <c r="K446" s="21">
        <v>45860</v>
      </c>
      <c r="L446" t="s">
        <v>1333</v>
      </c>
      <c r="M446" t="s">
        <v>222</v>
      </c>
      <c r="O446" t="s">
        <v>220</v>
      </c>
      <c r="P446">
        <v>0</v>
      </c>
      <c r="R446">
        <v>5</v>
      </c>
      <c r="S446">
        <v>0.2</v>
      </c>
      <c r="U446" t="s">
        <v>1330</v>
      </c>
      <c r="V446" t="s">
        <v>1330</v>
      </c>
      <c r="W446" t="s">
        <v>496</v>
      </c>
      <c r="Y446" t="s">
        <v>1331</v>
      </c>
      <c r="AA446">
        <v>13.47</v>
      </c>
      <c r="AB446">
        <v>2.69</v>
      </c>
      <c r="AC446">
        <v>0</v>
      </c>
    </row>
    <row r="447" spans="2:29" ht="15" customHeight="1" x14ac:dyDescent="0.15">
      <c r="B447">
        <v>4</v>
      </c>
      <c r="C447" t="s">
        <v>386</v>
      </c>
      <c r="D447" t="s">
        <v>1332</v>
      </c>
      <c r="E447">
        <v>2</v>
      </c>
      <c r="F447" t="s">
        <v>219</v>
      </c>
      <c r="G447" t="s">
        <v>244</v>
      </c>
      <c r="H447" t="s">
        <v>877</v>
      </c>
      <c r="I447">
        <v>30</v>
      </c>
      <c r="J447" s="21">
        <v>45860</v>
      </c>
      <c r="K447" s="21">
        <v>45860</v>
      </c>
      <c r="L447" t="s">
        <v>1334</v>
      </c>
      <c r="M447" t="s">
        <v>1335</v>
      </c>
      <c r="O447" t="s">
        <v>220</v>
      </c>
      <c r="P447">
        <v>0</v>
      </c>
      <c r="R447">
        <v>0.1</v>
      </c>
      <c r="S447">
        <v>4.0000000000000001E-3</v>
      </c>
      <c r="U447" t="s">
        <v>1330</v>
      </c>
      <c r="V447" t="s">
        <v>1330</v>
      </c>
      <c r="W447" t="s">
        <v>496</v>
      </c>
      <c r="Y447" t="s">
        <v>1331</v>
      </c>
      <c r="AA447" s="22">
        <v>1239.5</v>
      </c>
      <c r="AB447">
        <v>4.96</v>
      </c>
      <c r="AC447">
        <v>0</v>
      </c>
    </row>
    <row r="448" spans="2:29" ht="15" customHeight="1" x14ac:dyDescent="0.15">
      <c r="B448">
        <v>4</v>
      </c>
      <c r="C448" t="s">
        <v>386</v>
      </c>
      <c r="D448" t="s">
        <v>1336</v>
      </c>
      <c r="E448">
        <v>1</v>
      </c>
      <c r="F448" t="s">
        <v>219</v>
      </c>
      <c r="G448" t="s">
        <v>231</v>
      </c>
      <c r="H448" t="s">
        <v>433</v>
      </c>
      <c r="I448">
        <v>30</v>
      </c>
      <c r="J448" s="21">
        <v>45860</v>
      </c>
      <c r="K448" s="21">
        <v>45860</v>
      </c>
      <c r="L448" t="s">
        <v>1337</v>
      </c>
      <c r="M448" t="s">
        <v>1030</v>
      </c>
      <c r="O448" t="s">
        <v>220</v>
      </c>
      <c r="P448">
        <v>0</v>
      </c>
      <c r="R448">
        <v>0.12</v>
      </c>
      <c r="S448">
        <v>6.0000000000000001E-3</v>
      </c>
      <c r="U448" t="s">
        <v>1330</v>
      </c>
      <c r="V448" t="s">
        <v>1330</v>
      </c>
      <c r="W448" t="s">
        <v>496</v>
      </c>
      <c r="Y448" t="s">
        <v>1338</v>
      </c>
      <c r="AA448">
        <v>21.83</v>
      </c>
      <c r="AB448">
        <v>0.13</v>
      </c>
      <c r="AC448">
        <v>0</v>
      </c>
    </row>
    <row r="449" spans="2:29" ht="15" customHeight="1" x14ac:dyDescent="0.15">
      <c r="B449">
        <v>4</v>
      </c>
      <c r="C449" t="s">
        <v>386</v>
      </c>
      <c r="D449" t="s">
        <v>1336</v>
      </c>
      <c r="E449">
        <v>2</v>
      </c>
      <c r="F449" t="s">
        <v>219</v>
      </c>
      <c r="G449" t="s">
        <v>239</v>
      </c>
      <c r="H449" t="s">
        <v>520</v>
      </c>
      <c r="I449">
        <v>30</v>
      </c>
      <c r="J449" s="21">
        <v>45860</v>
      </c>
      <c r="K449" s="21">
        <v>45860</v>
      </c>
      <c r="L449" t="s">
        <v>1339</v>
      </c>
      <c r="M449" t="s">
        <v>1340</v>
      </c>
      <c r="O449" t="s">
        <v>220</v>
      </c>
      <c r="P449">
        <v>0</v>
      </c>
      <c r="R449">
        <v>1</v>
      </c>
      <c r="S449">
        <v>0.05</v>
      </c>
      <c r="U449" t="s">
        <v>1330</v>
      </c>
      <c r="V449" t="s">
        <v>1330</v>
      </c>
      <c r="W449" t="s">
        <v>496</v>
      </c>
      <c r="Y449" t="s">
        <v>1338</v>
      </c>
      <c r="AA449">
        <v>66.92</v>
      </c>
      <c r="AB449">
        <v>3.35</v>
      </c>
      <c r="AC449">
        <v>0</v>
      </c>
    </row>
    <row r="450" spans="2:29" ht="15" customHeight="1" x14ac:dyDescent="0.15">
      <c r="B450">
        <v>4</v>
      </c>
      <c r="C450" t="s">
        <v>386</v>
      </c>
      <c r="D450" t="s">
        <v>1336</v>
      </c>
      <c r="E450">
        <v>3</v>
      </c>
      <c r="F450" t="s">
        <v>219</v>
      </c>
      <c r="G450" t="s">
        <v>239</v>
      </c>
      <c r="H450" t="s">
        <v>1308</v>
      </c>
      <c r="I450">
        <v>30</v>
      </c>
      <c r="J450" s="21">
        <v>45860</v>
      </c>
      <c r="K450" s="21">
        <v>45860</v>
      </c>
      <c r="L450" t="s">
        <v>1341</v>
      </c>
      <c r="M450" t="s">
        <v>1310</v>
      </c>
      <c r="O450" t="s">
        <v>220</v>
      </c>
      <c r="P450">
        <v>0</v>
      </c>
      <c r="R450">
        <v>0.1</v>
      </c>
      <c r="S450">
        <v>5.0000000000000001E-3</v>
      </c>
      <c r="U450" t="s">
        <v>1330</v>
      </c>
      <c r="V450" t="s">
        <v>1330</v>
      </c>
      <c r="W450" t="s">
        <v>496</v>
      </c>
      <c r="Y450" t="s">
        <v>1338</v>
      </c>
      <c r="AA450">
        <v>182.78</v>
      </c>
      <c r="AB450">
        <v>0.91</v>
      </c>
      <c r="AC450">
        <v>0</v>
      </c>
    </row>
    <row r="451" spans="2:29" ht="15" customHeight="1" x14ac:dyDescent="0.15">
      <c r="B451">
        <v>4</v>
      </c>
      <c r="C451" t="s">
        <v>386</v>
      </c>
      <c r="D451" t="s">
        <v>1336</v>
      </c>
      <c r="E451">
        <v>4</v>
      </c>
      <c r="F451" t="s">
        <v>219</v>
      </c>
      <c r="G451" t="s">
        <v>239</v>
      </c>
      <c r="H451" t="s">
        <v>420</v>
      </c>
      <c r="I451">
        <v>30</v>
      </c>
      <c r="J451" s="21">
        <v>45860</v>
      </c>
      <c r="K451" s="21">
        <v>45860</v>
      </c>
      <c r="L451" t="s">
        <v>1342</v>
      </c>
      <c r="M451" t="s">
        <v>764</v>
      </c>
      <c r="O451" t="s">
        <v>220</v>
      </c>
      <c r="P451">
        <v>0</v>
      </c>
      <c r="R451">
        <v>0.5</v>
      </c>
      <c r="S451">
        <v>2.5000000000000001E-2</v>
      </c>
      <c r="U451" t="s">
        <v>1330</v>
      </c>
      <c r="V451" t="s">
        <v>1330</v>
      </c>
      <c r="W451" t="s">
        <v>496</v>
      </c>
      <c r="Y451" t="s">
        <v>1338</v>
      </c>
      <c r="AA451">
        <v>115.5</v>
      </c>
      <c r="AB451">
        <v>2.89</v>
      </c>
      <c r="AC451">
        <v>0</v>
      </c>
    </row>
    <row r="452" spans="2:29" ht="15" customHeight="1" x14ac:dyDescent="0.15">
      <c r="B452">
        <v>4</v>
      </c>
      <c r="C452" t="s">
        <v>386</v>
      </c>
      <c r="D452" t="s">
        <v>1336</v>
      </c>
      <c r="E452">
        <v>5</v>
      </c>
      <c r="F452" t="s">
        <v>219</v>
      </c>
      <c r="G452" t="s">
        <v>239</v>
      </c>
      <c r="H452" t="s">
        <v>1066</v>
      </c>
      <c r="I452">
        <v>30</v>
      </c>
      <c r="J452" s="21">
        <v>45860</v>
      </c>
      <c r="K452" s="21">
        <v>45860</v>
      </c>
      <c r="L452" t="s">
        <v>1343</v>
      </c>
      <c r="M452" t="s">
        <v>1068</v>
      </c>
      <c r="O452" t="s">
        <v>220</v>
      </c>
      <c r="P452">
        <v>0</v>
      </c>
      <c r="R452">
        <v>0.5</v>
      </c>
      <c r="S452">
        <v>2.5000000000000001E-2</v>
      </c>
      <c r="U452" t="s">
        <v>1330</v>
      </c>
      <c r="V452" t="s">
        <v>1330</v>
      </c>
      <c r="W452" t="s">
        <v>496</v>
      </c>
      <c r="Y452" t="s">
        <v>1338</v>
      </c>
      <c r="AA452">
        <v>138.68</v>
      </c>
      <c r="AB452">
        <v>3.47</v>
      </c>
      <c r="AC452">
        <v>0</v>
      </c>
    </row>
    <row r="453" spans="2:29" ht="15" customHeight="1" x14ac:dyDescent="0.15">
      <c r="B453">
        <v>4</v>
      </c>
      <c r="C453" t="s">
        <v>386</v>
      </c>
      <c r="D453" t="s">
        <v>1344</v>
      </c>
      <c r="E453">
        <v>1</v>
      </c>
      <c r="F453" t="s">
        <v>556</v>
      </c>
      <c r="G453" t="s">
        <v>556</v>
      </c>
      <c r="H453" t="s">
        <v>557</v>
      </c>
      <c r="I453">
        <v>30</v>
      </c>
      <c r="J453" s="21">
        <v>45860</v>
      </c>
      <c r="K453" s="21">
        <v>45860</v>
      </c>
      <c r="L453" t="s">
        <v>1345</v>
      </c>
      <c r="M453" t="s">
        <v>713</v>
      </c>
      <c r="O453" t="s">
        <v>226</v>
      </c>
      <c r="P453">
        <v>1</v>
      </c>
      <c r="Q453">
        <v>1</v>
      </c>
      <c r="R453">
        <v>25</v>
      </c>
      <c r="S453">
        <v>25</v>
      </c>
      <c r="T453">
        <v>25</v>
      </c>
      <c r="U453" t="s">
        <v>391</v>
      </c>
      <c r="V453" t="s">
        <v>392</v>
      </c>
      <c r="W453" t="s">
        <v>392</v>
      </c>
      <c r="X453">
        <v>1</v>
      </c>
      <c r="Y453" t="s">
        <v>750</v>
      </c>
      <c r="AA453">
        <v>16.5</v>
      </c>
      <c r="AB453">
        <v>412.5</v>
      </c>
      <c r="AC453">
        <v>412.5</v>
      </c>
    </row>
    <row r="454" spans="2:29" ht="15" customHeight="1" x14ac:dyDescent="0.15">
      <c r="B454">
        <v>4</v>
      </c>
      <c r="C454" t="s">
        <v>386</v>
      </c>
      <c r="D454" t="s">
        <v>1346</v>
      </c>
      <c r="E454">
        <v>1</v>
      </c>
      <c r="F454" t="s">
        <v>416</v>
      </c>
      <c r="G454" t="s">
        <v>1036</v>
      </c>
      <c r="H454" t="s">
        <v>562</v>
      </c>
      <c r="I454">
        <v>30</v>
      </c>
      <c r="J454" s="21">
        <v>45860</v>
      </c>
      <c r="K454" s="21">
        <v>45860</v>
      </c>
      <c r="L454" t="s">
        <v>1347</v>
      </c>
      <c r="M454" t="s">
        <v>1038</v>
      </c>
      <c r="O454" t="s">
        <v>226</v>
      </c>
      <c r="P454">
        <v>1</v>
      </c>
      <c r="Q454">
        <v>1</v>
      </c>
      <c r="R454">
        <v>66.95</v>
      </c>
      <c r="S454">
        <v>66.95</v>
      </c>
      <c r="T454">
        <v>66.95</v>
      </c>
      <c r="U454" t="s">
        <v>391</v>
      </c>
      <c r="V454" t="s">
        <v>392</v>
      </c>
      <c r="W454" t="s">
        <v>392</v>
      </c>
      <c r="X454">
        <v>1</v>
      </c>
      <c r="Y454" t="s">
        <v>893</v>
      </c>
      <c r="AA454">
        <v>6.7</v>
      </c>
      <c r="AB454">
        <v>448.57</v>
      </c>
      <c r="AC454">
        <v>448.57</v>
      </c>
    </row>
    <row r="455" spans="2:29" ht="15" customHeight="1" x14ac:dyDescent="0.15">
      <c r="B455">
        <v>4</v>
      </c>
      <c r="C455" t="s">
        <v>386</v>
      </c>
      <c r="D455" t="s">
        <v>1348</v>
      </c>
      <c r="E455">
        <v>1</v>
      </c>
      <c r="F455" t="s">
        <v>219</v>
      </c>
      <c r="G455" t="s">
        <v>231</v>
      </c>
      <c r="H455" t="s">
        <v>433</v>
      </c>
      <c r="I455">
        <v>30</v>
      </c>
      <c r="J455" s="21">
        <v>45861</v>
      </c>
      <c r="K455" s="21">
        <v>45861</v>
      </c>
      <c r="L455" t="s">
        <v>1349</v>
      </c>
      <c r="M455" t="s">
        <v>1030</v>
      </c>
      <c r="O455" t="s">
        <v>220</v>
      </c>
      <c r="P455">
        <v>2</v>
      </c>
      <c r="Q455">
        <v>1.06</v>
      </c>
      <c r="R455">
        <v>0.12</v>
      </c>
      <c r="S455">
        <v>0.216</v>
      </c>
      <c r="T455">
        <v>0.13</v>
      </c>
      <c r="U455" t="s">
        <v>1246</v>
      </c>
      <c r="V455" t="s">
        <v>1247</v>
      </c>
      <c r="W455" t="s">
        <v>532</v>
      </c>
      <c r="X455">
        <v>1.7</v>
      </c>
      <c r="Y455" t="s">
        <v>438</v>
      </c>
      <c r="AA455">
        <v>21.83</v>
      </c>
      <c r="AB455">
        <v>4.72</v>
      </c>
      <c r="AC455">
        <v>2.77</v>
      </c>
    </row>
    <row r="456" spans="2:29" ht="15" customHeight="1" x14ac:dyDescent="0.15">
      <c r="B456">
        <v>4</v>
      </c>
      <c r="C456" t="s">
        <v>386</v>
      </c>
      <c r="D456" t="s">
        <v>1348</v>
      </c>
      <c r="E456">
        <v>2</v>
      </c>
      <c r="F456" t="s">
        <v>219</v>
      </c>
      <c r="G456" t="s">
        <v>439</v>
      </c>
      <c r="H456" t="s">
        <v>533</v>
      </c>
      <c r="I456">
        <v>30</v>
      </c>
      <c r="J456" s="21">
        <v>45861</v>
      </c>
      <c r="K456" s="21">
        <v>45861</v>
      </c>
      <c r="L456" t="s">
        <v>1350</v>
      </c>
      <c r="M456" t="s">
        <v>535</v>
      </c>
      <c r="O456" t="s">
        <v>220</v>
      </c>
      <c r="P456">
        <v>2</v>
      </c>
      <c r="Q456">
        <v>1.06</v>
      </c>
      <c r="R456">
        <v>1.5</v>
      </c>
      <c r="S456">
        <v>2.7</v>
      </c>
      <c r="T456">
        <v>1.59</v>
      </c>
      <c r="U456" t="s">
        <v>1246</v>
      </c>
      <c r="V456" t="s">
        <v>1247</v>
      </c>
      <c r="W456" t="s">
        <v>532</v>
      </c>
      <c r="X456">
        <v>1.7</v>
      </c>
      <c r="Y456" t="s">
        <v>438</v>
      </c>
      <c r="AA456">
        <v>38.14</v>
      </c>
      <c r="AB456">
        <v>102.98</v>
      </c>
      <c r="AC456">
        <v>60.58</v>
      </c>
    </row>
    <row r="457" spans="2:29" ht="15" customHeight="1" x14ac:dyDescent="0.15">
      <c r="B457">
        <v>4</v>
      </c>
      <c r="C457" t="s">
        <v>386</v>
      </c>
      <c r="D457" t="s">
        <v>1351</v>
      </c>
      <c r="E457">
        <v>1</v>
      </c>
      <c r="F457" t="s">
        <v>219</v>
      </c>
      <c r="G457" t="s">
        <v>231</v>
      </c>
      <c r="H457" t="s">
        <v>433</v>
      </c>
      <c r="I457">
        <v>30</v>
      </c>
      <c r="J457" s="21">
        <v>45862</v>
      </c>
      <c r="K457" s="21">
        <v>45863</v>
      </c>
      <c r="L457" t="s">
        <v>1352</v>
      </c>
      <c r="M457" t="s">
        <v>1030</v>
      </c>
      <c r="O457" t="s">
        <v>220</v>
      </c>
      <c r="P457">
        <v>2</v>
      </c>
      <c r="Q457">
        <v>1</v>
      </c>
      <c r="R457">
        <v>0.12</v>
      </c>
      <c r="S457">
        <v>0.24</v>
      </c>
      <c r="T457">
        <v>0.12</v>
      </c>
      <c r="U457" t="s">
        <v>1056</v>
      </c>
      <c r="V457" t="s">
        <v>1057</v>
      </c>
      <c r="W457" t="s">
        <v>532</v>
      </c>
      <c r="X457">
        <v>2</v>
      </c>
      <c r="Y457" t="s">
        <v>455</v>
      </c>
      <c r="AA457">
        <v>21.83</v>
      </c>
      <c r="AB457">
        <v>5.24</v>
      </c>
      <c r="AC457">
        <v>2.62</v>
      </c>
    </row>
    <row r="458" spans="2:29" ht="15" customHeight="1" x14ac:dyDescent="0.15">
      <c r="B458">
        <v>4</v>
      </c>
      <c r="C458" t="s">
        <v>386</v>
      </c>
      <c r="D458" t="s">
        <v>1351</v>
      </c>
      <c r="E458">
        <v>2</v>
      </c>
      <c r="F458" t="s">
        <v>219</v>
      </c>
      <c r="G458" t="s">
        <v>218</v>
      </c>
      <c r="H458" t="s">
        <v>493</v>
      </c>
      <c r="I458">
        <v>30</v>
      </c>
      <c r="J458" s="21">
        <v>45862</v>
      </c>
      <c r="K458" s="21">
        <v>45863</v>
      </c>
      <c r="L458" t="s">
        <v>1353</v>
      </c>
      <c r="M458" t="s">
        <v>576</v>
      </c>
      <c r="O458" t="s">
        <v>220</v>
      </c>
      <c r="P458">
        <v>2</v>
      </c>
      <c r="Q458">
        <v>1</v>
      </c>
      <c r="R458">
        <v>0.2</v>
      </c>
      <c r="S458">
        <v>0.4</v>
      </c>
      <c r="T458">
        <v>0.2</v>
      </c>
      <c r="U458" t="s">
        <v>1056</v>
      </c>
      <c r="V458" t="s">
        <v>1057</v>
      </c>
      <c r="W458" t="s">
        <v>532</v>
      </c>
      <c r="X458">
        <v>2</v>
      </c>
      <c r="Y458" t="s">
        <v>455</v>
      </c>
      <c r="AA458">
        <v>101.77</v>
      </c>
      <c r="AB458">
        <v>40.71</v>
      </c>
      <c r="AC458">
        <v>20.350000000000001</v>
      </c>
    </row>
    <row r="459" spans="2:29" ht="15" customHeight="1" x14ac:dyDescent="0.15">
      <c r="B459">
        <v>4</v>
      </c>
      <c r="C459" t="s">
        <v>386</v>
      </c>
      <c r="D459" t="s">
        <v>1351</v>
      </c>
      <c r="E459">
        <v>3</v>
      </c>
      <c r="F459" t="s">
        <v>219</v>
      </c>
      <c r="G459" t="s">
        <v>244</v>
      </c>
      <c r="H459" t="s">
        <v>591</v>
      </c>
      <c r="I459">
        <v>30</v>
      </c>
      <c r="J459" s="21">
        <v>45862</v>
      </c>
      <c r="K459" s="21">
        <v>45863</v>
      </c>
      <c r="L459" t="s">
        <v>1354</v>
      </c>
      <c r="M459" t="s">
        <v>593</v>
      </c>
      <c r="O459" t="s">
        <v>220</v>
      </c>
      <c r="P459">
        <v>2</v>
      </c>
      <c r="Q459">
        <v>1</v>
      </c>
      <c r="R459">
        <v>2</v>
      </c>
      <c r="S459">
        <v>4</v>
      </c>
      <c r="T459">
        <v>2</v>
      </c>
      <c r="U459" t="s">
        <v>1056</v>
      </c>
      <c r="V459" t="s">
        <v>1057</v>
      </c>
      <c r="W459" t="s">
        <v>532</v>
      </c>
      <c r="X459">
        <v>2</v>
      </c>
      <c r="Y459" t="s">
        <v>455</v>
      </c>
      <c r="AA459">
        <v>37.58</v>
      </c>
      <c r="AB459">
        <v>150.30000000000001</v>
      </c>
      <c r="AC459">
        <v>75.150000000000006</v>
      </c>
    </row>
    <row r="460" spans="2:29" ht="15" customHeight="1" x14ac:dyDescent="0.15">
      <c r="B460">
        <v>4</v>
      </c>
      <c r="C460" t="s">
        <v>386</v>
      </c>
      <c r="D460" t="s">
        <v>1351</v>
      </c>
      <c r="E460">
        <v>4</v>
      </c>
      <c r="F460" t="s">
        <v>219</v>
      </c>
      <c r="G460" t="s">
        <v>239</v>
      </c>
      <c r="H460" t="s">
        <v>456</v>
      </c>
      <c r="I460">
        <v>30</v>
      </c>
      <c r="J460" s="21">
        <v>45862</v>
      </c>
      <c r="K460" s="21">
        <v>45863</v>
      </c>
      <c r="L460" t="s">
        <v>1355</v>
      </c>
      <c r="M460" t="s">
        <v>458</v>
      </c>
      <c r="O460" t="s">
        <v>220</v>
      </c>
      <c r="P460">
        <v>1</v>
      </c>
      <c r="Q460">
        <v>0.5</v>
      </c>
      <c r="R460">
        <v>3</v>
      </c>
      <c r="S460">
        <v>3</v>
      </c>
      <c r="T460">
        <v>1.5</v>
      </c>
      <c r="U460" t="s">
        <v>1056</v>
      </c>
      <c r="V460" t="s">
        <v>1057</v>
      </c>
      <c r="W460" t="s">
        <v>532</v>
      </c>
      <c r="X460">
        <v>2</v>
      </c>
      <c r="Y460" t="s">
        <v>455</v>
      </c>
      <c r="AA460">
        <v>49.99</v>
      </c>
      <c r="AB460">
        <v>149.97</v>
      </c>
      <c r="AC460">
        <v>74.989999999999995</v>
      </c>
    </row>
    <row r="461" spans="2:29" ht="15" customHeight="1" x14ac:dyDescent="0.15">
      <c r="B461">
        <v>4</v>
      </c>
      <c r="C461" t="s">
        <v>386</v>
      </c>
      <c r="D461" t="s">
        <v>1351</v>
      </c>
      <c r="E461">
        <v>5</v>
      </c>
      <c r="F461" t="s">
        <v>219</v>
      </c>
      <c r="G461" t="s">
        <v>239</v>
      </c>
      <c r="H461" t="s">
        <v>520</v>
      </c>
      <c r="I461">
        <v>30</v>
      </c>
      <c r="J461" s="21">
        <v>45862</v>
      </c>
      <c r="K461" s="21">
        <v>45863</v>
      </c>
      <c r="L461" t="s">
        <v>1356</v>
      </c>
      <c r="M461" t="s">
        <v>1340</v>
      </c>
      <c r="O461" t="s">
        <v>226</v>
      </c>
      <c r="P461">
        <v>1</v>
      </c>
      <c r="Q461">
        <v>0.5</v>
      </c>
      <c r="R461">
        <v>1</v>
      </c>
      <c r="S461">
        <v>1</v>
      </c>
      <c r="T461">
        <v>0.5</v>
      </c>
      <c r="U461" t="s">
        <v>1056</v>
      </c>
      <c r="V461" t="s">
        <v>1057</v>
      </c>
      <c r="W461" t="s">
        <v>532</v>
      </c>
      <c r="X461">
        <v>2</v>
      </c>
      <c r="Y461" t="s">
        <v>455</v>
      </c>
      <c r="AA461">
        <v>66.92</v>
      </c>
      <c r="AB461">
        <v>66.92</v>
      </c>
      <c r="AC461">
        <v>33.46</v>
      </c>
    </row>
    <row r="462" spans="2:29" ht="15" customHeight="1" x14ac:dyDescent="0.15">
      <c r="B462">
        <v>4</v>
      </c>
      <c r="C462" t="s">
        <v>386</v>
      </c>
      <c r="D462" t="s">
        <v>1357</v>
      </c>
      <c r="E462">
        <v>1</v>
      </c>
      <c r="F462" t="s">
        <v>219</v>
      </c>
      <c r="G462" t="s">
        <v>231</v>
      </c>
      <c r="H462" t="s">
        <v>433</v>
      </c>
      <c r="I462">
        <v>30</v>
      </c>
      <c r="J462" s="21">
        <v>45862</v>
      </c>
      <c r="K462" s="21">
        <v>45862</v>
      </c>
      <c r="L462" t="s">
        <v>1358</v>
      </c>
      <c r="M462" t="s">
        <v>1030</v>
      </c>
      <c r="O462" t="s">
        <v>220</v>
      </c>
      <c r="P462">
        <v>2</v>
      </c>
      <c r="Q462">
        <v>1</v>
      </c>
      <c r="R462">
        <v>0.12</v>
      </c>
      <c r="S462">
        <v>0.20399999999999999</v>
      </c>
      <c r="T462">
        <v>0.12</v>
      </c>
      <c r="U462" t="s">
        <v>1246</v>
      </c>
      <c r="V462" t="s">
        <v>1247</v>
      </c>
      <c r="W462" t="s">
        <v>532</v>
      </c>
      <c r="X462">
        <v>1.7</v>
      </c>
      <c r="Y462" t="s">
        <v>455</v>
      </c>
      <c r="AA462">
        <v>21.83</v>
      </c>
      <c r="AB462">
        <v>4.45</v>
      </c>
      <c r="AC462">
        <v>2.62</v>
      </c>
    </row>
    <row r="463" spans="2:29" ht="15" customHeight="1" x14ac:dyDescent="0.15">
      <c r="B463">
        <v>4</v>
      </c>
      <c r="C463" t="s">
        <v>386</v>
      </c>
      <c r="D463" t="s">
        <v>1357</v>
      </c>
      <c r="E463">
        <v>2</v>
      </c>
      <c r="F463" t="s">
        <v>219</v>
      </c>
      <c r="G463" t="s">
        <v>244</v>
      </c>
      <c r="H463" t="s">
        <v>545</v>
      </c>
      <c r="I463">
        <v>30</v>
      </c>
      <c r="J463" s="21">
        <v>45862</v>
      </c>
      <c r="K463" s="21">
        <v>45862</v>
      </c>
      <c r="L463" t="s">
        <v>1359</v>
      </c>
      <c r="M463" t="s">
        <v>363</v>
      </c>
      <c r="O463" t="s">
        <v>220</v>
      </c>
      <c r="P463">
        <v>2</v>
      </c>
      <c r="Q463">
        <v>1</v>
      </c>
      <c r="R463">
        <v>0.5</v>
      </c>
      <c r="S463">
        <v>0.85</v>
      </c>
      <c r="T463">
        <v>0.5</v>
      </c>
      <c r="U463" t="s">
        <v>1246</v>
      </c>
      <c r="V463" t="s">
        <v>1247</v>
      </c>
      <c r="W463" t="s">
        <v>532</v>
      </c>
      <c r="X463">
        <v>1.7</v>
      </c>
      <c r="Y463" t="s">
        <v>455</v>
      </c>
      <c r="AA463">
        <v>91.2</v>
      </c>
      <c r="AB463">
        <v>77.52</v>
      </c>
      <c r="AC463">
        <v>45.6</v>
      </c>
    </row>
    <row r="464" spans="2:29" ht="15" customHeight="1" x14ac:dyDescent="0.15">
      <c r="B464">
        <v>4</v>
      </c>
      <c r="C464" t="s">
        <v>386</v>
      </c>
      <c r="D464" t="s">
        <v>1357</v>
      </c>
      <c r="E464">
        <v>3</v>
      </c>
      <c r="F464" t="s">
        <v>219</v>
      </c>
      <c r="G464" t="s">
        <v>244</v>
      </c>
      <c r="H464" t="s">
        <v>571</v>
      </c>
      <c r="I464">
        <v>30</v>
      </c>
      <c r="J464" s="21">
        <v>45862</v>
      </c>
      <c r="K464" s="21">
        <v>45862</v>
      </c>
      <c r="L464" t="s">
        <v>1360</v>
      </c>
      <c r="M464" t="s">
        <v>573</v>
      </c>
      <c r="O464" t="s">
        <v>220</v>
      </c>
      <c r="P464">
        <v>2</v>
      </c>
      <c r="Q464">
        <v>1</v>
      </c>
      <c r="R464">
        <v>0.5</v>
      </c>
      <c r="S464">
        <v>0.85</v>
      </c>
      <c r="T464">
        <v>0.5</v>
      </c>
      <c r="U464" t="s">
        <v>1246</v>
      </c>
      <c r="V464" t="s">
        <v>1247</v>
      </c>
      <c r="W464" t="s">
        <v>532</v>
      </c>
      <c r="X464">
        <v>1.7</v>
      </c>
      <c r="Y464" t="s">
        <v>455</v>
      </c>
      <c r="AA464">
        <v>73.98</v>
      </c>
      <c r="AB464">
        <v>62.88</v>
      </c>
      <c r="AC464">
        <v>36.99</v>
      </c>
    </row>
    <row r="465" spans="2:29" ht="15" customHeight="1" x14ac:dyDescent="0.15">
      <c r="B465">
        <v>4</v>
      </c>
      <c r="C465" t="s">
        <v>386</v>
      </c>
      <c r="D465" t="s">
        <v>1361</v>
      </c>
      <c r="E465">
        <v>1</v>
      </c>
      <c r="F465" t="s">
        <v>201</v>
      </c>
      <c r="G465" t="s">
        <v>200</v>
      </c>
      <c r="H465" t="s">
        <v>647</v>
      </c>
      <c r="I465">
        <v>30</v>
      </c>
      <c r="J465" s="21">
        <v>45862</v>
      </c>
      <c r="K465" s="21">
        <v>45862</v>
      </c>
      <c r="L465" t="s">
        <v>1362</v>
      </c>
      <c r="M465" t="s">
        <v>647</v>
      </c>
      <c r="O465" t="s">
        <v>226</v>
      </c>
      <c r="P465">
        <v>1</v>
      </c>
      <c r="Q465">
        <v>1</v>
      </c>
      <c r="R465">
        <v>500</v>
      </c>
      <c r="S465">
        <v>500</v>
      </c>
      <c r="T465">
        <v>500</v>
      </c>
      <c r="U465" t="s">
        <v>391</v>
      </c>
      <c r="V465" t="s">
        <v>392</v>
      </c>
      <c r="W465" t="s">
        <v>392</v>
      </c>
      <c r="X465">
        <v>1</v>
      </c>
      <c r="Y465" t="s">
        <v>1363</v>
      </c>
      <c r="AA465">
        <v>3.19</v>
      </c>
      <c r="AB465" s="22">
        <v>1593.75</v>
      </c>
      <c r="AC465" s="22">
        <v>1593.75</v>
      </c>
    </row>
    <row r="466" spans="2:29" ht="15" customHeight="1" x14ac:dyDescent="0.15">
      <c r="B466">
        <v>4</v>
      </c>
      <c r="C466" t="s">
        <v>386</v>
      </c>
      <c r="D466" t="s">
        <v>1361</v>
      </c>
      <c r="E466">
        <v>2</v>
      </c>
      <c r="F466" t="s">
        <v>201</v>
      </c>
      <c r="G466" t="s">
        <v>200</v>
      </c>
      <c r="H466" t="s">
        <v>635</v>
      </c>
      <c r="I466">
        <v>30</v>
      </c>
      <c r="J466" s="21">
        <v>45862</v>
      </c>
      <c r="K466" s="21">
        <v>45862</v>
      </c>
      <c r="L466" t="s">
        <v>1364</v>
      </c>
      <c r="M466" t="s">
        <v>204</v>
      </c>
      <c r="O466" t="s">
        <v>226</v>
      </c>
      <c r="P466">
        <v>1</v>
      </c>
      <c r="Q466">
        <v>1</v>
      </c>
      <c r="R466">
        <v>200</v>
      </c>
      <c r="S466">
        <v>200</v>
      </c>
      <c r="T466">
        <v>200</v>
      </c>
      <c r="U466" t="s">
        <v>391</v>
      </c>
      <c r="V466" t="s">
        <v>392</v>
      </c>
      <c r="W466" t="s">
        <v>392</v>
      </c>
      <c r="X466">
        <v>1</v>
      </c>
      <c r="Y466" t="s">
        <v>1363</v>
      </c>
      <c r="AA466">
        <v>2.06</v>
      </c>
      <c r="AB466">
        <v>411.6</v>
      </c>
      <c r="AC466">
        <v>411.6</v>
      </c>
    </row>
    <row r="467" spans="2:29" ht="15" customHeight="1" x14ac:dyDescent="0.15">
      <c r="B467">
        <v>4</v>
      </c>
      <c r="C467" t="s">
        <v>386</v>
      </c>
      <c r="D467" t="s">
        <v>1365</v>
      </c>
      <c r="E467">
        <v>1</v>
      </c>
      <c r="F467" t="s">
        <v>219</v>
      </c>
      <c r="G467" t="s">
        <v>218</v>
      </c>
      <c r="H467" t="s">
        <v>1366</v>
      </c>
      <c r="I467">
        <v>30</v>
      </c>
      <c r="J467" s="21">
        <v>45862</v>
      </c>
      <c r="K467" s="21">
        <v>45862</v>
      </c>
      <c r="L467" t="s">
        <v>1367</v>
      </c>
      <c r="M467" t="s">
        <v>1368</v>
      </c>
      <c r="O467" t="s">
        <v>220</v>
      </c>
      <c r="P467">
        <v>1</v>
      </c>
      <c r="R467">
        <v>1</v>
      </c>
      <c r="S467">
        <v>1</v>
      </c>
      <c r="U467" t="s">
        <v>391</v>
      </c>
      <c r="V467" t="s">
        <v>392</v>
      </c>
      <c r="W467" t="s">
        <v>392</v>
      </c>
      <c r="Y467" t="s">
        <v>710</v>
      </c>
      <c r="AA467">
        <v>784.7</v>
      </c>
      <c r="AB467">
        <v>784.7</v>
      </c>
      <c r="AC467">
        <v>0</v>
      </c>
    </row>
    <row r="468" spans="2:29" ht="15" customHeight="1" x14ac:dyDescent="0.15">
      <c r="B468">
        <v>4</v>
      </c>
      <c r="C468" t="s">
        <v>704</v>
      </c>
      <c r="D468" t="s">
        <v>1369</v>
      </c>
      <c r="E468">
        <v>1</v>
      </c>
      <c r="F468" t="s">
        <v>556</v>
      </c>
      <c r="G468" t="s">
        <v>556</v>
      </c>
      <c r="H468" t="s">
        <v>557</v>
      </c>
      <c r="I468">
        <v>30</v>
      </c>
      <c r="J468" s="21">
        <v>45863</v>
      </c>
      <c r="L468" t="s">
        <v>1370</v>
      </c>
      <c r="M468" t="s">
        <v>713</v>
      </c>
      <c r="O468" t="s">
        <v>226</v>
      </c>
      <c r="P468">
        <v>0</v>
      </c>
      <c r="Q468">
        <v>0</v>
      </c>
      <c r="R468">
        <v>5</v>
      </c>
      <c r="S468">
        <v>0</v>
      </c>
      <c r="T468">
        <v>0</v>
      </c>
      <c r="U468" t="s">
        <v>391</v>
      </c>
      <c r="V468" t="s">
        <v>392</v>
      </c>
      <c r="W468" t="s">
        <v>392</v>
      </c>
      <c r="X468">
        <v>1</v>
      </c>
      <c r="Y468" t="s">
        <v>886</v>
      </c>
      <c r="AA468">
        <v>16.5</v>
      </c>
      <c r="AB468">
        <v>0</v>
      </c>
      <c r="AC468">
        <v>0</v>
      </c>
    </row>
    <row r="469" spans="2:29" ht="15" customHeight="1" x14ac:dyDescent="0.15">
      <c r="B469">
        <v>4</v>
      </c>
      <c r="C469" t="s">
        <v>386</v>
      </c>
      <c r="D469" t="s">
        <v>1371</v>
      </c>
      <c r="E469">
        <v>1</v>
      </c>
      <c r="F469" t="s">
        <v>219</v>
      </c>
      <c r="G469" t="s">
        <v>231</v>
      </c>
      <c r="H469" t="s">
        <v>433</v>
      </c>
      <c r="I469">
        <v>30</v>
      </c>
      <c r="J469" s="21">
        <v>45864</v>
      </c>
      <c r="K469" s="21">
        <v>45864</v>
      </c>
      <c r="L469" t="s">
        <v>1372</v>
      </c>
      <c r="M469" t="s">
        <v>1030</v>
      </c>
      <c r="O469" t="s">
        <v>220</v>
      </c>
      <c r="P469">
        <v>2</v>
      </c>
      <c r="Q469">
        <v>1.06</v>
      </c>
      <c r="R469">
        <v>0.12</v>
      </c>
      <c r="S469">
        <v>0.216</v>
      </c>
      <c r="T469">
        <v>0.13</v>
      </c>
      <c r="U469" t="s">
        <v>1246</v>
      </c>
      <c r="V469" t="s">
        <v>1247</v>
      </c>
      <c r="W469" t="s">
        <v>532</v>
      </c>
      <c r="X469">
        <v>1.7</v>
      </c>
      <c r="Y469" t="s">
        <v>455</v>
      </c>
      <c r="AA469">
        <v>21.83</v>
      </c>
      <c r="AB469">
        <v>4.72</v>
      </c>
      <c r="AC469">
        <v>2.77</v>
      </c>
    </row>
    <row r="470" spans="2:29" ht="15" customHeight="1" x14ac:dyDescent="0.15">
      <c r="B470">
        <v>4</v>
      </c>
      <c r="C470" t="s">
        <v>386</v>
      </c>
      <c r="D470" t="s">
        <v>1371</v>
      </c>
      <c r="E470">
        <v>2</v>
      </c>
      <c r="F470" t="s">
        <v>219</v>
      </c>
      <c r="G470" t="s">
        <v>239</v>
      </c>
      <c r="H470" t="s">
        <v>456</v>
      </c>
      <c r="I470">
        <v>30</v>
      </c>
      <c r="J470" s="21">
        <v>45864</v>
      </c>
      <c r="K470" s="21">
        <v>45864</v>
      </c>
      <c r="L470" t="s">
        <v>1373</v>
      </c>
      <c r="M470" t="s">
        <v>458</v>
      </c>
      <c r="O470" t="s">
        <v>220</v>
      </c>
      <c r="P470">
        <v>2</v>
      </c>
      <c r="Q470">
        <v>1.06</v>
      </c>
      <c r="R470">
        <v>3</v>
      </c>
      <c r="S470">
        <v>5.4</v>
      </c>
      <c r="T470">
        <v>3.18</v>
      </c>
      <c r="U470" t="s">
        <v>1246</v>
      </c>
      <c r="V470" t="s">
        <v>1247</v>
      </c>
      <c r="W470" t="s">
        <v>532</v>
      </c>
      <c r="X470">
        <v>1.7</v>
      </c>
      <c r="Y470" t="s">
        <v>455</v>
      </c>
      <c r="AA470">
        <v>49.99</v>
      </c>
      <c r="AB470">
        <v>269.95</v>
      </c>
      <c r="AC470">
        <v>158.79</v>
      </c>
    </row>
    <row r="471" spans="2:29" ht="15" customHeight="1" x14ac:dyDescent="0.15">
      <c r="B471">
        <v>4</v>
      </c>
      <c r="C471" t="s">
        <v>386</v>
      </c>
      <c r="D471" t="s">
        <v>1371</v>
      </c>
      <c r="E471">
        <v>3</v>
      </c>
      <c r="F471" t="s">
        <v>219</v>
      </c>
      <c r="G471" t="s">
        <v>218</v>
      </c>
      <c r="H471" t="s">
        <v>493</v>
      </c>
      <c r="I471">
        <v>30</v>
      </c>
      <c r="J471" s="21">
        <v>45864</v>
      </c>
      <c r="K471" s="21">
        <v>45864</v>
      </c>
      <c r="L471" t="s">
        <v>1374</v>
      </c>
      <c r="M471" t="s">
        <v>576</v>
      </c>
      <c r="O471" t="s">
        <v>226</v>
      </c>
      <c r="P471">
        <v>2</v>
      </c>
      <c r="Q471">
        <v>1.06</v>
      </c>
      <c r="R471">
        <v>0.2</v>
      </c>
      <c r="S471">
        <v>0.36</v>
      </c>
      <c r="T471">
        <v>0.21</v>
      </c>
      <c r="U471" t="s">
        <v>1246</v>
      </c>
      <c r="V471" t="s">
        <v>1247</v>
      </c>
      <c r="W471" t="s">
        <v>532</v>
      </c>
      <c r="X471">
        <v>1.7</v>
      </c>
      <c r="Y471" t="s">
        <v>455</v>
      </c>
      <c r="AA471">
        <v>101.77</v>
      </c>
      <c r="AB471">
        <v>36.64</v>
      </c>
      <c r="AC471">
        <v>21.55</v>
      </c>
    </row>
    <row r="472" spans="2:29" ht="15" customHeight="1" x14ac:dyDescent="0.15">
      <c r="B472">
        <v>4</v>
      </c>
      <c r="C472" t="s">
        <v>386</v>
      </c>
      <c r="D472" t="s">
        <v>1375</v>
      </c>
      <c r="E472">
        <v>1</v>
      </c>
      <c r="F472" t="s">
        <v>201</v>
      </c>
      <c r="G472" t="s">
        <v>200</v>
      </c>
      <c r="H472" t="s">
        <v>471</v>
      </c>
      <c r="I472">
        <v>31</v>
      </c>
      <c r="J472" s="21">
        <v>45868</v>
      </c>
      <c r="K472" s="21">
        <v>45868</v>
      </c>
      <c r="L472" t="s">
        <v>1376</v>
      </c>
      <c r="M472" t="s">
        <v>942</v>
      </c>
      <c r="O472" t="s">
        <v>226</v>
      </c>
      <c r="P472">
        <v>1</v>
      </c>
      <c r="Q472">
        <v>1</v>
      </c>
      <c r="R472">
        <v>300</v>
      </c>
      <c r="S472">
        <v>300</v>
      </c>
      <c r="T472">
        <v>300</v>
      </c>
      <c r="U472" t="s">
        <v>391</v>
      </c>
      <c r="V472" t="s">
        <v>392</v>
      </c>
      <c r="W472" t="s">
        <v>392</v>
      </c>
      <c r="X472">
        <v>1</v>
      </c>
      <c r="Y472" t="s">
        <v>1377</v>
      </c>
      <c r="AA472">
        <v>1.98</v>
      </c>
      <c r="AB472">
        <v>594</v>
      </c>
      <c r="AC472">
        <v>594</v>
      </c>
    </row>
    <row r="473" spans="2:29" ht="15" customHeight="1" x14ac:dyDescent="0.15">
      <c r="B473">
        <v>4</v>
      </c>
      <c r="C473" t="s">
        <v>386</v>
      </c>
      <c r="D473" t="s">
        <v>1375</v>
      </c>
      <c r="E473">
        <v>2</v>
      </c>
      <c r="F473" t="s">
        <v>201</v>
      </c>
      <c r="G473" t="s">
        <v>200</v>
      </c>
      <c r="H473" t="s">
        <v>475</v>
      </c>
      <c r="I473">
        <v>31</v>
      </c>
      <c r="J473" s="21">
        <v>45868</v>
      </c>
      <c r="K473" s="21">
        <v>45868</v>
      </c>
      <c r="L473" t="s">
        <v>1378</v>
      </c>
      <c r="M473" t="s">
        <v>631</v>
      </c>
      <c r="O473" t="s">
        <v>226</v>
      </c>
      <c r="P473">
        <v>1</v>
      </c>
      <c r="Q473">
        <v>1</v>
      </c>
      <c r="R473">
        <v>250</v>
      </c>
      <c r="S473">
        <v>250</v>
      </c>
      <c r="T473">
        <v>250</v>
      </c>
      <c r="U473" t="s">
        <v>391</v>
      </c>
      <c r="V473" t="s">
        <v>392</v>
      </c>
      <c r="W473" t="s">
        <v>392</v>
      </c>
      <c r="X473">
        <v>1</v>
      </c>
      <c r="Y473" t="s">
        <v>1377</v>
      </c>
      <c r="AA473">
        <v>3.53</v>
      </c>
      <c r="AB473">
        <v>882.5</v>
      </c>
      <c r="AC473">
        <v>882.5</v>
      </c>
    </row>
    <row r="474" spans="2:29" ht="15" customHeight="1" x14ac:dyDescent="0.15">
      <c r="B474">
        <v>4</v>
      </c>
      <c r="C474" t="s">
        <v>386</v>
      </c>
      <c r="D474" t="s">
        <v>1379</v>
      </c>
      <c r="E474">
        <v>1</v>
      </c>
      <c r="F474" t="s">
        <v>219</v>
      </c>
      <c r="G474" t="s">
        <v>231</v>
      </c>
      <c r="H474" t="s">
        <v>433</v>
      </c>
      <c r="I474">
        <v>31</v>
      </c>
      <c r="J474" s="21">
        <v>45868</v>
      </c>
      <c r="K474" s="21">
        <v>45868</v>
      </c>
      <c r="L474" t="s">
        <v>1380</v>
      </c>
      <c r="M474" t="s">
        <v>1030</v>
      </c>
      <c r="O474" t="s">
        <v>220</v>
      </c>
      <c r="P474">
        <v>4</v>
      </c>
      <c r="Q474">
        <v>4</v>
      </c>
      <c r="R474">
        <v>0.15</v>
      </c>
      <c r="S474">
        <v>0.6</v>
      </c>
      <c r="T474">
        <v>0.6</v>
      </c>
      <c r="U474" t="s">
        <v>391</v>
      </c>
      <c r="V474" t="s">
        <v>392</v>
      </c>
      <c r="W474" t="s">
        <v>392</v>
      </c>
      <c r="X474">
        <v>1</v>
      </c>
      <c r="Y474" t="s">
        <v>893</v>
      </c>
      <c r="AA474">
        <v>21.83</v>
      </c>
      <c r="AB474">
        <v>13.1</v>
      </c>
      <c r="AC474">
        <v>13.1</v>
      </c>
    </row>
    <row r="475" spans="2:29" ht="15" customHeight="1" x14ac:dyDescent="0.15">
      <c r="B475">
        <v>4</v>
      </c>
      <c r="C475" t="s">
        <v>386</v>
      </c>
      <c r="D475" t="s">
        <v>1379</v>
      </c>
      <c r="E475">
        <v>2</v>
      </c>
      <c r="F475" t="s">
        <v>219</v>
      </c>
      <c r="G475" t="s">
        <v>218</v>
      </c>
      <c r="H475" t="s">
        <v>911</v>
      </c>
      <c r="I475">
        <v>31</v>
      </c>
      <c r="J475" s="21">
        <v>45868</v>
      </c>
      <c r="K475" s="21">
        <v>45868</v>
      </c>
      <c r="L475" t="s">
        <v>1381</v>
      </c>
      <c r="M475" t="s">
        <v>913</v>
      </c>
      <c r="O475" t="s">
        <v>220</v>
      </c>
      <c r="P475">
        <v>4</v>
      </c>
      <c r="Q475">
        <v>4</v>
      </c>
      <c r="R475">
        <v>0.25</v>
      </c>
      <c r="S475">
        <v>1</v>
      </c>
      <c r="T475">
        <v>1</v>
      </c>
      <c r="U475" t="s">
        <v>391</v>
      </c>
      <c r="V475" t="s">
        <v>392</v>
      </c>
      <c r="W475" t="s">
        <v>392</v>
      </c>
      <c r="X475">
        <v>1</v>
      </c>
      <c r="Y475" t="s">
        <v>893</v>
      </c>
      <c r="AA475">
        <v>91.24</v>
      </c>
      <c r="AB475">
        <v>91.24</v>
      </c>
      <c r="AC475">
        <v>91.24</v>
      </c>
    </row>
    <row r="476" spans="2:29" ht="15" customHeight="1" x14ac:dyDescent="0.15">
      <c r="B476">
        <v>4</v>
      </c>
      <c r="C476" t="s">
        <v>386</v>
      </c>
      <c r="D476" t="s">
        <v>1379</v>
      </c>
      <c r="E476">
        <v>3</v>
      </c>
      <c r="F476" t="s">
        <v>219</v>
      </c>
      <c r="G476" t="s">
        <v>218</v>
      </c>
      <c r="H476" t="s">
        <v>397</v>
      </c>
      <c r="I476">
        <v>31</v>
      </c>
      <c r="J476" s="21">
        <v>45868</v>
      </c>
      <c r="K476" s="21">
        <v>45868</v>
      </c>
      <c r="L476" t="s">
        <v>1382</v>
      </c>
      <c r="M476" t="s">
        <v>454</v>
      </c>
      <c r="O476" t="s">
        <v>220</v>
      </c>
      <c r="P476">
        <v>4</v>
      </c>
      <c r="Q476">
        <v>4</v>
      </c>
      <c r="R476">
        <v>0.12</v>
      </c>
      <c r="S476">
        <v>0.48</v>
      </c>
      <c r="T476">
        <v>0.48</v>
      </c>
      <c r="U476" t="s">
        <v>391</v>
      </c>
      <c r="V476" t="s">
        <v>392</v>
      </c>
      <c r="W476" t="s">
        <v>392</v>
      </c>
      <c r="X476">
        <v>1</v>
      </c>
      <c r="Y476" t="s">
        <v>893</v>
      </c>
      <c r="AA476">
        <v>686.05</v>
      </c>
      <c r="AB476">
        <v>329.3</v>
      </c>
      <c r="AC476">
        <v>329.3</v>
      </c>
    </row>
    <row r="477" spans="2:29" ht="15" customHeight="1" x14ac:dyDescent="0.15">
      <c r="B477">
        <v>4</v>
      </c>
      <c r="C477" t="s">
        <v>386</v>
      </c>
      <c r="D477" t="s">
        <v>1379</v>
      </c>
      <c r="E477">
        <v>4</v>
      </c>
      <c r="F477" t="s">
        <v>219</v>
      </c>
      <c r="G477" t="s">
        <v>218</v>
      </c>
      <c r="H477" t="s">
        <v>686</v>
      </c>
      <c r="I477">
        <v>31</v>
      </c>
      <c r="J477" s="21">
        <v>45868</v>
      </c>
      <c r="K477" s="21">
        <v>45868</v>
      </c>
      <c r="L477" t="s">
        <v>1383</v>
      </c>
      <c r="M477" t="s">
        <v>1219</v>
      </c>
      <c r="O477" t="s">
        <v>220</v>
      </c>
      <c r="P477">
        <v>4</v>
      </c>
      <c r="Q477">
        <v>4</v>
      </c>
      <c r="R477">
        <v>0.15</v>
      </c>
      <c r="S477">
        <v>0.6</v>
      </c>
      <c r="T477">
        <v>0.6</v>
      </c>
      <c r="U477" t="s">
        <v>391</v>
      </c>
      <c r="V477" t="s">
        <v>392</v>
      </c>
      <c r="W477" t="s">
        <v>392</v>
      </c>
      <c r="X477">
        <v>1</v>
      </c>
      <c r="Y477" t="s">
        <v>893</v>
      </c>
      <c r="AA477">
        <v>163</v>
      </c>
      <c r="AB477">
        <v>97.8</v>
      </c>
      <c r="AC477">
        <v>97.8</v>
      </c>
    </row>
    <row r="478" spans="2:29" ht="15" customHeight="1" x14ac:dyDescent="0.15">
      <c r="B478">
        <v>4</v>
      </c>
      <c r="C478" t="s">
        <v>386</v>
      </c>
      <c r="D478" t="s">
        <v>1379</v>
      </c>
      <c r="E478">
        <v>5</v>
      </c>
      <c r="F478" t="s">
        <v>219</v>
      </c>
      <c r="G478" t="s">
        <v>218</v>
      </c>
      <c r="H478" t="s">
        <v>485</v>
      </c>
      <c r="I478">
        <v>31</v>
      </c>
      <c r="J478" s="21">
        <v>45868</v>
      </c>
      <c r="K478" s="21">
        <v>45868</v>
      </c>
      <c r="L478" t="s">
        <v>1384</v>
      </c>
      <c r="M478" t="s">
        <v>1316</v>
      </c>
      <c r="O478" t="s">
        <v>220</v>
      </c>
      <c r="P478">
        <v>2</v>
      </c>
      <c r="Q478">
        <v>2</v>
      </c>
      <c r="R478">
        <v>0.7</v>
      </c>
      <c r="S478">
        <v>1.4</v>
      </c>
      <c r="T478">
        <v>1.4</v>
      </c>
      <c r="U478" t="s">
        <v>391</v>
      </c>
      <c r="V478" t="s">
        <v>392</v>
      </c>
      <c r="W478" t="s">
        <v>392</v>
      </c>
      <c r="X478">
        <v>1</v>
      </c>
      <c r="Y478" t="s">
        <v>893</v>
      </c>
      <c r="AA478">
        <v>92.82</v>
      </c>
      <c r="AB478">
        <v>129.94999999999999</v>
      </c>
      <c r="AC478">
        <v>129.94999999999999</v>
      </c>
    </row>
    <row r="479" spans="2:29" ht="15" customHeight="1" x14ac:dyDescent="0.15">
      <c r="B479">
        <v>4</v>
      </c>
      <c r="C479" t="s">
        <v>386</v>
      </c>
      <c r="D479" t="s">
        <v>1379</v>
      </c>
      <c r="E479">
        <v>6</v>
      </c>
      <c r="F479" t="s">
        <v>219</v>
      </c>
      <c r="G479" t="s">
        <v>239</v>
      </c>
      <c r="H479" t="s">
        <v>420</v>
      </c>
      <c r="I479">
        <v>31</v>
      </c>
      <c r="J479" s="21">
        <v>45868</v>
      </c>
      <c r="K479" s="21">
        <v>45868</v>
      </c>
      <c r="L479" t="s">
        <v>1385</v>
      </c>
      <c r="M479" t="s">
        <v>764</v>
      </c>
      <c r="O479" t="s">
        <v>220</v>
      </c>
      <c r="P479">
        <v>4</v>
      </c>
      <c r="Q479">
        <v>4</v>
      </c>
      <c r="R479">
        <v>0.3</v>
      </c>
      <c r="S479">
        <v>1.2</v>
      </c>
      <c r="T479">
        <v>1.2</v>
      </c>
      <c r="U479" t="s">
        <v>391</v>
      </c>
      <c r="V479" t="s">
        <v>392</v>
      </c>
      <c r="W479" t="s">
        <v>392</v>
      </c>
      <c r="X479">
        <v>1</v>
      </c>
      <c r="Y479" t="s">
        <v>893</v>
      </c>
      <c r="AA479">
        <v>115.5</v>
      </c>
      <c r="AB479">
        <v>138.6</v>
      </c>
      <c r="AC479">
        <v>138.6</v>
      </c>
    </row>
    <row r="480" spans="2:29" ht="15" customHeight="1" x14ac:dyDescent="0.15">
      <c r="B480">
        <v>4</v>
      </c>
      <c r="C480" t="s">
        <v>704</v>
      </c>
      <c r="D480" t="s">
        <v>1386</v>
      </c>
      <c r="E480">
        <v>1</v>
      </c>
      <c r="F480" t="s">
        <v>219</v>
      </c>
      <c r="G480" t="s">
        <v>231</v>
      </c>
      <c r="H480" t="s">
        <v>433</v>
      </c>
      <c r="I480">
        <v>31</v>
      </c>
      <c r="J480" s="21">
        <v>45869</v>
      </c>
      <c r="L480" t="s">
        <v>1387</v>
      </c>
      <c r="M480" t="s">
        <v>1030</v>
      </c>
      <c r="O480" t="s">
        <v>220</v>
      </c>
      <c r="P480">
        <v>2</v>
      </c>
      <c r="Q480">
        <v>1</v>
      </c>
      <c r="R480">
        <v>0.12</v>
      </c>
      <c r="S480">
        <v>0.20399999999999999</v>
      </c>
      <c r="T480">
        <v>0.12</v>
      </c>
      <c r="U480" t="s">
        <v>1246</v>
      </c>
      <c r="V480" t="s">
        <v>1247</v>
      </c>
      <c r="W480" t="s">
        <v>532</v>
      </c>
      <c r="X480">
        <v>1.7</v>
      </c>
      <c r="Y480" t="s">
        <v>455</v>
      </c>
      <c r="AA480">
        <v>21.83</v>
      </c>
      <c r="AB480">
        <v>4.45</v>
      </c>
      <c r="AC480">
        <v>2.62</v>
      </c>
    </row>
    <row r="481" spans="2:29" ht="15" customHeight="1" x14ac:dyDescent="0.15">
      <c r="B481">
        <v>4</v>
      </c>
      <c r="C481" t="s">
        <v>704</v>
      </c>
      <c r="D481" t="s">
        <v>1386</v>
      </c>
      <c r="E481">
        <v>2</v>
      </c>
      <c r="F481" t="s">
        <v>219</v>
      </c>
      <c r="G481" t="s">
        <v>218</v>
      </c>
      <c r="H481" t="s">
        <v>493</v>
      </c>
      <c r="I481">
        <v>31</v>
      </c>
      <c r="J481" s="21">
        <v>45869</v>
      </c>
      <c r="L481" t="s">
        <v>1388</v>
      </c>
      <c r="M481" t="s">
        <v>576</v>
      </c>
      <c r="O481" t="s">
        <v>220</v>
      </c>
      <c r="P481">
        <v>2</v>
      </c>
      <c r="Q481">
        <v>1</v>
      </c>
      <c r="R481">
        <v>0.2</v>
      </c>
      <c r="S481">
        <v>0.34</v>
      </c>
      <c r="T481">
        <v>0.2</v>
      </c>
      <c r="U481" t="s">
        <v>1246</v>
      </c>
      <c r="V481" t="s">
        <v>1247</v>
      </c>
      <c r="W481" t="s">
        <v>532</v>
      </c>
      <c r="X481">
        <v>1.7</v>
      </c>
      <c r="Y481" t="s">
        <v>455</v>
      </c>
      <c r="AA481">
        <v>101.77</v>
      </c>
      <c r="AB481">
        <v>34.6</v>
      </c>
      <c r="AC481">
        <v>20.350000000000001</v>
      </c>
    </row>
    <row r="482" spans="2:29" ht="15" customHeight="1" x14ac:dyDescent="0.15">
      <c r="B482">
        <v>4</v>
      </c>
      <c r="C482" t="s">
        <v>704</v>
      </c>
      <c r="D482" t="s">
        <v>1386</v>
      </c>
      <c r="E482">
        <v>3</v>
      </c>
      <c r="F482" t="s">
        <v>219</v>
      </c>
      <c r="G482" t="s">
        <v>239</v>
      </c>
      <c r="H482" t="s">
        <v>456</v>
      </c>
      <c r="I482">
        <v>31</v>
      </c>
      <c r="J482" s="21">
        <v>45869</v>
      </c>
      <c r="L482" t="s">
        <v>1389</v>
      </c>
      <c r="M482" t="s">
        <v>458</v>
      </c>
      <c r="O482" t="s">
        <v>220</v>
      </c>
      <c r="P482">
        <v>2</v>
      </c>
      <c r="Q482">
        <v>1</v>
      </c>
      <c r="R482">
        <v>3</v>
      </c>
      <c r="S482">
        <v>5.0999999999999996</v>
      </c>
      <c r="T482">
        <v>3</v>
      </c>
      <c r="U482" t="s">
        <v>1246</v>
      </c>
      <c r="V482" t="s">
        <v>1247</v>
      </c>
      <c r="W482" t="s">
        <v>532</v>
      </c>
      <c r="X482">
        <v>1.7</v>
      </c>
      <c r="Y482" t="s">
        <v>455</v>
      </c>
      <c r="AA482">
        <v>49.99</v>
      </c>
      <c r="AB482">
        <v>254.95</v>
      </c>
      <c r="AC482">
        <v>149.97</v>
      </c>
    </row>
    <row r="483" spans="2:29" ht="15" customHeight="1" x14ac:dyDescent="0.15">
      <c r="B483">
        <v>4</v>
      </c>
      <c r="C483" t="s">
        <v>386</v>
      </c>
      <c r="D483" t="s">
        <v>1390</v>
      </c>
      <c r="E483">
        <v>1</v>
      </c>
      <c r="F483" t="s">
        <v>219</v>
      </c>
      <c r="G483" t="s">
        <v>231</v>
      </c>
      <c r="H483" t="s">
        <v>433</v>
      </c>
      <c r="I483">
        <v>31</v>
      </c>
      <c r="J483" s="21">
        <v>45869</v>
      </c>
      <c r="K483" s="21">
        <v>45869</v>
      </c>
      <c r="L483" t="s">
        <v>1391</v>
      </c>
      <c r="M483" t="s">
        <v>1030</v>
      </c>
      <c r="O483" t="s">
        <v>220</v>
      </c>
      <c r="P483">
        <v>2</v>
      </c>
      <c r="Q483">
        <v>1</v>
      </c>
      <c r="R483">
        <v>0.12</v>
      </c>
      <c r="S483">
        <v>0.24</v>
      </c>
      <c r="T483">
        <v>0.12</v>
      </c>
      <c r="U483" t="s">
        <v>627</v>
      </c>
      <c r="V483" t="s">
        <v>628</v>
      </c>
      <c r="W483" t="s">
        <v>532</v>
      </c>
      <c r="X483">
        <v>2</v>
      </c>
      <c r="Y483" t="s">
        <v>455</v>
      </c>
      <c r="AA483">
        <v>21.83</v>
      </c>
      <c r="AB483">
        <v>5.24</v>
      </c>
      <c r="AC483">
        <v>2.62</v>
      </c>
    </row>
    <row r="484" spans="2:29" ht="15" customHeight="1" x14ac:dyDescent="0.15">
      <c r="B484">
        <v>4</v>
      </c>
      <c r="C484" t="s">
        <v>386</v>
      </c>
      <c r="D484" t="s">
        <v>1390</v>
      </c>
      <c r="E484">
        <v>2</v>
      </c>
      <c r="F484" t="s">
        <v>219</v>
      </c>
      <c r="G484" t="s">
        <v>218</v>
      </c>
      <c r="H484" t="s">
        <v>864</v>
      </c>
      <c r="I484">
        <v>31</v>
      </c>
      <c r="J484" s="21">
        <v>45869</v>
      </c>
      <c r="K484" s="21">
        <v>45869</v>
      </c>
      <c r="L484" t="s">
        <v>1392</v>
      </c>
      <c r="M484" t="s">
        <v>866</v>
      </c>
      <c r="O484" t="s">
        <v>220</v>
      </c>
      <c r="P484">
        <v>2</v>
      </c>
      <c r="Q484">
        <v>1</v>
      </c>
      <c r="R484">
        <v>0.2</v>
      </c>
      <c r="S484">
        <v>0.4</v>
      </c>
      <c r="T484">
        <v>0.2</v>
      </c>
      <c r="U484" t="s">
        <v>627</v>
      </c>
      <c r="V484" t="s">
        <v>628</v>
      </c>
      <c r="W484" t="s">
        <v>532</v>
      </c>
      <c r="X484">
        <v>2</v>
      </c>
      <c r="Y484" t="s">
        <v>455</v>
      </c>
      <c r="AA484">
        <v>70.3</v>
      </c>
      <c r="AB484">
        <v>28.12</v>
      </c>
      <c r="AC484">
        <v>14.06</v>
      </c>
    </row>
    <row r="485" spans="2:29" ht="15" customHeight="1" x14ac:dyDescent="0.15">
      <c r="B485">
        <v>4</v>
      </c>
      <c r="C485" t="s">
        <v>386</v>
      </c>
      <c r="D485" t="s">
        <v>1390</v>
      </c>
      <c r="E485">
        <v>3</v>
      </c>
      <c r="F485" t="s">
        <v>219</v>
      </c>
      <c r="G485" t="s">
        <v>218</v>
      </c>
      <c r="H485" t="s">
        <v>493</v>
      </c>
      <c r="I485">
        <v>31</v>
      </c>
      <c r="J485" s="21">
        <v>45869</v>
      </c>
      <c r="K485" s="21">
        <v>45869</v>
      </c>
      <c r="L485" t="s">
        <v>1393</v>
      </c>
      <c r="M485" t="s">
        <v>576</v>
      </c>
      <c r="O485" t="s">
        <v>220</v>
      </c>
      <c r="P485">
        <v>2</v>
      </c>
      <c r="Q485">
        <v>1</v>
      </c>
      <c r="R485">
        <v>0.2</v>
      </c>
      <c r="S485">
        <v>0.4</v>
      </c>
      <c r="T485">
        <v>0.2</v>
      </c>
      <c r="U485" t="s">
        <v>627</v>
      </c>
      <c r="V485" t="s">
        <v>628</v>
      </c>
      <c r="W485" t="s">
        <v>532</v>
      </c>
      <c r="X485">
        <v>2</v>
      </c>
      <c r="Y485" t="s">
        <v>455</v>
      </c>
      <c r="AA485">
        <v>101.77</v>
      </c>
      <c r="AB485">
        <v>40.71</v>
      </c>
      <c r="AC485">
        <v>20.350000000000001</v>
      </c>
    </row>
    <row r="486" spans="2:29" ht="15" customHeight="1" x14ac:dyDescent="0.15">
      <c r="B486">
        <v>4</v>
      </c>
      <c r="C486" t="s">
        <v>386</v>
      </c>
      <c r="D486" t="s">
        <v>1390</v>
      </c>
      <c r="E486">
        <v>4</v>
      </c>
      <c r="F486" t="s">
        <v>219</v>
      </c>
      <c r="G486" t="s">
        <v>239</v>
      </c>
      <c r="H486" t="s">
        <v>861</v>
      </c>
      <c r="I486">
        <v>31</v>
      </c>
      <c r="J486" s="21">
        <v>45869</v>
      </c>
      <c r="K486" s="21">
        <v>45869</v>
      </c>
      <c r="L486" t="s">
        <v>1394</v>
      </c>
      <c r="M486" t="s">
        <v>863</v>
      </c>
      <c r="O486" t="s">
        <v>220</v>
      </c>
      <c r="P486">
        <v>2</v>
      </c>
      <c r="Q486">
        <v>1</v>
      </c>
      <c r="R486">
        <v>2</v>
      </c>
      <c r="S486">
        <v>4</v>
      </c>
      <c r="T486">
        <v>2</v>
      </c>
      <c r="U486" t="s">
        <v>627</v>
      </c>
      <c r="V486" t="s">
        <v>628</v>
      </c>
      <c r="W486" t="s">
        <v>532</v>
      </c>
      <c r="X486">
        <v>2</v>
      </c>
      <c r="Y486" t="s">
        <v>455</v>
      </c>
      <c r="AA486">
        <v>29.14</v>
      </c>
      <c r="AB486">
        <v>116.56</v>
      </c>
      <c r="AC486">
        <v>58.28</v>
      </c>
    </row>
    <row r="487" spans="2:29" ht="15" hidden="1" customHeight="1" x14ac:dyDescent="0.15">
      <c r="B487">
        <v>4</v>
      </c>
      <c r="C487" t="s">
        <v>386</v>
      </c>
      <c r="D487" t="s">
        <v>1395</v>
      </c>
      <c r="E487">
        <v>1</v>
      </c>
      <c r="F487" t="s">
        <v>219</v>
      </c>
      <c r="G487" t="s">
        <v>218</v>
      </c>
      <c r="H487" t="s">
        <v>1396</v>
      </c>
      <c r="I487">
        <v>31</v>
      </c>
      <c r="J487" s="21">
        <v>45869</v>
      </c>
      <c r="K487" s="21">
        <v>45869</v>
      </c>
      <c r="L487" t="s">
        <v>1397</v>
      </c>
      <c r="M487" t="s">
        <v>1398</v>
      </c>
      <c r="O487" t="s">
        <v>220</v>
      </c>
      <c r="P487">
        <v>1</v>
      </c>
      <c r="R487">
        <v>3</v>
      </c>
      <c r="S487">
        <v>3</v>
      </c>
      <c r="U487" t="s">
        <v>437</v>
      </c>
      <c r="V487" t="s">
        <v>496</v>
      </c>
      <c r="W487" t="s">
        <v>496</v>
      </c>
      <c r="Y487" t="s">
        <v>1399</v>
      </c>
      <c r="AA487">
        <v>19.68</v>
      </c>
      <c r="AB487">
        <v>59.04</v>
      </c>
      <c r="AC487">
        <v>0</v>
      </c>
    </row>
    <row r="488" spans="2:29" ht="15" customHeight="1" x14ac:dyDescent="0.15">
      <c r="B488">
        <v>4</v>
      </c>
      <c r="C488" t="s">
        <v>386</v>
      </c>
      <c r="D488" t="s">
        <v>1400</v>
      </c>
      <c r="E488">
        <v>1</v>
      </c>
      <c r="F488" t="s">
        <v>219</v>
      </c>
      <c r="G488" t="s">
        <v>218</v>
      </c>
      <c r="H488" t="s">
        <v>397</v>
      </c>
      <c r="I488">
        <v>31</v>
      </c>
      <c r="J488" s="21">
        <v>45868</v>
      </c>
      <c r="K488" s="21">
        <v>45868</v>
      </c>
      <c r="L488" t="s">
        <v>1401</v>
      </c>
      <c r="M488" t="s">
        <v>454</v>
      </c>
      <c r="O488" t="s">
        <v>220</v>
      </c>
      <c r="P488">
        <v>1</v>
      </c>
      <c r="Q488">
        <v>1</v>
      </c>
      <c r="R488">
        <v>1</v>
      </c>
      <c r="S488">
        <v>1</v>
      </c>
      <c r="T488">
        <v>1</v>
      </c>
      <c r="U488" t="s">
        <v>391</v>
      </c>
      <c r="V488" t="s">
        <v>392</v>
      </c>
      <c r="W488" t="s">
        <v>392</v>
      </c>
      <c r="X488">
        <v>1</v>
      </c>
      <c r="Y488" t="s">
        <v>1402</v>
      </c>
      <c r="AA488">
        <v>686.05</v>
      </c>
      <c r="AB488">
        <v>686.05</v>
      </c>
      <c r="AC488">
        <v>686.05</v>
      </c>
    </row>
    <row r="489" spans="2:29" ht="15" customHeight="1" x14ac:dyDescent="0.15">
      <c r="B489">
        <v>4</v>
      </c>
      <c r="C489" t="s">
        <v>386</v>
      </c>
      <c r="D489" t="s">
        <v>1400</v>
      </c>
      <c r="E489">
        <v>2</v>
      </c>
      <c r="F489" t="s">
        <v>219</v>
      </c>
      <c r="G489" t="s">
        <v>218</v>
      </c>
      <c r="H489" t="s">
        <v>394</v>
      </c>
      <c r="I489">
        <v>31</v>
      </c>
      <c r="J489" s="21">
        <v>45868</v>
      </c>
      <c r="K489" s="21">
        <v>45868</v>
      </c>
      <c r="L489" t="s">
        <v>1403</v>
      </c>
      <c r="M489" t="s">
        <v>396</v>
      </c>
      <c r="O489" t="s">
        <v>220</v>
      </c>
      <c r="P489">
        <v>1</v>
      </c>
      <c r="Q489">
        <v>1</v>
      </c>
      <c r="R489">
        <v>1</v>
      </c>
      <c r="S489">
        <v>1</v>
      </c>
      <c r="T489">
        <v>1</v>
      </c>
      <c r="U489" t="s">
        <v>391</v>
      </c>
      <c r="V489" t="s">
        <v>392</v>
      </c>
      <c r="W489" t="s">
        <v>392</v>
      </c>
      <c r="X489">
        <v>1</v>
      </c>
      <c r="Y489" t="s">
        <v>1402</v>
      </c>
      <c r="AA489">
        <v>784.7</v>
      </c>
      <c r="AB489">
        <v>784.7</v>
      </c>
      <c r="AC489">
        <v>784.7</v>
      </c>
    </row>
    <row r="490" spans="2:29" ht="15" customHeight="1" x14ac:dyDescent="0.15">
      <c r="B490">
        <v>4</v>
      </c>
      <c r="C490" t="s">
        <v>386</v>
      </c>
      <c r="D490" t="s">
        <v>1404</v>
      </c>
      <c r="E490">
        <v>1</v>
      </c>
      <c r="F490" t="s">
        <v>201</v>
      </c>
      <c r="G490" t="s">
        <v>200</v>
      </c>
      <c r="H490" t="s">
        <v>475</v>
      </c>
      <c r="I490">
        <v>31</v>
      </c>
      <c r="J490" s="21">
        <v>45870</v>
      </c>
      <c r="K490" s="21">
        <v>45870</v>
      </c>
      <c r="L490" t="s">
        <v>1405</v>
      </c>
      <c r="M490" t="s">
        <v>631</v>
      </c>
      <c r="O490" t="s">
        <v>226</v>
      </c>
      <c r="P490">
        <v>2</v>
      </c>
      <c r="Q490">
        <v>1</v>
      </c>
      <c r="R490">
        <v>250</v>
      </c>
      <c r="S490">
        <v>500</v>
      </c>
      <c r="T490">
        <v>250</v>
      </c>
      <c r="U490" t="s">
        <v>1050</v>
      </c>
      <c r="V490" t="s">
        <v>847</v>
      </c>
      <c r="W490" t="s">
        <v>532</v>
      </c>
      <c r="X490">
        <v>2</v>
      </c>
      <c r="Y490" t="s">
        <v>1406</v>
      </c>
      <c r="AA490">
        <v>3.53</v>
      </c>
      <c r="AB490" s="22">
        <v>1765</v>
      </c>
      <c r="AC490">
        <v>882.5</v>
      </c>
    </row>
    <row r="491" spans="2:29" ht="15" customHeight="1" x14ac:dyDescent="0.15">
      <c r="B491">
        <v>4</v>
      </c>
      <c r="C491" t="s">
        <v>386</v>
      </c>
      <c r="D491" t="s">
        <v>1404</v>
      </c>
      <c r="E491">
        <v>2</v>
      </c>
      <c r="F491" t="s">
        <v>201</v>
      </c>
      <c r="G491" t="s">
        <v>200</v>
      </c>
      <c r="H491" t="s">
        <v>1059</v>
      </c>
      <c r="I491">
        <v>31</v>
      </c>
      <c r="J491" s="21">
        <v>45870</v>
      </c>
      <c r="K491" s="21">
        <v>45870</v>
      </c>
      <c r="L491" t="s">
        <v>1407</v>
      </c>
      <c r="M491" t="s">
        <v>1061</v>
      </c>
      <c r="O491" t="s">
        <v>226</v>
      </c>
      <c r="P491">
        <v>2</v>
      </c>
      <c r="Q491">
        <v>1</v>
      </c>
      <c r="R491">
        <v>300</v>
      </c>
      <c r="S491">
        <v>600</v>
      </c>
      <c r="T491">
        <v>300</v>
      </c>
      <c r="U491" t="s">
        <v>1050</v>
      </c>
      <c r="V491" t="s">
        <v>847</v>
      </c>
      <c r="W491" t="s">
        <v>532</v>
      </c>
      <c r="X491">
        <v>2</v>
      </c>
      <c r="Y491" t="s">
        <v>1406</v>
      </c>
      <c r="AA491">
        <v>1.72</v>
      </c>
      <c r="AB491" s="22">
        <v>1032</v>
      </c>
      <c r="AC491">
        <v>516</v>
      </c>
    </row>
    <row r="492" spans="2:29" ht="15" customHeight="1" x14ac:dyDescent="0.15">
      <c r="B492">
        <v>4</v>
      </c>
      <c r="D492" t="s">
        <v>1408</v>
      </c>
      <c r="E492">
        <v>1</v>
      </c>
      <c r="F492" t="s">
        <v>219</v>
      </c>
      <c r="G492" t="s">
        <v>231</v>
      </c>
      <c r="H492" t="s">
        <v>433</v>
      </c>
      <c r="I492">
        <v>31</v>
      </c>
      <c r="J492" s="21">
        <v>45870</v>
      </c>
      <c r="L492" t="s">
        <v>1409</v>
      </c>
      <c r="M492" t="s">
        <v>1030</v>
      </c>
      <c r="O492" t="s">
        <v>220</v>
      </c>
      <c r="P492">
        <v>0</v>
      </c>
      <c r="R492">
        <v>0.15</v>
      </c>
      <c r="S492">
        <v>0</v>
      </c>
      <c r="U492" t="s">
        <v>1410</v>
      </c>
      <c r="V492" t="s">
        <v>1410</v>
      </c>
      <c r="W492" t="s">
        <v>496</v>
      </c>
      <c r="Y492" t="s">
        <v>438</v>
      </c>
      <c r="AA492">
        <v>21.83</v>
      </c>
      <c r="AB492">
        <v>0</v>
      </c>
      <c r="AC492">
        <v>0</v>
      </c>
    </row>
    <row r="493" spans="2:29" ht="15" customHeight="1" x14ac:dyDescent="0.15">
      <c r="B493">
        <v>4</v>
      </c>
      <c r="D493" t="s">
        <v>1408</v>
      </c>
      <c r="E493">
        <v>2</v>
      </c>
      <c r="F493" t="s">
        <v>219</v>
      </c>
      <c r="G493" t="s">
        <v>439</v>
      </c>
      <c r="H493" t="s">
        <v>849</v>
      </c>
      <c r="I493">
        <v>31</v>
      </c>
      <c r="J493" s="21">
        <v>45870</v>
      </c>
      <c r="L493" t="s">
        <v>1411</v>
      </c>
      <c r="M493" t="s">
        <v>851</v>
      </c>
      <c r="O493" t="s">
        <v>220</v>
      </c>
      <c r="P493">
        <v>0</v>
      </c>
      <c r="R493">
        <v>4</v>
      </c>
      <c r="S493">
        <v>0</v>
      </c>
      <c r="U493" t="s">
        <v>1410</v>
      </c>
      <c r="V493" t="s">
        <v>1410</v>
      </c>
      <c r="W493" t="s">
        <v>496</v>
      </c>
      <c r="Y493" t="s">
        <v>438</v>
      </c>
      <c r="AA493">
        <v>24.21</v>
      </c>
      <c r="AB493">
        <v>0</v>
      </c>
      <c r="AC493">
        <v>0</v>
      </c>
    </row>
    <row r="494" spans="2:29" ht="15" customHeight="1" x14ac:dyDescent="0.15">
      <c r="B494">
        <v>4</v>
      </c>
      <c r="D494" t="s">
        <v>1408</v>
      </c>
      <c r="E494">
        <v>3</v>
      </c>
      <c r="F494" t="s">
        <v>219</v>
      </c>
      <c r="G494" t="s">
        <v>218</v>
      </c>
      <c r="H494" t="s">
        <v>1175</v>
      </c>
      <c r="I494">
        <v>31</v>
      </c>
      <c r="J494" s="21">
        <v>45870</v>
      </c>
      <c r="L494" t="s">
        <v>1412</v>
      </c>
      <c r="M494" t="s">
        <v>1177</v>
      </c>
      <c r="O494" t="s">
        <v>220</v>
      </c>
      <c r="P494">
        <v>0</v>
      </c>
      <c r="R494">
        <v>0.1</v>
      </c>
      <c r="S494">
        <v>0</v>
      </c>
      <c r="U494" t="s">
        <v>1410</v>
      </c>
      <c r="V494" t="s">
        <v>1410</v>
      </c>
      <c r="W494" t="s">
        <v>496</v>
      </c>
      <c r="Y494" t="s">
        <v>438</v>
      </c>
      <c r="AA494">
        <v>177</v>
      </c>
      <c r="AB494">
        <v>0</v>
      </c>
      <c r="AC494">
        <v>0</v>
      </c>
    </row>
    <row r="495" spans="2:29" ht="15" customHeight="1" x14ac:dyDescent="0.15">
      <c r="B495">
        <v>4</v>
      </c>
      <c r="C495" t="s">
        <v>386</v>
      </c>
      <c r="D495" t="s">
        <v>1413</v>
      </c>
      <c r="E495">
        <v>1</v>
      </c>
      <c r="F495" t="s">
        <v>416</v>
      </c>
      <c r="G495" t="s">
        <v>1036</v>
      </c>
      <c r="H495" t="s">
        <v>562</v>
      </c>
      <c r="I495">
        <v>31</v>
      </c>
      <c r="J495" s="21">
        <v>45870</v>
      </c>
      <c r="K495" s="21">
        <v>45870</v>
      </c>
      <c r="L495" t="s">
        <v>1414</v>
      </c>
      <c r="M495" t="s">
        <v>1038</v>
      </c>
      <c r="O495" t="s">
        <v>226</v>
      </c>
      <c r="P495">
        <v>1</v>
      </c>
      <c r="Q495">
        <v>1</v>
      </c>
      <c r="R495">
        <v>53.7</v>
      </c>
      <c r="S495">
        <v>53.7</v>
      </c>
      <c r="T495">
        <v>53.7</v>
      </c>
      <c r="U495" t="s">
        <v>391</v>
      </c>
      <c r="V495" t="s">
        <v>392</v>
      </c>
      <c r="W495" t="s">
        <v>392</v>
      </c>
      <c r="X495">
        <v>1</v>
      </c>
      <c r="Y495" t="s">
        <v>893</v>
      </c>
      <c r="AA495">
        <v>6.7</v>
      </c>
      <c r="AB495">
        <v>359.79</v>
      </c>
      <c r="AC495">
        <v>359.79</v>
      </c>
    </row>
    <row r="496" spans="2:29" ht="15" customHeight="1" x14ac:dyDescent="0.15">
      <c r="B496">
        <v>4</v>
      </c>
      <c r="C496" t="s">
        <v>386</v>
      </c>
      <c r="D496" t="s">
        <v>1415</v>
      </c>
      <c r="E496">
        <v>1</v>
      </c>
      <c r="F496" t="s">
        <v>219</v>
      </c>
      <c r="G496" t="s">
        <v>218</v>
      </c>
      <c r="H496" t="s">
        <v>397</v>
      </c>
      <c r="I496">
        <v>31</v>
      </c>
      <c r="J496" s="21">
        <v>45870</v>
      </c>
      <c r="K496" s="21">
        <v>45870</v>
      </c>
      <c r="L496" t="s">
        <v>1416</v>
      </c>
      <c r="M496" t="s">
        <v>454</v>
      </c>
      <c r="O496" t="s">
        <v>220</v>
      </c>
      <c r="P496">
        <v>1</v>
      </c>
      <c r="Q496">
        <v>1</v>
      </c>
      <c r="R496">
        <v>1</v>
      </c>
      <c r="S496">
        <v>1</v>
      </c>
      <c r="T496">
        <v>1</v>
      </c>
      <c r="U496" t="s">
        <v>391</v>
      </c>
      <c r="V496" t="s">
        <v>392</v>
      </c>
      <c r="W496" t="s">
        <v>392</v>
      </c>
      <c r="X496">
        <v>1</v>
      </c>
      <c r="Y496" t="s">
        <v>1417</v>
      </c>
      <c r="AA496">
        <v>686.05</v>
      </c>
      <c r="AB496">
        <v>686.05</v>
      </c>
      <c r="AC496">
        <v>686.05</v>
      </c>
    </row>
    <row r="497" spans="2:29" ht="15" customHeight="1" x14ac:dyDescent="0.15">
      <c r="B497">
        <v>4</v>
      </c>
      <c r="C497" t="s">
        <v>386</v>
      </c>
      <c r="D497" t="s">
        <v>1415</v>
      </c>
      <c r="E497">
        <v>2</v>
      </c>
      <c r="F497" t="s">
        <v>219</v>
      </c>
      <c r="G497" t="s">
        <v>218</v>
      </c>
      <c r="H497" t="s">
        <v>1366</v>
      </c>
      <c r="I497">
        <v>31</v>
      </c>
      <c r="J497" s="21">
        <v>45870</v>
      </c>
      <c r="K497" s="21">
        <v>45870</v>
      </c>
      <c r="L497" t="s">
        <v>1418</v>
      </c>
      <c r="M497" t="s">
        <v>1368</v>
      </c>
      <c r="O497" t="s">
        <v>220</v>
      </c>
      <c r="P497">
        <v>1</v>
      </c>
      <c r="Q497">
        <v>1</v>
      </c>
      <c r="R497">
        <v>1</v>
      </c>
      <c r="S497">
        <v>1</v>
      </c>
      <c r="T497">
        <v>1</v>
      </c>
      <c r="U497" t="s">
        <v>391</v>
      </c>
      <c r="V497" t="s">
        <v>392</v>
      </c>
      <c r="W497" t="s">
        <v>392</v>
      </c>
      <c r="X497">
        <v>1</v>
      </c>
      <c r="Y497" t="s">
        <v>1417</v>
      </c>
      <c r="AA497">
        <v>784.7</v>
      </c>
      <c r="AB497">
        <v>784.7</v>
      </c>
      <c r="AC497">
        <v>784.7</v>
      </c>
    </row>
    <row r="498" spans="2:29" ht="15" customHeight="1" x14ac:dyDescent="0.15">
      <c r="B498">
        <v>4</v>
      </c>
      <c r="C498" t="s">
        <v>386</v>
      </c>
      <c r="D498" t="s">
        <v>1419</v>
      </c>
      <c r="E498">
        <v>1</v>
      </c>
      <c r="F498" t="s">
        <v>219</v>
      </c>
      <c r="G498" t="s">
        <v>231</v>
      </c>
      <c r="H498" t="s">
        <v>433</v>
      </c>
      <c r="I498">
        <v>31</v>
      </c>
      <c r="J498" s="21">
        <v>45870</v>
      </c>
      <c r="K498" s="21">
        <v>45873</v>
      </c>
      <c r="L498" t="s">
        <v>1420</v>
      </c>
      <c r="M498" t="s">
        <v>1030</v>
      </c>
      <c r="O498" t="s">
        <v>220</v>
      </c>
      <c r="P498">
        <v>0</v>
      </c>
      <c r="R498">
        <v>0.12</v>
      </c>
      <c r="S498">
        <v>6.0000000000000001E-3</v>
      </c>
      <c r="U498" t="s">
        <v>982</v>
      </c>
      <c r="V498" t="s">
        <v>982</v>
      </c>
      <c r="W498" t="s">
        <v>496</v>
      </c>
      <c r="Y498" t="s">
        <v>1421</v>
      </c>
      <c r="AA498">
        <v>21.83</v>
      </c>
      <c r="AB498">
        <v>0.13</v>
      </c>
      <c r="AC498">
        <v>0</v>
      </c>
    </row>
    <row r="499" spans="2:29" ht="15" customHeight="1" x14ac:dyDescent="0.15">
      <c r="B499">
        <v>4</v>
      </c>
      <c r="C499" t="s">
        <v>386</v>
      </c>
      <c r="D499" t="s">
        <v>1419</v>
      </c>
      <c r="E499">
        <v>2</v>
      </c>
      <c r="F499" t="s">
        <v>219</v>
      </c>
      <c r="G499" t="s">
        <v>218</v>
      </c>
      <c r="H499" t="s">
        <v>1422</v>
      </c>
      <c r="I499">
        <v>31</v>
      </c>
      <c r="J499" s="21">
        <v>45870</v>
      </c>
      <c r="K499" s="21">
        <v>45873</v>
      </c>
      <c r="L499" t="s">
        <v>1423</v>
      </c>
      <c r="M499" t="s">
        <v>1424</v>
      </c>
      <c r="O499" t="s">
        <v>220</v>
      </c>
      <c r="P499">
        <v>0</v>
      </c>
      <c r="R499">
        <v>0.15</v>
      </c>
      <c r="S499">
        <v>8.0000000000000002E-3</v>
      </c>
      <c r="U499" t="s">
        <v>982</v>
      </c>
      <c r="V499" t="s">
        <v>982</v>
      </c>
      <c r="W499" t="s">
        <v>496</v>
      </c>
      <c r="Y499" t="s">
        <v>1421</v>
      </c>
      <c r="AA499">
        <v>489.99</v>
      </c>
      <c r="AB499">
        <v>3.67</v>
      </c>
      <c r="AC499">
        <v>0</v>
      </c>
    </row>
    <row r="500" spans="2:29" ht="15" customHeight="1" x14ac:dyDescent="0.15">
      <c r="B500">
        <v>4</v>
      </c>
      <c r="C500" t="s">
        <v>386</v>
      </c>
      <c r="D500" t="s">
        <v>1419</v>
      </c>
      <c r="E500">
        <v>3</v>
      </c>
      <c r="F500" t="s">
        <v>219</v>
      </c>
      <c r="G500" t="s">
        <v>244</v>
      </c>
      <c r="H500" t="s">
        <v>571</v>
      </c>
      <c r="I500">
        <v>31</v>
      </c>
      <c r="J500" s="21">
        <v>45870</v>
      </c>
      <c r="K500" s="21">
        <v>45873</v>
      </c>
      <c r="L500" t="s">
        <v>1425</v>
      </c>
      <c r="M500" t="s">
        <v>573</v>
      </c>
      <c r="O500" t="s">
        <v>220</v>
      </c>
      <c r="P500">
        <v>0</v>
      </c>
      <c r="R500">
        <v>0.5</v>
      </c>
      <c r="S500">
        <v>2.5000000000000001E-2</v>
      </c>
      <c r="U500" t="s">
        <v>982</v>
      </c>
      <c r="V500" t="s">
        <v>982</v>
      </c>
      <c r="W500" t="s">
        <v>496</v>
      </c>
      <c r="Y500" t="s">
        <v>1421</v>
      </c>
      <c r="AA500">
        <v>73.98</v>
      </c>
      <c r="AB500">
        <v>1.85</v>
      </c>
      <c r="AC500">
        <v>0</v>
      </c>
    </row>
    <row r="501" spans="2:29" ht="15" customHeight="1" x14ac:dyDescent="0.15">
      <c r="B501">
        <v>4</v>
      </c>
      <c r="C501" t="s">
        <v>386</v>
      </c>
      <c r="D501" t="s">
        <v>1419</v>
      </c>
      <c r="E501">
        <v>4</v>
      </c>
      <c r="F501" t="s">
        <v>219</v>
      </c>
      <c r="G501" t="s">
        <v>218</v>
      </c>
      <c r="H501" t="s">
        <v>686</v>
      </c>
      <c r="I501">
        <v>31</v>
      </c>
      <c r="J501" s="21">
        <v>45870</v>
      </c>
      <c r="K501" s="21">
        <v>45873</v>
      </c>
      <c r="L501" t="s">
        <v>1426</v>
      </c>
      <c r="M501" t="s">
        <v>1219</v>
      </c>
      <c r="O501" t="s">
        <v>220</v>
      </c>
      <c r="P501">
        <v>0</v>
      </c>
      <c r="R501">
        <v>0.15</v>
      </c>
      <c r="S501">
        <v>8.0000000000000002E-3</v>
      </c>
      <c r="U501" t="s">
        <v>982</v>
      </c>
      <c r="V501" t="s">
        <v>982</v>
      </c>
      <c r="W501" t="s">
        <v>496</v>
      </c>
      <c r="Y501" t="s">
        <v>1421</v>
      </c>
      <c r="AA501">
        <v>163</v>
      </c>
      <c r="AB501">
        <v>1.22</v>
      </c>
      <c r="AC501">
        <v>0</v>
      </c>
    </row>
    <row r="502" spans="2:29" ht="15" customHeight="1" x14ac:dyDescent="0.15">
      <c r="B502">
        <v>4</v>
      </c>
      <c r="C502" t="s">
        <v>386</v>
      </c>
      <c r="D502" t="s">
        <v>1427</v>
      </c>
      <c r="E502">
        <v>1</v>
      </c>
      <c r="F502" t="s">
        <v>201</v>
      </c>
      <c r="G502" t="s">
        <v>337</v>
      </c>
      <c r="H502" t="s">
        <v>1123</v>
      </c>
      <c r="I502">
        <v>31</v>
      </c>
      <c r="J502" s="21">
        <v>45871</v>
      </c>
      <c r="K502" s="21">
        <v>45873</v>
      </c>
      <c r="L502" t="s">
        <v>1428</v>
      </c>
      <c r="M502" t="s">
        <v>1125</v>
      </c>
      <c r="O502" t="s">
        <v>226</v>
      </c>
      <c r="P502">
        <v>0</v>
      </c>
      <c r="R502">
        <v>4</v>
      </c>
      <c r="S502">
        <v>0.16</v>
      </c>
      <c r="U502" t="s">
        <v>982</v>
      </c>
      <c r="V502" t="s">
        <v>982</v>
      </c>
      <c r="W502" t="s">
        <v>496</v>
      </c>
      <c r="Y502" t="s">
        <v>1126</v>
      </c>
      <c r="AA502">
        <v>0.78</v>
      </c>
      <c r="AB502">
        <v>0.12</v>
      </c>
      <c r="AC502">
        <v>0</v>
      </c>
    </row>
    <row r="503" spans="2:29" ht="15" customHeight="1" x14ac:dyDescent="0.15">
      <c r="B503">
        <v>4</v>
      </c>
      <c r="C503" t="s">
        <v>386</v>
      </c>
      <c r="D503" t="s">
        <v>1427</v>
      </c>
      <c r="E503">
        <v>2</v>
      </c>
      <c r="F503" t="s">
        <v>201</v>
      </c>
      <c r="G503" t="s">
        <v>337</v>
      </c>
      <c r="H503" t="s">
        <v>475</v>
      </c>
      <c r="I503">
        <v>31</v>
      </c>
      <c r="J503" s="21">
        <v>45871</v>
      </c>
      <c r="K503" s="21">
        <v>45873</v>
      </c>
      <c r="L503" t="s">
        <v>1429</v>
      </c>
      <c r="M503" t="s">
        <v>477</v>
      </c>
      <c r="O503" t="s">
        <v>226</v>
      </c>
      <c r="P503">
        <v>0</v>
      </c>
      <c r="R503">
        <v>10</v>
      </c>
      <c r="S503">
        <v>0.4</v>
      </c>
      <c r="U503" t="s">
        <v>982</v>
      </c>
      <c r="V503" t="s">
        <v>982</v>
      </c>
      <c r="W503" t="s">
        <v>496</v>
      </c>
      <c r="Y503" t="s">
        <v>1126</v>
      </c>
      <c r="AA503">
        <v>4.88</v>
      </c>
      <c r="AB503">
        <v>1.95</v>
      </c>
      <c r="AC503">
        <v>0</v>
      </c>
    </row>
    <row r="504" spans="2:29" ht="15" customHeight="1" x14ac:dyDescent="0.15">
      <c r="B504">
        <v>4</v>
      </c>
      <c r="C504" t="s">
        <v>386</v>
      </c>
      <c r="D504" t="s">
        <v>1427</v>
      </c>
      <c r="E504">
        <v>3</v>
      </c>
      <c r="F504" t="s">
        <v>201</v>
      </c>
      <c r="G504" t="s">
        <v>337</v>
      </c>
      <c r="H504" t="s">
        <v>1128</v>
      </c>
      <c r="I504">
        <v>31</v>
      </c>
      <c r="J504" s="21">
        <v>45871</v>
      </c>
      <c r="K504" s="21">
        <v>45873</v>
      </c>
      <c r="L504" t="s">
        <v>1430</v>
      </c>
      <c r="M504" t="s">
        <v>1130</v>
      </c>
      <c r="O504" t="s">
        <v>226</v>
      </c>
      <c r="P504">
        <v>0</v>
      </c>
      <c r="R504">
        <v>0.5</v>
      </c>
      <c r="S504">
        <v>0.02</v>
      </c>
      <c r="U504" t="s">
        <v>982</v>
      </c>
      <c r="V504" t="s">
        <v>982</v>
      </c>
      <c r="W504" t="s">
        <v>496</v>
      </c>
      <c r="Y504" t="s">
        <v>1126</v>
      </c>
      <c r="AA504">
        <v>5.61</v>
      </c>
      <c r="AB504">
        <v>0.11</v>
      </c>
      <c r="AC504">
        <v>0</v>
      </c>
    </row>
    <row r="505" spans="2:29" ht="15" customHeight="1" x14ac:dyDescent="0.15">
      <c r="B505">
        <v>4</v>
      </c>
      <c r="C505" t="s">
        <v>386</v>
      </c>
      <c r="D505" t="s">
        <v>1427</v>
      </c>
      <c r="E505">
        <v>4</v>
      </c>
      <c r="F505" t="s">
        <v>201</v>
      </c>
      <c r="G505" t="s">
        <v>470</v>
      </c>
      <c r="H505" t="s">
        <v>471</v>
      </c>
      <c r="I505">
        <v>31</v>
      </c>
      <c r="J505" s="21">
        <v>45871</v>
      </c>
      <c r="K505" s="21">
        <v>45873</v>
      </c>
      <c r="L505" t="s">
        <v>1431</v>
      </c>
      <c r="M505" t="s">
        <v>473</v>
      </c>
      <c r="O505" t="s">
        <v>226</v>
      </c>
      <c r="P505">
        <v>0</v>
      </c>
      <c r="R505">
        <v>5</v>
      </c>
      <c r="S505">
        <v>0.2</v>
      </c>
      <c r="U505" t="s">
        <v>982</v>
      </c>
      <c r="V505" t="s">
        <v>982</v>
      </c>
      <c r="W505" t="s">
        <v>496</v>
      </c>
      <c r="Y505" t="s">
        <v>1126</v>
      </c>
      <c r="AA505">
        <v>2.16</v>
      </c>
      <c r="AB505">
        <v>0.43</v>
      </c>
      <c r="AC505">
        <v>0</v>
      </c>
    </row>
    <row r="506" spans="2:29" ht="15" customHeight="1" x14ac:dyDescent="0.15">
      <c r="B506">
        <v>4</v>
      </c>
      <c r="C506" t="s">
        <v>386</v>
      </c>
      <c r="D506" t="s">
        <v>1427</v>
      </c>
      <c r="E506">
        <v>5</v>
      </c>
      <c r="F506" t="s">
        <v>201</v>
      </c>
      <c r="G506" t="s">
        <v>337</v>
      </c>
      <c r="H506" t="s">
        <v>1132</v>
      </c>
      <c r="I506">
        <v>31</v>
      </c>
      <c r="J506" s="21">
        <v>45871</v>
      </c>
      <c r="K506" s="21">
        <v>45873</v>
      </c>
      <c r="L506" t="s">
        <v>1432</v>
      </c>
      <c r="M506" t="s">
        <v>1134</v>
      </c>
      <c r="O506" t="s">
        <v>226</v>
      </c>
      <c r="P506">
        <v>0</v>
      </c>
      <c r="R506">
        <v>5</v>
      </c>
      <c r="S506">
        <v>0.2</v>
      </c>
      <c r="U506" t="s">
        <v>982</v>
      </c>
      <c r="V506" t="s">
        <v>982</v>
      </c>
      <c r="W506" t="s">
        <v>496</v>
      </c>
      <c r="Y506" t="s">
        <v>1126</v>
      </c>
      <c r="AA506">
        <v>5.28</v>
      </c>
      <c r="AB506">
        <v>1.06</v>
      </c>
      <c r="AC506">
        <v>0</v>
      </c>
    </row>
    <row r="507" spans="2:29" ht="15" customHeight="1" x14ac:dyDescent="0.15">
      <c r="B507">
        <v>4</v>
      </c>
      <c r="C507" t="s">
        <v>386</v>
      </c>
      <c r="D507" t="s">
        <v>1427</v>
      </c>
      <c r="E507">
        <v>6</v>
      </c>
      <c r="F507" t="s">
        <v>201</v>
      </c>
      <c r="G507" t="s">
        <v>337</v>
      </c>
      <c r="H507" t="s">
        <v>921</v>
      </c>
      <c r="I507">
        <v>31</v>
      </c>
      <c r="J507" s="21">
        <v>45871</v>
      </c>
      <c r="K507" s="21">
        <v>45873</v>
      </c>
      <c r="L507" t="s">
        <v>1433</v>
      </c>
      <c r="M507" t="s">
        <v>923</v>
      </c>
      <c r="O507" t="s">
        <v>226</v>
      </c>
      <c r="P507">
        <v>0</v>
      </c>
      <c r="R507">
        <v>10</v>
      </c>
      <c r="S507">
        <v>0.4</v>
      </c>
      <c r="U507" t="s">
        <v>982</v>
      </c>
      <c r="V507" t="s">
        <v>982</v>
      </c>
      <c r="W507" t="s">
        <v>496</v>
      </c>
      <c r="Y507" t="s">
        <v>1126</v>
      </c>
      <c r="AA507">
        <v>7.37</v>
      </c>
      <c r="AB507">
        <v>2.95</v>
      </c>
      <c r="AC507">
        <v>0</v>
      </c>
    </row>
    <row r="508" spans="2:29" ht="15" customHeight="1" x14ac:dyDescent="0.15">
      <c r="B508">
        <v>4</v>
      </c>
      <c r="C508" t="s">
        <v>386</v>
      </c>
      <c r="D508" t="s">
        <v>1434</v>
      </c>
      <c r="E508">
        <v>1</v>
      </c>
      <c r="F508" t="s">
        <v>416</v>
      </c>
      <c r="I508">
        <v>32</v>
      </c>
      <c r="J508" s="21">
        <v>45873</v>
      </c>
      <c r="K508" s="21">
        <v>45873</v>
      </c>
      <c r="L508" t="s">
        <v>1435</v>
      </c>
      <c r="M508" t="s">
        <v>1436</v>
      </c>
      <c r="O508" t="s">
        <v>500</v>
      </c>
      <c r="P508">
        <v>1</v>
      </c>
      <c r="R508">
        <v>4</v>
      </c>
      <c r="S508">
        <v>4</v>
      </c>
      <c r="U508" t="s">
        <v>1437</v>
      </c>
      <c r="V508" t="s">
        <v>392</v>
      </c>
      <c r="Y508" t="s">
        <v>1438</v>
      </c>
      <c r="AA508">
        <v>9.7200000000000006</v>
      </c>
      <c r="AB508">
        <v>38.880000000000003</v>
      </c>
      <c r="AC508">
        <v>0</v>
      </c>
    </row>
    <row r="509" spans="2:29" ht="15" customHeight="1" x14ac:dyDescent="0.15">
      <c r="B509">
        <v>4</v>
      </c>
      <c r="C509" t="s">
        <v>386</v>
      </c>
      <c r="D509" t="s">
        <v>1434</v>
      </c>
      <c r="E509">
        <v>2</v>
      </c>
      <c r="F509" t="s">
        <v>416</v>
      </c>
      <c r="G509" t="s">
        <v>416</v>
      </c>
      <c r="H509" t="s">
        <v>416</v>
      </c>
      <c r="I509">
        <v>32</v>
      </c>
      <c r="J509" s="21">
        <v>45873</v>
      </c>
      <c r="K509" s="21">
        <v>45873</v>
      </c>
      <c r="L509" t="s">
        <v>1439</v>
      </c>
      <c r="M509" t="s">
        <v>1440</v>
      </c>
      <c r="O509" t="s">
        <v>1441</v>
      </c>
      <c r="P509">
        <v>1</v>
      </c>
      <c r="R509">
        <v>1</v>
      </c>
      <c r="S509">
        <v>1</v>
      </c>
      <c r="V509" t="s">
        <v>1442</v>
      </c>
      <c r="Y509" t="s">
        <v>1438</v>
      </c>
      <c r="AB509">
        <v>0</v>
      </c>
      <c r="AC509">
        <v>0</v>
      </c>
    </row>
    <row r="510" spans="2:29" ht="15" customHeight="1" x14ac:dyDescent="0.15">
      <c r="B510">
        <v>4</v>
      </c>
      <c r="C510" t="s">
        <v>386</v>
      </c>
      <c r="D510" t="s">
        <v>1434</v>
      </c>
      <c r="E510">
        <v>3</v>
      </c>
      <c r="F510" t="s">
        <v>416</v>
      </c>
      <c r="G510" t="s">
        <v>416</v>
      </c>
      <c r="H510" t="s">
        <v>416</v>
      </c>
      <c r="I510">
        <v>32</v>
      </c>
      <c r="J510" s="21">
        <v>45873</v>
      </c>
      <c r="K510" s="21">
        <v>45873</v>
      </c>
      <c r="L510" t="s">
        <v>1443</v>
      </c>
      <c r="M510" t="s">
        <v>1444</v>
      </c>
      <c r="O510" t="s">
        <v>500</v>
      </c>
      <c r="P510">
        <v>1</v>
      </c>
      <c r="R510">
        <v>5</v>
      </c>
      <c r="S510">
        <v>5</v>
      </c>
      <c r="V510" t="s">
        <v>392</v>
      </c>
      <c r="Y510" t="s">
        <v>1438</v>
      </c>
      <c r="AA510">
        <v>7.5</v>
      </c>
      <c r="AB510">
        <v>37.5</v>
      </c>
      <c r="AC510">
        <v>0</v>
      </c>
    </row>
    <row r="511" spans="2:29" ht="15" customHeight="1" x14ac:dyDescent="0.15">
      <c r="B511">
        <v>4</v>
      </c>
      <c r="C511" t="s">
        <v>386</v>
      </c>
      <c r="D511" t="s">
        <v>1434</v>
      </c>
      <c r="E511">
        <v>4</v>
      </c>
      <c r="F511" t="s">
        <v>219</v>
      </c>
      <c r="G511" t="s">
        <v>218</v>
      </c>
      <c r="H511" t="s">
        <v>413</v>
      </c>
      <c r="I511">
        <v>32</v>
      </c>
      <c r="J511" s="21">
        <v>45873</v>
      </c>
      <c r="K511" s="21">
        <v>45873</v>
      </c>
      <c r="L511" t="s">
        <v>1445</v>
      </c>
      <c r="M511" t="s">
        <v>415</v>
      </c>
      <c r="O511" t="s">
        <v>220</v>
      </c>
      <c r="P511">
        <v>1</v>
      </c>
      <c r="R511">
        <v>7.8E-2</v>
      </c>
      <c r="S511">
        <v>7.8E-2</v>
      </c>
      <c r="V511" t="s">
        <v>392</v>
      </c>
      <c r="Y511" t="s">
        <v>1438</v>
      </c>
      <c r="AA511">
        <v>233.05</v>
      </c>
      <c r="AB511">
        <v>18.18</v>
      </c>
      <c r="AC511">
        <v>0</v>
      </c>
    </row>
    <row r="512" spans="2:29" ht="15" customHeight="1" x14ac:dyDescent="0.15">
      <c r="B512">
        <v>4</v>
      </c>
      <c r="C512" t="s">
        <v>386</v>
      </c>
      <c r="D512" t="s">
        <v>1434</v>
      </c>
      <c r="E512">
        <v>5</v>
      </c>
      <c r="F512" t="s">
        <v>219</v>
      </c>
      <c r="G512" t="s">
        <v>239</v>
      </c>
      <c r="H512" t="s">
        <v>1446</v>
      </c>
      <c r="I512">
        <v>32</v>
      </c>
      <c r="J512" s="21">
        <v>45873</v>
      </c>
      <c r="K512" s="21">
        <v>45873</v>
      </c>
      <c r="L512" t="s">
        <v>1447</v>
      </c>
      <c r="M512" t="s">
        <v>1448</v>
      </c>
      <c r="O512" t="s">
        <v>220</v>
      </c>
      <c r="P512">
        <v>1</v>
      </c>
      <c r="R512">
        <v>0.2</v>
      </c>
      <c r="S512">
        <v>0.2</v>
      </c>
      <c r="V512" t="s">
        <v>392</v>
      </c>
      <c r="Y512" t="s">
        <v>1438</v>
      </c>
      <c r="AA512">
        <v>21</v>
      </c>
      <c r="AB512">
        <v>4.2</v>
      </c>
      <c r="AC512">
        <v>0</v>
      </c>
    </row>
    <row r="513" spans="2:29" ht="15" customHeight="1" x14ac:dyDescent="0.15">
      <c r="B513">
        <v>4</v>
      </c>
      <c r="C513" t="s">
        <v>386</v>
      </c>
      <c r="D513" t="s">
        <v>1434</v>
      </c>
      <c r="E513">
        <v>6</v>
      </c>
      <c r="F513" t="s">
        <v>219</v>
      </c>
      <c r="G513" t="s">
        <v>239</v>
      </c>
      <c r="H513" t="s">
        <v>1449</v>
      </c>
      <c r="I513">
        <v>32</v>
      </c>
      <c r="J513" s="21">
        <v>45873</v>
      </c>
      <c r="K513" s="21">
        <v>45873</v>
      </c>
      <c r="L513" t="s">
        <v>1450</v>
      </c>
      <c r="M513" t="s">
        <v>1451</v>
      </c>
      <c r="O513" t="s">
        <v>220</v>
      </c>
      <c r="P513">
        <v>1</v>
      </c>
      <c r="R513">
        <v>0.15</v>
      </c>
      <c r="S513">
        <v>0.15</v>
      </c>
      <c r="V513" t="s">
        <v>392</v>
      </c>
      <c r="Y513" t="s">
        <v>1438</v>
      </c>
      <c r="AA513">
        <v>80</v>
      </c>
      <c r="AB513">
        <v>12</v>
      </c>
      <c r="AC513">
        <v>0</v>
      </c>
    </row>
    <row r="514" spans="2:29" ht="15" customHeight="1" x14ac:dyDescent="0.15">
      <c r="B514">
        <v>4</v>
      </c>
      <c r="C514" t="s">
        <v>386</v>
      </c>
      <c r="D514" t="s">
        <v>1452</v>
      </c>
      <c r="E514">
        <v>1</v>
      </c>
      <c r="F514" t="s">
        <v>219</v>
      </c>
      <c r="G514" t="s">
        <v>231</v>
      </c>
      <c r="H514" t="s">
        <v>433</v>
      </c>
      <c r="I514">
        <v>32</v>
      </c>
      <c r="J514" s="21">
        <v>45873</v>
      </c>
      <c r="K514" s="21">
        <v>45874</v>
      </c>
      <c r="L514" t="s">
        <v>1453</v>
      </c>
      <c r="M514" t="s">
        <v>1030</v>
      </c>
      <c r="O514" t="s">
        <v>220</v>
      </c>
      <c r="P514">
        <v>2</v>
      </c>
      <c r="Q514">
        <v>1</v>
      </c>
      <c r="R514">
        <v>0.12</v>
      </c>
      <c r="S514">
        <v>0.20399999999999999</v>
      </c>
      <c r="T514">
        <v>0.12</v>
      </c>
      <c r="U514" t="s">
        <v>1246</v>
      </c>
      <c r="V514" t="s">
        <v>1247</v>
      </c>
      <c r="W514" t="s">
        <v>532</v>
      </c>
      <c r="X514">
        <v>1.7</v>
      </c>
      <c r="Y514" t="s">
        <v>455</v>
      </c>
      <c r="AA514">
        <v>21.83</v>
      </c>
      <c r="AB514">
        <v>4.45</v>
      </c>
      <c r="AC514">
        <v>2.62</v>
      </c>
    </row>
    <row r="515" spans="2:29" ht="15" customHeight="1" x14ac:dyDescent="0.15">
      <c r="B515">
        <v>4</v>
      </c>
      <c r="C515" t="s">
        <v>386</v>
      </c>
      <c r="D515" t="s">
        <v>1452</v>
      </c>
      <c r="E515">
        <v>2</v>
      </c>
      <c r="F515" t="s">
        <v>219</v>
      </c>
      <c r="G515" t="s">
        <v>218</v>
      </c>
      <c r="H515" t="s">
        <v>493</v>
      </c>
      <c r="I515">
        <v>32</v>
      </c>
      <c r="J515" s="21">
        <v>45873</v>
      </c>
      <c r="K515" s="21">
        <v>45874</v>
      </c>
      <c r="L515" t="s">
        <v>1454</v>
      </c>
      <c r="M515" t="s">
        <v>576</v>
      </c>
      <c r="O515" t="s">
        <v>220</v>
      </c>
      <c r="P515">
        <v>2</v>
      </c>
      <c r="Q515">
        <v>1</v>
      </c>
      <c r="R515">
        <v>0.2</v>
      </c>
      <c r="S515">
        <v>0.34</v>
      </c>
      <c r="T515">
        <v>0.2</v>
      </c>
      <c r="U515" t="s">
        <v>1246</v>
      </c>
      <c r="V515" t="s">
        <v>1247</v>
      </c>
      <c r="W515" t="s">
        <v>532</v>
      </c>
      <c r="X515">
        <v>1.7</v>
      </c>
      <c r="Y515" t="s">
        <v>455</v>
      </c>
      <c r="AA515">
        <v>101.77</v>
      </c>
      <c r="AB515">
        <v>34.6</v>
      </c>
      <c r="AC515">
        <v>20.350000000000001</v>
      </c>
    </row>
    <row r="516" spans="2:29" ht="15" customHeight="1" x14ac:dyDescent="0.15">
      <c r="B516">
        <v>4</v>
      </c>
      <c r="C516" t="s">
        <v>386</v>
      </c>
      <c r="D516" t="s">
        <v>1452</v>
      </c>
      <c r="E516">
        <v>3</v>
      </c>
      <c r="F516" t="s">
        <v>219</v>
      </c>
      <c r="G516" t="s">
        <v>239</v>
      </c>
      <c r="H516" t="s">
        <v>456</v>
      </c>
      <c r="I516">
        <v>32</v>
      </c>
      <c r="J516" s="21">
        <v>45873</v>
      </c>
      <c r="K516" s="21">
        <v>45874</v>
      </c>
      <c r="L516" t="s">
        <v>1455</v>
      </c>
      <c r="M516" t="s">
        <v>458</v>
      </c>
      <c r="O516" t="s">
        <v>220</v>
      </c>
      <c r="P516">
        <v>2</v>
      </c>
      <c r="Q516">
        <v>1</v>
      </c>
      <c r="R516">
        <v>3</v>
      </c>
      <c r="S516">
        <v>5.0999999999999996</v>
      </c>
      <c r="T516">
        <v>3</v>
      </c>
      <c r="U516" t="s">
        <v>1246</v>
      </c>
      <c r="V516" t="s">
        <v>1247</v>
      </c>
      <c r="W516" t="s">
        <v>532</v>
      </c>
      <c r="X516">
        <v>1.7</v>
      </c>
      <c r="Y516" t="s">
        <v>455</v>
      </c>
      <c r="AA516">
        <v>49.99</v>
      </c>
      <c r="AB516">
        <v>254.95</v>
      </c>
      <c r="AC516">
        <v>149.97</v>
      </c>
    </row>
    <row r="517" spans="2:29" ht="15" customHeight="1" x14ac:dyDescent="0.15">
      <c r="B517">
        <v>4</v>
      </c>
      <c r="C517" t="s">
        <v>386</v>
      </c>
      <c r="D517" t="s">
        <v>1452</v>
      </c>
      <c r="E517">
        <v>4</v>
      </c>
      <c r="F517" t="s">
        <v>219</v>
      </c>
      <c r="G517" t="s">
        <v>244</v>
      </c>
      <c r="H517" t="s">
        <v>591</v>
      </c>
      <c r="I517">
        <v>32</v>
      </c>
      <c r="J517" s="21">
        <v>45873</v>
      </c>
      <c r="K517" s="21">
        <v>45874</v>
      </c>
      <c r="L517" t="s">
        <v>1456</v>
      </c>
      <c r="M517" t="s">
        <v>593</v>
      </c>
      <c r="O517" t="s">
        <v>220</v>
      </c>
      <c r="P517">
        <v>2</v>
      </c>
      <c r="Q517">
        <v>1</v>
      </c>
      <c r="R517">
        <v>2</v>
      </c>
      <c r="S517">
        <v>3.4</v>
      </c>
      <c r="T517">
        <v>2</v>
      </c>
      <c r="U517" t="s">
        <v>1246</v>
      </c>
      <c r="V517" t="s">
        <v>1247</v>
      </c>
      <c r="W517" t="s">
        <v>532</v>
      </c>
      <c r="X517">
        <v>1.7</v>
      </c>
      <c r="Y517" t="s">
        <v>455</v>
      </c>
      <c r="AA517">
        <v>37.58</v>
      </c>
      <c r="AB517">
        <v>127.76</v>
      </c>
      <c r="AC517">
        <v>75.150000000000006</v>
      </c>
    </row>
    <row r="518" spans="2:29" ht="15" customHeight="1" x14ac:dyDescent="0.15">
      <c r="B518">
        <v>4</v>
      </c>
      <c r="C518" t="s">
        <v>386</v>
      </c>
      <c r="D518" t="s">
        <v>1452</v>
      </c>
      <c r="E518">
        <v>5</v>
      </c>
      <c r="F518" t="s">
        <v>219</v>
      </c>
      <c r="G518" t="s">
        <v>239</v>
      </c>
      <c r="H518" t="s">
        <v>602</v>
      </c>
      <c r="I518">
        <v>32</v>
      </c>
      <c r="J518" s="21">
        <v>45873</v>
      </c>
      <c r="K518" s="21">
        <v>45874</v>
      </c>
      <c r="L518" t="s">
        <v>1457</v>
      </c>
      <c r="M518" t="s">
        <v>258</v>
      </c>
      <c r="O518" t="s">
        <v>220</v>
      </c>
      <c r="P518">
        <v>2</v>
      </c>
      <c r="Q518">
        <v>1</v>
      </c>
      <c r="R518">
        <v>0.5</v>
      </c>
      <c r="S518">
        <v>0.85</v>
      </c>
      <c r="T518">
        <v>0.5</v>
      </c>
      <c r="U518" t="s">
        <v>1246</v>
      </c>
      <c r="V518" t="s">
        <v>1247</v>
      </c>
      <c r="W518" t="s">
        <v>532</v>
      </c>
      <c r="X518">
        <v>1.7</v>
      </c>
      <c r="Y518" t="s">
        <v>455</v>
      </c>
      <c r="AA518">
        <v>180</v>
      </c>
      <c r="AB518">
        <v>153</v>
      </c>
      <c r="AC518">
        <v>90</v>
      </c>
    </row>
    <row r="519" spans="2:29" ht="15" customHeight="1" x14ac:dyDescent="0.15">
      <c r="B519">
        <v>4</v>
      </c>
      <c r="C519" t="s">
        <v>386</v>
      </c>
      <c r="D519" t="s">
        <v>1458</v>
      </c>
      <c r="E519">
        <v>1</v>
      </c>
      <c r="F519" t="s">
        <v>416</v>
      </c>
      <c r="G519" t="s">
        <v>1036</v>
      </c>
      <c r="H519" t="s">
        <v>562</v>
      </c>
      <c r="I519">
        <v>32</v>
      </c>
      <c r="J519" s="21">
        <v>45873</v>
      </c>
      <c r="K519" s="21">
        <v>45873</v>
      </c>
      <c r="L519" t="s">
        <v>1459</v>
      </c>
      <c r="M519" t="s">
        <v>1038</v>
      </c>
      <c r="O519" t="s">
        <v>226</v>
      </c>
      <c r="P519">
        <v>1</v>
      </c>
      <c r="Q519">
        <v>1</v>
      </c>
      <c r="R519">
        <v>90.8</v>
      </c>
      <c r="S519">
        <v>90.8</v>
      </c>
      <c r="T519">
        <v>90.8</v>
      </c>
      <c r="U519" t="s">
        <v>391</v>
      </c>
      <c r="V519" t="s">
        <v>392</v>
      </c>
      <c r="W519" t="s">
        <v>392</v>
      </c>
      <c r="X519">
        <v>1</v>
      </c>
      <c r="Y519" t="s">
        <v>716</v>
      </c>
      <c r="AA519">
        <v>6.7</v>
      </c>
      <c r="AB519">
        <v>608.36</v>
      </c>
      <c r="AC519">
        <v>608.36</v>
      </c>
    </row>
    <row r="520" spans="2:29" ht="15" customHeight="1" x14ac:dyDescent="0.15">
      <c r="B520">
        <v>4</v>
      </c>
      <c r="C520" t="s">
        <v>386</v>
      </c>
      <c r="D520" t="s">
        <v>1460</v>
      </c>
      <c r="E520">
        <v>1</v>
      </c>
      <c r="F520" t="s">
        <v>416</v>
      </c>
      <c r="G520" t="s">
        <v>1036</v>
      </c>
      <c r="H520" t="s">
        <v>562</v>
      </c>
      <c r="I520">
        <v>32</v>
      </c>
      <c r="J520" s="21">
        <v>45873</v>
      </c>
      <c r="K520" s="21">
        <v>45873</v>
      </c>
      <c r="L520" t="s">
        <v>1461</v>
      </c>
      <c r="M520" t="s">
        <v>1038</v>
      </c>
      <c r="O520" t="s">
        <v>226</v>
      </c>
      <c r="P520">
        <v>1</v>
      </c>
      <c r="Q520">
        <v>1</v>
      </c>
      <c r="R520">
        <v>89.4</v>
      </c>
      <c r="S520">
        <v>89.4</v>
      </c>
      <c r="T520">
        <v>89.4</v>
      </c>
      <c r="U520" t="s">
        <v>391</v>
      </c>
      <c r="V520" t="s">
        <v>392</v>
      </c>
      <c r="W520" t="s">
        <v>392</v>
      </c>
      <c r="X520">
        <v>1</v>
      </c>
      <c r="Y520" t="s">
        <v>893</v>
      </c>
      <c r="AA520">
        <v>6.7</v>
      </c>
      <c r="AB520">
        <v>598.98</v>
      </c>
      <c r="AC520">
        <v>598.98</v>
      </c>
    </row>
    <row r="521" spans="2:29" ht="15" customHeight="1" x14ac:dyDescent="0.15">
      <c r="B521">
        <v>4</v>
      </c>
      <c r="C521" t="s">
        <v>386</v>
      </c>
      <c r="D521" t="s">
        <v>1462</v>
      </c>
      <c r="E521">
        <v>1</v>
      </c>
      <c r="F521" t="s">
        <v>219</v>
      </c>
      <c r="G521" t="s">
        <v>231</v>
      </c>
      <c r="H521" t="s">
        <v>433</v>
      </c>
      <c r="I521">
        <v>32</v>
      </c>
      <c r="J521" s="21">
        <v>45874</v>
      </c>
      <c r="K521" s="21">
        <v>45874</v>
      </c>
      <c r="L521" t="s">
        <v>1463</v>
      </c>
      <c r="M521" t="s">
        <v>1030</v>
      </c>
      <c r="O521" t="s">
        <v>220</v>
      </c>
      <c r="P521">
        <v>6</v>
      </c>
      <c r="Q521">
        <v>6</v>
      </c>
      <c r="R521">
        <v>0.15</v>
      </c>
      <c r="S521">
        <v>0.9</v>
      </c>
      <c r="T521">
        <v>0.9</v>
      </c>
      <c r="U521" t="s">
        <v>391</v>
      </c>
      <c r="V521" t="s">
        <v>392</v>
      </c>
      <c r="W521" t="s">
        <v>392</v>
      </c>
      <c r="X521">
        <v>1</v>
      </c>
      <c r="Y521" t="s">
        <v>893</v>
      </c>
      <c r="AA521">
        <v>21.83</v>
      </c>
      <c r="AB521">
        <v>19.649999999999999</v>
      </c>
      <c r="AC521">
        <v>19.649999999999999</v>
      </c>
    </row>
    <row r="522" spans="2:29" ht="15" customHeight="1" x14ac:dyDescent="0.15">
      <c r="B522">
        <v>4</v>
      </c>
      <c r="C522" t="s">
        <v>386</v>
      </c>
      <c r="D522" t="s">
        <v>1462</v>
      </c>
      <c r="E522">
        <v>2</v>
      </c>
      <c r="F522" t="s">
        <v>219</v>
      </c>
      <c r="G522" t="s">
        <v>218</v>
      </c>
      <c r="H522" t="s">
        <v>400</v>
      </c>
      <c r="I522">
        <v>32</v>
      </c>
      <c r="J522" s="21">
        <v>45874</v>
      </c>
      <c r="K522" s="21">
        <v>45874</v>
      </c>
      <c r="L522" t="s">
        <v>1464</v>
      </c>
      <c r="M522" t="s">
        <v>402</v>
      </c>
      <c r="O522" t="s">
        <v>226</v>
      </c>
      <c r="P522">
        <v>6</v>
      </c>
      <c r="Q522">
        <v>6</v>
      </c>
      <c r="R522">
        <v>0.1</v>
      </c>
      <c r="S522">
        <v>0.6</v>
      </c>
      <c r="T522">
        <v>0.6</v>
      </c>
      <c r="U522" t="s">
        <v>391</v>
      </c>
      <c r="V522" t="s">
        <v>392</v>
      </c>
      <c r="W522" t="s">
        <v>392</v>
      </c>
      <c r="X522">
        <v>1</v>
      </c>
      <c r="Y522" t="s">
        <v>893</v>
      </c>
      <c r="AA522">
        <v>217</v>
      </c>
      <c r="AB522">
        <v>130.19999999999999</v>
      </c>
      <c r="AC522">
        <v>130.19999999999999</v>
      </c>
    </row>
    <row r="523" spans="2:29" ht="15" customHeight="1" x14ac:dyDescent="0.15">
      <c r="B523">
        <v>4</v>
      </c>
      <c r="C523" t="s">
        <v>386</v>
      </c>
      <c r="D523" t="s">
        <v>1462</v>
      </c>
      <c r="E523">
        <v>3</v>
      </c>
      <c r="F523" t="s">
        <v>219</v>
      </c>
      <c r="G523" t="s">
        <v>218</v>
      </c>
      <c r="H523" t="s">
        <v>911</v>
      </c>
      <c r="I523">
        <v>32</v>
      </c>
      <c r="J523" s="21">
        <v>45874</v>
      </c>
      <c r="K523" s="21">
        <v>45874</v>
      </c>
      <c r="L523" t="s">
        <v>1465</v>
      </c>
      <c r="M523" t="s">
        <v>913</v>
      </c>
      <c r="O523" t="s">
        <v>220</v>
      </c>
      <c r="P523">
        <v>6</v>
      </c>
      <c r="Q523">
        <v>6</v>
      </c>
      <c r="R523">
        <v>0.25</v>
      </c>
      <c r="S523">
        <v>1.5</v>
      </c>
      <c r="T523">
        <v>1.5</v>
      </c>
      <c r="U523" t="s">
        <v>391</v>
      </c>
      <c r="V523" t="s">
        <v>392</v>
      </c>
      <c r="W523" t="s">
        <v>392</v>
      </c>
      <c r="X523">
        <v>1</v>
      </c>
      <c r="Y523" t="s">
        <v>893</v>
      </c>
      <c r="AA523">
        <v>91.24</v>
      </c>
      <c r="AB523">
        <v>136.86000000000001</v>
      </c>
      <c r="AC523">
        <v>136.86000000000001</v>
      </c>
    </row>
    <row r="524" spans="2:29" ht="15" customHeight="1" x14ac:dyDescent="0.15">
      <c r="B524">
        <v>4</v>
      </c>
      <c r="C524" t="s">
        <v>386</v>
      </c>
      <c r="D524" t="s">
        <v>1462</v>
      </c>
      <c r="E524">
        <v>4</v>
      </c>
      <c r="F524" t="s">
        <v>219</v>
      </c>
      <c r="G524" t="s">
        <v>244</v>
      </c>
      <c r="H524" t="s">
        <v>511</v>
      </c>
      <c r="I524">
        <v>32</v>
      </c>
      <c r="J524" s="21">
        <v>45874</v>
      </c>
      <c r="K524" s="21">
        <v>45874</v>
      </c>
      <c r="L524" t="s">
        <v>1466</v>
      </c>
      <c r="M524" t="s">
        <v>513</v>
      </c>
      <c r="O524" t="s">
        <v>226</v>
      </c>
      <c r="P524">
        <v>6</v>
      </c>
      <c r="Q524">
        <v>6</v>
      </c>
      <c r="R524">
        <v>0.2</v>
      </c>
      <c r="S524">
        <v>1.2</v>
      </c>
      <c r="T524">
        <v>1.2</v>
      </c>
      <c r="U524" t="s">
        <v>391</v>
      </c>
      <c r="V524" t="s">
        <v>392</v>
      </c>
      <c r="W524" t="s">
        <v>392</v>
      </c>
      <c r="X524">
        <v>1</v>
      </c>
      <c r="Y524" t="s">
        <v>893</v>
      </c>
      <c r="AA524">
        <v>813.56</v>
      </c>
      <c r="AB524">
        <v>976.27</v>
      </c>
      <c r="AC524">
        <v>976.27</v>
      </c>
    </row>
    <row r="525" spans="2:29" ht="15" customHeight="1" x14ac:dyDescent="0.15">
      <c r="B525">
        <v>4</v>
      </c>
      <c r="C525" t="s">
        <v>386</v>
      </c>
      <c r="D525" t="s">
        <v>1462</v>
      </c>
      <c r="E525">
        <v>5</v>
      </c>
      <c r="F525" t="s">
        <v>219</v>
      </c>
      <c r="G525" t="s">
        <v>244</v>
      </c>
      <c r="H525" t="s">
        <v>1467</v>
      </c>
      <c r="I525">
        <v>32</v>
      </c>
      <c r="J525" s="21">
        <v>45874</v>
      </c>
      <c r="K525" s="21">
        <v>45874</v>
      </c>
      <c r="L525" t="s">
        <v>1468</v>
      </c>
      <c r="M525" t="s">
        <v>1469</v>
      </c>
      <c r="O525" t="s">
        <v>220</v>
      </c>
      <c r="P525">
        <v>6</v>
      </c>
      <c r="Q525">
        <v>6</v>
      </c>
      <c r="R525">
        <v>0.5</v>
      </c>
      <c r="S525">
        <v>3</v>
      </c>
      <c r="T525">
        <v>3</v>
      </c>
      <c r="U525" t="s">
        <v>391</v>
      </c>
      <c r="V525" t="s">
        <v>392</v>
      </c>
      <c r="W525" t="s">
        <v>392</v>
      </c>
      <c r="X525">
        <v>1</v>
      </c>
      <c r="Y525" t="s">
        <v>893</v>
      </c>
      <c r="AA525">
        <v>15</v>
      </c>
      <c r="AB525">
        <v>45</v>
      </c>
      <c r="AC525">
        <v>45</v>
      </c>
    </row>
    <row r="526" spans="2:29" ht="15" customHeight="1" x14ac:dyDescent="0.15">
      <c r="B526">
        <v>4</v>
      </c>
      <c r="C526" t="s">
        <v>386</v>
      </c>
      <c r="D526" t="s">
        <v>1462</v>
      </c>
      <c r="E526">
        <v>6</v>
      </c>
      <c r="F526" t="s">
        <v>219</v>
      </c>
      <c r="G526" t="s">
        <v>218</v>
      </c>
      <c r="H526" t="s">
        <v>686</v>
      </c>
      <c r="I526">
        <v>32</v>
      </c>
      <c r="J526" s="21">
        <v>45874</v>
      </c>
      <c r="K526" s="21">
        <v>45874</v>
      </c>
      <c r="L526" t="s">
        <v>1470</v>
      </c>
      <c r="M526" t="s">
        <v>1219</v>
      </c>
      <c r="O526" t="s">
        <v>220</v>
      </c>
      <c r="P526">
        <v>6</v>
      </c>
      <c r="Q526">
        <v>6</v>
      </c>
      <c r="R526">
        <v>0.15</v>
      </c>
      <c r="S526">
        <v>0.9</v>
      </c>
      <c r="T526">
        <v>0.9</v>
      </c>
      <c r="U526" t="s">
        <v>391</v>
      </c>
      <c r="V526" t="s">
        <v>392</v>
      </c>
      <c r="W526" t="s">
        <v>392</v>
      </c>
      <c r="X526">
        <v>1</v>
      </c>
      <c r="Y526" t="s">
        <v>893</v>
      </c>
      <c r="AA526">
        <v>163</v>
      </c>
      <c r="AB526">
        <v>146.69999999999999</v>
      </c>
      <c r="AC526">
        <v>146.69999999999999</v>
      </c>
    </row>
    <row r="527" spans="2:29" ht="15" customHeight="1" x14ac:dyDescent="0.15">
      <c r="B527">
        <v>4</v>
      </c>
      <c r="C527" t="s">
        <v>386</v>
      </c>
      <c r="D527" t="s">
        <v>1471</v>
      </c>
      <c r="E527">
        <v>1</v>
      </c>
      <c r="F527" t="s">
        <v>219</v>
      </c>
      <c r="G527" t="s">
        <v>218</v>
      </c>
      <c r="H527" t="s">
        <v>1472</v>
      </c>
      <c r="I527">
        <v>32</v>
      </c>
      <c r="J527" s="21">
        <v>45874</v>
      </c>
      <c r="K527" s="21">
        <v>45874</v>
      </c>
      <c r="L527" t="s">
        <v>1473</v>
      </c>
      <c r="M527" t="s">
        <v>1474</v>
      </c>
      <c r="O527" t="s">
        <v>226</v>
      </c>
      <c r="P527">
        <v>1</v>
      </c>
      <c r="Q527">
        <v>1</v>
      </c>
      <c r="R527">
        <v>250</v>
      </c>
      <c r="S527">
        <v>250</v>
      </c>
      <c r="T527">
        <v>250</v>
      </c>
      <c r="U527" t="s">
        <v>391</v>
      </c>
      <c r="V527" t="s">
        <v>392</v>
      </c>
      <c r="W527" t="s">
        <v>392</v>
      </c>
      <c r="X527">
        <v>1</v>
      </c>
      <c r="Y527" t="s">
        <v>893</v>
      </c>
      <c r="AA527">
        <v>2.88</v>
      </c>
      <c r="AB527">
        <v>720</v>
      </c>
      <c r="AC527">
        <v>720</v>
      </c>
    </row>
    <row r="528" spans="2:29" ht="15" customHeight="1" x14ac:dyDescent="0.15">
      <c r="B528">
        <v>4</v>
      </c>
      <c r="C528" t="s">
        <v>386</v>
      </c>
      <c r="D528" t="s">
        <v>1475</v>
      </c>
      <c r="E528">
        <v>1</v>
      </c>
      <c r="F528" t="s">
        <v>219</v>
      </c>
      <c r="G528" t="s">
        <v>231</v>
      </c>
      <c r="H528" t="s">
        <v>433</v>
      </c>
      <c r="I528">
        <v>32</v>
      </c>
      <c r="J528" s="21">
        <v>45874</v>
      </c>
      <c r="K528" s="21">
        <v>45874</v>
      </c>
      <c r="L528" t="s">
        <v>1476</v>
      </c>
      <c r="M528" t="s">
        <v>1030</v>
      </c>
      <c r="O528" t="s">
        <v>220</v>
      </c>
      <c r="P528">
        <v>2</v>
      </c>
      <c r="Q528">
        <v>2</v>
      </c>
      <c r="R528">
        <v>0.15</v>
      </c>
      <c r="S528">
        <v>0.3</v>
      </c>
      <c r="T528">
        <v>0.3</v>
      </c>
      <c r="U528" t="s">
        <v>391</v>
      </c>
      <c r="V528" t="s">
        <v>392</v>
      </c>
      <c r="W528" t="s">
        <v>392</v>
      </c>
      <c r="X528">
        <v>1</v>
      </c>
      <c r="Y528" t="s">
        <v>1477</v>
      </c>
      <c r="AA528">
        <v>21.83</v>
      </c>
      <c r="AB528">
        <v>6.55</v>
      </c>
      <c r="AC528">
        <v>6.55</v>
      </c>
    </row>
    <row r="529" spans="2:29" ht="15" customHeight="1" x14ac:dyDescent="0.15">
      <c r="B529">
        <v>4</v>
      </c>
      <c r="C529" t="s">
        <v>386</v>
      </c>
      <c r="D529" t="s">
        <v>1475</v>
      </c>
      <c r="E529">
        <v>2</v>
      </c>
      <c r="F529" t="s">
        <v>219</v>
      </c>
      <c r="G529" t="s">
        <v>218</v>
      </c>
      <c r="H529" t="s">
        <v>400</v>
      </c>
      <c r="I529">
        <v>32</v>
      </c>
      <c r="J529" s="21">
        <v>45874</v>
      </c>
      <c r="K529" s="21">
        <v>45874</v>
      </c>
      <c r="L529" t="s">
        <v>1478</v>
      </c>
      <c r="M529" t="s">
        <v>402</v>
      </c>
      <c r="O529" t="s">
        <v>226</v>
      </c>
      <c r="P529">
        <v>2</v>
      </c>
      <c r="Q529">
        <v>2</v>
      </c>
      <c r="R529">
        <v>0.1</v>
      </c>
      <c r="S529">
        <v>0.2</v>
      </c>
      <c r="T529">
        <v>0.2</v>
      </c>
      <c r="U529" t="s">
        <v>391</v>
      </c>
      <c r="V529" t="s">
        <v>392</v>
      </c>
      <c r="W529" t="s">
        <v>392</v>
      </c>
      <c r="X529">
        <v>1</v>
      </c>
      <c r="Y529" t="s">
        <v>1477</v>
      </c>
      <c r="AA529">
        <v>217</v>
      </c>
      <c r="AB529">
        <v>43.4</v>
      </c>
      <c r="AC529">
        <v>43.4</v>
      </c>
    </row>
    <row r="530" spans="2:29" ht="15" customHeight="1" x14ac:dyDescent="0.15">
      <c r="B530">
        <v>4</v>
      </c>
      <c r="C530" t="s">
        <v>386</v>
      </c>
      <c r="D530" t="s">
        <v>1475</v>
      </c>
      <c r="E530">
        <v>3</v>
      </c>
      <c r="F530" t="s">
        <v>219</v>
      </c>
      <c r="G530" t="s">
        <v>218</v>
      </c>
      <c r="H530" t="s">
        <v>911</v>
      </c>
      <c r="I530">
        <v>32</v>
      </c>
      <c r="J530" s="21">
        <v>45874</v>
      </c>
      <c r="K530" s="21">
        <v>45874</v>
      </c>
      <c r="L530" t="s">
        <v>1479</v>
      </c>
      <c r="M530" t="s">
        <v>913</v>
      </c>
      <c r="O530" t="s">
        <v>220</v>
      </c>
      <c r="P530">
        <v>2</v>
      </c>
      <c r="Q530">
        <v>2</v>
      </c>
      <c r="R530">
        <v>0.25</v>
      </c>
      <c r="S530">
        <v>0.5</v>
      </c>
      <c r="T530">
        <v>0.5</v>
      </c>
      <c r="U530" t="s">
        <v>391</v>
      </c>
      <c r="V530" t="s">
        <v>392</v>
      </c>
      <c r="W530" t="s">
        <v>392</v>
      </c>
      <c r="X530">
        <v>1</v>
      </c>
      <c r="Y530" t="s">
        <v>1477</v>
      </c>
      <c r="AA530">
        <v>91.24</v>
      </c>
      <c r="AB530">
        <v>45.62</v>
      </c>
      <c r="AC530">
        <v>45.62</v>
      </c>
    </row>
    <row r="531" spans="2:29" ht="15" customHeight="1" x14ac:dyDescent="0.15">
      <c r="B531">
        <v>4</v>
      </c>
      <c r="C531" t="s">
        <v>386</v>
      </c>
      <c r="D531" t="s">
        <v>1475</v>
      </c>
      <c r="E531">
        <v>4</v>
      </c>
      <c r="F531" t="s">
        <v>219</v>
      </c>
      <c r="G531" t="s">
        <v>244</v>
      </c>
      <c r="H531" t="s">
        <v>409</v>
      </c>
      <c r="I531">
        <v>32</v>
      </c>
      <c r="J531" s="21">
        <v>45874</v>
      </c>
      <c r="K531" s="21">
        <v>45874</v>
      </c>
      <c r="L531" t="s">
        <v>1480</v>
      </c>
      <c r="M531" t="s">
        <v>284</v>
      </c>
      <c r="O531" t="s">
        <v>220</v>
      </c>
      <c r="P531">
        <v>2</v>
      </c>
      <c r="Q531">
        <v>2</v>
      </c>
      <c r="R531">
        <v>0.5</v>
      </c>
      <c r="S531">
        <v>1</v>
      </c>
      <c r="T531">
        <v>1</v>
      </c>
      <c r="U531" t="s">
        <v>391</v>
      </c>
      <c r="V531" t="s">
        <v>392</v>
      </c>
      <c r="W531" t="s">
        <v>392</v>
      </c>
      <c r="X531">
        <v>1</v>
      </c>
      <c r="Y531" t="s">
        <v>1477</v>
      </c>
      <c r="AA531">
        <v>53.07</v>
      </c>
      <c r="AB531">
        <v>53.07</v>
      </c>
      <c r="AC531">
        <v>53.07</v>
      </c>
    </row>
    <row r="532" spans="2:29" ht="15" customHeight="1" x14ac:dyDescent="0.15">
      <c r="B532">
        <v>4</v>
      </c>
      <c r="C532" t="s">
        <v>386</v>
      </c>
      <c r="D532" t="s">
        <v>1475</v>
      </c>
      <c r="E532">
        <v>5</v>
      </c>
      <c r="F532" t="s">
        <v>219</v>
      </c>
      <c r="G532" t="s">
        <v>218</v>
      </c>
      <c r="H532" t="s">
        <v>686</v>
      </c>
      <c r="I532">
        <v>32</v>
      </c>
      <c r="J532" s="21">
        <v>45874</v>
      </c>
      <c r="K532" s="21">
        <v>45874</v>
      </c>
      <c r="L532" t="s">
        <v>1481</v>
      </c>
      <c r="M532" t="s">
        <v>1219</v>
      </c>
      <c r="O532" t="s">
        <v>220</v>
      </c>
      <c r="P532">
        <v>2</v>
      </c>
      <c r="Q532">
        <v>2</v>
      </c>
      <c r="R532">
        <v>0.3</v>
      </c>
      <c r="S532">
        <v>0.6</v>
      </c>
      <c r="T532">
        <v>0.6</v>
      </c>
      <c r="U532" t="s">
        <v>391</v>
      </c>
      <c r="V532" t="s">
        <v>392</v>
      </c>
      <c r="W532" t="s">
        <v>392</v>
      </c>
      <c r="X532">
        <v>1</v>
      </c>
      <c r="Y532" t="s">
        <v>1477</v>
      </c>
      <c r="AA532">
        <v>163</v>
      </c>
      <c r="AB532">
        <v>97.8</v>
      </c>
      <c r="AC532">
        <v>97.8</v>
      </c>
    </row>
    <row r="533" spans="2:29" ht="15" customHeight="1" x14ac:dyDescent="0.15">
      <c r="B533">
        <v>4</v>
      </c>
      <c r="C533" t="s">
        <v>386</v>
      </c>
      <c r="D533" t="s">
        <v>1475</v>
      </c>
      <c r="E533">
        <v>6</v>
      </c>
      <c r="F533" t="s">
        <v>219</v>
      </c>
      <c r="G533" t="s">
        <v>239</v>
      </c>
      <c r="H533" t="s">
        <v>520</v>
      </c>
      <c r="I533">
        <v>32</v>
      </c>
      <c r="J533" s="21">
        <v>45874</v>
      </c>
      <c r="K533" s="21">
        <v>45874</v>
      </c>
      <c r="L533" t="s">
        <v>1482</v>
      </c>
      <c r="M533" t="s">
        <v>1340</v>
      </c>
      <c r="O533" t="s">
        <v>226</v>
      </c>
      <c r="P533">
        <v>2</v>
      </c>
      <c r="Q533">
        <v>2</v>
      </c>
      <c r="R533">
        <v>0.5</v>
      </c>
      <c r="S533">
        <v>1</v>
      </c>
      <c r="T533">
        <v>1</v>
      </c>
      <c r="U533" t="s">
        <v>391</v>
      </c>
      <c r="V533" t="s">
        <v>392</v>
      </c>
      <c r="W533" t="s">
        <v>392</v>
      </c>
      <c r="X533">
        <v>1</v>
      </c>
      <c r="Y533" t="s">
        <v>1477</v>
      </c>
      <c r="AA533">
        <v>66.92</v>
      </c>
      <c r="AB533">
        <v>66.92</v>
      </c>
      <c r="AC533">
        <v>66.92</v>
      </c>
    </row>
    <row r="534" spans="2:29" ht="15" customHeight="1" x14ac:dyDescent="0.15">
      <c r="B534">
        <v>4</v>
      </c>
      <c r="C534" t="s">
        <v>386</v>
      </c>
      <c r="D534" t="s">
        <v>1483</v>
      </c>
      <c r="E534">
        <v>1</v>
      </c>
      <c r="F534" t="s">
        <v>416</v>
      </c>
      <c r="G534" t="s">
        <v>1036</v>
      </c>
      <c r="H534" t="s">
        <v>562</v>
      </c>
      <c r="I534">
        <v>32</v>
      </c>
      <c r="J534" s="21">
        <v>45874</v>
      </c>
      <c r="K534" s="21">
        <v>45874</v>
      </c>
      <c r="L534" t="s">
        <v>1484</v>
      </c>
      <c r="M534" t="s">
        <v>1038</v>
      </c>
      <c r="O534" t="s">
        <v>226</v>
      </c>
      <c r="P534">
        <v>1</v>
      </c>
      <c r="Q534">
        <v>1</v>
      </c>
      <c r="R534">
        <v>34.46</v>
      </c>
      <c r="S534">
        <v>34.46</v>
      </c>
      <c r="T534">
        <v>34.46</v>
      </c>
      <c r="U534" t="s">
        <v>391</v>
      </c>
      <c r="V534" t="s">
        <v>392</v>
      </c>
      <c r="W534" t="s">
        <v>392</v>
      </c>
      <c r="X534">
        <v>1</v>
      </c>
      <c r="Y534" t="s">
        <v>893</v>
      </c>
      <c r="AA534">
        <v>6.7</v>
      </c>
      <c r="AB534">
        <v>230.88</v>
      </c>
      <c r="AC534">
        <v>230.88</v>
      </c>
    </row>
    <row r="535" spans="2:29" ht="15" customHeight="1" x14ac:dyDescent="0.15">
      <c r="B535">
        <v>4</v>
      </c>
      <c r="C535" t="s">
        <v>386</v>
      </c>
      <c r="D535" t="s">
        <v>1485</v>
      </c>
      <c r="E535">
        <v>1</v>
      </c>
      <c r="F535" t="s">
        <v>416</v>
      </c>
      <c r="G535" t="s">
        <v>1036</v>
      </c>
      <c r="H535" t="s">
        <v>562</v>
      </c>
      <c r="I535">
        <v>32</v>
      </c>
      <c r="J535" s="21">
        <v>45874</v>
      </c>
      <c r="K535" s="21">
        <v>45874</v>
      </c>
      <c r="L535" t="s">
        <v>1486</v>
      </c>
      <c r="M535" t="s">
        <v>1038</v>
      </c>
      <c r="O535" t="s">
        <v>226</v>
      </c>
      <c r="P535">
        <v>1</v>
      </c>
      <c r="Q535">
        <v>1</v>
      </c>
      <c r="R535">
        <v>21</v>
      </c>
      <c r="S535">
        <v>21</v>
      </c>
      <c r="T535">
        <v>21</v>
      </c>
      <c r="U535" t="s">
        <v>391</v>
      </c>
      <c r="V535" t="s">
        <v>392</v>
      </c>
      <c r="W535" t="s">
        <v>392</v>
      </c>
      <c r="X535">
        <v>1</v>
      </c>
      <c r="Y535" t="s">
        <v>1487</v>
      </c>
      <c r="AA535">
        <v>6.7</v>
      </c>
      <c r="AB535">
        <v>140.69999999999999</v>
      </c>
      <c r="AC535">
        <v>140.69999999999999</v>
      </c>
    </row>
    <row r="536" spans="2:29" ht="15" customHeight="1" x14ac:dyDescent="0.15">
      <c r="B536">
        <v>4</v>
      </c>
      <c r="C536" t="s">
        <v>704</v>
      </c>
      <c r="D536" t="s">
        <v>1488</v>
      </c>
      <c r="E536">
        <v>1</v>
      </c>
      <c r="F536" t="s">
        <v>219</v>
      </c>
      <c r="G536" t="s">
        <v>231</v>
      </c>
      <c r="H536" t="s">
        <v>433</v>
      </c>
      <c r="I536">
        <v>32</v>
      </c>
      <c r="J536" s="21">
        <v>45875</v>
      </c>
      <c r="L536" t="s">
        <v>1489</v>
      </c>
      <c r="M536" t="s">
        <v>1030</v>
      </c>
      <c r="O536" t="s">
        <v>220</v>
      </c>
      <c r="P536">
        <v>0</v>
      </c>
      <c r="Q536">
        <v>0</v>
      </c>
      <c r="R536">
        <v>0.45</v>
      </c>
      <c r="S536">
        <v>0</v>
      </c>
      <c r="T536">
        <v>0</v>
      </c>
      <c r="U536" t="s">
        <v>391</v>
      </c>
      <c r="V536" t="s">
        <v>392</v>
      </c>
      <c r="W536" t="s">
        <v>392</v>
      </c>
      <c r="X536">
        <v>1</v>
      </c>
      <c r="Y536" t="s">
        <v>1490</v>
      </c>
      <c r="AA536">
        <v>21.83</v>
      </c>
      <c r="AB536">
        <v>0</v>
      </c>
      <c r="AC536">
        <v>0</v>
      </c>
    </row>
    <row r="537" spans="2:29" ht="15" customHeight="1" x14ac:dyDescent="0.15">
      <c r="B537">
        <v>4</v>
      </c>
      <c r="C537" t="s">
        <v>704</v>
      </c>
      <c r="D537" t="s">
        <v>1488</v>
      </c>
      <c r="E537">
        <v>2</v>
      </c>
      <c r="F537" t="s">
        <v>219</v>
      </c>
      <c r="G537" t="s">
        <v>244</v>
      </c>
      <c r="H537" t="s">
        <v>877</v>
      </c>
      <c r="I537">
        <v>32</v>
      </c>
      <c r="J537" s="21">
        <v>45875</v>
      </c>
      <c r="L537" t="s">
        <v>1491</v>
      </c>
      <c r="M537" t="s">
        <v>1492</v>
      </c>
      <c r="O537" t="s">
        <v>226</v>
      </c>
      <c r="P537">
        <v>0</v>
      </c>
      <c r="Q537">
        <v>0</v>
      </c>
      <c r="R537">
        <v>0.375</v>
      </c>
      <c r="S537">
        <v>0</v>
      </c>
      <c r="T537">
        <v>0</v>
      </c>
      <c r="U537" t="s">
        <v>391</v>
      </c>
      <c r="V537" t="s">
        <v>392</v>
      </c>
      <c r="W537" t="s">
        <v>392</v>
      </c>
      <c r="X537">
        <v>1</v>
      </c>
      <c r="Y537" t="s">
        <v>1490</v>
      </c>
      <c r="AA537">
        <v>850</v>
      </c>
      <c r="AB537">
        <v>0</v>
      </c>
      <c r="AC537">
        <v>0</v>
      </c>
    </row>
    <row r="538" spans="2:29" ht="15" customHeight="1" x14ac:dyDescent="0.15">
      <c r="B538">
        <v>4</v>
      </c>
      <c r="C538" t="s">
        <v>704</v>
      </c>
      <c r="D538" t="s">
        <v>1488</v>
      </c>
      <c r="E538">
        <v>3</v>
      </c>
      <c r="F538" t="s">
        <v>219</v>
      </c>
      <c r="G538" t="s">
        <v>244</v>
      </c>
      <c r="H538" t="s">
        <v>1493</v>
      </c>
      <c r="I538">
        <v>32</v>
      </c>
      <c r="J538" s="21">
        <v>45875</v>
      </c>
      <c r="L538" t="s">
        <v>1494</v>
      </c>
      <c r="M538" t="s">
        <v>1495</v>
      </c>
      <c r="O538" t="s">
        <v>226</v>
      </c>
      <c r="P538">
        <v>0</v>
      </c>
      <c r="Q538">
        <v>0</v>
      </c>
      <c r="R538">
        <v>7.4999999999999997E-2</v>
      </c>
      <c r="S538">
        <v>0</v>
      </c>
      <c r="T538">
        <v>0</v>
      </c>
      <c r="U538" t="s">
        <v>391</v>
      </c>
      <c r="V538" t="s">
        <v>392</v>
      </c>
      <c r="W538" t="s">
        <v>392</v>
      </c>
      <c r="X538">
        <v>1</v>
      </c>
      <c r="Y538" t="s">
        <v>1490</v>
      </c>
      <c r="AB538">
        <v>0</v>
      </c>
      <c r="AC538">
        <v>0</v>
      </c>
    </row>
    <row r="539" spans="2:29" ht="15" customHeight="1" x14ac:dyDescent="0.15">
      <c r="B539">
        <v>4</v>
      </c>
      <c r="C539" t="s">
        <v>704</v>
      </c>
      <c r="D539" t="s">
        <v>1488</v>
      </c>
      <c r="E539">
        <v>4</v>
      </c>
      <c r="F539" t="s">
        <v>219</v>
      </c>
      <c r="G539" t="s">
        <v>218</v>
      </c>
      <c r="H539" t="s">
        <v>1175</v>
      </c>
      <c r="I539">
        <v>32</v>
      </c>
      <c r="J539" s="21">
        <v>45875</v>
      </c>
      <c r="L539" t="s">
        <v>1496</v>
      </c>
      <c r="M539" t="s">
        <v>1177</v>
      </c>
      <c r="O539" t="s">
        <v>220</v>
      </c>
      <c r="P539">
        <v>0</v>
      </c>
      <c r="Q539">
        <v>0</v>
      </c>
      <c r="R539">
        <v>0.3</v>
      </c>
      <c r="S539">
        <v>0</v>
      </c>
      <c r="T539">
        <v>0</v>
      </c>
      <c r="U539" t="s">
        <v>391</v>
      </c>
      <c r="V539" t="s">
        <v>392</v>
      </c>
      <c r="W539" t="s">
        <v>392</v>
      </c>
      <c r="X539">
        <v>1</v>
      </c>
      <c r="Y539" t="s">
        <v>1490</v>
      </c>
      <c r="AA539">
        <v>177</v>
      </c>
      <c r="AB539">
        <v>0</v>
      </c>
      <c r="AC539">
        <v>0</v>
      </c>
    </row>
    <row r="540" spans="2:29" ht="15" customHeight="1" x14ac:dyDescent="0.15">
      <c r="B540">
        <v>4</v>
      </c>
      <c r="C540" t="s">
        <v>386</v>
      </c>
      <c r="D540" t="s">
        <v>1497</v>
      </c>
      <c r="E540">
        <v>1</v>
      </c>
      <c r="F540" t="s">
        <v>219</v>
      </c>
      <c r="G540" t="s">
        <v>231</v>
      </c>
      <c r="H540" t="s">
        <v>433</v>
      </c>
      <c r="I540">
        <v>32</v>
      </c>
      <c r="J540" s="21">
        <v>45875</v>
      </c>
      <c r="K540" s="21">
        <v>45876</v>
      </c>
      <c r="L540" t="s">
        <v>1498</v>
      </c>
      <c r="M540" t="s">
        <v>1030</v>
      </c>
      <c r="O540" t="s">
        <v>220</v>
      </c>
      <c r="P540">
        <v>2</v>
      </c>
      <c r="Q540">
        <v>1</v>
      </c>
      <c r="R540">
        <v>0.12</v>
      </c>
      <c r="S540">
        <v>0.24</v>
      </c>
      <c r="T540">
        <v>0.12</v>
      </c>
      <c r="U540" t="s">
        <v>805</v>
      </c>
      <c r="V540" t="s">
        <v>806</v>
      </c>
      <c r="W540" t="s">
        <v>532</v>
      </c>
      <c r="X540">
        <v>2</v>
      </c>
      <c r="Y540" t="s">
        <v>455</v>
      </c>
      <c r="AA540">
        <v>21.83</v>
      </c>
      <c r="AB540">
        <v>5.24</v>
      </c>
      <c r="AC540">
        <v>2.62</v>
      </c>
    </row>
    <row r="541" spans="2:29" ht="15" customHeight="1" x14ac:dyDescent="0.15">
      <c r="B541">
        <v>4</v>
      </c>
      <c r="C541" t="s">
        <v>386</v>
      </c>
      <c r="D541" t="s">
        <v>1497</v>
      </c>
      <c r="E541">
        <v>2</v>
      </c>
      <c r="F541" t="s">
        <v>219</v>
      </c>
      <c r="G541" t="s">
        <v>218</v>
      </c>
      <c r="H541" t="s">
        <v>493</v>
      </c>
      <c r="I541">
        <v>32</v>
      </c>
      <c r="J541" s="21">
        <v>45875</v>
      </c>
      <c r="K541" s="21">
        <v>45876</v>
      </c>
      <c r="L541" t="s">
        <v>1499</v>
      </c>
      <c r="M541" t="s">
        <v>576</v>
      </c>
      <c r="O541" t="s">
        <v>220</v>
      </c>
      <c r="P541">
        <v>2</v>
      </c>
      <c r="Q541">
        <v>1</v>
      </c>
      <c r="R541">
        <v>0.2</v>
      </c>
      <c r="S541">
        <v>0.4</v>
      </c>
      <c r="T541">
        <v>0.2</v>
      </c>
      <c r="U541" t="s">
        <v>805</v>
      </c>
      <c r="V541" t="s">
        <v>806</v>
      </c>
      <c r="W541" t="s">
        <v>532</v>
      </c>
      <c r="X541">
        <v>2</v>
      </c>
      <c r="Y541" t="s">
        <v>455</v>
      </c>
      <c r="AA541">
        <v>101.77</v>
      </c>
      <c r="AB541">
        <v>40.71</v>
      </c>
      <c r="AC541">
        <v>20.350000000000001</v>
      </c>
    </row>
    <row r="542" spans="2:29" ht="15" customHeight="1" x14ac:dyDescent="0.15">
      <c r="B542">
        <v>4</v>
      </c>
      <c r="C542" t="s">
        <v>386</v>
      </c>
      <c r="D542" t="s">
        <v>1497</v>
      </c>
      <c r="E542">
        <v>3</v>
      </c>
      <c r="F542" t="s">
        <v>219</v>
      </c>
      <c r="G542" t="s">
        <v>218</v>
      </c>
      <c r="H542" t="s">
        <v>864</v>
      </c>
      <c r="I542">
        <v>32</v>
      </c>
      <c r="J542" s="21">
        <v>45875</v>
      </c>
      <c r="K542" s="21">
        <v>45876</v>
      </c>
      <c r="L542" t="s">
        <v>1500</v>
      </c>
      <c r="M542" t="s">
        <v>866</v>
      </c>
      <c r="O542" t="s">
        <v>220</v>
      </c>
      <c r="P542">
        <v>2</v>
      </c>
      <c r="Q542">
        <v>1</v>
      </c>
      <c r="R542">
        <v>0.2</v>
      </c>
      <c r="S542">
        <v>0.4</v>
      </c>
      <c r="T542">
        <v>0.2</v>
      </c>
      <c r="U542" t="s">
        <v>805</v>
      </c>
      <c r="V542" t="s">
        <v>806</v>
      </c>
      <c r="W542" t="s">
        <v>532</v>
      </c>
      <c r="X542">
        <v>2</v>
      </c>
      <c r="Y542" t="s">
        <v>455</v>
      </c>
      <c r="AA542">
        <v>70.3</v>
      </c>
      <c r="AB542">
        <v>28.12</v>
      </c>
      <c r="AC542">
        <v>14.06</v>
      </c>
    </row>
    <row r="543" spans="2:29" ht="15" customHeight="1" x14ac:dyDescent="0.15">
      <c r="B543">
        <v>4</v>
      </c>
      <c r="C543" t="s">
        <v>386</v>
      </c>
      <c r="D543" t="s">
        <v>1497</v>
      </c>
      <c r="E543">
        <v>4</v>
      </c>
      <c r="F543" t="s">
        <v>219</v>
      </c>
      <c r="G543" t="s">
        <v>218</v>
      </c>
      <c r="H543" t="s">
        <v>1501</v>
      </c>
      <c r="I543">
        <v>32</v>
      </c>
      <c r="J543" s="21">
        <v>45875</v>
      </c>
      <c r="K543" s="21">
        <v>45876</v>
      </c>
      <c r="L543" t="s">
        <v>1502</v>
      </c>
      <c r="M543" t="s">
        <v>1503</v>
      </c>
      <c r="O543" t="s">
        <v>226</v>
      </c>
      <c r="P543">
        <v>2</v>
      </c>
      <c r="Q543">
        <v>1</v>
      </c>
      <c r="R543">
        <v>0.2</v>
      </c>
      <c r="S543">
        <v>0.4</v>
      </c>
      <c r="T543">
        <v>0.2</v>
      </c>
      <c r="U543" t="s">
        <v>805</v>
      </c>
      <c r="V543" t="s">
        <v>806</v>
      </c>
      <c r="W543" t="s">
        <v>532</v>
      </c>
      <c r="X543">
        <v>2</v>
      </c>
      <c r="Y543" t="s">
        <v>455</v>
      </c>
      <c r="AA543">
        <v>138.1</v>
      </c>
      <c r="AB543">
        <v>55.24</v>
      </c>
      <c r="AC543">
        <v>27.62</v>
      </c>
    </row>
    <row r="544" spans="2:29" ht="15" customHeight="1" x14ac:dyDescent="0.15">
      <c r="B544">
        <v>4</v>
      </c>
      <c r="C544" t="s">
        <v>386</v>
      </c>
      <c r="D544" t="s">
        <v>1504</v>
      </c>
      <c r="E544">
        <v>1</v>
      </c>
      <c r="F544" t="s">
        <v>219</v>
      </c>
      <c r="G544" t="s">
        <v>231</v>
      </c>
      <c r="H544" t="s">
        <v>433</v>
      </c>
      <c r="I544">
        <v>32</v>
      </c>
      <c r="J544" s="21">
        <v>45876</v>
      </c>
      <c r="K544" s="21">
        <v>45878</v>
      </c>
      <c r="L544" t="s">
        <v>1505</v>
      </c>
      <c r="M544" t="s">
        <v>1030</v>
      </c>
      <c r="O544" t="s">
        <v>220</v>
      </c>
      <c r="P544">
        <v>2</v>
      </c>
      <c r="Q544">
        <v>1</v>
      </c>
      <c r="R544">
        <v>0.12</v>
      </c>
      <c r="S544">
        <v>0.24</v>
      </c>
      <c r="T544">
        <v>0.12</v>
      </c>
      <c r="U544" t="s">
        <v>1056</v>
      </c>
      <c r="V544" t="s">
        <v>1057</v>
      </c>
      <c r="W544" t="s">
        <v>532</v>
      </c>
      <c r="X544">
        <v>2</v>
      </c>
      <c r="Y544" t="s">
        <v>455</v>
      </c>
      <c r="AA544">
        <v>21.83</v>
      </c>
      <c r="AB544">
        <v>5.24</v>
      </c>
      <c r="AC544">
        <v>2.62</v>
      </c>
    </row>
    <row r="545" spans="2:29" ht="15" customHeight="1" x14ac:dyDescent="0.15">
      <c r="B545">
        <v>4</v>
      </c>
      <c r="C545" t="s">
        <v>386</v>
      </c>
      <c r="D545" t="s">
        <v>1504</v>
      </c>
      <c r="E545">
        <v>2</v>
      </c>
      <c r="F545" t="s">
        <v>219</v>
      </c>
      <c r="G545" t="s">
        <v>239</v>
      </c>
      <c r="H545" t="s">
        <v>1506</v>
      </c>
      <c r="I545">
        <v>32</v>
      </c>
      <c r="J545" s="21">
        <v>45876</v>
      </c>
      <c r="K545" s="21">
        <v>45878</v>
      </c>
      <c r="L545" t="s">
        <v>1507</v>
      </c>
      <c r="M545" t="s">
        <v>1508</v>
      </c>
      <c r="O545" t="s">
        <v>220</v>
      </c>
      <c r="P545">
        <v>2</v>
      </c>
      <c r="Q545">
        <v>1</v>
      </c>
      <c r="R545">
        <v>0.5</v>
      </c>
      <c r="S545">
        <v>1</v>
      </c>
      <c r="T545">
        <v>0.5</v>
      </c>
      <c r="U545" t="s">
        <v>1056</v>
      </c>
      <c r="V545" t="s">
        <v>1057</v>
      </c>
      <c r="W545" t="s">
        <v>532</v>
      </c>
      <c r="X545">
        <v>2</v>
      </c>
      <c r="Y545" t="s">
        <v>455</v>
      </c>
      <c r="AC545">
        <v>0</v>
      </c>
    </row>
    <row r="546" spans="2:29" ht="15" customHeight="1" x14ac:dyDescent="0.15">
      <c r="B546">
        <v>4</v>
      </c>
      <c r="C546" t="s">
        <v>386</v>
      </c>
      <c r="D546" t="s">
        <v>1504</v>
      </c>
      <c r="E546">
        <v>3</v>
      </c>
      <c r="F546" t="s">
        <v>219</v>
      </c>
      <c r="G546" t="s">
        <v>218</v>
      </c>
      <c r="H546" t="s">
        <v>493</v>
      </c>
      <c r="I546">
        <v>32</v>
      </c>
      <c r="J546" s="21">
        <v>45876</v>
      </c>
      <c r="K546" s="21">
        <v>45878</v>
      </c>
      <c r="L546" t="s">
        <v>1509</v>
      </c>
      <c r="M546" t="s">
        <v>576</v>
      </c>
      <c r="O546" t="s">
        <v>220</v>
      </c>
      <c r="P546">
        <v>2</v>
      </c>
      <c r="Q546">
        <v>1</v>
      </c>
      <c r="R546">
        <v>0.2</v>
      </c>
      <c r="S546">
        <v>0.4</v>
      </c>
      <c r="T546">
        <v>0.2</v>
      </c>
      <c r="U546" t="s">
        <v>1056</v>
      </c>
      <c r="V546" t="s">
        <v>1057</v>
      </c>
      <c r="W546" t="s">
        <v>532</v>
      </c>
      <c r="X546">
        <v>2</v>
      </c>
      <c r="Y546" t="s">
        <v>455</v>
      </c>
      <c r="AA546">
        <v>101.77</v>
      </c>
      <c r="AB546">
        <v>40.71</v>
      </c>
      <c r="AC546">
        <v>20.350000000000001</v>
      </c>
    </row>
    <row r="547" spans="2:29" ht="15" customHeight="1" x14ac:dyDescent="0.15">
      <c r="B547">
        <v>4</v>
      </c>
      <c r="C547" t="s">
        <v>386</v>
      </c>
      <c r="D547" t="s">
        <v>1504</v>
      </c>
      <c r="E547">
        <v>4</v>
      </c>
      <c r="F547" t="s">
        <v>219</v>
      </c>
      <c r="G547" t="s">
        <v>244</v>
      </c>
      <c r="H547" t="s">
        <v>591</v>
      </c>
      <c r="I547">
        <v>32</v>
      </c>
      <c r="J547" s="21">
        <v>45876</v>
      </c>
      <c r="K547" s="21">
        <v>45878</v>
      </c>
      <c r="L547" t="s">
        <v>1510</v>
      </c>
      <c r="M547" t="s">
        <v>593</v>
      </c>
      <c r="O547" t="s">
        <v>220</v>
      </c>
      <c r="P547">
        <v>2</v>
      </c>
      <c r="Q547">
        <v>1</v>
      </c>
      <c r="R547">
        <v>2</v>
      </c>
      <c r="S547">
        <v>4</v>
      </c>
      <c r="T547">
        <v>2</v>
      </c>
      <c r="U547" t="s">
        <v>1056</v>
      </c>
      <c r="V547" t="s">
        <v>1057</v>
      </c>
      <c r="W547" t="s">
        <v>532</v>
      </c>
      <c r="X547">
        <v>2</v>
      </c>
      <c r="Y547" t="s">
        <v>455</v>
      </c>
      <c r="AA547">
        <v>37.58</v>
      </c>
      <c r="AB547">
        <v>150.30000000000001</v>
      </c>
      <c r="AC547">
        <v>75.150000000000006</v>
      </c>
    </row>
    <row r="548" spans="2:29" ht="15" customHeight="1" x14ac:dyDescent="0.15">
      <c r="B548">
        <v>4</v>
      </c>
      <c r="C548" t="s">
        <v>386</v>
      </c>
      <c r="D548" t="s">
        <v>1504</v>
      </c>
      <c r="E548">
        <v>5</v>
      </c>
      <c r="F548" t="s">
        <v>219</v>
      </c>
      <c r="G548" t="s">
        <v>244</v>
      </c>
      <c r="H548" t="s">
        <v>571</v>
      </c>
      <c r="I548">
        <v>32</v>
      </c>
      <c r="J548" s="21">
        <v>45876</v>
      </c>
      <c r="K548" s="21">
        <v>45878</v>
      </c>
      <c r="L548" t="s">
        <v>1511</v>
      </c>
      <c r="M548" t="s">
        <v>573</v>
      </c>
      <c r="O548" t="s">
        <v>220</v>
      </c>
      <c r="P548">
        <v>2</v>
      </c>
      <c r="Q548">
        <v>1</v>
      </c>
      <c r="R548">
        <v>0.5</v>
      </c>
      <c r="S548">
        <v>1</v>
      </c>
      <c r="T548">
        <v>0.5</v>
      </c>
      <c r="U548" t="s">
        <v>1056</v>
      </c>
      <c r="V548" t="s">
        <v>1057</v>
      </c>
      <c r="W548" t="s">
        <v>532</v>
      </c>
      <c r="X548">
        <v>2</v>
      </c>
      <c r="Y548" t="s">
        <v>455</v>
      </c>
      <c r="AA548">
        <v>73.98</v>
      </c>
      <c r="AB548">
        <v>73.98</v>
      </c>
      <c r="AC548">
        <v>36.99</v>
      </c>
    </row>
    <row r="549" spans="2:29" ht="15" customHeight="1" x14ac:dyDescent="0.15">
      <c r="B549">
        <v>4</v>
      </c>
      <c r="C549" t="s">
        <v>386</v>
      </c>
      <c r="D549" t="s">
        <v>1512</v>
      </c>
      <c r="E549">
        <v>1</v>
      </c>
      <c r="F549" t="s">
        <v>219</v>
      </c>
      <c r="G549" t="s">
        <v>244</v>
      </c>
      <c r="H549" t="s">
        <v>1513</v>
      </c>
      <c r="I549">
        <v>32</v>
      </c>
      <c r="J549" s="21">
        <v>45875</v>
      </c>
      <c r="K549" s="21">
        <v>45875</v>
      </c>
      <c r="L549" t="s">
        <v>1514</v>
      </c>
      <c r="M549" t="s">
        <v>1515</v>
      </c>
      <c r="O549" t="s">
        <v>220</v>
      </c>
      <c r="P549">
        <v>1</v>
      </c>
      <c r="Q549">
        <v>1</v>
      </c>
      <c r="R549">
        <v>2</v>
      </c>
      <c r="S549">
        <v>2</v>
      </c>
      <c r="T549">
        <v>2</v>
      </c>
      <c r="U549" t="s">
        <v>391</v>
      </c>
      <c r="V549" t="s">
        <v>392</v>
      </c>
      <c r="W549" t="s">
        <v>392</v>
      </c>
      <c r="X549">
        <v>1</v>
      </c>
      <c r="Y549" t="s">
        <v>723</v>
      </c>
      <c r="AA549">
        <v>75.19</v>
      </c>
      <c r="AB549">
        <v>150.38</v>
      </c>
      <c r="AC549">
        <v>150.38</v>
      </c>
    </row>
    <row r="550" spans="2:29" ht="15" customHeight="1" x14ac:dyDescent="0.15">
      <c r="B550">
        <v>4</v>
      </c>
      <c r="C550" t="s">
        <v>386</v>
      </c>
      <c r="D550" t="s">
        <v>1512</v>
      </c>
      <c r="E550">
        <v>2</v>
      </c>
      <c r="F550" t="s">
        <v>219</v>
      </c>
      <c r="G550" t="s">
        <v>218</v>
      </c>
      <c r="H550" t="s">
        <v>1366</v>
      </c>
      <c r="I550">
        <v>32</v>
      </c>
      <c r="J550" s="21">
        <v>45875</v>
      </c>
      <c r="K550" s="21">
        <v>45875</v>
      </c>
      <c r="L550" t="s">
        <v>1516</v>
      </c>
      <c r="M550" t="s">
        <v>1368</v>
      </c>
      <c r="O550" t="s">
        <v>220</v>
      </c>
      <c r="P550">
        <v>1</v>
      </c>
      <c r="Q550">
        <v>1</v>
      </c>
      <c r="R550">
        <v>1</v>
      </c>
      <c r="S550">
        <v>1</v>
      </c>
      <c r="T550">
        <v>1</v>
      </c>
      <c r="U550" t="s">
        <v>391</v>
      </c>
      <c r="V550" t="s">
        <v>392</v>
      </c>
      <c r="W550" t="s">
        <v>392</v>
      </c>
      <c r="X550">
        <v>1</v>
      </c>
      <c r="Y550" t="s">
        <v>723</v>
      </c>
      <c r="AA550">
        <v>784.7</v>
      </c>
      <c r="AB550">
        <v>784.7</v>
      </c>
      <c r="AC550">
        <v>784.7</v>
      </c>
    </row>
    <row r="551" spans="2:29" ht="15" customHeight="1" x14ac:dyDescent="0.15">
      <c r="B551">
        <v>4</v>
      </c>
      <c r="C551" t="s">
        <v>386</v>
      </c>
      <c r="D551" t="s">
        <v>1517</v>
      </c>
      <c r="E551">
        <v>1</v>
      </c>
      <c r="F551" t="s">
        <v>219</v>
      </c>
      <c r="G551" t="s">
        <v>231</v>
      </c>
      <c r="H551" t="s">
        <v>433</v>
      </c>
      <c r="I551">
        <v>32</v>
      </c>
      <c r="J551" s="21">
        <v>45877</v>
      </c>
      <c r="K551" s="21">
        <v>45878</v>
      </c>
      <c r="L551" t="s">
        <v>1518</v>
      </c>
      <c r="M551" t="s">
        <v>1030</v>
      </c>
      <c r="O551" t="s">
        <v>220</v>
      </c>
      <c r="P551">
        <v>2</v>
      </c>
      <c r="Q551">
        <v>1</v>
      </c>
      <c r="R551">
        <v>0.12</v>
      </c>
      <c r="S551">
        <v>0.24</v>
      </c>
      <c r="T551">
        <v>0.12</v>
      </c>
      <c r="U551" t="s">
        <v>627</v>
      </c>
      <c r="V551" t="s">
        <v>628</v>
      </c>
      <c r="W551" t="s">
        <v>532</v>
      </c>
      <c r="X551">
        <v>2</v>
      </c>
      <c r="Y551" t="s">
        <v>455</v>
      </c>
      <c r="AA551">
        <v>21.83</v>
      </c>
      <c r="AB551">
        <v>5.24</v>
      </c>
      <c r="AC551">
        <v>2.62</v>
      </c>
    </row>
    <row r="552" spans="2:29" ht="15" customHeight="1" x14ac:dyDescent="0.15">
      <c r="B552">
        <v>4</v>
      </c>
      <c r="C552" t="s">
        <v>386</v>
      </c>
      <c r="D552" t="s">
        <v>1517</v>
      </c>
      <c r="E552">
        <v>2</v>
      </c>
      <c r="F552" t="s">
        <v>219</v>
      </c>
      <c r="G552" t="s">
        <v>239</v>
      </c>
      <c r="H552" t="s">
        <v>861</v>
      </c>
      <c r="I552">
        <v>32</v>
      </c>
      <c r="J552" s="21">
        <v>45877</v>
      </c>
      <c r="K552" s="21">
        <v>45878</v>
      </c>
      <c r="L552" t="s">
        <v>1519</v>
      </c>
      <c r="M552" t="s">
        <v>863</v>
      </c>
      <c r="O552" t="s">
        <v>220</v>
      </c>
      <c r="P552">
        <v>2</v>
      </c>
      <c r="Q552">
        <v>1</v>
      </c>
      <c r="R552">
        <v>2</v>
      </c>
      <c r="S552">
        <v>4</v>
      </c>
      <c r="T552">
        <v>2</v>
      </c>
      <c r="U552" t="s">
        <v>627</v>
      </c>
      <c r="V552" t="s">
        <v>628</v>
      </c>
      <c r="W552" t="s">
        <v>532</v>
      </c>
      <c r="X552">
        <v>2</v>
      </c>
      <c r="Y552" t="s">
        <v>455</v>
      </c>
      <c r="AA552">
        <v>29.14</v>
      </c>
      <c r="AB552">
        <v>116.56</v>
      </c>
      <c r="AC552">
        <v>58.28</v>
      </c>
    </row>
    <row r="553" spans="2:29" ht="15" customHeight="1" x14ac:dyDescent="0.15">
      <c r="B553">
        <v>4</v>
      </c>
      <c r="C553" t="s">
        <v>386</v>
      </c>
      <c r="D553" t="s">
        <v>1517</v>
      </c>
      <c r="E553">
        <v>3</v>
      </c>
      <c r="F553" t="s">
        <v>219</v>
      </c>
      <c r="G553" t="s">
        <v>218</v>
      </c>
      <c r="H553" t="s">
        <v>908</v>
      </c>
      <c r="I553">
        <v>32</v>
      </c>
      <c r="J553" s="21">
        <v>45877</v>
      </c>
      <c r="K553" s="21">
        <v>45878</v>
      </c>
      <c r="L553" t="s">
        <v>1520</v>
      </c>
      <c r="M553" t="s">
        <v>1027</v>
      </c>
      <c r="O553" t="s">
        <v>220</v>
      </c>
      <c r="P553">
        <v>2</v>
      </c>
      <c r="Q553">
        <v>1</v>
      </c>
      <c r="R553">
        <v>0.3</v>
      </c>
      <c r="S553">
        <v>0.6</v>
      </c>
      <c r="T553">
        <v>0.3</v>
      </c>
      <c r="U553" t="s">
        <v>627</v>
      </c>
      <c r="V553" t="s">
        <v>628</v>
      </c>
      <c r="W553" t="s">
        <v>532</v>
      </c>
      <c r="X553">
        <v>2</v>
      </c>
      <c r="Y553" t="s">
        <v>455</v>
      </c>
      <c r="AA553">
        <v>31.3</v>
      </c>
      <c r="AB553">
        <v>18.78</v>
      </c>
      <c r="AC553">
        <v>9.39</v>
      </c>
    </row>
    <row r="554" spans="2:29" ht="15" customHeight="1" x14ac:dyDescent="0.15">
      <c r="B554">
        <v>4</v>
      </c>
      <c r="C554" t="s">
        <v>386</v>
      </c>
      <c r="D554" t="s">
        <v>1521</v>
      </c>
      <c r="E554">
        <v>1</v>
      </c>
      <c r="F554" t="s">
        <v>201</v>
      </c>
      <c r="G554" t="s">
        <v>200</v>
      </c>
      <c r="H554" t="s">
        <v>471</v>
      </c>
      <c r="I554">
        <v>32</v>
      </c>
      <c r="J554" s="21">
        <v>45877</v>
      </c>
      <c r="K554" s="21">
        <v>45877</v>
      </c>
      <c r="L554" t="s">
        <v>1522</v>
      </c>
      <c r="M554" t="s">
        <v>942</v>
      </c>
      <c r="O554" t="s">
        <v>226</v>
      </c>
      <c r="P554">
        <v>1</v>
      </c>
      <c r="Q554">
        <v>1</v>
      </c>
      <c r="R554">
        <v>450</v>
      </c>
      <c r="S554">
        <v>450</v>
      </c>
      <c r="T554">
        <v>450</v>
      </c>
      <c r="U554" t="s">
        <v>391</v>
      </c>
      <c r="V554" t="s">
        <v>392</v>
      </c>
      <c r="W554" t="s">
        <v>392</v>
      </c>
      <c r="X554">
        <v>1</v>
      </c>
      <c r="Y554" t="s">
        <v>893</v>
      </c>
      <c r="AA554">
        <v>1.98</v>
      </c>
      <c r="AB554">
        <v>891</v>
      </c>
      <c r="AC554">
        <v>891</v>
      </c>
    </row>
    <row r="555" spans="2:29" ht="15" customHeight="1" x14ac:dyDescent="0.15">
      <c r="B555">
        <v>4</v>
      </c>
      <c r="C555" t="s">
        <v>386</v>
      </c>
      <c r="D555" t="s">
        <v>1521</v>
      </c>
      <c r="E555">
        <v>2</v>
      </c>
      <c r="F555" t="s">
        <v>201</v>
      </c>
      <c r="G555" t="s">
        <v>200</v>
      </c>
      <c r="H555" t="s">
        <v>475</v>
      </c>
      <c r="I555">
        <v>32</v>
      </c>
      <c r="J555" s="21">
        <v>45877</v>
      </c>
      <c r="K555" s="21">
        <v>45877</v>
      </c>
      <c r="L555" t="s">
        <v>1523</v>
      </c>
      <c r="M555" t="s">
        <v>631</v>
      </c>
      <c r="O555" t="s">
        <v>226</v>
      </c>
      <c r="P555">
        <v>1</v>
      </c>
      <c r="Q555">
        <v>1</v>
      </c>
      <c r="R555">
        <v>400</v>
      </c>
      <c r="S555">
        <v>400</v>
      </c>
      <c r="T555">
        <v>400</v>
      </c>
      <c r="U555" t="s">
        <v>391</v>
      </c>
      <c r="V555" t="s">
        <v>392</v>
      </c>
      <c r="W555" t="s">
        <v>392</v>
      </c>
      <c r="X555">
        <v>1</v>
      </c>
      <c r="Y555" t="s">
        <v>893</v>
      </c>
      <c r="AA555">
        <v>3.53</v>
      </c>
      <c r="AB555" s="22">
        <v>1412</v>
      </c>
      <c r="AC555" s="22">
        <v>1412</v>
      </c>
    </row>
    <row r="556" spans="2:29" ht="15" customHeight="1" x14ac:dyDescent="0.15">
      <c r="B556">
        <v>4</v>
      </c>
      <c r="C556" t="s">
        <v>386</v>
      </c>
      <c r="D556" t="s">
        <v>1524</v>
      </c>
      <c r="E556">
        <v>1</v>
      </c>
      <c r="F556" t="s">
        <v>201</v>
      </c>
      <c r="G556" t="s">
        <v>200</v>
      </c>
      <c r="H556" t="s">
        <v>471</v>
      </c>
      <c r="I556">
        <v>32</v>
      </c>
      <c r="J556" s="21">
        <v>45877</v>
      </c>
      <c r="K556" s="21">
        <v>45881</v>
      </c>
      <c r="L556" t="s">
        <v>1525</v>
      </c>
      <c r="M556" t="s">
        <v>942</v>
      </c>
      <c r="O556" t="s">
        <v>226</v>
      </c>
      <c r="P556">
        <v>1</v>
      </c>
      <c r="Q556">
        <v>1</v>
      </c>
      <c r="R556">
        <v>350</v>
      </c>
      <c r="S556">
        <v>350</v>
      </c>
      <c r="T556">
        <v>350</v>
      </c>
      <c r="U556" t="s">
        <v>391</v>
      </c>
      <c r="V556" t="s">
        <v>392</v>
      </c>
      <c r="W556" t="s">
        <v>392</v>
      </c>
      <c r="X556">
        <v>1</v>
      </c>
      <c r="Y556" t="s">
        <v>716</v>
      </c>
      <c r="AA556">
        <v>1.98</v>
      </c>
      <c r="AB556">
        <v>693</v>
      </c>
      <c r="AC556">
        <v>693</v>
      </c>
    </row>
    <row r="557" spans="2:29" ht="15" customHeight="1" x14ac:dyDescent="0.15">
      <c r="B557">
        <v>4</v>
      </c>
      <c r="C557" t="s">
        <v>386</v>
      </c>
      <c r="D557" t="s">
        <v>1524</v>
      </c>
      <c r="E557">
        <v>2</v>
      </c>
      <c r="F557" t="s">
        <v>201</v>
      </c>
      <c r="G557" t="s">
        <v>200</v>
      </c>
      <c r="H557" t="s">
        <v>475</v>
      </c>
      <c r="I557">
        <v>32</v>
      </c>
      <c r="J557" s="21">
        <v>45877</v>
      </c>
      <c r="K557" s="21">
        <v>45881</v>
      </c>
      <c r="L557" t="s">
        <v>1526</v>
      </c>
      <c r="M557" t="s">
        <v>631</v>
      </c>
      <c r="O557" t="s">
        <v>226</v>
      </c>
      <c r="P557">
        <v>1</v>
      </c>
      <c r="Q557">
        <v>1</v>
      </c>
      <c r="R557">
        <v>350</v>
      </c>
      <c r="S557">
        <v>350</v>
      </c>
      <c r="T557">
        <v>350</v>
      </c>
      <c r="U557" t="s">
        <v>391</v>
      </c>
      <c r="V557" t="s">
        <v>392</v>
      </c>
      <c r="W557" t="s">
        <v>392</v>
      </c>
      <c r="X557">
        <v>1</v>
      </c>
      <c r="Y557" t="s">
        <v>716</v>
      </c>
      <c r="AA557">
        <v>3.53</v>
      </c>
      <c r="AB557" s="22">
        <v>1235.5</v>
      </c>
      <c r="AC557" s="22">
        <v>1235.5</v>
      </c>
    </row>
    <row r="558" spans="2:29" ht="15" customHeight="1" x14ac:dyDescent="0.15">
      <c r="B558">
        <v>4</v>
      </c>
      <c r="C558" t="s">
        <v>386</v>
      </c>
      <c r="D558" t="s">
        <v>1527</v>
      </c>
      <c r="E558">
        <v>1</v>
      </c>
      <c r="F558" t="s">
        <v>201</v>
      </c>
      <c r="G558" t="s">
        <v>200</v>
      </c>
      <c r="H558" t="s">
        <v>471</v>
      </c>
      <c r="I558">
        <v>32</v>
      </c>
      <c r="J558" s="21">
        <v>45877</v>
      </c>
      <c r="K558" s="21">
        <v>45877</v>
      </c>
      <c r="L558" t="s">
        <v>1528</v>
      </c>
      <c r="M558" t="s">
        <v>942</v>
      </c>
      <c r="O558" t="s">
        <v>226</v>
      </c>
      <c r="P558">
        <v>1</v>
      </c>
      <c r="Q558">
        <v>1</v>
      </c>
      <c r="R558">
        <v>250</v>
      </c>
      <c r="S558">
        <v>250</v>
      </c>
      <c r="T558">
        <v>250</v>
      </c>
      <c r="U558" t="s">
        <v>391</v>
      </c>
      <c r="V558" t="s">
        <v>392</v>
      </c>
      <c r="W558" t="s">
        <v>392</v>
      </c>
      <c r="X558">
        <v>1</v>
      </c>
      <c r="Y558" t="s">
        <v>1477</v>
      </c>
      <c r="AA558">
        <v>1.98</v>
      </c>
      <c r="AB558">
        <v>495</v>
      </c>
      <c r="AC558">
        <v>495</v>
      </c>
    </row>
    <row r="559" spans="2:29" ht="15" customHeight="1" x14ac:dyDescent="0.15">
      <c r="B559">
        <v>4</v>
      </c>
      <c r="C559" t="s">
        <v>386</v>
      </c>
      <c r="D559" t="s">
        <v>1527</v>
      </c>
      <c r="E559">
        <v>2</v>
      </c>
      <c r="F559" t="s">
        <v>201</v>
      </c>
      <c r="G559" t="s">
        <v>200</v>
      </c>
      <c r="H559" t="s">
        <v>735</v>
      </c>
      <c r="I559">
        <v>32</v>
      </c>
      <c r="J559" s="21">
        <v>45877</v>
      </c>
      <c r="K559" s="21">
        <v>45877</v>
      </c>
      <c r="L559" t="s">
        <v>1529</v>
      </c>
      <c r="M559" t="s">
        <v>737</v>
      </c>
      <c r="O559" t="s">
        <v>226</v>
      </c>
      <c r="P559">
        <v>1</v>
      </c>
      <c r="Q559">
        <v>1</v>
      </c>
      <c r="R559">
        <v>300</v>
      </c>
      <c r="S559">
        <v>300</v>
      </c>
      <c r="T559">
        <v>300</v>
      </c>
      <c r="U559" t="s">
        <v>391</v>
      </c>
      <c r="V559" t="s">
        <v>392</v>
      </c>
      <c r="W559" t="s">
        <v>392</v>
      </c>
      <c r="X559">
        <v>1</v>
      </c>
      <c r="Y559" t="s">
        <v>1477</v>
      </c>
      <c r="AA559">
        <v>2.7</v>
      </c>
      <c r="AB559">
        <v>810</v>
      </c>
      <c r="AC559">
        <v>810</v>
      </c>
    </row>
    <row r="560" spans="2:29" ht="15" customHeight="1" x14ac:dyDescent="0.15">
      <c r="B560">
        <v>4</v>
      </c>
      <c r="C560" t="s">
        <v>386</v>
      </c>
      <c r="D560" t="s">
        <v>1527</v>
      </c>
      <c r="E560">
        <v>3</v>
      </c>
      <c r="F560" t="s">
        <v>201</v>
      </c>
      <c r="G560" t="s">
        <v>200</v>
      </c>
      <c r="H560" t="s">
        <v>475</v>
      </c>
      <c r="I560">
        <v>32</v>
      </c>
      <c r="J560" s="21">
        <v>45877</v>
      </c>
      <c r="K560" s="21">
        <v>45877</v>
      </c>
      <c r="L560" t="s">
        <v>1530</v>
      </c>
      <c r="M560" t="s">
        <v>631</v>
      </c>
      <c r="O560" t="s">
        <v>226</v>
      </c>
      <c r="P560">
        <v>1</v>
      </c>
      <c r="Q560">
        <v>1</v>
      </c>
      <c r="R560">
        <v>150</v>
      </c>
      <c r="S560">
        <v>150</v>
      </c>
      <c r="T560">
        <v>150</v>
      </c>
      <c r="U560" t="s">
        <v>391</v>
      </c>
      <c r="V560" t="s">
        <v>392</v>
      </c>
      <c r="W560" t="s">
        <v>392</v>
      </c>
      <c r="X560">
        <v>1</v>
      </c>
      <c r="Y560" t="s">
        <v>1477</v>
      </c>
      <c r="AA560">
        <v>3.53</v>
      </c>
      <c r="AB560">
        <v>529.5</v>
      </c>
      <c r="AC560">
        <v>529.5</v>
      </c>
    </row>
    <row r="561" spans="2:29" ht="15" customHeight="1" x14ac:dyDescent="0.15">
      <c r="B561">
        <v>4</v>
      </c>
      <c r="C561" t="s">
        <v>386</v>
      </c>
      <c r="D561" t="s">
        <v>1527</v>
      </c>
      <c r="E561">
        <v>4</v>
      </c>
      <c r="F561" t="s">
        <v>201</v>
      </c>
      <c r="G561" t="s">
        <v>200</v>
      </c>
      <c r="H561" t="s">
        <v>635</v>
      </c>
      <c r="I561">
        <v>32</v>
      </c>
      <c r="J561" s="21">
        <v>45877</v>
      </c>
      <c r="K561" s="21">
        <v>45877</v>
      </c>
      <c r="L561" t="s">
        <v>1531</v>
      </c>
      <c r="M561" t="s">
        <v>204</v>
      </c>
      <c r="O561" t="s">
        <v>226</v>
      </c>
      <c r="P561">
        <v>1</v>
      </c>
      <c r="Q561">
        <v>1</v>
      </c>
      <c r="R561">
        <v>250</v>
      </c>
      <c r="S561">
        <v>250</v>
      </c>
      <c r="T561">
        <v>250</v>
      </c>
      <c r="U561" t="s">
        <v>391</v>
      </c>
      <c r="V561" t="s">
        <v>392</v>
      </c>
      <c r="W561" t="s">
        <v>392</v>
      </c>
      <c r="X561">
        <v>1</v>
      </c>
      <c r="Y561" t="s">
        <v>1477</v>
      </c>
      <c r="AA561">
        <v>2.06</v>
      </c>
      <c r="AB561">
        <v>514.5</v>
      </c>
      <c r="AC561">
        <v>514.5</v>
      </c>
    </row>
    <row r="562" spans="2:29" ht="15" customHeight="1" x14ac:dyDescent="0.15">
      <c r="B562">
        <v>4</v>
      </c>
      <c r="C562" t="s">
        <v>386</v>
      </c>
      <c r="D562" t="s">
        <v>1527</v>
      </c>
      <c r="E562">
        <v>5</v>
      </c>
      <c r="F562" t="s">
        <v>201</v>
      </c>
      <c r="G562" t="s">
        <v>200</v>
      </c>
      <c r="H562" t="s">
        <v>632</v>
      </c>
      <c r="I562">
        <v>32</v>
      </c>
      <c r="J562" s="21">
        <v>45877</v>
      </c>
      <c r="K562" s="21">
        <v>45877</v>
      </c>
      <c r="L562" t="s">
        <v>1532</v>
      </c>
      <c r="M562" t="s">
        <v>634</v>
      </c>
      <c r="O562" t="s">
        <v>226</v>
      </c>
      <c r="P562">
        <v>1</v>
      </c>
      <c r="Q562">
        <v>1</v>
      </c>
      <c r="R562">
        <v>250</v>
      </c>
      <c r="S562">
        <v>250</v>
      </c>
      <c r="T562">
        <v>250</v>
      </c>
      <c r="U562" t="s">
        <v>391</v>
      </c>
      <c r="V562" t="s">
        <v>392</v>
      </c>
      <c r="W562" t="s">
        <v>392</v>
      </c>
      <c r="X562">
        <v>1</v>
      </c>
      <c r="Y562" t="s">
        <v>1477</v>
      </c>
      <c r="AA562">
        <v>3.72</v>
      </c>
      <c r="AB562">
        <v>930</v>
      </c>
      <c r="AC562">
        <v>930</v>
      </c>
    </row>
    <row r="563" spans="2:29" ht="15" customHeight="1" x14ac:dyDescent="0.15">
      <c r="B563">
        <v>4</v>
      </c>
      <c r="C563" t="s">
        <v>386</v>
      </c>
      <c r="D563" t="s">
        <v>1533</v>
      </c>
      <c r="E563">
        <v>1</v>
      </c>
      <c r="F563" t="s">
        <v>201</v>
      </c>
      <c r="G563" t="s">
        <v>200</v>
      </c>
      <c r="H563" t="s">
        <v>471</v>
      </c>
      <c r="I563">
        <v>32</v>
      </c>
      <c r="J563" s="21">
        <v>45877</v>
      </c>
      <c r="K563" s="21">
        <v>45877</v>
      </c>
      <c r="L563" t="s">
        <v>1534</v>
      </c>
      <c r="M563" t="s">
        <v>942</v>
      </c>
      <c r="O563" t="s">
        <v>226</v>
      </c>
      <c r="P563">
        <v>1</v>
      </c>
      <c r="Q563">
        <v>1</v>
      </c>
      <c r="R563">
        <v>400</v>
      </c>
      <c r="S563">
        <v>400</v>
      </c>
      <c r="T563">
        <v>400</v>
      </c>
      <c r="U563" t="s">
        <v>391</v>
      </c>
      <c r="V563" t="s">
        <v>392</v>
      </c>
      <c r="W563" t="s">
        <v>392</v>
      </c>
      <c r="X563">
        <v>1</v>
      </c>
      <c r="Y563" t="s">
        <v>1535</v>
      </c>
      <c r="AA563">
        <v>1.98</v>
      </c>
      <c r="AB563">
        <v>792</v>
      </c>
      <c r="AC563">
        <v>792</v>
      </c>
    </row>
    <row r="564" spans="2:29" ht="15" customHeight="1" x14ac:dyDescent="0.15">
      <c r="B564">
        <v>4</v>
      </c>
      <c r="C564" t="s">
        <v>386</v>
      </c>
      <c r="D564" t="s">
        <v>1533</v>
      </c>
      <c r="E564">
        <v>2</v>
      </c>
      <c r="F564" t="s">
        <v>201</v>
      </c>
      <c r="G564" t="s">
        <v>200</v>
      </c>
      <c r="H564" t="s">
        <v>735</v>
      </c>
      <c r="I564">
        <v>32</v>
      </c>
      <c r="J564" s="21">
        <v>45877</v>
      </c>
      <c r="K564" s="21">
        <v>45877</v>
      </c>
      <c r="L564" t="s">
        <v>1536</v>
      </c>
      <c r="M564" t="s">
        <v>737</v>
      </c>
      <c r="O564" t="s">
        <v>226</v>
      </c>
      <c r="P564">
        <v>1</v>
      </c>
      <c r="Q564">
        <v>1</v>
      </c>
      <c r="R564">
        <v>600</v>
      </c>
      <c r="S564">
        <v>600</v>
      </c>
      <c r="T564">
        <v>600</v>
      </c>
      <c r="U564" t="s">
        <v>391</v>
      </c>
      <c r="V564" t="s">
        <v>392</v>
      </c>
      <c r="W564" t="s">
        <v>392</v>
      </c>
      <c r="X564">
        <v>1</v>
      </c>
      <c r="Y564" t="s">
        <v>1535</v>
      </c>
      <c r="AA564">
        <v>2.7</v>
      </c>
      <c r="AB564" s="22">
        <v>1620</v>
      </c>
      <c r="AC564" s="22">
        <v>1620</v>
      </c>
    </row>
    <row r="565" spans="2:29" ht="15" customHeight="1" x14ac:dyDescent="0.15">
      <c r="B565">
        <v>4</v>
      </c>
      <c r="C565" t="s">
        <v>386</v>
      </c>
      <c r="D565" t="s">
        <v>1533</v>
      </c>
      <c r="E565">
        <v>3</v>
      </c>
      <c r="F565" t="s">
        <v>201</v>
      </c>
      <c r="G565" t="s">
        <v>200</v>
      </c>
      <c r="H565" t="s">
        <v>475</v>
      </c>
      <c r="I565">
        <v>32</v>
      </c>
      <c r="J565" s="21">
        <v>45877</v>
      </c>
      <c r="K565" s="21">
        <v>45877</v>
      </c>
      <c r="L565" t="s">
        <v>1537</v>
      </c>
      <c r="M565" t="s">
        <v>631</v>
      </c>
      <c r="O565" t="s">
        <v>226</v>
      </c>
      <c r="P565">
        <v>1</v>
      </c>
      <c r="Q565">
        <v>1</v>
      </c>
      <c r="R565">
        <v>300</v>
      </c>
      <c r="S565">
        <v>300</v>
      </c>
      <c r="T565">
        <v>300</v>
      </c>
      <c r="U565" t="s">
        <v>391</v>
      </c>
      <c r="V565" t="s">
        <v>392</v>
      </c>
      <c r="W565" t="s">
        <v>392</v>
      </c>
      <c r="X565">
        <v>1</v>
      </c>
      <c r="Y565" t="s">
        <v>1535</v>
      </c>
      <c r="AA565">
        <v>3.53</v>
      </c>
      <c r="AB565" s="22">
        <v>1059</v>
      </c>
      <c r="AC565" s="22">
        <v>1059</v>
      </c>
    </row>
    <row r="566" spans="2:29" ht="15" customHeight="1" x14ac:dyDescent="0.15">
      <c r="B566">
        <v>4</v>
      </c>
      <c r="C566" t="s">
        <v>386</v>
      </c>
      <c r="D566" t="s">
        <v>1533</v>
      </c>
      <c r="E566">
        <v>4</v>
      </c>
      <c r="F566" t="s">
        <v>201</v>
      </c>
      <c r="G566" t="s">
        <v>200</v>
      </c>
      <c r="H566" t="s">
        <v>635</v>
      </c>
      <c r="I566">
        <v>32</v>
      </c>
      <c r="J566" s="21">
        <v>45877</v>
      </c>
      <c r="K566" s="21">
        <v>45877</v>
      </c>
      <c r="L566" t="s">
        <v>1538</v>
      </c>
      <c r="M566" t="s">
        <v>204</v>
      </c>
      <c r="O566" t="s">
        <v>226</v>
      </c>
      <c r="P566">
        <v>1</v>
      </c>
      <c r="Q566">
        <v>1</v>
      </c>
      <c r="R566">
        <v>400</v>
      </c>
      <c r="S566">
        <v>400</v>
      </c>
      <c r="T566">
        <v>400</v>
      </c>
      <c r="U566" t="s">
        <v>391</v>
      </c>
      <c r="V566" t="s">
        <v>392</v>
      </c>
      <c r="W566" t="s">
        <v>392</v>
      </c>
      <c r="X566">
        <v>1</v>
      </c>
      <c r="Y566" t="s">
        <v>1535</v>
      </c>
      <c r="AA566">
        <v>2.06</v>
      </c>
      <c r="AB566">
        <v>823.2</v>
      </c>
      <c r="AC566">
        <v>823.2</v>
      </c>
    </row>
    <row r="567" spans="2:29" ht="15" customHeight="1" x14ac:dyDescent="0.15">
      <c r="B567">
        <v>4</v>
      </c>
      <c r="C567" t="s">
        <v>386</v>
      </c>
      <c r="D567" t="s">
        <v>1533</v>
      </c>
      <c r="E567">
        <v>5</v>
      </c>
      <c r="F567" t="s">
        <v>201</v>
      </c>
      <c r="G567" t="s">
        <v>200</v>
      </c>
      <c r="H567" t="s">
        <v>632</v>
      </c>
      <c r="I567">
        <v>32</v>
      </c>
      <c r="J567" s="21">
        <v>45877</v>
      </c>
      <c r="K567" s="21">
        <v>45877</v>
      </c>
      <c r="L567" t="s">
        <v>1539</v>
      </c>
      <c r="M567" t="s">
        <v>634</v>
      </c>
      <c r="O567" t="s">
        <v>226</v>
      </c>
      <c r="P567">
        <v>1</v>
      </c>
      <c r="Q567">
        <v>1</v>
      </c>
      <c r="R567">
        <v>400</v>
      </c>
      <c r="S567">
        <v>400</v>
      </c>
      <c r="T567">
        <v>400</v>
      </c>
      <c r="U567" t="s">
        <v>391</v>
      </c>
      <c r="V567" t="s">
        <v>392</v>
      </c>
      <c r="W567" t="s">
        <v>392</v>
      </c>
      <c r="X567">
        <v>1</v>
      </c>
      <c r="Y567" t="s">
        <v>1535</v>
      </c>
      <c r="AA567">
        <v>3.72</v>
      </c>
      <c r="AB567" s="22">
        <v>1488</v>
      </c>
      <c r="AC567" s="22">
        <v>1488</v>
      </c>
    </row>
    <row r="568" spans="2:29" ht="15" customHeight="1" x14ac:dyDescent="0.15">
      <c r="B568">
        <v>4</v>
      </c>
      <c r="C568" t="s">
        <v>386</v>
      </c>
      <c r="D568" t="s">
        <v>1540</v>
      </c>
      <c r="E568">
        <v>1</v>
      </c>
      <c r="F568" t="s">
        <v>219</v>
      </c>
      <c r="G568" t="s">
        <v>244</v>
      </c>
      <c r="H568" t="s">
        <v>1513</v>
      </c>
      <c r="I568">
        <v>32</v>
      </c>
      <c r="J568" s="21">
        <v>45877</v>
      </c>
      <c r="K568" s="21">
        <v>45877</v>
      </c>
      <c r="L568" t="s">
        <v>1541</v>
      </c>
      <c r="M568" t="s">
        <v>1515</v>
      </c>
      <c r="O568" t="s">
        <v>220</v>
      </c>
      <c r="P568">
        <v>1</v>
      </c>
      <c r="Q568">
        <v>1</v>
      </c>
      <c r="R568">
        <v>2</v>
      </c>
      <c r="S568">
        <v>2</v>
      </c>
      <c r="T568">
        <v>2</v>
      </c>
      <c r="U568" t="s">
        <v>391</v>
      </c>
      <c r="V568" t="s">
        <v>392</v>
      </c>
      <c r="W568" t="s">
        <v>392</v>
      </c>
      <c r="X568">
        <v>1</v>
      </c>
      <c r="Y568" t="s">
        <v>710</v>
      </c>
      <c r="AA568">
        <v>75.19</v>
      </c>
      <c r="AB568">
        <v>150.38</v>
      </c>
      <c r="AC568">
        <v>150.38</v>
      </c>
    </row>
    <row r="569" spans="2:29" ht="15" customHeight="1" x14ac:dyDescent="0.15">
      <c r="B569">
        <v>4</v>
      </c>
      <c r="C569" t="s">
        <v>386</v>
      </c>
      <c r="D569" t="s">
        <v>1542</v>
      </c>
      <c r="E569">
        <v>1</v>
      </c>
      <c r="F569" t="s">
        <v>219</v>
      </c>
      <c r="G569" t="s">
        <v>244</v>
      </c>
      <c r="H569" t="s">
        <v>1513</v>
      </c>
      <c r="I569">
        <v>32</v>
      </c>
      <c r="J569" s="21">
        <v>45877</v>
      </c>
      <c r="K569" s="21">
        <v>45877</v>
      </c>
      <c r="L569" t="s">
        <v>1543</v>
      </c>
      <c r="M569" t="s">
        <v>1515</v>
      </c>
      <c r="O569" t="s">
        <v>220</v>
      </c>
      <c r="P569">
        <v>1</v>
      </c>
      <c r="Q569">
        <v>1</v>
      </c>
      <c r="R569">
        <v>2</v>
      </c>
      <c r="S569">
        <v>2</v>
      </c>
      <c r="T569">
        <v>2</v>
      </c>
      <c r="U569" t="s">
        <v>391</v>
      </c>
      <c r="V569" t="s">
        <v>392</v>
      </c>
      <c r="W569" t="s">
        <v>392</v>
      </c>
      <c r="X569">
        <v>1</v>
      </c>
      <c r="Y569" t="s">
        <v>1377</v>
      </c>
      <c r="AA569">
        <v>75.19</v>
      </c>
      <c r="AB569">
        <v>150.38</v>
      </c>
      <c r="AC569">
        <v>150.38</v>
      </c>
    </row>
    <row r="570" spans="2:29" ht="15" customHeight="1" x14ac:dyDescent="0.15">
      <c r="B570">
        <v>4</v>
      </c>
      <c r="C570" t="s">
        <v>386</v>
      </c>
      <c r="D570" t="s">
        <v>1544</v>
      </c>
      <c r="E570">
        <v>1</v>
      </c>
      <c r="F570" t="s">
        <v>219</v>
      </c>
      <c r="G570" t="s">
        <v>1292</v>
      </c>
      <c r="H570" t="s">
        <v>1293</v>
      </c>
      <c r="I570">
        <v>32</v>
      </c>
      <c r="J570" s="21">
        <v>45878</v>
      </c>
      <c r="K570" s="21">
        <v>45878</v>
      </c>
      <c r="L570" t="s">
        <v>1545</v>
      </c>
      <c r="M570" t="s">
        <v>1295</v>
      </c>
      <c r="O570" t="s">
        <v>220</v>
      </c>
      <c r="P570">
        <v>5</v>
      </c>
      <c r="Q570">
        <v>2.5</v>
      </c>
      <c r="R570">
        <v>3</v>
      </c>
      <c r="S570">
        <v>15</v>
      </c>
      <c r="T570">
        <v>7.5</v>
      </c>
      <c r="U570" t="s">
        <v>1050</v>
      </c>
      <c r="V570" t="s">
        <v>847</v>
      </c>
      <c r="W570" t="s">
        <v>532</v>
      </c>
      <c r="X570">
        <v>2</v>
      </c>
      <c r="Y570" t="s">
        <v>1296</v>
      </c>
      <c r="AA570">
        <v>19.75</v>
      </c>
      <c r="AB570">
        <v>296.25</v>
      </c>
      <c r="AC570">
        <v>148.13</v>
      </c>
    </row>
    <row r="571" spans="2:29" ht="15" customHeight="1" x14ac:dyDescent="0.15">
      <c r="B571">
        <v>4</v>
      </c>
      <c r="C571" t="s">
        <v>386</v>
      </c>
      <c r="D571" t="s">
        <v>1544</v>
      </c>
      <c r="E571">
        <v>2</v>
      </c>
      <c r="F571" t="s">
        <v>219</v>
      </c>
      <c r="G571" t="s">
        <v>223</v>
      </c>
      <c r="H571" t="s">
        <v>987</v>
      </c>
      <c r="I571">
        <v>32</v>
      </c>
      <c r="J571" s="21">
        <v>45878</v>
      </c>
      <c r="K571" s="21">
        <v>45878</v>
      </c>
      <c r="L571" t="s">
        <v>1546</v>
      </c>
      <c r="M571" t="s">
        <v>222</v>
      </c>
      <c r="O571" t="s">
        <v>220</v>
      </c>
      <c r="P571">
        <v>5</v>
      </c>
      <c r="Q571">
        <v>2.5</v>
      </c>
      <c r="R571">
        <v>3</v>
      </c>
      <c r="S571">
        <v>15</v>
      </c>
      <c r="T571">
        <v>7.5</v>
      </c>
      <c r="U571" t="s">
        <v>1050</v>
      </c>
      <c r="V571" t="s">
        <v>847</v>
      </c>
      <c r="W571" t="s">
        <v>532</v>
      </c>
      <c r="X571">
        <v>2</v>
      </c>
      <c r="Y571" t="s">
        <v>1296</v>
      </c>
      <c r="AA571">
        <v>13.47</v>
      </c>
      <c r="AB571">
        <v>202.05</v>
      </c>
      <c r="AC571">
        <v>101.03</v>
      </c>
    </row>
    <row r="572" spans="2:29" ht="15" customHeight="1" x14ac:dyDescent="0.15">
      <c r="B572">
        <v>4</v>
      </c>
      <c r="C572" t="s">
        <v>386</v>
      </c>
      <c r="D572" t="s">
        <v>1544</v>
      </c>
      <c r="E572">
        <v>3</v>
      </c>
      <c r="F572" t="s">
        <v>219</v>
      </c>
      <c r="G572" t="s">
        <v>223</v>
      </c>
      <c r="H572" t="s">
        <v>1298</v>
      </c>
      <c r="I572">
        <v>32</v>
      </c>
      <c r="J572" s="21">
        <v>45878</v>
      </c>
      <c r="K572" s="21">
        <v>45878</v>
      </c>
      <c r="L572" t="s">
        <v>1547</v>
      </c>
      <c r="M572" t="s">
        <v>1300</v>
      </c>
      <c r="O572" t="s">
        <v>220</v>
      </c>
      <c r="P572">
        <v>5</v>
      </c>
      <c r="Q572">
        <v>2.5</v>
      </c>
      <c r="R572">
        <v>3</v>
      </c>
      <c r="S572">
        <v>15</v>
      </c>
      <c r="T572">
        <v>7.5</v>
      </c>
      <c r="U572" t="s">
        <v>1050</v>
      </c>
      <c r="V572" t="s">
        <v>847</v>
      </c>
      <c r="W572" t="s">
        <v>532</v>
      </c>
      <c r="X572">
        <v>2</v>
      </c>
      <c r="Y572" t="s">
        <v>1296</v>
      </c>
      <c r="AA572">
        <v>30.4</v>
      </c>
      <c r="AB572">
        <v>456</v>
      </c>
      <c r="AC572">
        <v>228</v>
      </c>
    </row>
    <row r="573" spans="2:29" ht="15" customHeight="1" x14ac:dyDescent="0.15">
      <c r="B573">
        <v>4</v>
      </c>
      <c r="C573" t="s">
        <v>386</v>
      </c>
      <c r="D573" t="s">
        <v>1548</v>
      </c>
      <c r="E573">
        <v>1</v>
      </c>
      <c r="F573" t="s">
        <v>219</v>
      </c>
      <c r="G573" t="s">
        <v>231</v>
      </c>
      <c r="H573" t="s">
        <v>433</v>
      </c>
      <c r="I573">
        <v>32</v>
      </c>
      <c r="J573" s="21">
        <v>45878</v>
      </c>
      <c r="K573" s="21">
        <v>45880</v>
      </c>
      <c r="L573" t="s">
        <v>1549</v>
      </c>
      <c r="M573" t="s">
        <v>1030</v>
      </c>
      <c r="O573" t="s">
        <v>220</v>
      </c>
      <c r="P573">
        <v>2</v>
      </c>
      <c r="Q573">
        <v>1</v>
      </c>
      <c r="R573">
        <v>0.12</v>
      </c>
      <c r="S573">
        <v>0.24</v>
      </c>
      <c r="T573">
        <v>0.12</v>
      </c>
      <c r="U573" t="s">
        <v>1050</v>
      </c>
      <c r="V573" t="s">
        <v>847</v>
      </c>
      <c r="W573" t="s">
        <v>532</v>
      </c>
      <c r="X573">
        <v>2</v>
      </c>
      <c r="Y573" t="s">
        <v>438</v>
      </c>
      <c r="AA573">
        <v>21.83</v>
      </c>
      <c r="AB573">
        <v>5.24</v>
      </c>
      <c r="AC573">
        <v>2.62</v>
      </c>
    </row>
    <row r="574" spans="2:29" ht="15" customHeight="1" x14ac:dyDescent="0.15">
      <c r="B574">
        <v>4</v>
      </c>
      <c r="C574" t="s">
        <v>386</v>
      </c>
      <c r="D574" t="s">
        <v>1548</v>
      </c>
      <c r="E574">
        <v>2</v>
      </c>
      <c r="F574" t="s">
        <v>219</v>
      </c>
      <c r="G574" t="s">
        <v>439</v>
      </c>
      <c r="H574" t="s">
        <v>533</v>
      </c>
      <c r="I574">
        <v>32</v>
      </c>
      <c r="J574" s="21">
        <v>45878</v>
      </c>
      <c r="K574" s="21">
        <v>45880</v>
      </c>
      <c r="L574" t="s">
        <v>1550</v>
      </c>
      <c r="M574" t="s">
        <v>535</v>
      </c>
      <c r="O574" t="s">
        <v>220</v>
      </c>
      <c r="P574">
        <v>2</v>
      </c>
      <c r="Q574">
        <v>1</v>
      </c>
      <c r="R574">
        <v>1.5</v>
      </c>
      <c r="S574">
        <v>3</v>
      </c>
      <c r="T574">
        <v>1.5</v>
      </c>
      <c r="U574" t="s">
        <v>1050</v>
      </c>
      <c r="V574" t="s">
        <v>847</v>
      </c>
      <c r="W574" t="s">
        <v>532</v>
      </c>
      <c r="X574">
        <v>2</v>
      </c>
      <c r="Y574" t="s">
        <v>438</v>
      </c>
      <c r="AA574">
        <v>38.14</v>
      </c>
      <c r="AB574">
        <v>114.42</v>
      </c>
      <c r="AC574">
        <v>57.21</v>
      </c>
    </row>
    <row r="575" spans="2:29" ht="15" customHeight="1" x14ac:dyDescent="0.15">
      <c r="B575">
        <v>4</v>
      </c>
      <c r="C575" t="s">
        <v>386</v>
      </c>
      <c r="D575" t="s">
        <v>1551</v>
      </c>
      <c r="E575">
        <v>1</v>
      </c>
      <c r="F575" t="s">
        <v>219</v>
      </c>
      <c r="G575" t="s">
        <v>231</v>
      </c>
      <c r="H575" t="s">
        <v>433</v>
      </c>
      <c r="I575">
        <v>32</v>
      </c>
      <c r="J575" s="21">
        <v>45878</v>
      </c>
      <c r="K575" s="21">
        <v>45878</v>
      </c>
      <c r="L575" t="s">
        <v>1552</v>
      </c>
      <c r="M575" t="s">
        <v>1030</v>
      </c>
      <c r="O575" t="s">
        <v>220</v>
      </c>
      <c r="P575">
        <v>3</v>
      </c>
      <c r="Q575">
        <v>3</v>
      </c>
      <c r="R575">
        <v>0.15</v>
      </c>
      <c r="S575">
        <v>0.45</v>
      </c>
      <c r="T575">
        <v>0.45</v>
      </c>
      <c r="U575" t="s">
        <v>391</v>
      </c>
      <c r="V575" t="s">
        <v>392</v>
      </c>
      <c r="W575" t="s">
        <v>392</v>
      </c>
      <c r="X575">
        <v>1</v>
      </c>
      <c r="Y575" t="s">
        <v>1477</v>
      </c>
      <c r="AA575">
        <v>21.83</v>
      </c>
      <c r="AB575">
        <v>9.82</v>
      </c>
      <c r="AC575">
        <v>9.82</v>
      </c>
    </row>
    <row r="576" spans="2:29" ht="15" customHeight="1" x14ac:dyDescent="0.15">
      <c r="B576">
        <v>4</v>
      </c>
      <c r="C576" t="s">
        <v>386</v>
      </c>
      <c r="D576" t="s">
        <v>1551</v>
      </c>
      <c r="E576">
        <v>2</v>
      </c>
      <c r="F576" t="s">
        <v>219</v>
      </c>
      <c r="G576" t="s">
        <v>218</v>
      </c>
      <c r="H576" t="s">
        <v>397</v>
      </c>
      <c r="I576">
        <v>32</v>
      </c>
      <c r="J576" s="21">
        <v>45878</v>
      </c>
      <c r="K576" s="21">
        <v>45878</v>
      </c>
      <c r="L576" t="s">
        <v>1553</v>
      </c>
      <c r="M576" t="s">
        <v>454</v>
      </c>
      <c r="O576" t="s">
        <v>220</v>
      </c>
      <c r="P576">
        <v>3</v>
      </c>
      <c r="Q576">
        <v>3</v>
      </c>
      <c r="R576">
        <v>0.15</v>
      </c>
      <c r="S576">
        <v>0.45</v>
      </c>
      <c r="T576">
        <v>0.45</v>
      </c>
      <c r="U576" t="s">
        <v>391</v>
      </c>
      <c r="V576" t="s">
        <v>392</v>
      </c>
      <c r="W576" t="s">
        <v>392</v>
      </c>
      <c r="X576">
        <v>1</v>
      </c>
      <c r="Y576" t="s">
        <v>1477</v>
      </c>
      <c r="AA576">
        <v>686.05</v>
      </c>
      <c r="AB576">
        <v>308.72000000000003</v>
      </c>
      <c r="AC576">
        <v>308.72000000000003</v>
      </c>
    </row>
    <row r="577" spans="2:29" ht="15" customHeight="1" x14ac:dyDescent="0.15">
      <c r="B577">
        <v>4</v>
      </c>
      <c r="C577" t="s">
        <v>386</v>
      </c>
      <c r="D577" t="s">
        <v>1551</v>
      </c>
      <c r="E577">
        <v>3</v>
      </c>
      <c r="F577" t="s">
        <v>219</v>
      </c>
      <c r="G577" t="s">
        <v>218</v>
      </c>
      <c r="H577" t="s">
        <v>911</v>
      </c>
      <c r="I577">
        <v>32</v>
      </c>
      <c r="J577" s="21">
        <v>45878</v>
      </c>
      <c r="K577" s="21">
        <v>45878</v>
      </c>
      <c r="L577" t="s">
        <v>1554</v>
      </c>
      <c r="M577" t="s">
        <v>913</v>
      </c>
      <c r="O577" t="s">
        <v>220</v>
      </c>
      <c r="P577">
        <v>3</v>
      </c>
      <c r="Q577">
        <v>3</v>
      </c>
      <c r="R577">
        <v>0.25</v>
      </c>
      <c r="S577">
        <v>0.75</v>
      </c>
      <c r="T577">
        <v>0.75</v>
      </c>
      <c r="U577" t="s">
        <v>391</v>
      </c>
      <c r="V577" t="s">
        <v>392</v>
      </c>
      <c r="W577" t="s">
        <v>392</v>
      </c>
      <c r="X577">
        <v>1</v>
      </c>
      <c r="Y577" t="s">
        <v>1477</v>
      </c>
      <c r="AA577">
        <v>91.24</v>
      </c>
      <c r="AB577">
        <v>68.430000000000007</v>
      </c>
      <c r="AC577">
        <v>68.430000000000007</v>
      </c>
    </row>
    <row r="578" spans="2:29" ht="15" customHeight="1" x14ac:dyDescent="0.15">
      <c r="B578">
        <v>4</v>
      </c>
      <c r="C578" t="s">
        <v>386</v>
      </c>
      <c r="D578" t="s">
        <v>1551</v>
      </c>
      <c r="E578">
        <v>4</v>
      </c>
      <c r="F578" t="s">
        <v>219</v>
      </c>
      <c r="G578" t="s">
        <v>218</v>
      </c>
      <c r="H578" t="s">
        <v>686</v>
      </c>
      <c r="I578">
        <v>32</v>
      </c>
      <c r="J578" s="21">
        <v>45878</v>
      </c>
      <c r="K578" s="21">
        <v>45878</v>
      </c>
      <c r="L578" t="s">
        <v>1555</v>
      </c>
      <c r="M578" t="s">
        <v>1219</v>
      </c>
      <c r="O578" t="s">
        <v>220</v>
      </c>
      <c r="P578">
        <v>3</v>
      </c>
      <c r="Q578">
        <v>3</v>
      </c>
      <c r="R578">
        <v>0.15</v>
      </c>
      <c r="S578">
        <v>0.45</v>
      </c>
      <c r="T578">
        <v>0.45</v>
      </c>
      <c r="U578" t="s">
        <v>391</v>
      </c>
      <c r="V578" t="s">
        <v>392</v>
      </c>
      <c r="W578" t="s">
        <v>392</v>
      </c>
      <c r="X578">
        <v>1</v>
      </c>
      <c r="Y578" t="s">
        <v>1477</v>
      </c>
      <c r="AA578">
        <v>163</v>
      </c>
      <c r="AB578">
        <v>73.349999999999994</v>
      </c>
      <c r="AC578">
        <v>73.349999999999994</v>
      </c>
    </row>
    <row r="579" spans="2:29" ht="15" customHeight="1" x14ac:dyDescent="0.15">
      <c r="B579">
        <v>4</v>
      </c>
      <c r="C579" t="s">
        <v>386</v>
      </c>
      <c r="D579" t="s">
        <v>1551</v>
      </c>
      <c r="E579">
        <v>5</v>
      </c>
      <c r="F579" t="s">
        <v>219</v>
      </c>
      <c r="G579" t="s">
        <v>239</v>
      </c>
      <c r="H579" t="s">
        <v>1196</v>
      </c>
      <c r="I579">
        <v>32</v>
      </c>
      <c r="J579" s="21">
        <v>45878</v>
      </c>
      <c r="K579" s="21">
        <v>45878</v>
      </c>
      <c r="L579" t="s">
        <v>1556</v>
      </c>
      <c r="M579" t="s">
        <v>1198</v>
      </c>
      <c r="O579" t="s">
        <v>220</v>
      </c>
      <c r="P579">
        <v>3</v>
      </c>
      <c r="Q579">
        <v>3</v>
      </c>
      <c r="R579">
        <v>0.5</v>
      </c>
      <c r="S579">
        <v>1.5</v>
      </c>
      <c r="T579">
        <v>1.5</v>
      </c>
      <c r="U579" t="s">
        <v>391</v>
      </c>
      <c r="V579" t="s">
        <v>392</v>
      </c>
      <c r="W579" t="s">
        <v>392</v>
      </c>
      <c r="X579">
        <v>1</v>
      </c>
      <c r="Y579" t="s">
        <v>1477</v>
      </c>
      <c r="AA579">
        <v>27.82</v>
      </c>
      <c r="AB579">
        <v>41.73</v>
      </c>
      <c r="AC579">
        <v>41.73</v>
      </c>
    </row>
    <row r="580" spans="2:29" ht="15" customHeight="1" x14ac:dyDescent="0.15">
      <c r="B580">
        <v>4</v>
      </c>
      <c r="C580" t="s">
        <v>386</v>
      </c>
      <c r="D580" t="s">
        <v>1551</v>
      </c>
      <c r="E580">
        <v>6</v>
      </c>
      <c r="F580" t="s">
        <v>219</v>
      </c>
      <c r="G580" t="s">
        <v>244</v>
      </c>
      <c r="H580" t="s">
        <v>877</v>
      </c>
      <c r="I580">
        <v>32</v>
      </c>
      <c r="J580" s="21">
        <v>45878</v>
      </c>
      <c r="K580" s="21">
        <v>45878</v>
      </c>
      <c r="L580" t="s">
        <v>1557</v>
      </c>
      <c r="M580" t="s">
        <v>1492</v>
      </c>
      <c r="O580" t="s">
        <v>226</v>
      </c>
      <c r="P580">
        <v>1</v>
      </c>
      <c r="Q580">
        <v>1</v>
      </c>
      <c r="R580">
        <v>0.375</v>
      </c>
      <c r="S580">
        <v>0.375</v>
      </c>
      <c r="T580">
        <v>0.38</v>
      </c>
      <c r="U580" t="s">
        <v>391</v>
      </c>
      <c r="V580" t="s">
        <v>392</v>
      </c>
      <c r="W580" t="s">
        <v>392</v>
      </c>
      <c r="X580">
        <v>1</v>
      </c>
      <c r="Y580" t="s">
        <v>1477</v>
      </c>
      <c r="AA580">
        <v>850</v>
      </c>
      <c r="AB580">
        <v>318.75</v>
      </c>
      <c r="AC580">
        <v>318.75</v>
      </c>
    </row>
    <row r="581" spans="2:29" ht="15" customHeight="1" x14ac:dyDescent="0.15">
      <c r="B581">
        <v>4</v>
      </c>
      <c r="C581" t="s">
        <v>386</v>
      </c>
      <c r="D581" t="s">
        <v>1551</v>
      </c>
      <c r="E581">
        <v>7</v>
      </c>
      <c r="F581" t="s">
        <v>219</v>
      </c>
      <c r="G581" t="s">
        <v>244</v>
      </c>
      <c r="H581" t="s">
        <v>1493</v>
      </c>
      <c r="I581">
        <v>32</v>
      </c>
      <c r="J581" s="21">
        <v>45878</v>
      </c>
      <c r="K581" s="21">
        <v>45878</v>
      </c>
      <c r="L581" t="s">
        <v>1558</v>
      </c>
      <c r="M581" t="s">
        <v>1495</v>
      </c>
      <c r="O581" t="s">
        <v>226</v>
      </c>
      <c r="P581">
        <v>1</v>
      </c>
      <c r="Q581">
        <v>1</v>
      </c>
      <c r="R581">
        <v>7.4999999999999997E-2</v>
      </c>
      <c r="S581">
        <v>7.4999999999999997E-2</v>
      </c>
      <c r="T581">
        <v>0.08</v>
      </c>
      <c r="U581" t="s">
        <v>391</v>
      </c>
      <c r="V581" t="s">
        <v>392</v>
      </c>
      <c r="W581" t="s">
        <v>392</v>
      </c>
      <c r="X581">
        <v>1</v>
      </c>
      <c r="Y581" t="s">
        <v>1477</v>
      </c>
      <c r="AB581">
        <v>0</v>
      </c>
      <c r="AC581">
        <v>0</v>
      </c>
    </row>
    <row r="582" spans="2:29" ht="15" customHeight="1" x14ac:dyDescent="0.15">
      <c r="B582">
        <v>4</v>
      </c>
      <c r="C582" t="s">
        <v>386</v>
      </c>
      <c r="D582" t="s">
        <v>1559</v>
      </c>
      <c r="E582">
        <v>1</v>
      </c>
      <c r="F582" t="s">
        <v>219</v>
      </c>
      <c r="G582" t="s">
        <v>223</v>
      </c>
      <c r="H582" t="s">
        <v>1298</v>
      </c>
      <c r="I582">
        <v>32</v>
      </c>
      <c r="J582" s="21">
        <v>45878</v>
      </c>
      <c r="K582" s="21">
        <v>45878</v>
      </c>
      <c r="L582" t="s">
        <v>1560</v>
      </c>
      <c r="M582" t="s">
        <v>1300</v>
      </c>
      <c r="O582" t="s">
        <v>220</v>
      </c>
      <c r="P582">
        <v>1</v>
      </c>
      <c r="Q582">
        <v>1</v>
      </c>
      <c r="R582">
        <v>4</v>
      </c>
      <c r="S582">
        <v>4</v>
      </c>
      <c r="T582">
        <v>4</v>
      </c>
      <c r="U582" t="s">
        <v>391</v>
      </c>
      <c r="V582" t="s">
        <v>392</v>
      </c>
      <c r="W582" t="s">
        <v>392</v>
      </c>
      <c r="X582">
        <v>1</v>
      </c>
      <c r="Y582" t="s">
        <v>893</v>
      </c>
      <c r="AA582">
        <v>30.4</v>
      </c>
      <c r="AB582">
        <v>121.6</v>
      </c>
      <c r="AC582">
        <v>121.6</v>
      </c>
    </row>
    <row r="583" spans="2:29" ht="15" customHeight="1" x14ac:dyDescent="0.15">
      <c r="B583">
        <v>4</v>
      </c>
      <c r="C583" t="s">
        <v>386</v>
      </c>
      <c r="D583" t="s">
        <v>1559</v>
      </c>
      <c r="E583">
        <v>2</v>
      </c>
      <c r="F583" t="s">
        <v>219</v>
      </c>
      <c r="G583" t="s">
        <v>231</v>
      </c>
      <c r="H583" t="s">
        <v>433</v>
      </c>
      <c r="I583">
        <v>32</v>
      </c>
      <c r="J583" s="21">
        <v>45878</v>
      </c>
      <c r="K583" s="21">
        <v>45878</v>
      </c>
      <c r="L583" t="s">
        <v>1561</v>
      </c>
      <c r="M583" t="s">
        <v>1030</v>
      </c>
      <c r="O583" t="s">
        <v>220</v>
      </c>
      <c r="P583">
        <v>1</v>
      </c>
      <c r="Q583">
        <v>1</v>
      </c>
      <c r="R583">
        <v>1</v>
      </c>
      <c r="S583">
        <v>1</v>
      </c>
      <c r="T583">
        <v>1</v>
      </c>
      <c r="U583" t="s">
        <v>391</v>
      </c>
      <c r="V583" t="s">
        <v>392</v>
      </c>
      <c r="W583" t="s">
        <v>392</v>
      </c>
      <c r="X583">
        <v>1</v>
      </c>
      <c r="Y583" t="s">
        <v>893</v>
      </c>
      <c r="AA583">
        <v>21.83</v>
      </c>
      <c r="AB583">
        <v>21.83</v>
      </c>
      <c r="AC583">
        <v>21.83</v>
      </c>
    </row>
    <row r="584" spans="2:29" ht="15" customHeight="1" x14ac:dyDescent="0.15">
      <c r="B584">
        <v>4</v>
      </c>
      <c r="C584" t="s">
        <v>386</v>
      </c>
      <c r="D584" t="s">
        <v>1559</v>
      </c>
      <c r="E584">
        <v>3</v>
      </c>
      <c r="F584" t="s">
        <v>219</v>
      </c>
      <c r="G584" t="s">
        <v>218</v>
      </c>
      <c r="H584" t="s">
        <v>667</v>
      </c>
      <c r="I584">
        <v>32</v>
      </c>
      <c r="J584" s="21">
        <v>45878</v>
      </c>
      <c r="K584" s="21">
        <v>45878</v>
      </c>
      <c r="L584" t="s">
        <v>1562</v>
      </c>
      <c r="M584" t="s">
        <v>355</v>
      </c>
      <c r="O584" t="s">
        <v>226</v>
      </c>
      <c r="P584">
        <v>1</v>
      </c>
      <c r="Q584">
        <v>1</v>
      </c>
      <c r="R584">
        <v>4</v>
      </c>
      <c r="S584">
        <v>4</v>
      </c>
      <c r="T584">
        <v>4</v>
      </c>
      <c r="U584" t="s">
        <v>391</v>
      </c>
      <c r="V584" t="s">
        <v>392</v>
      </c>
      <c r="W584" t="s">
        <v>392</v>
      </c>
      <c r="X584">
        <v>1</v>
      </c>
      <c r="Y584" t="s">
        <v>893</v>
      </c>
      <c r="AA584">
        <v>1.2</v>
      </c>
      <c r="AB584">
        <v>4.8</v>
      </c>
      <c r="AC584">
        <v>4.8</v>
      </c>
    </row>
    <row r="585" spans="2:29" ht="15" customHeight="1" x14ac:dyDescent="0.15">
      <c r="B585">
        <v>4</v>
      </c>
      <c r="C585" t="s">
        <v>386</v>
      </c>
      <c r="D585" t="s">
        <v>1559</v>
      </c>
      <c r="E585">
        <v>4</v>
      </c>
      <c r="F585" t="s">
        <v>219</v>
      </c>
      <c r="G585" t="s">
        <v>239</v>
      </c>
      <c r="H585" t="s">
        <v>551</v>
      </c>
      <c r="I585">
        <v>32</v>
      </c>
      <c r="J585" s="21">
        <v>45878</v>
      </c>
      <c r="K585" s="21">
        <v>45878</v>
      </c>
      <c r="L585" t="s">
        <v>1563</v>
      </c>
      <c r="M585" t="s">
        <v>1165</v>
      </c>
      <c r="O585" t="s">
        <v>226</v>
      </c>
      <c r="P585">
        <v>1</v>
      </c>
      <c r="Q585">
        <v>1</v>
      </c>
      <c r="R585">
        <v>0.5</v>
      </c>
      <c r="S585">
        <v>0.5</v>
      </c>
      <c r="T585">
        <v>0.5</v>
      </c>
      <c r="U585" t="s">
        <v>391</v>
      </c>
      <c r="V585" t="s">
        <v>392</v>
      </c>
      <c r="W585" t="s">
        <v>392</v>
      </c>
      <c r="X585">
        <v>1</v>
      </c>
      <c r="Y585" t="s">
        <v>893</v>
      </c>
      <c r="AA585">
        <v>57.53</v>
      </c>
      <c r="AB585">
        <v>28.76</v>
      </c>
      <c r="AC585">
        <v>28.76</v>
      </c>
    </row>
    <row r="586" spans="2:29" ht="15" customHeight="1" x14ac:dyDescent="0.15">
      <c r="B586">
        <v>4</v>
      </c>
      <c r="C586" t="s">
        <v>386</v>
      </c>
      <c r="D586" t="s">
        <v>1564</v>
      </c>
      <c r="E586">
        <v>1</v>
      </c>
      <c r="F586" t="s">
        <v>219</v>
      </c>
      <c r="G586" t="s">
        <v>218</v>
      </c>
      <c r="H586" t="s">
        <v>397</v>
      </c>
      <c r="I586">
        <v>32</v>
      </c>
      <c r="J586" s="21">
        <v>45877</v>
      </c>
      <c r="K586" s="21">
        <v>45877</v>
      </c>
      <c r="L586" t="s">
        <v>1565</v>
      </c>
      <c r="M586" t="s">
        <v>454</v>
      </c>
      <c r="O586" t="s">
        <v>220</v>
      </c>
      <c r="P586">
        <v>1</v>
      </c>
      <c r="Q586">
        <v>1</v>
      </c>
      <c r="R586">
        <v>1</v>
      </c>
      <c r="S586">
        <v>1</v>
      </c>
      <c r="T586">
        <v>1</v>
      </c>
      <c r="U586" t="s">
        <v>391</v>
      </c>
      <c r="V586" t="s">
        <v>392</v>
      </c>
      <c r="W586" t="s">
        <v>392</v>
      </c>
      <c r="X586">
        <v>1</v>
      </c>
      <c r="Y586" t="s">
        <v>1377</v>
      </c>
      <c r="AA586">
        <v>686.05</v>
      </c>
      <c r="AB586">
        <v>686.05</v>
      </c>
      <c r="AC586">
        <v>686.05</v>
      </c>
    </row>
    <row r="587" spans="2:29" ht="15" customHeight="1" x14ac:dyDescent="0.15">
      <c r="B587">
        <v>4</v>
      </c>
      <c r="C587" t="s">
        <v>386</v>
      </c>
      <c r="D587" t="s">
        <v>1566</v>
      </c>
      <c r="E587">
        <v>1</v>
      </c>
      <c r="F587" t="s">
        <v>416</v>
      </c>
      <c r="G587" t="s">
        <v>1036</v>
      </c>
      <c r="H587" t="s">
        <v>562</v>
      </c>
      <c r="I587">
        <v>32</v>
      </c>
      <c r="J587" s="21">
        <v>45878</v>
      </c>
      <c r="K587" s="21">
        <v>45878</v>
      </c>
      <c r="L587" t="s">
        <v>1567</v>
      </c>
      <c r="M587" t="s">
        <v>1038</v>
      </c>
      <c r="O587" t="s">
        <v>226</v>
      </c>
      <c r="P587">
        <v>1</v>
      </c>
      <c r="Q587">
        <v>1</v>
      </c>
      <c r="R587">
        <v>165.2</v>
      </c>
      <c r="S587">
        <v>165.2</v>
      </c>
      <c r="T587">
        <v>165.2</v>
      </c>
      <c r="U587" t="s">
        <v>391</v>
      </c>
      <c r="V587" t="s">
        <v>392</v>
      </c>
      <c r="W587" t="s">
        <v>392</v>
      </c>
      <c r="X587">
        <v>1</v>
      </c>
      <c r="Y587" t="s">
        <v>750</v>
      </c>
      <c r="AA587">
        <v>6.7</v>
      </c>
      <c r="AB587" s="22">
        <v>1106.8399999999999</v>
      </c>
      <c r="AC587" s="22">
        <v>1106.8399999999999</v>
      </c>
    </row>
    <row r="588" spans="2:29" ht="15" customHeight="1" x14ac:dyDescent="0.15">
      <c r="B588">
        <v>4</v>
      </c>
      <c r="C588" t="s">
        <v>386</v>
      </c>
      <c r="D588" t="s">
        <v>1568</v>
      </c>
      <c r="E588">
        <v>1</v>
      </c>
      <c r="F588" t="s">
        <v>416</v>
      </c>
      <c r="G588" t="s">
        <v>1036</v>
      </c>
      <c r="H588" t="s">
        <v>562</v>
      </c>
      <c r="I588">
        <v>32</v>
      </c>
      <c r="J588" s="21">
        <v>45878</v>
      </c>
      <c r="K588" s="21">
        <v>45878</v>
      </c>
      <c r="L588" t="s">
        <v>1569</v>
      </c>
      <c r="M588" t="s">
        <v>1038</v>
      </c>
      <c r="O588" t="s">
        <v>226</v>
      </c>
      <c r="P588">
        <v>1</v>
      </c>
      <c r="Q588">
        <v>1</v>
      </c>
      <c r="R588">
        <v>53.2</v>
      </c>
      <c r="S588">
        <v>53.2</v>
      </c>
      <c r="T588">
        <v>53.2</v>
      </c>
      <c r="U588" t="s">
        <v>391</v>
      </c>
      <c r="V588" t="s">
        <v>392</v>
      </c>
      <c r="W588" t="s">
        <v>392</v>
      </c>
      <c r="X588">
        <v>1</v>
      </c>
      <c r="Y588" t="s">
        <v>893</v>
      </c>
      <c r="AA588">
        <v>6.7</v>
      </c>
      <c r="AB588">
        <v>356.44</v>
      </c>
      <c r="AC588">
        <v>356.44</v>
      </c>
    </row>
    <row r="589" spans="2:29" ht="15" customHeight="1" x14ac:dyDescent="0.15">
      <c r="B589">
        <v>4</v>
      </c>
      <c r="C589" t="s">
        <v>386</v>
      </c>
      <c r="D589" t="s">
        <v>1570</v>
      </c>
      <c r="E589">
        <v>1</v>
      </c>
      <c r="F589" t="s">
        <v>416</v>
      </c>
      <c r="G589" t="s">
        <v>1036</v>
      </c>
      <c r="H589" t="s">
        <v>562</v>
      </c>
      <c r="I589">
        <v>32</v>
      </c>
      <c r="J589" s="21">
        <v>45878</v>
      </c>
      <c r="K589" s="21">
        <v>45878</v>
      </c>
      <c r="L589" t="s">
        <v>1571</v>
      </c>
      <c r="M589" t="s">
        <v>1038</v>
      </c>
      <c r="O589" t="s">
        <v>226</v>
      </c>
      <c r="P589">
        <v>1</v>
      </c>
      <c r="Q589">
        <v>1</v>
      </c>
      <c r="R589">
        <v>58.5</v>
      </c>
      <c r="S589">
        <v>58.5</v>
      </c>
      <c r="T589">
        <v>58.5</v>
      </c>
      <c r="U589" t="s">
        <v>391</v>
      </c>
      <c r="V589" t="s">
        <v>392</v>
      </c>
      <c r="W589" t="s">
        <v>392</v>
      </c>
      <c r="X589">
        <v>1</v>
      </c>
      <c r="Y589" t="s">
        <v>1477</v>
      </c>
      <c r="AA589">
        <v>6.7</v>
      </c>
      <c r="AB589">
        <v>391.95</v>
      </c>
      <c r="AC589">
        <v>391.95</v>
      </c>
    </row>
    <row r="590" spans="2:29" ht="15" customHeight="1" x14ac:dyDescent="0.15">
      <c r="B590">
        <v>4</v>
      </c>
      <c r="C590" t="s">
        <v>386</v>
      </c>
      <c r="D590" t="s">
        <v>1572</v>
      </c>
      <c r="E590">
        <v>1</v>
      </c>
      <c r="F590" t="s">
        <v>219</v>
      </c>
      <c r="G590" t="s">
        <v>218</v>
      </c>
      <c r="H590" t="s">
        <v>1366</v>
      </c>
      <c r="I590">
        <v>33</v>
      </c>
      <c r="J590" s="21">
        <v>45881</v>
      </c>
      <c r="K590" s="21">
        <v>45881</v>
      </c>
      <c r="L590" t="s">
        <v>1573</v>
      </c>
      <c r="M590" t="s">
        <v>1368</v>
      </c>
      <c r="O590" t="s">
        <v>220</v>
      </c>
      <c r="P590">
        <v>1</v>
      </c>
      <c r="Q590">
        <v>1</v>
      </c>
      <c r="R590">
        <v>1</v>
      </c>
      <c r="S590">
        <v>1</v>
      </c>
      <c r="T590">
        <v>1</v>
      </c>
      <c r="U590" t="s">
        <v>391</v>
      </c>
      <c r="V590" t="s">
        <v>392</v>
      </c>
      <c r="W590" t="s">
        <v>392</v>
      </c>
      <c r="X590">
        <v>1</v>
      </c>
      <c r="Y590" t="s">
        <v>710</v>
      </c>
      <c r="AA590">
        <v>784.7</v>
      </c>
      <c r="AB590">
        <v>784.7</v>
      </c>
      <c r="AC590">
        <v>784.7</v>
      </c>
    </row>
    <row r="591" spans="2:29" ht="15" customHeight="1" x14ac:dyDescent="0.15">
      <c r="B591">
        <v>4</v>
      </c>
      <c r="C591" t="s">
        <v>386</v>
      </c>
      <c r="D591" t="s">
        <v>1574</v>
      </c>
      <c r="E591">
        <v>1</v>
      </c>
      <c r="F591" t="s">
        <v>219</v>
      </c>
      <c r="G591" t="s">
        <v>244</v>
      </c>
      <c r="H591" t="s">
        <v>1513</v>
      </c>
      <c r="I591">
        <v>33</v>
      </c>
      <c r="J591" s="21">
        <v>45881</v>
      </c>
      <c r="K591" s="21">
        <v>45881</v>
      </c>
      <c r="L591" t="s">
        <v>1575</v>
      </c>
      <c r="M591" t="s">
        <v>1515</v>
      </c>
      <c r="O591" t="s">
        <v>220</v>
      </c>
      <c r="P591">
        <v>1</v>
      </c>
      <c r="Q591">
        <v>1</v>
      </c>
      <c r="R591">
        <v>3</v>
      </c>
      <c r="S591">
        <v>3</v>
      </c>
      <c r="T591">
        <v>3</v>
      </c>
      <c r="U591" t="s">
        <v>391</v>
      </c>
      <c r="V591" t="s">
        <v>392</v>
      </c>
      <c r="W591" t="s">
        <v>392</v>
      </c>
      <c r="X591">
        <v>1</v>
      </c>
      <c r="Y591" t="s">
        <v>750</v>
      </c>
      <c r="AA591">
        <v>75.19</v>
      </c>
      <c r="AB591">
        <v>225.57</v>
      </c>
      <c r="AC591">
        <v>225.57</v>
      </c>
    </row>
    <row r="592" spans="2:29" ht="15" customHeight="1" x14ac:dyDescent="0.15">
      <c r="B592">
        <v>4</v>
      </c>
      <c r="C592" t="s">
        <v>386</v>
      </c>
      <c r="D592" t="s">
        <v>1576</v>
      </c>
      <c r="E592">
        <v>1</v>
      </c>
      <c r="F592" t="s">
        <v>219</v>
      </c>
      <c r="G592" t="s">
        <v>231</v>
      </c>
      <c r="H592" t="s">
        <v>433</v>
      </c>
      <c r="I592">
        <v>33</v>
      </c>
      <c r="J592" s="21">
        <v>45882</v>
      </c>
      <c r="K592" s="21">
        <v>45882</v>
      </c>
      <c r="L592" t="s">
        <v>1577</v>
      </c>
      <c r="M592" t="s">
        <v>1030</v>
      </c>
      <c r="O592" t="s">
        <v>220</v>
      </c>
      <c r="P592">
        <v>2</v>
      </c>
      <c r="Q592">
        <v>1</v>
      </c>
      <c r="R592">
        <v>0.12</v>
      </c>
      <c r="S592">
        <v>0.24</v>
      </c>
      <c r="T592">
        <v>0.12</v>
      </c>
      <c r="U592" t="s">
        <v>1050</v>
      </c>
      <c r="V592" t="s">
        <v>847</v>
      </c>
      <c r="W592" t="s">
        <v>532</v>
      </c>
      <c r="X592">
        <v>2</v>
      </c>
      <c r="Y592" t="s">
        <v>455</v>
      </c>
      <c r="AA592">
        <v>21.83</v>
      </c>
      <c r="AB592">
        <v>5.24</v>
      </c>
      <c r="AC592">
        <v>2.62</v>
      </c>
    </row>
    <row r="593" spans="2:29" ht="15" customHeight="1" x14ac:dyDescent="0.15">
      <c r="B593">
        <v>4</v>
      </c>
      <c r="C593" t="s">
        <v>386</v>
      </c>
      <c r="D593" t="s">
        <v>1576</v>
      </c>
      <c r="E593">
        <v>2</v>
      </c>
      <c r="F593" t="s">
        <v>219</v>
      </c>
      <c r="G593" t="s">
        <v>244</v>
      </c>
      <c r="H593" t="s">
        <v>571</v>
      </c>
      <c r="I593">
        <v>33</v>
      </c>
      <c r="J593" s="21">
        <v>45882</v>
      </c>
      <c r="K593" s="21">
        <v>45882</v>
      </c>
      <c r="L593" t="s">
        <v>1578</v>
      </c>
      <c r="M593" t="s">
        <v>573</v>
      </c>
      <c r="O593" t="s">
        <v>220</v>
      </c>
      <c r="P593">
        <v>2</v>
      </c>
      <c r="Q593">
        <v>1</v>
      </c>
      <c r="R593">
        <v>0.5</v>
      </c>
      <c r="S593">
        <v>1</v>
      </c>
      <c r="T593">
        <v>0.5</v>
      </c>
      <c r="U593" t="s">
        <v>1050</v>
      </c>
      <c r="V593" t="s">
        <v>847</v>
      </c>
      <c r="W593" t="s">
        <v>532</v>
      </c>
      <c r="X593">
        <v>2</v>
      </c>
      <c r="Y593" t="s">
        <v>455</v>
      </c>
      <c r="AA593">
        <v>73.98</v>
      </c>
      <c r="AB593">
        <v>73.98</v>
      </c>
      <c r="AC593">
        <v>36.99</v>
      </c>
    </row>
    <row r="594" spans="2:29" ht="15" customHeight="1" x14ac:dyDescent="0.15">
      <c r="B594">
        <v>4</v>
      </c>
      <c r="C594" t="s">
        <v>386</v>
      </c>
      <c r="D594" t="s">
        <v>1576</v>
      </c>
      <c r="E594">
        <v>3</v>
      </c>
      <c r="F594" t="s">
        <v>219</v>
      </c>
      <c r="G594" t="s">
        <v>244</v>
      </c>
      <c r="H594" t="s">
        <v>545</v>
      </c>
      <c r="I594">
        <v>33</v>
      </c>
      <c r="J594" s="21">
        <v>45882</v>
      </c>
      <c r="K594" s="21">
        <v>45882</v>
      </c>
      <c r="L594" t="s">
        <v>1579</v>
      </c>
      <c r="M594" t="s">
        <v>363</v>
      </c>
      <c r="O594" t="s">
        <v>220</v>
      </c>
      <c r="P594">
        <v>2</v>
      </c>
      <c r="Q594">
        <v>1</v>
      </c>
      <c r="R594">
        <v>0.5</v>
      </c>
      <c r="S594">
        <v>1</v>
      </c>
      <c r="T594">
        <v>0.5</v>
      </c>
      <c r="U594" t="s">
        <v>1050</v>
      </c>
      <c r="V594" t="s">
        <v>847</v>
      </c>
      <c r="W594" t="s">
        <v>532</v>
      </c>
      <c r="X594">
        <v>2</v>
      </c>
      <c r="Y594" t="s">
        <v>455</v>
      </c>
      <c r="AA594">
        <v>91.2</v>
      </c>
      <c r="AB594">
        <v>91.2</v>
      </c>
      <c r="AC594">
        <v>45.6</v>
      </c>
    </row>
    <row r="595" spans="2:29" ht="15" customHeight="1" x14ac:dyDescent="0.15">
      <c r="B595">
        <v>4</v>
      </c>
      <c r="C595" t="s">
        <v>386</v>
      </c>
      <c r="D595" t="s">
        <v>1580</v>
      </c>
      <c r="E595">
        <v>1</v>
      </c>
      <c r="F595" t="s">
        <v>219</v>
      </c>
      <c r="G595" t="s">
        <v>218</v>
      </c>
      <c r="H595" t="s">
        <v>397</v>
      </c>
      <c r="I595">
        <v>33</v>
      </c>
      <c r="J595" s="21">
        <v>45882</v>
      </c>
      <c r="K595" s="21">
        <v>45882</v>
      </c>
      <c r="L595" t="s">
        <v>1581</v>
      </c>
      <c r="M595" t="s">
        <v>454</v>
      </c>
      <c r="O595" t="s">
        <v>220</v>
      </c>
      <c r="P595">
        <v>1</v>
      </c>
      <c r="Q595">
        <v>1</v>
      </c>
      <c r="R595">
        <v>1</v>
      </c>
      <c r="S595">
        <v>1</v>
      </c>
      <c r="T595">
        <v>1</v>
      </c>
      <c r="U595" t="s">
        <v>391</v>
      </c>
      <c r="V595" t="s">
        <v>392</v>
      </c>
      <c r="W595" t="s">
        <v>392</v>
      </c>
      <c r="X595">
        <v>1</v>
      </c>
      <c r="Y595" t="s">
        <v>857</v>
      </c>
      <c r="AA595">
        <v>686.05</v>
      </c>
      <c r="AB595">
        <v>686.05</v>
      </c>
      <c r="AC595">
        <v>686.05</v>
      </c>
    </row>
    <row r="596" spans="2:29" ht="15" customHeight="1" x14ac:dyDescent="0.15">
      <c r="B596">
        <v>4</v>
      </c>
      <c r="C596" t="s">
        <v>386</v>
      </c>
      <c r="D596" t="s">
        <v>1580</v>
      </c>
      <c r="E596">
        <v>2</v>
      </c>
      <c r="F596" t="s">
        <v>219</v>
      </c>
      <c r="G596" t="s">
        <v>218</v>
      </c>
      <c r="H596" t="s">
        <v>394</v>
      </c>
      <c r="I596">
        <v>33</v>
      </c>
      <c r="J596" s="21">
        <v>45882</v>
      </c>
      <c r="K596" s="21">
        <v>45882</v>
      </c>
      <c r="L596" t="s">
        <v>1582</v>
      </c>
      <c r="M596" t="s">
        <v>396</v>
      </c>
      <c r="O596" t="s">
        <v>220</v>
      </c>
      <c r="P596">
        <v>1</v>
      </c>
      <c r="Q596">
        <v>1</v>
      </c>
      <c r="R596">
        <v>1</v>
      </c>
      <c r="S596">
        <v>1</v>
      </c>
      <c r="T596">
        <v>1</v>
      </c>
      <c r="U596" t="s">
        <v>391</v>
      </c>
      <c r="V596" t="s">
        <v>392</v>
      </c>
      <c r="W596" t="s">
        <v>392</v>
      </c>
      <c r="X596">
        <v>1</v>
      </c>
      <c r="Y596" t="s">
        <v>857</v>
      </c>
      <c r="AA596">
        <v>784.7</v>
      </c>
      <c r="AB596">
        <v>784.7</v>
      </c>
      <c r="AC596">
        <v>784.7</v>
      </c>
    </row>
    <row r="597" spans="2:29" ht="15" customHeight="1" x14ac:dyDescent="0.15">
      <c r="B597">
        <v>4</v>
      </c>
      <c r="C597" t="s">
        <v>386</v>
      </c>
      <c r="D597" t="s">
        <v>1583</v>
      </c>
      <c r="E597">
        <v>1</v>
      </c>
      <c r="F597" t="s">
        <v>219</v>
      </c>
      <c r="G597" t="s">
        <v>218</v>
      </c>
      <c r="H597" t="s">
        <v>397</v>
      </c>
      <c r="I597">
        <v>33</v>
      </c>
      <c r="J597" s="21">
        <v>45882</v>
      </c>
      <c r="K597" s="21">
        <v>45882</v>
      </c>
      <c r="L597" t="s">
        <v>1584</v>
      </c>
      <c r="M597" t="s">
        <v>454</v>
      </c>
      <c r="O597" t="s">
        <v>220</v>
      </c>
      <c r="P597">
        <v>1</v>
      </c>
      <c r="Q597">
        <v>1</v>
      </c>
      <c r="R597">
        <v>1</v>
      </c>
      <c r="S597">
        <v>1</v>
      </c>
      <c r="T597">
        <v>1</v>
      </c>
      <c r="U597" t="s">
        <v>391</v>
      </c>
      <c r="V597" t="s">
        <v>392</v>
      </c>
      <c r="W597" t="s">
        <v>392</v>
      </c>
      <c r="X597">
        <v>1</v>
      </c>
      <c r="Y597" t="s">
        <v>710</v>
      </c>
      <c r="AA597">
        <v>686.05</v>
      </c>
      <c r="AB597">
        <v>686.05</v>
      </c>
      <c r="AC597">
        <v>686.05</v>
      </c>
    </row>
    <row r="598" spans="2:29" ht="15" customHeight="1" x14ac:dyDescent="0.15">
      <c r="B598">
        <v>4</v>
      </c>
      <c r="C598" t="s">
        <v>386</v>
      </c>
      <c r="D598" t="s">
        <v>1583</v>
      </c>
      <c r="E598">
        <v>2</v>
      </c>
      <c r="F598" t="s">
        <v>219</v>
      </c>
      <c r="G598" t="s">
        <v>218</v>
      </c>
      <c r="H598" t="s">
        <v>1472</v>
      </c>
      <c r="I598">
        <v>33</v>
      </c>
      <c r="J598" s="21">
        <v>45882</v>
      </c>
      <c r="K598" s="21">
        <v>45882</v>
      </c>
      <c r="L598" t="s">
        <v>1585</v>
      </c>
      <c r="M598" t="s">
        <v>1474</v>
      </c>
      <c r="O598" t="s">
        <v>282</v>
      </c>
      <c r="P598">
        <v>1</v>
      </c>
      <c r="Q598">
        <v>1</v>
      </c>
      <c r="R598">
        <v>200</v>
      </c>
      <c r="S598">
        <v>200</v>
      </c>
      <c r="T598">
        <v>200</v>
      </c>
      <c r="U598" t="s">
        <v>391</v>
      </c>
      <c r="V598" t="s">
        <v>392</v>
      </c>
      <c r="W598" t="s">
        <v>392</v>
      </c>
      <c r="X598">
        <v>1</v>
      </c>
      <c r="Y598" t="s">
        <v>710</v>
      </c>
      <c r="AA598">
        <v>2.88</v>
      </c>
      <c r="AB598">
        <v>576</v>
      </c>
      <c r="AC598">
        <v>576</v>
      </c>
    </row>
    <row r="599" spans="2:29" ht="15" customHeight="1" x14ac:dyDescent="0.15">
      <c r="B599">
        <v>4</v>
      </c>
      <c r="C599" t="s">
        <v>386</v>
      </c>
      <c r="D599" t="s">
        <v>1586</v>
      </c>
      <c r="E599">
        <v>1</v>
      </c>
      <c r="F599" t="s">
        <v>219</v>
      </c>
      <c r="G599" t="s">
        <v>231</v>
      </c>
      <c r="H599" t="s">
        <v>433</v>
      </c>
      <c r="I599">
        <v>33</v>
      </c>
      <c r="J599" s="21">
        <v>45882</v>
      </c>
      <c r="K599" s="21">
        <v>45882</v>
      </c>
      <c r="L599" t="s">
        <v>1587</v>
      </c>
      <c r="M599" t="s">
        <v>1030</v>
      </c>
      <c r="O599" t="s">
        <v>220</v>
      </c>
      <c r="P599">
        <v>8</v>
      </c>
      <c r="Q599">
        <v>2</v>
      </c>
      <c r="R599">
        <v>0.15</v>
      </c>
      <c r="S599">
        <v>1.2</v>
      </c>
      <c r="T599">
        <v>0.3</v>
      </c>
      <c r="U599" t="s">
        <v>391</v>
      </c>
      <c r="V599" t="s">
        <v>392</v>
      </c>
      <c r="W599" t="s">
        <v>392</v>
      </c>
      <c r="X599">
        <v>4</v>
      </c>
      <c r="Y599" t="s">
        <v>893</v>
      </c>
      <c r="AA599">
        <v>21.83</v>
      </c>
      <c r="AB599">
        <v>26.2</v>
      </c>
      <c r="AC599">
        <v>6.55</v>
      </c>
    </row>
    <row r="600" spans="2:29" ht="15" customHeight="1" x14ac:dyDescent="0.15">
      <c r="B600">
        <v>4</v>
      </c>
      <c r="C600" t="s">
        <v>386</v>
      </c>
      <c r="D600" t="s">
        <v>1586</v>
      </c>
      <c r="E600">
        <v>2</v>
      </c>
      <c r="F600" t="s">
        <v>219</v>
      </c>
      <c r="G600" t="s">
        <v>218</v>
      </c>
      <c r="H600" t="s">
        <v>400</v>
      </c>
      <c r="I600">
        <v>33</v>
      </c>
      <c r="J600" s="21">
        <v>45882</v>
      </c>
      <c r="K600" s="21">
        <v>45882</v>
      </c>
      <c r="L600" t="s">
        <v>1588</v>
      </c>
      <c r="M600" t="s">
        <v>402</v>
      </c>
      <c r="O600" t="s">
        <v>226</v>
      </c>
      <c r="P600">
        <v>8</v>
      </c>
      <c r="Q600">
        <v>2</v>
      </c>
      <c r="R600">
        <v>0.1</v>
      </c>
      <c r="S600">
        <v>0.8</v>
      </c>
      <c r="T600">
        <v>0.2</v>
      </c>
      <c r="U600" t="s">
        <v>391</v>
      </c>
      <c r="V600" t="s">
        <v>392</v>
      </c>
      <c r="W600" t="s">
        <v>392</v>
      </c>
      <c r="X600">
        <v>4</v>
      </c>
      <c r="Y600" t="s">
        <v>893</v>
      </c>
      <c r="AA600">
        <v>217</v>
      </c>
      <c r="AB600">
        <v>173.6</v>
      </c>
      <c r="AC600">
        <v>43.4</v>
      </c>
    </row>
    <row r="601" spans="2:29" ht="15" customHeight="1" x14ac:dyDescent="0.15">
      <c r="B601">
        <v>4</v>
      </c>
      <c r="C601" t="s">
        <v>386</v>
      </c>
      <c r="D601" t="s">
        <v>1586</v>
      </c>
      <c r="E601">
        <v>3</v>
      </c>
      <c r="F601" t="s">
        <v>219</v>
      </c>
      <c r="G601" t="s">
        <v>218</v>
      </c>
      <c r="H601" t="s">
        <v>911</v>
      </c>
      <c r="I601">
        <v>33</v>
      </c>
      <c r="J601" s="21">
        <v>45882</v>
      </c>
      <c r="K601" s="21">
        <v>45882</v>
      </c>
      <c r="L601" t="s">
        <v>1589</v>
      </c>
      <c r="M601" t="s">
        <v>913</v>
      </c>
      <c r="O601" t="s">
        <v>220</v>
      </c>
      <c r="P601">
        <v>8</v>
      </c>
      <c r="Q601">
        <v>2</v>
      </c>
      <c r="R601">
        <v>0.25</v>
      </c>
      <c r="S601">
        <v>2</v>
      </c>
      <c r="T601">
        <v>0.5</v>
      </c>
      <c r="U601" t="s">
        <v>391</v>
      </c>
      <c r="V601" t="s">
        <v>392</v>
      </c>
      <c r="W601" t="s">
        <v>392</v>
      </c>
      <c r="X601">
        <v>4</v>
      </c>
      <c r="Y601" t="s">
        <v>893</v>
      </c>
      <c r="AA601">
        <v>91.24</v>
      </c>
      <c r="AB601">
        <v>182.48</v>
      </c>
      <c r="AC601">
        <v>45.62</v>
      </c>
    </row>
    <row r="602" spans="2:29" ht="15" customHeight="1" x14ac:dyDescent="0.15">
      <c r="B602">
        <v>4</v>
      </c>
      <c r="C602" t="s">
        <v>386</v>
      </c>
      <c r="D602" t="s">
        <v>1586</v>
      </c>
      <c r="E602">
        <v>4</v>
      </c>
      <c r="F602" t="s">
        <v>219</v>
      </c>
      <c r="G602" t="s">
        <v>218</v>
      </c>
      <c r="H602" t="s">
        <v>686</v>
      </c>
      <c r="I602">
        <v>33</v>
      </c>
      <c r="J602" s="21">
        <v>45882</v>
      </c>
      <c r="K602" s="21">
        <v>45882</v>
      </c>
      <c r="L602" t="s">
        <v>1590</v>
      </c>
      <c r="M602" t="s">
        <v>1591</v>
      </c>
      <c r="O602" t="s">
        <v>220</v>
      </c>
      <c r="P602">
        <v>8</v>
      </c>
      <c r="Q602">
        <v>2</v>
      </c>
      <c r="R602">
        <v>0.15</v>
      </c>
      <c r="S602">
        <v>1.2</v>
      </c>
      <c r="T602">
        <v>0.3</v>
      </c>
      <c r="U602" t="s">
        <v>391</v>
      </c>
      <c r="V602" t="s">
        <v>392</v>
      </c>
      <c r="W602" t="s">
        <v>392</v>
      </c>
      <c r="X602">
        <v>4</v>
      </c>
      <c r="Y602" t="s">
        <v>893</v>
      </c>
      <c r="AA602">
        <v>163</v>
      </c>
      <c r="AB602">
        <v>195.6</v>
      </c>
      <c r="AC602">
        <v>48.9</v>
      </c>
    </row>
    <row r="603" spans="2:29" ht="15" customHeight="1" x14ac:dyDescent="0.15">
      <c r="B603">
        <v>4</v>
      </c>
      <c r="C603" t="s">
        <v>386</v>
      </c>
      <c r="D603" t="s">
        <v>1586</v>
      </c>
      <c r="E603">
        <v>5</v>
      </c>
      <c r="F603" t="s">
        <v>219</v>
      </c>
      <c r="G603" t="s">
        <v>244</v>
      </c>
      <c r="H603" t="s">
        <v>511</v>
      </c>
      <c r="I603">
        <v>33</v>
      </c>
      <c r="J603" s="21">
        <v>45882</v>
      </c>
      <c r="K603" s="21">
        <v>45882</v>
      </c>
      <c r="L603" t="s">
        <v>1592</v>
      </c>
      <c r="M603" t="s">
        <v>513</v>
      </c>
      <c r="O603" t="s">
        <v>226</v>
      </c>
      <c r="P603">
        <v>2</v>
      </c>
      <c r="Q603">
        <v>0.5</v>
      </c>
      <c r="R603">
        <v>0.2</v>
      </c>
      <c r="S603">
        <v>0.4</v>
      </c>
      <c r="T603">
        <v>0.1</v>
      </c>
      <c r="U603" t="s">
        <v>391</v>
      </c>
      <c r="V603" t="s">
        <v>392</v>
      </c>
      <c r="W603" t="s">
        <v>392</v>
      </c>
      <c r="X603">
        <v>4</v>
      </c>
      <c r="Y603" t="s">
        <v>893</v>
      </c>
      <c r="AA603">
        <v>813.56</v>
      </c>
      <c r="AB603">
        <v>325.42</v>
      </c>
      <c r="AC603">
        <v>81.36</v>
      </c>
    </row>
    <row r="604" spans="2:29" ht="15" customHeight="1" x14ac:dyDescent="0.15">
      <c r="B604">
        <v>4</v>
      </c>
      <c r="C604" t="s">
        <v>386</v>
      </c>
      <c r="D604" t="s">
        <v>1586</v>
      </c>
      <c r="E604">
        <v>6</v>
      </c>
      <c r="F604" t="s">
        <v>219</v>
      </c>
      <c r="G604" t="s">
        <v>244</v>
      </c>
      <c r="H604" t="s">
        <v>1593</v>
      </c>
      <c r="I604">
        <v>33</v>
      </c>
      <c r="J604" s="21">
        <v>45882</v>
      </c>
      <c r="K604" s="21">
        <v>45882</v>
      </c>
      <c r="L604" t="s">
        <v>1594</v>
      </c>
      <c r="M604" t="s">
        <v>1595</v>
      </c>
      <c r="O604" t="s">
        <v>226</v>
      </c>
      <c r="P604">
        <v>3</v>
      </c>
      <c r="Q604">
        <v>0.75</v>
      </c>
      <c r="R604">
        <v>0.2</v>
      </c>
      <c r="S604">
        <v>0.6</v>
      </c>
      <c r="T604">
        <v>0.15</v>
      </c>
      <c r="U604" t="s">
        <v>391</v>
      </c>
      <c r="V604" t="s">
        <v>392</v>
      </c>
      <c r="W604" t="s">
        <v>392</v>
      </c>
      <c r="X604">
        <v>4</v>
      </c>
      <c r="Y604" t="s">
        <v>893</v>
      </c>
      <c r="AA604">
        <v>528.66</v>
      </c>
      <c r="AB604">
        <v>317.2</v>
      </c>
      <c r="AC604">
        <v>79.3</v>
      </c>
    </row>
    <row r="605" spans="2:29" ht="15" customHeight="1" x14ac:dyDescent="0.15">
      <c r="B605">
        <v>4</v>
      </c>
      <c r="C605" t="s">
        <v>386</v>
      </c>
      <c r="D605" t="s">
        <v>1586</v>
      </c>
      <c r="E605">
        <v>7</v>
      </c>
      <c r="F605" t="s">
        <v>219</v>
      </c>
      <c r="G605" t="s">
        <v>244</v>
      </c>
      <c r="H605" t="s">
        <v>409</v>
      </c>
      <c r="I605">
        <v>33</v>
      </c>
      <c r="J605" s="21">
        <v>45882</v>
      </c>
      <c r="K605" s="21">
        <v>45882</v>
      </c>
      <c r="L605" t="s">
        <v>1596</v>
      </c>
      <c r="M605" t="s">
        <v>284</v>
      </c>
      <c r="O605" t="s">
        <v>220</v>
      </c>
      <c r="P605">
        <v>3</v>
      </c>
      <c r="Q605">
        <v>0.75</v>
      </c>
      <c r="R605">
        <v>0.5</v>
      </c>
      <c r="S605">
        <v>1.5</v>
      </c>
      <c r="T605">
        <v>0.38</v>
      </c>
      <c r="U605" t="s">
        <v>391</v>
      </c>
      <c r="V605" t="s">
        <v>392</v>
      </c>
      <c r="W605" t="s">
        <v>392</v>
      </c>
      <c r="X605">
        <v>4</v>
      </c>
      <c r="Y605" t="s">
        <v>893</v>
      </c>
      <c r="AA605">
        <v>53.07</v>
      </c>
      <c r="AB605">
        <v>79.61</v>
      </c>
      <c r="AC605">
        <v>19.899999999999999</v>
      </c>
    </row>
    <row r="606" spans="2:29" ht="15" customHeight="1" x14ac:dyDescent="0.15">
      <c r="B606">
        <v>4</v>
      </c>
      <c r="C606" t="s">
        <v>386</v>
      </c>
      <c r="D606" t="s">
        <v>1586</v>
      </c>
      <c r="E606">
        <v>8</v>
      </c>
      <c r="F606" t="s">
        <v>219</v>
      </c>
      <c r="G606" t="s">
        <v>239</v>
      </c>
      <c r="H606" t="s">
        <v>740</v>
      </c>
      <c r="I606">
        <v>33</v>
      </c>
      <c r="J606" s="21">
        <v>45882</v>
      </c>
      <c r="K606" s="21">
        <v>45882</v>
      </c>
      <c r="L606" t="s">
        <v>1597</v>
      </c>
      <c r="M606" t="s">
        <v>1598</v>
      </c>
      <c r="O606" t="s">
        <v>220</v>
      </c>
      <c r="P606">
        <v>8</v>
      </c>
      <c r="Q606">
        <v>2</v>
      </c>
      <c r="R606">
        <v>0.3</v>
      </c>
      <c r="S606">
        <v>2.4</v>
      </c>
      <c r="T606">
        <v>0.6</v>
      </c>
      <c r="U606" t="s">
        <v>391</v>
      </c>
      <c r="V606" t="s">
        <v>392</v>
      </c>
      <c r="W606" t="s">
        <v>392</v>
      </c>
      <c r="X606">
        <v>4</v>
      </c>
      <c r="Y606" t="s">
        <v>893</v>
      </c>
      <c r="AA606">
        <v>35.770000000000003</v>
      </c>
      <c r="AB606">
        <v>85.85</v>
      </c>
      <c r="AC606">
        <v>21.46</v>
      </c>
    </row>
    <row r="607" spans="2:29" ht="15" customHeight="1" x14ac:dyDescent="0.15">
      <c r="B607">
        <v>4</v>
      </c>
      <c r="C607" t="s">
        <v>386</v>
      </c>
      <c r="D607" t="s">
        <v>1599</v>
      </c>
      <c r="E607">
        <v>1</v>
      </c>
      <c r="F607" t="s">
        <v>219</v>
      </c>
      <c r="G607" t="s">
        <v>244</v>
      </c>
      <c r="H607" t="s">
        <v>1513</v>
      </c>
      <c r="I607">
        <v>33</v>
      </c>
      <c r="J607" s="21">
        <v>45882</v>
      </c>
      <c r="K607" s="21">
        <v>45882</v>
      </c>
      <c r="L607" t="s">
        <v>1600</v>
      </c>
      <c r="M607" t="s">
        <v>1515</v>
      </c>
      <c r="O607" t="s">
        <v>220</v>
      </c>
      <c r="P607">
        <v>1</v>
      </c>
      <c r="Q607">
        <v>1</v>
      </c>
      <c r="R607">
        <v>2</v>
      </c>
      <c r="S607">
        <v>2</v>
      </c>
      <c r="T607">
        <v>2</v>
      </c>
      <c r="U607" t="s">
        <v>391</v>
      </c>
      <c r="V607" t="s">
        <v>392</v>
      </c>
      <c r="W607" t="s">
        <v>392</v>
      </c>
      <c r="X607">
        <v>1</v>
      </c>
      <c r="Y607" t="s">
        <v>710</v>
      </c>
      <c r="AA607">
        <v>75.19</v>
      </c>
      <c r="AB607">
        <v>150.38</v>
      </c>
      <c r="AC607">
        <v>150.38</v>
      </c>
    </row>
    <row r="608" spans="2:29" ht="15" customHeight="1" x14ac:dyDescent="0.15">
      <c r="B608">
        <v>4</v>
      </c>
      <c r="C608" t="s">
        <v>386</v>
      </c>
      <c r="D608" t="s">
        <v>1601</v>
      </c>
      <c r="E608">
        <v>1</v>
      </c>
      <c r="F608" t="s">
        <v>416</v>
      </c>
      <c r="G608" t="s">
        <v>1036</v>
      </c>
      <c r="H608" t="s">
        <v>562</v>
      </c>
      <c r="I608">
        <v>33</v>
      </c>
      <c r="J608" s="21">
        <v>45882</v>
      </c>
      <c r="K608" s="21">
        <v>45882</v>
      </c>
      <c r="L608" t="s">
        <v>1602</v>
      </c>
      <c r="M608" t="s">
        <v>1038</v>
      </c>
      <c r="O608" t="s">
        <v>226</v>
      </c>
      <c r="P608">
        <v>1</v>
      </c>
      <c r="Q608">
        <v>1</v>
      </c>
      <c r="R608">
        <v>52.3</v>
      </c>
      <c r="S608">
        <v>52.3</v>
      </c>
      <c r="T608">
        <v>52.3</v>
      </c>
      <c r="U608" t="s">
        <v>391</v>
      </c>
      <c r="V608" t="s">
        <v>392</v>
      </c>
      <c r="W608" t="s">
        <v>392</v>
      </c>
      <c r="X608">
        <v>1</v>
      </c>
      <c r="Y608" t="s">
        <v>893</v>
      </c>
      <c r="AA608">
        <v>6.7</v>
      </c>
      <c r="AB608">
        <v>350.41</v>
      </c>
      <c r="AC608">
        <v>350.41</v>
      </c>
    </row>
    <row r="609" spans="2:29" ht="15" customHeight="1" x14ac:dyDescent="0.15">
      <c r="B609">
        <v>4</v>
      </c>
      <c r="C609" t="s">
        <v>386</v>
      </c>
      <c r="D609" t="s">
        <v>1603</v>
      </c>
      <c r="E609">
        <v>1</v>
      </c>
      <c r="F609" t="s">
        <v>219</v>
      </c>
      <c r="G609" t="s">
        <v>231</v>
      </c>
      <c r="H609" t="s">
        <v>433</v>
      </c>
      <c r="I609">
        <v>33</v>
      </c>
      <c r="J609" s="21">
        <v>45884</v>
      </c>
      <c r="K609" s="21">
        <v>45884</v>
      </c>
      <c r="L609" t="s">
        <v>1604</v>
      </c>
      <c r="M609" t="s">
        <v>1030</v>
      </c>
      <c r="O609" t="s">
        <v>220</v>
      </c>
      <c r="P609">
        <v>2</v>
      </c>
      <c r="Q609">
        <v>1</v>
      </c>
      <c r="R609">
        <v>0.12</v>
      </c>
      <c r="S609">
        <v>0.24</v>
      </c>
      <c r="T609">
        <v>0.12</v>
      </c>
      <c r="U609" t="s">
        <v>1056</v>
      </c>
      <c r="V609" t="s">
        <v>1057</v>
      </c>
      <c r="W609" t="s">
        <v>532</v>
      </c>
      <c r="X609">
        <v>2</v>
      </c>
      <c r="Y609" t="s">
        <v>455</v>
      </c>
      <c r="AA609">
        <v>21.83</v>
      </c>
      <c r="AB609">
        <v>5.24</v>
      </c>
      <c r="AC609">
        <v>2.62</v>
      </c>
    </row>
    <row r="610" spans="2:29" ht="15" customHeight="1" x14ac:dyDescent="0.15">
      <c r="B610">
        <v>4</v>
      </c>
      <c r="C610" t="s">
        <v>386</v>
      </c>
      <c r="D610" t="s">
        <v>1603</v>
      </c>
      <c r="E610">
        <v>2</v>
      </c>
      <c r="F610" t="s">
        <v>219</v>
      </c>
      <c r="G610" t="s">
        <v>244</v>
      </c>
      <c r="H610" t="s">
        <v>1605</v>
      </c>
      <c r="I610">
        <v>33</v>
      </c>
      <c r="J610" s="21">
        <v>45884</v>
      </c>
      <c r="K610" s="21">
        <v>45884</v>
      </c>
      <c r="L610" t="s">
        <v>1606</v>
      </c>
      <c r="M610" t="s">
        <v>295</v>
      </c>
      <c r="O610" t="s">
        <v>220</v>
      </c>
      <c r="P610">
        <v>2</v>
      </c>
      <c r="Q610">
        <v>1</v>
      </c>
      <c r="R610">
        <v>0.5</v>
      </c>
      <c r="S610">
        <v>1</v>
      </c>
      <c r="T610">
        <v>0.5</v>
      </c>
      <c r="U610" t="s">
        <v>1056</v>
      </c>
      <c r="V610" t="s">
        <v>1057</v>
      </c>
      <c r="W610" t="s">
        <v>532</v>
      </c>
      <c r="X610">
        <v>2</v>
      </c>
      <c r="Y610" t="s">
        <v>455</v>
      </c>
      <c r="AA610">
        <v>77.31</v>
      </c>
      <c r="AB610">
        <v>77.31</v>
      </c>
      <c r="AC610">
        <v>38.659999999999997</v>
      </c>
    </row>
    <row r="611" spans="2:29" ht="15" customHeight="1" x14ac:dyDescent="0.15">
      <c r="B611">
        <v>4</v>
      </c>
      <c r="C611" t="s">
        <v>386</v>
      </c>
      <c r="D611" t="s">
        <v>1603</v>
      </c>
      <c r="E611">
        <v>3</v>
      </c>
      <c r="F611" t="s">
        <v>219</v>
      </c>
      <c r="G611" t="s">
        <v>218</v>
      </c>
      <c r="H611" t="s">
        <v>1175</v>
      </c>
      <c r="I611">
        <v>33</v>
      </c>
      <c r="J611" s="21">
        <v>45884</v>
      </c>
      <c r="K611" s="21">
        <v>45884</v>
      </c>
      <c r="L611" t="s">
        <v>1607</v>
      </c>
      <c r="M611" t="s">
        <v>1177</v>
      </c>
      <c r="O611" t="s">
        <v>220</v>
      </c>
      <c r="P611">
        <v>2</v>
      </c>
      <c r="Q611">
        <v>1</v>
      </c>
      <c r="R611">
        <v>0.05</v>
      </c>
      <c r="S611">
        <v>0.1</v>
      </c>
      <c r="T611">
        <v>0.05</v>
      </c>
      <c r="U611" t="s">
        <v>1056</v>
      </c>
      <c r="V611" t="s">
        <v>1057</v>
      </c>
      <c r="W611" t="s">
        <v>532</v>
      </c>
      <c r="X611">
        <v>2</v>
      </c>
      <c r="Y611" t="s">
        <v>455</v>
      </c>
      <c r="AA611">
        <v>177</v>
      </c>
      <c r="AB611">
        <v>17.7</v>
      </c>
      <c r="AC611">
        <v>8.85</v>
      </c>
    </row>
    <row r="612" spans="2:29" ht="15" customHeight="1" x14ac:dyDescent="0.15">
      <c r="B612">
        <v>4</v>
      </c>
      <c r="C612" t="s">
        <v>386</v>
      </c>
      <c r="D612" t="s">
        <v>1608</v>
      </c>
      <c r="E612">
        <v>1</v>
      </c>
      <c r="F612" t="s">
        <v>201</v>
      </c>
      <c r="G612" t="s">
        <v>200</v>
      </c>
      <c r="H612" t="s">
        <v>1609</v>
      </c>
      <c r="I612">
        <v>33</v>
      </c>
      <c r="J612" s="21">
        <v>45884</v>
      </c>
      <c r="K612" s="21">
        <v>45884</v>
      </c>
      <c r="L612" t="s">
        <v>1610</v>
      </c>
      <c r="M612" t="s">
        <v>1611</v>
      </c>
      <c r="O612" t="s">
        <v>226</v>
      </c>
      <c r="P612">
        <v>1</v>
      </c>
      <c r="Q612">
        <v>1</v>
      </c>
      <c r="R612">
        <v>250</v>
      </c>
      <c r="S612">
        <v>250</v>
      </c>
      <c r="T612">
        <v>250</v>
      </c>
      <c r="U612" t="s">
        <v>391</v>
      </c>
      <c r="V612" t="s">
        <v>392</v>
      </c>
      <c r="W612" t="s">
        <v>392</v>
      </c>
      <c r="X612">
        <v>1</v>
      </c>
      <c r="Y612" t="s">
        <v>710</v>
      </c>
      <c r="AA612">
        <v>3.24</v>
      </c>
      <c r="AB612">
        <v>810</v>
      </c>
      <c r="AC612">
        <v>810</v>
      </c>
    </row>
    <row r="613" spans="2:29" ht="15" customHeight="1" x14ac:dyDescent="0.15">
      <c r="B613">
        <v>4</v>
      </c>
      <c r="C613" t="s">
        <v>386</v>
      </c>
      <c r="D613" t="s">
        <v>1608</v>
      </c>
      <c r="E613">
        <v>2</v>
      </c>
      <c r="F613" t="s">
        <v>201</v>
      </c>
      <c r="G613" t="s">
        <v>200</v>
      </c>
      <c r="H613" t="s">
        <v>732</v>
      </c>
      <c r="I613">
        <v>33</v>
      </c>
      <c r="J613" s="21">
        <v>45884</v>
      </c>
      <c r="K613" s="21">
        <v>45884</v>
      </c>
      <c r="L613" t="s">
        <v>1612</v>
      </c>
      <c r="M613" t="s">
        <v>734</v>
      </c>
      <c r="O613" t="s">
        <v>226</v>
      </c>
      <c r="P613">
        <v>1</v>
      </c>
      <c r="Q613">
        <v>1</v>
      </c>
      <c r="R613">
        <v>250</v>
      </c>
      <c r="S613">
        <v>250</v>
      </c>
      <c r="T613">
        <v>250</v>
      </c>
      <c r="U613" t="s">
        <v>391</v>
      </c>
      <c r="V613" t="s">
        <v>392</v>
      </c>
      <c r="W613" t="s">
        <v>392</v>
      </c>
      <c r="X613">
        <v>1</v>
      </c>
      <c r="Y613" t="s">
        <v>710</v>
      </c>
      <c r="AA613">
        <v>3.24</v>
      </c>
      <c r="AB613">
        <v>811.13</v>
      </c>
      <c r="AC613">
        <v>811.13</v>
      </c>
    </row>
    <row r="614" spans="2:29" ht="15" customHeight="1" x14ac:dyDescent="0.15">
      <c r="B614">
        <v>4</v>
      </c>
      <c r="C614" t="s">
        <v>386</v>
      </c>
      <c r="D614" t="s">
        <v>1608</v>
      </c>
      <c r="E614">
        <v>3</v>
      </c>
      <c r="F614" t="s">
        <v>201</v>
      </c>
      <c r="G614" t="s">
        <v>200</v>
      </c>
      <c r="H614" t="s">
        <v>1059</v>
      </c>
      <c r="I614">
        <v>33</v>
      </c>
      <c r="J614" s="21">
        <v>45884</v>
      </c>
      <c r="K614" s="21">
        <v>45884</v>
      </c>
      <c r="L614" t="s">
        <v>1613</v>
      </c>
      <c r="M614" t="s">
        <v>1061</v>
      </c>
      <c r="O614" t="s">
        <v>226</v>
      </c>
      <c r="P614">
        <v>1</v>
      </c>
      <c r="Q614">
        <v>1</v>
      </c>
      <c r="R614">
        <v>100</v>
      </c>
      <c r="S614">
        <v>100</v>
      </c>
      <c r="T614">
        <v>100</v>
      </c>
      <c r="U614" t="s">
        <v>391</v>
      </c>
      <c r="V614" t="s">
        <v>392</v>
      </c>
      <c r="W614" t="s">
        <v>392</v>
      </c>
      <c r="X614">
        <v>1</v>
      </c>
      <c r="Y614" t="s">
        <v>710</v>
      </c>
      <c r="AA614">
        <v>1.72</v>
      </c>
      <c r="AB614">
        <v>172</v>
      </c>
      <c r="AC614">
        <v>172</v>
      </c>
    </row>
    <row r="615" spans="2:29" ht="15" customHeight="1" x14ac:dyDescent="0.15">
      <c r="B615">
        <v>4</v>
      </c>
      <c r="C615" t="s">
        <v>386</v>
      </c>
      <c r="D615" t="s">
        <v>1614</v>
      </c>
      <c r="E615">
        <v>1</v>
      </c>
      <c r="F615" t="s">
        <v>416</v>
      </c>
      <c r="G615" t="s">
        <v>1036</v>
      </c>
      <c r="H615" t="s">
        <v>562</v>
      </c>
      <c r="I615">
        <v>33</v>
      </c>
      <c r="J615" s="21">
        <v>45884</v>
      </c>
      <c r="K615" s="21">
        <v>45884</v>
      </c>
      <c r="L615" t="s">
        <v>1615</v>
      </c>
      <c r="M615" t="s">
        <v>1038</v>
      </c>
      <c r="O615" t="s">
        <v>226</v>
      </c>
      <c r="P615">
        <v>1</v>
      </c>
      <c r="Q615">
        <v>1</v>
      </c>
      <c r="R615">
        <v>267.89999999999998</v>
      </c>
      <c r="S615">
        <v>267.89999999999998</v>
      </c>
      <c r="T615">
        <v>267.89999999999998</v>
      </c>
      <c r="U615" t="s">
        <v>391</v>
      </c>
      <c r="V615" t="s">
        <v>392</v>
      </c>
      <c r="W615" t="s">
        <v>392</v>
      </c>
      <c r="X615">
        <v>1</v>
      </c>
      <c r="Y615" t="s">
        <v>750</v>
      </c>
      <c r="AA615">
        <v>6.7</v>
      </c>
      <c r="AB615" s="22">
        <v>1794.93</v>
      </c>
      <c r="AC615" s="22">
        <v>1794.93</v>
      </c>
    </row>
    <row r="616" spans="2:29" ht="15" customHeight="1" x14ac:dyDescent="0.15">
      <c r="B616">
        <v>4</v>
      </c>
      <c r="C616" t="s">
        <v>386</v>
      </c>
      <c r="D616" t="s">
        <v>1616</v>
      </c>
      <c r="E616">
        <v>1</v>
      </c>
      <c r="F616" t="s">
        <v>219</v>
      </c>
      <c r="G616" t="s">
        <v>231</v>
      </c>
      <c r="H616" t="s">
        <v>433</v>
      </c>
      <c r="I616">
        <v>33</v>
      </c>
      <c r="J616" s="21">
        <v>45884</v>
      </c>
      <c r="K616" s="21">
        <v>45884</v>
      </c>
      <c r="L616" t="s">
        <v>1617</v>
      </c>
      <c r="M616" t="s">
        <v>1030</v>
      </c>
      <c r="O616" t="s">
        <v>220</v>
      </c>
      <c r="P616">
        <v>2</v>
      </c>
      <c r="Q616">
        <v>2</v>
      </c>
      <c r="R616">
        <v>0.15</v>
      </c>
      <c r="S616">
        <v>0.3</v>
      </c>
      <c r="T616">
        <v>0.3</v>
      </c>
      <c r="U616" t="s">
        <v>391</v>
      </c>
      <c r="V616" t="s">
        <v>392</v>
      </c>
      <c r="W616" t="s">
        <v>392</v>
      </c>
      <c r="X616">
        <v>1</v>
      </c>
      <c r="Y616" t="s">
        <v>893</v>
      </c>
      <c r="AA616">
        <v>21.83</v>
      </c>
      <c r="AB616">
        <v>6.55</v>
      </c>
      <c r="AC616">
        <v>6.55</v>
      </c>
    </row>
    <row r="617" spans="2:29" ht="15" customHeight="1" x14ac:dyDescent="0.15">
      <c r="B617">
        <v>4</v>
      </c>
      <c r="C617" t="s">
        <v>386</v>
      </c>
      <c r="D617" t="s">
        <v>1616</v>
      </c>
      <c r="E617">
        <v>2</v>
      </c>
      <c r="F617" t="s">
        <v>219</v>
      </c>
      <c r="G617" t="s">
        <v>239</v>
      </c>
      <c r="H617" t="s">
        <v>1618</v>
      </c>
      <c r="I617">
        <v>33</v>
      </c>
      <c r="J617" s="21">
        <v>45884</v>
      </c>
      <c r="K617" s="21">
        <v>45884</v>
      </c>
      <c r="L617" t="s">
        <v>1619</v>
      </c>
      <c r="M617" t="s">
        <v>1620</v>
      </c>
      <c r="O617" t="s">
        <v>220</v>
      </c>
      <c r="P617">
        <v>2</v>
      </c>
      <c r="Q617">
        <v>2</v>
      </c>
      <c r="R617">
        <v>0.04</v>
      </c>
      <c r="S617">
        <v>0.08</v>
      </c>
      <c r="T617">
        <v>0.08</v>
      </c>
      <c r="U617" t="s">
        <v>391</v>
      </c>
      <c r="V617" t="s">
        <v>392</v>
      </c>
      <c r="W617" t="s">
        <v>392</v>
      </c>
      <c r="X617">
        <v>1</v>
      </c>
      <c r="Y617" t="s">
        <v>893</v>
      </c>
      <c r="AA617" s="22">
        <v>1301.72</v>
      </c>
      <c r="AB617">
        <v>104.14</v>
      </c>
      <c r="AC617">
        <v>104.14</v>
      </c>
    </row>
    <row r="618" spans="2:29" ht="15" customHeight="1" x14ac:dyDescent="0.15">
      <c r="B618">
        <v>4</v>
      </c>
      <c r="C618" t="s">
        <v>386</v>
      </c>
      <c r="D618" t="s">
        <v>1616</v>
      </c>
      <c r="E618">
        <v>3</v>
      </c>
      <c r="F618" t="s">
        <v>219</v>
      </c>
      <c r="G618" t="s">
        <v>239</v>
      </c>
      <c r="H618" t="s">
        <v>602</v>
      </c>
      <c r="I618">
        <v>33</v>
      </c>
      <c r="J618" s="21">
        <v>45884</v>
      </c>
      <c r="K618" s="21">
        <v>45884</v>
      </c>
      <c r="L618" t="s">
        <v>1621</v>
      </c>
      <c r="M618" t="s">
        <v>258</v>
      </c>
      <c r="O618" t="s">
        <v>220</v>
      </c>
      <c r="P618">
        <v>2</v>
      </c>
      <c r="Q618">
        <v>2</v>
      </c>
      <c r="R618">
        <v>0.35</v>
      </c>
      <c r="S618">
        <v>0.7</v>
      </c>
      <c r="T618">
        <v>0.7</v>
      </c>
      <c r="U618" t="s">
        <v>391</v>
      </c>
      <c r="V618" t="s">
        <v>392</v>
      </c>
      <c r="W618" t="s">
        <v>392</v>
      </c>
      <c r="X618">
        <v>1</v>
      </c>
      <c r="Y618" t="s">
        <v>893</v>
      </c>
      <c r="AA618">
        <v>180</v>
      </c>
      <c r="AB618">
        <v>126</v>
      </c>
      <c r="AC618">
        <v>126</v>
      </c>
    </row>
    <row r="619" spans="2:29" ht="15" customHeight="1" x14ac:dyDescent="0.15">
      <c r="B619">
        <v>4</v>
      </c>
      <c r="C619" t="s">
        <v>386</v>
      </c>
      <c r="D619" t="s">
        <v>1616</v>
      </c>
      <c r="E619">
        <v>4</v>
      </c>
      <c r="F619" t="s">
        <v>219</v>
      </c>
      <c r="G619" t="s">
        <v>239</v>
      </c>
      <c r="H619" t="s">
        <v>517</v>
      </c>
      <c r="I619">
        <v>33</v>
      </c>
      <c r="J619" s="21">
        <v>45884</v>
      </c>
      <c r="K619" s="21">
        <v>45884</v>
      </c>
      <c r="L619" t="s">
        <v>1622</v>
      </c>
      <c r="M619" t="s">
        <v>1623</v>
      </c>
      <c r="O619" t="s">
        <v>220</v>
      </c>
      <c r="P619">
        <v>2</v>
      </c>
      <c r="Q619">
        <v>2</v>
      </c>
      <c r="R619">
        <v>0.5</v>
      </c>
      <c r="S619">
        <v>1</v>
      </c>
      <c r="T619">
        <v>1</v>
      </c>
      <c r="U619" t="s">
        <v>391</v>
      </c>
      <c r="V619" t="s">
        <v>392</v>
      </c>
      <c r="W619" t="s">
        <v>392</v>
      </c>
      <c r="X619">
        <v>1</v>
      </c>
      <c r="Y619" t="s">
        <v>893</v>
      </c>
      <c r="AA619">
        <v>0</v>
      </c>
      <c r="AB619">
        <v>0</v>
      </c>
      <c r="AC619">
        <v>0</v>
      </c>
    </row>
    <row r="620" spans="2:29" ht="15" customHeight="1" x14ac:dyDescent="0.15">
      <c r="B620">
        <v>4</v>
      </c>
      <c r="C620" t="s">
        <v>386</v>
      </c>
      <c r="D620" t="s">
        <v>1616</v>
      </c>
      <c r="E620">
        <v>5</v>
      </c>
      <c r="F620" t="s">
        <v>219</v>
      </c>
      <c r="G620" t="s">
        <v>239</v>
      </c>
      <c r="H620" t="s">
        <v>517</v>
      </c>
      <c r="I620">
        <v>33</v>
      </c>
      <c r="J620" s="21">
        <v>45884</v>
      </c>
      <c r="K620" s="21">
        <v>45884</v>
      </c>
      <c r="L620" t="s">
        <v>1624</v>
      </c>
      <c r="M620" t="s">
        <v>1625</v>
      </c>
      <c r="O620" t="s">
        <v>220</v>
      </c>
      <c r="P620">
        <v>2</v>
      </c>
      <c r="Q620">
        <v>2</v>
      </c>
      <c r="R620">
        <v>0.25</v>
      </c>
      <c r="S620">
        <v>0.5</v>
      </c>
      <c r="T620">
        <v>0.5</v>
      </c>
      <c r="U620" t="s">
        <v>391</v>
      </c>
      <c r="V620" t="s">
        <v>392</v>
      </c>
      <c r="W620" t="s">
        <v>392</v>
      </c>
      <c r="X620">
        <v>1</v>
      </c>
      <c r="Y620" t="s">
        <v>893</v>
      </c>
      <c r="AA620">
        <v>0</v>
      </c>
      <c r="AB620">
        <v>0</v>
      </c>
      <c r="AC620">
        <v>0</v>
      </c>
    </row>
    <row r="621" spans="2:29" ht="15" customHeight="1" x14ac:dyDescent="0.15">
      <c r="B621">
        <v>4</v>
      </c>
      <c r="C621" t="s">
        <v>386</v>
      </c>
      <c r="D621" t="s">
        <v>1616</v>
      </c>
      <c r="E621">
        <v>6</v>
      </c>
      <c r="F621" t="s">
        <v>219</v>
      </c>
      <c r="G621" t="s">
        <v>239</v>
      </c>
      <c r="H621" t="s">
        <v>456</v>
      </c>
      <c r="I621">
        <v>33</v>
      </c>
      <c r="J621" s="21">
        <v>45884</v>
      </c>
      <c r="K621" s="21">
        <v>45884</v>
      </c>
      <c r="L621" t="s">
        <v>1626</v>
      </c>
      <c r="M621" t="s">
        <v>1627</v>
      </c>
      <c r="O621" t="s">
        <v>220</v>
      </c>
      <c r="P621">
        <v>2</v>
      </c>
      <c r="Q621">
        <v>2</v>
      </c>
      <c r="R621">
        <v>0.5</v>
      </c>
      <c r="S621">
        <v>1</v>
      </c>
      <c r="T621">
        <v>1</v>
      </c>
      <c r="U621" t="s">
        <v>391</v>
      </c>
      <c r="V621" t="s">
        <v>392</v>
      </c>
      <c r="W621" t="s">
        <v>392</v>
      </c>
      <c r="X621">
        <v>1</v>
      </c>
      <c r="Y621" t="s">
        <v>893</v>
      </c>
      <c r="AC621">
        <v>0</v>
      </c>
    </row>
    <row r="622" spans="2:29" ht="15" customHeight="1" x14ac:dyDescent="0.15">
      <c r="B622">
        <v>4</v>
      </c>
      <c r="C622" t="s">
        <v>386</v>
      </c>
      <c r="D622" t="s">
        <v>1616</v>
      </c>
      <c r="E622">
        <v>7</v>
      </c>
      <c r="F622" t="s">
        <v>219</v>
      </c>
      <c r="G622" t="s">
        <v>239</v>
      </c>
      <c r="H622" t="s">
        <v>1308</v>
      </c>
      <c r="I622">
        <v>33</v>
      </c>
      <c r="J622" s="21">
        <v>45884</v>
      </c>
      <c r="K622" s="21">
        <v>45884</v>
      </c>
      <c r="L622" t="s">
        <v>1628</v>
      </c>
      <c r="M622" t="s">
        <v>1310</v>
      </c>
      <c r="O622" t="s">
        <v>226</v>
      </c>
      <c r="P622">
        <v>2</v>
      </c>
      <c r="Q622">
        <v>2</v>
      </c>
      <c r="R622">
        <v>0.1</v>
      </c>
      <c r="S622">
        <v>0.2</v>
      </c>
      <c r="T622">
        <v>0.2</v>
      </c>
      <c r="U622" t="s">
        <v>391</v>
      </c>
      <c r="V622" t="s">
        <v>392</v>
      </c>
      <c r="W622" t="s">
        <v>392</v>
      </c>
      <c r="X622">
        <v>1</v>
      </c>
      <c r="Y622" t="s">
        <v>893</v>
      </c>
      <c r="AA622">
        <v>182.78</v>
      </c>
      <c r="AB622">
        <v>36.56</v>
      </c>
      <c r="AC622">
        <v>36.56</v>
      </c>
    </row>
    <row r="623" spans="2:29" ht="15" customHeight="1" x14ac:dyDescent="0.15">
      <c r="B623">
        <v>4</v>
      </c>
      <c r="C623" t="s">
        <v>386</v>
      </c>
      <c r="D623" t="s">
        <v>1629</v>
      </c>
      <c r="E623">
        <v>1</v>
      </c>
      <c r="F623" t="s">
        <v>219</v>
      </c>
      <c r="G623" t="s">
        <v>231</v>
      </c>
      <c r="H623" t="s">
        <v>433</v>
      </c>
      <c r="I623">
        <v>33</v>
      </c>
      <c r="J623" s="21">
        <v>45884</v>
      </c>
      <c r="K623" s="21">
        <v>45884</v>
      </c>
      <c r="L623" t="s">
        <v>1630</v>
      </c>
      <c r="M623" t="s">
        <v>1030</v>
      </c>
      <c r="O623" t="s">
        <v>220</v>
      </c>
      <c r="P623">
        <v>2</v>
      </c>
      <c r="Q623">
        <v>2</v>
      </c>
      <c r="R623">
        <v>0.15</v>
      </c>
      <c r="S623">
        <v>0.3</v>
      </c>
      <c r="T623">
        <v>0.3</v>
      </c>
      <c r="U623" t="s">
        <v>391</v>
      </c>
      <c r="V623" t="s">
        <v>392</v>
      </c>
      <c r="W623" t="s">
        <v>392</v>
      </c>
      <c r="X623">
        <v>1</v>
      </c>
      <c r="Y623" t="s">
        <v>893</v>
      </c>
      <c r="AA623">
        <v>21.83</v>
      </c>
      <c r="AB623">
        <v>6.55</v>
      </c>
      <c r="AC623">
        <v>6.55</v>
      </c>
    </row>
    <row r="624" spans="2:29" ht="15" customHeight="1" x14ac:dyDescent="0.15">
      <c r="B624">
        <v>4</v>
      </c>
      <c r="C624" t="s">
        <v>386</v>
      </c>
      <c r="D624" t="s">
        <v>1629</v>
      </c>
      <c r="E624">
        <v>2</v>
      </c>
      <c r="F624" t="s">
        <v>219</v>
      </c>
      <c r="G624" t="s">
        <v>239</v>
      </c>
      <c r="H624" t="s">
        <v>420</v>
      </c>
      <c r="I624">
        <v>33</v>
      </c>
      <c r="J624" s="21">
        <v>45884</v>
      </c>
      <c r="K624" s="21">
        <v>45884</v>
      </c>
      <c r="L624" t="s">
        <v>1631</v>
      </c>
      <c r="M624" t="s">
        <v>764</v>
      </c>
      <c r="O624" t="s">
        <v>220</v>
      </c>
      <c r="P624">
        <v>2</v>
      </c>
      <c r="Q624">
        <v>2</v>
      </c>
      <c r="R624">
        <v>0.5</v>
      </c>
      <c r="S624">
        <v>1</v>
      </c>
      <c r="T624">
        <v>1</v>
      </c>
      <c r="U624" t="s">
        <v>391</v>
      </c>
      <c r="V624" t="s">
        <v>392</v>
      </c>
      <c r="W624" t="s">
        <v>392</v>
      </c>
      <c r="X624">
        <v>1</v>
      </c>
      <c r="Y624" t="s">
        <v>893</v>
      </c>
      <c r="AA624">
        <v>115.5</v>
      </c>
      <c r="AB624">
        <v>115.5</v>
      </c>
      <c r="AC624">
        <v>115.5</v>
      </c>
    </row>
    <row r="625" spans="2:29" ht="15" customHeight="1" x14ac:dyDescent="0.15">
      <c r="B625">
        <v>4</v>
      </c>
      <c r="C625" t="s">
        <v>386</v>
      </c>
      <c r="D625" t="s">
        <v>1629</v>
      </c>
      <c r="E625">
        <v>3</v>
      </c>
      <c r="F625" t="s">
        <v>219</v>
      </c>
      <c r="G625" t="s">
        <v>239</v>
      </c>
      <c r="H625" t="s">
        <v>517</v>
      </c>
      <c r="I625">
        <v>33</v>
      </c>
      <c r="J625" s="21">
        <v>45884</v>
      </c>
      <c r="K625" s="21">
        <v>45884</v>
      </c>
      <c r="L625" t="s">
        <v>1632</v>
      </c>
      <c r="M625" t="s">
        <v>614</v>
      </c>
      <c r="O625" t="s">
        <v>226</v>
      </c>
      <c r="P625">
        <v>2</v>
      </c>
      <c r="Q625">
        <v>2</v>
      </c>
      <c r="R625">
        <v>0.5</v>
      </c>
      <c r="S625">
        <v>1</v>
      </c>
      <c r="T625">
        <v>1</v>
      </c>
      <c r="U625" t="s">
        <v>391</v>
      </c>
      <c r="V625" t="s">
        <v>392</v>
      </c>
      <c r="W625" t="s">
        <v>392</v>
      </c>
      <c r="X625">
        <v>1</v>
      </c>
      <c r="Y625" t="s">
        <v>893</v>
      </c>
      <c r="AA625">
        <v>65</v>
      </c>
      <c r="AB625">
        <v>65</v>
      </c>
      <c r="AC625">
        <v>65</v>
      </c>
    </row>
    <row r="626" spans="2:29" ht="15" customHeight="1" x14ac:dyDescent="0.15">
      <c r="B626">
        <v>4</v>
      </c>
      <c r="C626" t="s">
        <v>386</v>
      </c>
      <c r="D626" t="s">
        <v>1629</v>
      </c>
      <c r="E626">
        <v>4</v>
      </c>
      <c r="F626" t="s">
        <v>219</v>
      </c>
      <c r="G626" t="s">
        <v>239</v>
      </c>
      <c r="H626" t="s">
        <v>456</v>
      </c>
      <c r="I626">
        <v>33</v>
      </c>
      <c r="J626" s="21">
        <v>45884</v>
      </c>
      <c r="K626" s="21">
        <v>45884</v>
      </c>
      <c r="L626" t="s">
        <v>1633</v>
      </c>
      <c r="M626" t="s">
        <v>458</v>
      </c>
      <c r="O626" t="s">
        <v>220</v>
      </c>
      <c r="P626">
        <v>2</v>
      </c>
      <c r="Q626">
        <v>2</v>
      </c>
      <c r="R626">
        <v>0.75</v>
      </c>
      <c r="S626">
        <v>1.5</v>
      </c>
      <c r="T626">
        <v>1.5</v>
      </c>
      <c r="U626" t="s">
        <v>391</v>
      </c>
      <c r="V626" t="s">
        <v>392</v>
      </c>
      <c r="W626" t="s">
        <v>392</v>
      </c>
      <c r="X626">
        <v>1</v>
      </c>
      <c r="Y626" t="s">
        <v>893</v>
      </c>
      <c r="AA626">
        <v>49.99</v>
      </c>
      <c r="AB626">
        <v>74.989999999999995</v>
      </c>
      <c r="AC626">
        <v>74.989999999999995</v>
      </c>
    </row>
    <row r="627" spans="2:29" ht="15" customHeight="1" x14ac:dyDescent="0.15">
      <c r="B627">
        <v>4</v>
      </c>
      <c r="C627" t="s">
        <v>386</v>
      </c>
      <c r="D627" t="s">
        <v>1629</v>
      </c>
      <c r="E627">
        <v>5</v>
      </c>
      <c r="F627" t="s">
        <v>219</v>
      </c>
      <c r="G627" t="s">
        <v>239</v>
      </c>
      <c r="H627" t="s">
        <v>1308</v>
      </c>
      <c r="I627">
        <v>33</v>
      </c>
      <c r="J627" s="21">
        <v>45884</v>
      </c>
      <c r="K627" s="21">
        <v>45884</v>
      </c>
      <c r="L627" t="s">
        <v>1634</v>
      </c>
      <c r="M627" t="s">
        <v>1310</v>
      </c>
      <c r="O627" t="s">
        <v>226</v>
      </c>
      <c r="P627">
        <v>2</v>
      </c>
      <c r="Q627">
        <v>2</v>
      </c>
      <c r="R627">
        <v>0.1</v>
      </c>
      <c r="S627">
        <v>0.2</v>
      </c>
      <c r="T627">
        <v>0.2</v>
      </c>
      <c r="U627" t="s">
        <v>391</v>
      </c>
      <c r="V627" t="s">
        <v>392</v>
      </c>
      <c r="W627" t="s">
        <v>392</v>
      </c>
      <c r="X627">
        <v>1</v>
      </c>
      <c r="Y627" t="s">
        <v>893</v>
      </c>
      <c r="AA627">
        <v>182.78</v>
      </c>
      <c r="AB627">
        <v>36.56</v>
      </c>
      <c r="AC627">
        <v>36.56</v>
      </c>
    </row>
    <row r="628" spans="2:29" ht="15" customHeight="1" x14ac:dyDescent="0.15">
      <c r="B628">
        <v>4</v>
      </c>
      <c r="C628" t="s">
        <v>386</v>
      </c>
      <c r="D628" t="s">
        <v>1635</v>
      </c>
      <c r="E628">
        <v>1</v>
      </c>
      <c r="F628" t="s">
        <v>219</v>
      </c>
      <c r="G628" t="s">
        <v>1036</v>
      </c>
      <c r="H628" t="s">
        <v>562</v>
      </c>
      <c r="I628">
        <v>33</v>
      </c>
      <c r="J628" s="21">
        <v>45884</v>
      </c>
      <c r="K628" s="21">
        <v>45884</v>
      </c>
      <c r="L628" t="s">
        <v>1636</v>
      </c>
      <c r="M628" t="s">
        <v>1038</v>
      </c>
      <c r="O628" t="s">
        <v>226</v>
      </c>
      <c r="P628">
        <v>1</v>
      </c>
      <c r="Q628">
        <v>1</v>
      </c>
      <c r="R628">
        <v>107.9</v>
      </c>
      <c r="S628">
        <v>107.9</v>
      </c>
      <c r="T628">
        <v>107.9</v>
      </c>
      <c r="U628" t="s">
        <v>391</v>
      </c>
      <c r="V628" t="s">
        <v>392</v>
      </c>
      <c r="W628" t="s">
        <v>392</v>
      </c>
      <c r="X628">
        <v>1</v>
      </c>
      <c r="Y628" t="s">
        <v>1637</v>
      </c>
      <c r="AA628">
        <v>6.7</v>
      </c>
      <c r="AB628">
        <v>722.93</v>
      </c>
      <c r="AC628">
        <v>722.93</v>
      </c>
    </row>
    <row r="629" spans="2:29" ht="15" customHeight="1" x14ac:dyDescent="0.15">
      <c r="B629">
        <v>4</v>
      </c>
      <c r="C629" t="s">
        <v>386</v>
      </c>
      <c r="D629" t="s">
        <v>1635</v>
      </c>
      <c r="E629">
        <v>2</v>
      </c>
      <c r="F629" t="s">
        <v>219</v>
      </c>
      <c r="G629" t="s">
        <v>218</v>
      </c>
      <c r="H629" t="s">
        <v>397</v>
      </c>
      <c r="I629">
        <v>33</v>
      </c>
      <c r="J629" s="21">
        <v>45884</v>
      </c>
      <c r="K629" s="21">
        <v>45884</v>
      </c>
      <c r="L629" t="s">
        <v>1638</v>
      </c>
      <c r="M629" t="s">
        <v>454</v>
      </c>
      <c r="O629" t="s">
        <v>220</v>
      </c>
      <c r="P629">
        <v>1</v>
      </c>
      <c r="Q629">
        <v>1</v>
      </c>
      <c r="R629">
        <v>2</v>
      </c>
      <c r="S629">
        <v>2</v>
      </c>
      <c r="T629">
        <v>2</v>
      </c>
      <c r="U629" t="s">
        <v>391</v>
      </c>
      <c r="V629" t="s">
        <v>392</v>
      </c>
      <c r="W629" t="s">
        <v>392</v>
      </c>
      <c r="X629">
        <v>1</v>
      </c>
      <c r="Y629" t="s">
        <v>1637</v>
      </c>
      <c r="AA629">
        <v>686.05</v>
      </c>
      <c r="AB629" s="22">
        <v>1372.1</v>
      </c>
      <c r="AC629" s="22">
        <v>1372.1</v>
      </c>
    </row>
    <row r="630" spans="2:29" ht="15" customHeight="1" x14ac:dyDescent="0.15">
      <c r="B630">
        <v>4</v>
      </c>
      <c r="C630" t="s">
        <v>386</v>
      </c>
      <c r="D630" t="s">
        <v>1639</v>
      </c>
      <c r="E630">
        <v>1</v>
      </c>
      <c r="F630" t="s">
        <v>219</v>
      </c>
      <c r="G630" t="s">
        <v>231</v>
      </c>
      <c r="H630" t="s">
        <v>433</v>
      </c>
      <c r="I630">
        <v>33</v>
      </c>
      <c r="J630" s="21">
        <v>45884</v>
      </c>
      <c r="K630" s="21">
        <v>45884</v>
      </c>
      <c r="L630" t="s">
        <v>1640</v>
      </c>
      <c r="M630" t="s">
        <v>1030</v>
      </c>
      <c r="O630" t="s">
        <v>220</v>
      </c>
      <c r="P630">
        <v>1</v>
      </c>
      <c r="Q630">
        <v>1</v>
      </c>
      <c r="R630">
        <v>0.15</v>
      </c>
      <c r="S630">
        <v>0.15</v>
      </c>
      <c r="T630">
        <v>0.15</v>
      </c>
      <c r="U630" t="s">
        <v>391</v>
      </c>
      <c r="V630" t="s">
        <v>392</v>
      </c>
      <c r="W630" t="s">
        <v>392</v>
      </c>
      <c r="X630">
        <v>1</v>
      </c>
      <c r="Y630" t="s">
        <v>1477</v>
      </c>
      <c r="AA630">
        <v>21.83</v>
      </c>
      <c r="AB630">
        <v>3.27</v>
      </c>
      <c r="AC630">
        <v>3.27</v>
      </c>
    </row>
    <row r="631" spans="2:29" ht="15" customHeight="1" x14ac:dyDescent="0.15">
      <c r="B631">
        <v>4</v>
      </c>
      <c r="C631" t="s">
        <v>386</v>
      </c>
      <c r="D631" t="s">
        <v>1639</v>
      </c>
      <c r="E631">
        <v>2</v>
      </c>
      <c r="F631" t="s">
        <v>219</v>
      </c>
      <c r="G631" t="s">
        <v>218</v>
      </c>
      <c r="H631" t="s">
        <v>400</v>
      </c>
      <c r="I631">
        <v>33</v>
      </c>
      <c r="J631" s="21">
        <v>45884</v>
      </c>
      <c r="K631" s="21">
        <v>45884</v>
      </c>
      <c r="L631" t="s">
        <v>1641</v>
      </c>
      <c r="M631" t="s">
        <v>402</v>
      </c>
      <c r="O631" t="s">
        <v>226</v>
      </c>
      <c r="P631">
        <v>1</v>
      </c>
      <c r="Q631">
        <v>1</v>
      </c>
      <c r="R631">
        <v>0.1</v>
      </c>
      <c r="S631">
        <v>0.1</v>
      </c>
      <c r="T631">
        <v>0.1</v>
      </c>
      <c r="U631" t="s">
        <v>391</v>
      </c>
      <c r="V631" t="s">
        <v>392</v>
      </c>
      <c r="W631" t="s">
        <v>392</v>
      </c>
      <c r="X631">
        <v>1</v>
      </c>
      <c r="Y631" t="s">
        <v>1477</v>
      </c>
      <c r="AA631">
        <v>217</v>
      </c>
      <c r="AB631">
        <v>21.7</v>
      </c>
      <c r="AC631">
        <v>21.7</v>
      </c>
    </row>
    <row r="632" spans="2:29" ht="15" customHeight="1" x14ac:dyDescent="0.15">
      <c r="B632">
        <v>4</v>
      </c>
      <c r="C632" t="s">
        <v>386</v>
      </c>
      <c r="D632" t="s">
        <v>1639</v>
      </c>
      <c r="E632">
        <v>3</v>
      </c>
      <c r="F632" t="s">
        <v>219</v>
      </c>
      <c r="G632" t="s">
        <v>218</v>
      </c>
      <c r="H632" t="s">
        <v>911</v>
      </c>
      <c r="I632">
        <v>33</v>
      </c>
      <c r="J632" s="21">
        <v>45884</v>
      </c>
      <c r="K632" s="21">
        <v>45884</v>
      </c>
      <c r="L632" t="s">
        <v>1642</v>
      </c>
      <c r="M632" t="s">
        <v>913</v>
      </c>
      <c r="O632" t="s">
        <v>220</v>
      </c>
      <c r="P632">
        <v>1</v>
      </c>
      <c r="Q632">
        <v>1</v>
      </c>
      <c r="R632">
        <v>0.25</v>
      </c>
      <c r="S632">
        <v>0.25</v>
      </c>
      <c r="T632">
        <v>0.25</v>
      </c>
      <c r="U632" t="s">
        <v>391</v>
      </c>
      <c r="V632" t="s">
        <v>392</v>
      </c>
      <c r="W632" t="s">
        <v>392</v>
      </c>
      <c r="X632">
        <v>1</v>
      </c>
      <c r="Y632" t="s">
        <v>1477</v>
      </c>
      <c r="AA632">
        <v>91.24</v>
      </c>
      <c r="AB632">
        <v>22.81</v>
      </c>
      <c r="AC632">
        <v>22.81</v>
      </c>
    </row>
    <row r="633" spans="2:29" ht="15" customHeight="1" x14ac:dyDescent="0.15">
      <c r="B633">
        <v>4</v>
      </c>
      <c r="C633" t="s">
        <v>386</v>
      </c>
      <c r="D633" t="s">
        <v>1639</v>
      </c>
      <c r="E633">
        <v>4</v>
      </c>
      <c r="F633" t="s">
        <v>219</v>
      </c>
      <c r="G633" t="s">
        <v>218</v>
      </c>
      <c r="H633" t="s">
        <v>1018</v>
      </c>
      <c r="I633">
        <v>33</v>
      </c>
      <c r="J633" s="21">
        <v>45884</v>
      </c>
      <c r="K633" s="21">
        <v>45884</v>
      </c>
      <c r="L633" t="s">
        <v>1643</v>
      </c>
      <c r="M633" t="s">
        <v>1020</v>
      </c>
      <c r="O633" t="s">
        <v>220</v>
      </c>
      <c r="P633">
        <v>1</v>
      </c>
      <c r="Q633">
        <v>1</v>
      </c>
      <c r="R633">
        <v>0.25</v>
      </c>
      <c r="S633">
        <v>0.25</v>
      </c>
      <c r="T633">
        <v>0.25</v>
      </c>
      <c r="U633" t="s">
        <v>391</v>
      </c>
      <c r="V633" t="s">
        <v>392</v>
      </c>
      <c r="W633" t="s">
        <v>392</v>
      </c>
      <c r="X633">
        <v>1</v>
      </c>
      <c r="Y633" t="s">
        <v>1477</v>
      </c>
      <c r="AA633">
        <v>85.01</v>
      </c>
      <c r="AB633">
        <v>21.25</v>
      </c>
      <c r="AC633">
        <v>21.25</v>
      </c>
    </row>
    <row r="634" spans="2:29" ht="15" customHeight="1" x14ac:dyDescent="0.15">
      <c r="B634">
        <v>4</v>
      </c>
      <c r="C634" t="s">
        <v>386</v>
      </c>
      <c r="D634" t="s">
        <v>1639</v>
      </c>
      <c r="E634">
        <v>5</v>
      </c>
      <c r="F634" t="s">
        <v>219</v>
      </c>
      <c r="G634" t="s">
        <v>239</v>
      </c>
      <c r="H634" t="s">
        <v>420</v>
      </c>
      <c r="I634">
        <v>33</v>
      </c>
      <c r="J634" s="21">
        <v>45884</v>
      </c>
      <c r="K634" s="21">
        <v>45884</v>
      </c>
      <c r="L634" t="s">
        <v>1644</v>
      </c>
      <c r="M634" t="s">
        <v>764</v>
      </c>
      <c r="O634" t="s">
        <v>220</v>
      </c>
      <c r="P634">
        <v>1</v>
      </c>
      <c r="Q634">
        <v>1</v>
      </c>
      <c r="R634">
        <v>0.5</v>
      </c>
      <c r="S634">
        <v>0.5</v>
      </c>
      <c r="T634">
        <v>0.5</v>
      </c>
      <c r="U634" t="s">
        <v>391</v>
      </c>
      <c r="V634" t="s">
        <v>392</v>
      </c>
      <c r="W634" t="s">
        <v>392</v>
      </c>
      <c r="X634">
        <v>1</v>
      </c>
      <c r="Y634" t="s">
        <v>1477</v>
      </c>
      <c r="AA634">
        <v>115.5</v>
      </c>
      <c r="AB634">
        <v>57.75</v>
      </c>
      <c r="AC634">
        <v>57.75</v>
      </c>
    </row>
    <row r="635" spans="2:29" ht="15" customHeight="1" x14ac:dyDescent="0.15">
      <c r="B635">
        <v>4</v>
      </c>
      <c r="C635" t="s">
        <v>386</v>
      </c>
      <c r="D635" t="s">
        <v>1639</v>
      </c>
      <c r="E635">
        <v>6</v>
      </c>
      <c r="F635" t="s">
        <v>219</v>
      </c>
      <c r="G635" t="s">
        <v>239</v>
      </c>
      <c r="H635" t="s">
        <v>456</v>
      </c>
      <c r="I635">
        <v>33</v>
      </c>
      <c r="J635" s="21">
        <v>45884</v>
      </c>
      <c r="K635" s="21">
        <v>45884</v>
      </c>
      <c r="L635" t="s">
        <v>1645</v>
      </c>
      <c r="M635" t="s">
        <v>458</v>
      </c>
      <c r="O635" t="s">
        <v>220</v>
      </c>
      <c r="P635">
        <v>1</v>
      </c>
      <c r="Q635">
        <v>1</v>
      </c>
      <c r="R635">
        <v>0.5</v>
      </c>
      <c r="S635">
        <v>0.5</v>
      </c>
      <c r="T635">
        <v>0.5</v>
      </c>
      <c r="U635" t="s">
        <v>391</v>
      </c>
      <c r="V635" t="s">
        <v>392</v>
      </c>
      <c r="W635" t="s">
        <v>392</v>
      </c>
      <c r="X635">
        <v>1</v>
      </c>
      <c r="Y635" t="s">
        <v>1477</v>
      </c>
      <c r="AA635">
        <v>49.99</v>
      </c>
      <c r="AB635">
        <v>25</v>
      </c>
      <c r="AC635">
        <v>25</v>
      </c>
    </row>
    <row r="636" spans="2:29" ht="15" customHeight="1" x14ac:dyDescent="0.15">
      <c r="B636">
        <v>4</v>
      </c>
      <c r="C636" t="s">
        <v>386</v>
      </c>
      <c r="D636" t="s">
        <v>1646</v>
      </c>
      <c r="E636">
        <v>1</v>
      </c>
      <c r="F636" t="s">
        <v>219</v>
      </c>
      <c r="G636" t="s">
        <v>231</v>
      </c>
      <c r="H636" t="s">
        <v>433</v>
      </c>
      <c r="I636">
        <v>33</v>
      </c>
      <c r="J636" s="21">
        <v>45885</v>
      </c>
      <c r="K636" s="21">
        <v>45887</v>
      </c>
      <c r="L636" t="s">
        <v>1647</v>
      </c>
      <c r="M636" t="s">
        <v>1030</v>
      </c>
      <c r="O636" t="s">
        <v>220</v>
      </c>
      <c r="P636">
        <v>2</v>
      </c>
      <c r="Q636">
        <v>1</v>
      </c>
      <c r="R636">
        <v>0.12</v>
      </c>
      <c r="S636">
        <v>0.24</v>
      </c>
      <c r="T636">
        <v>0.12</v>
      </c>
      <c r="U636" t="s">
        <v>805</v>
      </c>
      <c r="V636" t="s">
        <v>806</v>
      </c>
      <c r="W636" t="s">
        <v>532</v>
      </c>
      <c r="X636">
        <v>2</v>
      </c>
      <c r="Y636" t="s">
        <v>455</v>
      </c>
      <c r="AA636">
        <v>21.83</v>
      </c>
      <c r="AB636">
        <v>5.24</v>
      </c>
      <c r="AC636">
        <v>2.62</v>
      </c>
    </row>
    <row r="637" spans="2:29" ht="15" customHeight="1" x14ac:dyDescent="0.15">
      <c r="B637">
        <v>4</v>
      </c>
      <c r="C637" t="s">
        <v>386</v>
      </c>
      <c r="D637" t="s">
        <v>1646</v>
      </c>
      <c r="E637">
        <v>2</v>
      </c>
      <c r="F637" t="s">
        <v>219</v>
      </c>
      <c r="G637" t="s">
        <v>218</v>
      </c>
      <c r="H637" t="s">
        <v>493</v>
      </c>
      <c r="I637">
        <v>33</v>
      </c>
      <c r="J637" s="21">
        <v>45885</v>
      </c>
      <c r="K637" s="21">
        <v>45887</v>
      </c>
      <c r="L637" t="s">
        <v>1648</v>
      </c>
      <c r="M637" t="s">
        <v>576</v>
      </c>
      <c r="O637" t="s">
        <v>220</v>
      </c>
      <c r="P637">
        <v>2</v>
      </c>
      <c r="Q637">
        <v>1</v>
      </c>
      <c r="R637">
        <v>0.2</v>
      </c>
      <c r="S637">
        <v>0.4</v>
      </c>
      <c r="T637">
        <v>0.2</v>
      </c>
      <c r="U637" t="s">
        <v>805</v>
      </c>
      <c r="V637" t="s">
        <v>806</v>
      </c>
      <c r="W637" t="s">
        <v>532</v>
      </c>
      <c r="X637">
        <v>2</v>
      </c>
      <c r="Y637" t="s">
        <v>455</v>
      </c>
      <c r="AA637">
        <v>101.77</v>
      </c>
      <c r="AB637">
        <v>40.71</v>
      </c>
      <c r="AC637">
        <v>20.350000000000001</v>
      </c>
    </row>
    <row r="638" spans="2:29" ht="15" customHeight="1" x14ac:dyDescent="0.15">
      <c r="B638">
        <v>4</v>
      </c>
      <c r="C638" t="s">
        <v>386</v>
      </c>
      <c r="D638" t="s">
        <v>1646</v>
      </c>
      <c r="E638">
        <v>3</v>
      </c>
      <c r="F638" t="s">
        <v>219</v>
      </c>
      <c r="G638" t="s">
        <v>239</v>
      </c>
      <c r="H638" t="s">
        <v>861</v>
      </c>
      <c r="I638">
        <v>33</v>
      </c>
      <c r="J638" s="21">
        <v>45885</v>
      </c>
      <c r="K638" s="21">
        <v>45887</v>
      </c>
      <c r="L638" t="s">
        <v>1649</v>
      </c>
      <c r="M638" t="s">
        <v>863</v>
      </c>
      <c r="O638" t="s">
        <v>220</v>
      </c>
      <c r="P638">
        <v>2</v>
      </c>
      <c r="Q638">
        <v>1</v>
      </c>
      <c r="R638">
        <v>2</v>
      </c>
      <c r="S638">
        <v>4</v>
      </c>
      <c r="T638">
        <v>2</v>
      </c>
      <c r="U638" t="s">
        <v>805</v>
      </c>
      <c r="V638" t="s">
        <v>806</v>
      </c>
      <c r="W638" t="s">
        <v>532</v>
      </c>
      <c r="X638">
        <v>2</v>
      </c>
      <c r="Y638" t="s">
        <v>455</v>
      </c>
      <c r="AA638">
        <v>29.14</v>
      </c>
      <c r="AB638">
        <v>116.56</v>
      </c>
      <c r="AC638">
        <v>58.28</v>
      </c>
    </row>
    <row r="639" spans="2:29" ht="15" customHeight="1" x14ac:dyDescent="0.15">
      <c r="B639">
        <v>4</v>
      </c>
      <c r="C639" t="s">
        <v>386</v>
      </c>
      <c r="D639" t="s">
        <v>1646</v>
      </c>
      <c r="E639">
        <v>4</v>
      </c>
      <c r="F639" t="s">
        <v>219</v>
      </c>
      <c r="G639" t="s">
        <v>244</v>
      </c>
      <c r="H639" t="s">
        <v>1605</v>
      </c>
      <c r="I639">
        <v>33</v>
      </c>
      <c r="J639" s="21">
        <v>45885</v>
      </c>
      <c r="K639" s="21">
        <v>45887</v>
      </c>
      <c r="L639" t="s">
        <v>1650</v>
      </c>
      <c r="M639" t="s">
        <v>295</v>
      </c>
      <c r="O639" t="s">
        <v>220</v>
      </c>
      <c r="P639">
        <v>2</v>
      </c>
      <c r="Q639">
        <v>1</v>
      </c>
      <c r="R639">
        <v>0.5</v>
      </c>
      <c r="S639">
        <v>1</v>
      </c>
      <c r="T639">
        <v>0.5</v>
      </c>
      <c r="U639" t="s">
        <v>805</v>
      </c>
      <c r="V639" t="s">
        <v>806</v>
      </c>
      <c r="W639" t="s">
        <v>532</v>
      </c>
      <c r="X639">
        <v>2</v>
      </c>
      <c r="Y639" t="s">
        <v>455</v>
      </c>
      <c r="AA639">
        <v>77.31</v>
      </c>
      <c r="AB639">
        <v>77.31</v>
      </c>
      <c r="AC639">
        <v>38.659999999999997</v>
      </c>
    </row>
    <row r="640" spans="2:29" ht="15" customHeight="1" x14ac:dyDescent="0.15">
      <c r="B640">
        <v>4</v>
      </c>
      <c r="C640" t="s">
        <v>386</v>
      </c>
      <c r="D640" t="s">
        <v>1646</v>
      </c>
      <c r="E640">
        <v>5</v>
      </c>
      <c r="F640" t="s">
        <v>219</v>
      </c>
      <c r="G640" t="s">
        <v>218</v>
      </c>
      <c r="H640" t="s">
        <v>1175</v>
      </c>
      <c r="I640">
        <v>33</v>
      </c>
      <c r="J640" s="21">
        <v>45885</v>
      </c>
      <c r="K640" s="21">
        <v>45887</v>
      </c>
      <c r="L640" t="s">
        <v>1651</v>
      </c>
      <c r="M640" t="s">
        <v>1177</v>
      </c>
      <c r="O640" t="s">
        <v>220</v>
      </c>
      <c r="P640">
        <v>2</v>
      </c>
      <c r="Q640">
        <v>1</v>
      </c>
      <c r="R640">
        <v>0.05</v>
      </c>
      <c r="S640">
        <v>0.1</v>
      </c>
      <c r="T640">
        <v>0.05</v>
      </c>
      <c r="U640" t="s">
        <v>805</v>
      </c>
      <c r="V640" t="s">
        <v>806</v>
      </c>
      <c r="W640" t="s">
        <v>532</v>
      </c>
      <c r="X640">
        <v>2</v>
      </c>
      <c r="Y640" t="s">
        <v>455</v>
      </c>
      <c r="AA640">
        <v>177</v>
      </c>
      <c r="AB640">
        <v>17.7</v>
      </c>
      <c r="AC640">
        <v>8.85</v>
      </c>
    </row>
    <row r="641" spans="2:29" ht="15" customHeight="1" x14ac:dyDescent="0.15">
      <c r="B641">
        <v>4</v>
      </c>
      <c r="C641" t="s">
        <v>386</v>
      </c>
      <c r="D641" t="s">
        <v>1652</v>
      </c>
      <c r="E641">
        <v>1</v>
      </c>
      <c r="F641" t="s">
        <v>219</v>
      </c>
      <c r="G641" t="s">
        <v>218</v>
      </c>
      <c r="H641" t="s">
        <v>1366</v>
      </c>
      <c r="I641">
        <v>33</v>
      </c>
      <c r="J641" s="21">
        <v>45885</v>
      </c>
      <c r="K641" s="21">
        <v>45885</v>
      </c>
      <c r="L641" t="s">
        <v>1653</v>
      </c>
      <c r="M641" t="s">
        <v>1368</v>
      </c>
      <c r="O641" t="s">
        <v>220</v>
      </c>
      <c r="P641">
        <v>1</v>
      </c>
      <c r="Q641">
        <v>1</v>
      </c>
      <c r="R641">
        <v>1</v>
      </c>
      <c r="S641">
        <v>1</v>
      </c>
      <c r="T641">
        <v>1</v>
      </c>
      <c r="U641" t="s">
        <v>391</v>
      </c>
      <c r="V641" t="s">
        <v>392</v>
      </c>
      <c r="W641" t="s">
        <v>392</v>
      </c>
      <c r="X641">
        <v>1</v>
      </c>
      <c r="Y641" t="s">
        <v>1654</v>
      </c>
      <c r="AA641">
        <v>784.7</v>
      </c>
      <c r="AB641">
        <v>784.7</v>
      </c>
      <c r="AC641">
        <v>784.7</v>
      </c>
    </row>
    <row r="642" spans="2:29" ht="15" customHeight="1" x14ac:dyDescent="0.15">
      <c r="B642">
        <v>4</v>
      </c>
      <c r="C642" t="s">
        <v>386</v>
      </c>
      <c r="D642" t="s">
        <v>1655</v>
      </c>
      <c r="E642">
        <v>1</v>
      </c>
      <c r="F642" t="s">
        <v>219</v>
      </c>
      <c r="G642" t="s">
        <v>231</v>
      </c>
      <c r="H642" t="s">
        <v>433</v>
      </c>
      <c r="I642">
        <v>33</v>
      </c>
      <c r="J642" s="21">
        <v>45885</v>
      </c>
      <c r="K642" s="21">
        <v>45885</v>
      </c>
      <c r="L642" t="s">
        <v>1656</v>
      </c>
      <c r="M642" t="s">
        <v>1030</v>
      </c>
      <c r="O642" t="s">
        <v>220</v>
      </c>
      <c r="P642">
        <v>2</v>
      </c>
      <c r="Q642">
        <v>2</v>
      </c>
      <c r="R642">
        <v>0.15</v>
      </c>
      <c r="S642">
        <v>0.3</v>
      </c>
      <c r="T642">
        <v>0.3</v>
      </c>
      <c r="U642" t="s">
        <v>391</v>
      </c>
      <c r="V642" t="s">
        <v>392</v>
      </c>
      <c r="W642" t="s">
        <v>392</v>
      </c>
      <c r="X642">
        <v>1</v>
      </c>
      <c r="Y642" t="s">
        <v>1477</v>
      </c>
      <c r="AA642">
        <v>21.83</v>
      </c>
      <c r="AB642">
        <v>6.55</v>
      </c>
      <c r="AC642">
        <v>6.55</v>
      </c>
    </row>
    <row r="643" spans="2:29" ht="15" customHeight="1" x14ac:dyDescent="0.15">
      <c r="B643">
        <v>4</v>
      </c>
      <c r="C643" t="s">
        <v>386</v>
      </c>
      <c r="D643" t="s">
        <v>1655</v>
      </c>
      <c r="E643">
        <v>2</v>
      </c>
      <c r="F643" t="s">
        <v>219</v>
      </c>
      <c r="G643" t="s">
        <v>218</v>
      </c>
      <c r="H643" t="s">
        <v>400</v>
      </c>
      <c r="I643">
        <v>33</v>
      </c>
      <c r="J643" s="21">
        <v>45885</v>
      </c>
      <c r="K643" s="21">
        <v>45885</v>
      </c>
      <c r="L643" t="s">
        <v>1657</v>
      </c>
      <c r="M643" t="s">
        <v>402</v>
      </c>
      <c r="O643" t="s">
        <v>226</v>
      </c>
      <c r="P643">
        <v>2</v>
      </c>
      <c r="Q643">
        <v>2</v>
      </c>
      <c r="R643">
        <v>0.1</v>
      </c>
      <c r="S643">
        <v>0.2</v>
      </c>
      <c r="T643">
        <v>0.2</v>
      </c>
      <c r="U643" t="s">
        <v>391</v>
      </c>
      <c r="V643" t="s">
        <v>392</v>
      </c>
      <c r="W643" t="s">
        <v>392</v>
      </c>
      <c r="X643">
        <v>1</v>
      </c>
      <c r="Y643" t="s">
        <v>1477</v>
      </c>
      <c r="AA643">
        <v>217</v>
      </c>
      <c r="AB643">
        <v>43.4</v>
      </c>
      <c r="AC643">
        <v>43.4</v>
      </c>
    </row>
    <row r="644" spans="2:29" ht="15" customHeight="1" x14ac:dyDescent="0.15">
      <c r="B644">
        <v>4</v>
      </c>
      <c r="C644" t="s">
        <v>386</v>
      </c>
      <c r="D644" t="s">
        <v>1655</v>
      </c>
      <c r="E644">
        <v>3</v>
      </c>
      <c r="F644" t="s">
        <v>219</v>
      </c>
      <c r="G644" t="s">
        <v>218</v>
      </c>
      <c r="H644" t="s">
        <v>911</v>
      </c>
      <c r="I644">
        <v>33</v>
      </c>
      <c r="J644" s="21">
        <v>45885</v>
      </c>
      <c r="K644" s="21">
        <v>45885</v>
      </c>
      <c r="L644" t="s">
        <v>1658</v>
      </c>
      <c r="M644" t="s">
        <v>913</v>
      </c>
      <c r="O644" t="s">
        <v>220</v>
      </c>
      <c r="P644">
        <v>2</v>
      </c>
      <c r="Q644">
        <v>2</v>
      </c>
      <c r="R644">
        <v>0.25</v>
      </c>
      <c r="S644">
        <v>0.5</v>
      </c>
      <c r="T644">
        <v>0.5</v>
      </c>
      <c r="U644" t="s">
        <v>391</v>
      </c>
      <c r="V644" t="s">
        <v>392</v>
      </c>
      <c r="W644" t="s">
        <v>392</v>
      </c>
      <c r="X644">
        <v>1</v>
      </c>
      <c r="Y644" t="s">
        <v>1477</v>
      </c>
      <c r="AA644">
        <v>91.24</v>
      </c>
      <c r="AB644">
        <v>45.62</v>
      </c>
      <c r="AC644">
        <v>45.62</v>
      </c>
    </row>
    <row r="645" spans="2:29" ht="15" customHeight="1" x14ac:dyDescent="0.15">
      <c r="B645">
        <v>4</v>
      </c>
      <c r="C645" t="s">
        <v>386</v>
      </c>
      <c r="D645" t="s">
        <v>1655</v>
      </c>
      <c r="E645">
        <v>4</v>
      </c>
      <c r="F645" t="s">
        <v>219</v>
      </c>
      <c r="G645" t="s">
        <v>218</v>
      </c>
      <c r="H645" t="s">
        <v>1018</v>
      </c>
      <c r="I645">
        <v>33</v>
      </c>
      <c r="J645" s="21">
        <v>45885</v>
      </c>
      <c r="K645" s="21">
        <v>45885</v>
      </c>
      <c r="L645" t="s">
        <v>1659</v>
      </c>
      <c r="M645" t="s">
        <v>1020</v>
      </c>
      <c r="O645" t="s">
        <v>220</v>
      </c>
      <c r="P645">
        <v>2</v>
      </c>
      <c r="Q645">
        <v>2</v>
      </c>
      <c r="R645">
        <v>0.25</v>
      </c>
      <c r="S645">
        <v>0.5</v>
      </c>
      <c r="T645">
        <v>0.5</v>
      </c>
      <c r="U645" t="s">
        <v>391</v>
      </c>
      <c r="V645" t="s">
        <v>392</v>
      </c>
      <c r="W645" t="s">
        <v>392</v>
      </c>
      <c r="X645">
        <v>1</v>
      </c>
      <c r="Y645" t="s">
        <v>1477</v>
      </c>
      <c r="AA645">
        <v>85.01</v>
      </c>
      <c r="AB645">
        <v>42.51</v>
      </c>
      <c r="AC645">
        <v>42.51</v>
      </c>
    </row>
    <row r="646" spans="2:29" ht="15" customHeight="1" x14ac:dyDescent="0.15">
      <c r="B646">
        <v>4</v>
      </c>
      <c r="C646" t="s">
        <v>386</v>
      </c>
      <c r="D646" t="s">
        <v>1655</v>
      </c>
      <c r="E646">
        <v>5</v>
      </c>
      <c r="F646" t="s">
        <v>219</v>
      </c>
      <c r="G646" t="s">
        <v>239</v>
      </c>
      <c r="H646" t="s">
        <v>420</v>
      </c>
      <c r="I646">
        <v>33</v>
      </c>
      <c r="J646" s="21">
        <v>45885</v>
      </c>
      <c r="K646" s="21">
        <v>45885</v>
      </c>
      <c r="L646" t="s">
        <v>1660</v>
      </c>
      <c r="M646" t="s">
        <v>764</v>
      </c>
      <c r="O646" t="s">
        <v>220</v>
      </c>
      <c r="P646">
        <v>2</v>
      </c>
      <c r="Q646">
        <v>2</v>
      </c>
      <c r="R646">
        <v>0.5</v>
      </c>
      <c r="S646">
        <v>1</v>
      </c>
      <c r="T646">
        <v>1</v>
      </c>
      <c r="U646" t="s">
        <v>391</v>
      </c>
      <c r="V646" t="s">
        <v>392</v>
      </c>
      <c r="W646" t="s">
        <v>392</v>
      </c>
      <c r="X646">
        <v>1</v>
      </c>
      <c r="Y646" t="s">
        <v>1477</v>
      </c>
      <c r="AA646">
        <v>115.5</v>
      </c>
      <c r="AB646">
        <v>115.5</v>
      </c>
      <c r="AC646">
        <v>115.5</v>
      </c>
    </row>
    <row r="647" spans="2:29" ht="15" customHeight="1" x14ac:dyDescent="0.15">
      <c r="B647">
        <v>4</v>
      </c>
      <c r="C647" t="s">
        <v>386</v>
      </c>
      <c r="D647" t="s">
        <v>1655</v>
      </c>
      <c r="E647">
        <v>6</v>
      </c>
      <c r="F647" t="s">
        <v>219</v>
      </c>
      <c r="G647" t="s">
        <v>239</v>
      </c>
      <c r="H647" t="s">
        <v>456</v>
      </c>
      <c r="I647">
        <v>33</v>
      </c>
      <c r="J647" s="21">
        <v>45885</v>
      </c>
      <c r="K647" s="21">
        <v>45885</v>
      </c>
      <c r="L647" t="s">
        <v>1661</v>
      </c>
      <c r="M647" t="s">
        <v>458</v>
      </c>
      <c r="O647" t="s">
        <v>220</v>
      </c>
      <c r="P647">
        <v>2</v>
      </c>
      <c r="Q647">
        <v>2</v>
      </c>
      <c r="R647">
        <v>0.5</v>
      </c>
      <c r="S647">
        <v>1</v>
      </c>
      <c r="T647">
        <v>1</v>
      </c>
      <c r="U647" t="s">
        <v>391</v>
      </c>
      <c r="V647" t="s">
        <v>392</v>
      </c>
      <c r="W647" t="s">
        <v>392</v>
      </c>
      <c r="X647">
        <v>1</v>
      </c>
      <c r="Y647" t="s">
        <v>1477</v>
      </c>
      <c r="AA647">
        <v>49.99</v>
      </c>
      <c r="AB647">
        <v>49.99</v>
      </c>
      <c r="AC647">
        <v>49.99</v>
      </c>
    </row>
    <row r="648" spans="2:29" ht="15" customHeight="1" x14ac:dyDescent="0.15">
      <c r="B648">
        <v>4</v>
      </c>
      <c r="C648" t="s">
        <v>386</v>
      </c>
      <c r="D648" t="s">
        <v>1662</v>
      </c>
      <c r="E648">
        <v>1</v>
      </c>
      <c r="F648" t="s">
        <v>416</v>
      </c>
      <c r="G648" t="s">
        <v>1036</v>
      </c>
      <c r="H648" t="s">
        <v>562</v>
      </c>
      <c r="I648">
        <v>33</v>
      </c>
      <c r="J648" s="21">
        <v>45885</v>
      </c>
      <c r="K648" s="21">
        <v>45885</v>
      </c>
      <c r="L648" t="s">
        <v>1663</v>
      </c>
      <c r="M648" t="s">
        <v>1038</v>
      </c>
      <c r="O648" t="s">
        <v>226</v>
      </c>
      <c r="P648">
        <v>1</v>
      </c>
      <c r="Q648">
        <v>1</v>
      </c>
      <c r="R648">
        <v>54.1</v>
      </c>
      <c r="S648">
        <v>54.1</v>
      </c>
      <c r="T648">
        <v>54.1</v>
      </c>
      <c r="U648" t="s">
        <v>391</v>
      </c>
      <c r="V648" t="s">
        <v>392</v>
      </c>
      <c r="W648" t="s">
        <v>392</v>
      </c>
      <c r="X648">
        <v>1</v>
      </c>
      <c r="Y648" t="s">
        <v>893</v>
      </c>
      <c r="AA648">
        <v>6.7</v>
      </c>
      <c r="AB648">
        <v>362.47</v>
      </c>
      <c r="AC648">
        <v>362.47</v>
      </c>
    </row>
    <row r="649" spans="2:29" ht="15" customHeight="1" x14ac:dyDescent="0.15">
      <c r="B649">
        <v>4</v>
      </c>
      <c r="C649" t="s">
        <v>386</v>
      </c>
      <c r="D649" t="s">
        <v>1664</v>
      </c>
      <c r="E649">
        <v>1</v>
      </c>
      <c r="F649" t="s">
        <v>219</v>
      </c>
      <c r="G649" t="s">
        <v>231</v>
      </c>
      <c r="H649" t="s">
        <v>433</v>
      </c>
      <c r="I649">
        <v>34</v>
      </c>
      <c r="J649" s="21">
        <v>45887</v>
      </c>
      <c r="K649" s="21">
        <v>45887</v>
      </c>
      <c r="L649" t="s">
        <v>1665</v>
      </c>
      <c r="M649" t="s">
        <v>1030</v>
      </c>
      <c r="O649" t="s">
        <v>220</v>
      </c>
      <c r="P649">
        <v>2</v>
      </c>
      <c r="Q649">
        <v>1</v>
      </c>
      <c r="R649">
        <v>0.12</v>
      </c>
      <c r="S649">
        <v>0.24</v>
      </c>
      <c r="T649">
        <v>0.12</v>
      </c>
      <c r="U649" t="s">
        <v>1056</v>
      </c>
      <c r="V649" t="s">
        <v>1057</v>
      </c>
      <c r="W649" t="s">
        <v>532</v>
      </c>
      <c r="X649">
        <v>2</v>
      </c>
      <c r="Y649" t="s">
        <v>455</v>
      </c>
      <c r="AA649">
        <v>21.83</v>
      </c>
      <c r="AB649">
        <v>5.24</v>
      </c>
      <c r="AC649">
        <v>2.62</v>
      </c>
    </row>
    <row r="650" spans="2:29" ht="15" customHeight="1" x14ac:dyDescent="0.15">
      <c r="B650">
        <v>4</v>
      </c>
      <c r="C650" t="s">
        <v>386</v>
      </c>
      <c r="D650" t="s">
        <v>1664</v>
      </c>
      <c r="E650">
        <v>2</v>
      </c>
      <c r="F650" t="s">
        <v>219</v>
      </c>
      <c r="G650" t="s">
        <v>244</v>
      </c>
      <c r="H650" t="s">
        <v>591</v>
      </c>
      <c r="I650">
        <v>34</v>
      </c>
      <c r="J650" s="21">
        <v>45887</v>
      </c>
      <c r="K650" s="21">
        <v>45887</v>
      </c>
      <c r="L650" t="s">
        <v>1666</v>
      </c>
      <c r="M650" t="s">
        <v>593</v>
      </c>
      <c r="O650" t="s">
        <v>220</v>
      </c>
      <c r="P650">
        <v>2</v>
      </c>
      <c r="Q650">
        <v>1</v>
      </c>
      <c r="R650">
        <v>2</v>
      </c>
      <c r="S650">
        <v>4</v>
      </c>
      <c r="T650">
        <v>2</v>
      </c>
      <c r="U650" t="s">
        <v>1056</v>
      </c>
      <c r="V650" t="s">
        <v>1057</v>
      </c>
      <c r="W650" t="s">
        <v>532</v>
      </c>
      <c r="X650">
        <v>2</v>
      </c>
      <c r="Y650" t="s">
        <v>455</v>
      </c>
      <c r="AA650">
        <v>37.58</v>
      </c>
      <c r="AB650">
        <v>150.30000000000001</v>
      </c>
      <c r="AC650">
        <v>75.150000000000006</v>
      </c>
    </row>
    <row r="651" spans="2:29" ht="15" customHeight="1" x14ac:dyDescent="0.15">
      <c r="B651">
        <v>4</v>
      </c>
      <c r="C651" t="s">
        <v>386</v>
      </c>
      <c r="D651" t="s">
        <v>1664</v>
      </c>
      <c r="E651">
        <v>3</v>
      </c>
      <c r="F651" t="s">
        <v>219</v>
      </c>
      <c r="G651" t="s">
        <v>218</v>
      </c>
      <c r="H651" t="s">
        <v>493</v>
      </c>
      <c r="I651">
        <v>34</v>
      </c>
      <c r="J651" s="21">
        <v>45887</v>
      </c>
      <c r="K651" s="21">
        <v>45887</v>
      </c>
      <c r="L651" t="s">
        <v>1667</v>
      </c>
      <c r="M651" t="s">
        <v>576</v>
      </c>
      <c r="O651" t="s">
        <v>226</v>
      </c>
      <c r="P651">
        <v>2</v>
      </c>
      <c r="Q651">
        <v>1</v>
      </c>
      <c r="R651">
        <v>0.2</v>
      </c>
      <c r="S651">
        <v>0.4</v>
      </c>
      <c r="T651">
        <v>0.2</v>
      </c>
      <c r="U651" t="s">
        <v>1056</v>
      </c>
      <c r="V651" t="s">
        <v>1057</v>
      </c>
      <c r="W651" t="s">
        <v>532</v>
      </c>
      <c r="X651">
        <v>2</v>
      </c>
      <c r="Y651" t="s">
        <v>455</v>
      </c>
      <c r="AA651">
        <v>101.77</v>
      </c>
      <c r="AB651">
        <v>40.71</v>
      </c>
      <c r="AC651">
        <v>20.350000000000001</v>
      </c>
    </row>
    <row r="652" spans="2:29" ht="15" customHeight="1" x14ac:dyDescent="0.15">
      <c r="B652">
        <v>4</v>
      </c>
      <c r="C652" t="s">
        <v>386</v>
      </c>
      <c r="D652" t="s">
        <v>1664</v>
      </c>
      <c r="E652">
        <v>4</v>
      </c>
      <c r="F652" t="s">
        <v>219</v>
      </c>
      <c r="G652" t="s">
        <v>239</v>
      </c>
      <c r="H652" t="s">
        <v>602</v>
      </c>
      <c r="I652">
        <v>34</v>
      </c>
      <c r="J652" s="21">
        <v>45887</v>
      </c>
      <c r="K652" s="21">
        <v>45887</v>
      </c>
      <c r="L652" t="s">
        <v>1668</v>
      </c>
      <c r="M652" t="s">
        <v>258</v>
      </c>
      <c r="O652" t="s">
        <v>220</v>
      </c>
      <c r="P652">
        <v>2</v>
      </c>
      <c r="Q652">
        <v>1</v>
      </c>
      <c r="R652">
        <v>0.5</v>
      </c>
      <c r="S652">
        <v>1</v>
      </c>
      <c r="T652">
        <v>0.5</v>
      </c>
      <c r="U652" t="s">
        <v>1056</v>
      </c>
      <c r="V652" t="s">
        <v>1057</v>
      </c>
      <c r="W652" t="s">
        <v>532</v>
      </c>
      <c r="X652">
        <v>2</v>
      </c>
      <c r="Y652" t="s">
        <v>455</v>
      </c>
      <c r="AA652">
        <v>180</v>
      </c>
      <c r="AB652">
        <v>180</v>
      </c>
      <c r="AC652">
        <v>90</v>
      </c>
    </row>
    <row r="653" spans="2:29" ht="15" customHeight="1" x14ac:dyDescent="0.15">
      <c r="B653">
        <v>4</v>
      </c>
      <c r="C653" t="s">
        <v>386</v>
      </c>
      <c r="D653" t="s">
        <v>1669</v>
      </c>
      <c r="E653">
        <v>1</v>
      </c>
      <c r="F653" t="s">
        <v>219</v>
      </c>
      <c r="G653" t="s">
        <v>231</v>
      </c>
      <c r="H653" t="s">
        <v>433</v>
      </c>
      <c r="I653">
        <v>34</v>
      </c>
      <c r="J653" s="21">
        <v>45887</v>
      </c>
      <c r="K653" s="21">
        <v>45887</v>
      </c>
      <c r="L653" t="s">
        <v>1670</v>
      </c>
      <c r="M653" t="s">
        <v>1030</v>
      </c>
      <c r="O653" t="s">
        <v>220</v>
      </c>
      <c r="P653">
        <v>2</v>
      </c>
      <c r="Q653">
        <v>1.06</v>
      </c>
      <c r="R653">
        <v>0.12</v>
      </c>
      <c r="S653">
        <v>0.216</v>
      </c>
      <c r="T653">
        <v>0.13</v>
      </c>
      <c r="U653" t="s">
        <v>1246</v>
      </c>
      <c r="V653" t="s">
        <v>1247</v>
      </c>
      <c r="W653" t="s">
        <v>532</v>
      </c>
      <c r="X653">
        <v>1.7</v>
      </c>
      <c r="Y653" t="s">
        <v>455</v>
      </c>
      <c r="AA653">
        <v>21.83</v>
      </c>
      <c r="AB653">
        <v>4.72</v>
      </c>
      <c r="AC653">
        <v>2.77</v>
      </c>
    </row>
    <row r="654" spans="2:29" ht="15" customHeight="1" x14ac:dyDescent="0.15">
      <c r="B654">
        <v>4</v>
      </c>
      <c r="C654" t="s">
        <v>386</v>
      </c>
      <c r="D654" t="s">
        <v>1669</v>
      </c>
      <c r="E654">
        <v>2</v>
      </c>
      <c r="F654" t="s">
        <v>219</v>
      </c>
      <c r="G654" t="s">
        <v>244</v>
      </c>
      <c r="H654" t="s">
        <v>591</v>
      </c>
      <c r="I654">
        <v>34</v>
      </c>
      <c r="J654" s="21">
        <v>45887</v>
      </c>
      <c r="K654" s="21">
        <v>45887</v>
      </c>
      <c r="L654" t="s">
        <v>1671</v>
      </c>
      <c r="M654" t="s">
        <v>593</v>
      </c>
      <c r="O654" t="s">
        <v>220</v>
      </c>
      <c r="P654">
        <v>2</v>
      </c>
      <c r="Q654">
        <v>1.06</v>
      </c>
      <c r="R654">
        <v>2</v>
      </c>
      <c r="S654">
        <v>3.6</v>
      </c>
      <c r="T654">
        <v>2.12</v>
      </c>
      <c r="U654" t="s">
        <v>1246</v>
      </c>
      <c r="V654" t="s">
        <v>1247</v>
      </c>
      <c r="W654" t="s">
        <v>532</v>
      </c>
      <c r="X654">
        <v>1.7</v>
      </c>
      <c r="Y654" t="s">
        <v>455</v>
      </c>
      <c r="AA654">
        <v>37.58</v>
      </c>
      <c r="AB654">
        <v>135.27000000000001</v>
      </c>
      <c r="AC654">
        <v>79.569999999999993</v>
      </c>
    </row>
    <row r="655" spans="2:29" ht="15" customHeight="1" x14ac:dyDescent="0.15">
      <c r="B655">
        <v>4</v>
      </c>
      <c r="C655" t="s">
        <v>386</v>
      </c>
      <c r="D655" t="s">
        <v>1669</v>
      </c>
      <c r="E655">
        <v>3</v>
      </c>
      <c r="F655" t="s">
        <v>219</v>
      </c>
      <c r="G655" t="s">
        <v>218</v>
      </c>
      <c r="H655" t="s">
        <v>493</v>
      </c>
      <c r="I655">
        <v>34</v>
      </c>
      <c r="J655" s="21">
        <v>45887</v>
      </c>
      <c r="K655" s="21">
        <v>45887</v>
      </c>
      <c r="L655" t="s">
        <v>1672</v>
      </c>
      <c r="M655" t="s">
        <v>576</v>
      </c>
      <c r="O655" t="s">
        <v>226</v>
      </c>
      <c r="P655">
        <v>2</v>
      </c>
      <c r="Q655">
        <v>1.06</v>
      </c>
      <c r="R655">
        <v>0.2</v>
      </c>
      <c r="S655">
        <v>0.36</v>
      </c>
      <c r="T655">
        <v>0.21</v>
      </c>
      <c r="U655" t="s">
        <v>1246</v>
      </c>
      <c r="V655" t="s">
        <v>1247</v>
      </c>
      <c r="W655" t="s">
        <v>532</v>
      </c>
      <c r="X655">
        <v>1.7</v>
      </c>
      <c r="Y655" t="s">
        <v>455</v>
      </c>
      <c r="AA655">
        <v>101.77</v>
      </c>
      <c r="AB655">
        <v>36.64</v>
      </c>
      <c r="AC655">
        <v>21.55</v>
      </c>
    </row>
    <row r="656" spans="2:29" ht="15" customHeight="1" x14ac:dyDescent="0.15">
      <c r="B656">
        <v>4</v>
      </c>
      <c r="C656" t="s">
        <v>386</v>
      </c>
      <c r="D656" t="s">
        <v>1669</v>
      </c>
      <c r="E656">
        <v>4</v>
      </c>
      <c r="F656" t="s">
        <v>219</v>
      </c>
      <c r="G656" t="s">
        <v>239</v>
      </c>
      <c r="H656" t="s">
        <v>517</v>
      </c>
      <c r="I656">
        <v>34</v>
      </c>
      <c r="J656" s="21">
        <v>45887</v>
      </c>
      <c r="K656" s="21">
        <v>45887</v>
      </c>
      <c r="L656" t="s">
        <v>1673</v>
      </c>
      <c r="M656" t="s">
        <v>614</v>
      </c>
      <c r="O656" t="s">
        <v>226</v>
      </c>
      <c r="P656">
        <v>2</v>
      </c>
      <c r="Q656">
        <v>1.06</v>
      </c>
      <c r="R656">
        <v>0.5</v>
      </c>
      <c r="S656">
        <v>0.9</v>
      </c>
      <c r="T656">
        <v>0.53</v>
      </c>
      <c r="U656" t="s">
        <v>1246</v>
      </c>
      <c r="V656" t="s">
        <v>1247</v>
      </c>
      <c r="W656" t="s">
        <v>532</v>
      </c>
      <c r="X656">
        <v>1.7</v>
      </c>
      <c r="Y656" t="s">
        <v>455</v>
      </c>
      <c r="AA656">
        <v>65</v>
      </c>
      <c r="AB656">
        <v>58.5</v>
      </c>
      <c r="AC656">
        <v>34.409999999999997</v>
      </c>
    </row>
    <row r="657" spans="2:29" ht="15" customHeight="1" x14ac:dyDescent="0.15">
      <c r="B657">
        <v>4</v>
      </c>
      <c r="C657" t="s">
        <v>386</v>
      </c>
      <c r="D657" t="s">
        <v>1669</v>
      </c>
      <c r="E657">
        <v>5</v>
      </c>
      <c r="F657" t="s">
        <v>219</v>
      </c>
      <c r="G657" t="s">
        <v>244</v>
      </c>
      <c r="H657" t="s">
        <v>1605</v>
      </c>
      <c r="I657">
        <v>34</v>
      </c>
      <c r="J657" s="21">
        <v>45887</v>
      </c>
      <c r="K657" s="21">
        <v>45887</v>
      </c>
      <c r="L657" t="s">
        <v>1674</v>
      </c>
      <c r="M657" t="s">
        <v>295</v>
      </c>
      <c r="O657" t="s">
        <v>220</v>
      </c>
      <c r="P657">
        <v>2</v>
      </c>
      <c r="Q657">
        <v>1.06</v>
      </c>
      <c r="R657">
        <v>0.5</v>
      </c>
      <c r="S657">
        <v>0.9</v>
      </c>
      <c r="T657">
        <v>0.53</v>
      </c>
      <c r="U657" t="s">
        <v>1246</v>
      </c>
      <c r="V657" t="s">
        <v>1247</v>
      </c>
      <c r="W657" t="s">
        <v>532</v>
      </c>
      <c r="X657">
        <v>1.7</v>
      </c>
      <c r="Y657" t="s">
        <v>455</v>
      </c>
      <c r="AA657">
        <v>77.31</v>
      </c>
      <c r="AB657">
        <v>69.58</v>
      </c>
      <c r="AC657">
        <v>40.93</v>
      </c>
    </row>
    <row r="658" spans="2:29" ht="15" customHeight="1" x14ac:dyDescent="0.15">
      <c r="B658">
        <v>4</v>
      </c>
      <c r="C658" t="s">
        <v>386</v>
      </c>
      <c r="D658" t="s">
        <v>1669</v>
      </c>
      <c r="E658">
        <v>6</v>
      </c>
      <c r="F658" t="s">
        <v>219</v>
      </c>
      <c r="G658" t="s">
        <v>218</v>
      </c>
      <c r="H658" t="s">
        <v>1175</v>
      </c>
      <c r="I658">
        <v>34</v>
      </c>
      <c r="J658" s="21">
        <v>45887</v>
      </c>
      <c r="K658" s="21">
        <v>45887</v>
      </c>
      <c r="L658" t="s">
        <v>1675</v>
      </c>
      <c r="M658" t="s">
        <v>1177</v>
      </c>
      <c r="O658" t="s">
        <v>220</v>
      </c>
      <c r="P658">
        <v>2</v>
      </c>
      <c r="Q658">
        <v>1.06</v>
      </c>
      <c r="R658">
        <v>0.05</v>
      </c>
      <c r="S658">
        <v>0.09</v>
      </c>
      <c r="T658">
        <v>0.05</v>
      </c>
      <c r="U658" t="s">
        <v>1246</v>
      </c>
      <c r="V658" t="s">
        <v>1247</v>
      </c>
      <c r="W658" t="s">
        <v>532</v>
      </c>
      <c r="X658">
        <v>1.7</v>
      </c>
      <c r="Y658" t="s">
        <v>455</v>
      </c>
      <c r="AA658">
        <v>177</v>
      </c>
      <c r="AB658">
        <v>15.93</v>
      </c>
      <c r="AC658">
        <v>9.3699999999999992</v>
      </c>
    </row>
    <row r="659" spans="2:29" ht="15" customHeight="1" x14ac:dyDescent="0.15">
      <c r="B659">
        <v>4</v>
      </c>
      <c r="C659" t="s">
        <v>386</v>
      </c>
      <c r="D659" t="s">
        <v>1676</v>
      </c>
      <c r="E659">
        <v>1</v>
      </c>
      <c r="F659" t="s">
        <v>416</v>
      </c>
      <c r="G659" t="s">
        <v>1036</v>
      </c>
      <c r="H659" t="s">
        <v>562</v>
      </c>
      <c r="I659">
        <v>34</v>
      </c>
      <c r="J659" s="21">
        <v>45887</v>
      </c>
      <c r="K659" s="21">
        <v>45887</v>
      </c>
      <c r="L659" t="s">
        <v>1677</v>
      </c>
      <c r="M659" t="s">
        <v>1038</v>
      </c>
      <c r="O659" t="s">
        <v>226</v>
      </c>
      <c r="P659">
        <v>1</v>
      </c>
      <c r="Q659">
        <v>1</v>
      </c>
      <c r="R659">
        <v>53.1</v>
      </c>
      <c r="S659">
        <v>53.1</v>
      </c>
      <c r="T659">
        <v>53.1</v>
      </c>
      <c r="U659" t="s">
        <v>391</v>
      </c>
      <c r="V659" t="s">
        <v>392</v>
      </c>
      <c r="W659" t="s">
        <v>392</v>
      </c>
      <c r="X659">
        <v>1</v>
      </c>
      <c r="Y659" t="s">
        <v>1477</v>
      </c>
      <c r="AA659">
        <v>6.7</v>
      </c>
      <c r="AB659">
        <v>355.77</v>
      </c>
      <c r="AC659">
        <v>355.77</v>
      </c>
    </row>
    <row r="660" spans="2:29" ht="15" customHeight="1" x14ac:dyDescent="0.15">
      <c r="B660">
        <v>4</v>
      </c>
      <c r="C660" t="s">
        <v>386</v>
      </c>
      <c r="D660" t="s">
        <v>1678</v>
      </c>
      <c r="E660">
        <v>1</v>
      </c>
      <c r="F660" t="s">
        <v>201</v>
      </c>
      <c r="G660" t="s">
        <v>200</v>
      </c>
      <c r="H660" t="s">
        <v>1059</v>
      </c>
      <c r="I660">
        <v>34</v>
      </c>
      <c r="J660" s="21">
        <v>45888</v>
      </c>
      <c r="K660" s="21">
        <v>45892</v>
      </c>
      <c r="L660" t="s">
        <v>1679</v>
      </c>
      <c r="M660" t="s">
        <v>1061</v>
      </c>
      <c r="O660" t="s">
        <v>226</v>
      </c>
      <c r="P660">
        <v>2</v>
      </c>
      <c r="Q660">
        <v>1</v>
      </c>
      <c r="R660">
        <v>200</v>
      </c>
      <c r="S660">
        <v>340</v>
      </c>
      <c r="T660">
        <v>200</v>
      </c>
      <c r="U660" t="s">
        <v>1246</v>
      </c>
      <c r="V660" t="s">
        <v>1247</v>
      </c>
      <c r="W660" t="s">
        <v>532</v>
      </c>
      <c r="X660">
        <v>1.7</v>
      </c>
      <c r="Y660" t="s">
        <v>1680</v>
      </c>
      <c r="AA660">
        <v>1.72</v>
      </c>
      <c r="AB660">
        <v>584.79999999999995</v>
      </c>
      <c r="AC660">
        <v>344</v>
      </c>
    </row>
    <row r="661" spans="2:29" ht="15" customHeight="1" x14ac:dyDescent="0.15">
      <c r="B661">
        <v>4</v>
      </c>
      <c r="C661" t="s">
        <v>386</v>
      </c>
      <c r="D661" t="s">
        <v>1678</v>
      </c>
      <c r="E661">
        <v>2</v>
      </c>
      <c r="F661" t="s">
        <v>201</v>
      </c>
      <c r="G661" t="s">
        <v>200</v>
      </c>
      <c r="H661" t="s">
        <v>1609</v>
      </c>
      <c r="I661">
        <v>34</v>
      </c>
      <c r="J661" s="21">
        <v>45888</v>
      </c>
      <c r="K661" s="21">
        <v>45892</v>
      </c>
      <c r="L661" t="s">
        <v>1681</v>
      </c>
      <c r="M661" t="s">
        <v>1611</v>
      </c>
      <c r="O661" t="s">
        <v>226</v>
      </c>
      <c r="P661">
        <v>1</v>
      </c>
      <c r="Q661">
        <v>0.76</v>
      </c>
      <c r="R661">
        <v>250</v>
      </c>
      <c r="S661">
        <v>325</v>
      </c>
      <c r="T661">
        <v>191.18</v>
      </c>
      <c r="U661" t="s">
        <v>1246</v>
      </c>
      <c r="V661" t="s">
        <v>1247</v>
      </c>
      <c r="W661" t="s">
        <v>532</v>
      </c>
      <c r="X661">
        <v>1.7</v>
      </c>
      <c r="Y661" t="s">
        <v>1680</v>
      </c>
      <c r="AA661">
        <v>3.24</v>
      </c>
      <c r="AB661" s="22">
        <v>1053</v>
      </c>
      <c r="AC661">
        <v>619.41</v>
      </c>
    </row>
    <row r="662" spans="2:29" ht="15" customHeight="1" x14ac:dyDescent="0.15">
      <c r="B662">
        <v>4</v>
      </c>
      <c r="C662" t="s">
        <v>386</v>
      </c>
      <c r="D662" t="s">
        <v>1678</v>
      </c>
      <c r="E662">
        <v>3</v>
      </c>
      <c r="F662" t="s">
        <v>201</v>
      </c>
      <c r="G662" t="s">
        <v>200</v>
      </c>
      <c r="H662" t="s">
        <v>647</v>
      </c>
      <c r="I662">
        <v>34</v>
      </c>
      <c r="J662" s="21">
        <v>45888</v>
      </c>
      <c r="K662" s="21">
        <v>45892</v>
      </c>
      <c r="L662" t="s">
        <v>1682</v>
      </c>
      <c r="M662" t="s">
        <v>647</v>
      </c>
      <c r="O662" t="s">
        <v>226</v>
      </c>
      <c r="P662">
        <v>0</v>
      </c>
      <c r="Q662">
        <v>0.24</v>
      </c>
      <c r="R662">
        <v>250</v>
      </c>
      <c r="S662">
        <v>100</v>
      </c>
      <c r="T662">
        <v>58.82</v>
      </c>
      <c r="U662" t="s">
        <v>1246</v>
      </c>
      <c r="V662" t="s">
        <v>1247</v>
      </c>
      <c r="W662" t="s">
        <v>532</v>
      </c>
      <c r="X662">
        <v>1.7</v>
      </c>
      <c r="Y662" t="s">
        <v>1680</v>
      </c>
      <c r="AA662">
        <v>3.19</v>
      </c>
      <c r="AB662">
        <v>318.75</v>
      </c>
      <c r="AC662">
        <v>187.5</v>
      </c>
    </row>
    <row r="663" spans="2:29" ht="15" customHeight="1" x14ac:dyDescent="0.15">
      <c r="B663">
        <v>4</v>
      </c>
      <c r="C663" t="s">
        <v>386</v>
      </c>
      <c r="D663" t="s">
        <v>1683</v>
      </c>
      <c r="E663">
        <v>1</v>
      </c>
      <c r="F663" t="s">
        <v>201</v>
      </c>
      <c r="G663" t="s">
        <v>337</v>
      </c>
      <c r="H663" t="s">
        <v>1123</v>
      </c>
      <c r="I663">
        <v>34</v>
      </c>
      <c r="J663" s="21">
        <v>45888</v>
      </c>
      <c r="K663" s="21">
        <v>45888</v>
      </c>
      <c r="L663" t="s">
        <v>1684</v>
      </c>
      <c r="M663" t="s">
        <v>1125</v>
      </c>
      <c r="O663" t="s">
        <v>226</v>
      </c>
      <c r="P663">
        <v>0</v>
      </c>
      <c r="R663">
        <v>4</v>
      </c>
      <c r="S663">
        <v>0.16</v>
      </c>
      <c r="U663" t="s">
        <v>982</v>
      </c>
      <c r="V663" t="s">
        <v>982</v>
      </c>
      <c r="W663" t="s">
        <v>496</v>
      </c>
      <c r="Y663" t="s">
        <v>1685</v>
      </c>
      <c r="AA663">
        <v>0.78</v>
      </c>
      <c r="AB663">
        <v>0.12</v>
      </c>
      <c r="AC663">
        <v>0</v>
      </c>
    </row>
    <row r="664" spans="2:29" ht="15" customHeight="1" x14ac:dyDescent="0.15">
      <c r="B664">
        <v>4</v>
      </c>
      <c r="C664" t="s">
        <v>386</v>
      </c>
      <c r="D664" t="s">
        <v>1683</v>
      </c>
      <c r="E664">
        <v>2</v>
      </c>
      <c r="F664" t="s">
        <v>201</v>
      </c>
      <c r="G664" t="s">
        <v>337</v>
      </c>
      <c r="H664" t="s">
        <v>475</v>
      </c>
      <c r="I664">
        <v>34</v>
      </c>
      <c r="J664" s="21">
        <v>45888</v>
      </c>
      <c r="K664" s="21">
        <v>45888</v>
      </c>
      <c r="L664" t="s">
        <v>1686</v>
      </c>
      <c r="M664" t="s">
        <v>477</v>
      </c>
      <c r="O664" t="s">
        <v>226</v>
      </c>
      <c r="P664">
        <v>0</v>
      </c>
      <c r="R664">
        <v>10</v>
      </c>
      <c r="S664">
        <v>0.4</v>
      </c>
      <c r="U664" t="s">
        <v>982</v>
      </c>
      <c r="V664" t="s">
        <v>982</v>
      </c>
      <c r="W664" t="s">
        <v>496</v>
      </c>
      <c r="Y664" t="s">
        <v>1685</v>
      </c>
      <c r="AA664">
        <v>4.88</v>
      </c>
      <c r="AB664">
        <v>1.95</v>
      </c>
      <c r="AC664">
        <v>0</v>
      </c>
    </row>
    <row r="665" spans="2:29" ht="15" customHeight="1" x14ac:dyDescent="0.15">
      <c r="B665">
        <v>4</v>
      </c>
      <c r="C665" t="s">
        <v>386</v>
      </c>
      <c r="D665" t="s">
        <v>1683</v>
      </c>
      <c r="E665">
        <v>3</v>
      </c>
      <c r="F665" t="s">
        <v>201</v>
      </c>
      <c r="G665" t="s">
        <v>337</v>
      </c>
      <c r="H665" t="s">
        <v>1128</v>
      </c>
      <c r="I665">
        <v>34</v>
      </c>
      <c r="J665" s="21">
        <v>45888</v>
      </c>
      <c r="K665" s="21">
        <v>45888</v>
      </c>
      <c r="L665" t="s">
        <v>1687</v>
      </c>
      <c r="M665" t="s">
        <v>1130</v>
      </c>
      <c r="O665" t="s">
        <v>226</v>
      </c>
      <c r="P665">
        <v>0</v>
      </c>
      <c r="R665">
        <v>0.5</v>
      </c>
      <c r="S665">
        <v>0.02</v>
      </c>
      <c r="U665" t="s">
        <v>982</v>
      </c>
      <c r="V665" t="s">
        <v>982</v>
      </c>
      <c r="W665" t="s">
        <v>496</v>
      </c>
      <c r="Y665" t="s">
        <v>1685</v>
      </c>
      <c r="AA665">
        <v>5.61</v>
      </c>
      <c r="AB665">
        <v>0.11</v>
      </c>
      <c r="AC665">
        <v>0</v>
      </c>
    </row>
    <row r="666" spans="2:29" ht="15" customHeight="1" x14ac:dyDescent="0.15">
      <c r="B666">
        <v>4</v>
      </c>
      <c r="C666" t="s">
        <v>386</v>
      </c>
      <c r="D666" t="s">
        <v>1683</v>
      </c>
      <c r="E666">
        <v>4</v>
      </c>
      <c r="F666" t="s">
        <v>201</v>
      </c>
      <c r="G666" t="s">
        <v>470</v>
      </c>
      <c r="H666" t="s">
        <v>471</v>
      </c>
      <c r="I666">
        <v>34</v>
      </c>
      <c r="J666" s="21">
        <v>45888</v>
      </c>
      <c r="K666" s="21">
        <v>45888</v>
      </c>
      <c r="L666" t="s">
        <v>1688</v>
      </c>
      <c r="M666" t="s">
        <v>473</v>
      </c>
      <c r="O666" t="s">
        <v>226</v>
      </c>
      <c r="P666">
        <v>0</v>
      </c>
      <c r="R666">
        <v>5</v>
      </c>
      <c r="S666">
        <v>0.2</v>
      </c>
      <c r="U666" t="s">
        <v>982</v>
      </c>
      <c r="V666" t="s">
        <v>982</v>
      </c>
      <c r="W666" t="s">
        <v>496</v>
      </c>
      <c r="Y666" t="s">
        <v>1685</v>
      </c>
      <c r="AA666">
        <v>2.16</v>
      </c>
      <c r="AB666">
        <v>0.43</v>
      </c>
      <c r="AC666">
        <v>0</v>
      </c>
    </row>
    <row r="667" spans="2:29" ht="15" customHeight="1" x14ac:dyDescent="0.15">
      <c r="B667">
        <v>4</v>
      </c>
      <c r="C667" t="s">
        <v>386</v>
      </c>
      <c r="D667" t="s">
        <v>1683</v>
      </c>
      <c r="E667">
        <v>5</v>
      </c>
      <c r="F667" t="s">
        <v>201</v>
      </c>
      <c r="G667" t="s">
        <v>337</v>
      </c>
      <c r="H667" t="s">
        <v>1132</v>
      </c>
      <c r="J667" s="21">
        <v>45888</v>
      </c>
      <c r="K667" s="21">
        <v>45888</v>
      </c>
      <c r="L667" t="s">
        <v>1689</v>
      </c>
      <c r="M667" t="s">
        <v>1134</v>
      </c>
      <c r="O667" t="s">
        <v>226</v>
      </c>
      <c r="P667">
        <v>0</v>
      </c>
      <c r="R667">
        <v>5</v>
      </c>
      <c r="S667">
        <v>0.2</v>
      </c>
      <c r="U667" t="s">
        <v>982</v>
      </c>
      <c r="V667" t="s">
        <v>982</v>
      </c>
      <c r="W667" t="s">
        <v>496</v>
      </c>
      <c r="Y667" t="s">
        <v>1685</v>
      </c>
      <c r="AA667">
        <v>5.28</v>
      </c>
      <c r="AB667">
        <v>1.06</v>
      </c>
      <c r="AC667">
        <v>0</v>
      </c>
    </row>
    <row r="668" spans="2:29" ht="15" customHeight="1" x14ac:dyDescent="0.15">
      <c r="B668">
        <v>4</v>
      </c>
      <c r="C668" t="s">
        <v>386</v>
      </c>
      <c r="D668" t="s">
        <v>1690</v>
      </c>
      <c r="E668">
        <v>1</v>
      </c>
      <c r="F668" t="s">
        <v>219</v>
      </c>
      <c r="G668" t="s">
        <v>231</v>
      </c>
      <c r="H668" t="s">
        <v>433</v>
      </c>
      <c r="I668">
        <v>34</v>
      </c>
      <c r="J668" s="21">
        <v>45888</v>
      </c>
      <c r="K668" s="21">
        <v>45888</v>
      </c>
      <c r="L668" t="s">
        <v>1691</v>
      </c>
      <c r="M668" t="s">
        <v>1030</v>
      </c>
      <c r="O668" t="s">
        <v>220</v>
      </c>
      <c r="P668">
        <v>0</v>
      </c>
      <c r="R668">
        <v>0.12</v>
      </c>
      <c r="S668">
        <v>1.2E-2</v>
      </c>
      <c r="U668" t="s">
        <v>982</v>
      </c>
      <c r="V668" t="s">
        <v>982</v>
      </c>
      <c r="W668" t="s">
        <v>496</v>
      </c>
      <c r="Y668" t="s">
        <v>1692</v>
      </c>
      <c r="AA668">
        <v>21.83</v>
      </c>
      <c r="AB668">
        <v>0.26</v>
      </c>
      <c r="AC668">
        <v>0</v>
      </c>
    </row>
    <row r="669" spans="2:29" ht="15" customHeight="1" x14ac:dyDescent="0.15">
      <c r="B669">
        <v>4</v>
      </c>
      <c r="C669" t="s">
        <v>386</v>
      </c>
      <c r="D669" t="s">
        <v>1690</v>
      </c>
      <c r="E669">
        <v>2</v>
      </c>
      <c r="F669" t="s">
        <v>219</v>
      </c>
      <c r="G669" t="s">
        <v>239</v>
      </c>
      <c r="H669" t="s">
        <v>1066</v>
      </c>
      <c r="I669">
        <v>34</v>
      </c>
      <c r="J669" s="21">
        <v>45888</v>
      </c>
      <c r="K669" s="21">
        <v>45888</v>
      </c>
      <c r="L669" t="s">
        <v>1693</v>
      </c>
      <c r="M669" t="s">
        <v>1068</v>
      </c>
      <c r="O669" t="s">
        <v>220</v>
      </c>
      <c r="P669">
        <v>0</v>
      </c>
      <c r="R669">
        <v>0.5</v>
      </c>
      <c r="S669">
        <v>0.05</v>
      </c>
      <c r="U669" t="s">
        <v>982</v>
      </c>
      <c r="V669" t="s">
        <v>982</v>
      </c>
      <c r="W669" t="s">
        <v>496</v>
      </c>
      <c r="Y669" t="s">
        <v>1692</v>
      </c>
      <c r="AA669">
        <v>138.68</v>
      </c>
      <c r="AB669">
        <v>6.93</v>
      </c>
      <c r="AC669">
        <v>0</v>
      </c>
    </row>
    <row r="670" spans="2:29" ht="15" customHeight="1" x14ac:dyDescent="0.15">
      <c r="B670">
        <v>4</v>
      </c>
      <c r="C670" t="s">
        <v>386</v>
      </c>
      <c r="D670" t="s">
        <v>1690</v>
      </c>
      <c r="E670">
        <v>3</v>
      </c>
      <c r="F670" t="s">
        <v>219</v>
      </c>
      <c r="G670" t="s">
        <v>239</v>
      </c>
      <c r="H670" t="s">
        <v>602</v>
      </c>
      <c r="I670">
        <v>34</v>
      </c>
      <c r="J670" s="21">
        <v>45888</v>
      </c>
      <c r="K670" s="21">
        <v>45888</v>
      </c>
      <c r="L670" t="s">
        <v>1694</v>
      </c>
      <c r="M670" t="s">
        <v>258</v>
      </c>
      <c r="O670" t="s">
        <v>220</v>
      </c>
      <c r="P670">
        <v>0</v>
      </c>
      <c r="R670">
        <v>0.3</v>
      </c>
      <c r="S670">
        <v>0.03</v>
      </c>
      <c r="U670" t="s">
        <v>982</v>
      </c>
      <c r="V670" t="s">
        <v>982</v>
      </c>
      <c r="W670" t="s">
        <v>496</v>
      </c>
      <c r="Y670" t="s">
        <v>1692</v>
      </c>
      <c r="AA670">
        <v>180</v>
      </c>
      <c r="AB670">
        <v>5.4</v>
      </c>
      <c r="AC670">
        <v>0</v>
      </c>
    </row>
    <row r="671" spans="2:29" ht="15" customHeight="1" x14ac:dyDescent="0.15">
      <c r="B671">
        <v>4</v>
      </c>
      <c r="C671" t="s">
        <v>704</v>
      </c>
      <c r="D671" t="s">
        <v>1690</v>
      </c>
      <c r="E671">
        <v>4</v>
      </c>
      <c r="F671" t="s">
        <v>219</v>
      </c>
      <c r="G671" t="s">
        <v>239</v>
      </c>
      <c r="H671" t="s">
        <v>1695</v>
      </c>
      <c r="I671">
        <v>34</v>
      </c>
      <c r="J671" s="21">
        <v>45888</v>
      </c>
      <c r="K671" s="21">
        <v>45888</v>
      </c>
      <c r="L671" t="s">
        <v>1696</v>
      </c>
      <c r="M671" t="s">
        <v>1697</v>
      </c>
      <c r="O671" t="s">
        <v>220</v>
      </c>
      <c r="P671">
        <v>0</v>
      </c>
      <c r="R671">
        <v>1</v>
      </c>
      <c r="S671">
        <v>0</v>
      </c>
      <c r="U671" t="s">
        <v>982</v>
      </c>
      <c r="V671" t="s">
        <v>982</v>
      </c>
      <c r="W671" t="s">
        <v>496</v>
      </c>
      <c r="Y671" t="s">
        <v>1692</v>
      </c>
      <c r="AA671">
        <v>26.7</v>
      </c>
      <c r="AB671">
        <v>0</v>
      </c>
      <c r="AC671">
        <v>0</v>
      </c>
    </row>
    <row r="672" spans="2:29" ht="15" customHeight="1" x14ac:dyDescent="0.15">
      <c r="B672">
        <v>4</v>
      </c>
      <c r="C672" t="s">
        <v>386</v>
      </c>
      <c r="D672" t="s">
        <v>1690</v>
      </c>
      <c r="E672">
        <v>5</v>
      </c>
      <c r="F672" t="s">
        <v>219</v>
      </c>
      <c r="G672" t="s">
        <v>239</v>
      </c>
      <c r="H672" t="s">
        <v>1069</v>
      </c>
      <c r="I672">
        <v>34</v>
      </c>
      <c r="J672" s="21">
        <v>45888</v>
      </c>
      <c r="K672" s="21">
        <v>45888</v>
      </c>
      <c r="L672" t="s">
        <v>1698</v>
      </c>
      <c r="M672" t="s">
        <v>1071</v>
      </c>
      <c r="O672" t="s">
        <v>220</v>
      </c>
      <c r="P672">
        <v>0</v>
      </c>
      <c r="R672">
        <v>0.5</v>
      </c>
      <c r="S672">
        <v>0.05</v>
      </c>
      <c r="U672" t="s">
        <v>982</v>
      </c>
      <c r="V672" t="s">
        <v>982</v>
      </c>
      <c r="W672" t="s">
        <v>496</v>
      </c>
      <c r="Y672" t="s">
        <v>1692</v>
      </c>
      <c r="AA672">
        <v>106.87</v>
      </c>
      <c r="AB672">
        <v>5.34</v>
      </c>
      <c r="AC672">
        <v>0</v>
      </c>
    </row>
    <row r="673" spans="2:29" ht="15" customHeight="1" x14ac:dyDescent="0.15">
      <c r="B673">
        <v>4</v>
      </c>
      <c r="C673" t="s">
        <v>386</v>
      </c>
      <c r="D673" t="s">
        <v>1699</v>
      </c>
      <c r="E673">
        <v>1</v>
      </c>
      <c r="F673" t="s">
        <v>219</v>
      </c>
      <c r="G673" t="s">
        <v>231</v>
      </c>
      <c r="H673" t="s">
        <v>433</v>
      </c>
      <c r="I673">
        <v>34</v>
      </c>
      <c r="J673" s="21">
        <v>45888</v>
      </c>
      <c r="K673" s="21">
        <v>45888</v>
      </c>
      <c r="L673" t="s">
        <v>1700</v>
      </c>
      <c r="M673" t="s">
        <v>1030</v>
      </c>
      <c r="N673" s="22">
        <v>45888</v>
      </c>
      <c r="O673" t="s">
        <v>220</v>
      </c>
      <c r="P673">
        <v>6</v>
      </c>
      <c r="Q673">
        <v>1.58</v>
      </c>
      <c r="R673">
        <v>0.12</v>
      </c>
      <c r="S673">
        <v>0.72</v>
      </c>
      <c r="T673">
        <v>0.19</v>
      </c>
      <c r="U673" t="s">
        <v>530</v>
      </c>
      <c r="V673" t="s">
        <v>531</v>
      </c>
      <c r="W673" t="s">
        <v>532</v>
      </c>
      <c r="X673">
        <v>3.8</v>
      </c>
      <c r="Y673" t="s">
        <v>860</v>
      </c>
      <c r="AA673">
        <v>21.83</v>
      </c>
      <c r="AB673">
        <v>15.72</v>
      </c>
      <c r="AC673">
        <v>4.1399999999999997</v>
      </c>
    </row>
    <row r="674" spans="2:29" ht="15" customHeight="1" x14ac:dyDescent="0.15">
      <c r="B674">
        <v>4</v>
      </c>
      <c r="C674" t="s">
        <v>386</v>
      </c>
      <c r="D674" t="s">
        <v>1699</v>
      </c>
      <c r="E674">
        <v>2</v>
      </c>
      <c r="F674" t="s">
        <v>219</v>
      </c>
      <c r="G674" t="s">
        <v>239</v>
      </c>
      <c r="H674" t="s">
        <v>861</v>
      </c>
      <c r="I674">
        <v>34</v>
      </c>
      <c r="J674" s="21">
        <v>45888</v>
      </c>
      <c r="K674" s="21">
        <v>45888</v>
      </c>
      <c r="L674" t="s">
        <v>1701</v>
      </c>
      <c r="M674" t="s">
        <v>863</v>
      </c>
      <c r="N674" s="22">
        <v>45888</v>
      </c>
      <c r="O674" t="s">
        <v>220</v>
      </c>
      <c r="P674">
        <v>6</v>
      </c>
      <c r="Q674">
        <v>1.58</v>
      </c>
      <c r="R674">
        <v>3</v>
      </c>
      <c r="S674">
        <v>18</v>
      </c>
      <c r="T674">
        <v>4.74</v>
      </c>
      <c r="U674" t="s">
        <v>530</v>
      </c>
      <c r="V674" t="s">
        <v>531</v>
      </c>
      <c r="W674" t="s">
        <v>532</v>
      </c>
      <c r="X674">
        <v>3.8</v>
      </c>
      <c r="Y674" t="s">
        <v>860</v>
      </c>
      <c r="AA674">
        <v>29.14</v>
      </c>
      <c r="AB674">
        <v>524.52</v>
      </c>
      <c r="AC674">
        <v>138.03</v>
      </c>
    </row>
    <row r="675" spans="2:29" ht="15" customHeight="1" x14ac:dyDescent="0.15">
      <c r="B675">
        <v>4</v>
      </c>
      <c r="C675" t="s">
        <v>386</v>
      </c>
      <c r="D675" t="s">
        <v>1699</v>
      </c>
      <c r="E675">
        <v>3</v>
      </c>
      <c r="F675" t="s">
        <v>219</v>
      </c>
      <c r="G675" t="s">
        <v>239</v>
      </c>
      <c r="H675" t="s">
        <v>1695</v>
      </c>
      <c r="I675">
        <v>34</v>
      </c>
      <c r="J675" s="21">
        <v>45888</v>
      </c>
      <c r="K675" s="21">
        <v>45888</v>
      </c>
      <c r="L675" t="s">
        <v>1702</v>
      </c>
      <c r="M675" t="s">
        <v>1697</v>
      </c>
      <c r="N675" s="22">
        <v>45888</v>
      </c>
      <c r="O675" t="s">
        <v>220</v>
      </c>
      <c r="P675">
        <v>2</v>
      </c>
      <c r="Q675">
        <v>0.53</v>
      </c>
      <c r="R675">
        <v>0.5</v>
      </c>
      <c r="S675">
        <v>1</v>
      </c>
      <c r="T675">
        <v>0.26</v>
      </c>
      <c r="U675" t="s">
        <v>530</v>
      </c>
      <c r="V675" t="s">
        <v>531</v>
      </c>
      <c r="W675" t="s">
        <v>532</v>
      </c>
      <c r="X675">
        <v>3.8</v>
      </c>
      <c r="Y675" t="s">
        <v>860</v>
      </c>
      <c r="AA675">
        <v>26.7</v>
      </c>
      <c r="AB675">
        <v>26.7</v>
      </c>
      <c r="AC675">
        <v>7.03</v>
      </c>
    </row>
    <row r="676" spans="2:29" ht="15" customHeight="1" x14ac:dyDescent="0.15">
      <c r="B676">
        <v>4</v>
      </c>
      <c r="C676" t="s">
        <v>386</v>
      </c>
      <c r="D676" t="s">
        <v>1699</v>
      </c>
      <c r="E676">
        <v>4</v>
      </c>
      <c r="F676" t="s">
        <v>219</v>
      </c>
      <c r="G676" t="s">
        <v>239</v>
      </c>
      <c r="H676" t="s">
        <v>1703</v>
      </c>
      <c r="I676">
        <v>34</v>
      </c>
      <c r="J676" s="21">
        <v>45888</v>
      </c>
      <c r="K676" s="21">
        <v>45888</v>
      </c>
      <c r="L676" t="s">
        <v>1704</v>
      </c>
      <c r="M676" t="s">
        <v>1705</v>
      </c>
      <c r="N676" s="22">
        <v>45888</v>
      </c>
      <c r="O676" t="s">
        <v>220</v>
      </c>
      <c r="P676">
        <v>2</v>
      </c>
      <c r="Q676">
        <v>0.53</v>
      </c>
      <c r="R676">
        <v>0.5</v>
      </c>
      <c r="S676">
        <v>1</v>
      </c>
      <c r="T676">
        <v>0.26</v>
      </c>
      <c r="U676" t="s">
        <v>530</v>
      </c>
      <c r="V676" t="s">
        <v>531</v>
      </c>
      <c r="W676" t="s">
        <v>532</v>
      </c>
      <c r="X676">
        <v>3.8</v>
      </c>
      <c r="Y676" t="s">
        <v>860</v>
      </c>
      <c r="AA676">
        <v>0</v>
      </c>
      <c r="AB676">
        <v>0</v>
      </c>
      <c r="AC676">
        <v>0</v>
      </c>
    </row>
    <row r="677" spans="2:29" ht="15" customHeight="1" x14ac:dyDescent="0.15">
      <c r="B677">
        <v>4</v>
      </c>
      <c r="C677" t="s">
        <v>386</v>
      </c>
      <c r="D677" t="s">
        <v>1699</v>
      </c>
      <c r="E677">
        <v>5</v>
      </c>
      <c r="F677" t="s">
        <v>219</v>
      </c>
      <c r="G677" t="s">
        <v>244</v>
      </c>
      <c r="H677" t="s">
        <v>1605</v>
      </c>
      <c r="I677">
        <v>34</v>
      </c>
      <c r="J677" s="21">
        <v>45888</v>
      </c>
      <c r="K677" s="21">
        <v>45888</v>
      </c>
      <c r="L677" t="s">
        <v>1706</v>
      </c>
      <c r="M677" t="s">
        <v>295</v>
      </c>
      <c r="N677" s="22">
        <v>45888</v>
      </c>
      <c r="O677" t="s">
        <v>220</v>
      </c>
      <c r="P677">
        <v>6</v>
      </c>
      <c r="Q677">
        <v>1.58</v>
      </c>
      <c r="R677">
        <v>0.5</v>
      </c>
      <c r="S677">
        <v>3</v>
      </c>
      <c r="T677">
        <v>0.79</v>
      </c>
      <c r="U677" t="s">
        <v>530</v>
      </c>
      <c r="V677" t="s">
        <v>531</v>
      </c>
      <c r="W677" t="s">
        <v>532</v>
      </c>
      <c r="X677">
        <v>3.8</v>
      </c>
      <c r="Y677" t="s">
        <v>860</v>
      </c>
      <c r="AA677">
        <v>77.31</v>
      </c>
      <c r="AB677">
        <v>231.93</v>
      </c>
      <c r="AC677">
        <v>61.03</v>
      </c>
    </row>
    <row r="678" spans="2:29" ht="15" customHeight="1" x14ac:dyDescent="0.15">
      <c r="B678">
        <v>4</v>
      </c>
      <c r="C678" t="s">
        <v>386</v>
      </c>
      <c r="D678" t="s">
        <v>1699</v>
      </c>
      <c r="E678">
        <v>6</v>
      </c>
      <c r="F678" t="s">
        <v>219</v>
      </c>
      <c r="G678" t="s">
        <v>239</v>
      </c>
      <c r="H678" t="s">
        <v>1707</v>
      </c>
      <c r="I678">
        <v>34</v>
      </c>
      <c r="J678" s="21">
        <v>45888</v>
      </c>
      <c r="K678" s="21">
        <v>45888</v>
      </c>
      <c r="L678" t="s">
        <v>1708</v>
      </c>
      <c r="M678" t="s">
        <v>1709</v>
      </c>
      <c r="N678" s="22">
        <v>45888</v>
      </c>
      <c r="O678" t="s">
        <v>220</v>
      </c>
      <c r="P678">
        <v>2</v>
      </c>
      <c r="Q678">
        <v>0.53</v>
      </c>
      <c r="R678">
        <v>0.5</v>
      </c>
      <c r="S678">
        <v>1</v>
      </c>
      <c r="T678">
        <v>0.26</v>
      </c>
      <c r="U678" t="s">
        <v>530</v>
      </c>
      <c r="V678" t="s">
        <v>531</v>
      </c>
      <c r="W678" t="s">
        <v>532</v>
      </c>
      <c r="X678">
        <v>3.8</v>
      </c>
      <c r="Y678" t="s">
        <v>860</v>
      </c>
      <c r="AA678">
        <v>26.55</v>
      </c>
      <c r="AB678">
        <v>26.55</v>
      </c>
      <c r="AC678">
        <v>6.99</v>
      </c>
    </row>
    <row r="679" spans="2:29" ht="15" customHeight="1" x14ac:dyDescent="0.15">
      <c r="B679">
        <v>4</v>
      </c>
      <c r="C679" t="s">
        <v>386</v>
      </c>
      <c r="D679" t="s">
        <v>1710</v>
      </c>
      <c r="E679">
        <v>1</v>
      </c>
      <c r="F679" t="s">
        <v>219</v>
      </c>
      <c r="G679" t="s">
        <v>218</v>
      </c>
      <c r="H679" t="s">
        <v>1472</v>
      </c>
      <c r="I679">
        <v>34</v>
      </c>
      <c r="J679" s="21">
        <v>45888</v>
      </c>
      <c r="K679" s="21">
        <v>45888</v>
      </c>
      <c r="L679" t="s">
        <v>1711</v>
      </c>
      <c r="M679" t="s">
        <v>1474</v>
      </c>
      <c r="O679" t="s">
        <v>226</v>
      </c>
      <c r="P679">
        <v>1</v>
      </c>
      <c r="Q679">
        <v>1</v>
      </c>
      <c r="R679">
        <v>75</v>
      </c>
      <c r="S679">
        <v>75</v>
      </c>
      <c r="T679">
        <v>75</v>
      </c>
      <c r="U679" t="s">
        <v>391</v>
      </c>
      <c r="V679" t="s">
        <v>392</v>
      </c>
      <c r="W679" t="s">
        <v>392</v>
      </c>
      <c r="X679">
        <v>1</v>
      </c>
      <c r="Y679" t="s">
        <v>723</v>
      </c>
      <c r="AA679">
        <v>2.88</v>
      </c>
      <c r="AB679">
        <v>216</v>
      </c>
      <c r="AC679">
        <v>216</v>
      </c>
    </row>
    <row r="680" spans="2:29" ht="15" customHeight="1" x14ac:dyDescent="0.15">
      <c r="B680">
        <v>4</v>
      </c>
      <c r="C680" t="s">
        <v>386</v>
      </c>
      <c r="D680" t="s">
        <v>1710</v>
      </c>
      <c r="E680">
        <v>2</v>
      </c>
      <c r="F680" t="s">
        <v>416</v>
      </c>
      <c r="G680" t="s">
        <v>1036</v>
      </c>
      <c r="H680" t="s">
        <v>562</v>
      </c>
      <c r="I680">
        <v>34</v>
      </c>
      <c r="J680" s="21">
        <v>45888</v>
      </c>
      <c r="K680" s="21">
        <v>45888</v>
      </c>
      <c r="L680" t="s">
        <v>1712</v>
      </c>
      <c r="M680" t="s">
        <v>1038</v>
      </c>
      <c r="O680" t="s">
        <v>226</v>
      </c>
      <c r="P680">
        <v>1</v>
      </c>
      <c r="Q680">
        <v>1</v>
      </c>
      <c r="R680">
        <v>28.9</v>
      </c>
      <c r="S680">
        <v>28.9</v>
      </c>
      <c r="T680">
        <v>28.9</v>
      </c>
      <c r="U680" t="s">
        <v>391</v>
      </c>
      <c r="V680" t="s">
        <v>392</v>
      </c>
      <c r="W680" t="s">
        <v>392</v>
      </c>
      <c r="X680">
        <v>1</v>
      </c>
      <c r="Y680" t="s">
        <v>723</v>
      </c>
      <c r="AA680">
        <v>6.7</v>
      </c>
      <c r="AB680">
        <v>193.63</v>
      </c>
      <c r="AC680">
        <v>193.63</v>
      </c>
    </row>
    <row r="681" spans="2:29" ht="15" customHeight="1" x14ac:dyDescent="0.15">
      <c r="B681">
        <v>4</v>
      </c>
      <c r="C681" t="s">
        <v>386</v>
      </c>
      <c r="D681" t="s">
        <v>1713</v>
      </c>
      <c r="E681">
        <v>1</v>
      </c>
      <c r="F681" t="s">
        <v>219</v>
      </c>
      <c r="G681" t="s">
        <v>231</v>
      </c>
      <c r="H681" t="s">
        <v>433</v>
      </c>
      <c r="I681">
        <v>34</v>
      </c>
      <c r="J681" s="21">
        <v>45888</v>
      </c>
      <c r="K681" s="21">
        <v>45888</v>
      </c>
      <c r="L681" t="s">
        <v>1714</v>
      </c>
      <c r="M681" t="s">
        <v>1030</v>
      </c>
      <c r="O681" t="s">
        <v>220</v>
      </c>
      <c r="P681">
        <v>3</v>
      </c>
      <c r="Q681">
        <v>3</v>
      </c>
      <c r="R681">
        <v>0.15</v>
      </c>
      <c r="S681">
        <v>0.45</v>
      </c>
      <c r="T681">
        <v>0.45</v>
      </c>
      <c r="U681" t="s">
        <v>391</v>
      </c>
      <c r="V681" t="s">
        <v>392</v>
      </c>
      <c r="W681" t="s">
        <v>392</v>
      </c>
      <c r="X681">
        <v>1</v>
      </c>
      <c r="Y681" t="s">
        <v>886</v>
      </c>
      <c r="AA681">
        <v>21.83</v>
      </c>
      <c r="AB681">
        <v>9.82</v>
      </c>
      <c r="AC681">
        <v>9.82</v>
      </c>
    </row>
    <row r="682" spans="2:29" ht="15" customHeight="1" x14ac:dyDescent="0.15">
      <c r="B682">
        <v>4</v>
      </c>
      <c r="C682" t="s">
        <v>386</v>
      </c>
      <c r="D682" t="s">
        <v>1713</v>
      </c>
      <c r="E682">
        <v>2</v>
      </c>
      <c r="F682" t="s">
        <v>219</v>
      </c>
      <c r="G682" t="s">
        <v>218</v>
      </c>
      <c r="H682" t="s">
        <v>400</v>
      </c>
      <c r="I682">
        <v>34</v>
      </c>
      <c r="J682" s="21">
        <v>45888</v>
      </c>
      <c r="K682" s="21">
        <v>45888</v>
      </c>
      <c r="L682" t="s">
        <v>1715</v>
      </c>
      <c r="M682" t="s">
        <v>402</v>
      </c>
      <c r="O682" t="s">
        <v>226</v>
      </c>
      <c r="P682">
        <v>3</v>
      </c>
      <c r="Q682">
        <v>3</v>
      </c>
      <c r="R682">
        <v>0.1</v>
      </c>
      <c r="S682">
        <v>0.3</v>
      </c>
      <c r="T682">
        <v>0.3</v>
      </c>
      <c r="U682" t="s">
        <v>391</v>
      </c>
      <c r="V682" t="s">
        <v>392</v>
      </c>
      <c r="W682" t="s">
        <v>392</v>
      </c>
      <c r="X682">
        <v>1</v>
      </c>
      <c r="Y682" t="s">
        <v>886</v>
      </c>
      <c r="AA682">
        <v>217</v>
      </c>
      <c r="AB682">
        <v>65.099999999999994</v>
      </c>
      <c r="AC682">
        <v>65.099999999999994</v>
      </c>
    </row>
    <row r="683" spans="2:29" ht="15" customHeight="1" x14ac:dyDescent="0.15">
      <c r="B683">
        <v>4</v>
      </c>
      <c r="C683" t="s">
        <v>386</v>
      </c>
      <c r="D683" t="s">
        <v>1713</v>
      </c>
      <c r="E683">
        <v>3</v>
      </c>
      <c r="F683" t="s">
        <v>219</v>
      </c>
      <c r="G683" t="s">
        <v>218</v>
      </c>
      <c r="H683" t="s">
        <v>1716</v>
      </c>
      <c r="I683">
        <v>34</v>
      </c>
      <c r="J683" s="21">
        <v>45888</v>
      </c>
      <c r="K683" s="21">
        <v>45888</v>
      </c>
      <c r="L683" t="s">
        <v>1717</v>
      </c>
      <c r="M683" t="s">
        <v>1718</v>
      </c>
      <c r="O683" t="s">
        <v>226</v>
      </c>
      <c r="P683">
        <v>3</v>
      </c>
      <c r="Q683">
        <v>3</v>
      </c>
      <c r="R683">
        <v>0.2</v>
      </c>
      <c r="S683">
        <v>0.6</v>
      </c>
      <c r="T683">
        <v>0.6</v>
      </c>
      <c r="U683" t="s">
        <v>391</v>
      </c>
      <c r="V683" t="s">
        <v>392</v>
      </c>
      <c r="W683" t="s">
        <v>392</v>
      </c>
      <c r="X683">
        <v>1</v>
      </c>
      <c r="Y683" t="s">
        <v>886</v>
      </c>
      <c r="AA683">
        <v>91.68</v>
      </c>
      <c r="AB683">
        <v>55.01</v>
      </c>
      <c r="AC683">
        <v>55.01</v>
      </c>
    </row>
    <row r="684" spans="2:29" ht="15" customHeight="1" x14ac:dyDescent="0.15">
      <c r="B684">
        <v>4</v>
      </c>
      <c r="C684" t="s">
        <v>386</v>
      </c>
      <c r="D684" t="s">
        <v>1713</v>
      </c>
      <c r="E684">
        <v>4</v>
      </c>
      <c r="F684" t="s">
        <v>219</v>
      </c>
      <c r="G684" t="s">
        <v>218</v>
      </c>
      <c r="H684" t="s">
        <v>864</v>
      </c>
      <c r="I684">
        <v>34</v>
      </c>
      <c r="J684" s="21">
        <v>45888</v>
      </c>
      <c r="K684" s="21">
        <v>45888</v>
      </c>
      <c r="L684" t="s">
        <v>1719</v>
      </c>
      <c r="M684" t="s">
        <v>866</v>
      </c>
      <c r="O684" t="s">
        <v>226</v>
      </c>
      <c r="P684">
        <v>3</v>
      </c>
      <c r="Q684">
        <v>3</v>
      </c>
      <c r="R684">
        <v>0.2</v>
      </c>
      <c r="S684">
        <v>0.6</v>
      </c>
      <c r="T684">
        <v>0.6</v>
      </c>
      <c r="U684" t="s">
        <v>391</v>
      </c>
      <c r="V684" t="s">
        <v>392</v>
      </c>
      <c r="W684" t="s">
        <v>392</v>
      </c>
      <c r="X684">
        <v>1</v>
      </c>
      <c r="Y684" t="s">
        <v>886</v>
      </c>
      <c r="AA684">
        <v>70.3</v>
      </c>
      <c r="AB684">
        <v>42.18</v>
      </c>
      <c r="AC684">
        <v>42.18</v>
      </c>
    </row>
    <row r="685" spans="2:29" ht="15" customHeight="1" x14ac:dyDescent="0.15">
      <c r="B685">
        <v>4</v>
      </c>
      <c r="C685" t="s">
        <v>386</v>
      </c>
      <c r="D685" t="s">
        <v>1713</v>
      </c>
      <c r="E685">
        <v>5</v>
      </c>
      <c r="F685" t="s">
        <v>219</v>
      </c>
      <c r="G685" t="s">
        <v>244</v>
      </c>
      <c r="H685" t="s">
        <v>409</v>
      </c>
      <c r="I685">
        <v>34</v>
      </c>
      <c r="J685" s="21">
        <v>45888</v>
      </c>
      <c r="K685" s="21">
        <v>45888</v>
      </c>
      <c r="L685" t="s">
        <v>1720</v>
      </c>
      <c r="M685" t="s">
        <v>284</v>
      </c>
      <c r="O685" t="s">
        <v>220</v>
      </c>
      <c r="P685">
        <v>3</v>
      </c>
      <c r="Q685">
        <v>3</v>
      </c>
      <c r="R685">
        <v>0.5</v>
      </c>
      <c r="S685">
        <v>1.5</v>
      </c>
      <c r="T685">
        <v>1.5</v>
      </c>
      <c r="U685" t="s">
        <v>391</v>
      </c>
      <c r="V685" t="s">
        <v>392</v>
      </c>
      <c r="W685" t="s">
        <v>392</v>
      </c>
      <c r="X685">
        <v>1</v>
      </c>
      <c r="Y685" t="s">
        <v>886</v>
      </c>
      <c r="AA685">
        <v>53.07</v>
      </c>
      <c r="AB685">
        <v>79.61</v>
      </c>
      <c r="AC685">
        <v>79.61</v>
      </c>
    </row>
    <row r="686" spans="2:29" ht="15" customHeight="1" x14ac:dyDescent="0.15">
      <c r="B686">
        <v>4</v>
      </c>
      <c r="C686" t="s">
        <v>386</v>
      </c>
      <c r="D686" t="s">
        <v>1721</v>
      </c>
      <c r="E686">
        <v>1</v>
      </c>
      <c r="F686" t="s">
        <v>219</v>
      </c>
      <c r="G686" t="s">
        <v>231</v>
      </c>
      <c r="H686" t="s">
        <v>433</v>
      </c>
      <c r="I686">
        <v>34</v>
      </c>
      <c r="J686" s="21">
        <v>45889</v>
      </c>
      <c r="K686" s="21">
        <v>45889</v>
      </c>
      <c r="L686" t="s">
        <v>1722</v>
      </c>
      <c r="M686" t="s">
        <v>1030</v>
      </c>
      <c r="O686" t="s">
        <v>220</v>
      </c>
      <c r="P686">
        <v>2</v>
      </c>
      <c r="Q686">
        <v>1</v>
      </c>
      <c r="R686">
        <v>0.12</v>
      </c>
      <c r="S686">
        <v>0.24</v>
      </c>
      <c r="T686">
        <v>0.12</v>
      </c>
      <c r="U686" t="s">
        <v>1050</v>
      </c>
      <c r="V686" t="s">
        <v>847</v>
      </c>
      <c r="W686" t="s">
        <v>532</v>
      </c>
      <c r="X686">
        <v>2</v>
      </c>
      <c r="Y686" t="s">
        <v>455</v>
      </c>
      <c r="AA686">
        <v>21.83</v>
      </c>
      <c r="AB686">
        <v>5.24</v>
      </c>
      <c r="AC686">
        <v>2.62</v>
      </c>
    </row>
    <row r="687" spans="2:29" ht="15" customHeight="1" x14ac:dyDescent="0.15">
      <c r="B687">
        <v>4</v>
      </c>
      <c r="C687" t="s">
        <v>386</v>
      </c>
      <c r="D687" t="s">
        <v>1721</v>
      </c>
      <c r="E687">
        <v>2</v>
      </c>
      <c r="F687" t="s">
        <v>219</v>
      </c>
      <c r="G687" t="s">
        <v>218</v>
      </c>
      <c r="H687" t="s">
        <v>908</v>
      </c>
      <c r="I687">
        <v>34</v>
      </c>
      <c r="J687" s="21">
        <v>45889</v>
      </c>
      <c r="K687" s="21">
        <v>45889</v>
      </c>
      <c r="L687" t="s">
        <v>1723</v>
      </c>
      <c r="M687" t="s">
        <v>1027</v>
      </c>
      <c r="O687" t="s">
        <v>220</v>
      </c>
      <c r="P687">
        <v>2</v>
      </c>
      <c r="Q687">
        <v>1</v>
      </c>
      <c r="R687">
        <v>0.3</v>
      </c>
      <c r="S687">
        <v>0.6</v>
      </c>
      <c r="T687">
        <v>0.3</v>
      </c>
      <c r="U687" t="s">
        <v>1050</v>
      </c>
      <c r="V687" t="s">
        <v>847</v>
      </c>
      <c r="W687" t="s">
        <v>532</v>
      </c>
      <c r="X687">
        <v>2</v>
      </c>
      <c r="Y687" t="s">
        <v>455</v>
      </c>
      <c r="AA687">
        <v>31.3</v>
      </c>
      <c r="AB687">
        <v>18.78</v>
      </c>
      <c r="AC687">
        <v>9.39</v>
      </c>
    </row>
    <row r="688" spans="2:29" ht="15" customHeight="1" x14ac:dyDescent="0.15">
      <c r="B688">
        <v>4</v>
      </c>
      <c r="C688" t="s">
        <v>386</v>
      </c>
      <c r="D688" t="s">
        <v>1721</v>
      </c>
      <c r="E688">
        <v>3</v>
      </c>
      <c r="F688" t="s">
        <v>219</v>
      </c>
      <c r="G688" t="s">
        <v>239</v>
      </c>
      <c r="H688" t="s">
        <v>520</v>
      </c>
      <c r="I688">
        <v>34</v>
      </c>
      <c r="J688" s="21">
        <v>45889</v>
      </c>
      <c r="K688" s="21">
        <v>45889</v>
      </c>
      <c r="L688" t="s">
        <v>1724</v>
      </c>
      <c r="M688" t="s">
        <v>1340</v>
      </c>
      <c r="O688" t="s">
        <v>226</v>
      </c>
      <c r="P688">
        <v>2</v>
      </c>
      <c r="Q688">
        <v>1</v>
      </c>
      <c r="R688">
        <v>1</v>
      </c>
      <c r="S688">
        <v>2</v>
      </c>
      <c r="T688">
        <v>1</v>
      </c>
      <c r="U688" t="s">
        <v>1050</v>
      </c>
      <c r="V688" t="s">
        <v>847</v>
      </c>
      <c r="W688" t="s">
        <v>532</v>
      </c>
      <c r="X688">
        <v>2</v>
      </c>
      <c r="Y688" t="s">
        <v>455</v>
      </c>
      <c r="AA688">
        <v>66.92</v>
      </c>
      <c r="AB688">
        <v>133.84</v>
      </c>
      <c r="AC688">
        <v>66.92</v>
      </c>
    </row>
    <row r="689" spans="2:29" ht="15" customHeight="1" x14ac:dyDescent="0.15">
      <c r="B689">
        <v>4</v>
      </c>
      <c r="C689" t="s">
        <v>386</v>
      </c>
      <c r="D689" t="s">
        <v>1721</v>
      </c>
      <c r="E689">
        <v>4</v>
      </c>
      <c r="F689" t="s">
        <v>219</v>
      </c>
      <c r="G689" t="s">
        <v>244</v>
      </c>
      <c r="H689" t="s">
        <v>1605</v>
      </c>
      <c r="I689">
        <v>34</v>
      </c>
      <c r="J689" s="21">
        <v>45889</v>
      </c>
      <c r="K689" s="21">
        <v>45889</v>
      </c>
      <c r="L689" t="s">
        <v>1725</v>
      </c>
      <c r="M689" t="s">
        <v>295</v>
      </c>
      <c r="O689" t="s">
        <v>220</v>
      </c>
      <c r="P689">
        <v>2</v>
      </c>
      <c r="Q689">
        <v>1</v>
      </c>
      <c r="R689">
        <v>0.5</v>
      </c>
      <c r="S689">
        <v>1</v>
      </c>
      <c r="T689">
        <v>0.5</v>
      </c>
      <c r="U689" t="s">
        <v>1050</v>
      </c>
      <c r="V689" t="s">
        <v>847</v>
      </c>
      <c r="W689" t="s">
        <v>532</v>
      </c>
      <c r="X689">
        <v>2</v>
      </c>
      <c r="Y689" t="s">
        <v>455</v>
      </c>
      <c r="AA689">
        <v>77.31</v>
      </c>
      <c r="AB689">
        <v>77.31</v>
      </c>
      <c r="AC689">
        <v>38.659999999999997</v>
      </c>
    </row>
    <row r="690" spans="2:29" ht="15" customHeight="1" x14ac:dyDescent="0.15">
      <c r="B690">
        <v>4</v>
      </c>
      <c r="C690" t="s">
        <v>386</v>
      </c>
      <c r="D690" t="s">
        <v>1726</v>
      </c>
      <c r="E690">
        <v>1</v>
      </c>
      <c r="F690" t="s">
        <v>219</v>
      </c>
      <c r="G690" t="s">
        <v>231</v>
      </c>
      <c r="H690" t="s">
        <v>433</v>
      </c>
      <c r="I690">
        <v>34</v>
      </c>
      <c r="J690" s="21">
        <v>45889</v>
      </c>
      <c r="K690" s="21">
        <v>45889</v>
      </c>
      <c r="L690" t="s">
        <v>1727</v>
      </c>
      <c r="M690" t="s">
        <v>1030</v>
      </c>
      <c r="O690" t="s">
        <v>220</v>
      </c>
      <c r="P690">
        <v>8</v>
      </c>
      <c r="Q690">
        <v>8</v>
      </c>
      <c r="R690">
        <v>0.15</v>
      </c>
      <c r="S690">
        <v>1.2</v>
      </c>
      <c r="T690">
        <v>1.2</v>
      </c>
      <c r="U690" t="s">
        <v>391</v>
      </c>
      <c r="V690" t="s">
        <v>392</v>
      </c>
      <c r="W690" t="s">
        <v>392</v>
      </c>
      <c r="X690">
        <v>1</v>
      </c>
      <c r="Y690" t="s">
        <v>893</v>
      </c>
      <c r="AA690">
        <v>21.83</v>
      </c>
      <c r="AB690">
        <v>26.2</v>
      </c>
      <c r="AC690">
        <v>26.2</v>
      </c>
    </row>
    <row r="691" spans="2:29" ht="15" customHeight="1" x14ac:dyDescent="0.15">
      <c r="B691">
        <v>4</v>
      </c>
      <c r="C691" t="s">
        <v>386</v>
      </c>
      <c r="D691" t="s">
        <v>1726</v>
      </c>
      <c r="E691">
        <v>2</v>
      </c>
      <c r="F691" t="s">
        <v>219</v>
      </c>
      <c r="G691" t="s">
        <v>218</v>
      </c>
      <c r="H691" t="s">
        <v>397</v>
      </c>
      <c r="I691">
        <v>34</v>
      </c>
      <c r="J691" s="21">
        <v>45889</v>
      </c>
      <c r="K691" s="21">
        <v>45889</v>
      </c>
      <c r="L691" t="s">
        <v>1728</v>
      </c>
      <c r="M691" t="s">
        <v>454</v>
      </c>
      <c r="O691" t="s">
        <v>220</v>
      </c>
      <c r="P691">
        <v>4</v>
      </c>
      <c r="Q691">
        <v>4</v>
      </c>
      <c r="R691">
        <v>0.15</v>
      </c>
      <c r="S691">
        <v>0.6</v>
      </c>
      <c r="T691">
        <v>0.6</v>
      </c>
      <c r="U691" t="s">
        <v>391</v>
      </c>
      <c r="V691" t="s">
        <v>392</v>
      </c>
      <c r="W691" t="s">
        <v>392</v>
      </c>
      <c r="X691">
        <v>1</v>
      </c>
      <c r="Y691" t="s">
        <v>893</v>
      </c>
      <c r="AA691">
        <v>686.05</v>
      </c>
      <c r="AB691">
        <v>411.63</v>
      </c>
      <c r="AC691">
        <v>411.63</v>
      </c>
    </row>
    <row r="692" spans="2:29" ht="15" customHeight="1" x14ac:dyDescent="0.15">
      <c r="B692">
        <v>4</v>
      </c>
      <c r="C692" t="s">
        <v>386</v>
      </c>
      <c r="D692" t="s">
        <v>1726</v>
      </c>
      <c r="E692">
        <v>3</v>
      </c>
      <c r="F692" t="s">
        <v>219</v>
      </c>
      <c r="G692" t="s">
        <v>218</v>
      </c>
      <c r="H692" t="s">
        <v>400</v>
      </c>
      <c r="I692">
        <v>34</v>
      </c>
      <c r="J692" s="21">
        <v>45889</v>
      </c>
      <c r="K692" s="21">
        <v>45889</v>
      </c>
      <c r="L692" t="s">
        <v>1729</v>
      </c>
      <c r="M692" t="s">
        <v>402</v>
      </c>
      <c r="O692" t="s">
        <v>226</v>
      </c>
      <c r="P692">
        <v>4</v>
      </c>
      <c r="Q692">
        <v>4</v>
      </c>
      <c r="R692">
        <v>0.1</v>
      </c>
      <c r="S692">
        <v>0.4</v>
      </c>
      <c r="T692">
        <v>0.4</v>
      </c>
      <c r="U692" t="s">
        <v>391</v>
      </c>
      <c r="V692" t="s">
        <v>392</v>
      </c>
      <c r="W692" t="s">
        <v>392</v>
      </c>
      <c r="X692">
        <v>1</v>
      </c>
      <c r="Y692" t="s">
        <v>893</v>
      </c>
      <c r="AA692">
        <v>217</v>
      </c>
      <c r="AB692">
        <v>86.8</v>
      </c>
      <c r="AC692">
        <v>86.8</v>
      </c>
    </row>
    <row r="693" spans="2:29" ht="15" customHeight="1" x14ac:dyDescent="0.15">
      <c r="B693">
        <v>4</v>
      </c>
      <c r="C693" t="s">
        <v>386</v>
      </c>
      <c r="D693" t="s">
        <v>1726</v>
      </c>
      <c r="E693">
        <v>4</v>
      </c>
      <c r="F693" t="s">
        <v>219</v>
      </c>
      <c r="G693" t="s">
        <v>218</v>
      </c>
      <c r="H693" t="s">
        <v>911</v>
      </c>
      <c r="I693">
        <v>34</v>
      </c>
      <c r="J693" s="21">
        <v>45889</v>
      </c>
      <c r="K693" s="21">
        <v>45889</v>
      </c>
      <c r="L693" t="s">
        <v>1730</v>
      </c>
      <c r="M693" t="s">
        <v>913</v>
      </c>
      <c r="O693" t="s">
        <v>220</v>
      </c>
      <c r="P693">
        <v>8</v>
      </c>
      <c r="Q693">
        <v>8</v>
      </c>
      <c r="R693">
        <v>0.25</v>
      </c>
      <c r="S693">
        <v>2</v>
      </c>
      <c r="T693">
        <v>2</v>
      </c>
      <c r="U693" t="s">
        <v>391</v>
      </c>
      <c r="V693" t="s">
        <v>392</v>
      </c>
      <c r="W693" t="s">
        <v>392</v>
      </c>
      <c r="X693">
        <v>1</v>
      </c>
      <c r="Y693" t="s">
        <v>893</v>
      </c>
      <c r="AA693">
        <v>91.24</v>
      </c>
      <c r="AB693">
        <v>182.48</v>
      </c>
      <c r="AC693">
        <v>182.48</v>
      </c>
    </row>
    <row r="694" spans="2:29" ht="15" customHeight="1" x14ac:dyDescent="0.15">
      <c r="B694">
        <v>4</v>
      </c>
      <c r="C694" t="s">
        <v>386</v>
      </c>
      <c r="D694" t="s">
        <v>1726</v>
      </c>
      <c r="E694">
        <v>5</v>
      </c>
      <c r="F694" t="s">
        <v>219</v>
      </c>
      <c r="G694" t="s">
        <v>244</v>
      </c>
      <c r="H694" t="s">
        <v>409</v>
      </c>
      <c r="I694">
        <v>34</v>
      </c>
      <c r="J694" s="21">
        <v>45889</v>
      </c>
      <c r="K694" s="21">
        <v>45889</v>
      </c>
      <c r="L694" t="s">
        <v>1731</v>
      </c>
      <c r="M694" t="s">
        <v>284</v>
      </c>
      <c r="O694" t="s">
        <v>220</v>
      </c>
      <c r="P694">
        <v>8</v>
      </c>
      <c r="Q694">
        <v>8</v>
      </c>
      <c r="R694">
        <v>0.5</v>
      </c>
      <c r="S694">
        <v>4</v>
      </c>
      <c r="T694">
        <v>4</v>
      </c>
      <c r="U694" t="s">
        <v>391</v>
      </c>
      <c r="V694" t="s">
        <v>392</v>
      </c>
      <c r="W694" t="s">
        <v>392</v>
      </c>
      <c r="X694">
        <v>1</v>
      </c>
      <c r="Y694" t="s">
        <v>893</v>
      </c>
      <c r="AA694">
        <v>53.07</v>
      </c>
      <c r="AB694">
        <v>212.28</v>
      </c>
      <c r="AC694">
        <v>212.28</v>
      </c>
    </row>
    <row r="695" spans="2:29" ht="15" customHeight="1" x14ac:dyDescent="0.15">
      <c r="B695">
        <v>4</v>
      </c>
      <c r="C695" t="s">
        <v>386</v>
      </c>
      <c r="D695" t="s">
        <v>1726</v>
      </c>
      <c r="E695">
        <v>6</v>
      </c>
      <c r="F695" t="s">
        <v>219</v>
      </c>
      <c r="G695" t="s">
        <v>239</v>
      </c>
      <c r="H695" t="s">
        <v>1196</v>
      </c>
      <c r="I695">
        <v>34</v>
      </c>
      <c r="J695" s="21">
        <v>45889</v>
      </c>
      <c r="K695" s="21">
        <v>45889</v>
      </c>
      <c r="L695" t="s">
        <v>1732</v>
      </c>
      <c r="M695" t="s">
        <v>1198</v>
      </c>
      <c r="O695" t="s">
        <v>220</v>
      </c>
      <c r="P695">
        <v>8</v>
      </c>
      <c r="Q695">
        <v>8</v>
      </c>
      <c r="R695">
        <v>0.5</v>
      </c>
      <c r="S695">
        <v>4</v>
      </c>
      <c r="T695">
        <v>4</v>
      </c>
      <c r="U695" t="s">
        <v>391</v>
      </c>
      <c r="V695" t="s">
        <v>392</v>
      </c>
      <c r="W695" t="s">
        <v>392</v>
      </c>
      <c r="X695">
        <v>1</v>
      </c>
      <c r="Y695" t="s">
        <v>893</v>
      </c>
      <c r="AA695">
        <v>27.82</v>
      </c>
      <c r="AB695">
        <v>111.28</v>
      </c>
      <c r="AC695">
        <v>111.28</v>
      </c>
    </row>
    <row r="696" spans="2:29" ht="15" customHeight="1" x14ac:dyDescent="0.15">
      <c r="B696">
        <v>4</v>
      </c>
      <c r="C696" t="s">
        <v>386</v>
      </c>
      <c r="D696" t="s">
        <v>1726</v>
      </c>
      <c r="E696">
        <v>7</v>
      </c>
      <c r="F696" t="s">
        <v>219</v>
      </c>
      <c r="G696" t="s">
        <v>218</v>
      </c>
      <c r="H696" t="s">
        <v>864</v>
      </c>
      <c r="I696">
        <v>34</v>
      </c>
      <c r="J696" s="21">
        <v>45889</v>
      </c>
      <c r="K696" s="21">
        <v>45889</v>
      </c>
      <c r="L696" t="s">
        <v>1733</v>
      </c>
      <c r="M696" t="s">
        <v>866</v>
      </c>
      <c r="O696" t="s">
        <v>226</v>
      </c>
      <c r="P696">
        <v>8</v>
      </c>
      <c r="Q696">
        <v>8</v>
      </c>
      <c r="R696">
        <v>0.2</v>
      </c>
      <c r="S696">
        <v>1.6</v>
      </c>
      <c r="T696">
        <v>1.6</v>
      </c>
      <c r="U696" t="s">
        <v>391</v>
      </c>
      <c r="V696" t="s">
        <v>392</v>
      </c>
      <c r="W696" t="s">
        <v>392</v>
      </c>
      <c r="X696">
        <v>1</v>
      </c>
      <c r="Y696" t="s">
        <v>893</v>
      </c>
      <c r="AA696">
        <v>70.3</v>
      </c>
      <c r="AB696">
        <v>112.48</v>
      </c>
      <c r="AC696">
        <v>112.48</v>
      </c>
    </row>
    <row r="697" spans="2:29" ht="15" customHeight="1" x14ac:dyDescent="0.15">
      <c r="B697">
        <v>4</v>
      </c>
      <c r="C697" t="s">
        <v>386</v>
      </c>
      <c r="D697" t="s">
        <v>1734</v>
      </c>
      <c r="E697">
        <v>1</v>
      </c>
      <c r="F697" t="s">
        <v>416</v>
      </c>
      <c r="G697" t="s">
        <v>1036</v>
      </c>
      <c r="H697" t="s">
        <v>562</v>
      </c>
      <c r="I697">
        <v>34</v>
      </c>
      <c r="J697" s="21">
        <v>45889</v>
      </c>
      <c r="K697" s="21">
        <v>45889</v>
      </c>
      <c r="L697" t="s">
        <v>1735</v>
      </c>
      <c r="M697" t="s">
        <v>1038</v>
      </c>
      <c r="O697" t="s">
        <v>226</v>
      </c>
      <c r="P697">
        <v>1</v>
      </c>
      <c r="Q697">
        <v>1</v>
      </c>
      <c r="R697">
        <v>56.6</v>
      </c>
      <c r="S697">
        <v>56.6</v>
      </c>
      <c r="T697">
        <v>56.6</v>
      </c>
      <c r="U697" t="s">
        <v>391</v>
      </c>
      <c r="V697" t="s">
        <v>392</v>
      </c>
      <c r="W697" t="s">
        <v>392</v>
      </c>
      <c r="X697">
        <v>1</v>
      </c>
      <c r="Y697" t="s">
        <v>893</v>
      </c>
      <c r="AA697">
        <v>6.7</v>
      </c>
      <c r="AB697">
        <v>379.22</v>
      </c>
      <c r="AC697">
        <v>379.22</v>
      </c>
    </row>
    <row r="698" spans="2:29" ht="15" customHeight="1" x14ac:dyDescent="0.15">
      <c r="B698">
        <v>4</v>
      </c>
      <c r="C698" t="s">
        <v>386</v>
      </c>
      <c r="D698" t="s">
        <v>1736</v>
      </c>
      <c r="E698">
        <v>1</v>
      </c>
      <c r="F698" t="s">
        <v>219</v>
      </c>
      <c r="G698" t="s">
        <v>218</v>
      </c>
      <c r="H698" t="s">
        <v>397</v>
      </c>
      <c r="I698">
        <v>34</v>
      </c>
      <c r="J698" s="21">
        <v>45891</v>
      </c>
      <c r="K698" s="21">
        <v>45891</v>
      </c>
      <c r="L698" t="s">
        <v>1737</v>
      </c>
      <c r="M698" t="s">
        <v>454</v>
      </c>
      <c r="O698" t="s">
        <v>220</v>
      </c>
      <c r="P698">
        <v>1</v>
      </c>
      <c r="Q698">
        <v>1</v>
      </c>
      <c r="R698">
        <v>1</v>
      </c>
      <c r="S698">
        <v>1</v>
      </c>
      <c r="T698">
        <v>1</v>
      </c>
      <c r="U698" t="s">
        <v>391</v>
      </c>
      <c r="V698" t="s">
        <v>392</v>
      </c>
      <c r="W698" t="s">
        <v>392</v>
      </c>
      <c r="X698">
        <v>1</v>
      </c>
      <c r="Y698" t="s">
        <v>716</v>
      </c>
      <c r="AA698">
        <v>686.05</v>
      </c>
      <c r="AB698">
        <v>686.05</v>
      </c>
      <c r="AC698">
        <v>686.05</v>
      </c>
    </row>
    <row r="699" spans="2:29" ht="15" customHeight="1" x14ac:dyDescent="0.15">
      <c r="B699">
        <v>4</v>
      </c>
      <c r="C699" t="s">
        <v>386</v>
      </c>
      <c r="D699" t="s">
        <v>1736</v>
      </c>
      <c r="E699">
        <v>2</v>
      </c>
      <c r="F699" t="s">
        <v>219</v>
      </c>
      <c r="G699" t="s">
        <v>218</v>
      </c>
      <c r="H699" t="s">
        <v>394</v>
      </c>
      <c r="I699">
        <v>34</v>
      </c>
      <c r="J699" s="21">
        <v>45891</v>
      </c>
      <c r="K699" s="21">
        <v>45891</v>
      </c>
      <c r="L699" t="s">
        <v>1738</v>
      </c>
      <c r="M699" t="s">
        <v>396</v>
      </c>
      <c r="O699" t="s">
        <v>220</v>
      </c>
      <c r="P699">
        <v>1</v>
      </c>
      <c r="Q699">
        <v>1</v>
      </c>
      <c r="R699">
        <v>1</v>
      </c>
      <c r="S699">
        <v>1</v>
      </c>
      <c r="T699">
        <v>1</v>
      </c>
      <c r="U699" t="s">
        <v>391</v>
      </c>
      <c r="V699" t="s">
        <v>392</v>
      </c>
      <c r="W699" t="s">
        <v>392</v>
      </c>
      <c r="X699">
        <v>1</v>
      </c>
      <c r="Y699" t="s">
        <v>716</v>
      </c>
      <c r="AA699">
        <v>784.7</v>
      </c>
      <c r="AB699">
        <v>784.7</v>
      </c>
      <c r="AC699">
        <v>784.7</v>
      </c>
    </row>
    <row r="700" spans="2:29" ht="15" customHeight="1" x14ac:dyDescent="0.15">
      <c r="B700">
        <v>4</v>
      </c>
      <c r="C700" t="s">
        <v>386</v>
      </c>
      <c r="D700" t="s">
        <v>1739</v>
      </c>
      <c r="E700">
        <v>1</v>
      </c>
      <c r="F700" t="s">
        <v>219</v>
      </c>
      <c r="G700" t="s">
        <v>218</v>
      </c>
      <c r="H700" t="s">
        <v>397</v>
      </c>
      <c r="I700">
        <v>34</v>
      </c>
      <c r="J700" s="21">
        <v>45891</v>
      </c>
      <c r="K700" s="21">
        <v>45891</v>
      </c>
      <c r="L700" t="s">
        <v>1740</v>
      </c>
      <c r="M700" t="s">
        <v>454</v>
      </c>
      <c r="O700" t="s">
        <v>220</v>
      </c>
      <c r="P700">
        <v>1</v>
      </c>
      <c r="Q700">
        <v>1</v>
      </c>
      <c r="R700">
        <v>1</v>
      </c>
      <c r="S700">
        <v>1</v>
      </c>
      <c r="T700">
        <v>1</v>
      </c>
      <c r="U700" t="s">
        <v>391</v>
      </c>
      <c r="V700" t="s">
        <v>392</v>
      </c>
      <c r="W700" t="s">
        <v>392</v>
      </c>
      <c r="X700">
        <v>1</v>
      </c>
      <c r="Y700" t="s">
        <v>886</v>
      </c>
      <c r="AA700">
        <v>686.05</v>
      </c>
      <c r="AB700">
        <v>686.05</v>
      </c>
      <c r="AC700">
        <v>686.05</v>
      </c>
    </row>
    <row r="701" spans="2:29" ht="15" customHeight="1" x14ac:dyDescent="0.15">
      <c r="B701">
        <v>4</v>
      </c>
      <c r="C701" t="s">
        <v>386</v>
      </c>
      <c r="D701" t="s">
        <v>1739</v>
      </c>
      <c r="E701">
        <v>2</v>
      </c>
      <c r="F701" t="s">
        <v>219</v>
      </c>
      <c r="G701" t="s">
        <v>218</v>
      </c>
      <c r="H701" t="s">
        <v>394</v>
      </c>
      <c r="I701">
        <v>34</v>
      </c>
      <c r="J701" s="21">
        <v>45891</v>
      </c>
      <c r="K701" s="21">
        <v>45891</v>
      </c>
      <c r="L701" t="s">
        <v>1741</v>
      </c>
      <c r="M701" t="s">
        <v>396</v>
      </c>
      <c r="O701" t="s">
        <v>220</v>
      </c>
      <c r="P701">
        <v>1</v>
      </c>
      <c r="Q701">
        <v>1</v>
      </c>
      <c r="R701">
        <v>1</v>
      </c>
      <c r="S701">
        <v>1</v>
      </c>
      <c r="T701">
        <v>1</v>
      </c>
      <c r="U701" t="s">
        <v>391</v>
      </c>
      <c r="V701" t="s">
        <v>392</v>
      </c>
      <c r="W701" t="s">
        <v>392</v>
      </c>
      <c r="X701">
        <v>1</v>
      </c>
      <c r="Y701" t="s">
        <v>886</v>
      </c>
      <c r="AA701">
        <v>784.7</v>
      </c>
      <c r="AB701">
        <v>784.7</v>
      </c>
      <c r="AC701">
        <v>784.7</v>
      </c>
    </row>
    <row r="702" spans="2:29" ht="15" customHeight="1" x14ac:dyDescent="0.15">
      <c r="B702">
        <v>4</v>
      </c>
      <c r="C702" t="s">
        <v>386</v>
      </c>
      <c r="D702" t="s">
        <v>1739</v>
      </c>
      <c r="E702">
        <v>3</v>
      </c>
      <c r="F702" t="s">
        <v>219</v>
      </c>
      <c r="G702" t="s">
        <v>218</v>
      </c>
      <c r="H702" t="s">
        <v>1366</v>
      </c>
      <c r="I702">
        <v>34</v>
      </c>
      <c r="J702" s="21">
        <v>45891</v>
      </c>
      <c r="K702" s="21">
        <v>45891</v>
      </c>
      <c r="L702" t="s">
        <v>1742</v>
      </c>
      <c r="M702" t="s">
        <v>1368</v>
      </c>
      <c r="O702" t="s">
        <v>220</v>
      </c>
      <c r="P702">
        <v>1</v>
      </c>
      <c r="Q702">
        <v>1</v>
      </c>
      <c r="R702">
        <v>1</v>
      </c>
      <c r="S702">
        <v>1</v>
      </c>
      <c r="T702">
        <v>1</v>
      </c>
      <c r="U702" t="s">
        <v>391</v>
      </c>
      <c r="V702" t="s">
        <v>392</v>
      </c>
      <c r="W702" t="s">
        <v>392</v>
      </c>
      <c r="X702">
        <v>1</v>
      </c>
      <c r="Y702" t="s">
        <v>886</v>
      </c>
      <c r="AA702">
        <v>784.7</v>
      </c>
      <c r="AB702">
        <v>784.7</v>
      </c>
      <c r="AC702">
        <v>784.7</v>
      </c>
    </row>
    <row r="703" spans="2:29" ht="15" customHeight="1" x14ac:dyDescent="0.15">
      <c r="B703">
        <v>4</v>
      </c>
      <c r="C703" t="s">
        <v>386</v>
      </c>
      <c r="D703" t="s">
        <v>1739</v>
      </c>
      <c r="E703">
        <v>4</v>
      </c>
      <c r="F703" t="s">
        <v>219</v>
      </c>
      <c r="G703" t="s">
        <v>244</v>
      </c>
      <c r="H703" t="s">
        <v>1513</v>
      </c>
      <c r="I703">
        <v>34</v>
      </c>
      <c r="J703" s="21">
        <v>45891</v>
      </c>
      <c r="K703" s="21">
        <v>45891</v>
      </c>
      <c r="L703" t="s">
        <v>1743</v>
      </c>
      <c r="M703" t="s">
        <v>1515</v>
      </c>
      <c r="O703" t="s">
        <v>220</v>
      </c>
      <c r="P703">
        <v>1</v>
      </c>
      <c r="Q703">
        <v>1</v>
      </c>
      <c r="R703">
        <v>3</v>
      </c>
      <c r="S703">
        <v>3</v>
      </c>
      <c r="T703">
        <v>3</v>
      </c>
      <c r="U703" t="s">
        <v>391</v>
      </c>
      <c r="V703" t="s">
        <v>392</v>
      </c>
      <c r="W703" t="s">
        <v>392</v>
      </c>
      <c r="X703">
        <v>1</v>
      </c>
      <c r="Y703" t="s">
        <v>886</v>
      </c>
      <c r="AA703">
        <v>75.19</v>
      </c>
      <c r="AB703">
        <v>225.57</v>
      </c>
      <c r="AC703">
        <v>225.57</v>
      </c>
    </row>
    <row r="704" spans="2:29" ht="15" customHeight="1" x14ac:dyDescent="0.15">
      <c r="B704">
        <v>4</v>
      </c>
      <c r="C704" t="s">
        <v>386</v>
      </c>
      <c r="D704" t="s">
        <v>1744</v>
      </c>
      <c r="E704">
        <v>1</v>
      </c>
      <c r="F704" t="s">
        <v>416</v>
      </c>
      <c r="G704" t="s">
        <v>1036</v>
      </c>
      <c r="H704" t="s">
        <v>562</v>
      </c>
      <c r="I704">
        <v>34</v>
      </c>
      <c r="J704" s="21">
        <v>45892</v>
      </c>
      <c r="K704" s="21">
        <v>45892</v>
      </c>
      <c r="L704" t="s">
        <v>1745</v>
      </c>
      <c r="M704" t="s">
        <v>1038</v>
      </c>
      <c r="O704" t="s">
        <v>226</v>
      </c>
      <c r="P704">
        <v>1</v>
      </c>
      <c r="R704">
        <v>51.3</v>
      </c>
      <c r="S704">
        <v>51.3</v>
      </c>
      <c r="U704" t="s">
        <v>391</v>
      </c>
      <c r="V704" t="s">
        <v>392</v>
      </c>
      <c r="W704" t="s">
        <v>392</v>
      </c>
      <c r="Y704" t="s">
        <v>893</v>
      </c>
      <c r="AA704">
        <v>6.7</v>
      </c>
      <c r="AB704">
        <v>343.71</v>
      </c>
      <c r="AC704">
        <v>0</v>
      </c>
    </row>
    <row r="705" spans="2:29" ht="15" customHeight="1" x14ac:dyDescent="0.15">
      <c r="B705">
        <v>4</v>
      </c>
      <c r="C705" t="s">
        <v>386</v>
      </c>
      <c r="D705" t="s">
        <v>1746</v>
      </c>
      <c r="E705">
        <v>1</v>
      </c>
      <c r="F705" t="s">
        <v>219</v>
      </c>
      <c r="G705" t="s">
        <v>231</v>
      </c>
      <c r="H705" t="s">
        <v>433</v>
      </c>
      <c r="I705">
        <v>35</v>
      </c>
      <c r="J705" s="21">
        <v>45894</v>
      </c>
      <c r="K705" s="21">
        <v>45894</v>
      </c>
      <c r="L705" t="s">
        <v>1747</v>
      </c>
      <c r="M705" t="s">
        <v>1030</v>
      </c>
      <c r="O705" t="s">
        <v>220</v>
      </c>
      <c r="P705">
        <v>2</v>
      </c>
      <c r="Q705">
        <v>1</v>
      </c>
      <c r="R705">
        <v>0.12</v>
      </c>
      <c r="S705">
        <v>0.24</v>
      </c>
      <c r="T705">
        <v>0.12</v>
      </c>
      <c r="U705" t="s">
        <v>1050</v>
      </c>
      <c r="V705" t="s">
        <v>847</v>
      </c>
      <c r="W705" t="s">
        <v>532</v>
      </c>
      <c r="X705">
        <v>2</v>
      </c>
      <c r="Y705" t="s">
        <v>455</v>
      </c>
      <c r="AA705">
        <v>21.83</v>
      </c>
      <c r="AB705">
        <v>5.24</v>
      </c>
      <c r="AC705">
        <v>2.62</v>
      </c>
    </row>
    <row r="706" spans="2:29" ht="15" customHeight="1" x14ac:dyDescent="0.15">
      <c r="B706">
        <v>4</v>
      </c>
      <c r="C706" t="s">
        <v>386</v>
      </c>
      <c r="D706" t="s">
        <v>1746</v>
      </c>
      <c r="E706">
        <v>2</v>
      </c>
      <c r="F706" t="s">
        <v>219</v>
      </c>
      <c r="G706" t="s">
        <v>244</v>
      </c>
      <c r="H706" t="s">
        <v>591</v>
      </c>
      <c r="I706">
        <v>35</v>
      </c>
      <c r="J706" s="21">
        <v>45894</v>
      </c>
      <c r="K706" s="21">
        <v>45894</v>
      </c>
      <c r="L706" t="s">
        <v>1748</v>
      </c>
      <c r="M706" t="s">
        <v>593</v>
      </c>
      <c r="O706" t="s">
        <v>220</v>
      </c>
      <c r="P706">
        <v>2</v>
      </c>
      <c r="Q706">
        <v>1</v>
      </c>
      <c r="R706">
        <v>2</v>
      </c>
      <c r="S706">
        <v>4</v>
      </c>
      <c r="T706">
        <v>2</v>
      </c>
      <c r="U706" t="s">
        <v>1050</v>
      </c>
      <c r="V706" t="s">
        <v>847</v>
      </c>
      <c r="W706" t="s">
        <v>532</v>
      </c>
      <c r="X706">
        <v>2</v>
      </c>
      <c r="Y706" t="s">
        <v>455</v>
      </c>
      <c r="AA706">
        <v>37.58</v>
      </c>
      <c r="AB706">
        <v>150.30000000000001</v>
      </c>
      <c r="AC706">
        <v>75.150000000000006</v>
      </c>
    </row>
    <row r="707" spans="2:29" ht="15" customHeight="1" x14ac:dyDescent="0.15">
      <c r="B707">
        <v>4</v>
      </c>
      <c r="C707" t="s">
        <v>386</v>
      </c>
      <c r="D707" t="s">
        <v>1746</v>
      </c>
      <c r="E707">
        <v>3</v>
      </c>
      <c r="F707" t="s">
        <v>219</v>
      </c>
      <c r="G707" t="s">
        <v>239</v>
      </c>
      <c r="H707" t="s">
        <v>520</v>
      </c>
      <c r="I707">
        <v>35</v>
      </c>
      <c r="J707" s="21">
        <v>45894</v>
      </c>
      <c r="K707" s="21">
        <v>45894</v>
      </c>
      <c r="L707" t="s">
        <v>1749</v>
      </c>
      <c r="M707" t="s">
        <v>1340</v>
      </c>
      <c r="O707" t="s">
        <v>226</v>
      </c>
      <c r="P707">
        <v>2</v>
      </c>
      <c r="Q707">
        <v>1</v>
      </c>
      <c r="R707">
        <v>1</v>
      </c>
      <c r="S707">
        <v>2</v>
      </c>
      <c r="T707">
        <v>1</v>
      </c>
      <c r="U707" t="s">
        <v>1050</v>
      </c>
      <c r="V707" t="s">
        <v>847</v>
      </c>
      <c r="W707" t="s">
        <v>532</v>
      </c>
      <c r="X707">
        <v>2</v>
      </c>
      <c r="Y707" t="s">
        <v>455</v>
      </c>
      <c r="AA707">
        <v>66.92</v>
      </c>
      <c r="AB707">
        <v>133.84</v>
      </c>
      <c r="AC707">
        <v>66.92</v>
      </c>
    </row>
    <row r="708" spans="2:29" ht="15" customHeight="1" x14ac:dyDescent="0.15">
      <c r="B708">
        <v>4</v>
      </c>
      <c r="C708" t="s">
        <v>386</v>
      </c>
      <c r="D708" t="s">
        <v>1746</v>
      </c>
      <c r="E708">
        <v>4</v>
      </c>
      <c r="F708" t="s">
        <v>219</v>
      </c>
      <c r="G708" t="s">
        <v>218</v>
      </c>
      <c r="H708" t="s">
        <v>908</v>
      </c>
      <c r="I708">
        <v>35</v>
      </c>
      <c r="J708" s="21">
        <v>45894</v>
      </c>
      <c r="K708" s="21">
        <v>45894</v>
      </c>
      <c r="L708" t="s">
        <v>1750</v>
      </c>
      <c r="M708" t="s">
        <v>1027</v>
      </c>
      <c r="O708" t="s">
        <v>220</v>
      </c>
      <c r="P708">
        <v>2</v>
      </c>
      <c r="Q708">
        <v>1</v>
      </c>
      <c r="R708">
        <v>0.3</v>
      </c>
      <c r="S708">
        <v>0.6</v>
      </c>
      <c r="T708">
        <v>0.3</v>
      </c>
      <c r="U708" t="s">
        <v>1050</v>
      </c>
      <c r="V708" t="s">
        <v>847</v>
      </c>
      <c r="W708" t="s">
        <v>532</v>
      </c>
      <c r="X708">
        <v>2</v>
      </c>
      <c r="Y708" t="s">
        <v>455</v>
      </c>
      <c r="AA708">
        <v>31.3</v>
      </c>
      <c r="AB708">
        <v>18.78</v>
      </c>
      <c r="AC708">
        <v>9.39</v>
      </c>
    </row>
    <row r="709" spans="2:29" ht="15" customHeight="1" x14ac:dyDescent="0.15">
      <c r="B709">
        <v>4</v>
      </c>
      <c r="C709" t="s">
        <v>386</v>
      </c>
      <c r="D709" t="s">
        <v>1746</v>
      </c>
      <c r="E709">
        <v>5</v>
      </c>
      <c r="F709" t="s">
        <v>219</v>
      </c>
      <c r="G709" t="s">
        <v>239</v>
      </c>
      <c r="H709" t="s">
        <v>602</v>
      </c>
      <c r="I709">
        <v>35</v>
      </c>
      <c r="J709" s="21">
        <v>45894</v>
      </c>
      <c r="K709" s="21">
        <v>45894</v>
      </c>
      <c r="L709" t="s">
        <v>1751</v>
      </c>
      <c r="M709" t="s">
        <v>258</v>
      </c>
      <c r="O709" t="s">
        <v>220</v>
      </c>
      <c r="P709">
        <v>1</v>
      </c>
      <c r="Q709">
        <v>0.5</v>
      </c>
      <c r="R709">
        <v>0.5</v>
      </c>
      <c r="S709">
        <v>0.5</v>
      </c>
      <c r="T709">
        <v>0.25</v>
      </c>
      <c r="U709" t="s">
        <v>1050</v>
      </c>
      <c r="V709" t="s">
        <v>847</v>
      </c>
      <c r="W709" t="s">
        <v>532</v>
      </c>
      <c r="X709">
        <v>2</v>
      </c>
      <c r="Y709" t="s">
        <v>455</v>
      </c>
      <c r="AA709">
        <v>180</v>
      </c>
      <c r="AB709">
        <v>90</v>
      </c>
      <c r="AC709">
        <v>45</v>
      </c>
    </row>
    <row r="710" spans="2:29" ht="15" customHeight="1" x14ac:dyDescent="0.15">
      <c r="B710">
        <v>4</v>
      </c>
      <c r="C710" t="s">
        <v>386</v>
      </c>
      <c r="D710" t="s">
        <v>1746</v>
      </c>
      <c r="E710">
        <v>6</v>
      </c>
      <c r="F710" t="s">
        <v>219</v>
      </c>
      <c r="G710" t="s">
        <v>239</v>
      </c>
      <c r="H710" t="s">
        <v>1752</v>
      </c>
      <c r="I710">
        <v>35</v>
      </c>
      <c r="J710" s="21">
        <v>45894</v>
      </c>
      <c r="K710" s="21">
        <v>45894</v>
      </c>
      <c r="L710" t="s">
        <v>1753</v>
      </c>
      <c r="M710" t="s">
        <v>1754</v>
      </c>
      <c r="O710" t="s">
        <v>220</v>
      </c>
      <c r="P710">
        <v>1</v>
      </c>
      <c r="Q710">
        <v>0.5</v>
      </c>
      <c r="R710">
        <v>0.03</v>
      </c>
      <c r="S710">
        <v>0.03</v>
      </c>
      <c r="T710">
        <v>0.02</v>
      </c>
      <c r="U710" t="s">
        <v>1050</v>
      </c>
      <c r="V710" t="s">
        <v>847</v>
      </c>
      <c r="W710" t="s">
        <v>532</v>
      </c>
      <c r="X710">
        <v>2</v>
      </c>
      <c r="Y710" t="s">
        <v>455</v>
      </c>
      <c r="AA710">
        <v>0</v>
      </c>
      <c r="AB710">
        <v>0</v>
      </c>
      <c r="AC710">
        <v>0</v>
      </c>
    </row>
    <row r="711" spans="2:29" ht="15" customHeight="1" x14ac:dyDescent="0.15">
      <c r="B711">
        <v>4</v>
      </c>
      <c r="C711" t="s">
        <v>386</v>
      </c>
      <c r="D711" t="s">
        <v>1755</v>
      </c>
      <c r="E711">
        <v>1</v>
      </c>
      <c r="F711" t="s">
        <v>219</v>
      </c>
      <c r="G711" t="s">
        <v>231</v>
      </c>
      <c r="H711" t="s">
        <v>433</v>
      </c>
      <c r="I711">
        <v>35</v>
      </c>
      <c r="J711" s="21">
        <v>45894</v>
      </c>
      <c r="K711" s="21">
        <v>45894</v>
      </c>
      <c r="L711" t="s">
        <v>1756</v>
      </c>
      <c r="M711" t="s">
        <v>1030</v>
      </c>
      <c r="O711" t="s">
        <v>220</v>
      </c>
      <c r="P711">
        <v>4</v>
      </c>
      <c r="Q711">
        <v>4</v>
      </c>
      <c r="R711">
        <v>0.15</v>
      </c>
      <c r="S711">
        <v>0.6</v>
      </c>
      <c r="T711">
        <v>0.6</v>
      </c>
      <c r="U711" t="s">
        <v>391</v>
      </c>
      <c r="V711" t="s">
        <v>392</v>
      </c>
      <c r="W711" t="s">
        <v>392</v>
      </c>
      <c r="X711">
        <v>1</v>
      </c>
      <c r="Y711" t="s">
        <v>893</v>
      </c>
      <c r="AA711">
        <v>21.83</v>
      </c>
      <c r="AB711">
        <v>13.1</v>
      </c>
      <c r="AC711">
        <v>13.1</v>
      </c>
    </row>
    <row r="712" spans="2:29" ht="15" customHeight="1" x14ac:dyDescent="0.15">
      <c r="B712">
        <v>4</v>
      </c>
      <c r="C712" t="s">
        <v>386</v>
      </c>
      <c r="D712" t="s">
        <v>1755</v>
      </c>
      <c r="E712">
        <v>2</v>
      </c>
      <c r="F712" t="s">
        <v>219</v>
      </c>
      <c r="G712" t="s">
        <v>218</v>
      </c>
      <c r="H712" t="s">
        <v>397</v>
      </c>
      <c r="I712">
        <v>35</v>
      </c>
      <c r="J712" s="21">
        <v>45894</v>
      </c>
      <c r="K712" s="21">
        <v>45894</v>
      </c>
      <c r="L712" t="s">
        <v>1757</v>
      </c>
      <c r="M712" t="s">
        <v>454</v>
      </c>
      <c r="O712" t="s">
        <v>220</v>
      </c>
      <c r="P712">
        <v>4</v>
      </c>
      <c r="Q712">
        <v>4</v>
      </c>
      <c r="R712">
        <v>0.15</v>
      </c>
      <c r="S712">
        <v>0.6</v>
      </c>
      <c r="T712">
        <v>0.6</v>
      </c>
      <c r="U712" t="s">
        <v>391</v>
      </c>
      <c r="V712" t="s">
        <v>392</v>
      </c>
      <c r="W712" t="s">
        <v>392</v>
      </c>
      <c r="X712">
        <v>1</v>
      </c>
      <c r="Y712" t="s">
        <v>893</v>
      </c>
      <c r="AA712">
        <v>686.05</v>
      </c>
      <c r="AB712">
        <v>411.63</v>
      </c>
      <c r="AC712">
        <v>411.63</v>
      </c>
    </row>
    <row r="713" spans="2:29" ht="15" customHeight="1" x14ac:dyDescent="0.15">
      <c r="B713">
        <v>4</v>
      </c>
      <c r="C713" t="s">
        <v>386</v>
      </c>
      <c r="D713" t="s">
        <v>1755</v>
      </c>
      <c r="E713">
        <v>3</v>
      </c>
      <c r="F713" t="s">
        <v>219</v>
      </c>
      <c r="G713" t="s">
        <v>218</v>
      </c>
      <c r="H713" t="s">
        <v>394</v>
      </c>
      <c r="I713">
        <v>35</v>
      </c>
      <c r="J713" s="21">
        <v>45894</v>
      </c>
      <c r="K713" s="21">
        <v>45894</v>
      </c>
      <c r="L713" t="s">
        <v>1758</v>
      </c>
      <c r="M713" t="s">
        <v>396</v>
      </c>
      <c r="O713" t="s">
        <v>220</v>
      </c>
      <c r="P713">
        <v>4</v>
      </c>
      <c r="Q713">
        <v>4</v>
      </c>
      <c r="R713">
        <v>0.13</v>
      </c>
      <c r="S713">
        <v>0.52</v>
      </c>
      <c r="T713">
        <v>0.52</v>
      </c>
      <c r="U713" t="s">
        <v>391</v>
      </c>
      <c r="V713" t="s">
        <v>392</v>
      </c>
      <c r="W713" t="s">
        <v>392</v>
      </c>
      <c r="X713">
        <v>1</v>
      </c>
      <c r="Y713" t="s">
        <v>893</v>
      </c>
      <c r="AA713">
        <v>784.7</v>
      </c>
      <c r="AB713">
        <v>408.04</v>
      </c>
      <c r="AC713">
        <v>408.04</v>
      </c>
    </row>
    <row r="714" spans="2:29" ht="15" customHeight="1" x14ac:dyDescent="0.15">
      <c r="B714">
        <v>4</v>
      </c>
      <c r="C714" t="s">
        <v>386</v>
      </c>
      <c r="D714" t="s">
        <v>1755</v>
      </c>
      <c r="E714">
        <v>4</v>
      </c>
      <c r="F714" t="s">
        <v>219</v>
      </c>
      <c r="G714" t="s">
        <v>244</v>
      </c>
      <c r="H714" t="s">
        <v>1513</v>
      </c>
      <c r="I714">
        <v>35</v>
      </c>
      <c r="J714" s="21">
        <v>45894</v>
      </c>
      <c r="K714" s="21">
        <v>45894</v>
      </c>
      <c r="L714" t="s">
        <v>1759</v>
      </c>
      <c r="M714" t="s">
        <v>1515</v>
      </c>
      <c r="O714" t="s">
        <v>220</v>
      </c>
      <c r="P714">
        <v>4</v>
      </c>
      <c r="Q714">
        <v>4</v>
      </c>
      <c r="R714">
        <v>0.5</v>
      </c>
      <c r="S714">
        <v>2</v>
      </c>
      <c r="T714">
        <v>2</v>
      </c>
      <c r="U714" t="s">
        <v>391</v>
      </c>
      <c r="V714" t="s">
        <v>392</v>
      </c>
      <c r="W714" t="s">
        <v>392</v>
      </c>
      <c r="X714">
        <v>1</v>
      </c>
      <c r="Y714" t="s">
        <v>893</v>
      </c>
      <c r="AA714">
        <v>75.19</v>
      </c>
      <c r="AB714">
        <v>150.38</v>
      </c>
      <c r="AC714">
        <v>150.38</v>
      </c>
    </row>
    <row r="715" spans="2:29" ht="15" customHeight="1" x14ac:dyDescent="0.15">
      <c r="B715">
        <v>4</v>
      </c>
      <c r="C715" t="s">
        <v>386</v>
      </c>
      <c r="D715" t="s">
        <v>1755</v>
      </c>
      <c r="E715">
        <v>5</v>
      </c>
      <c r="F715" t="s">
        <v>219</v>
      </c>
      <c r="G715" t="s">
        <v>239</v>
      </c>
      <c r="H715" t="s">
        <v>1618</v>
      </c>
      <c r="I715">
        <v>35</v>
      </c>
      <c r="J715" s="21">
        <v>45894</v>
      </c>
      <c r="K715" s="21">
        <v>45894</v>
      </c>
      <c r="L715" t="s">
        <v>1760</v>
      </c>
      <c r="M715" t="s">
        <v>1620</v>
      </c>
      <c r="O715" t="s">
        <v>220</v>
      </c>
      <c r="P715">
        <v>4</v>
      </c>
      <c r="Q715">
        <v>4</v>
      </c>
      <c r="R715">
        <v>0.04</v>
      </c>
      <c r="S715">
        <v>0.16</v>
      </c>
      <c r="T715">
        <v>0.16</v>
      </c>
      <c r="U715" t="s">
        <v>391</v>
      </c>
      <c r="V715" t="s">
        <v>392</v>
      </c>
      <c r="W715" t="s">
        <v>392</v>
      </c>
      <c r="X715">
        <v>1</v>
      </c>
      <c r="Y715" t="s">
        <v>893</v>
      </c>
      <c r="AA715" s="22">
        <v>1301.72</v>
      </c>
      <c r="AB715">
        <v>208.28</v>
      </c>
      <c r="AC715">
        <v>208.28</v>
      </c>
    </row>
    <row r="716" spans="2:29" ht="15" customHeight="1" x14ac:dyDescent="0.15">
      <c r="B716">
        <v>4</v>
      </c>
      <c r="C716" t="s">
        <v>386</v>
      </c>
      <c r="D716" t="s">
        <v>1755</v>
      </c>
      <c r="E716">
        <v>6</v>
      </c>
      <c r="F716" t="s">
        <v>219</v>
      </c>
      <c r="G716" t="s">
        <v>239</v>
      </c>
      <c r="H716" t="s">
        <v>456</v>
      </c>
      <c r="I716">
        <v>35</v>
      </c>
      <c r="J716" s="21">
        <v>45894</v>
      </c>
      <c r="K716" s="21">
        <v>45894</v>
      </c>
      <c r="L716" t="s">
        <v>1761</v>
      </c>
      <c r="M716" t="s">
        <v>458</v>
      </c>
      <c r="O716" t="s">
        <v>226</v>
      </c>
      <c r="P716">
        <v>4</v>
      </c>
      <c r="Q716">
        <v>4</v>
      </c>
      <c r="R716">
        <v>0.5</v>
      </c>
      <c r="S716">
        <v>2</v>
      </c>
      <c r="T716">
        <v>2</v>
      </c>
      <c r="U716" t="s">
        <v>391</v>
      </c>
      <c r="V716" t="s">
        <v>392</v>
      </c>
      <c r="W716" t="s">
        <v>392</v>
      </c>
      <c r="X716">
        <v>1</v>
      </c>
      <c r="Y716" t="s">
        <v>893</v>
      </c>
      <c r="AA716">
        <v>49.99</v>
      </c>
      <c r="AB716">
        <v>99.98</v>
      </c>
      <c r="AC716">
        <v>99.98</v>
      </c>
    </row>
    <row r="717" spans="2:29" ht="15" customHeight="1" x14ac:dyDescent="0.15">
      <c r="B717">
        <v>4</v>
      </c>
      <c r="C717" t="s">
        <v>386</v>
      </c>
      <c r="D717" t="s">
        <v>1762</v>
      </c>
      <c r="E717">
        <v>1</v>
      </c>
      <c r="F717" t="s">
        <v>219</v>
      </c>
      <c r="G717" t="s">
        <v>231</v>
      </c>
      <c r="H717" t="s">
        <v>433</v>
      </c>
      <c r="I717">
        <v>35</v>
      </c>
      <c r="J717" s="21">
        <v>45894</v>
      </c>
      <c r="K717" s="21">
        <v>45894</v>
      </c>
      <c r="L717" t="s">
        <v>1763</v>
      </c>
      <c r="M717" t="s">
        <v>1030</v>
      </c>
      <c r="O717" t="s">
        <v>220</v>
      </c>
      <c r="P717">
        <v>4</v>
      </c>
      <c r="Q717">
        <v>4</v>
      </c>
      <c r="R717">
        <v>0.15</v>
      </c>
      <c r="S717">
        <v>0.6</v>
      </c>
      <c r="T717">
        <v>0.6</v>
      </c>
      <c r="U717" t="s">
        <v>391</v>
      </c>
      <c r="V717" t="s">
        <v>392</v>
      </c>
      <c r="W717" t="s">
        <v>392</v>
      </c>
      <c r="X717">
        <v>1</v>
      </c>
      <c r="Y717" t="s">
        <v>893</v>
      </c>
      <c r="AA717">
        <v>21.83</v>
      </c>
      <c r="AB717">
        <v>13.1</v>
      </c>
      <c r="AC717">
        <v>13.1</v>
      </c>
    </row>
    <row r="718" spans="2:29" ht="15" customHeight="1" x14ac:dyDescent="0.15">
      <c r="B718">
        <v>4</v>
      </c>
      <c r="C718" t="s">
        <v>386</v>
      </c>
      <c r="D718" t="s">
        <v>1762</v>
      </c>
      <c r="E718">
        <v>2</v>
      </c>
      <c r="F718" t="s">
        <v>219</v>
      </c>
      <c r="G718" t="s">
        <v>218</v>
      </c>
      <c r="H718" t="s">
        <v>400</v>
      </c>
      <c r="I718">
        <v>35</v>
      </c>
      <c r="J718" s="21">
        <v>45894</v>
      </c>
      <c r="K718" s="21">
        <v>45894</v>
      </c>
      <c r="L718" t="s">
        <v>1764</v>
      </c>
      <c r="M718" t="s">
        <v>402</v>
      </c>
      <c r="O718" t="s">
        <v>226</v>
      </c>
      <c r="P718">
        <v>4</v>
      </c>
      <c r="Q718">
        <v>4</v>
      </c>
      <c r="R718">
        <v>0.1</v>
      </c>
      <c r="S718">
        <v>0.4</v>
      </c>
      <c r="T718">
        <v>0.4</v>
      </c>
      <c r="U718" t="s">
        <v>391</v>
      </c>
      <c r="V718" t="s">
        <v>392</v>
      </c>
      <c r="W718" t="s">
        <v>392</v>
      </c>
      <c r="X718">
        <v>1</v>
      </c>
      <c r="Y718" t="s">
        <v>893</v>
      </c>
      <c r="AA718">
        <v>217</v>
      </c>
      <c r="AB718">
        <v>86.8</v>
      </c>
      <c r="AC718">
        <v>86.8</v>
      </c>
    </row>
    <row r="719" spans="2:29" ht="15" customHeight="1" x14ac:dyDescent="0.15">
      <c r="B719">
        <v>4</v>
      </c>
      <c r="C719" t="s">
        <v>386</v>
      </c>
      <c r="D719" t="s">
        <v>1762</v>
      </c>
      <c r="E719">
        <v>3</v>
      </c>
      <c r="F719" t="s">
        <v>219</v>
      </c>
      <c r="G719" t="s">
        <v>244</v>
      </c>
      <c r="H719" t="s">
        <v>1593</v>
      </c>
      <c r="I719">
        <v>35</v>
      </c>
      <c r="J719" s="21">
        <v>45894</v>
      </c>
      <c r="K719" s="21">
        <v>45894</v>
      </c>
      <c r="L719" t="s">
        <v>1765</v>
      </c>
      <c r="M719" t="s">
        <v>1595</v>
      </c>
      <c r="O719" t="s">
        <v>226</v>
      </c>
      <c r="P719">
        <v>1</v>
      </c>
      <c r="Q719">
        <v>1</v>
      </c>
      <c r="R719">
        <v>9.5000000000000001E-2</v>
      </c>
      <c r="S719">
        <v>9.5000000000000001E-2</v>
      </c>
      <c r="T719">
        <v>0.1</v>
      </c>
      <c r="U719" t="s">
        <v>391</v>
      </c>
      <c r="V719" t="s">
        <v>392</v>
      </c>
      <c r="W719" t="s">
        <v>392</v>
      </c>
      <c r="X719">
        <v>1</v>
      </c>
      <c r="Y719" t="s">
        <v>893</v>
      </c>
      <c r="AA719">
        <v>528.66</v>
      </c>
      <c r="AB719">
        <v>50.22</v>
      </c>
      <c r="AC719">
        <v>50.22</v>
      </c>
    </row>
    <row r="720" spans="2:29" ht="15" customHeight="1" x14ac:dyDescent="0.15">
      <c r="B720">
        <v>4</v>
      </c>
      <c r="C720" t="s">
        <v>386</v>
      </c>
      <c r="D720" t="s">
        <v>1762</v>
      </c>
      <c r="E720">
        <v>4</v>
      </c>
      <c r="F720" t="s">
        <v>219</v>
      </c>
      <c r="G720" t="s">
        <v>218</v>
      </c>
      <c r="H720" t="s">
        <v>686</v>
      </c>
      <c r="I720">
        <v>35</v>
      </c>
      <c r="J720" s="21">
        <v>45894</v>
      </c>
      <c r="K720" s="21">
        <v>45894</v>
      </c>
      <c r="L720" t="s">
        <v>1766</v>
      </c>
      <c r="M720" t="s">
        <v>1219</v>
      </c>
      <c r="O720" t="s">
        <v>220</v>
      </c>
      <c r="P720">
        <v>4</v>
      </c>
      <c r="Q720">
        <v>4</v>
      </c>
      <c r="R720">
        <v>0.15</v>
      </c>
      <c r="S720">
        <v>0.6</v>
      </c>
      <c r="T720">
        <v>0.6</v>
      </c>
      <c r="U720" t="s">
        <v>391</v>
      </c>
      <c r="V720" t="s">
        <v>392</v>
      </c>
      <c r="W720" t="s">
        <v>392</v>
      </c>
      <c r="X720">
        <v>1</v>
      </c>
      <c r="Y720" t="s">
        <v>893</v>
      </c>
      <c r="AA720">
        <v>163</v>
      </c>
      <c r="AB720">
        <v>97.8</v>
      </c>
      <c r="AC720">
        <v>97.8</v>
      </c>
    </row>
    <row r="721" spans="2:29" ht="15" customHeight="1" x14ac:dyDescent="0.15">
      <c r="B721">
        <v>4</v>
      </c>
      <c r="C721" t="s">
        <v>386</v>
      </c>
      <c r="D721" t="s">
        <v>1762</v>
      </c>
      <c r="E721">
        <v>5</v>
      </c>
      <c r="F721" t="s">
        <v>219</v>
      </c>
      <c r="G721" t="s">
        <v>244</v>
      </c>
      <c r="H721" t="s">
        <v>409</v>
      </c>
      <c r="I721">
        <v>35</v>
      </c>
      <c r="J721" s="21">
        <v>45894</v>
      </c>
      <c r="K721" s="21">
        <v>45894</v>
      </c>
      <c r="L721" t="s">
        <v>1767</v>
      </c>
      <c r="M721" t="s">
        <v>284</v>
      </c>
      <c r="O721" t="s">
        <v>220</v>
      </c>
      <c r="P721">
        <v>3</v>
      </c>
      <c r="Q721">
        <v>3</v>
      </c>
      <c r="R721">
        <v>0.4</v>
      </c>
      <c r="S721">
        <v>1.2</v>
      </c>
      <c r="T721">
        <v>1.2</v>
      </c>
      <c r="U721" t="s">
        <v>391</v>
      </c>
      <c r="V721" t="s">
        <v>392</v>
      </c>
      <c r="W721" t="s">
        <v>392</v>
      </c>
      <c r="X721">
        <v>1</v>
      </c>
      <c r="Y721" t="s">
        <v>893</v>
      </c>
      <c r="AA721">
        <v>53.07</v>
      </c>
      <c r="AB721">
        <v>63.68</v>
      </c>
      <c r="AC721">
        <v>63.68</v>
      </c>
    </row>
    <row r="722" spans="2:29" ht="15" customHeight="1" x14ac:dyDescent="0.15">
      <c r="B722">
        <v>4</v>
      </c>
      <c r="C722" t="s">
        <v>704</v>
      </c>
      <c r="D722" t="s">
        <v>1768</v>
      </c>
      <c r="E722">
        <v>1</v>
      </c>
      <c r="F722" t="s">
        <v>219</v>
      </c>
      <c r="G722" t="s">
        <v>231</v>
      </c>
      <c r="H722" t="s">
        <v>433</v>
      </c>
      <c r="I722">
        <v>35</v>
      </c>
      <c r="J722" s="21">
        <v>45894</v>
      </c>
      <c r="L722" t="s">
        <v>1769</v>
      </c>
      <c r="M722" t="s">
        <v>1030</v>
      </c>
      <c r="O722" t="s">
        <v>220</v>
      </c>
      <c r="P722">
        <v>0</v>
      </c>
      <c r="Q722">
        <v>0</v>
      </c>
      <c r="R722">
        <v>0.15</v>
      </c>
      <c r="S722">
        <v>0</v>
      </c>
      <c r="T722">
        <v>0</v>
      </c>
      <c r="U722" t="s">
        <v>391</v>
      </c>
      <c r="V722" t="s">
        <v>392</v>
      </c>
      <c r="W722" t="s">
        <v>392</v>
      </c>
      <c r="X722">
        <v>1</v>
      </c>
      <c r="Y722" t="s">
        <v>1477</v>
      </c>
      <c r="AA722">
        <v>21.83</v>
      </c>
      <c r="AB722">
        <v>0</v>
      </c>
      <c r="AC722">
        <v>0</v>
      </c>
    </row>
    <row r="723" spans="2:29" ht="15" customHeight="1" x14ac:dyDescent="0.15">
      <c r="B723">
        <v>4</v>
      </c>
      <c r="C723" t="s">
        <v>704</v>
      </c>
      <c r="D723" t="s">
        <v>1768</v>
      </c>
      <c r="E723">
        <v>2</v>
      </c>
      <c r="F723" t="s">
        <v>219</v>
      </c>
      <c r="G723" t="s">
        <v>218</v>
      </c>
      <c r="H723" t="s">
        <v>400</v>
      </c>
      <c r="I723">
        <v>35</v>
      </c>
      <c r="J723" s="21">
        <v>45894</v>
      </c>
      <c r="L723" t="s">
        <v>1770</v>
      </c>
      <c r="M723" t="s">
        <v>402</v>
      </c>
      <c r="O723" t="s">
        <v>226</v>
      </c>
      <c r="P723">
        <v>0</v>
      </c>
      <c r="Q723">
        <v>0</v>
      </c>
      <c r="R723">
        <v>0.1</v>
      </c>
      <c r="S723">
        <v>0</v>
      </c>
      <c r="T723">
        <v>0</v>
      </c>
      <c r="U723" t="s">
        <v>391</v>
      </c>
      <c r="V723" t="s">
        <v>392</v>
      </c>
      <c r="W723" t="s">
        <v>392</v>
      </c>
      <c r="X723">
        <v>1</v>
      </c>
      <c r="Y723" t="s">
        <v>1477</v>
      </c>
      <c r="AA723">
        <v>217</v>
      </c>
      <c r="AB723">
        <v>0</v>
      </c>
      <c r="AC723">
        <v>0</v>
      </c>
    </row>
    <row r="724" spans="2:29" ht="15" customHeight="1" x14ac:dyDescent="0.15">
      <c r="B724">
        <v>4</v>
      </c>
      <c r="C724" t="s">
        <v>704</v>
      </c>
      <c r="D724" t="s">
        <v>1768</v>
      </c>
      <c r="E724">
        <v>3</v>
      </c>
      <c r="F724" t="s">
        <v>219</v>
      </c>
      <c r="G724" t="s">
        <v>218</v>
      </c>
      <c r="H724" t="s">
        <v>686</v>
      </c>
      <c r="I724">
        <v>35</v>
      </c>
      <c r="J724" s="21">
        <v>45894</v>
      </c>
      <c r="L724" t="s">
        <v>1771</v>
      </c>
      <c r="M724" t="s">
        <v>1219</v>
      </c>
      <c r="O724" t="s">
        <v>220</v>
      </c>
      <c r="P724">
        <v>0</v>
      </c>
      <c r="Q724">
        <v>0</v>
      </c>
      <c r="R724">
        <v>0.15</v>
      </c>
      <c r="S724">
        <v>0</v>
      </c>
      <c r="T724">
        <v>0</v>
      </c>
      <c r="U724" t="s">
        <v>391</v>
      </c>
      <c r="V724" t="s">
        <v>392</v>
      </c>
      <c r="W724" t="s">
        <v>392</v>
      </c>
      <c r="X724">
        <v>1</v>
      </c>
      <c r="Y724" t="s">
        <v>1477</v>
      </c>
      <c r="AA724">
        <v>163</v>
      </c>
      <c r="AB724">
        <v>0</v>
      </c>
      <c r="AC724">
        <v>0</v>
      </c>
    </row>
    <row r="725" spans="2:29" ht="15" customHeight="1" x14ac:dyDescent="0.15">
      <c r="B725">
        <v>4</v>
      </c>
      <c r="C725" t="s">
        <v>704</v>
      </c>
      <c r="D725" t="s">
        <v>1768</v>
      </c>
      <c r="E725">
        <v>4</v>
      </c>
      <c r="F725" t="s">
        <v>219</v>
      </c>
      <c r="G725" t="s">
        <v>239</v>
      </c>
      <c r="H725" t="s">
        <v>1618</v>
      </c>
      <c r="I725">
        <v>35</v>
      </c>
      <c r="J725" s="21">
        <v>45894</v>
      </c>
      <c r="L725" t="s">
        <v>1772</v>
      </c>
      <c r="M725" t="s">
        <v>1620</v>
      </c>
      <c r="O725" t="s">
        <v>220</v>
      </c>
      <c r="P725">
        <v>0</v>
      </c>
      <c r="Q725">
        <v>0</v>
      </c>
      <c r="R725">
        <v>0.04</v>
      </c>
      <c r="S725">
        <v>0</v>
      </c>
      <c r="T725">
        <v>0</v>
      </c>
      <c r="U725" t="s">
        <v>391</v>
      </c>
      <c r="V725" t="s">
        <v>392</v>
      </c>
      <c r="W725" t="s">
        <v>392</v>
      </c>
      <c r="X725">
        <v>1</v>
      </c>
      <c r="Y725" t="s">
        <v>1477</v>
      </c>
      <c r="AA725" s="22">
        <v>1301.72</v>
      </c>
      <c r="AB725">
        <v>0</v>
      </c>
      <c r="AC725">
        <v>0</v>
      </c>
    </row>
    <row r="726" spans="2:29" ht="15" customHeight="1" x14ac:dyDescent="0.15">
      <c r="B726">
        <v>4</v>
      </c>
      <c r="C726" t="s">
        <v>704</v>
      </c>
      <c r="D726" t="s">
        <v>1768</v>
      </c>
      <c r="E726">
        <v>5</v>
      </c>
      <c r="F726" t="s">
        <v>219</v>
      </c>
      <c r="G726" t="s">
        <v>239</v>
      </c>
      <c r="H726" t="s">
        <v>1752</v>
      </c>
      <c r="I726">
        <v>35</v>
      </c>
      <c r="J726" s="21">
        <v>45894</v>
      </c>
      <c r="L726" t="s">
        <v>1773</v>
      </c>
      <c r="M726" t="s">
        <v>1774</v>
      </c>
      <c r="O726" t="s">
        <v>220</v>
      </c>
      <c r="P726">
        <v>0</v>
      </c>
      <c r="Q726">
        <v>0</v>
      </c>
      <c r="R726">
        <v>0.6</v>
      </c>
      <c r="S726">
        <v>0</v>
      </c>
      <c r="T726">
        <v>0</v>
      </c>
      <c r="U726" t="s">
        <v>391</v>
      </c>
      <c r="V726" t="s">
        <v>392</v>
      </c>
      <c r="W726" t="s">
        <v>392</v>
      </c>
      <c r="X726">
        <v>1</v>
      </c>
      <c r="Y726" t="s">
        <v>1477</v>
      </c>
      <c r="AA726">
        <v>0</v>
      </c>
      <c r="AB726">
        <v>0</v>
      </c>
      <c r="AC726">
        <v>0</v>
      </c>
    </row>
    <row r="727" spans="2:29" ht="15" customHeight="1" x14ac:dyDescent="0.15">
      <c r="B727">
        <v>4</v>
      </c>
      <c r="C727" t="s">
        <v>704</v>
      </c>
      <c r="D727" t="s">
        <v>1768</v>
      </c>
      <c r="E727">
        <v>6</v>
      </c>
      <c r="F727" t="s">
        <v>219</v>
      </c>
      <c r="G727" t="s">
        <v>239</v>
      </c>
      <c r="H727" t="s">
        <v>1752</v>
      </c>
      <c r="I727">
        <v>35</v>
      </c>
      <c r="J727" s="21">
        <v>45894</v>
      </c>
      <c r="L727" t="s">
        <v>1775</v>
      </c>
      <c r="M727" t="s">
        <v>1776</v>
      </c>
      <c r="O727" t="s">
        <v>220</v>
      </c>
      <c r="P727">
        <v>0</v>
      </c>
      <c r="Q727">
        <v>0</v>
      </c>
      <c r="R727">
        <v>0.5</v>
      </c>
      <c r="S727">
        <v>0</v>
      </c>
      <c r="T727">
        <v>0</v>
      </c>
      <c r="U727" t="s">
        <v>391</v>
      </c>
      <c r="V727" t="s">
        <v>392</v>
      </c>
      <c r="W727" t="s">
        <v>392</v>
      </c>
      <c r="X727">
        <v>1</v>
      </c>
      <c r="Y727" t="s">
        <v>1477</v>
      </c>
      <c r="AA727">
        <v>0</v>
      </c>
      <c r="AB727">
        <v>0</v>
      </c>
      <c r="AC727">
        <v>0</v>
      </c>
    </row>
    <row r="728" spans="2:29" ht="15" customHeight="1" x14ac:dyDescent="0.15">
      <c r="B728">
        <v>4</v>
      </c>
      <c r="C728" t="s">
        <v>704</v>
      </c>
      <c r="D728" t="s">
        <v>1768</v>
      </c>
      <c r="E728">
        <v>8</v>
      </c>
      <c r="F728" t="s">
        <v>219</v>
      </c>
      <c r="G728" t="s">
        <v>239</v>
      </c>
      <c r="H728" t="s">
        <v>517</v>
      </c>
      <c r="I728">
        <v>35</v>
      </c>
      <c r="J728" s="21">
        <v>45894</v>
      </c>
      <c r="L728" t="s">
        <v>1777</v>
      </c>
      <c r="M728" t="s">
        <v>614</v>
      </c>
      <c r="O728" t="s">
        <v>220</v>
      </c>
      <c r="P728">
        <v>0</v>
      </c>
      <c r="Q728">
        <v>0</v>
      </c>
      <c r="R728">
        <v>0.5</v>
      </c>
      <c r="S728">
        <v>0</v>
      </c>
      <c r="T728">
        <v>0</v>
      </c>
      <c r="U728" t="s">
        <v>391</v>
      </c>
      <c r="V728" t="s">
        <v>392</v>
      </c>
      <c r="W728" t="s">
        <v>392</v>
      </c>
      <c r="X728">
        <v>1</v>
      </c>
      <c r="Y728" t="s">
        <v>1477</v>
      </c>
      <c r="AA728">
        <v>65</v>
      </c>
      <c r="AB728">
        <v>0</v>
      </c>
      <c r="AC728">
        <v>0</v>
      </c>
    </row>
    <row r="729" spans="2:29" ht="15" customHeight="1" x14ac:dyDescent="0.15">
      <c r="B729">
        <v>4</v>
      </c>
      <c r="C729" t="s">
        <v>386</v>
      </c>
      <c r="D729" t="s">
        <v>1778</v>
      </c>
      <c r="E729">
        <v>1</v>
      </c>
      <c r="F729" t="s">
        <v>219</v>
      </c>
      <c r="G729" t="s">
        <v>231</v>
      </c>
      <c r="H729" t="s">
        <v>433</v>
      </c>
      <c r="I729">
        <v>35</v>
      </c>
      <c r="J729" s="21">
        <v>45895</v>
      </c>
      <c r="K729" s="21">
        <v>45895</v>
      </c>
      <c r="L729" t="s">
        <v>1779</v>
      </c>
      <c r="M729" t="s">
        <v>1030</v>
      </c>
      <c r="O729" t="s">
        <v>220</v>
      </c>
      <c r="P729">
        <v>2</v>
      </c>
      <c r="Q729">
        <v>1</v>
      </c>
      <c r="R729">
        <v>0.12</v>
      </c>
      <c r="S729">
        <v>0.24</v>
      </c>
      <c r="T729">
        <v>0.12</v>
      </c>
      <c r="U729" t="s">
        <v>805</v>
      </c>
      <c r="V729" t="s">
        <v>806</v>
      </c>
      <c r="W729" t="s">
        <v>532</v>
      </c>
      <c r="X729">
        <v>2</v>
      </c>
      <c r="Y729" t="s">
        <v>455</v>
      </c>
      <c r="AA729">
        <v>21.83</v>
      </c>
      <c r="AB729">
        <v>5.24</v>
      </c>
      <c r="AC729">
        <v>2.62</v>
      </c>
    </row>
    <row r="730" spans="2:29" ht="15" customHeight="1" x14ac:dyDescent="0.15">
      <c r="B730">
        <v>4</v>
      </c>
      <c r="C730" t="s">
        <v>386</v>
      </c>
      <c r="D730" t="s">
        <v>1778</v>
      </c>
      <c r="E730">
        <v>2</v>
      </c>
      <c r="F730" t="s">
        <v>219</v>
      </c>
      <c r="G730" t="s">
        <v>218</v>
      </c>
      <c r="H730" t="s">
        <v>864</v>
      </c>
      <c r="I730">
        <v>35</v>
      </c>
      <c r="J730" s="21">
        <v>45895</v>
      </c>
      <c r="K730" s="21">
        <v>45895</v>
      </c>
      <c r="L730" t="s">
        <v>1780</v>
      </c>
      <c r="M730" t="s">
        <v>866</v>
      </c>
      <c r="O730" t="s">
        <v>220</v>
      </c>
      <c r="P730">
        <v>2</v>
      </c>
      <c r="Q730">
        <v>1</v>
      </c>
      <c r="R730">
        <v>0.2</v>
      </c>
      <c r="S730">
        <v>0.4</v>
      </c>
      <c r="T730">
        <v>0.2</v>
      </c>
      <c r="U730" t="s">
        <v>805</v>
      </c>
      <c r="V730" t="s">
        <v>806</v>
      </c>
      <c r="W730" t="s">
        <v>532</v>
      </c>
      <c r="X730">
        <v>2</v>
      </c>
      <c r="Y730" t="s">
        <v>455</v>
      </c>
      <c r="AA730">
        <v>70.3</v>
      </c>
      <c r="AB730">
        <v>28.12</v>
      </c>
      <c r="AC730">
        <v>14.06</v>
      </c>
    </row>
    <row r="731" spans="2:29" ht="15" customHeight="1" x14ac:dyDescent="0.15">
      <c r="B731">
        <v>4</v>
      </c>
      <c r="C731" t="s">
        <v>386</v>
      </c>
      <c r="D731" t="s">
        <v>1778</v>
      </c>
      <c r="E731">
        <v>3</v>
      </c>
      <c r="F731" t="s">
        <v>219</v>
      </c>
      <c r="G731" t="s">
        <v>218</v>
      </c>
      <c r="H731" t="s">
        <v>908</v>
      </c>
      <c r="I731">
        <v>35</v>
      </c>
      <c r="J731" s="21">
        <v>45895</v>
      </c>
      <c r="K731" s="21">
        <v>45895</v>
      </c>
      <c r="L731" t="s">
        <v>1781</v>
      </c>
      <c r="M731" t="s">
        <v>1027</v>
      </c>
      <c r="O731" t="s">
        <v>220</v>
      </c>
      <c r="P731">
        <v>2</v>
      </c>
      <c r="Q731">
        <v>1</v>
      </c>
      <c r="R731">
        <v>0.3</v>
      </c>
      <c r="S731">
        <v>0.6</v>
      </c>
      <c r="T731">
        <v>0.3</v>
      </c>
      <c r="U731" t="s">
        <v>805</v>
      </c>
      <c r="V731" t="s">
        <v>806</v>
      </c>
      <c r="W731" t="s">
        <v>532</v>
      </c>
      <c r="X731">
        <v>2</v>
      </c>
      <c r="Y731" t="s">
        <v>455</v>
      </c>
      <c r="AA731">
        <v>31.3</v>
      </c>
      <c r="AB731">
        <v>18.78</v>
      </c>
      <c r="AC731">
        <v>9.39</v>
      </c>
    </row>
    <row r="732" spans="2:29" ht="15" customHeight="1" x14ac:dyDescent="0.15">
      <c r="B732">
        <v>4</v>
      </c>
      <c r="C732" t="s">
        <v>386</v>
      </c>
      <c r="D732" t="s">
        <v>1778</v>
      </c>
      <c r="E732">
        <v>4</v>
      </c>
      <c r="F732" t="s">
        <v>219</v>
      </c>
      <c r="G732" t="s">
        <v>244</v>
      </c>
      <c r="H732" t="s">
        <v>591</v>
      </c>
      <c r="I732">
        <v>35</v>
      </c>
      <c r="J732" s="21">
        <v>45895</v>
      </c>
      <c r="K732" s="21">
        <v>45895</v>
      </c>
      <c r="L732" t="s">
        <v>1782</v>
      </c>
      <c r="M732" t="s">
        <v>593</v>
      </c>
      <c r="O732" t="s">
        <v>220</v>
      </c>
      <c r="P732">
        <v>2</v>
      </c>
      <c r="Q732">
        <v>1</v>
      </c>
      <c r="R732">
        <v>2</v>
      </c>
      <c r="S732">
        <v>4</v>
      </c>
      <c r="T732">
        <v>2</v>
      </c>
      <c r="U732" t="s">
        <v>805</v>
      </c>
      <c r="V732" t="s">
        <v>806</v>
      </c>
      <c r="W732" t="s">
        <v>532</v>
      </c>
      <c r="X732">
        <v>2</v>
      </c>
      <c r="Y732" t="s">
        <v>455</v>
      </c>
      <c r="AA732">
        <v>37.58</v>
      </c>
      <c r="AB732">
        <v>150.30000000000001</v>
      </c>
      <c r="AC732">
        <v>75.150000000000006</v>
      </c>
    </row>
    <row r="733" spans="2:29" ht="15" customHeight="1" x14ac:dyDescent="0.15">
      <c r="B733">
        <v>4</v>
      </c>
      <c r="C733" t="s">
        <v>386</v>
      </c>
      <c r="D733" t="s">
        <v>1783</v>
      </c>
      <c r="E733">
        <v>1</v>
      </c>
      <c r="F733" t="s">
        <v>219</v>
      </c>
      <c r="G733" t="s">
        <v>218</v>
      </c>
      <c r="H733" t="s">
        <v>1175</v>
      </c>
      <c r="I733">
        <v>35</v>
      </c>
      <c r="J733" s="21">
        <v>45895</v>
      </c>
      <c r="K733" s="21">
        <v>45895</v>
      </c>
      <c r="L733" t="s">
        <v>1784</v>
      </c>
      <c r="M733" t="s">
        <v>1177</v>
      </c>
      <c r="O733" t="s">
        <v>220</v>
      </c>
      <c r="P733">
        <v>1</v>
      </c>
      <c r="Q733">
        <v>1</v>
      </c>
      <c r="R733">
        <v>1</v>
      </c>
      <c r="S733">
        <v>1</v>
      </c>
      <c r="T733">
        <v>1</v>
      </c>
      <c r="U733" t="s">
        <v>391</v>
      </c>
      <c r="V733" t="s">
        <v>392</v>
      </c>
      <c r="W733" t="s">
        <v>392</v>
      </c>
      <c r="X733">
        <v>1</v>
      </c>
      <c r="Y733" t="s">
        <v>883</v>
      </c>
      <c r="AA733">
        <v>177</v>
      </c>
      <c r="AB733">
        <v>177</v>
      </c>
      <c r="AC733">
        <v>177</v>
      </c>
    </row>
    <row r="734" spans="2:29" ht="15" customHeight="1" x14ac:dyDescent="0.15">
      <c r="B734">
        <v>4</v>
      </c>
      <c r="C734" t="s">
        <v>386</v>
      </c>
      <c r="D734" t="s">
        <v>1785</v>
      </c>
      <c r="E734">
        <v>1</v>
      </c>
      <c r="F734" t="s">
        <v>219</v>
      </c>
      <c r="G734" t="s">
        <v>239</v>
      </c>
      <c r="H734" t="s">
        <v>471</v>
      </c>
      <c r="I734">
        <v>35</v>
      </c>
      <c r="J734" s="21">
        <v>45895</v>
      </c>
      <c r="K734" s="21">
        <v>45895</v>
      </c>
      <c r="L734" t="s">
        <v>1786</v>
      </c>
      <c r="M734" t="s">
        <v>1787</v>
      </c>
      <c r="O734" t="s">
        <v>226</v>
      </c>
      <c r="P734">
        <v>2</v>
      </c>
      <c r="Q734">
        <v>2</v>
      </c>
      <c r="R734">
        <v>0.33300000000000002</v>
      </c>
      <c r="S734">
        <v>0.66600000000000004</v>
      </c>
      <c r="T734">
        <v>0.67</v>
      </c>
      <c r="U734" t="s">
        <v>391</v>
      </c>
      <c r="V734" t="s">
        <v>392</v>
      </c>
      <c r="W734" t="s">
        <v>392</v>
      </c>
      <c r="X734">
        <v>1</v>
      </c>
      <c r="Y734" t="s">
        <v>1181</v>
      </c>
      <c r="AA734">
        <v>675</v>
      </c>
      <c r="AB734">
        <v>449.55</v>
      </c>
      <c r="AC734">
        <v>449.55</v>
      </c>
    </row>
    <row r="735" spans="2:29" ht="15" customHeight="1" x14ac:dyDescent="0.15">
      <c r="B735">
        <v>4</v>
      </c>
      <c r="C735" t="s">
        <v>386</v>
      </c>
      <c r="D735" t="s">
        <v>1788</v>
      </c>
      <c r="E735">
        <v>1</v>
      </c>
      <c r="F735" t="s">
        <v>416</v>
      </c>
      <c r="G735" t="s">
        <v>1036</v>
      </c>
      <c r="H735" t="s">
        <v>562</v>
      </c>
      <c r="I735">
        <v>35</v>
      </c>
      <c r="J735" s="21">
        <v>45895</v>
      </c>
      <c r="K735" s="21">
        <v>45895</v>
      </c>
      <c r="L735" t="s">
        <v>1789</v>
      </c>
      <c r="M735" t="s">
        <v>1038</v>
      </c>
      <c r="O735" t="s">
        <v>226</v>
      </c>
      <c r="P735">
        <v>1</v>
      </c>
      <c r="Q735">
        <v>1</v>
      </c>
      <c r="R735">
        <v>52.3</v>
      </c>
      <c r="S735">
        <v>52.3</v>
      </c>
      <c r="T735">
        <v>52.3</v>
      </c>
      <c r="U735" t="s">
        <v>391</v>
      </c>
      <c r="V735" t="s">
        <v>392</v>
      </c>
      <c r="W735" t="s">
        <v>392</v>
      </c>
      <c r="X735">
        <v>1</v>
      </c>
      <c r="Y735" t="s">
        <v>1477</v>
      </c>
      <c r="AA735">
        <v>6.7</v>
      </c>
      <c r="AB735">
        <v>350.41</v>
      </c>
      <c r="AC735">
        <v>350.41</v>
      </c>
    </row>
    <row r="736" spans="2:29" ht="15" customHeight="1" x14ac:dyDescent="0.15">
      <c r="B736">
        <v>4</v>
      </c>
      <c r="C736" t="s">
        <v>386</v>
      </c>
      <c r="D736" t="s">
        <v>1790</v>
      </c>
      <c r="E736">
        <v>1</v>
      </c>
      <c r="F736" t="s">
        <v>416</v>
      </c>
      <c r="G736" t="s">
        <v>1036</v>
      </c>
      <c r="H736" t="s">
        <v>562</v>
      </c>
      <c r="I736">
        <v>35</v>
      </c>
      <c r="J736" s="21">
        <v>45895</v>
      </c>
      <c r="K736" s="21">
        <v>45895</v>
      </c>
      <c r="L736" t="s">
        <v>1791</v>
      </c>
      <c r="M736" t="s">
        <v>1038</v>
      </c>
      <c r="O736" t="s">
        <v>226</v>
      </c>
      <c r="P736">
        <v>1</v>
      </c>
      <c r="Q736">
        <v>1</v>
      </c>
      <c r="R736">
        <v>83</v>
      </c>
      <c r="S736">
        <v>83</v>
      </c>
      <c r="T736">
        <v>83</v>
      </c>
      <c r="U736" t="s">
        <v>391</v>
      </c>
      <c r="V736" t="s">
        <v>392</v>
      </c>
      <c r="W736" t="s">
        <v>392</v>
      </c>
      <c r="X736">
        <v>1</v>
      </c>
      <c r="Y736" t="s">
        <v>893</v>
      </c>
      <c r="AA736">
        <v>6.7</v>
      </c>
      <c r="AB736">
        <v>556.1</v>
      </c>
      <c r="AC736">
        <v>556.1</v>
      </c>
    </row>
    <row r="737" spans="2:29" ht="15" customHeight="1" x14ac:dyDescent="0.15">
      <c r="B737">
        <v>4</v>
      </c>
      <c r="C737" t="s">
        <v>386</v>
      </c>
      <c r="D737" t="s">
        <v>1792</v>
      </c>
      <c r="E737">
        <v>1</v>
      </c>
      <c r="I737">
        <v>35</v>
      </c>
      <c r="J737" s="21">
        <v>45895</v>
      </c>
      <c r="K737" s="21">
        <v>45895</v>
      </c>
      <c r="L737" t="s">
        <v>1793</v>
      </c>
      <c r="M737" t="s">
        <v>1794</v>
      </c>
      <c r="O737" t="s">
        <v>226</v>
      </c>
      <c r="P737">
        <v>1</v>
      </c>
      <c r="R737">
        <v>50</v>
      </c>
      <c r="S737">
        <v>25</v>
      </c>
      <c r="U737" t="s">
        <v>1330</v>
      </c>
      <c r="V737" t="s">
        <v>1330</v>
      </c>
      <c r="W737" t="s">
        <v>496</v>
      </c>
      <c r="Y737" t="s">
        <v>1147</v>
      </c>
      <c r="AC737">
        <v>0</v>
      </c>
    </row>
    <row r="738" spans="2:29" ht="15" customHeight="1" x14ac:dyDescent="0.15">
      <c r="B738">
        <v>4</v>
      </c>
      <c r="C738" t="s">
        <v>386</v>
      </c>
      <c r="D738" t="s">
        <v>1795</v>
      </c>
      <c r="E738">
        <v>1</v>
      </c>
      <c r="F738" t="s">
        <v>219</v>
      </c>
      <c r="G738" t="s">
        <v>231</v>
      </c>
      <c r="H738" t="s">
        <v>433</v>
      </c>
      <c r="I738">
        <v>35</v>
      </c>
      <c r="J738" s="21">
        <v>45896</v>
      </c>
      <c r="K738" s="21">
        <v>45896</v>
      </c>
      <c r="L738" t="s">
        <v>1796</v>
      </c>
      <c r="M738" t="s">
        <v>1030</v>
      </c>
      <c r="O738" t="s">
        <v>220</v>
      </c>
      <c r="P738">
        <v>2</v>
      </c>
      <c r="Q738">
        <v>1</v>
      </c>
      <c r="R738">
        <v>0.12</v>
      </c>
      <c r="S738">
        <v>0.24</v>
      </c>
      <c r="T738">
        <v>0.12</v>
      </c>
      <c r="U738" t="s">
        <v>1056</v>
      </c>
      <c r="V738" t="s">
        <v>1057</v>
      </c>
      <c r="W738" t="s">
        <v>532</v>
      </c>
      <c r="X738">
        <v>2</v>
      </c>
      <c r="Y738" t="s">
        <v>455</v>
      </c>
      <c r="AA738">
        <v>21.83</v>
      </c>
      <c r="AB738">
        <v>5.24</v>
      </c>
      <c r="AC738">
        <v>2.62</v>
      </c>
    </row>
    <row r="739" spans="2:29" ht="15" customHeight="1" x14ac:dyDescent="0.15">
      <c r="B739">
        <v>4</v>
      </c>
      <c r="C739" t="s">
        <v>386</v>
      </c>
      <c r="D739" t="s">
        <v>1795</v>
      </c>
      <c r="E739">
        <v>2</v>
      </c>
      <c r="F739" t="s">
        <v>219</v>
      </c>
      <c r="G739" t="s">
        <v>244</v>
      </c>
      <c r="H739" t="s">
        <v>591</v>
      </c>
      <c r="I739">
        <v>35</v>
      </c>
      <c r="J739" s="21">
        <v>45896</v>
      </c>
      <c r="K739" s="21">
        <v>45896</v>
      </c>
      <c r="L739" t="s">
        <v>1797</v>
      </c>
      <c r="M739" t="s">
        <v>593</v>
      </c>
      <c r="O739" t="s">
        <v>220</v>
      </c>
      <c r="P739">
        <v>2</v>
      </c>
      <c r="Q739">
        <v>1</v>
      </c>
      <c r="R739">
        <v>1.5</v>
      </c>
      <c r="S739">
        <v>3</v>
      </c>
      <c r="T739">
        <v>1.5</v>
      </c>
      <c r="U739" t="s">
        <v>1056</v>
      </c>
      <c r="V739" t="s">
        <v>1057</v>
      </c>
      <c r="W739" t="s">
        <v>532</v>
      </c>
      <c r="X739">
        <v>2</v>
      </c>
      <c r="Y739" t="s">
        <v>455</v>
      </c>
      <c r="AA739">
        <v>37.58</v>
      </c>
      <c r="AB739">
        <v>112.73</v>
      </c>
      <c r="AC739">
        <v>56.36</v>
      </c>
    </row>
    <row r="740" spans="2:29" ht="15" customHeight="1" x14ac:dyDescent="0.15">
      <c r="B740">
        <v>4</v>
      </c>
      <c r="C740" t="s">
        <v>386</v>
      </c>
      <c r="D740" t="s">
        <v>1795</v>
      </c>
      <c r="E740">
        <v>3</v>
      </c>
      <c r="F740" t="s">
        <v>219</v>
      </c>
      <c r="G740" t="s">
        <v>239</v>
      </c>
      <c r="H740" t="s">
        <v>517</v>
      </c>
      <c r="I740">
        <v>35</v>
      </c>
      <c r="J740" s="21">
        <v>45896</v>
      </c>
      <c r="K740" s="21">
        <v>45896</v>
      </c>
      <c r="L740" t="s">
        <v>1798</v>
      </c>
      <c r="M740" t="s">
        <v>614</v>
      </c>
      <c r="O740" t="s">
        <v>226</v>
      </c>
      <c r="P740">
        <v>2</v>
      </c>
      <c r="Q740">
        <v>1</v>
      </c>
      <c r="R740">
        <v>0.5</v>
      </c>
      <c r="S740">
        <v>1</v>
      </c>
      <c r="T740">
        <v>0.5</v>
      </c>
      <c r="U740" t="s">
        <v>1056</v>
      </c>
      <c r="V740" t="s">
        <v>1057</v>
      </c>
      <c r="W740" t="s">
        <v>532</v>
      </c>
      <c r="X740">
        <v>2</v>
      </c>
      <c r="Y740" t="s">
        <v>455</v>
      </c>
      <c r="AA740">
        <v>65</v>
      </c>
      <c r="AB740">
        <v>65</v>
      </c>
      <c r="AC740">
        <v>32.5</v>
      </c>
    </row>
    <row r="741" spans="2:29" ht="15" customHeight="1" x14ac:dyDescent="0.15">
      <c r="B741">
        <v>4</v>
      </c>
      <c r="C741" t="s">
        <v>386</v>
      </c>
      <c r="D741" t="s">
        <v>1795</v>
      </c>
      <c r="E741">
        <v>4</v>
      </c>
      <c r="F741" t="s">
        <v>219</v>
      </c>
      <c r="G741" t="s">
        <v>218</v>
      </c>
      <c r="H741" t="s">
        <v>908</v>
      </c>
      <c r="I741">
        <v>35</v>
      </c>
      <c r="J741" s="21">
        <v>45896</v>
      </c>
      <c r="K741" s="21">
        <v>45896</v>
      </c>
      <c r="L741" t="s">
        <v>1799</v>
      </c>
      <c r="M741" t="s">
        <v>1027</v>
      </c>
      <c r="O741" t="s">
        <v>220</v>
      </c>
      <c r="P741">
        <v>2</v>
      </c>
      <c r="Q741">
        <v>1</v>
      </c>
      <c r="R741">
        <v>0.3</v>
      </c>
      <c r="S741">
        <v>0.6</v>
      </c>
      <c r="T741">
        <v>0.3</v>
      </c>
      <c r="U741" t="s">
        <v>1056</v>
      </c>
      <c r="V741" t="s">
        <v>1057</v>
      </c>
      <c r="W741" t="s">
        <v>532</v>
      </c>
      <c r="X741">
        <v>2</v>
      </c>
      <c r="Y741" t="s">
        <v>455</v>
      </c>
      <c r="AA741">
        <v>31.3</v>
      </c>
      <c r="AB741">
        <v>18.78</v>
      </c>
      <c r="AC741">
        <v>9.39</v>
      </c>
    </row>
    <row r="742" spans="2:29" ht="15" customHeight="1" x14ac:dyDescent="0.15">
      <c r="B742">
        <v>4</v>
      </c>
      <c r="C742" t="s">
        <v>386</v>
      </c>
      <c r="D742" t="s">
        <v>1795</v>
      </c>
      <c r="E742">
        <v>5</v>
      </c>
      <c r="F742" t="s">
        <v>219</v>
      </c>
      <c r="G742" t="s">
        <v>244</v>
      </c>
      <c r="H742" t="s">
        <v>1605</v>
      </c>
      <c r="I742">
        <v>35</v>
      </c>
      <c r="J742" s="21">
        <v>45896</v>
      </c>
      <c r="K742" s="21">
        <v>45896</v>
      </c>
      <c r="L742" t="s">
        <v>1800</v>
      </c>
      <c r="M742" t="s">
        <v>295</v>
      </c>
      <c r="O742" t="s">
        <v>220</v>
      </c>
      <c r="P742">
        <v>2</v>
      </c>
      <c r="Q742">
        <v>1</v>
      </c>
      <c r="R742">
        <v>0.5</v>
      </c>
      <c r="S742">
        <v>1</v>
      </c>
      <c r="T742">
        <v>0.5</v>
      </c>
      <c r="U742" t="s">
        <v>1056</v>
      </c>
      <c r="V742" t="s">
        <v>1057</v>
      </c>
      <c r="W742" t="s">
        <v>532</v>
      </c>
      <c r="X742">
        <v>2</v>
      </c>
      <c r="Y742" t="s">
        <v>455</v>
      </c>
      <c r="AA742">
        <v>77.31</v>
      </c>
      <c r="AB742">
        <v>77.31</v>
      </c>
      <c r="AC742">
        <v>38.659999999999997</v>
      </c>
    </row>
    <row r="743" spans="2:29" ht="15" customHeight="1" x14ac:dyDescent="0.15">
      <c r="B743">
        <v>4</v>
      </c>
      <c r="C743" t="s">
        <v>386</v>
      </c>
      <c r="D743" t="s">
        <v>1801</v>
      </c>
      <c r="E743">
        <v>1</v>
      </c>
      <c r="F743" t="s">
        <v>219</v>
      </c>
      <c r="G743" t="s">
        <v>231</v>
      </c>
      <c r="H743" t="s">
        <v>433</v>
      </c>
      <c r="I743">
        <v>35</v>
      </c>
      <c r="J743" s="21">
        <v>45896</v>
      </c>
      <c r="K743" s="21">
        <v>45896</v>
      </c>
      <c r="L743" t="s">
        <v>1802</v>
      </c>
      <c r="M743" t="s">
        <v>1030</v>
      </c>
      <c r="O743" t="s">
        <v>220</v>
      </c>
      <c r="P743">
        <v>3</v>
      </c>
      <c r="Q743">
        <v>3</v>
      </c>
      <c r="R743">
        <v>0.15</v>
      </c>
      <c r="S743">
        <v>0.45</v>
      </c>
      <c r="T743">
        <v>0.45</v>
      </c>
      <c r="U743" t="s">
        <v>391</v>
      </c>
      <c r="V743" t="s">
        <v>392</v>
      </c>
      <c r="W743" t="s">
        <v>392</v>
      </c>
      <c r="X743">
        <v>1</v>
      </c>
      <c r="Y743" t="s">
        <v>1477</v>
      </c>
      <c r="AA743">
        <v>21.83</v>
      </c>
      <c r="AB743">
        <v>9.82</v>
      </c>
      <c r="AC743">
        <v>9.82</v>
      </c>
    </row>
    <row r="744" spans="2:29" ht="15" customHeight="1" x14ac:dyDescent="0.15">
      <c r="B744">
        <v>4</v>
      </c>
      <c r="C744" t="s">
        <v>386</v>
      </c>
      <c r="D744" t="s">
        <v>1801</v>
      </c>
      <c r="E744">
        <v>2</v>
      </c>
      <c r="F744" t="s">
        <v>219</v>
      </c>
      <c r="G744" t="s">
        <v>218</v>
      </c>
      <c r="H744" t="s">
        <v>397</v>
      </c>
      <c r="I744">
        <v>35</v>
      </c>
      <c r="J744" s="21">
        <v>45896</v>
      </c>
      <c r="K744" s="21">
        <v>45896</v>
      </c>
      <c r="L744" t="s">
        <v>1803</v>
      </c>
      <c r="M744" t="s">
        <v>454</v>
      </c>
      <c r="O744" t="s">
        <v>220</v>
      </c>
      <c r="P744">
        <v>3</v>
      </c>
      <c r="Q744">
        <v>3</v>
      </c>
      <c r="R744">
        <v>0.15</v>
      </c>
      <c r="S744">
        <v>0.45</v>
      </c>
      <c r="T744">
        <v>0.45</v>
      </c>
      <c r="U744" t="s">
        <v>391</v>
      </c>
      <c r="V744" t="s">
        <v>392</v>
      </c>
      <c r="W744" t="s">
        <v>392</v>
      </c>
      <c r="X744">
        <v>1</v>
      </c>
      <c r="Y744" t="s">
        <v>1477</v>
      </c>
      <c r="AA744">
        <v>686.05</v>
      </c>
      <c r="AB744">
        <v>308.72000000000003</v>
      </c>
      <c r="AC744">
        <v>308.72000000000003</v>
      </c>
    </row>
    <row r="745" spans="2:29" ht="15" customHeight="1" x14ac:dyDescent="0.15">
      <c r="B745">
        <v>4</v>
      </c>
      <c r="C745" t="s">
        <v>386</v>
      </c>
      <c r="D745" t="s">
        <v>1801</v>
      </c>
      <c r="E745">
        <v>3</v>
      </c>
      <c r="F745" t="s">
        <v>219</v>
      </c>
      <c r="G745" t="s">
        <v>218</v>
      </c>
      <c r="H745" t="s">
        <v>864</v>
      </c>
      <c r="I745">
        <v>35</v>
      </c>
      <c r="J745" s="21">
        <v>45896</v>
      </c>
      <c r="K745" s="21">
        <v>45896</v>
      </c>
      <c r="L745" t="s">
        <v>1804</v>
      </c>
      <c r="M745" t="s">
        <v>866</v>
      </c>
      <c r="O745" t="s">
        <v>226</v>
      </c>
      <c r="P745">
        <v>3</v>
      </c>
      <c r="Q745">
        <v>3</v>
      </c>
      <c r="R745">
        <v>0.2</v>
      </c>
      <c r="S745">
        <v>0.6</v>
      </c>
      <c r="T745">
        <v>0.6</v>
      </c>
      <c r="U745" t="s">
        <v>391</v>
      </c>
      <c r="V745" t="s">
        <v>392</v>
      </c>
      <c r="W745" t="s">
        <v>392</v>
      </c>
      <c r="X745">
        <v>1</v>
      </c>
      <c r="Y745" t="s">
        <v>1477</v>
      </c>
      <c r="AA745">
        <v>70.3</v>
      </c>
      <c r="AB745">
        <v>42.18</v>
      </c>
      <c r="AC745">
        <v>42.18</v>
      </c>
    </row>
    <row r="746" spans="2:29" ht="15" customHeight="1" x14ac:dyDescent="0.15">
      <c r="B746">
        <v>4</v>
      </c>
      <c r="C746" t="s">
        <v>386</v>
      </c>
      <c r="D746" t="s">
        <v>1801</v>
      </c>
      <c r="E746">
        <v>4</v>
      </c>
      <c r="F746" t="s">
        <v>219</v>
      </c>
      <c r="G746" t="s">
        <v>239</v>
      </c>
      <c r="H746" t="s">
        <v>520</v>
      </c>
      <c r="I746">
        <v>35</v>
      </c>
      <c r="J746" s="21">
        <v>45896</v>
      </c>
      <c r="K746" s="21">
        <v>45896</v>
      </c>
      <c r="L746" t="s">
        <v>1805</v>
      </c>
      <c r="M746" t="s">
        <v>1340</v>
      </c>
      <c r="O746" t="s">
        <v>226</v>
      </c>
      <c r="P746">
        <v>3</v>
      </c>
      <c r="Q746">
        <v>3</v>
      </c>
      <c r="R746">
        <v>0.5</v>
      </c>
      <c r="S746">
        <v>1.5</v>
      </c>
      <c r="T746">
        <v>1.5</v>
      </c>
      <c r="U746" t="s">
        <v>391</v>
      </c>
      <c r="V746" t="s">
        <v>392</v>
      </c>
      <c r="W746" t="s">
        <v>392</v>
      </c>
      <c r="X746">
        <v>1</v>
      </c>
      <c r="Y746" t="s">
        <v>1477</v>
      </c>
      <c r="AA746">
        <v>66.92</v>
      </c>
      <c r="AB746">
        <v>100.38</v>
      </c>
      <c r="AC746">
        <v>100.38</v>
      </c>
    </row>
    <row r="747" spans="2:29" ht="15" customHeight="1" x14ac:dyDescent="0.15">
      <c r="B747">
        <v>4</v>
      </c>
      <c r="C747" t="s">
        <v>386</v>
      </c>
      <c r="D747" t="s">
        <v>1801</v>
      </c>
      <c r="E747">
        <v>5</v>
      </c>
      <c r="F747" t="s">
        <v>219</v>
      </c>
      <c r="G747" t="s">
        <v>239</v>
      </c>
      <c r="H747" t="s">
        <v>1806</v>
      </c>
      <c r="I747">
        <v>35</v>
      </c>
      <c r="J747" s="21">
        <v>45896</v>
      </c>
      <c r="K747" s="21">
        <v>45896</v>
      </c>
      <c r="L747" t="s">
        <v>1807</v>
      </c>
      <c r="M747" t="s">
        <v>1808</v>
      </c>
      <c r="O747" t="s">
        <v>226</v>
      </c>
      <c r="P747">
        <v>3</v>
      </c>
      <c r="Q747">
        <v>3</v>
      </c>
      <c r="R747">
        <v>0.35</v>
      </c>
      <c r="S747">
        <v>1.05</v>
      </c>
      <c r="T747">
        <v>1.05</v>
      </c>
      <c r="U747" t="s">
        <v>391</v>
      </c>
      <c r="V747" t="s">
        <v>392</v>
      </c>
      <c r="W747" t="s">
        <v>392</v>
      </c>
      <c r="X747">
        <v>1</v>
      </c>
      <c r="Y747" t="s">
        <v>1477</v>
      </c>
      <c r="AA747">
        <v>0</v>
      </c>
      <c r="AB747">
        <v>0</v>
      </c>
      <c r="AC747">
        <v>0</v>
      </c>
    </row>
    <row r="748" spans="2:29" ht="15" customHeight="1" x14ac:dyDescent="0.15">
      <c r="B748">
        <v>4</v>
      </c>
      <c r="C748" t="s">
        <v>386</v>
      </c>
      <c r="D748" t="s">
        <v>1801</v>
      </c>
      <c r="E748">
        <v>6</v>
      </c>
      <c r="F748" t="s">
        <v>219</v>
      </c>
      <c r="G748" t="s">
        <v>244</v>
      </c>
      <c r="H748" t="s">
        <v>1513</v>
      </c>
      <c r="I748">
        <v>35</v>
      </c>
      <c r="J748" s="21">
        <v>45896</v>
      </c>
      <c r="K748" s="21">
        <v>45896</v>
      </c>
      <c r="L748" t="s">
        <v>1809</v>
      </c>
      <c r="M748" t="s">
        <v>1515</v>
      </c>
      <c r="O748" t="s">
        <v>226</v>
      </c>
      <c r="P748">
        <v>3</v>
      </c>
      <c r="Q748">
        <v>3</v>
      </c>
      <c r="R748">
        <v>0.5</v>
      </c>
      <c r="S748">
        <v>1.5</v>
      </c>
      <c r="T748">
        <v>1.5</v>
      </c>
      <c r="U748" t="s">
        <v>391</v>
      </c>
      <c r="V748" t="s">
        <v>392</v>
      </c>
      <c r="W748" t="s">
        <v>392</v>
      </c>
      <c r="X748">
        <v>1</v>
      </c>
      <c r="Y748" t="s">
        <v>1477</v>
      </c>
      <c r="AA748">
        <v>75.19</v>
      </c>
      <c r="AB748">
        <v>112.79</v>
      </c>
      <c r="AC748">
        <v>112.79</v>
      </c>
    </row>
    <row r="749" spans="2:29" ht="15" customHeight="1" x14ac:dyDescent="0.15">
      <c r="B749">
        <v>4</v>
      </c>
      <c r="C749" t="s">
        <v>386</v>
      </c>
      <c r="D749" t="s">
        <v>1810</v>
      </c>
      <c r="E749">
        <v>1</v>
      </c>
      <c r="F749" t="s">
        <v>219</v>
      </c>
      <c r="G749" t="s">
        <v>231</v>
      </c>
      <c r="H749" t="s">
        <v>433</v>
      </c>
      <c r="I749">
        <v>35</v>
      </c>
      <c r="J749" s="21">
        <v>45897</v>
      </c>
      <c r="K749" s="21">
        <v>45897</v>
      </c>
      <c r="L749" t="s">
        <v>1811</v>
      </c>
      <c r="M749" t="s">
        <v>1030</v>
      </c>
      <c r="O749" t="s">
        <v>220</v>
      </c>
      <c r="P749">
        <v>0</v>
      </c>
      <c r="R749">
        <v>0.12</v>
      </c>
      <c r="S749">
        <v>1.2E-2</v>
      </c>
      <c r="U749" t="s">
        <v>982</v>
      </c>
      <c r="V749" t="s">
        <v>982</v>
      </c>
      <c r="W749" t="s">
        <v>496</v>
      </c>
      <c r="Y749" t="s">
        <v>455</v>
      </c>
      <c r="AA749">
        <v>21.83</v>
      </c>
      <c r="AB749">
        <v>0.26</v>
      </c>
      <c r="AC749">
        <v>0</v>
      </c>
    </row>
    <row r="750" spans="2:29" ht="15" customHeight="1" x14ac:dyDescent="0.15">
      <c r="B750">
        <v>4</v>
      </c>
      <c r="C750" t="s">
        <v>386</v>
      </c>
      <c r="D750" t="s">
        <v>1810</v>
      </c>
      <c r="E750">
        <v>2</v>
      </c>
      <c r="F750" t="s">
        <v>219</v>
      </c>
      <c r="G750" t="s">
        <v>218</v>
      </c>
      <c r="H750" t="s">
        <v>1422</v>
      </c>
      <c r="I750">
        <v>35</v>
      </c>
      <c r="J750" s="21">
        <v>45897</v>
      </c>
      <c r="K750" s="21">
        <v>45897</v>
      </c>
      <c r="L750" t="s">
        <v>1812</v>
      </c>
      <c r="M750" t="s">
        <v>1424</v>
      </c>
      <c r="O750" t="s">
        <v>220</v>
      </c>
      <c r="P750">
        <v>0</v>
      </c>
      <c r="R750">
        <v>0.15</v>
      </c>
      <c r="S750">
        <v>1.4999999999999999E-2</v>
      </c>
      <c r="U750" t="s">
        <v>982</v>
      </c>
      <c r="V750" t="s">
        <v>982</v>
      </c>
      <c r="W750" t="s">
        <v>496</v>
      </c>
      <c r="Y750" t="s">
        <v>455</v>
      </c>
      <c r="AA750">
        <v>489.99</v>
      </c>
      <c r="AB750">
        <v>7.35</v>
      </c>
      <c r="AC750">
        <v>0</v>
      </c>
    </row>
    <row r="751" spans="2:29" ht="15" customHeight="1" x14ac:dyDescent="0.15">
      <c r="B751">
        <v>4</v>
      </c>
      <c r="C751" t="s">
        <v>386</v>
      </c>
      <c r="D751" t="s">
        <v>1810</v>
      </c>
      <c r="E751">
        <v>3</v>
      </c>
      <c r="F751" t="s">
        <v>219</v>
      </c>
      <c r="G751" t="s">
        <v>218</v>
      </c>
      <c r="H751" t="s">
        <v>397</v>
      </c>
      <c r="I751">
        <v>35</v>
      </c>
      <c r="J751" s="21">
        <v>45897</v>
      </c>
      <c r="K751" s="21">
        <v>45897</v>
      </c>
      <c r="L751" t="s">
        <v>1813</v>
      </c>
      <c r="M751" t="s">
        <v>454</v>
      </c>
      <c r="O751" t="s">
        <v>220</v>
      </c>
      <c r="P751">
        <v>0</v>
      </c>
      <c r="R751">
        <v>0.2</v>
      </c>
      <c r="S751">
        <v>0.02</v>
      </c>
      <c r="U751" t="s">
        <v>982</v>
      </c>
      <c r="V751" t="s">
        <v>982</v>
      </c>
      <c r="W751" t="s">
        <v>496</v>
      </c>
      <c r="Y751" t="s">
        <v>455</v>
      </c>
      <c r="AA751">
        <v>686.05</v>
      </c>
      <c r="AB751">
        <v>13.72</v>
      </c>
      <c r="AC751">
        <v>0</v>
      </c>
    </row>
    <row r="752" spans="2:29" ht="15" customHeight="1" x14ac:dyDescent="0.15">
      <c r="B752">
        <v>4</v>
      </c>
      <c r="C752" t="s">
        <v>386</v>
      </c>
      <c r="D752" t="s">
        <v>1810</v>
      </c>
      <c r="E752">
        <v>4</v>
      </c>
      <c r="F752" t="s">
        <v>219</v>
      </c>
      <c r="G752" t="s">
        <v>218</v>
      </c>
      <c r="H752" t="s">
        <v>864</v>
      </c>
      <c r="I752">
        <v>35</v>
      </c>
      <c r="J752" s="21">
        <v>45897</v>
      </c>
      <c r="K752" s="21">
        <v>45897</v>
      </c>
      <c r="L752" t="s">
        <v>1814</v>
      </c>
      <c r="M752" t="s">
        <v>866</v>
      </c>
      <c r="O752" t="s">
        <v>220</v>
      </c>
      <c r="P752">
        <v>0</v>
      </c>
      <c r="R752">
        <v>0.2</v>
      </c>
      <c r="S752">
        <v>0.02</v>
      </c>
      <c r="U752" t="s">
        <v>982</v>
      </c>
      <c r="V752" t="s">
        <v>982</v>
      </c>
      <c r="W752" t="s">
        <v>496</v>
      </c>
      <c r="Y752" t="s">
        <v>455</v>
      </c>
      <c r="AA752">
        <v>70.3</v>
      </c>
      <c r="AB752">
        <v>1.41</v>
      </c>
      <c r="AC752">
        <v>0</v>
      </c>
    </row>
    <row r="753" spans="2:29" ht="15" customHeight="1" x14ac:dyDescent="0.15">
      <c r="B753">
        <v>4</v>
      </c>
      <c r="C753" t="s">
        <v>386</v>
      </c>
      <c r="D753" t="s">
        <v>1815</v>
      </c>
      <c r="E753">
        <v>1</v>
      </c>
      <c r="F753" t="s">
        <v>219</v>
      </c>
      <c r="G753" t="s">
        <v>231</v>
      </c>
      <c r="H753" t="s">
        <v>433</v>
      </c>
      <c r="I753">
        <v>35</v>
      </c>
      <c r="J753" s="21">
        <v>45897</v>
      </c>
      <c r="K753" s="21">
        <v>45897</v>
      </c>
      <c r="L753" t="s">
        <v>1816</v>
      </c>
      <c r="M753" t="s">
        <v>1030</v>
      </c>
      <c r="O753" t="s">
        <v>220</v>
      </c>
      <c r="P753">
        <v>2</v>
      </c>
      <c r="Q753">
        <v>1</v>
      </c>
      <c r="R753">
        <v>0.12</v>
      </c>
      <c r="S753">
        <v>0.24</v>
      </c>
      <c r="T753">
        <v>0.12</v>
      </c>
      <c r="U753" t="s">
        <v>627</v>
      </c>
      <c r="V753" t="s">
        <v>628</v>
      </c>
      <c r="W753" t="s">
        <v>532</v>
      </c>
      <c r="X753">
        <v>2</v>
      </c>
      <c r="Y753" t="s">
        <v>860</v>
      </c>
      <c r="AA753">
        <v>21.83</v>
      </c>
      <c r="AB753">
        <v>5.24</v>
      </c>
      <c r="AC753">
        <v>2.62</v>
      </c>
    </row>
    <row r="754" spans="2:29" ht="15" customHeight="1" x14ac:dyDescent="0.15">
      <c r="B754">
        <v>4</v>
      </c>
      <c r="C754" t="s">
        <v>386</v>
      </c>
      <c r="D754" t="s">
        <v>1815</v>
      </c>
      <c r="E754">
        <v>2</v>
      </c>
      <c r="F754" t="s">
        <v>219</v>
      </c>
      <c r="G754" t="s">
        <v>218</v>
      </c>
      <c r="H754" t="s">
        <v>908</v>
      </c>
      <c r="I754">
        <v>35</v>
      </c>
      <c r="J754" s="21">
        <v>45897</v>
      </c>
      <c r="K754" s="21">
        <v>45897</v>
      </c>
      <c r="L754" t="s">
        <v>1817</v>
      </c>
      <c r="M754" t="s">
        <v>1027</v>
      </c>
      <c r="O754" t="s">
        <v>220</v>
      </c>
      <c r="P754">
        <v>2</v>
      </c>
      <c r="Q754">
        <v>1</v>
      </c>
      <c r="R754">
        <v>0.3</v>
      </c>
      <c r="S754">
        <v>0.6</v>
      </c>
      <c r="T754">
        <v>0.3</v>
      </c>
      <c r="U754" t="s">
        <v>627</v>
      </c>
      <c r="V754" t="s">
        <v>628</v>
      </c>
      <c r="W754" t="s">
        <v>532</v>
      </c>
      <c r="X754">
        <v>2</v>
      </c>
      <c r="Y754" t="s">
        <v>860</v>
      </c>
      <c r="AA754">
        <v>31.3</v>
      </c>
      <c r="AB754">
        <v>18.78</v>
      </c>
      <c r="AC754">
        <v>9.39</v>
      </c>
    </row>
    <row r="755" spans="2:29" ht="15" customHeight="1" x14ac:dyDescent="0.15">
      <c r="B755">
        <v>4</v>
      </c>
      <c r="C755" t="s">
        <v>386</v>
      </c>
      <c r="D755" t="s">
        <v>1815</v>
      </c>
      <c r="E755">
        <v>3</v>
      </c>
      <c r="F755" t="s">
        <v>219</v>
      </c>
      <c r="G755" t="s">
        <v>218</v>
      </c>
      <c r="H755" t="s">
        <v>864</v>
      </c>
      <c r="I755">
        <v>35</v>
      </c>
      <c r="J755" s="21">
        <v>45897</v>
      </c>
      <c r="K755" s="21">
        <v>45897</v>
      </c>
      <c r="L755" t="s">
        <v>1818</v>
      </c>
      <c r="M755" t="s">
        <v>866</v>
      </c>
      <c r="O755" t="s">
        <v>220</v>
      </c>
      <c r="P755">
        <v>2</v>
      </c>
      <c r="Q755">
        <v>1</v>
      </c>
      <c r="R755">
        <v>0.2</v>
      </c>
      <c r="S755">
        <v>0.4</v>
      </c>
      <c r="T755">
        <v>0.2</v>
      </c>
      <c r="U755" t="s">
        <v>627</v>
      </c>
      <c r="V755" t="s">
        <v>628</v>
      </c>
      <c r="W755" t="s">
        <v>532</v>
      </c>
      <c r="X755">
        <v>2</v>
      </c>
      <c r="Y755" t="s">
        <v>860</v>
      </c>
      <c r="AA755">
        <v>70.3</v>
      </c>
      <c r="AB755">
        <v>28.12</v>
      </c>
      <c r="AC755">
        <v>14.06</v>
      </c>
    </row>
    <row r="756" spans="2:29" ht="15" customHeight="1" x14ac:dyDescent="0.15">
      <c r="B756">
        <v>4</v>
      </c>
      <c r="C756" t="s">
        <v>386</v>
      </c>
      <c r="D756" t="s">
        <v>1815</v>
      </c>
      <c r="E756">
        <v>4</v>
      </c>
      <c r="F756" t="s">
        <v>219</v>
      </c>
      <c r="G756" t="s">
        <v>239</v>
      </c>
      <c r="H756" t="s">
        <v>861</v>
      </c>
      <c r="I756">
        <v>35</v>
      </c>
      <c r="J756" s="21">
        <v>45897</v>
      </c>
      <c r="K756" s="21">
        <v>45897</v>
      </c>
      <c r="L756" t="s">
        <v>1819</v>
      </c>
      <c r="M756" t="s">
        <v>863</v>
      </c>
      <c r="O756" t="s">
        <v>220</v>
      </c>
      <c r="P756">
        <v>2</v>
      </c>
      <c r="Q756">
        <v>1</v>
      </c>
      <c r="R756">
        <v>3</v>
      </c>
      <c r="S756">
        <v>6</v>
      </c>
      <c r="T756">
        <v>3</v>
      </c>
      <c r="U756" t="s">
        <v>627</v>
      </c>
      <c r="V756" t="s">
        <v>628</v>
      </c>
      <c r="W756" t="s">
        <v>532</v>
      </c>
      <c r="X756">
        <v>2</v>
      </c>
      <c r="Y756" t="s">
        <v>860</v>
      </c>
      <c r="AA756">
        <v>29.14</v>
      </c>
      <c r="AB756">
        <v>174.84</v>
      </c>
      <c r="AC756">
        <v>87.42</v>
      </c>
    </row>
    <row r="757" spans="2:29" ht="15" customHeight="1" x14ac:dyDescent="0.15">
      <c r="B757">
        <v>4</v>
      </c>
      <c r="C757" t="s">
        <v>386</v>
      </c>
      <c r="D757" t="s">
        <v>1815</v>
      </c>
      <c r="E757">
        <v>5</v>
      </c>
      <c r="F757" t="s">
        <v>219</v>
      </c>
      <c r="G757" t="s">
        <v>244</v>
      </c>
      <c r="H757" t="s">
        <v>1605</v>
      </c>
      <c r="I757">
        <v>35</v>
      </c>
      <c r="J757" s="21">
        <v>45897</v>
      </c>
      <c r="K757" s="21">
        <v>45897</v>
      </c>
      <c r="L757" t="s">
        <v>1820</v>
      </c>
      <c r="M757" t="s">
        <v>295</v>
      </c>
      <c r="O757" t="s">
        <v>220</v>
      </c>
      <c r="P757">
        <v>2</v>
      </c>
      <c r="Q757">
        <v>1</v>
      </c>
      <c r="R757">
        <v>0.5</v>
      </c>
      <c r="S757">
        <v>1</v>
      </c>
      <c r="T757">
        <v>0.5</v>
      </c>
      <c r="U757" t="s">
        <v>627</v>
      </c>
      <c r="V757" t="s">
        <v>628</v>
      </c>
      <c r="W757" t="s">
        <v>532</v>
      </c>
      <c r="X757">
        <v>2</v>
      </c>
      <c r="Y757" t="s">
        <v>860</v>
      </c>
      <c r="AA757">
        <v>77.31</v>
      </c>
      <c r="AB757">
        <v>77.31</v>
      </c>
      <c r="AC757">
        <v>38.659999999999997</v>
      </c>
    </row>
    <row r="758" spans="2:29" ht="15" customHeight="1" x14ac:dyDescent="0.15">
      <c r="B758">
        <v>4</v>
      </c>
      <c r="C758" t="s">
        <v>386</v>
      </c>
      <c r="D758" t="s">
        <v>1815</v>
      </c>
      <c r="E758">
        <v>6</v>
      </c>
      <c r="F758" t="s">
        <v>219</v>
      </c>
      <c r="G758" t="s">
        <v>218</v>
      </c>
      <c r="H758" t="s">
        <v>1175</v>
      </c>
      <c r="I758">
        <v>35</v>
      </c>
      <c r="J758" s="21">
        <v>45897</v>
      </c>
      <c r="K758" s="21">
        <v>45897</v>
      </c>
      <c r="L758" t="s">
        <v>1821</v>
      </c>
      <c r="M758" t="s">
        <v>1177</v>
      </c>
      <c r="O758" t="s">
        <v>220</v>
      </c>
      <c r="P758">
        <v>2</v>
      </c>
      <c r="Q758">
        <v>1</v>
      </c>
      <c r="R758">
        <v>7.0000000000000007E-2</v>
      </c>
      <c r="S758">
        <v>0.14000000000000001</v>
      </c>
      <c r="T758">
        <v>7.0000000000000007E-2</v>
      </c>
      <c r="U758" t="s">
        <v>627</v>
      </c>
      <c r="V758" t="s">
        <v>628</v>
      </c>
      <c r="W758" t="s">
        <v>532</v>
      </c>
      <c r="X758">
        <v>2</v>
      </c>
      <c r="Y758" t="s">
        <v>860</v>
      </c>
      <c r="AA758">
        <v>177</v>
      </c>
      <c r="AB758">
        <v>24.78</v>
      </c>
      <c r="AC758">
        <v>12.39</v>
      </c>
    </row>
    <row r="759" spans="2:29" ht="15" customHeight="1" x14ac:dyDescent="0.15">
      <c r="B759">
        <v>4</v>
      </c>
      <c r="C759" t="s">
        <v>386</v>
      </c>
      <c r="D759" t="s">
        <v>1822</v>
      </c>
      <c r="E759">
        <v>1</v>
      </c>
      <c r="F759" t="s">
        <v>219</v>
      </c>
      <c r="G759" t="s">
        <v>231</v>
      </c>
      <c r="H759" t="s">
        <v>433</v>
      </c>
      <c r="I759">
        <v>35</v>
      </c>
      <c r="J759" s="21">
        <v>45897</v>
      </c>
      <c r="K759" s="21">
        <v>45897</v>
      </c>
      <c r="L759" t="s">
        <v>1823</v>
      </c>
      <c r="M759" t="s">
        <v>1030</v>
      </c>
      <c r="O759" t="s">
        <v>220</v>
      </c>
      <c r="P759">
        <v>2</v>
      </c>
      <c r="Q759">
        <v>1</v>
      </c>
      <c r="R759">
        <v>0.12</v>
      </c>
      <c r="S759">
        <v>0.20399999999999999</v>
      </c>
      <c r="T759">
        <v>0.12</v>
      </c>
      <c r="U759" t="s">
        <v>1246</v>
      </c>
      <c r="V759" t="s">
        <v>1247</v>
      </c>
      <c r="W759" t="s">
        <v>532</v>
      </c>
      <c r="X759">
        <v>1.7</v>
      </c>
      <c r="Y759" t="s">
        <v>455</v>
      </c>
      <c r="AA759">
        <v>21.83</v>
      </c>
      <c r="AB759">
        <v>4.45</v>
      </c>
      <c r="AC759">
        <v>2.62</v>
      </c>
    </row>
    <row r="760" spans="2:29" ht="15" customHeight="1" x14ac:dyDescent="0.15">
      <c r="B760">
        <v>4</v>
      </c>
      <c r="D760" t="s">
        <v>1822</v>
      </c>
      <c r="E760">
        <v>2</v>
      </c>
      <c r="F760" t="s">
        <v>219</v>
      </c>
      <c r="G760" t="s">
        <v>244</v>
      </c>
      <c r="H760" t="s">
        <v>591</v>
      </c>
      <c r="I760">
        <v>35</v>
      </c>
      <c r="J760" s="21">
        <v>45897</v>
      </c>
      <c r="L760" t="s">
        <v>1824</v>
      </c>
      <c r="M760" t="s">
        <v>593</v>
      </c>
      <c r="O760" t="s">
        <v>220</v>
      </c>
      <c r="P760">
        <v>0</v>
      </c>
      <c r="Q760">
        <v>0</v>
      </c>
      <c r="R760">
        <v>2</v>
      </c>
      <c r="S760">
        <v>0</v>
      </c>
      <c r="T760">
        <v>0</v>
      </c>
      <c r="U760" t="s">
        <v>1246</v>
      </c>
      <c r="V760" t="s">
        <v>1247</v>
      </c>
      <c r="W760" t="s">
        <v>532</v>
      </c>
      <c r="X760">
        <v>1.7</v>
      </c>
      <c r="Y760" t="s">
        <v>455</v>
      </c>
      <c r="AA760">
        <v>37.58</v>
      </c>
      <c r="AB760">
        <v>0</v>
      </c>
      <c r="AC760">
        <v>0</v>
      </c>
    </row>
    <row r="761" spans="2:29" ht="15" customHeight="1" x14ac:dyDescent="0.15">
      <c r="B761">
        <v>4</v>
      </c>
      <c r="C761" t="s">
        <v>386</v>
      </c>
      <c r="D761" t="s">
        <v>1822</v>
      </c>
      <c r="E761">
        <v>3</v>
      </c>
      <c r="F761" t="s">
        <v>219</v>
      </c>
      <c r="G761" t="s">
        <v>244</v>
      </c>
      <c r="H761" t="s">
        <v>1605</v>
      </c>
      <c r="I761">
        <v>35</v>
      </c>
      <c r="J761" s="21">
        <v>45897</v>
      </c>
      <c r="K761" s="21">
        <v>45897</v>
      </c>
      <c r="L761" t="s">
        <v>1825</v>
      </c>
      <c r="M761" t="s">
        <v>295</v>
      </c>
      <c r="O761" t="s">
        <v>220</v>
      </c>
      <c r="P761">
        <v>2</v>
      </c>
      <c r="Q761">
        <v>1</v>
      </c>
      <c r="R761">
        <v>0.5</v>
      </c>
      <c r="S761">
        <v>0.85</v>
      </c>
      <c r="T761">
        <v>0.5</v>
      </c>
      <c r="U761" t="s">
        <v>1246</v>
      </c>
      <c r="V761" t="s">
        <v>1247</v>
      </c>
      <c r="W761" t="s">
        <v>532</v>
      </c>
      <c r="X761">
        <v>1.7</v>
      </c>
      <c r="Y761" t="s">
        <v>455</v>
      </c>
      <c r="AA761">
        <v>77.31</v>
      </c>
      <c r="AB761">
        <v>65.709999999999994</v>
      </c>
      <c r="AC761">
        <v>38.659999999999997</v>
      </c>
    </row>
    <row r="762" spans="2:29" ht="15" customHeight="1" x14ac:dyDescent="0.15">
      <c r="B762">
        <v>4</v>
      </c>
      <c r="C762" t="s">
        <v>386</v>
      </c>
      <c r="D762" t="s">
        <v>1822</v>
      </c>
      <c r="E762">
        <v>4</v>
      </c>
      <c r="F762" t="s">
        <v>219</v>
      </c>
      <c r="G762" t="s">
        <v>218</v>
      </c>
      <c r="H762" t="s">
        <v>908</v>
      </c>
      <c r="I762">
        <v>35</v>
      </c>
      <c r="J762" s="21">
        <v>45897</v>
      </c>
      <c r="K762" s="21">
        <v>45897</v>
      </c>
      <c r="L762" t="s">
        <v>1826</v>
      </c>
      <c r="M762" t="s">
        <v>1027</v>
      </c>
      <c r="O762" t="s">
        <v>220</v>
      </c>
      <c r="P762">
        <v>2</v>
      </c>
      <c r="Q762">
        <v>1</v>
      </c>
      <c r="R762">
        <v>0.3</v>
      </c>
      <c r="S762">
        <v>0.51</v>
      </c>
      <c r="T762">
        <v>0.3</v>
      </c>
      <c r="U762" t="s">
        <v>1246</v>
      </c>
      <c r="V762" t="s">
        <v>1247</v>
      </c>
      <c r="W762" t="s">
        <v>532</v>
      </c>
      <c r="X762">
        <v>1.7</v>
      </c>
      <c r="Y762" t="s">
        <v>455</v>
      </c>
      <c r="AA762">
        <v>31.3</v>
      </c>
      <c r="AB762">
        <v>15.96</v>
      </c>
      <c r="AC762">
        <v>9.39</v>
      </c>
    </row>
    <row r="763" spans="2:29" ht="15" customHeight="1" x14ac:dyDescent="0.15">
      <c r="B763">
        <v>4</v>
      </c>
      <c r="C763" t="s">
        <v>386</v>
      </c>
      <c r="D763" t="s">
        <v>1827</v>
      </c>
      <c r="E763">
        <v>1</v>
      </c>
      <c r="F763" t="s">
        <v>201</v>
      </c>
      <c r="G763" t="s">
        <v>470</v>
      </c>
      <c r="H763" t="s">
        <v>471</v>
      </c>
      <c r="I763">
        <v>35</v>
      </c>
      <c r="J763" s="21">
        <v>45897</v>
      </c>
      <c r="K763" s="21">
        <v>45902</v>
      </c>
      <c r="L763" t="s">
        <v>1828</v>
      </c>
      <c r="M763" t="s">
        <v>473</v>
      </c>
      <c r="O763" t="s">
        <v>226</v>
      </c>
      <c r="P763">
        <v>1</v>
      </c>
      <c r="Q763">
        <v>1</v>
      </c>
      <c r="R763">
        <v>100</v>
      </c>
      <c r="S763">
        <v>100</v>
      </c>
      <c r="T763">
        <v>100</v>
      </c>
      <c r="U763" t="s">
        <v>391</v>
      </c>
      <c r="V763" t="s">
        <v>392</v>
      </c>
      <c r="W763" t="s">
        <v>392</v>
      </c>
      <c r="X763">
        <v>1</v>
      </c>
      <c r="Y763" t="s">
        <v>1477</v>
      </c>
      <c r="AA763">
        <v>2.16</v>
      </c>
      <c r="AB763">
        <v>216</v>
      </c>
      <c r="AC763">
        <v>216</v>
      </c>
    </row>
    <row r="764" spans="2:29" ht="15" customHeight="1" x14ac:dyDescent="0.15">
      <c r="B764">
        <v>4</v>
      </c>
      <c r="C764" t="s">
        <v>386</v>
      </c>
      <c r="D764" t="s">
        <v>1827</v>
      </c>
      <c r="E764">
        <v>2</v>
      </c>
      <c r="F764" t="s">
        <v>201</v>
      </c>
      <c r="G764" t="s">
        <v>200</v>
      </c>
      <c r="H764" t="s">
        <v>475</v>
      </c>
      <c r="I764">
        <v>35</v>
      </c>
      <c r="J764" s="21">
        <v>45897</v>
      </c>
      <c r="K764" s="21">
        <v>45902</v>
      </c>
      <c r="L764" t="s">
        <v>1829</v>
      </c>
      <c r="M764" t="s">
        <v>631</v>
      </c>
      <c r="O764" t="s">
        <v>226</v>
      </c>
      <c r="P764">
        <v>1</v>
      </c>
      <c r="Q764">
        <v>1</v>
      </c>
      <c r="R764">
        <v>150</v>
      </c>
      <c r="S764">
        <v>150</v>
      </c>
      <c r="T764">
        <v>150</v>
      </c>
      <c r="U764" t="s">
        <v>391</v>
      </c>
      <c r="V764" t="s">
        <v>392</v>
      </c>
      <c r="W764" t="s">
        <v>392</v>
      </c>
      <c r="X764">
        <v>1</v>
      </c>
      <c r="Y764" t="s">
        <v>1477</v>
      </c>
      <c r="AA764">
        <v>3.53</v>
      </c>
      <c r="AB764">
        <v>529.5</v>
      </c>
      <c r="AC764">
        <v>529.5</v>
      </c>
    </row>
    <row r="765" spans="2:29" ht="15" customHeight="1" x14ac:dyDescent="0.15">
      <c r="B765">
        <v>4</v>
      </c>
      <c r="C765" t="s">
        <v>386</v>
      </c>
      <c r="D765" t="s">
        <v>1827</v>
      </c>
      <c r="E765">
        <v>3</v>
      </c>
      <c r="F765" t="s">
        <v>201</v>
      </c>
      <c r="G765" t="s">
        <v>200</v>
      </c>
      <c r="H765" t="s">
        <v>647</v>
      </c>
      <c r="I765">
        <v>35</v>
      </c>
      <c r="J765" s="21">
        <v>45897</v>
      </c>
      <c r="K765" s="21">
        <v>45902</v>
      </c>
      <c r="L765" t="s">
        <v>1830</v>
      </c>
      <c r="M765" t="s">
        <v>647</v>
      </c>
      <c r="O765" t="s">
        <v>226</v>
      </c>
      <c r="P765">
        <v>1</v>
      </c>
      <c r="Q765">
        <v>1</v>
      </c>
      <c r="R765">
        <v>70</v>
      </c>
      <c r="S765">
        <v>70</v>
      </c>
      <c r="T765">
        <v>70</v>
      </c>
      <c r="U765" t="s">
        <v>391</v>
      </c>
      <c r="V765" t="s">
        <v>392</v>
      </c>
      <c r="W765" t="s">
        <v>392</v>
      </c>
      <c r="X765">
        <v>1</v>
      </c>
      <c r="Y765" t="s">
        <v>1477</v>
      </c>
      <c r="AA765">
        <v>3.19</v>
      </c>
      <c r="AB765">
        <v>223.13</v>
      </c>
      <c r="AC765">
        <v>223.13</v>
      </c>
    </row>
    <row r="766" spans="2:29" ht="15" customHeight="1" x14ac:dyDescent="0.15">
      <c r="B766">
        <v>4</v>
      </c>
      <c r="C766" t="s">
        <v>386</v>
      </c>
      <c r="D766" t="s">
        <v>1831</v>
      </c>
      <c r="E766">
        <v>1</v>
      </c>
      <c r="F766" t="s">
        <v>219</v>
      </c>
      <c r="G766" t="s">
        <v>231</v>
      </c>
      <c r="H766" t="s">
        <v>433</v>
      </c>
      <c r="I766">
        <v>35</v>
      </c>
      <c r="J766" s="21">
        <v>45897</v>
      </c>
      <c r="K766" s="21">
        <v>45897</v>
      </c>
      <c r="L766" t="s">
        <v>1832</v>
      </c>
      <c r="M766" t="s">
        <v>1030</v>
      </c>
      <c r="O766" t="s">
        <v>220</v>
      </c>
      <c r="P766">
        <v>1</v>
      </c>
      <c r="Q766">
        <v>1</v>
      </c>
      <c r="R766">
        <v>0.15</v>
      </c>
      <c r="S766">
        <v>0.15</v>
      </c>
      <c r="T766">
        <v>0.15</v>
      </c>
      <c r="U766" t="s">
        <v>391</v>
      </c>
      <c r="V766" t="s">
        <v>392</v>
      </c>
      <c r="W766" t="s">
        <v>392</v>
      </c>
      <c r="X766">
        <v>1</v>
      </c>
      <c r="Y766" t="s">
        <v>1477</v>
      </c>
      <c r="AA766">
        <v>21.83</v>
      </c>
      <c r="AB766">
        <v>3.27</v>
      </c>
      <c r="AC766">
        <v>3.27</v>
      </c>
    </row>
    <row r="767" spans="2:29" ht="15" customHeight="1" x14ac:dyDescent="0.15">
      <c r="B767">
        <v>4</v>
      </c>
      <c r="C767" t="s">
        <v>386</v>
      </c>
      <c r="D767" t="s">
        <v>1831</v>
      </c>
      <c r="E767">
        <v>2</v>
      </c>
      <c r="F767" t="s">
        <v>219</v>
      </c>
      <c r="G767" t="s">
        <v>218</v>
      </c>
      <c r="H767" t="s">
        <v>397</v>
      </c>
      <c r="I767">
        <v>35</v>
      </c>
      <c r="J767" s="21">
        <v>45897</v>
      </c>
      <c r="K767" s="21">
        <v>45897</v>
      </c>
      <c r="L767" t="s">
        <v>1833</v>
      </c>
      <c r="M767" t="s">
        <v>454</v>
      </c>
      <c r="O767" t="s">
        <v>220</v>
      </c>
      <c r="P767">
        <v>1</v>
      </c>
      <c r="Q767">
        <v>1</v>
      </c>
      <c r="R767">
        <v>0.15</v>
      </c>
      <c r="S767">
        <v>0.15</v>
      </c>
      <c r="T767">
        <v>0.15</v>
      </c>
      <c r="U767" t="s">
        <v>391</v>
      </c>
      <c r="V767" t="s">
        <v>392</v>
      </c>
      <c r="W767" t="s">
        <v>392</v>
      </c>
      <c r="X767">
        <v>1</v>
      </c>
      <c r="Y767" t="s">
        <v>1477</v>
      </c>
      <c r="AA767">
        <v>686.05</v>
      </c>
      <c r="AB767">
        <v>102.91</v>
      </c>
      <c r="AC767">
        <v>102.91</v>
      </c>
    </row>
    <row r="768" spans="2:29" ht="15" customHeight="1" x14ac:dyDescent="0.15">
      <c r="B768">
        <v>4</v>
      </c>
      <c r="C768" t="s">
        <v>386</v>
      </c>
      <c r="D768" t="s">
        <v>1831</v>
      </c>
      <c r="E768">
        <v>3</v>
      </c>
      <c r="F768" t="s">
        <v>219</v>
      </c>
      <c r="G768" t="s">
        <v>239</v>
      </c>
      <c r="H768" t="s">
        <v>520</v>
      </c>
      <c r="I768">
        <v>35</v>
      </c>
      <c r="J768" s="21">
        <v>45897</v>
      </c>
      <c r="K768" s="21">
        <v>45897</v>
      </c>
      <c r="L768" t="s">
        <v>1834</v>
      </c>
      <c r="M768" t="s">
        <v>1340</v>
      </c>
      <c r="O768" t="s">
        <v>226</v>
      </c>
      <c r="P768">
        <v>1</v>
      </c>
      <c r="Q768">
        <v>1</v>
      </c>
      <c r="R768">
        <v>0.5</v>
      </c>
      <c r="S768">
        <v>0.5</v>
      </c>
      <c r="T768">
        <v>0.5</v>
      </c>
      <c r="U768" t="s">
        <v>391</v>
      </c>
      <c r="V768" t="s">
        <v>392</v>
      </c>
      <c r="W768" t="s">
        <v>392</v>
      </c>
      <c r="X768">
        <v>1</v>
      </c>
      <c r="Y768" t="s">
        <v>1477</v>
      </c>
      <c r="AA768">
        <v>66.92</v>
      </c>
      <c r="AB768">
        <v>33.46</v>
      </c>
      <c r="AC768">
        <v>33.46</v>
      </c>
    </row>
    <row r="769" spans="2:29" ht="15" customHeight="1" x14ac:dyDescent="0.15">
      <c r="B769">
        <v>4</v>
      </c>
      <c r="C769" t="s">
        <v>386</v>
      </c>
      <c r="D769" t="s">
        <v>1831</v>
      </c>
      <c r="E769">
        <v>4</v>
      </c>
      <c r="F769" t="s">
        <v>219</v>
      </c>
      <c r="G769" t="s">
        <v>239</v>
      </c>
      <c r="H769" t="s">
        <v>1308</v>
      </c>
      <c r="I769">
        <v>35</v>
      </c>
      <c r="J769" s="21">
        <v>45897</v>
      </c>
      <c r="K769" s="21">
        <v>45897</v>
      </c>
      <c r="L769" t="s">
        <v>1835</v>
      </c>
      <c r="M769" t="s">
        <v>1310</v>
      </c>
      <c r="O769" t="s">
        <v>226</v>
      </c>
      <c r="P769">
        <v>1</v>
      </c>
      <c r="Q769">
        <v>1</v>
      </c>
      <c r="R769">
        <v>0.1</v>
      </c>
      <c r="S769">
        <v>0.1</v>
      </c>
      <c r="T769">
        <v>0.1</v>
      </c>
      <c r="U769" t="s">
        <v>391</v>
      </c>
      <c r="V769" t="s">
        <v>392</v>
      </c>
      <c r="W769" t="s">
        <v>392</v>
      </c>
      <c r="X769">
        <v>1</v>
      </c>
      <c r="Y769" t="s">
        <v>1477</v>
      </c>
      <c r="AA769">
        <v>182.78</v>
      </c>
      <c r="AB769">
        <v>18.28</v>
      </c>
      <c r="AC769">
        <v>18.28</v>
      </c>
    </row>
    <row r="770" spans="2:29" ht="15" customHeight="1" x14ac:dyDescent="0.15">
      <c r="B770">
        <v>4</v>
      </c>
      <c r="C770" t="s">
        <v>386</v>
      </c>
      <c r="D770" t="s">
        <v>1831</v>
      </c>
      <c r="E770">
        <v>5</v>
      </c>
      <c r="F770" t="s">
        <v>219</v>
      </c>
      <c r="G770" t="s">
        <v>244</v>
      </c>
      <c r="H770" t="s">
        <v>1513</v>
      </c>
      <c r="I770">
        <v>35</v>
      </c>
      <c r="J770" s="21">
        <v>45897</v>
      </c>
      <c r="K770" s="21">
        <v>45897</v>
      </c>
      <c r="L770" t="s">
        <v>1836</v>
      </c>
      <c r="M770" t="s">
        <v>1515</v>
      </c>
      <c r="O770" t="s">
        <v>226</v>
      </c>
      <c r="P770">
        <v>1</v>
      </c>
      <c r="Q770">
        <v>1</v>
      </c>
      <c r="R770">
        <v>0.5</v>
      </c>
      <c r="S770">
        <v>0.5</v>
      </c>
      <c r="T770">
        <v>0.5</v>
      </c>
      <c r="U770" t="s">
        <v>391</v>
      </c>
      <c r="V770" t="s">
        <v>392</v>
      </c>
      <c r="W770" t="s">
        <v>392</v>
      </c>
      <c r="X770">
        <v>1</v>
      </c>
      <c r="Y770" t="s">
        <v>1477</v>
      </c>
      <c r="AA770">
        <v>75.19</v>
      </c>
      <c r="AB770">
        <v>37.6</v>
      </c>
      <c r="AC770">
        <v>37.6</v>
      </c>
    </row>
    <row r="771" spans="2:29" ht="15" customHeight="1" x14ac:dyDescent="0.15">
      <c r="B771">
        <v>4</v>
      </c>
      <c r="C771" t="s">
        <v>386</v>
      </c>
      <c r="D771" t="s">
        <v>1837</v>
      </c>
      <c r="E771">
        <v>1</v>
      </c>
      <c r="F771" t="s">
        <v>219</v>
      </c>
      <c r="G771" t="s">
        <v>244</v>
      </c>
      <c r="H771" t="s">
        <v>1513</v>
      </c>
      <c r="I771">
        <v>35</v>
      </c>
      <c r="J771" s="21">
        <v>45897</v>
      </c>
      <c r="K771" s="21">
        <v>45897</v>
      </c>
      <c r="L771" t="s">
        <v>1838</v>
      </c>
      <c r="M771" t="s">
        <v>1515</v>
      </c>
      <c r="O771" t="s">
        <v>220</v>
      </c>
      <c r="P771">
        <v>4</v>
      </c>
      <c r="Q771">
        <v>4</v>
      </c>
      <c r="R771">
        <v>0.5</v>
      </c>
      <c r="S771">
        <v>2</v>
      </c>
      <c r="T771">
        <v>2</v>
      </c>
      <c r="U771" t="s">
        <v>391</v>
      </c>
      <c r="V771" t="s">
        <v>392</v>
      </c>
      <c r="W771" t="s">
        <v>392</v>
      </c>
      <c r="X771">
        <v>1</v>
      </c>
      <c r="Y771" t="s">
        <v>1839</v>
      </c>
      <c r="AA771">
        <v>75.19</v>
      </c>
      <c r="AB771">
        <v>150.38</v>
      </c>
      <c r="AC771">
        <v>150.38</v>
      </c>
    </row>
    <row r="772" spans="2:29" ht="15" customHeight="1" x14ac:dyDescent="0.15">
      <c r="B772">
        <v>4</v>
      </c>
      <c r="C772" t="s">
        <v>386</v>
      </c>
      <c r="D772" t="s">
        <v>1840</v>
      </c>
      <c r="E772">
        <v>1</v>
      </c>
      <c r="F772" t="s">
        <v>416</v>
      </c>
      <c r="G772" t="s">
        <v>1036</v>
      </c>
      <c r="H772" t="s">
        <v>562</v>
      </c>
      <c r="I772">
        <v>35</v>
      </c>
      <c r="J772" s="21">
        <v>45898</v>
      </c>
      <c r="K772" s="21">
        <v>45898</v>
      </c>
      <c r="L772" t="s">
        <v>1841</v>
      </c>
      <c r="M772" t="s">
        <v>1038</v>
      </c>
      <c r="O772" t="s">
        <v>226</v>
      </c>
      <c r="P772">
        <v>1</v>
      </c>
      <c r="Q772">
        <v>1</v>
      </c>
      <c r="R772">
        <v>26.5</v>
      </c>
      <c r="S772">
        <v>26.5</v>
      </c>
      <c r="T772">
        <v>26.5</v>
      </c>
      <c r="U772" t="s">
        <v>391</v>
      </c>
      <c r="V772" t="s">
        <v>392</v>
      </c>
      <c r="W772" t="s">
        <v>392</v>
      </c>
      <c r="X772">
        <v>1</v>
      </c>
      <c r="Y772" t="s">
        <v>750</v>
      </c>
      <c r="AA772">
        <v>6.7</v>
      </c>
      <c r="AB772">
        <v>177.55</v>
      </c>
      <c r="AC772">
        <v>177.55</v>
      </c>
    </row>
    <row r="773" spans="2:29" ht="15" customHeight="1" x14ac:dyDescent="0.15">
      <c r="B773">
        <v>4</v>
      </c>
      <c r="C773" t="s">
        <v>386</v>
      </c>
      <c r="D773" t="s">
        <v>1842</v>
      </c>
      <c r="E773">
        <v>1</v>
      </c>
      <c r="F773" t="s">
        <v>219</v>
      </c>
      <c r="G773" t="s">
        <v>244</v>
      </c>
      <c r="H773" t="s">
        <v>1513</v>
      </c>
      <c r="I773">
        <v>35</v>
      </c>
      <c r="J773" s="21">
        <v>45898</v>
      </c>
      <c r="K773" s="21">
        <v>45898</v>
      </c>
      <c r="L773" t="s">
        <v>1843</v>
      </c>
      <c r="M773" t="s">
        <v>1515</v>
      </c>
      <c r="O773" t="s">
        <v>220</v>
      </c>
      <c r="P773">
        <v>1</v>
      </c>
      <c r="Q773">
        <v>1</v>
      </c>
      <c r="R773">
        <v>2</v>
      </c>
      <c r="S773">
        <v>2</v>
      </c>
      <c r="T773">
        <v>2</v>
      </c>
      <c r="U773" t="s">
        <v>391</v>
      </c>
      <c r="V773" t="s">
        <v>392</v>
      </c>
      <c r="W773" t="s">
        <v>392</v>
      </c>
      <c r="X773">
        <v>1</v>
      </c>
      <c r="Y773" t="s">
        <v>750</v>
      </c>
      <c r="AA773">
        <v>75.19</v>
      </c>
      <c r="AB773">
        <v>150.38</v>
      </c>
      <c r="AC773">
        <v>150.38</v>
      </c>
    </row>
    <row r="774" spans="2:29" ht="15" customHeight="1" x14ac:dyDescent="0.15">
      <c r="B774">
        <v>4</v>
      </c>
      <c r="C774" t="s">
        <v>704</v>
      </c>
      <c r="D774" t="s">
        <v>1844</v>
      </c>
      <c r="E774">
        <v>1</v>
      </c>
      <c r="F774" t="s">
        <v>219</v>
      </c>
      <c r="G774" t="s">
        <v>231</v>
      </c>
      <c r="H774" t="s">
        <v>433</v>
      </c>
      <c r="L774" t="s">
        <v>1845</v>
      </c>
      <c r="M774" t="s">
        <v>1030</v>
      </c>
      <c r="O774" t="s">
        <v>220</v>
      </c>
      <c r="P774">
        <v>0</v>
      </c>
      <c r="Q774">
        <v>0</v>
      </c>
      <c r="R774">
        <v>0.15</v>
      </c>
      <c r="S774">
        <v>0</v>
      </c>
      <c r="T774">
        <v>0</v>
      </c>
      <c r="U774" t="s">
        <v>391</v>
      </c>
      <c r="V774" t="s">
        <v>392</v>
      </c>
      <c r="W774" t="s">
        <v>392</v>
      </c>
      <c r="X774">
        <v>1</v>
      </c>
      <c r="Y774" t="s">
        <v>1846</v>
      </c>
      <c r="AA774">
        <v>21.83</v>
      </c>
      <c r="AB774">
        <v>0</v>
      </c>
      <c r="AC774">
        <v>0</v>
      </c>
    </row>
    <row r="775" spans="2:29" ht="15" customHeight="1" x14ac:dyDescent="0.15">
      <c r="B775">
        <v>4</v>
      </c>
      <c r="C775" t="s">
        <v>704</v>
      </c>
      <c r="D775" t="s">
        <v>1844</v>
      </c>
      <c r="E775">
        <v>2</v>
      </c>
      <c r="F775" t="s">
        <v>219</v>
      </c>
      <c r="G775" t="s">
        <v>244</v>
      </c>
      <c r="H775" t="s">
        <v>1093</v>
      </c>
      <c r="I775">
        <v>35</v>
      </c>
      <c r="J775" s="21">
        <v>45899</v>
      </c>
      <c r="L775" t="s">
        <v>1847</v>
      </c>
      <c r="M775" t="s">
        <v>1095</v>
      </c>
      <c r="O775" t="s">
        <v>226</v>
      </c>
      <c r="P775">
        <v>0</v>
      </c>
      <c r="Q775">
        <v>0</v>
      </c>
      <c r="R775">
        <v>0.75</v>
      </c>
      <c r="S775">
        <v>0</v>
      </c>
      <c r="T775">
        <v>0</v>
      </c>
      <c r="U775" t="s">
        <v>391</v>
      </c>
      <c r="V775" t="s">
        <v>392</v>
      </c>
      <c r="W775" t="s">
        <v>392</v>
      </c>
      <c r="X775">
        <v>1</v>
      </c>
      <c r="Y775" t="s">
        <v>1846</v>
      </c>
      <c r="AA775">
        <v>92.42</v>
      </c>
      <c r="AB775">
        <v>0</v>
      </c>
      <c r="AC775">
        <v>0</v>
      </c>
    </row>
    <row r="776" spans="2:29" ht="15" customHeight="1" x14ac:dyDescent="0.15">
      <c r="B776">
        <v>4</v>
      </c>
      <c r="C776" t="s">
        <v>704</v>
      </c>
      <c r="D776" t="s">
        <v>1844</v>
      </c>
      <c r="E776">
        <v>3</v>
      </c>
      <c r="F776" t="s">
        <v>219</v>
      </c>
      <c r="G776" t="s">
        <v>239</v>
      </c>
      <c r="H776" t="s">
        <v>551</v>
      </c>
      <c r="I776">
        <v>35</v>
      </c>
      <c r="J776" s="21">
        <v>45899</v>
      </c>
      <c r="L776" t="s">
        <v>1848</v>
      </c>
      <c r="M776" t="s">
        <v>1165</v>
      </c>
      <c r="O776" t="s">
        <v>220</v>
      </c>
      <c r="P776">
        <v>0</v>
      </c>
      <c r="Q776">
        <v>0</v>
      </c>
      <c r="R776">
        <v>0.5</v>
      </c>
      <c r="S776">
        <v>0</v>
      </c>
      <c r="T776">
        <v>0</v>
      </c>
      <c r="U776" t="s">
        <v>391</v>
      </c>
      <c r="V776" t="s">
        <v>392</v>
      </c>
      <c r="W776" t="s">
        <v>392</v>
      </c>
      <c r="X776">
        <v>1</v>
      </c>
      <c r="Y776" t="s">
        <v>1846</v>
      </c>
      <c r="AA776">
        <v>57.53</v>
      </c>
      <c r="AB776">
        <v>0</v>
      </c>
      <c r="AC776">
        <v>0</v>
      </c>
    </row>
    <row r="777" spans="2:29" ht="15" customHeight="1" x14ac:dyDescent="0.15">
      <c r="B777">
        <v>4</v>
      </c>
      <c r="C777" t="s">
        <v>704</v>
      </c>
      <c r="D777" t="s">
        <v>1849</v>
      </c>
      <c r="E777">
        <v>1</v>
      </c>
      <c r="F777" t="s">
        <v>219</v>
      </c>
      <c r="G777" t="s">
        <v>231</v>
      </c>
      <c r="H777" t="s">
        <v>433</v>
      </c>
      <c r="I777">
        <v>35</v>
      </c>
      <c r="J777" s="21">
        <v>45899</v>
      </c>
      <c r="L777" t="s">
        <v>1850</v>
      </c>
      <c r="M777" t="s">
        <v>1030</v>
      </c>
      <c r="O777" t="s">
        <v>220</v>
      </c>
      <c r="P777">
        <v>0</v>
      </c>
      <c r="Q777">
        <v>0</v>
      </c>
      <c r="R777">
        <v>0.15</v>
      </c>
      <c r="S777">
        <v>0</v>
      </c>
      <c r="T777">
        <v>0</v>
      </c>
      <c r="U777" t="s">
        <v>391</v>
      </c>
      <c r="V777" t="s">
        <v>392</v>
      </c>
      <c r="W777" t="s">
        <v>392</v>
      </c>
      <c r="X777">
        <v>1</v>
      </c>
      <c r="Y777" t="s">
        <v>455</v>
      </c>
      <c r="AA777">
        <v>21.83</v>
      </c>
      <c r="AB777">
        <v>0</v>
      </c>
      <c r="AC777">
        <v>0</v>
      </c>
    </row>
    <row r="778" spans="2:29" ht="15" customHeight="1" x14ac:dyDescent="0.15">
      <c r="B778">
        <v>4</v>
      </c>
      <c r="C778" t="s">
        <v>704</v>
      </c>
      <c r="D778" t="s">
        <v>1849</v>
      </c>
      <c r="E778">
        <v>2</v>
      </c>
      <c r="F778" t="s">
        <v>219</v>
      </c>
      <c r="G778" t="s">
        <v>244</v>
      </c>
      <c r="H778" t="s">
        <v>759</v>
      </c>
      <c r="I778">
        <v>35</v>
      </c>
      <c r="J778" s="21">
        <v>45899</v>
      </c>
      <c r="L778" t="s">
        <v>1851</v>
      </c>
      <c r="M778" t="s">
        <v>761</v>
      </c>
      <c r="O778" t="s">
        <v>220</v>
      </c>
      <c r="P778">
        <v>0</v>
      </c>
      <c r="Q778">
        <v>0</v>
      </c>
      <c r="R778">
        <v>0.2</v>
      </c>
      <c r="S778">
        <v>0</v>
      </c>
      <c r="T778">
        <v>0</v>
      </c>
      <c r="U778" t="s">
        <v>391</v>
      </c>
      <c r="V778" t="s">
        <v>392</v>
      </c>
      <c r="W778" t="s">
        <v>392</v>
      </c>
      <c r="X778">
        <v>1</v>
      </c>
      <c r="Y778" t="s">
        <v>455</v>
      </c>
      <c r="AA778">
        <v>385</v>
      </c>
      <c r="AB778">
        <v>0</v>
      </c>
      <c r="AC778">
        <v>0</v>
      </c>
    </row>
    <row r="779" spans="2:29" ht="15" customHeight="1" x14ac:dyDescent="0.15">
      <c r="B779">
        <v>4</v>
      </c>
      <c r="C779" t="s">
        <v>704</v>
      </c>
      <c r="D779" t="s">
        <v>1849</v>
      </c>
      <c r="E779">
        <v>3</v>
      </c>
      <c r="F779" t="s">
        <v>219</v>
      </c>
      <c r="G779" t="s">
        <v>239</v>
      </c>
      <c r="H779" t="s">
        <v>1852</v>
      </c>
      <c r="I779">
        <v>35</v>
      </c>
      <c r="J779" s="21">
        <v>45899</v>
      </c>
      <c r="L779" t="s">
        <v>1853</v>
      </c>
      <c r="M779" t="s">
        <v>1854</v>
      </c>
      <c r="O779" t="s">
        <v>220</v>
      </c>
      <c r="P779">
        <v>0</v>
      </c>
      <c r="Q779">
        <v>0</v>
      </c>
      <c r="R779">
        <v>0.5</v>
      </c>
      <c r="S779">
        <v>0</v>
      </c>
      <c r="T779">
        <v>0</v>
      </c>
      <c r="U779" t="s">
        <v>391</v>
      </c>
      <c r="V779" t="s">
        <v>392</v>
      </c>
      <c r="W779" t="s">
        <v>392</v>
      </c>
      <c r="X779">
        <v>1</v>
      </c>
      <c r="Y779" t="s">
        <v>455</v>
      </c>
      <c r="AA779">
        <v>36.700000000000003</v>
      </c>
      <c r="AB779">
        <v>0</v>
      </c>
      <c r="AC779">
        <v>0</v>
      </c>
    </row>
    <row r="780" spans="2:29" ht="15" customHeight="1" x14ac:dyDescent="0.15">
      <c r="B780">
        <v>4</v>
      </c>
      <c r="C780" t="s">
        <v>704</v>
      </c>
      <c r="D780" t="s">
        <v>1849</v>
      </c>
      <c r="E780">
        <v>4</v>
      </c>
      <c r="F780" t="s">
        <v>219</v>
      </c>
      <c r="G780" t="s">
        <v>239</v>
      </c>
      <c r="H780" t="s">
        <v>517</v>
      </c>
      <c r="I780">
        <v>35</v>
      </c>
      <c r="J780" s="21">
        <v>45899</v>
      </c>
      <c r="L780" t="s">
        <v>1855</v>
      </c>
      <c r="M780" t="s">
        <v>614</v>
      </c>
      <c r="O780" t="s">
        <v>226</v>
      </c>
      <c r="P780">
        <v>0</v>
      </c>
      <c r="Q780">
        <v>0</v>
      </c>
      <c r="R780">
        <v>0.5</v>
      </c>
      <c r="S780">
        <v>0</v>
      </c>
      <c r="T780">
        <v>0</v>
      </c>
      <c r="U780" t="s">
        <v>391</v>
      </c>
      <c r="V780" t="s">
        <v>392</v>
      </c>
      <c r="W780" t="s">
        <v>392</v>
      </c>
      <c r="X780">
        <v>1</v>
      </c>
      <c r="Y780" t="s">
        <v>455</v>
      </c>
      <c r="AA780">
        <v>65</v>
      </c>
      <c r="AB780">
        <v>0</v>
      </c>
      <c r="AC780">
        <v>0</v>
      </c>
    </row>
    <row r="781" spans="2:29" ht="15" customHeight="1" x14ac:dyDescent="0.15">
      <c r="B781">
        <v>4</v>
      </c>
      <c r="C781" t="s">
        <v>386</v>
      </c>
      <c r="D781" t="s">
        <v>1856</v>
      </c>
      <c r="E781">
        <v>1</v>
      </c>
      <c r="F781" t="s">
        <v>219</v>
      </c>
      <c r="G781" t="s">
        <v>231</v>
      </c>
      <c r="H781" t="s">
        <v>433</v>
      </c>
      <c r="I781">
        <v>36</v>
      </c>
      <c r="J781" s="21">
        <v>45901</v>
      </c>
      <c r="K781" s="21">
        <v>45901</v>
      </c>
      <c r="L781" t="s">
        <v>1857</v>
      </c>
      <c r="M781" t="s">
        <v>1030</v>
      </c>
      <c r="O781" t="s">
        <v>220</v>
      </c>
      <c r="P781">
        <v>8</v>
      </c>
      <c r="Q781">
        <v>8</v>
      </c>
      <c r="R781">
        <v>0.15</v>
      </c>
      <c r="S781">
        <v>1.2</v>
      </c>
      <c r="T781">
        <v>1.2</v>
      </c>
      <c r="U781" t="s">
        <v>391</v>
      </c>
      <c r="V781" t="s">
        <v>392</v>
      </c>
      <c r="W781" t="s">
        <v>392</v>
      </c>
      <c r="X781">
        <v>1</v>
      </c>
      <c r="Y781" t="s">
        <v>893</v>
      </c>
      <c r="AA781">
        <v>21.83</v>
      </c>
      <c r="AB781">
        <v>26.2</v>
      </c>
      <c r="AC781">
        <v>26.2</v>
      </c>
    </row>
    <row r="782" spans="2:29" ht="15" customHeight="1" x14ac:dyDescent="0.15">
      <c r="B782">
        <v>4</v>
      </c>
      <c r="C782" t="s">
        <v>386</v>
      </c>
      <c r="D782" t="s">
        <v>1856</v>
      </c>
      <c r="E782">
        <v>2</v>
      </c>
      <c r="F782" t="s">
        <v>219</v>
      </c>
      <c r="G782" t="s">
        <v>218</v>
      </c>
      <c r="H782" t="s">
        <v>397</v>
      </c>
      <c r="I782">
        <v>36</v>
      </c>
      <c r="J782" s="21">
        <v>45901</v>
      </c>
      <c r="K782" s="21">
        <v>45901</v>
      </c>
      <c r="L782" t="s">
        <v>1858</v>
      </c>
      <c r="M782" t="s">
        <v>454</v>
      </c>
      <c r="O782" t="s">
        <v>220</v>
      </c>
      <c r="P782">
        <v>8</v>
      </c>
      <c r="Q782">
        <v>8</v>
      </c>
      <c r="R782">
        <v>0.15</v>
      </c>
      <c r="S782">
        <v>1.2</v>
      </c>
      <c r="T782">
        <v>1.2</v>
      </c>
      <c r="U782" t="s">
        <v>391</v>
      </c>
      <c r="V782" t="s">
        <v>392</v>
      </c>
      <c r="W782" t="s">
        <v>392</v>
      </c>
      <c r="X782">
        <v>1</v>
      </c>
      <c r="Y782" t="s">
        <v>893</v>
      </c>
      <c r="AA782">
        <v>686.05</v>
      </c>
      <c r="AB782">
        <v>823.26</v>
      </c>
      <c r="AC782">
        <v>823.26</v>
      </c>
    </row>
    <row r="783" spans="2:29" ht="15" customHeight="1" x14ac:dyDescent="0.15">
      <c r="B783">
        <v>4</v>
      </c>
      <c r="C783" t="s">
        <v>386</v>
      </c>
      <c r="D783" t="s">
        <v>1856</v>
      </c>
      <c r="E783">
        <v>3</v>
      </c>
      <c r="F783" t="s">
        <v>219</v>
      </c>
      <c r="G783" t="s">
        <v>218</v>
      </c>
      <c r="H783" t="s">
        <v>394</v>
      </c>
      <c r="I783">
        <v>36</v>
      </c>
      <c r="J783" s="21">
        <v>45901</v>
      </c>
      <c r="K783" s="21">
        <v>45901</v>
      </c>
      <c r="L783" t="s">
        <v>1859</v>
      </c>
      <c r="M783" t="s">
        <v>396</v>
      </c>
      <c r="O783" t="s">
        <v>220</v>
      </c>
      <c r="P783">
        <v>8</v>
      </c>
      <c r="Q783">
        <v>8</v>
      </c>
      <c r="R783">
        <v>0.12</v>
      </c>
      <c r="S783">
        <v>0.96</v>
      </c>
      <c r="T783">
        <v>0.96</v>
      </c>
      <c r="U783" t="s">
        <v>391</v>
      </c>
      <c r="V783" t="s">
        <v>392</v>
      </c>
      <c r="W783" t="s">
        <v>392</v>
      </c>
      <c r="X783">
        <v>1</v>
      </c>
      <c r="Y783" t="s">
        <v>893</v>
      </c>
      <c r="AA783">
        <v>784.7</v>
      </c>
      <c r="AB783">
        <v>753.31</v>
      </c>
      <c r="AC783">
        <v>753.31</v>
      </c>
    </row>
    <row r="784" spans="2:29" ht="15" customHeight="1" x14ac:dyDescent="0.15">
      <c r="B784">
        <v>4</v>
      </c>
      <c r="C784" t="s">
        <v>386</v>
      </c>
      <c r="D784" t="s">
        <v>1856</v>
      </c>
      <c r="E784">
        <v>4</v>
      </c>
      <c r="F784" t="s">
        <v>219</v>
      </c>
      <c r="G784" t="s">
        <v>244</v>
      </c>
      <c r="H784" t="s">
        <v>1513</v>
      </c>
      <c r="I784">
        <v>36</v>
      </c>
      <c r="J784" s="21">
        <v>45901</v>
      </c>
      <c r="K784" s="21">
        <v>45901</v>
      </c>
      <c r="L784" t="s">
        <v>1860</v>
      </c>
      <c r="M784" t="s">
        <v>1515</v>
      </c>
      <c r="O784" t="s">
        <v>220</v>
      </c>
      <c r="P784">
        <v>8</v>
      </c>
      <c r="Q784">
        <v>8</v>
      </c>
      <c r="R784">
        <v>0.5</v>
      </c>
      <c r="S784">
        <v>4</v>
      </c>
      <c r="T784">
        <v>4</v>
      </c>
      <c r="U784" t="s">
        <v>391</v>
      </c>
      <c r="V784" t="s">
        <v>392</v>
      </c>
      <c r="W784" t="s">
        <v>392</v>
      </c>
      <c r="X784">
        <v>1</v>
      </c>
      <c r="Y784" t="s">
        <v>893</v>
      </c>
      <c r="AA784">
        <v>75.19</v>
      </c>
      <c r="AB784">
        <v>300.76</v>
      </c>
      <c r="AC784">
        <v>300.76</v>
      </c>
    </row>
    <row r="785" spans="2:29" ht="15" customHeight="1" x14ac:dyDescent="0.15">
      <c r="B785">
        <v>4</v>
      </c>
      <c r="C785" t="s">
        <v>386</v>
      </c>
      <c r="D785" t="s">
        <v>1856</v>
      </c>
      <c r="E785">
        <v>5</v>
      </c>
      <c r="F785" t="s">
        <v>219</v>
      </c>
      <c r="G785" t="s">
        <v>239</v>
      </c>
      <c r="H785" t="s">
        <v>1852</v>
      </c>
      <c r="I785">
        <v>36</v>
      </c>
      <c r="J785" s="21">
        <v>45901</v>
      </c>
      <c r="K785" s="21">
        <v>45901</v>
      </c>
      <c r="L785" t="s">
        <v>1861</v>
      </c>
      <c r="M785" t="s">
        <v>1854</v>
      </c>
      <c r="O785" t="s">
        <v>220</v>
      </c>
      <c r="P785">
        <v>8</v>
      </c>
      <c r="Q785">
        <v>8</v>
      </c>
      <c r="R785">
        <v>0.5</v>
      </c>
      <c r="S785">
        <v>4</v>
      </c>
      <c r="T785">
        <v>4</v>
      </c>
      <c r="U785" t="s">
        <v>391</v>
      </c>
      <c r="V785" t="s">
        <v>392</v>
      </c>
      <c r="W785" t="s">
        <v>392</v>
      </c>
      <c r="X785">
        <v>1</v>
      </c>
      <c r="Y785" t="s">
        <v>893</v>
      </c>
      <c r="AA785">
        <v>36.700000000000003</v>
      </c>
      <c r="AB785">
        <v>146.81</v>
      </c>
      <c r="AC785">
        <v>146.81</v>
      </c>
    </row>
    <row r="786" spans="2:29" ht="15" customHeight="1" x14ac:dyDescent="0.15">
      <c r="B786">
        <v>4</v>
      </c>
      <c r="C786" t="s">
        <v>386</v>
      </c>
      <c r="D786" t="s">
        <v>1856</v>
      </c>
      <c r="E786">
        <v>6</v>
      </c>
      <c r="F786" t="s">
        <v>219</v>
      </c>
      <c r="G786" t="s">
        <v>239</v>
      </c>
      <c r="H786" t="s">
        <v>520</v>
      </c>
      <c r="I786">
        <v>36</v>
      </c>
      <c r="J786" s="21">
        <v>45901</v>
      </c>
      <c r="K786" s="21">
        <v>45901</v>
      </c>
      <c r="L786" t="s">
        <v>1862</v>
      </c>
      <c r="M786" t="s">
        <v>1340</v>
      </c>
      <c r="O786" t="s">
        <v>226</v>
      </c>
      <c r="P786">
        <v>8</v>
      </c>
      <c r="Q786">
        <v>8</v>
      </c>
      <c r="R786">
        <v>0.5</v>
      </c>
      <c r="S786">
        <v>4</v>
      </c>
      <c r="T786">
        <v>4</v>
      </c>
      <c r="U786" t="s">
        <v>391</v>
      </c>
      <c r="V786" t="s">
        <v>392</v>
      </c>
      <c r="W786" t="s">
        <v>392</v>
      </c>
      <c r="X786">
        <v>1</v>
      </c>
      <c r="Y786" t="s">
        <v>893</v>
      </c>
      <c r="AA786">
        <v>66.92</v>
      </c>
      <c r="AB786">
        <v>267.68</v>
      </c>
      <c r="AC786">
        <v>267.68</v>
      </c>
    </row>
    <row r="787" spans="2:29" ht="15" customHeight="1" x14ac:dyDescent="0.15">
      <c r="B787">
        <v>4</v>
      </c>
      <c r="C787" t="s">
        <v>386</v>
      </c>
      <c r="D787" t="s">
        <v>1863</v>
      </c>
      <c r="E787">
        <v>1</v>
      </c>
      <c r="F787" t="s">
        <v>219</v>
      </c>
      <c r="G787" t="s">
        <v>231</v>
      </c>
      <c r="H787" t="s">
        <v>433</v>
      </c>
      <c r="I787">
        <v>36</v>
      </c>
      <c r="J787" s="21">
        <v>45901</v>
      </c>
      <c r="K787" s="21">
        <v>45901</v>
      </c>
      <c r="L787" t="s">
        <v>1864</v>
      </c>
      <c r="M787" t="s">
        <v>1030</v>
      </c>
      <c r="O787" t="s">
        <v>220</v>
      </c>
      <c r="P787">
        <v>4</v>
      </c>
      <c r="Q787">
        <v>4</v>
      </c>
      <c r="R787">
        <v>0.15</v>
      </c>
      <c r="S787">
        <v>0.6</v>
      </c>
      <c r="T787">
        <v>0.6</v>
      </c>
      <c r="U787" t="s">
        <v>391</v>
      </c>
      <c r="V787" t="s">
        <v>392</v>
      </c>
      <c r="W787" t="s">
        <v>392</v>
      </c>
      <c r="X787">
        <v>1</v>
      </c>
      <c r="Y787" t="s">
        <v>1477</v>
      </c>
      <c r="AA787">
        <v>21.83</v>
      </c>
      <c r="AB787">
        <v>13.1</v>
      </c>
      <c r="AC787">
        <v>13.1</v>
      </c>
    </row>
    <row r="788" spans="2:29" ht="15" customHeight="1" x14ac:dyDescent="0.15">
      <c r="B788">
        <v>4</v>
      </c>
      <c r="C788" t="s">
        <v>386</v>
      </c>
      <c r="D788" t="s">
        <v>1863</v>
      </c>
      <c r="E788">
        <v>2</v>
      </c>
      <c r="F788" t="s">
        <v>219</v>
      </c>
      <c r="G788" t="s">
        <v>218</v>
      </c>
      <c r="H788" t="s">
        <v>397</v>
      </c>
      <c r="I788">
        <v>36</v>
      </c>
      <c r="J788" s="21">
        <v>45901</v>
      </c>
      <c r="K788" s="21">
        <v>45901</v>
      </c>
      <c r="L788" t="s">
        <v>1865</v>
      </c>
      <c r="M788" t="s">
        <v>454</v>
      </c>
      <c r="O788" t="s">
        <v>220</v>
      </c>
      <c r="P788">
        <v>4</v>
      </c>
      <c r="Q788">
        <v>4</v>
      </c>
      <c r="R788">
        <v>0.2</v>
      </c>
      <c r="S788">
        <v>0.8</v>
      </c>
      <c r="T788">
        <v>0.8</v>
      </c>
      <c r="U788" t="s">
        <v>391</v>
      </c>
      <c r="V788" t="s">
        <v>392</v>
      </c>
      <c r="W788" t="s">
        <v>392</v>
      </c>
      <c r="X788">
        <v>1</v>
      </c>
      <c r="Y788" t="s">
        <v>1477</v>
      </c>
      <c r="AA788">
        <v>686.05</v>
      </c>
      <c r="AB788">
        <v>548.84</v>
      </c>
      <c r="AC788">
        <v>548.84</v>
      </c>
    </row>
    <row r="789" spans="2:29" ht="15" customHeight="1" x14ac:dyDescent="0.15">
      <c r="B789">
        <v>4</v>
      </c>
      <c r="C789" t="s">
        <v>386</v>
      </c>
      <c r="D789" t="s">
        <v>1863</v>
      </c>
      <c r="E789">
        <v>3</v>
      </c>
      <c r="F789" t="s">
        <v>219</v>
      </c>
      <c r="G789" t="s">
        <v>218</v>
      </c>
      <c r="H789" t="s">
        <v>394</v>
      </c>
      <c r="I789">
        <v>36</v>
      </c>
      <c r="J789" s="21">
        <v>45901</v>
      </c>
      <c r="K789" s="21">
        <v>45901</v>
      </c>
      <c r="L789" t="s">
        <v>1866</v>
      </c>
      <c r="M789" t="s">
        <v>396</v>
      </c>
      <c r="O789" t="s">
        <v>220</v>
      </c>
      <c r="P789">
        <v>4</v>
      </c>
      <c r="Q789">
        <v>4</v>
      </c>
      <c r="R789">
        <v>0.12</v>
      </c>
      <c r="S789">
        <v>0.48</v>
      </c>
      <c r="T789">
        <v>0.48</v>
      </c>
      <c r="U789" t="s">
        <v>391</v>
      </c>
      <c r="V789" t="s">
        <v>392</v>
      </c>
      <c r="W789" t="s">
        <v>392</v>
      </c>
      <c r="X789">
        <v>1</v>
      </c>
      <c r="Y789" t="s">
        <v>1477</v>
      </c>
      <c r="AA789">
        <v>784.7</v>
      </c>
      <c r="AB789">
        <v>376.66</v>
      </c>
      <c r="AC789">
        <v>376.66</v>
      </c>
    </row>
    <row r="790" spans="2:29" ht="15" customHeight="1" x14ac:dyDescent="0.15">
      <c r="B790">
        <v>4</v>
      </c>
      <c r="C790" t="s">
        <v>386</v>
      </c>
      <c r="D790" t="s">
        <v>1863</v>
      </c>
      <c r="E790">
        <v>4</v>
      </c>
      <c r="F790" t="s">
        <v>219</v>
      </c>
      <c r="G790" t="s">
        <v>244</v>
      </c>
      <c r="H790" t="s">
        <v>1513</v>
      </c>
      <c r="I790">
        <v>36</v>
      </c>
      <c r="J790" s="21">
        <v>45901</v>
      </c>
      <c r="K790" s="21">
        <v>45901</v>
      </c>
      <c r="L790" t="s">
        <v>1867</v>
      </c>
      <c r="M790" t="s">
        <v>1515</v>
      </c>
      <c r="O790" t="s">
        <v>220</v>
      </c>
      <c r="P790">
        <v>4</v>
      </c>
      <c r="Q790">
        <v>4</v>
      </c>
      <c r="R790">
        <v>0.5</v>
      </c>
      <c r="S790">
        <v>2</v>
      </c>
      <c r="T790">
        <v>2</v>
      </c>
      <c r="U790" t="s">
        <v>391</v>
      </c>
      <c r="V790" t="s">
        <v>392</v>
      </c>
      <c r="W790" t="s">
        <v>392</v>
      </c>
      <c r="X790">
        <v>1</v>
      </c>
      <c r="Y790" t="s">
        <v>1477</v>
      </c>
      <c r="AA790">
        <v>75.19</v>
      </c>
      <c r="AB790">
        <v>150.38</v>
      </c>
      <c r="AC790">
        <v>150.38</v>
      </c>
    </row>
    <row r="791" spans="2:29" ht="15" customHeight="1" x14ac:dyDescent="0.15">
      <c r="B791">
        <v>4</v>
      </c>
      <c r="C791" t="s">
        <v>386</v>
      </c>
      <c r="D791" t="s">
        <v>1863</v>
      </c>
      <c r="E791">
        <v>5</v>
      </c>
      <c r="F791" t="s">
        <v>219</v>
      </c>
      <c r="G791" t="s">
        <v>239</v>
      </c>
      <c r="H791" t="s">
        <v>520</v>
      </c>
      <c r="I791">
        <v>36</v>
      </c>
      <c r="J791" s="21">
        <v>45901</v>
      </c>
      <c r="K791" s="21">
        <v>45901</v>
      </c>
      <c r="L791" t="s">
        <v>1868</v>
      </c>
      <c r="M791" t="s">
        <v>1340</v>
      </c>
      <c r="O791" t="s">
        <v>226</v>
      </c>
      <c r="P791">
        <v>4</v>
      </c>
      <c r="Q791">
        <v>4</v>
      </c>
      <c r="R791">
        <v>0.5</v>
      </c>
      <c r="S791">
        <v>2</v>
      </c>
      <c r="T791">
        <v>2</v>
      </c>
      <c r="U791" t="s">
        <v>391</v>
      </c>
      <c r="V791" t="s">
        <v>392</v>
      </c>
      <c r="W791" t="s">
        <v>392</v>
      </c>
      <c r="X791">
        <v>1</v>
      </c>
      <c r="Y791" t="s">
        <v>1477</v>
      </c>
      <c r="AA791">
        <v>66.92</v>
      </c>
      <c r="AB791">
        <v>133.84</v>
      </c>
      <c r="AC791">
        <v>133.84</v>
      </c>
    </row>
    <row r="792" spans="2:29" ht="15" customHeight="1" x14ac:dyDescent="0.15">
      <c r="B792">
        <v>4</v>
      </c>
      <c r="C792" t="s">
        <v>386</v>
      </c>
      <c r="D792" t="s">
        <v>1869</v>
      </c>
      <c r="E792">
        <v>1</v>
      </c>
      <c r="F792" t="s">
        <v>416</v>
      </c>
      <c r="G792" t="s">
        <v>1036</v>
      </c>
      <c r="H792" t="s">
        <v>562</v>
      </c>
      <c r="I792">
        <v>36</v>
      </c>
      <c r="J792" s="21">
        <v>45901</v>
      </c>
      <c r="K792" s="21">
        <v>45901</v>
      </c>
      <c r="L792" t="s">
        <v>1870</v>
      </c>
      <c r="M792" t="s">
        <v>1038</v>
      </c>
      <c r="O792" t="s">
        <v>226</v>
      </c>
      <c r="P792">
        <v>1</v>
      </c>
      <c r="Q792">
        <v>1</v>
      </c>
      <c r="R792">
        <v>114.3</v>
      </c>
      <c r="S792">
        <v>114.3</v>
      </c>
      <c r="T792">
        <v>114.3</v>
      </c>
      <c r="U792" t="s">
        <v>391</v>
      </c>
      <c r="V792" t="s">
        <v>392</v>
      </c>
      <c r="W792" t="s">
        <v>392</v>
      </c>
      <c r="X792">
        <v>1</v>
      </c>
      <c r="Y792" t="s">
        <v>893</v>
      </c>
      <c r="AA792">
        <v>6.7</v>
      </c>
      <c r="AB792">
        <v>765.81</v>
      </c>
      <c r="AC792">
        <v>765.81</v>
      </c>
    </row>
    <row r="793" spans="2:29" ht="15" customHeight="1" x14ac:dyDescent="0.15">
      <c r="B793">
        <v>4</v>
      </c>
      <c r="C793" t="s">
        <v>386</v>
      </c>
      <c r="D793" t="s">
        <v>1871</v>
      </c>
      <c r="E793">
        <v>1</v>
      </c>
      <c r="F793" t="s">
        <v>416</v>
      </c>
      <c r="G793" t="s">
        <v>1036</v>
      </c>
      <c r="H793" t="s">
        <v>562</v>
      </c>
      <c r="I793">
        <v>36</v>
      </c>
      <c r="J793" s="21">
        <v>45901</v>
      </c>
      <c r="K793" s="21">
        <v>45901</v>
      </c>
      <c r="L793" t="s">
        <v>1872</v>
      </c>
      <c r="M793" t="s">
        <v>1038</v>
      </c>
      <c r="O793" t="s">
        <v>226</v>
      </c>
      <c r="P793">
        <v>1</v>
      </c>
      <c r="Q793">
        <v>1</v>
      </c>
      <c r="R793">
        <v>88.5</v>
      </c>
      <c r="S793">
        <v>88.5</v>
      </c>
      <c r="T793">
        <v>88.5</v>
      </c>
      <c r="U793" t="s">
        <v>391</v>
      </c>
      <c r="V793" t="s">
        <v>392</v>
      </c>
      <c r="W793" t="s">
        <v>392</v>
      </c>
      <c r="X793">
        <v>1</v>
      </c>
      <c r="Y793" t="s">
        <v>1637</v>
      </c>
      <c r="AA793">
        <v>6.7</v>
      </c>
      <c r="AB793">
        <v>592.95000000000005</v>
      </c>
      <c r="AC793">
        <v>592.95000000000005</v>
      </c>
    </row>
    <row r="794" spans="2:29" ht="15" customHeight="1" x14ac:dyDescent="0.15">
      <c r="B794">
        <v>4</v>
      </c>
      <c r="C794" t="s">
        <v>386</v>
      </c>
      <c r="D794" t="s">
        <v>1873</v>
      </c>
      <c r="E794">
        <v>1</v>
      </c>
      <c r="F794" t="s">
        <v>219</v>
      </c>
      <c r="G794" t="s">
        <v>231</v>
      </c>
      <c r="H794" t="s">
        <v>433</v>
      </c>
      <c r="I794">
        <v>36</v>
      </c>
      <c r="J794" s="21">
        <v>45902</v>
      </c>
      <c r="K794" s="21">
        <v>45904</v>
      </c>
      <c r="L794" t="s">
        <v>1874</v>
      </c>
      <c r="M794" t="s">
        <v>1030</v>
      </c>
      <c r="O794" t="s">
        <v>220</v>
      </c>
      <c r="P794">
        <v>5</v>
      </c>
      <c r="Q794">
        <v>2.5</v>
      </c>
      <c r="R794">
        <v>0.12</v>
      </c>
      <c r="S794">
        <v>0.6</v>
      </c>
      <c r="T794">
        <v>0.3</v>
      </c>
      <c r="U794" t="s">
        <v>1050</v>
      </c>
      <c r="V794" t="s">
        <v>847</v>
      </c>
      <c r="W794" t="s">
        <v>532</v>
      </c>
      <c r="X794">
        <v>2</v>
      </c>
      <c r="Y794" t="s">
        <v>1296</v>
      </c>
      <c r="AA794">
        <v>21.83</v>
      </c>
      <c r="AB794">
        <v>13.1</v>
      </c>
      <c r="AC794">
        <v>6.55</v>
      </c>
    </row>
    <row r="795" spans="2:29" ht="15" customHeight="1" x14ac:dyDescent="0.15">
      <c r="B795">
        <v>4</v>
      </c>
      <c r="C795" t="s">
        <v>386</v>
      </c>
      <c r="D795" t="s">
        <v>1873</v>
      </c>
      <c r="E795">
        <v>2</v>
      </c>
      <c r="F795" t="s">
        <v>219</v>
      </c>
      <c r="G795" t="s">
        <v>223</v>
      </c>
      <c r="H795" t="s">
        <v>987</v>
      </c>
      <c r="I795">
        <v>36</v>
      </c>
      <c r="J795" s="21">
        <v>45902</v>
      </c>
      <c r="K795" s="21">
        <v>45904</v>
      </c>
      <c r="L795" t="s">
        <v>1875</v>
      </c>
      <c r="M795" t="s">
        <v>222</v>
      </c>
      <c r="O795" t="s">
        <v>220</v>
      </c>
      <c r="P795">
        <v>5</v>
      </c>
      <c r="Q795">
        <v>2.5</v>
      </c>
      <c r="R795">
        <v>2</v>
      </c>
      <c r="S795">
        <v>10</v>
      </c>
      <c r="T795">
        <v>5</v>
      </c>
      <c r="U795" t="s">
        <v>1050</v>
      </c>
      <c r="V795" t="s">
        <v>847</v>
      </c>
      <c r="W795" t="s">
        <v>532</v>
      </c>
      <c r="X795">
        <v>2</v>
      </c>
      <c r="Y795" t="s">
        <v>1296</v>
      </c>
      <c r="AA795">
        <v>13.47</v>
      </c>
      <c r="AB795">
        <v>134.69999999999999</v>
      </c>
      <c r="AC795">
        <v>67.349999999999994</v>
      </c>
    </row>
    <row r="796" spans="2:29" ht="15" customHeight="1" x14ac:dyDescent="0.15">
      <c r="B796">
        <v>4</v>
      </c>
      <c r="C796" t="s">
        <v>386</v>
      </c>
      <c r="D796" t="s">
        <v>1873</v>
      </c>
      <c r="E796">
        <v>3</v>
      </c>
      <c r="F796" t="s">
        <v>219</v>
      </c>
      <c r="G796" t="s">
        <v>223</v>
      </c>
      <c r="H796" t="s">
        <v>1298</v>
      </c>
      <c r="I796">
        <v>36</v>
      </c>
      <c r="J796" s="21">
        <v>45902</v>
      </c>
      <c r="K796" s="21">
        <v>45904</v>
      </c>
      <c r="L796" t="s">
        <v>1876</v>
      </c>
      <c r="M796" t="s">
        <v>1300</v>
      </c>
      <c r="O796" t="s">
        <v>220</v>
      </c>
      <c r="P796">
        <v>5</v>
      </c>
      <c r="Q796">
        <v>2.5</v>
      </c>
      <c r="R796">
        <v>2</v>
      </c>
      <c r="S796">
        <v>10</v>
      </c>
      <c r="T796">
        <v>5</v>
      </c>
      <c r="U796" t="s">
        <v>1050</v>
      </c>
      <c r="V796" t="s">
        <v>847</v>
      </c>
      <c r="W796" t="s">
        <v>532</v>
      </c>
      <c r="X796">
        <v>2</v>
      </c>
      <c r="Y796" t="s">
        <v>1296</v>
      </c>
      <c r="AA796">
        <v>30.4</v>
      </c>
      <c r="AB796">
        <v>304</v>
      </c>
      <c r="AC796">
        <v>152</v>
      </c>
    </row>
    <row r="797" spans="2:29" ht="15" customHeight="1" x14ac:dyDescent="0.15">
      <c r="B797">
        <v>4</v>
      </c>
      <c r="C797" t="s">
        <v>386</v>
      </c>
      <c r="D797" t="s">
        <v>1877</v>
      </c>
      <c r="E797">
        <v>1</v>
      </c>
      <c r="F797" t="s">
        <v>416</v>
      </c>
      <c r="G797" t="s">
        <v>1036</v>
      </c>
      <c r="H797" t="s">
        <v>562</v>
      </c>
      <c r="I797">
        <v>36</v>
      </c>
      <c r="J797" s="21">
        <v>45902</v>
      </c>
      <c r="K797" s="21">
        <v>45902</v>
      </c>
      <c r="L797" t="s">
        <v>1878</v>
      </c>
      <c r="M797" t="s">
        <v>1038</v>
      </c>
      <c r="O797" t="s">
        <v>226</v>
      </c>
      <c r="P797">
        <v>1</v>
      </c>
      <c r="Q797">
        <v>1</v>
      </c>
      <c r="R797">
        <v>173.6</v>
      </c>
      <c r="S797">
        <v>173.6</v>
      </c>
      <c r="T797">
        <v>173.6</v>
      </c>
      <c r="U797" t="s">
        <v>391</v>
      </c>
      <c r="V797" t="s">
        <v>392</v>
      </c>
      <c r="W797" t="s">
        <v>392</v>
      </c>
      <c r="X797">
        <v>1</v>
      </c>
      <c r="Y797" t="s">
        <v>750</v>
      </c>
      <c r="AA797">
        <v>6.7</v>
      </c>
      <c r="AB797" s="22">
        <v>1163.1199999999999</v>
      </c>
      <c r="AC797" s="22">
        <v>1163.1199999999999</v>
      </c>
    </row>
    <row r="798" spans="2:29" ht="15" customHeight="1" x14ac:dyDescent="0.15">
      <c r="B798">
        <v>4</v>
      </c>
      <c r="C798" t="s">
        <v>386</v>
      </c>
      <c r="D798" t="s">
        <v>1879</v>
      </c>
      <c r="E798">
        <v>1</v>
      </c>
      <c r="F798" t="s">
        <v>219</v>
      </c>
      <c r="G798" t="s">
        <v>218</v>
      </c>
      <c r="H798" t="s">
        <v>394</v>
      </c>
      <c r="I798">
        <v>36</v>
      </c>
      <c r="J798" s="21">
        <v>45903</v>
      </c>
      <c r="K798" s="21">
        <v>45904</v>
      </c>
      <c r="L798" t="s">
        <v>1880</v>
      </c>
      <c r="M798" t="s">
        <v>396</v>
      </c>
      <c r="O798" t="s">
        <v>220</v>
      </c>
      <c r="P798">
        <v>1</v>
      </c>
      <c r="Q798">
        <v>1</v>
      </c>
      <c r="R798">
        <v>1</v>
      </c>
      <c r="S798">
        <v>1</v>
      </c>
      <c r="T798">
        <v>1</v>
      </c>
      <c r="U798" t="s">
        <v>391</v>
      </c>
      <c r="V798" t="s">
        <v>392</v>
      </c>
      <c r="W798" t="s">
        <v>392</v>
      </c>
      <c r="X798">
        <v>1</v>
      </c>
      <c r="Y798" t="s">
        <v>1637</v>
      </c>
      <c r="AA798">
        <v>784.7</v>
      </c>
      <c r="AB798">
        <v>784.7</v>
      </c>
      <c r="AC798">
        <v>784.7</v>
      </c>
    </row>
    <row r="799" spans="2:29" ht="15" customHeight="1" x14ac:dyDescent="0.15">
      <c r="B799">
        <v>4</v>
      </c>
      <c r="C799" t="s">
        <v>386</v>
      </c>
      <c r="D799" t="s">
        <v>1879</v>
      </c>
      <c r="E799">
        <v>2</v>
      </c>
      <c r="F799" t="s">
        <v>219</v>
      </c>
      <c r="G799" t="s">
        <v>244</v>
      </c>
      <c r="H799" t="s">
        <v>1513</v>
      </c>
      <c r="I799">
        <v>36</v>
      </c>
      <c r="J799" s="21">
        <v>45903</v>
      </c>
      <c r="K799" s="21">
        <v>45904</v>
      </c>
      <c r="L799" t="s">
        <v>1881</v>
      </c>
      <c r="M799" t="s">
        <v>1515</v>
      </c>
      <c r="O799" t="s">
        <v>220</v>
      </c>
      <c r="P799">
        <v>5</v>
      </c>
      <c r="Q799">
        <v>5</v>
      </c>
      <c r="R799">
        <v>1</v>
      </c>
      <c r="S799">
        <v>5</v>
      </c>
      <c r="T799">
        <v>5</v>
      </c>
      <c r="U799" t="s">
        <v>391</v>
      </c>
      <c r="V799" t="s">
        <v>392</v>
      </c>
      <c r="W799" t="s">
        <v>392</v>
      </c>
      <c r="X799">
        <v>1</v>
      </c>
      <c r="Y799" t="s">
        <v>1637</v>
      </c>
      <c r="AA799">
        <v>75.19</v>
      </c>
      <c r="AB799">
        <v>375.95</v>
      </c>
      <c r="AC799">
        <v>375.95</v>
      </c>
    </row>
    <row r="800" spans="2:29" ht="15" customHeight="1" x14ac:dyDescent="0.15">
      <c r="B800">
        <v>4</v>
      </c>
      <c r="C800" t="s">
        <v>386</v>
      </c>
      <c r="D800" t="s">
        <v>1882</v>
      </c>
      <c r="E800">
        <v>1</v>
      </c>
      <c r="F800" t="s">
        <v>219</v>
      </c>
      <c r="G800" t="s">
        <v>244</v>
      </c>
      <c r="H800" t="s">
        <v>1513</v>
      </c>
      <c r="I800">
        <v>36</v>
      </c>
      <c r="J800" s="21">
        <v>45903</v>
      </c>
      <c r="K800" s="21">
        <v>45904</v>
      </c>
      <c r="L800" t="s">
        <v>1883</v>
      </c>
      <c r="M800" t="s">
        <v>1515</v>
      </c>
      <c r="O800" t="s">
        <v>220</v>
      </c>
      <c r="P800">
        <v>2</v>
      </c>
      <c r="Q800">
        <v>2</v>
      </c>
      <c r="R800">
        <v>1</v>
      </c>
      <c r="S800">
        <v>2</v>
      </c>
      <c r="T800">
        <v>2</v>
      </c>
      <c r="U800" t="s">
        <v>391</v>
      </c>
      <c r="V800" t="s">
        <v>392</v>
      </c>
      <c r="W800" t="s">
        <v>392</v>
      </c>
      <c r="X800">
        <v>1</v>
      </c>
      <c r="Y800" t="s">
        <v>750</v>
      </c>
      <c r="AA800">
        <v>75.19</v>
      </c>
      <c r="AB800">
        <v>150.38</v>
      </c>
      <c r="AC800">
        <v>150.38</v>
      </c>
    </row>
    <row r="801" spans="2:29" ht="15" customHeight="1" x14ac:dyDescent="0.15">
      <c r="B801">
        <v>4</v>
      </c>
      <c r="C801" t="s">
        <v>386</v>
      </c>
      <c r="D801" t="s">
        <v>1884</v>
      </c>
      <c r="E801">
        <v>1</v>
      </c>
      <c r="F801" t="s">
        <v>219</v>
      </c>
      <c r="G801" t="s">
        <v>244</v>
      </c>
      <c r="H801" t="s">
        <v>1513</v>
      </c>
      <c r="I801">
        <v>36</v>
      </c>
      <c r="J801" s="21">
        <v>45904</v>
      </c>
      <c r="K801" s="21">
        <v>45904</v>
      </c>
      <c r="L801" t="s">
        <v>1885</v>
      </c>
      <c r="M801" t="s">
        <v>1515</v>
      </c>
      <c r="O801" t="s">
        <v>220</v>
      </c>
      <c r="P801">
        <v>1</v>
      </c>
      <c r="Q801">
        <v>1</v>
      </c>
      <c r="R801">
        <v>5</v>
      </c>
      <c r="S801">
        <v>5</v>
      </c>
      <c r="T801">
        <v>5</v>
      </c>
      <c r="U801" t="s">
        <v>391</v>
      </c>
      <c r="V801" t="s">
        <v>392</v>
      </c>
      <c r="W801" t="s">
        <v>392</v>
      </c>
      <c r="X801">
        <v>1</v>
      </c>
      <c r="Y801" t="s">
        <v>1839</v>
      </c>
      <c r="AA801">
        <v>75.19</v>
      </c>
      <c r="AB801">
        <v>375.95</v>
      </c>
      <c r="AC801">
        <v>375.95</v>
      </c>
    </row>
    <row r="802" spans="2:29" ht="15" customHeight="1" x14ac:dyDescent="0.15">
      <c r="B802">
        <v>4</v>
      </c>
      <c r="C802" t="s">
        <v>386</v>
      </c>
      <c r="D802" t="s">
        <v>1886</v>
      </c>
      <c r="E802">
        <v>1</v>
      </c>
      <c r="F802" t="s">
        <v>219</v>
      </c>
      <c r="G802" t="s">
        <v>218</v>
      </c>
      <c r="H802" t="s">
        <v>394</v>
      </c>
      <c r="I802">
        <v>36</v>
      </c>
      <c r="J802" s="21">
        <v>45904</v>
      </c>
      <c r="K802" s="21">
        <v>45904</v>
      </c>
      <c r="L802" t="s">
        <v>1887</v>
      </c>
      <c r="M802" t="s">
        <v>396</v>
      </c>
      <c r="O802" t="s">
        <v>220</v>
      </c>
      <c r="P802">
        <v>1</v>
      </c>
      <c r="Q802">
        <v>1</v>
      </c>
      <c r="R802">
        <v>1</v>
      </c>
      <c r="S802">
        <v>1</v>
      </c>
      <c r="T802">
        <v>1</v>
      </c>
      <c r="U802" t="s">
        <v>391</v>
      </c>
      <c r="V802" t="s">
        <v>392</v>
      </c>
      <c r="W802" t="s">
        <v>392</v>
      </c>
      <c r="X802">
        <v>1</v>
      </c>
      <c r="Y802" t="s">
        <v>1888</v>
      </c>
      <c r="AA802">
        <v>784.7</v>
      </c>
      <c r="AB802">
        <v>784.7</v>
      </c>
      <c r="AC802">
        <v>784.7</v>
      </c>
    </row>
    <row r="803" spans="2:29" ht="15" customHeight="1" x14ac:dyDescent="0.15">
      <c r="B803">
        <v>4</v>
      </c>
      <c r="C803" t="s">
        <v>386</v>
      </c>
      <c r="D803" t="s">
        <v>1886</v>
      </c>
      <c r="E803">
        <v>2</v>
      </c>
      <c r="F803" t="s">
        <v>219</v>
      </c>
      <c r="G803" t="s">
        <v>244</v>
      </c>
      <c r="H803" t="s">
        <v>1513</v>
      </c>
      <c r="I803">
        <v>36</v>
      </c>
      <c r="J803" s="21">
        <v>45904</v>
      </c>
      <c r="K803" s="21">
        <v>45904</v>
      </c>
      <c r="L803" t="s">
        <v>1889</v>
      </c>
      <c r="M803" t="s">
        <v>1515</v>
      </c>
      <c r="O803" t="s">
        <v>220</v>
      </c>
      <c r="P803">
        <v>1</v>
      </c>
      <c r="Q803">
        <v>1</v>
      </c>
      <c r="R803">
        <v>2</v>
      </c>
      <c r="S803">
        <v>2</v>
      </c>
      <c r="T803">
        <v>2</v>
      </c>
      <c r="U803" t="s">
        <v>391</v>
      </c>
      <c r="V803" t="s">
        <v>392</v>
      </c>
      <c r="W803" t="s">
        <v>392</v>
      </c>
      <c r="X803">
        <v>1</v>
      </c>
      <c r="Y803" t="s">
        <v>1888</v>
      </c>
      <c r="AA803">
        <v>75.19</v>
      </c>
      <c r="AB803">
        <v>150.38</v>
      </c>
      <c r="AC803">
        <v>150.38</v>
      </c>
    </row>
    <row r="804" spans="2:29" ht="15" customHeight="1" x14ac:dyDescent="0.15">
      <c r="B804">
        <v>4</v>
      </c>
      <c r="C804" t="s">
        <v>386</v>
      </c>
      <c r="D804" t="s">
        <v>1890</v>
      </c>
      <c r="E804">
        <v>1</v>
      </c>
      <c r="F804" t="s">
        <v>201</v>
      </c>
      <c r="G804" t="s">
        <v>470</v>
      </c>
      <c r="H804" t="s">
        <v>471</v>
      </c>
      <c r="I804">
        <v>36</v>
      </c>
      <c r="J804" s="21">
        <v>45904</v>
      </c>
      <c r="K804" s="21">
        <v>45904</v>
      </c>
      <c r="L804" t="s">
        <v>1891</v>
      </c>
      <c r="M804" t="s">
        <v>473</v>
      </c>
      <c r="O804" t="s">
        <v>226</v>
      </c>
      <c r="P804">
        <v>2</v>
      </c>
      <c r="Q804">
        <v>2</v>
      </c>
      <c r="R804">
        <v>100</v>
      </c>
      <c r="S804">
        <v>200</v>
      </c>
      <c r="T804">
        <v>200</v>
      </c>
      <c r="U804" t="s">
        <v>391</v>
      </c>
      <c r="V804" t="s">
        <v>392</v>
      </c>
      <c r="W804" t="s">
        <v>392</v>
      </c>
      <c r="X804">
        <v>1</v>
      </c>
      <c r="Y804" t="s">
        <v>1892</v>
      </c>
      <c r="AA804">
        <v>2.16</v>
      </c>
      <c r="AB804">
        <v>432</v>
      </c>
      <c r="AC804">
        <v>432</v>
      </c>
    </row>
    <row r="805" spans="2:29" ht="15" customHeight="1" x14ac:dyDescent="0.15">
      <c r="B805">
        <v>4</v>
      </c>
      <c r="C805" t="s">
        <v>386</v>
      </c>
      <c r="D805" t="s">
        <v>1890</v>
      </c>
      <c r="E805">
        <v>2</v>
      </c>
      <c r="F805" t="s">
        <v>201</v>
      </c>
      <c r="G805" t="s">
        <v>200</v>
      </c>
      <c r="H805" t="s">
        <v>475</v>
      </c>
      <c r="I805">
        <v>36</v>
      </c>
      <c r="J805" s="21">
        <v>45904</v>
      </c>
      <c r="K805" s="21">
        <v>45904</v>
      </c>
      <c r="L805" t="s">
        <v>1893</v>
      </c>
      <c r="M805" t="s">
        <v>631</v>
      </c>
      <c r="O805" t="s">
        <v>226</v>
      </c>
      <c r="P805">
        <v>2</v>
      </c>
      <c r="Q805">
        <v>2</v>
      </c>
      <c r="R805">
        <v>100</v>
      </c>
      <c r="S805">
        <v>200</v>
      </c>
      <c r="T805">
        <v>200</v>
      </c>
      <c r="U805" t="s">
        <v>391</v>
      </c>
      <c r="V805" t="s">
        <v>392</v>
      </c>
      <c r="W805" t="s">
        <v>392</v>
      </c>
      <c r="X805">
        <v>1</v>
      </c>
      <c r="Y805" t="s">
        <v>1892</v>
      </c>
      <c r="AA805">
        <v>3.53</v>
      </c>
      <c r="AB805">
        <v>706</v>
      </c>
      <c r="AC805">
        <v>706</v>
      </c>
    </row>
    <row r="806" spans="2:29" ht="15" customHeight="1" x14ac:dyDescent="0.15">
      <c r="B806">
        <v>4</v>
      </c>
      <c r="C806" t="s">
        <v>386</v>
      </c>
      <c r="D806" t="s">
        <v>1894</v>
      </c>
      <c r="E806">
        <v>1</v>
      </c>
      <c r="F806" t="s">
        <v>219</v>
      </c>
      <c r="G806" t="s">
        <v>231</v>
      </c>
      <c r="H806" t="s">
        <v>433</v>
      </c>
      <c r="I806">
        <v>36</v>
      </c>
      <c r="J806" s="21">
        <v>45905</v>
      </c>
      <c r="K806" s="21">
        <v>45905</v>
      </c>
      <c r="L806" t="s">
        <v>1895</v>
      </c>
      <c r="M806" t="s">
        <v>1030</v>
      </c>
      <c r="O806" t="s">
        <v>220</v>
      </c>
      <c r="P806">
        <v>2</v>
      </c>
      <c r="Q806">
        <v>1</v>
      </c>
      <c r="R806">
        <v>0.12</v>
      </c>
      <c r="S806">
        <v>0.24</v>
      </c>
      <c r="T806">
        <v>0.12</v>
      </c>
      <c r="U806" t="s">
        <v>805</v>
      </c>
      <c r="V806" t="s">
        <v>806</v>
      </c>
      <c r="W806" t="s">
        <v>532</v>
      </c>
      <c r="X806">
        <v>2</v>
      </c>
      <c r="Y806" t="s">
        <v>455</v>
      </c>
      <c r="AA806">
        <v>21.83</v>
      </c>
      <c r="AB806">
        <v>5.24</v>
      </c>
      <c r="AC806">
        <v>2.62</v>
      </c>
    </row>
    <row r="807" spans="2:29" ht="15" customHeight="1" x14ac:dyDescent="0.15">
      <c r="B807">
        <v>4</v>
      </c>
      <c r="C807" t="s">
        <v>386</v>
      </c>
      <c r="D807" t="s">
        <v>1894</v>
      </c>
      <c r="E807">
        <v>2</v>
      </c>
      <c r="F807" t="s">
        <v>219</v>
      </c>
      <c r="G807" t="s">
        <v>218</v>
      </c>
      <c r="H807" t="s">
        <v>908</v>
      </c>
      <c r="I807">
        <v>36</v>
      </c>
      <c r="J807" s="21">
        <v>45905</v>
      </c>
      <c r="K807" s="21">
        <v>45905</v>
      </c>
      <c r="L807" t="s">
        <v>1896</v>
      </c>
      <c r="M807" t="s">
        <v>1027</v>
      </c>
      <c r="O807" t="s">
        <v>220</v>
      </c>
      <c r="P807">
        <v>2</v>
      </c>
      <c r="Q807">
        <v>1</v>
      </c>
      <c r="R807">
        <v>0.3</v>
      </c>
      <c r="S807">
        <v>0.6</v>
      </c>
      <c r="T807">
        <v>0.3</v>
      </c>
      <c r="U807" t="s">
        <v>805</v>
      </c>
      <c r="V807" t="s">
        <v>806</v>
      </c>
      <c r="W807" t="s">
        <v>532</v>
      </c>
      <c r="X807">
        <v>2</v>
      </c>
      <c r="Y807" t="s">
        <v>455</v>
      </c>
      <c r="AA807">
        <v>31.3</v>
      </c>
      <c r="AB807">
        <v>18.78</v>
      </c>
      <c r="AC807">
        <v>9.39</v>
      </c>
    </row>
    <row r="808" spans="2:29" ht="15" customHeight="1" x14ac:dyDescent="0.15">
      <c r="B808">
        <v>4</v>
      </c>
      <c r="C808" t="s">
        <v>386</v>
      </c>
      <c r="D808" t="s">
        <v>1894</v>
      </c>
      <c r="E808">
        <v>3</v>
      </c>
      <c r="F808" t="s">
        <v>219</v>
      </c>
      <c r="G808" t="s">
        <v>239</v>
      </c>
      <c r="H808" t="s">
        <v>861</v>
      </c>
      <c r="I808">
        <v>36</v>
      </c>
      <c r="J808" s="21">
        <v>45905</v>
      </c>
      <c r="K808" s="21">
        <v>45905</v>
      </c>
      <c r="L808" t="s">
        <v>1897</v>
      </c>
      <c r="M808" t="s">
        <v>863</v>
      </c>
      <c r="O808" t="s">
        <v>220</v>
      </c>
      <c r="P808">
        <v>2</v>
      </c>
      <c r="Q808">
        <v>1</v>
      </c>
      <c r="R808">
        <v>2</v>
      </c>
      <c r="S808">
        <v>4</v>
      </c>
      <c r="T808">
        <v>2</v>
      </c>
      <c r="U808" t="s">
        <v>805</v>
      </c>
      <c r="V808" t="s">
        <v>806</v>
      </c>
      <c r="W808" t="s">
        <v>532</v>
      </c>
      <c r="X808">
        <v>2</v>
      </c>
      <c r="Y808" t="s">
        <v>455</v>
      </c>
      <c r="AA808">
        <v>29.14</v>
      </c>
      <c r="AB808">
        <v>116.56</v>
      </c>
      <c r="AC808">
        <v>58.28</v>
      </c>
    </row>
    <row r="809" spans="2:29" ht="15" customHeight="1" x14ac:dyDescent="0.15">
      <c r="B809">
        <v>4</v>
      </c>
      <c r="C809" t="s">
        <v>386</v>
      </c>
      <c r="D809" t="s">
        <v>1894</v>
      </c>
      <c r="E809">
        <v>4</v>
      </c>
      <c r="F809" t="s">
        <v>219</v>
      </c>
      <c r="G809" t="s">
        <v>239</v>
      </c>
      <c r="H809" t="s">
        <v>1695</v>
      </c>
      <c r="I809">
        <v>36</v>
      </c>
      <c r="J809" s="21">
        <v>45905</v>
      </c>
      <c r="K809" s="21">
        <v>45905</v>
      </c>
      <c r="L809" t="s">
        <v>1898</v>
      </c>
      <c r="M809" t="s">
        <v>1697</v>
      </c>
      <c r="O809" t="s">
        <v>220</v>
      </c>
      <c r="P809">
        <v>2</v>
      </c>
      <c r="Q809">
        <v>1</v>
      </c>
      <c r="R809">
        <v>1</v>
      </c>
      <c r="S809">
        <v>2</v>
      </c>
      <c r="T809">
        <v>1</v>
      </c>
      <c r="U809" t="s">
        <v>805</v>
      </c>
      <c r="V809" t="s">
        <v>806</v>
      </c>
      <c r="W809" t="s">
        <v>532</v>
      </c>
      <c r="X809">
        <v>2</v>
      </c>
      <c r="Y809" t="s">
        <v>455</v>
      </c>
      <c r="AA809">
        <v>26.7</v>
      </c>
      <c r="AB809">
        <v>53.4</v>
      </c>
      <c r="AC809">
        <v>26.7</v>
      </c>
    </row>
    <row r="810" spans="2:29" ht="15" customHeight="1" x14ac:dyDescent="0.15">
      <c r="B810">
        <v>4</v>
      </c>
      <c r="C810" t="s">
        <v>386</v>
      </c>
      <c r="D810" t="s">
        <v>1899</v>
      </c>
      <c r="E810">
        <v>1</v>
      </c>
      <c r="F810" t="s">
        <v>219</v>
      </c>
      <c r="G810" t="s">
        <v>231</v>
      </c>
      <c r="H810" t="s">
        <v>433</v>
      </c>
      <c r="I810">
        <v>36</v>
      </c>
      <c r="J810" s="21">
        <v>45906</v>
      </c>
      <c r="K810" s="21">
        <v>45906</v>
      </c>
      <c r="L810" t="s">
        <v>1900</v>
      </c>
      <c r="M810" t="s">
        <v>1030</v>
      </c>
      <c r="O810" t="s">
        <v>220</v>
      </c>
      <c r="P810">
        <v>2</v>
      </c>
      <c r="Q810">
        <v>1</v>
      </c>
      <c r="R810">
        <v>0.12</v>
      </c>
      <c r="S810">
        <v>0.24</v>
      </c>
      <c r="T810">
        <v>0.12</v>
      </c>
      <c r="U810" t="s">
        <v>1056</v>
      </c>
      <c r="V810" t="s">
        <v>1057</v>
      </c>
      <c r="W810" t="s">
        <v>532</v>
      </c>
      <c r="X810">
        <v>2</v>
      </c>
      <c r="Y810" t="s">
        <v>455</v>
      </c>
      <c r="AA810">
        <v>21.83</v>
      </c>
      <c r="AB810">
        <v>5.24</v>
      </c>
      <c r="AC810">
        <v>2.62</v>
      </c>
    </row>
    <row r="811" spans="2:29" ht="15" customHeight="1" x14ac:dyDescent="0.15">
      <c r="B811">
        <v>4</v>
      </c>
      <c r="C811" t="s">
        <v>386</v>
      </c>
      <c r="D811" t="s">
        <v>1899</v>
      </c>
      <c r="E811">
        <v>2</v>
      </c>
      <c r="F811" t="s">
        <v>219</v>
      </c>
      <c r="G811" t="s">
        <v>218</v>
      </c>
      <c r="H811" t="s">
        <v>864</v>
      </c>
      <c r="I811">
        <v>36</v>
      </c>
      <c r="J811" s="21">
        <v>45906</v>
      </c>
      <c r="K811" s="21">
        <v>45906</v>
      </c>
      <c r="L811" t="s">
        <v>1901</v>
      </c>
      <c r="M811" t="s">
        <v>866</v>
      </c>
      <c r="O811" t="s">
        <v>220</v>
      </c>
      <c r="P811">
        <v>2</v>
      </c>
      <c r="Q811">
        <v>1</v>
      </c>
      <c r="R811">
        <v>0.2</v>
      </c>
      <c r="S811">
        <v>0.4</v>
      </c>
      <c r="T811">
        <v>0.2</v>
      </c>
      <c r="U811" t="s">
        <v>1056</v>
      </c>
      <c r="V811" t="s">
        <v>1057</v>
      </c>
      <c r="W811" t="s">
        <v>532</v>
      </c>
      <c r="X811">
        <v>2</v>
      </c>
      <c r="Y811" t="s">
        <v>455</v>
      </c>
      <c r="AA811">
        <v>70.3</v>
      </c>
      <c r="AB811">
        <v>28.12</v>
      </c>
      <c r="AC811">
        <v>14.06</v>
      </c>
    </row>
    <row r="812" spans="2:29" ht="15" customHeight="1" x14ac:dyDescent="0.15">
      <c r="B812">
        <v>4</v>
      </c>
      <c r="C812" t="s">
        <v>386</v>
      </c>
      <c r="D812" t="s">
        <v>1899</v>
      </c>
      <c r="E812">
        <v>3</v>
      </c>
      <c r="F812" t="s">
        <v>219</v>
      </c>
      <c r="G812" t="s">
        <v>244</v>
      </c>
      <c r="H812" t="s">
        <v>1093</v>
      </c>
      <c r="I812">
        <v>36</v>
      </c>
      <c r="J812" s="21">
        <v>45906</v>
      </c>
      <c r="K812" s="21">
        <v>45906</v>
      </c>
      <c r="L812" t="s">
        <v>1902</v>
      </c>
      <c r="M812" t="s">
        <v>1095</v>
      </c>
      <c r="O812" t="s">
        <v>220</v>
      </c>
      <c r="P812">
        <v>2</v>
      </c>
      <c r="Q812">
        <v>1</v>
      </c>
      <c r="R812">
        <v>0.75</v>
      </c>
      <c r="S812">
        <v>1.5</v>
      </c>
      <c r="T812">
        <v>0.75</v>
      </c>
      <c r="U812" t="s">
        <v>1056</v>
      </c>
      <c r="V812" t="s">
        <v>1057</v>
      </c>
      <c r="W812" t="s">
        <v>532</v>
      </c>
      <c r="X812">
        <v>2</v>
      </c>
      <c r="Y812" t="s">
        <v>455</v>
      </c>
      <c r="AA812">
        <v>92.42</v>
      </c>
      <c r="AB812">
        <v>138.63</v>
      </c>
      <c r="AC812">
        <v>69.319999999999993</v>
      </c>
    </row>
    <row r="813" spans="2:29" ht="15" customHeight="1" x14ac:dyDescent="0.15">
      <c r="B813">
        <v>4</v>
      </c>
      <c r="C813" t="s">
        <v>386</v>
      </c>
      <c r="D813" t="s">
        <v>1899</v>
      </c>
      <c r="E813">
        <v>4</v>
      </c>
      <c r="F813" t="s">
        <v>219</v>
      </c>
      <c r="G813" t="s">
        <v>218</v>
      </c>
      <c r="H813" t="s">
        <v>1501</v>
      </c>
      <c r="I813">
        <v>36</v>
      </c>
      <c r="J813" s="21">
        <v>45906</v>
      </c>
      <c r="K813" s="21">
        <v>45906</v>
      </c>
      <c r="L813" t="s">
        <v>1903</v>
      </c>
      <c r="M813" t="s">
        <v>1503</v>
      </c>
      <c r="O813" t="s">
        <v>220</v>
      </c>
      <c r="P813">
        <v>2</v>
      </c>
      <c r="Q813">
        <v>1</v>
      </c>
      <c r="R813">
        <v>0.1</v>
      </c>
      <c r="S813">
        <v>0.2</v>
      </c>
      <c r="T813">
        <v>0.1</v>
      </c>
      <c r="U813" t="s">
        <v>1056</v>
      </c>
      <c r="V813" t="s">
        <v>1057</v>
      </c>
      <c r="W813" t="s">
        <v>532</v>
      </c>
      <c r="X813">
        <v>2</v>
      </c>
      <c r="Y813" t="s">
        <v>455</v>
      </c>
      <c r="AA813">
        <v>138.1</v>
      </c>
      <c r="AB813">
        <v>27.62</v>
      </c>
      <c r="AC813">
        <v>13.81</v>
      </c>
    </row>
    <row r="814" spans="2:29" ht="15" customHeight="1" x14ac:dyDescent="0.15">
      <c r="B814">
        <v>4</v>
      </c>
      <c r="C814" t="s">
        <v>386</v>
      </c>
      <c r="D814" t="s">
        <v>1904</v>
      </c>
      <c r="E814">
        <v>1</v>
      </c>
      <c r="F814" t="s">
        <v>416</v>
      </c>
      <c r="G814" t="s">
        <v>1036</v>
      </c>
      <c r="H814" t="s">
        <v>562</v>
      </c>
      <c r="I814">
        <v>36</v>
      </c>
      <c r="J814" s="21">
        <v>45906</v>
      </c>
      <c r="K814" s="21">
        <v>45906</v>
      </c>
      <c r="L814" t="s">
        <v>1905</v>
      </c>
      <c r="M814" t="s">
        <v>1038</v>
      </c>
      <c r="O814" t="s">
        <v>226</v>
      </c>
      <c r="P814">
        <v>1</v>
      </c>
      <c r="Q814">
        <v>1</v>
      </c>
      <c r="R814">
        <v>80.8</v>
      </c>
      <c r="S814">
        <v>80.8</v>
      </c>
      <c r="T814">
        <v>80.8</v>
      </c>
      <c r="U814" t="s">
        <v>391</v>
      </c>
      <c r="V814" t="s">
        <v>392</v>
      </c>
      <c r="W814" t="s">
        <v>392</v>
      </c>
      <c r="X814">
        <v>1</v>
      </c>
      <c r="Y814" t="s">
        <v>893</v>
      </c>
      <c r="AA814">
        <v>6.7</v>
      </c>
      <c r="AB814">
        <v>541.36</v>
      </c>
      <c r="AC814">
        <v>541.36</v>
      </c>
    </row>
    <row r="815" spans="2:29" ht="15" customHeight="1" x14ac:dyDescent="0.15">
      <c r="B815">
        <v>4</v>
      </c>
      <c r="C815" t="s">
        <v>386</v>
      </c>
      <c r="D815" t="s">
        <v>1906</v>
      </c>
      <c r="E815">
        <v>1</v>
      </c>
      <c r="F815" t="s">
        <v>219</v>
      </c>
      <c r="G815" t="s">
        <v>231</v>
      </c>
      <c r="H815" t="s">
        <v>433</v>
      </c>
      <c r="I815">
        <v>36</v>
      </c>
      <c r="J815" s="21">
        <v>45906</v>
      </c>
      <c r="K815" s="21">
        <v>45906</v>
      </c>
      <c r="L815" t="s">
        <v>1907</v>
      </c>
      <c r="M815" t="s">
        <v>1030</v>
      </c>
      <c r="O815" t="s">
        <v>220</v>
      </c>
      <c r="P815">
        <v>3</v>
      </c>
      <c r="Q815">
        <v>3</v>
      </c>
      <c r="R815">
        <v>0.15</v>
      </c>
      <c r="S815">
        <v>0.45</v>
      </c>
      <c r="T815">
        <v>0.45</v>
      </c>
      <c r="U815" t="s">
        <v>391</v>
      </c>
      <c r="V815" t="s">
        <v>392</v>
      </c>
      <c r="W815" t="s">
        <v>392</v>
      </c>
      <c r="X815">
        <v>1</v>
      </c>
      <c r="Y815" t="s">
        <v>1477</v>
      </c>
      <c r="AA815">
        <v>21.83</v>
      </c>
      <c r="AB815">
        <v>9.82</v>
      </c>
      <c r="AC815">
        <v>9.82</v>
      </c>
    </row>
    <row r="816" spans="2:29" ht="15" customHeight="1" x14ac:dyDescent="0.15">
      <c r="B816">
        <v>4</v>
      </c>
      <c r="C816" t="s">
        <v>386</v>
      </c>
      <c r="D816" t="s">
        <v>1906</v>
      </c>
      <c r="E816">
        <v>2</v>
      </c>
      <c r="F816" t="s">
        <v>219</v>
      </c>
      <c r="G816" t="s">
        <v>218</v>
      </c>
      <c r="H816" t="s">
        <v>397</v>
      </c>
      <c r="I816">
        <v>36</v>
      </c>
      <c r="J816" s="21">
        <v>45906</v>
      </c>
      <c r="K816" s="21">
        <v>45906</v>
      </c>
      <c r="L816" t="s">
        <v>1908</v>
      </c>
      <c r="M816" t="s">
        <v>454</v>
      </c>
      <c r="O816" t="s">
        <v>220</v>
      </c>
      <c r="P816">
        <v>3</v>
      </c>
      <c r="Q816">
        <v>3</v>
      </c>
      <c r="R816">
        <v>0.2</v>
      </c>
      <c r="S816">
        <v>0.6</v>
      </c>
      <c r="T816">
        <v>0.6</v>
      </c>
      <c r="U816" t="s">
        <v>391</v>
      </c>
      <c r="V816" t="s">
        <v>392</v>
      </c>
      <c r="W816" t="s">
        <v>392</v>
      </c>
      <c r="X816">
        <v>1</v>
      </c>
      <c r="Y816" t="s">
        <v>1477</v>
      </c>
      <c r="AA816">
        <v>686.05</v>
      </c>
      <c r="AB816">
        <v>411.63</v>
      </c>
      <c r="AC816">
        <v>411.63</v>
      </c>
    </row>
    <row r="817" spans="2:29" ht="15" customHeight="1" x14ac:dyDescent="0.15">
      <c r="B817">
        <v>4</v>
      </c>
      <c r="C817" t="s">
        <v>386</v>
      </c>
      <c r="D817" t="s">
        <v>1906</v>
      </c>
      <c r="E817">
        <v>3</v>
      </c>
      <c r="F817" t="s">
        <v>219</v>
      </c>
      <c r="G817" t="s">
        <v>218</v>
      </c>
      <c r="H817" t="s">
        <v>1366</v>
      </c>
      <c r="I817">
        <v>36</v>
      </c>
      <c r="J817" s="21">
        <v>45906</v>
      </c>
      <c r="K817" s="21">
        <v>45906</v>
      </c>
      <c r="L817" t="s">
        <v>1909</v>
      </c>
      <c r="M817" t="s">
        <v>1368</v>
      </c>
      <c r="O817" t="s">
        <v>220</v>
      </c>
      <c r="P817">
        <v>3</v>
      </c>
      <c r="Q817">
        <v>3</v>
      </c>
      <c r="R817">
        <v>0.15</v>
      </c>
      <c r="S817">
        <v>0.45</v>
      </c>
      <c r="T817">
        <v>0.45</v>
      </c>
      <c r="U817" t="s">
        <v>391</v>
      </c>
      <c r="V817" t="s">
        <v>392</v>
      </c>
      <c r="W817" t="s">
        <v>392</v>
      </c>
      <c r="X817">
        <v>1</v>
      </c>
      <c r="Y817" t="s">
        <v>1477</v>
      </c>
      <c r="AA817">
        <v>784.7</v>
      </c>
      <c r="AB817">
        <v>353.12</v>
      </c>
      <c r="AC817">
        <v>353.12</v>
      </c>
    </row>
    <row r="818" spans="2:29" ht="15" customHeight="1" x14ac:dyDescent="0.15">
      <c r="B818">
        <v>4</v>
      </c>
      <c r="C818" t="s">
        <v>386</v>
      </c>
      <c r="D818" t="s">
        <v>1906</v>
      </c>
      <c r="E818">
        <v>4</v>
      </c>
      <c r="F818" t="s">
        <v>219</v>
      </c>
      <c r="G818" t="s">
        <v>218</v>
      </c>
      <c r="H818" t="s">
        <v>1422</v>
      </c>
      <c r="I818">
        <v>36</v>
      </c>
      <c r="J818" s="21">
        <v>45906</v>
      </c>
      <c r="K818" s="21">
        <v>45906</v>
      </c>
      <c r="L818" t="s">
        <v>1910</v>
      </c>
      <c r="M818" t="s">
        <v>1424</v>
      </c>
      <c r="O818" t="s">
        <v>220</v>
      </c>
      <c r="P818">
        <v>3</v>
      </c>
      <c r="Q818">
        <v>3</v>
      </c>
      <c r="R818">
        <v>0.15</v>
      </c>
      <c r="S818">
        <v>0.45</v>
      </c>
      <c r="T818">
        <v>0.45</v>
      </c>
      <c r="U818" t="s">
        <v>391</v>
      </c>
      <c r="V818" t="s">
        <v>392</v>
      </c>
      <c r="W818" t="s">
        <v>392</v>
      </c>
      <c r="X818">
        <v>1</v>
      </c>
      <c r="Y818" t="s">
        <v>1477</v>
      </c>
      <c r="AA818">
        <v>489.99</v>
      </c>
      <c r="AB818">
        <v>220.5</v>
      </c>
      <c r="AC818">
        <v>220.5</v>
      </c>
    </row>
    <row r="819" spans="2:29" ht="15" customHeight="1" x14ac:dyDescent="0.15">
      <c r="B819">
        <v>4</v>
      </c>
      <c r="C819" t="s">
        <v>386</v>
      </c>
      <c r="D819" t="s">
        <v>1906</v>
      </c>
      <c r="E819">
        <v>5</v>
      </c>
      <c r="F819" t="s">
        <v>219</v>
      </c>
      <c r="G819" t="s">
        <v>244</v>
      </c>
      <c r="H819" t="s">
        <v>1513</v>
      </c>
      <c r="I819">
        <v>36</v>
      </c>
      <c r="J819" s="21">
        <v>45906</v>
      </c>
      <c r="K819" s="21">
        <v>45906</v>
      </c>
      <c r="L819" t="s">
        <v>1911</v>
      </c>
      <c r="M819" t="s">
        <v>1515</v>
      </c>
      <c r="O819" t="s">
        <v>220</v>
      </c>
      <c r="P819">
        <v>3</v>
      </c>
      <c r="Q819">
        <v>3</v>
      </c>
      <c r="R819">
        <v>0.5</v>
      </c>
      <c r="S819">
        <v>1.5</v>
      </c>
      <c r="T819">
        <v>1.5</v>
      </c>
      <c r="U819" t="s">
        <v>391</v>
      </c>
      <c r="V819" t="s">
        <v>392</v>
      </c>
      <c r="W819" t="s">
        <v>392</v>
      </c>
      <c r="X819">
        <v>1</v>
      </c>
      <c r="Y819" t="s">
        <v>1477</v>
      </c>
      <c r="AA819">
        <v>75.19</v>
      </c>
      <c r="AB819">
        <v>112.79</v>
      </c>
      <c r="AC819">
        <v>112.79</v>
      </c>
    </row>
    <row r="820" spans="2:29" ht="15" customHeight="1" x14ac:dyDescent="0.15">
      <c r="B820">
        <v>4</v>
      </c>
      <c r="C820" t="s">
        <v>386</v>
      </c>
      <c r="D820" t="s">
        <v>1906</v>
      </c>
      <c r="E820">
        <v>6</v>
      </c>
      <c r="F820" t="s">
        <v>219</v>
      </c>
      <c r="G820" t="s">
        <v>239</v>
      </c>
      <c r="H820" t="s">
        <v>1618</v>
      </c>
      <c r="I820">
        <v>36</v>
      </c>
      <c r="J820" s="21">
        <v>45906</v>
      </c>
      <c r="K820" s="21">
        <v>45906</v>
      </c>
      <c r="L820" t="s">
        <v>1912</v>
      </c>
      <c r="M820" t="s">
        <v>1620</v>
      </c>
      <c r="O820" t="s">
        <v>220</v>
      </c>
      <c r="P820">
        <v>3</v>
      </c>
      <c r="Q820">
        <v>3</v>
      </c>
      <c r="R820">
        <v>0.04</v>
      </c>
      <c r="S820">
        <v>0.12</v>
      </c>
      <c r="T820">
        <v>0.12</v>
      </c>
      <c r="U820" t="s">
        <v>391</v>
      </c>
      <c r="V820" t="s">
        <v>392</v>
      </c>
      <c r="W820" t="s">
        <v>392</v>
      </c>
      <c r="X820">
        <v>1</v>
      </c>
      <c r="Y820" t="s">
        <v>1477</v>
      </c>
      <c r="AA820" s="22">
        <v>1301.72</v>
      </c>
      <c r="AB820">
        <v>156.21</v>
      </c>
      <c r="AC820">
        <v>156.21</v>
      </c>
    </row>
    <row r="821" spans="2:29" ht="15" customHeight="1" x14ac:dyDescent="0.15">
      <c r="B821">
        <v>4</v>
      </c>
      <c r="C821" t="s">
        <v>386</v>
      </c>
      <c r="D821" t="s">
        <v>1906</v>
      </c>
      <c r="E821">
        <v>7</v>
      </c>
      <c r="F821" t="s">
        <v>219</v>
      </c>
      <c r="G821" t="s">
        <v>239</v>
      </c>
      <c r="H821" t="s">
        <v>456</v>
      </c>
      <c r="I821">
        <v>36</v>
      </c>
      <c r="J821" s="21">
        <v>45906</v>
      </c>
      <c r="K821" s="21">
        <v>45906</v>
      </c>
      <c r="L821" t="s">
        <v>1913</v>
      </c>
      <c r="M821" t="s">
        <v>458</v>
      </c>
      <c r="O821" t="s">
        <v>220</v>
      </c>
      <c r="P821">
        <v>3</v>
      </c>
      <c r="Q821">
        <v>3</v>
      </c>
      <c r="R821">
        <v>0.5</v>
      </c>
      <c r="S821">
        <v>1.5</v>
      </c>
      <c r="T821">
        <v>1.5</v>
      </c>
      <c r="U821" t="s">
        <v>391</v>
      </c>
      <c r="V821" t="s">
        <v>392</v>
      </c>
      <c r="W821" t="s">
        <v>392</v>
      </c>
      <c r="X821">
        <v>1</v>
      </c>
      <c r="Y821" t="s">
        <v>1477</v>
      </c>
      <c r="AA821">
        <v>49.99</v>
      </c>
      <c r="AB821">
        <v>74.989999999999995</v>
      </c>
      <c r="AC821">
        <v>74.989999999999995</v>
      </c>
    </row>
    <row r="822" spans="2:29" ht="15" customHeight="1" x14ac:dyDescent="0.15">
      <c r="B822">
        <v>4</v>
      </c>
      <c r="C822" t="s">
        <v>386</v>
      </c>
      <c r="D822" t="s">
        <v>1914</v>
      </c>
      <c r="E822">
        <v>1</v>
      </c>
      <c r="F822" t="s">
        <v>219</v>
      </c>
      <c r="G822" t="s">
        <v>231</v>
      </c>
      <c r="H822" t="s">
        <v>433</v>
      </c>
      <c r="I822">
        <v>36</v>
      </c>
      <c r="J822" s="21">
        <v>45906</v>
      </c>
      <c r="K822" s="21">
        <v>45906</v>
      </c>
      <c r="L822" t="s">
        <v>1915</v>
      </c>
      <c r="M822" t="s">
        <v>1030</v>
      </c>
      <c r="O822" t="s">
        <v>220</v>
      </c>
      <c r="P822">
        <v>8</v>
      </c>
      <c r="Q822">
        <v>8</v>
      </c>
      <c r="R822">
        <v>0.15</v>
      </c>
      <c r="S822">
        <v>1.2</v>
      </c>
      <c r="T822">
        <v>1.2</v>
      </c>
      <c r="U822" t="s">
        <v>391</v>
      </c>
      <c r="V822" t="s">
        <v>392</v>
      </c>
      <c r="W822" t="s">
        <v>392</v>
      </c>
      <c r="X822">
        <v>1</v>
      </c>
      <c r="Y822" t="s">
        <v>893</v>
      </c>
      <c r="AA822">
        <v>21.83</v>
      </c>
      <c r="AB822">
        <v>26.2</v>
      </c>
      <c r="AC822">
        <v>26.2</v>
      </c>
    </row>
    <row r="823" spans="2:29" ht="15" customHeight="1" x14ac:dyDescent="0.15">
      <c r="B823">
        <v>4</v>
      </c>
      <c r="C823" t="s">
        <v>386</v>
      </c>
      <c r="D823" t="s">
        <v>1914</v>
      </c>
      <c r="E823">
        <v>2</v>
      </c>
      <c r="F823" t="s">
        <v>219</v>
      </c>
      <c r="G823" t="s">
        <v>218</v>
      </c>
      <c r="H823" t="s">
        <v>397</v>
      </c>
      <c r="I823">
        <v>36</v>
      </c>
      <c r="J823" s="21">
        <v>45906</v>
      </c>
      <c r="K823" s="21">
        <v>45906</v>
      </c>
      <c r="L823" t="s">
        <v>1916</v>
      </c>
      <c r="M823" t="s">
        <v>454</v>
      </c>
      <c r="O823" t="s">
        <v>220</v>
      </c>
      <c r="P823">
        <v>8</v>
      </c>
      <c r="Q823">
        <v>8</v>
      </c>
      <c r="R823">
        <v>0.2</v>
      </c>
      <c r="S823">
        <v>1.6</v>
      </c>
      <c r="T823">
        <v>1.6</v>
      </c>
      <c r="U823" t="s">
        <v>391</v>
      </c>
      <c r="V823" t="s">
        <v>392</v>
      </c>
      <c r="W823" t="s">
        <v>392</v>
      </c>
      <c r="X823">
        <v>1</v>
      </c>
      <c r="Y823" t="s">
        <v>893</v>
      </c>
      <c r="AA823">
        <v>686.05</v>
      </c>
      <c r="AB823" s="22">
        <v>1097.68</v>
      </c>
      <c r="AC823" s="22">
        <v>1097.68</v>
      </c>
    </row>
    <row r="824" spans="2:29" ht="15" customHeight="1" x14ac:dyDescent="0.15">
      <c r="B824">
        <v>4</v>
      </c>
      <c r="C824" t="s">
        <v>386</v>
      </c>
      <c r="D824" t="s">
        <v>1914</v>
      </c>
      <c r="E824">
        <v>3</v>
      </c>
      <c r="F824" t="s">
        <v>219</v>
      </c>
      <c r="G824" t="s">
        <v>218</v>
      </c>
      <c r="H824" t="s">
        <v>394</v>
      </c>
      <c r="I824">
        <v>36</v>
      </c>
      <c r="J824" s="21">
        <v>45906</v>
      </c>
      <c r="K824" s="21">
        <v>45906</v>
      </c>
      <c r="L824" t="s">
        <v>1917</v>
      </c>
      <c r="M824" t="s">
        <v>396</v>
      </c>
      <c r="O824" t="s">
        <v>220</v>
      </c>
      <c r="P824">
        <v>8</v>
      </c>
      <c r="Q824">
        <v>8</v>
      </c>
      <c r="R824">
        <v>0.15</v>
      </c>
      <c r="S824">
        <v>1.2</v>
      </c>
      <c r="T824">
        <v>1.2</v>
      </c>
      <c r="U824" t="s">
        <v>391</v>
      </c>
      <c r="V824" t="s">
        <v>392</v>
      </c>
      <c r="W824" t="s">
        <v>392</v>
      </c>
      <c r="X824">
        <v>1</v>
      </c>
      <c r="Y824" t="s">
        <v>893</v>
      </c>
      <c r="AA824">
        <v>784.7</v>
      </c>
      <c r="AB824">
        <v>941.64</v>
      </c>
      <c r="AC824">
        <v>941.64</v>
      </c>
    </row>
    <row r="825" spans="2:29" ht="15" customHeight="1" x14ac:dyDescent="0.15">
      <c r="B825">
        <v>4</v>
      </c>
      <c r="C825" t="s">
        <v>386</v>
      </c>
      <c r="D825" t="s">
        <v>1914</v>
      </c>
      <c r="E825">
        <v>4</v>
      </c>
      <c r="F825" t="s">
        <v>219</v>
      </c>
      <c r="G825" t="s">
        <v>244</v>
      </c>
      <c r="H825" t="s">
        <v>1513</v>
      </c>
      <c r="I825">
        <v>36</v>
      </c>
      <c r="J825" s="21">
        <v>45906</v>
      </c>
      <c r="K825" s="21">
        <v>45906</v>
      </c>
      <c r="L825" t="s">
        <v>1918</v>
      </c>
      <c r="M825" t="s">
        <v>1515</v>
      </c>
      <c r="O825" t="s">
        <v>220</v>
      </c>
      <c r="P825">
        <v>8</v>
      </c>
      <c r="Q825">
        <v>8</v>
      </c>
      <c r="R825">
        <v>0.5</v>
      </c>
      <c r="S825">
        <v>4</v>
      </c>
      <c r="T825">
        <v>4</v>
      </c>
      <c r="U825" t="s">
        <v>391</v>
      </c>
      <c r="V825" t="s">
        <v>392</v>
      </c>
      <c r="W825" t="s">
        <v>392</v>
      </c>
      <c r="X825">
        <v>1</v>
      </c>
      <c r="Y825" t="s">
        <v>893</v>
      </c>
      <c r="AA825">
        <v>75.19</v>
      </c>
      <c r="AB825">
        <v>300.76</v>
      </c>
      <c r="AC825">
        <v>300.76</v>
      </c>
    </row>
    <row r="826" spans="2:29" ht="15" customHeight="1" x14ac:dyDescent="0.15">
      <c r="B826">
        <v>4</v>
      </c>
      <c r="C826" t="s">
        <v>386</v>
      </c>
      <c r="D826" t="s">
        <v>1919</v>
      </c>
      <c r="E826">
        <v>1</v>
      </c>
      <c r="F826" t="s">
        <v>219</v>
      </c>
      <c r="G826" t="s">
        <v>231</v>
      </c>
      <c r="H826" t="s">
        <v>433</v>
      </c>
      <c r="I826">
        <v>37</v>
      </c>
      <c r="J826" s="21">
        <v>45908</v>
      </c>
      <c r="K826" s="21">
        <v>45908</v>
      </c>
      <c r="L826" t="s">
        <v>1920</v>
      </c>
      <c r="M826" t="s">
        <v>1030</v>
      </c>
      <c r="O826" t="s">
        <v>220</v>
      </c>
      <c r="P826">
        <v>2</v>
      </c>
      <c r="Q826">
        <v>1</v>
      </c>
      <c r="R826">
        <v>0.12</v>
      </c>
      <c r="S826">
        <v>0.24</v>
      </c>
      <c r="T826">
        <v>0.12</v>
      </c>
      <c r="U826" t="s">
        <v>1050</v>
      </c>
      <c r="V826" t="s">
        <v>847</v>
      </c>
      <c r="W826" t="s">
        <v>532</v>
      </c>
      <c r="X826">
        <v>2</v>
      </c>
      <c r="Y826" t="s">
        <v>455</v>
      </c>
      <c r="AA826">
        <v>21.83</v>
      </c>
      <c r="AB826">
        <v>5.24</v>
      </c>
      <c r="AC826">
        <v>2.62</v>
      </c>
    </row>
    <row r="827" spans="2:29" ht="15" customHeight="1" x14ac:dyDescent="0.15">
      <c r="B827">
        <v>4</v>
      </c>
      <c r="C827" t="s">
        <v>386</v>
      </c>
      <c r="D827" t="s">
        <v>1919</v>
      </c>
      <c r="E827">
        <v>2</v>
      </c>
      <c r="F827" t="s">
        <v>219</v>
      </c>
      <c r="G827" t="s">
        <v>239</v>
      </c>
      <c r="H827" t="s">
        <v>517</v>
      </c>
      <c r="I827">
        <v>37</v>
      </c>
      <c r="J827" s="21">
        <v>45908</v>
      </c>
      <c r="K827" s="21">
        <v>45908</v>
      </c>
      <c r="L827" t="s">
        <v>1921</v>
      </c>
      <c r="M827" t="s">
        <v>614</v>
      </c>
      <c r="O827" t="s">
        <v>220</v>
      </c>
      <c r="P827">
        <v>2</v>
      </c>
      <c r="Q827">
        <v>1</v>
      </c>
      <c r="R827">
        <v>0.5</v>
      </c>
      <c r="S827">
        <v>1</v>
      </c>
      <c r="T827">
        <v>0.5</v>
      </c>
      <c r="U827" t="s">
        <v>1050</v>
      </c>
      <c r="V827" t="s">
        <v>847</v>
      </c>
      <c r="W827" t="s">
        <v>532</v>
      </c>
      <c r="X827">
        <v>2</v>
      </c>
      <c r="Y827" t="s">
        <v>455</v>
      </c>
      <c r="AA827">
        <v>65</v>
      </c>
      <c r="AB827">
        <v>65</v>
      </c>
      <c r="AC827">
        <v>32.5</v>
      </c>
    </row>
    <row r="828" spans="2:29" ht="15" customHeight="1" x14ac:dyDescent="0.15">
      <c r="B828">
        <v>4</v>
      </c>
      <c r="C828" t="s">
        <v>386</v>
      </c>
      <c r="D828" t="s">
        <v>1919</v>
      </c>
      <c r="E828">
        <v>3</v>
      </c>
      <c r="F828" t="s">
        <v>219</v>
      </c>
      <c r="G828" t="s">
        <v>218</v>
      </c>
      <c r="H828" t="s">
        <v>908</v>
      </c>
      <c r="I828">
        <v>37</v>
      </c>
      <c r="J828" s="21">
        <v>45908</v>
      </c>
      <c r="K828" s="21">
        <v>45908</v>
      </c>
      <c r="L828" t="s">
        <v>1922</v>
      </c>
      <c r="M828" t="s">
        <v>1027</v>
      </c>
      <c r="O828" t="s">
        <v>220</v>
      </c>
      <c r="P828">
        <v>2</v>
      </c>
      <c r="Q828">
        <v>1</v>
      </c>
      <c r="R828">
        <v>0.3</v>
      </c>
      <c r="S828">
        <v>0.6</v>
      </c>
      <c r="T828">
        <v>0.3</v>
      </c>
      <c r="U828" t="s">
        <v>1050</v>
      </c>
      <c r="V828" t="s">
        <v>847</v>
      </c>
      <c r="W828" t="s">
        <v>532</v>
      </c>
      <c r="X828">
        <v>2</v>
      </c>
      <c r="Y828" t="s">
        <v>455</v>
      </c>
      <c r="AA828">
        <v>31.3</v>
      </c>
      <c r="AB828">
        <v>18.78</v>
      </c>
      <c r="AC828">
        <v>9.39</v>
      </c>
    </row>
    <row r="829" spans="2:29" ht="15" customHeight="1" x14ac:dyDescent="0.15">
      <c r="B829">
        <v>4</v>
      </c>
      <c r="C829" t="s">
        <v>386</v>
      </c>
      <c r="D829" t="s">
        <v>1919</v>
      </c>
      <c r="E829">
        <v>4</v>
      </c>
      <c r="F829" t="s">
        <v>219</v>
      </c>
      <c r="G829" t="s">
        <v>239</v>
      </c>
      <c r="H829" t="s">
        <v>1695</v>
      </c>
      <c r="I829">
        <v>37</v>
      </c>
      <c r="J829" s="21">
        <v>45908</v>
      </c>
      <c r="K829" s="21">
        <v>45908</v>
      </c>
      <c r="L829" t="s">
        <v>1923</v>
      </c>
      <c r="M829" t="s">
        <v>1697</v>
      </c>
      <c r="O829" t="s">
        <v>220</v>
      </c>
      <c r="P829">
        <v>2</v>
      </c>
      <c r="Q829">
        <v>1</v>
      </c>
      <c r="R829">
        <v>1</v>
      </c>
      <c r="S829">
        <v>2</v>
      </c>
      <c r="T829">
        <v>1</v>
      </c>
      <c r="U829" t="s">
        <v>1050</v>
      </c>
      <c r="V829" t="s">
        <v>847</v>
      </c>
      <c r="W829" t="s">
        <v>532</v>
      </c>
      <c r="X829">
        <v>2</v>
      </c>
      <c r="Y829" t="s">
        <v>455</v>
      </c>
      <c r="AA829">
        <v>26.7</v>
      </c>
      <c r="AB829">
        <v>53.4</v>
      </c>
      <c r="AC829">
        <v>26.7</v>
      </c>
    </row>
    <row r="830" spans="2:29" ht="15" customHeight="1" x14ac:dyDescent="0.15">
      <c r="B830">
        <v>4</v>
      </c>
      <c r="C830" t="s">
        <v>386</v>
      </c>
      <c r="D830" t="s">
        <v>1924</v>
      </c>
      <c r="E830">
        <v>1</v>
      </c>
      <c r="F830" t="s">
        <v>201</v>
      </c>
      <c r="G830" t="s">
        <v>337</v>
      </c>
      <c r="H830" t="s">
        <v>1123</v>
      </c>
      <c r="I830">
        <v>37</v>
      </c>
      <c r="J830" s="21">
        <v>45908</v>
      </c>
      <c r="K830" s="21">
        <v>45908</v>
      </c>
      <c r="L830" t="s">
        <v>1925</v>
      </c>
      <c r="M830" t="s">
        <v>1125</v>
      </c>
      <c r="O830" t="s">
        <v>226</v>
      </c>
      <c r="P830">
        <v>0</v>
      </c>
      <c r="R830">
        <v>4</v>
      </c>
      <c r="S830">
        <v>0.16</v>
      </c>
      <c r="U830" t="s">
        <v>982</v>
      </c>
      <c r="V830" t="s">
        <v>982</v>
      </c>
      <c r="W830" t="s">
        <v>496</v>
      </c>
      <c r="Y830" t="s">
        <v>1331</v>
      </c>
      <c r="AA830">
        <v>0.78</v>
      </c>
      <c r="AB830">
        <v>0.12</v>
      </c>
      <c r="AC830">
        <v>0</v>
      </c>
    </row>
    <row r="831" spans="2:29" ht="15" customHeight="1" x14ac:dyDescent="0.15">
      <c r="B831">
        <v>4</v>
      </c>
      <c r="C831" t="s">
        <v>386</v>
      </c>
      <c r="D831" t="s">
        <v>1924</v>
      </c>
      <c r="E831">
        <v>2</v>
      </c>
      <c r="F831" t="s">
        <v>201</v>
      </c>
      <c r="G831" t="s">
        <v>337</v>
      </c>
      <c r="H831" t="s">
        <v>475</v>
      </c>
      <c r="I831">
        <v>37</v>
      </c>
      <c r="J831" s="21">
        <v>45908</v>
      </c>
      <c r="K831" s="21">
        <v>45908</v>
      </c>
      <c r="L831" t="s">
        <v>1926</v>
      </c>
      <c r="M831" t="s">
        <v>477</v>
      </c>
      <c r="O831" t="s">
        <v>226</v>
      </c>
      <c r="P831">
        <v>0</v>
      </c>
      <c r="R831">
        <v>20</v>
      </c>
      <c r="S831">
        <v>0.8</v>
      </c>
      <c r="U831" t="s">
        <v>982</v>
      </c>
      <c r="V831" t="s">
        <v>982</v>
      </c>
      <c r="W831" t="s">
        <v>496</v>
      </c>
      <c r="Y831" t="s">
        <v>1331</v>
      </c>
      <c r="AA831">
        <v>4.88</v>
      </c>
      <c r="AB831">
        <v>3.9</v>
      </c>
      <c r="AC831">
        <v>0</v>
      </c>
    </row>
    <row r="832" spans="2:29" ht="15" customHeight="1" x14ac:dyDescent="0.15">
      <c r="B832">
        <v>4</v>
      </c>
      <c r="C832" t="s">
        <v>386</v>
      </c>
      <c r="D832" t="s">
        <v>1924</v>
      </c>
      <c r="E832">
        <v>3</v>
      </c>
      <c r="F832" t="s">
        <v>201</v>
      </c>
      <c r="G832" t="s">
        <v>337</v>
      </c>
      <c r="H832" t="s">
        <v>1128</v>
      </c>
      <c r="I832">
        <v>37</v>
      </c>
      <c r="J832" s="21">
        <v>45908</v>
      </c>
      <c r="K832" s="21">
        <v>45908</v>
      </c>
      <c r="L832" t="s">
        <v>1927</v>
      </c>
      <c r="M832" t="s">
        <v>1130</v>
      </c>
      <c r="O832" t="s">
        <v>226</v>
      </c>
      <c r="P832">
        <v>0</v>
      </c>
      <c r="R832">
        <v>0.5</v>
      </c>
      <c r="S832">
        <v>0.02</v>
      </c>
      <c r="U832" t="s">
        <v>982</v>
      </c>
      <c r="V832" t="s">
        <v>982</v>
      </c>
      <c r="W832" t="s">
        <v>496</v>
      </c>
      <c r="Y832" t="s">
        <v>1331</v>
      </c>
      <c r="AA832">
        <v>5.61</v>
      </c>
      <c r="AB832">
        <v>0.11</v>
      </c>
      <c r="AC832">
        <v>0</v>
      </c>
    </row>
    <row r="833" spans="2:29" ht="15" customHeight="1" x14ac:dyDescent="0.15">
      <c r="B833">
        <v>4</v>
      </c>
      <c r="C833" t="s">
        <v>386</v>
      </c>
      <c r="D833" t="s">
        <v>1924</v>
      </c>
      <c r="E833">
        <v>4</v>
      </c>
      <c r="F833" t="s">
        <v>201</v>
      </c>
      <c r="G833" t="s">
        <v>337</v>
      </c>
      <c r="H833" t="s">
        <v>1132</v>
      </c>
      <c r="I833">
        <v>37</v>
      </c>
      <c r="J833" s="21">
        <v>45908</v>
      </c>
      <c r="K833" s="21">
        <v>45908</v>
      </c>
      <c r="L833" t="s">
        <v>1928</v>
      </c>
      <c r="M833" t="s">
        <v>1134</v>
      </c>
      <c r="O833" t="s">
        <v>226</v>
      </c>
      <c r="P833">
        <v>0</v>
      </c>
      <c r="R833">
        <v>5</v>
      </c>
      <c r="S833">
        <v>0.2</v>
      </c>
      <c r="U833" t="s">
        <v>982</v>
      </c>
      <c r="V833" t="s">
        <v>982</v>
      </c>
      <c r="W833" t="s">
        <v>496</v>
      </c>
      <c r="Y833" t="s">
        <v>1331</v>
      </c>
      <c r="AA833">
        <v>5.28</v>
      </c>
      <c r="AB833">
        <v>1.06</v>
      </c>
      <c r="AC833">
        <v>0</v>
      </c>
    </row>
    <row r="834" spans="2:29" ht="15" customHeight="1" x14ac:dyDescent="0.15">
      <c r="B834">
        <v>4</v>
      </c>
      <c r="C834" t="s">
        <v>386</v>
      </c>
      <c r="D834" t="s">
        <v>1924</v>
      </c>
      <c r="E834">
        <v>5</v>
      </c>
      <c r="F834" t="s">
        <v>201</v>
      </c>
      <c r="G834" t="s">
        <v>337</v>
      </c>
      <c r="H834" t="s">
        <v>921</v>
      </c>
      <c r="I834">
        <v>37</v>
      </c>
      <c r="J834" s="21">
        <v>45908</v>
      </c>
      <c r="K834" s="21">
        <v>45908</v>
      </c>
      <c r="L834" t="s">
        <v>1929</v>
      </c>
      <c r="M834" t="s">
        <v>923</v>
      </c>
      <c r="O834" t="s">
        <v>226</v>
      </c>
      <c r="P834">
        <v>0</v>
      </c>
      <c r="R834">
        <v>10</v>
      </c>
      <c r="S834">
        <v>0.4</v>
      </c>
      <c r="U834" t="s">
        <v>982</v>
      </c>
      <c r="V834" t="s">
        <v>982</v>
      </c>
      <c r="W834" t="s">
        <v>496</v>
      </c>
      <c r="Y834" t="s">
        <v>1331</v>
      </c>
      <c r="AA834">
        <v>7.37</v>
      </c>
      <c r="AB834">
        <v>2.95</v>
      </c>
      <c r="AC834">
        <v>0</v>
      </c>
    </row>
    <row r="835" spans="2:29" ht="15" customHeight="1" x14ac:dyDescent="0.15">
      <c r="B835">
        <v>4</v>
      </c>
      <c r="C835" t="s">
        <v>386</v>
      </c>
      <c r="D835" t="s">
        <v>1930</v>
      </c>
      <c r="E835">
        <v>1</v>
      </c>
      <c r="F835" t="s">
        <v>219</v>
      </c>
      <c r="G835" t="s">
        <v>231</v>
      </c>
      <c r="H835" t="s">
        <v>433</v>
      </c>
      <c r="I835">
        <v>37</v>
      </c>
      <c r="J835" s="21">
        <v>45908</v>
      </c>
      <c r="K835" s="21">
        <v>45908</v>
      </c>
      <c r="L835" t="s">
        <v>1931</v>
      </c>
      <c r="M835" t="s">
        <v>1030</v>
      </c>
      <c r="O835" t="s">
        <v>220</v>
      </c>
      <c r="P835">
        <v>0</v>
      </c>
      <c r="R835">
        <v>0.12</v>
      </c>
      <c r="S835">
        <v>1.2E-2</v>
      </c>
      <c r="U835" t="s">
        <v>982</v>
      </c>
      <c r="V835" t="s">
        <v>982</v>
      </c>
      <c r="W835" t="s">
        <v>496</v>
      </c>
      <c r="Y835" t="s">
        <v>455</v>
      </c>
      <c r="AA835">
        <v>21.83</v>
      </c>
      <c r="AB835">
        <v>0.26</v>
      </c>
      <c r="AC835">
        <v>0</v>
      </c>
    </row>
    <row r="836" spans="2:29" ht="15" customHeight="1" x14ac:dyDescent="0.15">
      <c r="B836">
        <v>4</v>
      </c>
      <c r="C836" t="s">
        <v>386</v>
      </c>
      <c r="D836" t="s">
        <v>1930</v>
      </c>
      <c r="E836">
        <v>2</v>
      </c>
      <c r="F836" t="s">
        <v>219</v>
      </c>
      <c r="G836" t="s">
        <v>218</v>
      </c>
      <c r="H836" t="s">
        <v>397</v>
      </c>
      <c r="I836">
        <v>37</v>
      </c>
      <c r="J836" s="21">
        <v>45908</v>
      </c>
      <c r="K836" s="21">
        <v>45908</v>
      </c>
      <c r="L836" t="s">
        <v>1932</v>
      </c>
      <c r="M836" t="s">
        <v>454</v>
      </c>
      <c r="O836" t="s">
        <v>220</v>
      </c>
      <c r="P836">
        <v>0</v>
      </c>
      <c r="R836">
        <v>0.2</v>
      </c>
      <c r="S836">
        <v>0.02</v>
      </c>
      <c r="U836" t="s">
        <v>982</v>
      </c>
      <c r="V836" t="s">
        <v>982</v>
      </c>
      <c r="W836" t="s">
        <v>496</v>
      </c>
      <c r="Y836" t="s">
        <v>455</v>
      </c>
      <c r="AA836">
        <v>686.05</v>
      </c>
      <c r="AB836">
        <v>13.72</v>
      </c>
      <c r="AC836">
        <v>0</v>
      </c>
    </row>
    <row r="837" spans="2:29" ht="15" customHeight="1" x14ac:dyDescent="0.15">
      <c r="B837">
        <v>4</v>
      </c>
      <c r="C837" t="s">
        <v>386</v>
      </c>
      <c r="D837" t="s">
        <v>1930</v>
      </c>
      <c r="E837">
        <v>3</v>
      </c>
      <c r="F837" t="s">
        <v>219</v>
      </c>
      <c r="G837" t="s">
        <v>218</v>
      </c>
      <c r="H837" t="s">
        <v>394</v>
      </c>
      <c r="I837">
        <v>37</v>
      </c>
      <c r="J837" s="21">
        <v>45908</v>
      </c>
      <c r="K837" s="21">
        <v>45908</v>
      </c>
      <c r="L837" t="s">
        <v>1933</v>
      </c>
      <c r="M837" t="s">
        <v>396</v>
      </c>
      <c r="O837" t="s">
        <v>220</v>
      </c>
      <c r="P837">
        <v>0</v>
      </c>
      <c r="R837">
        <v>0.12</v>
      </c>
      <c r="S837">
        <v>1.2E-2</v>
      </c>
      <c r="U837" t="s">
        <v>982</v>
      </c>
      <c r="V837" t="s">
        <v>982</v>
      </c>
      <c r="W837" t="s">
        <v>496</v>
      </c>
      <c r="Y837" t="s">
        <v>455</v>
      </c>
      <c r="AA837">
        <v>784.7</v>
      </c>
      <c r="AB837">
        <v>9.42</v>
      </c>
      <c r="AC837">
        <v>0</v>
      </c>
    </row>
    <row r="838" spans="2:29" ht="15" customHeight="1" x14ac:dyDescent="0.15">
      <c r="B838">
        <v>4</v>
      </c>
      <c r="C838" t="s">
        <v>386</v>
      </c>
      <c r="D838" t="s">
        <v>1930</v>
      </c>
      <c r="E838">
        <v>4</v>
      </c>
      <c r="F838" t="s">
        <v>219</v>
      </c>
      <c r="G838" t="s">
        <v>239</v>
      </c>
      <c r="H838" t="s">
        <v>1934</v>
      </c>
      <c r="I838">
        <v>37</v>
      </c>
      <c r="J838" s="21">
        <v>45908</v>
      </c>
      <c r="K838" s="21">
        <v>45908</v>
      </c>
      <c r="L838" t="s">
        <v>1935</v>
      </c>
      <c r="M838" t="s">
        <v>1936</v>
      </c>
      <c r="O838" t="s">
        <v>220</v>
      </c>
      <c r="P838">
        <v>0</v>
      </c>
      <c r="R838">
        <v>0.5</v>
      </c>
      <c r="S838">
        <v>0.05</v>
      </c>
      <c r="U838" t="s">
        <v>982</v>
      </c>
      <c r="V838" t="s">
        <v>982</v>
      </c>
      <c r="W838" t="s">
        <v>496</v>
      </c>
      <c r="Y838" t="s">
        <v>455</v>
      </c>
      <c r="AA838">
        <v>250</v>
      </c>
      <c r="AB838">
        <v>12.5</v>
      </c>
      <c r="AC838">
        <v>0</v>
      </c>
    </row>
    <row r="839" spans="2:29" ht="15" customHeight="1" x14ac:dyDescent="0.15">
      <c r="B839">
        <v>4</v>
      </c>
      <c r="C839" t="s">
        <v>386</v>
      </c>
      <c r="D839" t="s">
        <v>1930</v>
      </c>
      <c r="E839">
        <v>5</v>
      </c>
      <c r="F839" t="s">
        <v>219</v>
      </c>
      <c r="G839" t="s">
        <v>239</v>
      </c>
      <c r="H839" t="s">
        <v>517</v>
      </c>
      <c r="I839">
        <v>37</v>
      </c>
      <c r="J839" s="21">
        <v>45908</v>
      </c>
      <c r="K839" s="21">
        <v>45908</v>
      </c>
      <c r="L839" t="s">
        <v>1937</v>
      </c>
      <c r="M839" t="s">
        <v>614</v>
      </c>
      <c r="O839" t="s">
        <v>220</v>
      </c>
      <c r="P839">
        <v>0</v>
      </c>
      <c r="R839">
        <v>0.5</v>
      </c>
      <c r="S839">
        <v>0.05</v>
      </c>
      <c r="U839" t="s">
        <v>982</v>
      </c>
      <c r="V839" t="s">
        <v>982</v>
      </c>
      <c r="W839" t="s">
        <v>496</v>
      </c>
      <c r="Y839" t="s">
        <v>455</v>
      </c>
      <c r="AA839">
        <v>65</v>
      </c>
      <c r="AB839">
        <v>3.25</v>
      </c>
      <c r="AC839">
        <v>0</v>
      </c>
    </row>
    <row r="840" spans="2:29" ht="15" customHeight="1" x14ac:dyDescent="0.15">
      <c r="B840">
        <v>4</v>
      </c>
      <c r="C840" t="s">
        <v>386</v>
      </c>
      <c r="D840" t="s">
        <v>1938</v>
      </c>
      <c r="E840">
        <v>1</v>
      </c>
      <c r="F840" t="s">
        <v>219</v>
      </c>
      <c r="G840" t="s">
        <v>223</v>
      </c>
      <c r="H840" t="s">
        <v>1298</v>
      </c>
      <c r="I840">
        <v>37</v>
      </c>
      <c r="J840" s="21">
        <v>45908</v>
      </c>
      <c r="K840" s="21">
        <v>45908</v>
      </c>
      <c r="L840" t="s">
        <v>1939</v>
      </c>
      <c r="M840" t="s">
        <v>1300</v>
      </c>
      <c r="O840" t="s">
        <v>220</v>
      </c>
      <c r="P840">
        <v>4</v>
      </c>
      <c r="Q840">
        <v>2.35</v>
      </c>
      <c r="R840">
        <v>3</v>
      </c>
      <c r="S840">
        <v>12</v>
      </c>
      <c r="T840">
        <v>7.06</v>
      </c>
      <c r="U840" t="s">
        <v>1246</v>
      </c>
      <c r="V840" t="s">
        <v>1247</v>
      </c>
      <c r="W840" t="s">
        <v>532</v>
      </c>
      <c r="X840">
        <v>1.7</v>
      </c>
      <c r="Y840" t="s">
        <v>1940</v>
      </c>
      <c r="AA840">
        <v>30.4</v>
      </c>
      <c r="AB840">
        <v>364.8</v>
      </c>
      <c r="AC840">
        <v>214.59</v>
      </c>
    </row>
    <row r="841" spans="2:29" ht="15" customHeight="1" x14ac:dyDescent="0.15">
      <c r="B841">
        <v>4</v>
      </c>
      <c r="C841" t="s">
        <v>386</v>
      </c>
      <c r="D841" t="s">
        <v>1938</v>
      </c>
      <c r="E841">
        <v>2</v>
      </c>
      <c r="F841" t="s">
        <v>219</v>
      </c>
      <c r="G841" t="s">
        <v>1292</v>
      </c>
      <c r="H841" t="s">
        <v>1293</v>
      </c>
      <c r="I841">
        <v>37</v>
      </c>
      <c r="J841" s="21">
        <v>45908</v>
      </c>
      <c r="K841" s="21">
        <v>45908</v>
      </c>
      <c r="L841" t="s">
        <v>1941</v>
      </c>
      <c r="M841" t="s">
        <v>1295</v>
      </c>
      <c r="O841" t="s">
        <v>220</v>
      </c>
      <c r="P841">
        <v>4</v>
      </c>
      <c r="Q841">
        <v>2.35</v>
      </c>
      <c r="R841">
        <v>3</v>
      </c>
      <c r="S841">
        <v>12</v>
      </c>
      <c r="T841">
        <v>7.06</v>
      </c>
      <c r="U841" t="s">
        <v>1246</v>
      </c>
      <c r="V841" t="s">
        <v>1247</v>
      </c>
      <c r="W841" t="s">
        <v>532</v>
      </c>
      <c r="X841">
        <v>1.7</v>
      </c>
      <c r="Y841" t="s">
        <v>1940</v>
      </c>
      <c r="AA841">
        <v>19.75</v>
      </c>
      <c r="AB841">
        <v>237</v>
      </c>
      <c r="AC841">
        <v>139.41</v>
      </c>
    </row>
    <row r="842" spans="2:29" ht="15" customHeight="1" x14ac:dyDescent="0.15">
      <c r="B842">
        <v>4</v>
      </c>
      <c r="C842" t="s">
        <v>386</v>
      </c>
      <c r="D842" t="s">
        <v>1942</v>
      </c>
      <c r="E842">
        <v>1</v>
      </c>
      <c r="F842" t="s">
        <v>416</v>
      </c>
      <c r="G842" t="s">
        <v>1036</v>
      </c>
      <c r="H842" t="s">
        <v>562</v>
      </c>
      <c r="I842">
        <v>37</v>
      </c>
      <c r="J842" s="21">
        <v>45908</v>
      </c>
      <c r="K842" s="21">
        <v>45908</v>
      </c>
      <c r="L842" t="s">
        <v>1943</v>
      </c>
      <c r="M842" t="s">
        <v>1038</v>
      </c>
      <c r="O842" t="s">
        <v>226</v>
      </c>
      <c r="P842">
        <v>1</v>
      </c>
      <c r="Q842">
        <v>1</v>
      </c>
      <c r="R842">
        <v>115.5</v>
      </c>
      <c r="S842">
        <v>115.5</v>
      </c>
      <c r="T842">
        <v>115.5</v>
      </c>
      <c r="U842" t="s">
        <v>391</v>
      </c>
      <c r="V842" t="s">
        <v>392</v>
      </c>
      <c r="W842" t="s">
        <v>392</v>
      </c>
      <c r="X842">
        <v>1</v>
      </c>
      <c r="Y842" t="s">
        <v>750</v>
      </c>
      <c r="AA842">
        <v>6.7</v>
      </c>
      <c r="AB842">
        <v>773.85</v>
      </c>
      <c r="AC842">
        <v>773.85</v>
      </c>
    </row>
    <row r="843" spans="2:29" ht="15" customHeight="1" x14ac:dyDescent="0.15">
      <c r="B843">
        <v>4</v>
      </c>
      <c r="C843" t="s">
        <v>386</v>
      </c>
      <c r="D843" t="s">
        <v>1944</v>
      </c>
      <c r="E843">
        <v>1</v>
      </c>
      <c r="F843" t="s">
        <v>219</v>
      </c>
      <c r="G843" t="s">
        <v>231</v>
      </c>
      <c r="H843" t="s">
        <v>433</v>
      </c>
      <c r="I843">
        <v>37</v>
      </c>
      <c r="J843" s="21">
        <v>45909</v>
      </c>
      <c r="K843" s="21">
        <v>45910</v>
      </c>
      <c r="L843" t="s">
        <v>1945</v>
      </c>
      <c r="M843" t="s">
        <v>1030</v>
      </c>
      <c r="O843" t="s">
        <v>220</v>
      </c>
      <c r="P843">
        <v>0</v>
      </c>
      <c r="Q843">
        <v>0.2</v>
      </c>
      <c r="R843">
        <v>0.12</v>
      </c>
      <c r="S843">
        <v>4.8000000000000001E-2</v>
      </c>
      <c r="T843">
        <v>0.02</v>
      </c>
      <c r="U843" t="s">
        <v>1056</v>
      </c>
      <c r="V843" t="s">
        <v>1057</v>
      </c>
      <c r="W843" t="s">
        <v>532</v>
      </c>
      <c r="X843">
        <v>2</v>
      </c>
      <c r="Y843" t="s">
        <v>438</v>
      </c>
      <c r="AA843">
        <v>21.83</v>
      </c>
      <c r="AB843">
        <v>1.05</v>
      </c>
      <c r="AC843">
        <v>0.52</v>
      </c>
    </row>
    <row r="844" spans="2:29" ht="15" customHeight="1" x14ac:dyDescent="0.15">
      <c r="B844">
        <v>4</v>
      </c>
      <c r="C844" t="s">
        <v>386</v>
      </c>
      <c r="D844" t="s">
        <v>1944</v>
      </c>
      <c r="E844">
        <v>2</v>
      </c>
      <c r="F844" t="s">
        <v>219</v>
      </c>
      <c r="G844" t="s">
        <v>439</v>
      </c>
      <c r="H844" t="s">
        <v>1946</v>
      </c>
      <c r="I844">
        <v>37</v>
      </c>
      <c r="J844" s="21">
        <v>45909</v>
      </c>
      <c r="K844" s="21">
        <v>45910</v>
      </c>
      <c r="L844" t="s">
        <v>1947</v>
      </c>
      <c r="M844" t="s">
        <v>1948</v>
      </c>
      <c r="O844" t="s">
        <v>220</v>
      </c>
      <c r="P844">
        <v>0</v>
      </c>
      <c r="Q844">
        <v>0.2</v>
      </c>
      <c r="R844">
        <v>1</v>
      </c>
      <c r="S844">
        <v>0.4</v>
      </c>
      <c r="T844">
        <v>0.2</v>
      </c>
      <c r="U844" t="s">
        <v>1056</v>
      </c>
      <c r="V844" t="s">
        <v>1057</v>
      </c>
      <c r="W844" t="s">
        <v>532</v>
      </c>
      <c r="X844">
        <v>2</v>
      </c>
      <c r="Y844" t="s">
        <v>438</v>
      </c>
      <c r="AA844">
        <v>190.68</v>
      </c>
      <c r="AB844">
        <v>76.27</v>
      </c>
      <c r="AC844">
        <v>38.14</v>
      </c>
    </row>
    <row r="845" spans="2:29" ht="15" customHeight="1" x14ac:dyDescent="0.15">
      <c r="B845">
        <v>4</v>
      </c>
      <c r="C845" t="s">
        <v>704</v>
      </c>
      <c r="D845" t="s">
        <v>1949</v>
      </c>
      <c r="E845">
        <v>1</v>
      </c>
      <c r="F845" t="s">
        <v>219</v>
      </c>
      <c r="G845" t="s">
        <v>231</v>
      </c>
      <c r="H845" t="s">
        <v>433</v>
      </c>
      <c r="I845">
        <v>37</v>
      </c>
      <c r="J845" s="21">
        <v>45910</v>
      </c>
      <c r="L845" t="s">
        <v>1950</v>
      </c>
      <c r="M845" t="s">
        <v>1030</v>
      </c>
      <c r="O845" t="s">
        <v>220</v>
      </c>
      <c r="P845">
        <v>0</v>
      </c>
      <c r="Q845">
        <v>0</v>
      </c>
      <c r="R845">
        <v>0.15</v>
      </c>
      <c r="S845">
        <v>0</v>
      </c>
      <c r="T845">
        <v>0</v>
      </c>
      <c r="U845" t="s">
        <v>391</v>
      </c>
      <c r="V845" t="s">
        <v>392</v>
      </c>
      <c r="W845" t="s">
        <v>392</v>
      </c>
      <c r="X845">
        <v>1</v>
      </c>
      <c r="Y845" t="s">
        <v>893</v>
      </c>
      <c r="Z845" t="s">
        <v>496</v>
      </c>
      <c r="AA845">
        <v>21.83</v>
      </c>
      <c r="AB845">
        <v>0</v>
      </c>
      <c r="AC845">
        <v>0</v>
      </c>
    </row>
    <row r="846" spans="2:29" ht="15" customHeight="1" x14ac:dyDescent="0.15">
      <c r="B846">
        <v>4</v>
      </c>
      <c r="C846" t="s">
        <v>704</v>
      </c>
      <c r="D846" t="s">
        <v>1949</v>
      </c>
      <c r="E846">
        <v>2</v>
      </c>
      <c r="F846" t="s">
        <v>219</v>
      </c>
      <c r="G846" t="s">
        <v>239</v>
      </c>
      <c r="H846" t="s">
        <v>1618</v>
      </c>
      <c r="I846">
        <v>37</v>
      </c>
      <c r="J846" s="21">
        <v>45910</v>
      </c>
      <c r="L846" t="s">
        <v>1951</v>
      </c>
      <c r="M846" t="s">
        <v>1620</v>
      </c>
      <c r="O846" t="s">
        <v>220</v>
      </c>
      <c r="P846">
        <v>0</v>
      </c>
      <c r="Q846">
        <v>0</v>
      </c>
      <c r="R846">
        <v>0.04</v>
      </c>
      <c r="S846">
        <v>0</v>
      </c>
      <c r="T846">
        <v>0</v>
      </c>
      <c r="U846" t="s">
        <v>391</v>
      </c>
      <c r="V846" t="s">
        <v>392</v>
      </c>
      <c r="W846" t="s">
        <v>392</v>
      </c>
      <c r="X846">
        <v>1</v>
      </c>
      <c r="Y846" t="s">
        <v>893</v>
      </c>
      <c r="Z846" t="s">
        <v>496</v>
      </c>
      <c r="AA846" s="22">
        <v>1301.72</v>
      </c>
      <c r="AB846">
        <v>0</v>
      </c>
      <c r="AC846">
        <v>0</v>
      </c>
    </row>
    <row r="847" spans="2:29" ht="15" customHeight="1" x14ac:dyDescent="0.15">
      <c r="B847">
        <v>4</v>
      </c>
      <c r="C847" t="s">
        <v>704</v>
      </c>
      <c r="D847" t="s">
        <v>1949</v>
      </c>
      <c r="E847">
        <v>3</v>
      </c>
      <c r="F847" t="s">
        <v>219</v>
      </c>
      <c r="G847" t="s">
        <v>239</v>
      </c>
      <c r="H847" t="s">
        <v>517</v>
      </c>
      <c r="I847">
        <v>37</v>
      </c>
      <c r="J847" s="21">
        <v>45910</v>
      </c>
      <c r="L847" t="s">
        <v>1952</v>
      </c>
      <c r="M847" t="s">
        <v>614</v>
      </c>
      <c r="O847" t="s">
        <v>226</v>
      </c>
      <c r="P847">
        <v>0</v>
      </c>
      <c r="Q847">
        <v>0</v>
      </c>
      <c r="R847">
        <v>0.5</v>
      </c>
      <c r="S847">
        <v>0</v>
      </c>
      <c r="T847">
        <v>0</v>
      </c>
      <c r="U847" t="s">
        <v>391</v>
      </c>
      <c r="V847" t="s">
        <v>392</v>
      </c>
      <c r="W847" t="s">
        <v>392</v>
      </c>
      <c r="X847">
        <v>1</v>
      </c>
      <c r="Y847" t="s">
        <v>893</v>
      </c>
      <c r="Z847" t="s">
        <v>496</v>
      </c>
      <c r="AA847">
        <v>65</v>
      </c>
      <c r="AB847">
        <v>0</v>
      </c>
      <c r="AC847">
        <v>0</v>
      </c>
    </row>
    <row r="848" spans="2:29" ht="15" customHeight="1" x14ac:dyDescent="0.15">
      <c r="B848">
        <v>4</v>
      </c>
      <c r="C848" t="s">
        <v>704</v>
      </c>
      <c r="D848" t="s">
        <v>1949</v>
      </c>
      <c r="E848">
        <v>4</v>
      </c>
      <c r="F848" t="s">
        <v>219</v>
      </c>
      <c r="G848" t="s">
        <v>239</v>
      </c>
      <c r="H848" t="s">
        <v>456</v>
      </c>
      <c r="I848">
        <v>37</v>
      </c>
      <c r="J848" s="21">
        <v>45910</v>
      </c>
      <c r="L848" t="s">
        <v>1953</v>
      </c>
      <c r="M848" t="s">
        <v>458</v>
      </c>
      <c r="O848" t="s">
        <v>220</v>
      </c>
      <c r="P848">
        <v>0</v>
      </c>
      <c r="Q848">
        <v>0</v>
      </c>
      <c r="R848">
        <v>1</v>
      </c>
      <c r="S848">
        <v>0</v>
      </c>
      <c r="T848">
        <v>0</v>
      </c>
      <c r="U848" t="s">
        <v>391</v>
      </c>
      <c r="V848" t="s">
        <v>392</v>
      </c>
      <c r="W848" t="s">
        <v>392</v>
      </c>
      <c r="X848">
        <v>1</v>
      </c>
      <c r="Y848" t="s">
        <v>893</v>
      </c>
      <c r="Z848" t="s">
        <v>496</v>
      </c>
      <c r="AA848">
        <v>49.99</v>
      </c>
      <c r="AB848">
        <v>0</v>
      </c>
      <c r="AC848">
        <v>0</v>
      </c>
    </row>
    <row r="849" spans="2:29" ht="15" customHeight="1" x14ac:dyDescent="0.15">
      <c r="B849">
        <v>4</v>
      </c>
      <c r="C849" t="s">
        <v>704</v>
      </c>
      <c r="D849" t="s">
        <v>1949</v>
      </c>
      <c r="E849">
        <v>5</v>
      </c>
      <c r="F849" t="s">
        <v>219</v>
      </c>
      <c r="G849" t="s">
        <v>239</v>
      </c>
      <c r="H849" t="s">
        <v>1752</v>
      </c>
      <c r="I849">
        <v>37</v>
      </c>
      <c r="J849" s="21">
        <v>45910</v>
      </c>
      <c r="L849" t="s">
        <v>1954</v>
      </c>
      <c r="M849" t="s">
        <v>1776</v>
      </c>
      <c r="O849" t="s">
        <v>220</v>
      </c>
      <c r="P849">
        <v>0</v>
      </c>
      <c r="Q849">
        <v>0</v>
      </c>
      <c r="R849">
        <v>0.5</v>
      </c>
      <c r="S849">
        <v>0</v>
      </c>
      <c r="T849">
        <v>0</v>
      </c>
      <c r="U849" t="s">
        <v>391</v>
      </c>
      <c r="V849" t="s">
        <v>392</v>
      </c>
      <c r="W849" t="s">
        <v>392</v>
      </c>
      <c r="X849">
        <v>1</v>
      </c>
      <c r="Y849" t="s">
        <v>893</v>
      </c>
      <c r="Z849" t="s">
        <v>496</v>
      </c>
      <c r="AA849">
        <v>0</v>
      </c>
      <c r="AB849">
        <v>0</v>
      </c>
      <c r="AC849">
        <v>0</v>
      </c>
    </row>
    <row r="850" spans="2:29" ht="15" customHeight="1" x14ac:dyDescent="0.15">
      <c r="B850">
        <v>4</v>
      </c>
      <c r="C850" t="s">
        <v>386</v>
      </c>
      <c r="D850" t="s">
        <v>1955</v>
      </c>
      <c r="E850">
        <v>1</v>
      </c>
      <c r="F850" t="s">
        <v>219</v>
      </c>
      <c r="G850" t="s">
        <v>239</v>
      </c>
      <c r="H850" t="s">
        <v>1618</v>
      </c>
      <c r="I850">
        <v>37</v>
      </c>
      <c r="J850" s="21">
        <v>45911</v>
      </c>
      <c r="K850" s="21">
        <v>45911</v>
      </c>
      <c r="L850" t="s">
        <v>1956</v>
      </c>
      <c r="M850" t="s">
        <v>1620</v>
      </c>
      <c r="O850" t="s">
        <v>220</v>
      </c>
      <c r="P850">
        <v>1</v>
      </c>
      <c r="Q850">
        <v>1</v>
      </c>
      <c r="R850">
        <v>0.1</v>
      </c>
      <c r="S850">
        <v>0.1</v>
      </c>
      <c r="T850">
        <v>0.1</v>
      </c>
      <c r="U850" t="s">
        <v>391</v>
      </c>
      <c r="V850" t="s">
        <v>392</v>
      </c>
      <c r="W850" t="s">
        <v>392</v>
      </c>
      <c r="X850">
        <v>1</v>
      </c>
      <c r="Y850" t="s">
        <v>723</v>
      </c>
      <c r="Z850" t="s">
        <v>496</v>
      </c>
      <c r="AA850" s="22">
        <v>1301.72</v>
      </c>
      <c r="AB850">
        <v>130.16999999999999</v>
      </c>
      <c r="AC850">
        <v>130.16999999999999</v>
      </c>
    </row>
    <row r="851" spans="2:29" ht="15" customHeight="1" x14ac:dyDescent="0.15">
      <c r="B851">
        <v>4</v>
      </c>
      <c r="C851" t="s">
        <v>386</v>
      </c>
      <c r="D851" t="s">
        <v>1957</v>
      </c>
      <c r="E851">
        <v>1</v>
      </c>
      <c r="F851" t="s">
        <v>219</v>
      </c>
      <c r="G851" t="s">
        <v>231</v>
      </c>
      <c r="H851" t="s">
        <v>433</v>
      </c>
      <c r="I851">
        <v>37</v>
      </c>
      <c r="J851" s="21">
        <v>45912</v>
      </c>
      <c r="K851" s="21">
        <v>45915</v>
      </c>
      <c r="L851" t="s">
        <v>1958</v>
      </c>
      <c r="M851" t="s">
        <v>1030</v>
      </c>
      <c r="O851" t="s">
        <v>220</v>
      </c>
      <c r="P851">
        <v>8</v>
      </c>
      <c r="Q851">
        <v>8</v>
      </c>
      <c r="R851">
        <v>0.15</v>
      </c>
      <c r="S851">
        <v>1.2</v>
      </c>
      <c r="T851">
        <v>1.2</v>
      </c>
      <c r="U851" t="s">
        <v>391</v>
      </c>
      <c r="V851" t="s">
        <v>392</v>
      </c>
      <c r="W851" t="s">
        <v>392</v>
      </c>
      <c r="X851">
        <v>1</v>
      </c>
      <c r="Y851" t="s">
        <v>893</v>
      </c>
      <c r="Z851" t="s">
        <v>496</v>
      </c>
      <c r="AA851">
        <v>21.83</v>
      </c>
      <c r="AB851">
        <v>26.2</v>
      </c>
      <c r="AC851">
        <v>26.2</v>
      </c>
    </row>
    <row r="852" spans="2:29" ht="15" customHeight="1" x14ac:dyDescent="0.15">
      <c r="B852">
        <v>4</v>
      </c>
      <c r="C852" t="s">
        <v>386</v>
      </c>
      <c r="D852" t="s">
        <v>1957</v>
      </c>
      <c r="E852">
        <v>2</v>
      </c>
      <c r="F852" t="s">
        <v>219</v>
      </c>
      <c r="G852" t="s">
        <v>218</v>
      </c>
      <c r="H852" t="s">
        <v>397</v>
      </c>
      <c r="I852">
        <v>37</v>
      </c>
      <c r="J852" s="21">
        <v>45912</v>
      </c>
      <c r="K852" s="21">
        <v>45915</v>
      </c>
      <c r="L852" t="s">
        <v>1959</v>
      </c>
      <c r="M852" t="s">
        <v>454</v>
      </c>
      <c r="O852" t="s">
        <v>220</v>
      </c>
      <c r="P852">
        <v>8</v>
      </c>
      <c r="Q852">
        <v>8</v>
      </c>
      <c r="R852">
        <v>0.15</v>
      </c>
      <c r="S852">
        <v>1.2</v>
      </c>
      <c r="T852">
        <v>1.2</v>
      </c>
      <c r="U852" t="s">
        <v>391</v>
      </c>
      <c r="V852" t="s">
        <v>392</v>
      </c>
      <c r="W852" t="s">
        <v>392</v>
      </c>
      <c r="X852">
        <v>1</v>
      </c>
      <c r="Y852" t="s">
        <v>893</v>
      </c>
      <c r="Z852" t="s">
        <v>496</v>
      </c>
      <c r="AA852">
        <v>686.05</v>
      </c>
      <c r="AB852">
        <v>823.26</v>
      </c>
      <c r="AC852">
        <v>823.26</v>
      </c>
    </row>
    <row r="853" spans="2:29" ht="15" customHeight="1" x14ac:dyDescent="0.15">
      <c r="B853">
        <v>4</v>
      </c>
      <c r="C853" t="s">
        <v>386</v>
      </c>
      <c r="D853" t="s">
        <v>1957</v>
      </c>
      <c r="E853">
        <v>3</v>
      </c>
      <c r="F853" t="s">
        <v>219</v>
      </c>
      <c r="G853" t="s">
        <v>218</v>
      </c>
      <c r="H853" t="s">
        <v>394</v>
      </c>
      <c r="I853">
        <v>37</v>
      </c>
      <c r="J853" s="21">
        <v>45913</v>
      </c>
      <c r="K853" s="21">
        <v>45915</v>
      </c>
      <c r="L853" t="s">
        <v>1960</v>
      </c>
      <c r="M853" t="s">
        <v>396</v>
      </c>
      <c r="O853" t="s">
        <v>220</v>
      </c>
      <c r="P853">
        <v>8</v>
      </c>
      <c r="Q853">
        <v>8</v>
      </c>
      <c r="R853">
        <v>0.12</v>
      </c>
      <c r="S853">
        <v>0.96</v>
      </c>
      <c r="T853">
        <v>0.96</v>
      </c>
      <c r="U853" t="s">
        <v>391</v>
      </c>
      <c r="V853" t="s">
        <v>392</v>
      </c>
      <c r="W853" t="s">
        <v>392</v>
      </c>
      <c r="X853">
        <v>1</v>
      </c>
      <c r="Y853" t="s">
        <v>893</v>
      </c>
      <c r="Z853" t="s">
        <v>496</v>
      </c>
      <c r="AA853">
        <v>784.7</v>
      </c>
      <c r="AB853">
        <v>753.31</v>
      </c>
      <c r="AC853">
        <v>753.31</v>
      </c>
    </row>
    <row r="854" spans="2:29" ht="15" customHeight="1" x14ac:dyDescent="0.15">
      <c r="B854">
        <v>4</v>
      </c>
      <c r="C854" t="s">
        <v>386</v>
      </c>
      <c r="D854" t="s">
        <v>1957</v>
      </c>
      <c r="E854">
        <v>4</v>
      </c>
      <c r="F854" t="s">
        <v>219</v>
      </c>
      <c r="G854" t="s">
        <v>244</v>
      </c>
      <c r="H854" t="s">
        <v>1513</v>
      </c>
      <c r="I854">
        <v>37</v>
      </c>
      <c r="J854" s="21">
        <v>45912</v>
      </c>
      <c r="K854" s="21">
        <v>45915</v>
      </c>
      <c r="L854" t="s">
        <v>1961</v>
      </c>
      <c r="M854" t="s">
        <v>1515</v>
      </c>
      <c r="O854" t="s">
        <v>220</v>
      </c>
      <c r="P854">
        <v>8</v>
      </c>
      <c r="Q854">
        <v>8</v>
      </c>
      <c r="R854">
        <v>0.5</v>
      </c>
      <c r="S854">
        <v>4</v>
      </c>
      <c r="T854">
        <v>4</v>
      </c>
      <c r="U854" t="s">
        <v>391</v>
      </c>
      <c r="V854" t="s">
        <v>392</v>
      </c>
      <c r="W854" t="s">
        <v>392</v>
      </c>
      <c r="X854">
        <v>1</v>
      </c>
      <c r="Y854" t="s">
        <v>893</v>
      </c>
      <c r="Z854" t="s">
        <v>496</v>
      </c>
      <c r="AA854">
        <v>75.19</v>
      </c>
      <c r="AB854">
        <v>300.76</v>
      </c>
      <c r="AC854">
        <v>300.76</v>
      </c>
    </row>
    <row r="855" spans="2:29" ht="15" customHeight="1" x14ac:dyDescent="0.15">
      <c r="B855">
        <v>4</v>
      </c>
      <c r="C855" t="s">
        <v>386</v>
      </c>
      <c r="D855" t="s">
        <v>1957</v>
      </c>
      <c r="E855">
        <v>5</v>
      </c>
      <c r="F855" t="s">
        <v>219</v>
      </c>
      <c r="G855" t="s">
        <v>239</v>
      </c>
      <c r="H855" t="s">
        <v>1962</v>
      </c>
      <c r="I855">
        <v>37</v>
      </c>
      <c r="J855" s="21">
        <v>45912</v>
      </c>
      <c r="K855" s="21">
        <v>45915</v>
      </c>
      <c r="L855" t="s">
        <v>1963</v>
      </c>
      <c r="M855" t="s">
        <v>1964</v>
      </c>
      <c r="O855" t="s">
        <v>220</v>
      </c>
      <c r="P855">
        <v>8</v>
      </c>
      <c r="Q855">
        <v>8</v>
      </c>
      <c r="R855">
        <v>0.2</v>
      </c>
      <c r="S855">
        <v>1.6</v>
      </c>
      <c r="T855">
        <v>1.6</v>
      </c>
      <c r="U855" t="s">
        <v>391</v>
      </c>
      <c r="V855" t="s">
        <v>392</v>
      </c>
      <c r="W855" t="s">
        <v>392</v>
      </c>
      <c r="X855">
        <v>1</v>
      </c>
      <c r="Y855" t="s">
        <v>893</v>
      </c>
      <c r="Z855" t="s">
        <v>496</v>
      </c>
      <c r="AA855">
        <v>180.87</v>
      </c>
      <c r="AB855">
        <v>289.39</v>
      </c>
      <c r="AC855">
        <v>289.39</v>
      </c>
    </row>
    <row r="856" spans="2:29" ht="15" customHeight="1" x14ac:dyDescent="0.15">
      <c r="B856">
        <v>4</v>
      </c>
      <c r="C856" t="s">
        <v>386</v>
      </c>
      <c r="D856" t="s">
        <v>1965</v>
      </c>
      <c r="E856">
        <v>1</v>
      </c>
      <c r="F856" t="s">
        <v>219</v>
      </c>
      <c r="G856" t="s">
        <v>231</v>
      </c>
      <c r="H856" t="s">
        <v>433</v>
      </c>
      <c r="I856">
        <v>37</v>
      </c>
      <c r="J856" s="21">
        <v>45913</v>
      </c>
      <c r="K856" s="21">
        <v>45915</v>
      </c>
      <c r="L856" t="s">
        <v>1966</v>
      </c>
      <c r="M856" t="s">
        <v>1030</v>
      </c>
      <c r="O856" t="s">
        <v>248</v>
      </c>
      <c r="P856">
        <v>3</v>
      </c>
      <c r="Q856">
        <v>3</v>
      </c>
      <c r="R856">
        <v>0.15</v>
      </c>
      <c r="S856">
        <v>0.45</v>
      </c>
      <c r="T856">
        <v>0.45</v>
      </c>
      <c r="U856" t="s">
        <v>391</v>
      </c>
      <c r="V856" t="s">
        <v>392</v>
      </c>
      <c r="W856" t="s">
        <v>392</v>
      </c>
      <c r="X856">
        <v>1</v>
      </c>
      <c r="Y856" t="s">
        <v>1477</v>
      </c>
      <c r="Z856" t="s">
        <v>496</v>
      </c>
      <c r="AA856">
        <v>21.83</v>
      </c>
      <c r="AB856">
        <v>9.82</v>
      </c>
      <c r="AC856">
        <v>9.82</v>
      </c>
    </row>
    <row r="857" spans="2:29" ht="15" customHeight="1" x14ac:dyDescent="0.15">
      <c r="B857">
        <v>4</v>
      </c>
      <c r="C857" t="s">
        <v>386</v>
      </c>
      <c r="D857" t="s">
        <v>1965</v>
      </c>
      <c r="E857">
        <v>2</v>
      </c>
      <c r="F857" t="s">
        <v>219</v>
      </c>
      <c r="G857" t="s">
        <v>218</v>
      </c>
      <c r="H857" t="s">
        <v>397</v>
      </c>
      <c r="I857">
        <v>37</v>
      </c>
      <c r="J857" s="21">
        <v>45913</v>
      </c>
      <c r="K857" s="21">
        <v>45915</v>
      </c>
      <c r="L857" t="s">
        <v>1967</v>
      </c>
      <c r="M857" t="s">
        <v>454</v>
      </c>
      <c r="O857" t="s">
        <v>248</v>
      </c>
      <c r="P857">
        <v>3</v>
      </c>
      <c r="Q857">
        <v>3</v>
      </c>
      <c r="R857">
        <v>0.15</v>
      </c>
      <c r="S857">
        <v>0.45</v>
      </c>
      <c r="T857">
        <v>0.45</v>
      </c>
      <c r="U857" t="s">
        <v>391</v>
      </c>
      <c r="V857" t="s">
        <v>392</v>
      </c>
      <c r="W857" t="s">
        <v>392</v>
      </c>
      <c r="X857">
        <v>1</v>
      </c>
      <c r="Y857" t="s">
        <v>1477</v>
      </c>
      <c r="Z857" t="s">
        <v>496</v>
      </c>
      <c r="AA857">
        <v>686.05</v>
      </c>
      <c r="AB857">
        <v>308.72000000000003</v>
      </c>
      <c r="AC857">
        <v>308.72000000000003</v>
      </c>
    </row>
    <row r="858" spans="2:29" ht="15" customHeight="1" x14ac:dyDescent="0.15">
      <c r="B858">
        <v>4</v>
      </c>
      <c r="C858" t="s">
        <v>386</v>
      </c>
      <c r="D858" t="s">
        <v>1965</v>
      </c>
      <c r="E858">
        <v>3</v>
      </c>
      <c r="F858" t="s">
        <v>219</v>
      </c>
      <c r="G858" t="s">
        <v>218</v>
      </c>
      <c r="H858" t="s">
        <v>394</v>
      </c>
      <c r="I858">
        <v>37</v>
      </c>
      <c r="J858" s="21">
        <v>45913</v>
      </c>
      <c r="K858" s="21">
        <v>45915</v>
      </c>
      <c r="L858" t="s">
        <v>1968</v>
      </c>
      <c r="M858" t="s">
        <v>396</v>
      </c>
      <c r="O858" t="s">
        <v>248</v>
      </c>
      <c r="P858">
        <v>3</v>
      </c>
      <c r="Q858">
        <v>3</v>
      </c>
      <c r="R858">
        <v>0.12</v>
      </c>
      <c r="S858">
        <v>0.36</v>
      </c>
      <c r="T858">
        <v>0.36</v>
      </c>
      <c r="U858" t="s">
        <v>391</v>
      </c>
      <c r="V858" t="s">
        <v>392</v>
      </c>
      <c r="W858" t="s">
        <v>392</v>
      </c>
      <c r="X858">
        <v>1</v>
      </c>
      <c r="Y858" t="s">
        <v>1477</v>
      </c>
      <c r="Z858" t="s">
        <v>496</v>
      </c>
      <c r="AA858">
        <v>784.7</v>
      </c>
      <c r="AB858">
        <v>282.49</v>
      </c>
      <c r="AC858">
        <v>282.49</v>
      </c>
    </row>
    <row r="859" spans="2:29" ht="15" customHeight="1" x14ac:dyDescent="0.15">
      <c r="B859">
        <v>4</v>
      </c>
      <c r="C859" t="s">
        <v>386</v>
      </c>
      <c r="D859" t="s">
        <v>1965</v>
      </c>
      <c r="E859">
        <v>4</v>
      </c>
      <c r="F859" t="s">
        <v>219</v>
      </c>
      <c r="G859" t="s">
        <v>244</v>
      </c>
      <c r="H859" t="s">
        <v>1513</v>
      </c>
      <c r="I859">
        <v>37</v>
      </c>
      <c r="J859" s="21">
        <v>45913</v>
      </c>
      <c r="K859" s="21">
        <v>45915</v>
      </c>
      <c r="L859" t="s">
        <v>1969</v>
      </c>
      <c r="M859" t="s">
        <v>1515</v>
      </c>
      <c r="O859" t="s">
        <v>248</v>
      </c>
      <c r="P859">
        <v>3</v>
      </c>
      <c r="Q859">
        <v>3</v>
      </c>
      <c r="R859">
        <v>0.5</v>
      </c>
      <c r="S859">
        <v>1.5</v>
      </c>
      <c r="T859">
        <v>1.5</v>
      </c>
      <c r="U859" t="s">
        <v>391</v>
      </c>
      <c r="V859" t="s">
        <v>392</v>
      </c>
      <c r="W859" t="s">
        <v>392</v>
      </c>
      <c r="X859">
        <v>1</v>
      </c>
      <c r="Y859" t="s">
        <v>1477</v>
      </c>
      <c r="Z859" t="s">
        <v>496</v>
      </c>
      <c r="AA859">
        <v>75.19</v>
      </c>
      <c r="AB859">
        <v>112.79</v>
      </c>
      <c r="AC859">
        <v>112.79</v>
      </c>
    </row>
    <row r="860" spans="2:29" ht="15" customHeight="1" x14ac:dyDescent="0.15">
      <c r="B860">
        <v>4</v>
      </c>
      <c r="C860" t="s">
        <v>386</v>
      </c>
      <c r="D860" t="s">
        <v>1965</v>
      </c>
      <c r="E860">
        <v>5</v>
      </c>
      <c r="F860" t="s">
        <v>219</v>
      </c>
      <c r="G860" t="s">
        <v>239</v>
      </c>
      <c r="H860" t="s">
        <v>1069</v>
      </c>
      <c r="I860">
        <v>37</v>
      </c>
      <c r="J860" s="21">
        <v>45913</v>
      </c>
      <c r="K860" s="21">
        <v>45915</v>
      </c>
      <c r="L860" t="s">
        <v>1970</v>
      </c>
      <c r="M860" t="s">
        <v>1071</v>
      </c>
      <c r="O860" t="s">
        <v>248</v>
      </c>
      <c r="P860">
        <v>3</v>
      </c>
      <c r="Q860">
        <v>3</v>
      </c>
      <c r="R860">
        <v>0.5</v>
      </c>
      <c r="S860">
        <v>1.5</v>
      </c>
      <c r="T860">
        <v>1.5</v>
      </c>
      <c r="U860" t="s">
        <v>391</v>
      </c>
      <c r="V860" t="s">
        <v>392</v>
      </c>
      <c r="W860" t="s">
        <v>392</v>
      </c>
      <c r="X860">
        <v>1</v>
      </c>
      <c r="Y860" t="s">
        <v>1477</v>
      </c>
      <c r="Z860" t="s">
        <v>496</v>
      </c>
      <c r="AA860">
        <v>106.87</v>
      </c>
      <c r="AB860">
        <v>160.31</v>
      </c>
      <c r="AC860">
        <v>160.31</v>
      </c>
    </row>
    <row r="861" spans="2:29" ht="15" customHeight="1" x14ac:dyDescent="0.15">
      <c r="B861">
        <v>4</v>
      </c>
      <c r="C861" t="s">
        <v>386</v>
      </c>
      <c r="D861" t="s">
        <v>1965</v>
      </c>
      <c r="E861">
        <v>6</v>
      </c>
      <c r="F861" t="s">
        <v>219</v>
      </c>
      <c r="G861" t="s">
        <v>239</v>
      </c>
      <c r="H861" t="s">
        <v>1962</v>
      </c>
      <c r="I861">
        <v>37</v>
      </c>
      <c r="J861" s="21">
        <v>45913</v>
      </c>
      <c r="K861" s="21">
        <v>45915</v>
      </c>
      <c r="L861" t="s">
        <v>1971</v>
      </c>
      <c r="M861" t="s">
        <v>1964</v>
      </c>
      <c r="O861" t="s">
        <v>282</v>
      </c>
      <c r="P861">
        <v>3</v>
      </c>
      <c r="Q861">
        <v>3</v>
      </c>
      <c r="R861">
        <v>0.2</v>
      </c>
      <c r="S861">
        <v>0.6</v>
      </c>
      <c r="T861">
        <v>0.6</v>
      </c>
      <c r="U861" t="s">
        <v>391</v>
      </c>
      <c r="V861" t="s">
        <v>392</v>
      </c>
      <c r="W861" t="s">
        <v>392</v>
      </c>
      <c r="X861">
        <v>1</v>
      </c>
      <c r="Y861" t="s">
        <v>1477</v>
      </c>
      <c r="Z861" t="s">
        <v>496</v>
      </c>
      <c r="AA861">
        <v>180.87</v>
      </c>
      <c r="AB861">
        <v>108.52</v>
      </c>
      <c r="AC861">
        <v>108.52</v>
      </c>
    </row>
    <row r="862" spans="2:29" ht="15" customHeight="1" x14ac:dyDescent="0.15">
      <c r="B862">
        <v>4</v>
      </c>
      <c r="C862" t="s">
        <v>386</v>
      </c>
      <c r="D862" t="s">
        <v>1972</v>
      </c>
      <c r="E862">
        <v>1</v>
      </c>
      <c r="F862" t="s">
        <v>219</v>
      </c>
      <c r="G862" t="s">
        <v>239</v>
      </c>
      <c r="I862">
        <v>38</v>
      </c>
      <c r="J862" s="21">
        <v>45917</v>
      </c>
      <c r="K862" s="21">
        <v>45918</v>
      </c>
      <c r="L862" t="s">
        <v>1973</v>
      </c>
      <c r="M862" t="s">
        <v>1974</v>
      </c>
      <c r="O862" t="s">
        <v>220</v>
      </c>
      <c r="P862">
        <v>3</v>
      </c>
      <c r="Q862">
        <v>1.5</v>
      </c>
      <c r="R862">
        <v>0.05</v>
      </c>
      <c r="S862">
        <v>0.15</v>
      </c>
      <c r="T862">
        <v>0.08</v>
      </c>
      <c r="U862" t="s">
        <v>1056</v>
      </c>
      <c r="V862" t="s">
        <v>1057</v>
      </c>
      <c r="W862" t="s">
        <v>532</v>
      </c>
      <c r="X862">
        <v>2</v>
      </c>
      <c r="Y862" t="s">
        <v>860</v>
      </c>
      <c r="Z862" t="s">
        <v>496</v>
      </c>
      <c r="AB862">
        <v>0</v>
      </c>
      <c r="AC862">
        <v>0</v>
      </c>
    </row>
    <row r="863" spans="2:29" ht="15" customHeight="1" x14ac:dyDescent="0.15">
      <c r="B863">
        <v>4</v>
      </c>
      <c r="C863" t="s">
        <v>386</v>
      </c>
      <c r="D863" t="s">
        <v>1972</v>
      </c>
      <c r="E863">
        <v>2</v>
      </c>
      <c r="F863" t="s">
        <v>219</v>
      </c>
      <c r="G863" t="s">
        <v>218</v>
      </c>
      <c r="H863" t="s">
        <v>908</v>
      </c>
      <c r="I863">
        <v>38</v>
      </c>
      <c r="J863" s="21">
        <v>45917</v>
      </c>
      <c r="K863" s="21">
        <v>45918</v>
      </c>
      <c r="L863" t="s">
        <v>1975</v>
      </c>
      <c r="M863" t="s">
        <v>1027</v>
      </c>
      <c r="O863" t="s">
        <v>220</v>
      </c>
      <c r="P863">
        <v>3</v>
      </c>
      <c r="Q863">
        <v>1.5</v>
      </c>
      <c r="R863">
        <v>0.3</v>
      </c>
      <c r="S863">
        <v>0.9</v>
      </c>
      <c r="T863">
        <v>0.45</v>
      </c>
      <c r="U863" t="s">
        <v>1056</v>
      </c>
      <c r="V863" t="s">
        <v>1057</v>
      </c>
      <c r="W863" t="s">
        <v>532</v>
      </c>
      <c r="X863">
        <v>2</v>
      </c>
      <c r="Y863" t="s">
        <v>860</v>
      </c>
      <c r="Z863" t="s">
        <v>496</v>
      </c>
      <c r="AA863">
        <v>31.3</v>
      </c>
      <c r="AB863">
        <v>28.17</v>
      </c>
      <c r="AC863">
        <v>14.09</v>
      </c>
    </row>
    <row r="864" spans="2:29" ht="15" customHeight="1" x14ac:dyDescent="0.15">
      <c r="B864">
        <v>4</v>
      </c>
      <c r="C864" t="s">
        <v>386</v>
      </c>
      <c r="D864" t="s">
        <v>1972</v>
      </c>
      <c r="E864">
        <v>3</v>
      </c>
      <c r="F864" t="s">
        <v>219</v>
      </c>
      <c r="G864" t="s">
        <v>244</v>
      </c>
      <c r="H864" t="s">
        <v>1605</v>
      </c>
      <c r="I864">
        <v>38</v>
      </c>
      <c r="J864" s="21">
        <v>45917</v>
      </c>
      <c r="K864" s="21">
        <v>45918</v>
      </c>
      <c r="L864" t="s">
        <v>1976</v>
      </c>
      <c r="M864" t="s">
        <v>295</v>
      </c>
      <c r="O864" t="s">
        <v>220</v>
      </c>
      <c r="P864">
        <v>3</v>
      </c>
      <c r="Q864">
        <v>1.5</v>
      </c>
      <c r="R864">
        <v>0.5</v>
      </c>
      <c r="S864">
        <v>1.5</v>
      </c>
      <c r="T864">
        <v>0.75</v>
      </c>
      <c r="U864" t="s">
        <v>1056</v>
      </c>
      <c r="V864" t="s">
        <v>1057</v>
      </c>
      <c r="W864" t="s">
        <v>532</v>
      </c>
      <c r="X864">
        <v>2</v>
      </c>
      <c r="Y864" t="s">
        <v>860</v>
      </c>
      <c r="Z864" t="s">
        <v>496</v>
      </c>
      <c r="AA864">
        <v>77.31</v>
      </c>
      <c r="AB864">
        <v>115.97</v>
      </c>
      <c r="AC864">
        <v>57.98</v>
      </c>
    </row>
    <row r="865" spans="2:29" ht="15" customHeight="1" x14ac:dyDescent="0.15">
      <c r="B865">
        <v>4</v>
      </c>
      <c r="C865" t="s">
        <v>386</v>
      </c>
      <c r="D865" t="s">
        <v>1972</v>
      </c>
      <c r="E865">
        <v>4</v>
      </c>
      <c r="F865" t="s">
        <v>219</v>
      </c>
      <c r="G865" t="s">
        <v>239</v>
      </c>
      <c r="H865" t="s">
        <v>520</v>
      </c>
      <c r="I865">
        <v>38</v>
      </c>
      <c r="J865" s="21">
        <v>45917</v>
      </c>
      <c r="K865" s="21">
        <v>45918</v>
      </c>
      <c r="L865" t="s">
        <v>1977</v>
      </c>
      <c r="M865" t="s">
        <v>1340</v>
      </c>
      <c r="O865" t="s">
        <v>282</v>
      </c>
      <c r="P865">
        <v>3</v>
      </c>
      <c r="Q865">
        <v>1.5</v>
      </c>
      <c r="R865">
        <v>2</v>
      </c>
      <c r="S865">
        <v>6</v>
      </c>
      <c r="T865">
        <v>3</v>
      </c>
      <c r="U865" t="s">
        <v>1056</v>
      </c>
      <c r="V865" t="s">
        <v>1057</v>
      </c>
      <c r="W865" t="s">
        <v>532</v>
      </c>
      <c r="X865">
        <v>2</v>
      </c>
      <c r="Y865" t="s">
        <v>860</v>
      </c>
      <c r="Z865" t="s">
        <v>496</v>
      </c>
      <c r="AA865">
        <v>66.92</v>
      </c>
      <c r="AB865">
        <v>401.52</v>
      </c>
      <c r="AC865">
        <v>200.76</v>
      </c>
    </row>
    <row r="866" spans="2:29" ht="15" customHeight="1" x14ac:dyDescent="0.15">
      <c r="B866">
        <v>4</v>
      </c>
      <c r="C866" t="s">
        <v>386</v>
      </c>
      <c r="D866" t="s">
        <v>1978</v>
      </c>
      <c r="E866">
        <v>1</v>
      </c>
      <c r="F866" t="s">
        <v>219</v>
      </c>
      <c r="G866" t="s">
        <v>231</v>
      </c>
      <c r="H866" t="s">
        <v>433</v>
      </c>
      <c r="I866">
        <v>38</v>
      </c>
      <c r="J866" s="21">
        <v>45917</v>
      </c>
      <c r="K866" s="21">
        <v>45917</v>
      </c>
      <c r="L866" t="s">
        <v>1979</v>
      </c>
      <c r="M866" t="s">
        <v>1030</v>
      </c>
      <c r="O866" t="s">
        <v>220</v>
      </c>
      <c r="P866">
        <v>2</v>
      </c>
      <c r="Q866">
        <v>1</v>
      </c>
      <c r="R866">
        <v>0.12</v>
      </c>
      <c r="S866">
        <v>0.20399999999999999</v>
      </c>
      <c r="T866">
        <v>0.12</v>
      </c>
      <c r="U866" t="s">
        <v>1246</v>
      </c>
      <c r="V866" t="s">
        <v>1247</v>
      </c>
      <c r="W866" t="s">
        <v>532</v>
      </c>
      <c r="X866">
        <v>1.7</v>
      </c>
      <c r="Y866" t="s">
        <v>455</v>
      </c>
      <c r="Z866" t="s">
        <v>496</v>
      </c>
      <c r="AA866">
        <v>21.83</v>
      </c>
      <c r="AB866">
        <v>4.45</v>
      </c>
      <c r="AC866">
        <v>2.62</v>
      </c>
    </row>
    <row r="867" spans="2:29" ht="15" customHeight="1" x14ac:dyDescent="0.15">
      <c r="B867">
        <v>4</v>
      </c>
      <c r="C867" t="s">
        <v>386</v>
      </c>
      <c r="D867" t="s">
        <v>1978</v>
      </c>
      <c r="E867">
        <v>2</v>
      </c>
      <c r="F867" t="s">
        <v>219</v>
      </c>
      <c r="G867" t="s">
        <v>218</v>
      </c>
      <c r="H867" t="s">
        <v>864</v>
      </c>
      <c r="I867">
        <v>38</v>
      </c>
      <c r="J867" s="21">
        <v>45917</v>
      </c>
      <c r="K867" s="21">
        <v>45917</v>
      </c>
      <c r="L867" t="s">
        <v>1980</v>
      </c>
      <c r="M867" t="s">
        <v>866</v>
      </c>
      <c r="O867" t="s">
        <v>282</v>
      </c>
      <c r="P867">
        <v>2</v>
      </c>
      <c r="Q867">
        <v>1</v>
      </c>
      <c r="R867">
        <v>0.2</v>
      </c>
      <c r="S867">
        <v>0.34</v>
      </c>
      <c r="T867">
        <v>0.2</v>
      </c>
      <c r="U867" t="s">
        <v>1246</v>
      </c>
      <c r="V867" t="s">
        <v>1247</v>
      </c>
      <c r="W867" t="s">
        <v>532</v>
      </c>
      <c r="X867">
        <v>1.7</v>
      </c>
      <c r="Y867" t="s">
        <v>455</v>
      </c>
      <c r="Z867" t="s">
        <v>496</v>
      </c>
      <c r="AA867">
        <v>70.3</v>
      </c>
      <c r="AB867">
        <v>23.9</v>
      </c>
      <c r="AC867">
        <v>14.06</v>
      </c>
    </row>
    <row r="868" spans="2:29" ht="15" customHeight="1" x14ac:dyDescent="0.15">
      <c r="B868">
        <v>4</v>
      </c>
      <c r="C868" t="s">
        <v>386</v>
      </c>
      <c r="D868" t="s">
        <v>1978</v>
      </c>
      <c r="E868">
        <v>3</v>
      </c>
      <c r="F868" t="s">
        <v>219</v>
      </c>
      <c r="G868" t="s">
        <v>244</v>
      </c>
      <c r="H868" t="s">
        <v>1605</v>
      </c>
      <c r="I868">
        <v>38</v>
      </c>
      <c r="J868" s="21">
        <v>45917</v>
      </c>
      <c r="K868" s="21">
        <v>45917</v>
      </c>
      <c r="L868" t="s">
        <v>1981</v>
      </c>
      <c r="M868" t="s">
        <v>295</v>
      </c>
      <c r="O868" t="s">
        <v>220</v>
      </c>
      <c r="P868">
        <v>2</v>
      </c>
      <c r="Q868">
        <v>1</v>
      </c>
      <c r="R868">
        <v>0.5</v>
      </c>
      <c r="S868">
        <v>0.85</v>
      </c>
      <c r="T868">
        <v>0.5</v>
      </c>
      <c r="U868" t="s">
        <v>1246</v>
      </c>
      <c r="V868" t="s">
        <v>1247</v>
      </c>
      <c r="W868" t="s">
        <v>532</v>
      </c>
      <c r="X868">
        <v>1.7</v>
      </c>
      <c r="Y868" t="s">
        <v>455</v>
      </c>
      <c r="Z868" t="s">
        <v>496</v>
      </c>
      <c r="AA868">
        <v>77.31</v>
      </c>
      <c r="AB868">
        <v>65.709999999999994</v>
      </c>
      <c r="AC868">
        <v>38.659999999999997</v>
      </c>
    </row>
    <row r="869" spans="2:29" ht="15" customHeight="1" x14ac:dyDescent="0.15">
      <c r="B869">
        <v>4</v>
      </c>
      <c r="C869" t="s">
        <v>386</v>
      </c>
      <c r="D869" t="s">
        <v>1982</v>
      </c>
      <c r="E869">
        <v>1</v>
      </c>
      <c r="F869" t="s">
        <v>219</v>
      </c>
      <c r="G869" t="s">
        <v>239</v>
      </c>
      <c r="I869">
        <v>38</v>
      </c>
      <c r="J869" s="21">
        <v>45917</v>
      </c>
      <c r="K869" s="21">
        <v>45917</v>
      </c>
      <c r="L869" t="s">
        <v>1983</v>
      </c>
      <c r="M869" t="s">
        <v>1974</v>
      </c>
      <c r="O869" t="s">
        <v>220</v>
      </c>
      <c r="P869">
        <v>2</v>
      </c>
      <c r="Q869">
        <v>1</v>
      </c>
      <c r="R869">
        <v>0.05</v>
      </c>
      <c r="S869">
        <v>0.1</v>
      </c>
      <c r="T869">
        <v>0.05</v>
      </c>
      <c r="U869" t="s">
        <v>1050</v>
      </c>
      <c r="V869" t="s">
        <v>847</v>
      </c>
      <c r="W869" t="s">
        <v>532</v>
      </c>
      <c r="X869">
        <v>2</v>
      </c>
      <c r="Y869" t="s">
        <v>455</v>
      </c>
      <c r="Z869" t="s">
        <v>496</v>
      </c>
      <c r="AB869">
        <v>0</v>
      </c>
      <c r="AC869">
        <v>0</v>
      </c>
    </row>
    <row r="870" spans="2:29" ht="15" customHeight="1" x14ac:dyDescent="0.15">
      <c r="B870">
        <v>4</v>
      </c>
      <c r="C870" t="s">
        <v>386</v>
      </c>
      <c r="D870" t="s">
        <v>1982</v>
      </c>
      <c r="E870">
        <v>2</v>
      </c>
      <c r="F870" t="s">
        <v>219</v>
      </c>
      <c r="G870" t="s">
        <v>218</v>
      </c>
      <c r="H870" t="s">
        <v>864</v>
      </c>
      <c r="I870">
        <v>38</v>
      </c>
      <c r="J870" s="21">
        <v>45917</v>
      </c>
      <c r="K870" s="21">
        <v>45917</v>
      </c>
      <c r="L870" t="s">
        <v>1984</v>
      </c>
      <c r="M870" t="s">
        <v>866</v>
      </c>
      <c r="O870" t="s">
        <v>282</v>
      </c>
      <c r="P870">
        <v>2</v>
      </c>
      <c r="Q870">
        <v>1</v>
      </c>
      <c r="R870">
        <v>0.2</v>
      </c>
      <c r="S870">
        <v>0.4</v>
      </c>
      <c r="T870">
        <v>0.2</v>
      </c>
      <c r="U870" t="s">
        <v>1050</v>
      </c>
      <c r="V870" t="s">
        <v>847</v>
      </c>
      <c r="W870" t="s">
        <v>532</v>
      </c>
      <c r="X870">
        <v>2</v>
      </c>
      <c r="Y870" t="s">
        <v>455</v>
      </c>
      <c r="Z870" t="s">
        <v>496</v>
      </c>
      <c r="AA870">
        <v>70.3</v>
      </c>
      <c r="AB870">
        <v>28.12</v>
      </c>
      <c r="AC870">
        <v>14.06</v>
      </c>
    </row>
    <row r="871" spans="2:29" ht="15" customHeight="1" x14ac:dyDescent="0.15">
      <c r="B871">
        <v>4</v>
      </c>
      <c r="C871" t="s">
        <v>386</v>
      </c>
      <c r="D871" t="s">
        <v>1982</v>
      </c>
      <c r="E871">
        <v>3</v>
      </c>
      <c r="F871" t="s">
        <v>219</v>
      </c>
      <c r="G871" t="s">
        <v>244</v>
      </c>
      <c r="H871" t="s">
        <v>409</v>
      </c>
      <c r="I871">
        <v>38</v>
      </c>
      <c r="J871" s="21">
        <v>45917</v>
      </c>
      <c r="K871" s="21">
        <v>45917</v>
      </c>
      <c r="L871" t="s">
        <v>1985</v>
      </c>
      <c r="M871" t="s">
        <v>284</v>
      </c>
      <c r="O871" t="s">
        <v>220</v>
      </c>
      <c r="P871">
        <v>2</v>
      </c>
      <c r="Q871">
        <v>1</v>
      </c>
      <c r="R871">
        <v>0.5</v>
      </c>
      <c r="S871">
        <v>1</v>
      </c>
      <c r="T871">
        <v>0.5</v>
      </c>
      <c r="U871" t="s">
        <v>1050</v>
      </c>
      <c r="V871" t="s">
        <v>847</v>
      </c>
      <c r="W871" t="s">
        <v>532</v>
      </c>
      <c r="X871">
        <v>2</v>
      </c>
      <c r="Y871" t="s">
        <v>455</v>
      </c>
      <c r="Z871" t="s">
        <v>496</v>
      </c>
      <c r="AA871">
        <v>53.07</v>
      </c>
      <c r="AB871">
        <v>53.07</v>
      </c>
      <c r="AC871">
        <v>26.54</v>
      </c>
    </row>
    <row r="872" spans="2:29" ht="15" customHeight="1" x14ac:dyDescent="0.15">
      <c r="B872">
        <v>4</v>
      </c>
      <c r="C872" t="s">
        <v>386</v>
      </c>
      <c r="D872" t="s">
        <v>1982</v>
      </c>
      <c r="E872">
        <v>4</v>
      </c>
      <c r="F872" t="s">
        <v>219</v>
      </c>
      <c r="G872" t="s">
        <v>239</v>
      </c>
      <c r="H872" t="s">
        <v>1695</v>
      </c>
      <c r="I872">
        <v>38</v>
      </c>
      <c r="J872" s="21">
        <v>45917</v>
      </c>
      <c r="K872" s="21">
        <v>45917</v>
      </c>
      <c r="L872" t="s">
        <v>1986</v>
      </c>
      <c r="M872" t="s">
        <v>1697</v>
      </c>
      <c r="O872" t="s">
        <v>220</v>
      </c>
      <c r="P872">
        <v>2</v>
      </c>
      <c r="Q872">
        <v>1</v>
      </c>
      <c r="R872">
        <v>0.5</v>
      </c>
      <c r="S872">
        <v>1</v>
      </c>
      <c r="T872">
        <v>0.5</v>
      </c>
      <c r="U872" t="s">
        <v>1050</v>
      </c>
      <c r="V872" t="s">
        <v>847</v>
      </c>
      <c r="W872" t="s">
        <v>532</v>
      </c>
      <c r="X872">
        <v>2</v>
      </c>
      <c r="Y872" t="s">
        <v>455</v>
      </c>
      <c r="Z872" t="s">
        <v>496</v>
      </c>
      <c r="AA872">
        <v>26.7</v>
      </c>
      <c r="AB872">
        <v>26.7</v>
      </c>
      <c r="AC872">
        <v>13.35</v>
      </c>
    </row>
    <row r="873" spans="2:29" ht="15" customHeight="1" x14ac:dyDescent="0.15">
      <c r="B873">
        <v>4</v>
      </c>
      <c r="C873" t="s">
        <v>386</v>
      </c>
      <c r="D873" t="s">
        <v>1987</v>
      </c>
      <c r="E873">
        <v>1</v>
      </c>
      <c r="F873" t="s">
        <v>416</v>
      </c>
      <c r="G873" t="s">
        <v>1036</v>
      </c>
      <c r="H873" t="s">
        <v>562</v>
      </c>
      <c r="I873">
        <v>38</v>
      </c>
      <c r="J873" s="21">
        <v>45918</v>
      </c>
      <c r="K873" s="21">
        <v>45918</v>
      </c>
      <c r="L873" t="s">
        <v>1988</v>
      </c>
      <c r="M873" t="s">
        <v>1038</v>
      </c>
      <c r="O873" t="s">
        <v>282</v>
      </c>
      <c r="P873">
        <v>1</v>
      </c>
      <c r="Q873">
        <v>1</v>
      </c>
      <c r="R873">
        <v>62.3</v>
      </c>
      <c r="S873">
        <v>62.3</v>
      </c>
      <c r="T873">
        <v>62.3</v>
      </c>
      <c r="U873" t="s">
        <v>391</v>
      </c>
      <c r="V873" t="s">
        <v>392</v>
      </c>
      <c r="W873" t="s">
        <v>392</v>
      </c>
      <c r="X873">
        <v>1</v>
      </c>
      <c r="Y873" t="s">
        <v>1989</v>
      </c>
      <c r="Z873" t="s">
        <v>496</v>
      </c>
      <c r="AA873">
        <v>6.7</v>
      </c>
      <c r="AB873">
        <v>417.41</v>
      </c>
      <c r="AC873">
        <v>417.41</v>
      </c>
    </row>
    <row r="874" spans="2:29" ht="15" customHeight="1" x14ac:dyDescent="0.15">
      <c r="B874">
        <v>4</v>
      </c>
      <c r="C874" t="s">
        <v>386</v>
      </c>
      <c r="D874" t="s">
        <v>1990</v>
      </c>
      <c r="E874">
        <v>1</v>
      </c>
      <c r="F874" t="s">
        <v>219</v>
      </c>
      <c r="G874" t="s">
        <v>660</v>
      </c>
      <c r="H874" t="s">
        <v>661</v>
      </c>
      <c r="I874">
        <v>38</v>
      </c>
      <c r="J874" s="21">
        <v>45917</v>
      </c>
      <c r="K874" s="21">
        <v>45917</v>
      </c>
      <c r="L874" t="s">
        <v>1991</v>
      </c>
      <c r="M874" t="s">
        <v>663</v>
      </c>
      <c r="N874" s="22">
        <v>45917</v>
      </c>
      <c r="O874" t="s">
        <v>282</v>
      </c>
      <c r="P874">
        <v>1</v>
      </c>
      <c r="Q874">
        <v>0.26</v>
      </c>
      <c r="R874">
        <v>1</v>
      </c>
      <c r="S874">
        <v>1</v>
      </c>
      <c r="T874">
        <v>0.26</v>
      </c>
      <c r="U874" t="s">
        <v>530</v>
      </c>
      <c r="V874" t="s">
        <v>531</v>
      </c>
      <c r="W874" t="s">
        <v>532</v>
      </c>
      <c r="X874">
        <v>3.8</v>
      </c>
      <c r="Z874" t="s">
        <v>496</v>
      </c>
      <c r="AA874">
        <v>94.88</v>
      </c>
      <c r="AB874">
        <v>94.88</v>
      </c>
      <c r="AC874">
        <v>24.97</v>
      </c>
    </row>
    <row r="875" spans="2:29" ht="15" customHeight="1" x14ac:dyDescent="0.15">
      <c r="B875">
        <v>4</v>
      </c>
      <c r="C875" t="s">
        <v>386</v>
      </c>
      <c r="D875" t="s">
        <v>1992</v>
      </c>
      <c r="E875">
        <v>1</v>
      </c>
      <c r="F875" t="s">
        <v>219</v>
      </c>
      <c r="G875" t="s">
        <v>218</v>
      </c>
      <c r="H875" t="s">
        <v>397</v>
      </c>
      <c r="I875">
        <v>38</v>
      </c>
      <c r="J875" s="21">
        <v>45919</v>
      </c>
      <c r="K875" s="21">
        <v>45919</v>
      </c>
      <c r="L875" t="s">
        <v>1993</v>
      </c>
      <c r="M875" t="s">
        <v>454</v>
      </c>
      <c r="O875" t="s">
        <v>220</v>
      </c>
      <c r="P875">
        <v>1</v>
      </c>
      <c r="Q875">
        <v>1</v>
      </c>
      <c r="R875">
        <v>1</v>
      </c>
      <c r="S875">
        <v>1</v>
      </c>
      <c r="T875">
        <v>1</v>
      </c>
      <c r="U875" t="s">
        <v>391</v>
      </c>
      <c r="V875" t="s">
        <v>392</v>
      </c>
      <c r="W875" t="s">
        <v>392</v>
      </c>
      <c r="X875">
        <v>1</v>
      </c>
      <c r="Y875" t="s">
        <v>886</v>
      </c>
      <c r="Z875" t="s">
        <v>496</v>
      </c>
      <c r="AA875">
        <v>686.05</v>
      </c>
      <c r="AB875">
        <v>686.05</v>
      </c>
      <c r="AC875">
        <v>686.05</v>
      </c>
    </row>
    <row r="876" spans="2:29" ht="15" customHeight="1" x14ac:dyDescent="0.15">
      <c r="B876">
        <v>4</v>
      </c>
      <c r="C876" t="s">
        <v>386</v>
      </c>
      <c r="D876" t="s">
        <v>1992</v>
      </c>
      <c r="E876">
        <v>2</v>
      </c>
      <c r="F876" t="s">
        <v>219</v>
      </c>
      <c r="G876" t="s">
        <v>218</v>
      </c>
      <c r="H876" t="s">
        <v>1366</v>
      </c>
      <c r="I876">
        <v>38</v>
      </c>
      <c r="J876" s="21">
        <v>45919</v>
      </c>
      <c r="K876" s="21">
        <v>45919</v>
      </c>
      <c r="L876" t="s">
        <v>1994</v>
      </c>
      <c r="M876" t="s">
        <v>1368</v>
      </c>
      <c r="O876" t="s">
        <v>220</v>
      </c>
      <c r="P876">
        <v>1</v>
      </c>
      <c r="Q876">
        <v>1</v>
      </c>
      <c r="R876">
        <v>1</v>
      </c>
      <c r="S876">
        <v>1</v>
      </c>
      <c r="T876">
        <v>1</v>
      </c>
      <c r="U876" t="s">
        <v>391</v>
      </c>
      <c r="V876" t="s">
        <v>392</v>
      </c>
      <c r="W876" t="s">
        <v>392</v>
      </c>
      <c r="X876">
        <v>1</v>
      </c>
      <c r="Y876" t="s">
        <v>886</v>
      </c>
      <c r="Z876" t="s">
        <v>496</v>
      </c>
      <c r="AA876">
        <v>784.7</v>
      </c>
      <c r="AB876">
        <v>784.7</v>
      </c>
      <c r="AC876">
        <v>784.7</v>
      </c>
    </row>
    <row r="877" spans="2:29" ht="15" customHeight="1" x14ac:dyDescent="0.15">
      <c r="B877">
        <v>4</v>
      </c>
      <c r="C877" t="s">
        <v>386</v>
      </c>
      <c r="D877" t="s">
        <v>1995</v>
      </c>
      <c r="E877">
        <v>1</v>
      </c>
      <c r="F877" t="s">
        <v>219</v>
      </c>
      <c r="G877" t="s">
        <v>231</v>
      </c>
      <c r="H877" t="s">
        <v>433</v>
      </c>
      <c r="I877">
        <v>38</v>
      </c>
      <c r="J877" s="21">
        <v>45920</v>
      </c>
      <c r="K877" s="21">
        <v>45920</v>
      </c>
      <c r="L877" t="s">
        <v>1996</v>
      </c>
      <c r="M877" t="s">
        <v>1030</v>
      </c>
      <c r="O877" t="s">
        <v>220</v>
      </c>
      <c r="P877">
        <v>9</v>
      </c>
      <c r="Q877">
        <v>9</v>
      </c>
      <c r="R877">
        <v>0.15</v>
      </c>
      <c r="S877">
        <v>1.35</v>
      </c>
      <c r="T877">
        <v>1.35</v>
      </c>
      <c r="U877" t="s">
        <v>391</v>
      </c>
      <c r="V877" t="s">
        <v>392</v>
      </c>
      <c r="W877" t="s">
        <v>392</v>
      </c>
      <c r="X877">
        <v>1</v>
      </c>
      <c r="Y877" t="s">
        <v>893</v>
      </c>
      <c r="Z877" t="s">
        <v>496</v>
      </c>
      <c r="AA877">
        <v>21.83</v>
      </c>
      <c r="AB877">
        <v>29.47</v>
      </c>
      <c r="AC877">
        <v>29.47</v>
      </c>
    </row>
    <row r="878" spans="2:29" ht="15" customHeight="1" x14ac:dyDescent="0.15">
      <c r="B878">
        <v>4</v>
      </c>
      <c r="C878" t="s">
        <v>386</v>
      </c>
      <c r="D878" t="s">
        <v>1995</v>
      </c>
      <c r="E878">
        <v>2</v>
      </c>
      <c r="F878" t="s">
        <v>219</v>
      </c>
      <c r="G878" t="s">
        <v>244</v>
      </c>
      <c r="H878" t="s">
        <v>571</v>
      </c>
      <c r="I878">
        <v>38</v>
      </c>
      <c r="J878" s="21">
        <v>45920</v>
      </c>
      <c r="K878" s="21">
        <v>45920</v>
      </c>
      <c r="L878" t="s">
        <v>1997</v>
      </c>
      <c r="M878" t="s">
        <v>573</v>
      </c>
      <c r="O878" t="s">
        <v>220</v>
      </c>
      <c r="P878">
        <v>9</v>
      </c>
      <c r="Q878">
        <v>9</v>
      </c>
      <c r="R878">
        <v>0.5</v>
      </c>
      <c r="S878">
        <v>4.5</v>
      </c>
      <c r="T878">
        <v>4.5</v>
      </c>
      <c r="U878" t="s">
        <v>391</v>
      </c>
      <c r="V878" t="s">
        <v>392</v>
      </c>
      <c r="W878" t="s">
        <v>392</v>
      </c>
      <c r="X878">
        <v>1</v>
      </c>
      <c r="Y878" t="s">
        <v>893</v>
      </c>
      <c r="Z878" t="s">
        <v>496</v>
      </c>
      <c r="AA878">
        <v>73.98</v>
      </c>
      <c r="AB878">
        <v>332.91</v>
      </c>
      <c r="AC878">
        <v>332.91</v>
      </c>
    </row>
    <row r="879" spans="2:29" ht="15" customHeight="1" x14ac:dyDescent="0.15">
      <c r="B879">
        <v>4</v>
      </c>
      <c r="C879" t="s">
        <v>386</v>
      </c>
      <c r="D879" t="s">
        <v>1998</v>
      </c>
      <c r="E879">
        <v>1</v>
      </c>
      <c r="F879" t="s">
        <v>219</v>
      </c>
      <c r="G879" t="s">
        <v>231</v>
      </c>
      <c r="H879" t="s">
        <v>433</v>
      </c>
      <c r="I879">
        <v>39</v>
      </c>
      <c r="J879" s="21">
        <v>45924</v>
      </c>
      <c r="K879" s="21">
        <v>45924</v>
      </c>
      <c r="L879" t="s">
        <v>1999</v>
      </c>
      <c r="M879" t="s">
        <v>1030</v>
      </c>
      <c r="O879" t="s">
        <v>220</v>
      </c>
      <c r="P879">
        <v>2</v>
      </c>
      <c r="Q879">
        <v>2</v>
      </c>
      <c r="R879">
        <v>0.15</v>
      </c>
      <c r="S879">
        <v>0.3</v>
      </c>
      <c r="T879">
        <v>0.3</v>
      </c>
      <c r="U879" t="s">
        <v>391</v>
      </c>
      <c r="V879" t="s">
        <v>392</v>
      </c>
      <c r="W879" t="s">
        <v>392</v>
      </c>
      <c r="X879">
        <v>1</v>
      </c>
      <c r="Y879" t="s">
        <v>893</v>
      </c>
      <c r="Z879" t="s">
        <v>496</v>
      </c>
      <c r="AA879">
        <v>21.83</v>
      </c>
      <c r="AB879">
        <v>6.55</v>
      </c>
      <c r="AC879">
        <v>6.55</v>
      </c>
    </row>
    <row r="880" spans="2:29" ht="15" customHeight="1" x14ac:dyDescent="0.15">
      <c r="B880">
        <v>4</v>
      </c>
      <c r="C880" t="s">
        <v>386</v>
      </c>
      <c r="D880" t="s">
        <v>1998</v>
      </c>
      <c r="E880">
        <v>2</v>
      </c>
      <c r="F880" t="s">
        <v>219</v>
      </c>
      <c r="G880" t="s">
        <v>244</v>
      </c>
      <c r="H880" t="s">
        <v>571</v>
      </c>
      <c r="I880">
        <v>39</v>
      </c>
      <c r="J880" s="21">
        <v>45924</v>
      </c>
      <c r="K880" s="21">
        <v>45924</v>
      </c>
      <c r="L880" t="s">
        <v>2000</v>
      </c>
      <c r="M880" t="s">
        <v>573</v>
      </c>
      <c r="O880" t="s">
        <v>220</v>
      </c>
      <c r="P880">
        <v>2</v>
      </c>
      <c r="Q880">
        <v>2</v>
      </c>
      <c r="R880">
        <v>0.5</v>
      </c>
      <c r="S880">
        <v>1</v>
      </c>
      <c r="T880">
        <v>1</v>
      </c>
      <c r="U880" t="s">
        <v>391</v>
      </c>
      <c r="V880" t="s">
        <v>392</v>
      </c>
      <c r="W880" t="s">
        <v>392</v>
      </c>
      <c r="X880">
        <v>1</v>
      </c>
      <c r="Y880" t="s">
        <v>893</v>
      </c>
      <c r="Z880" t="s">
        <v>496</v>
      </c>
      <c r="AA880">
        <v>73.98</v>
      </c>
      <c r="AB880">
        <v>73.98</v>
      </c>
      <c r="AC880">
        <v>73.98</v>
      </c>
    </row>
    <row r="881" spans="2:29" ht="15" customHeight="1" x14ac:dyDescent="0.15">
      <c r="B881">
        <v>4</v>
      </c>
      <c r="C881" t="s">
        <v>386</v>
      </c>
      <c r="D881" t="s">
        <v>1998</v>
      </c>
      <c r="E881">
        <v>3</v>
      </c>
      <c r="F881" t="s">
        <v>416</v>
      </c>
      <c r="G881" t="s">
        <v>1036</v>
      </c>
      <c r="H881" t="s">
        <v>562</v>
      </c>
      <c r="I881">
        <v>39</v>
      </c>
      <c r="J881" s="21">
        <v>45924</v>
      </c>
      <c r="K881" s="21">
        <v>45924</v>
      </c>
      <c r="L881" t="s">
        <v>2001</v>
      </c>
      <c r="M881" t="s">
        <v>1038</v>
      </c>
      <c r="O881" t="s">
        <v>282</v>
      </c>
      <c r="P881">
        <v>1</v>
      </c>
      <c r="R881">
        <v>89.1</v>
      </c>
      <c r="S881">
        <v>89.1</v>
      </c>
      <c r="U881" t="s">
        <v>391</v>
      </c>
      <c r="V881" t="s">
        <v>392</v>
      </c>
      <c r="W881" t="s">
        <v>392</v>
      </c>
      <c r="Y881" t="s">
        <v>893</v>
      </c>
      <c r="Z881" t="s">
        <v>496</v>
      </c>
      <c r="AA881">
        <v>6.7</v>
      </c>
      <c r="AB881">
        <v>596.97</v>
      </c>
      <c r="AC881">
        <v>0</v>
      </c>
    </row>
    <row r="882" spans="2:29" ht="15" customHeight="1" x14ac:dyDescent="0.15">
      <c r="B882">
        <v>4</v>
      </c>
      <c r="C882" t="s">
        <v>386</v>
      </c>
      <c r="D882" t="s">
        <v>2002</v>
      </c>
      <c r="E882">
        <v>1</v>
      </c>
      <c r="F882" t="s">
        <v>219</v>
      </c>
      <c r="G882" t="s">
        <v>231</v>
      </c>
      <c r="H882" t="s">
        <v>433</v>
      </c>
      <c r="I882">
        <v>39</v>
      </c>
      <c r="J882" s="21">
        <v>45925</v>
      </c>
      <c r="K882" s="21">
        <v>45925</v>
      </c>
      <c r="L882" t="s">
        <v>2003</v>
      </c>
      <c r="M882" t="s">
        <v>1030</v>
      </c>
      <c r="O882" t="s">
        <v>220</v>
      </c>
      <c r="P882">
        <v>3</v>
      </c>
      <c r="Q882">
        <v>1.5</v>
      </c>
      <c r="R882">
        <v>0.12</v>
      </c>
      <c r="S882">
        <v>0.36</v>
      </c>
      <c r="T882">
        <v>0.18</v>
      </c>
      <c r="U882" t="s">
        <v>805</v>
      </c>
      <c r="V882" t="s">
        <v>806</v>
      </c>
      <c r="W882" t="s">
        <v>532</v>
      </c>
      <c r="X882">
        <v>2</v>
      </c>
      <c r="Y882" t="s">
        <v>860</v>
      </c>
      <c r="Z882" t="s">
        <v>496</v>
      </c>
      <c r="AA882">
        <v>21.83</v>
      </c>
      <c r="AB882">
        <v>7.86</v>
      </c>
      <c r="AC882">
        <v>3.93</v>
      </c>
    </row>
    <row r="883" spans="2:29" ht="15" customHeight="1" x14ac:dyDescent="0.15">
      <c r="B883">
        <v>4</v>
      </c>
      <c r="C883" t="s">
        <v>386</v>
      </c>
      <c r="D883" t="s">
        <v>2002</v>
      </c>
      <c r="E883">
        <v>2</v>
      </c>
      <c r="F883" t="s">
        <v>219</v>
      </c>
      <c r="G883" t="s">
        <v>239</v>
      </c>
      <c r="H883" t="s">
        <v>861</v>
      </c>
      <c r="I883">
        <v>39</v>
      </c>
      <c r="J883" s="21">
        <v>45925</v>
      </c>
      <c r="K883" s="21">
        <v>45925</v>
      </c>
      <c r="L883" t="s">
        <v>2004</v>
      </c>
      <c r="M883" t="s">
        <v>863</v>
      </c>
      <c r="O883" t="s">
        <v>220</v>
      </c>
      <c r="P883">
        <v>3</v>
      </c>
      <c r="Q883">
        <v>1.5</v>
      </c>
      <c r="R883">
        <v>2</v>
      </c>
      <c r="S883">
        <v>6</v>
      </c>
      <c r="T883">
        <v>3</v>
      </c>
      <c r="U883" t="s">
        <v>805</v>
      </c>
      <c r="V883" t="s">
        <v>806</v>
      </c>
      <c r="W883" t="s">
        <v>532</v>
      </c>
      <c r="X883">
        <v>2</v>
      </c>
      <c r="Y883" t="s">
        <v>860</v>
      </c>
      <c r="Z883" t="s">
        <v>496</v>
      </c>
      <c r="AA883">
        <v>29.14</v>
      </c>
      <c r="AB883">
        <v>174.84</v>
      </c>
      <c r="AC883">
        <v>87.42</v>
      </c>
    </row>
    <row r="884" spans="2:29" ht="15" customHeight="1" x14ac:dyDescent="0.15">
      <c r="B884">
        <v>4</v>
      </c>
      <c r="C884" t="s">
        <v>386</v>
      </c>
      <c r="D884" t="s">
        <v>2002</v>
      </c>
      <c r="E884">
        <v>3</v>
      </c>
      <c r="F884" t="s">
        <v>219</v>
      </c>
      <c r="G884" t="s">
        <v>239</v>
      </c>
      <c r="H884" t="s">
        <v>1695</v>
      </c>
      <c r="I884">
        <v>39</v>
      </c>
      <c r="J884" s="21">
        <v>45925</v>
      </c>
      <c r="K884" s="21">
        <v>45925</v>
      </c>
      <c r="L884" t="s">
        <v>2005</v>
      </c>
      <c r="M884" t="s">
        <v>1697</v>
      </c>
      <c r="O884" t="s">
        <v>220</v>
      </c>
      <c r="P884">
        <v>3</v>
      </c>
      <c r="Q884">
        <v>1.5</v>
      </c>
      <c r="R884">
        <v>1</v>
      </c>
      <c r="S884">
        <v>3</v>
      </c>
      <c r="T884">
        <v>1.5</v>
      </c>
      <c r="U884" t="s">
        <v>805</v>
      </c>
      <c r="V884" t="s">
        <v>806</v>
      </c>
      <c r="W884" t="s">
        <v>532</v>
      </c>
      <c r="X884">
        <v>2</v>
      </c>
      <c r="Y884" t="s">
        <v>860</v>
      </c>
      <c r="Z884" t="s">
        <v>496</v>
      </c>
      <c r="AA884">
        <v>26.7</v>
      </c>
      <c r="AB884">
        <v>80.099999999999994</v>
      </c>
      <c r="AC884">
        <v>40.049999999999997</v>
      </c>
    </row>
    <row r="885" spans="2:29" ht="15" customHeight="1" x14ac:dyDescent="0.15">
      <c r="B885">
        <v>4</v>
      </c>
      <c r="C885" t="s">
        <v>386</v>
      </c>
      <c r="D885" t="s">
        <v>2002</v>
      </c>
      <c r="E885">
        <v>4</v>
      </c>
      <c r="F885" t="s">
        <v>219</v>
      </c>
      <c r="G885" t="s">
        <v>218</v>
      </c>
      <c r="H885" t="s">
        <v>908</v>
      </c>
      <c r="I885">
        <v>39</v>
      </c>
      <c r="J885" s="21">
        <v>45925</v>
      </c>
      <c r="K885" s="21">
        <v>45925</v>
      </c>
      <c r="L885" t="s">
        <v>2006</v>
      </c>
      <c r="M885" t="s">
        <v>1027</v>
      </c>
      <c r="O885" t="s">
        <v>220</v>
      </c>
      <c r="P885">
        <v>3</v>
      </c>
      <c r="Q885">
        <v>1.5</v>
      </c>
      <c r="R885">
        <v>0.3</v>
      </c>
      <c r="S885">
        <v>0.9</v>
      </c>
      <c r="T885">
        <v>0.45</v>
      </c>
      <c r="U885" t="s">
        <v>805</v>
      </c>
      <c r="V885" t="s">
        <v>806</v>
      </c>
      <c r="W885" t="s">
        <v>532</v>
      </c>
      <c r="X885">
        <v>2</v>
      </c>
      <c r="Y885" t="s">
        <v>860</v>
      </c>
      <c r="Z885" t="s">
        <v>496</v>
      </c>
      <c r="AA885">
        <v>31.3</v>
      </c>
      <c r="AB885">
        <v>28.17</v>
      </c>
      <c r="AC885">
        <v>14.09</v>
      </c>
    </row>
    <row r="886" spans="2:29" ht="15" customHeight="1" x14ac:dyDescent="0.15">
      <c r="B886">
        <v>4</v>
      </c>
      <c r="C886" t="s">
        <v>386</v>
      </c>
      <c r="D886" t="s">
        <v>2007</v>
      </c>
      <c r="E886">
        <v>1</v>
      </c>
      <c r="F886" t="s">
        <v>219</v>
      </c>
      <c r="G886" t="s">
        <v>231</v>
      </c>
      <c r="H886" t="s">
        <v>433</v>
      </c>
      <c r="I886">
        <v>39</v>
      </c>
      <c r="J886" s="21">
        <v>45926</v>
      </c>
      <c r="K886" s="21">
        <v>45929</v>
      </c>
      <c r="L886" t="s">
        <v>2008</v>
      </c>
      <c r="M886" t="s">
        <v>1030</v>
      </c>
      <c r="O886" t="s">
        <v>220</v>
      </c>
      <c r="P886">
        <v>2</v>
      </c>
      <c r="Q886">
        <v>1</v>
      </c>
      <c r="R886">
        <v>0.12</v>
      </c>
      <c r="S886">
        <v>0.24</v>
      </c>
      <c r="T886">
        <v>0.12</v>
      </c>
      <c r="U886" t="s">
        <v>1056</v>
      </c>
      <c r="V886" t="s">
        <v>1057</v>
      </c>
      <c r="W886" t="s">
        <v>532</v>
      </c>
      <c r="X886">
        <v>2</v>
      </c>
      <c r="Y886" t="s">
        <v>455</v>
      </c>
      <c r="Z886" t="s">
        <v>496</v>
      </c>
      <c r="AA886">
        <v>21.83</v>
      </c>
      <c r="AB886">
        <v>5.24</v>
      </c>
      <c r="AC886">
        <v>2.62</v>
      </c>
    </row>
    <row r="887" spans="2:29" ht="15" customHeight="1" x14ac:dyDescent="0.15">
      <c r="B887">
        <v>4</v>
      </c>
      <c r="C887" t="s">
        <v>386</v>
      </c>
      <c r="D887" t="s">
        <v>2007</v>
      </c>
      <c r="E887">
        <v>2</v>
      </c>
      <c r="F887" t="s">
        <v>219</v>
      </c>
      <c r="G887" t="s">
        <v>239</v>
      </c>
      <c r="H887" t="s">
        <v>861</v>
      </c>
      <c r="I887">
        <v>39</v>
      </c>
      <c r="J887" s="21">
        <v>45926</v>
      </c>
      <c r="K887" s="21">
        <v>45929</v>
      </c>
      <c r="L887" t="s">
        <v>2009</v>
      </c>
      <c r="M887" t="s">
        <v>863</v>
      </c>
      <c r="O887" t="s">
        <v>220</v>
      </c>
      <c r="P887">
        <v>2</v>
      </c>
      <c r="Q887">
        <v>1</v>
      </c>
      <c r="R887">
        <v>2</v>
      </c>
      <c r="S887">
        <v>4</v>
      </c>
      <c r="T887">
        <v>2</v>
      </c>
      <c r="U887" t="s">
        <v>1056</v>
      </c>
      <c r="V887" t="s">
        <v>1057</v>
      </c>
      <c r="W887" t="s">
        <v>532</v>
      </c>
      <c r="X887">
        <v>2</v>
      </c>
      <c r="Y887" t="s">
        <v>455</v>
      </c>
      <c r="Z887" t="s">
        <v>496</v>
      </c>
      <c r="AA887">
        <v>29.14</v>
      </c>
      <c r="AB887">
        <v>116.56</v>
      </c>
      <c r="AC887">
        <v>58.28</v>
      </c>
    </row>
    <row r="888" spans="2:29" ht="15" customHeight="1" x14ac:dyDescent="0.15">
      <c r="B888">
        <v>4</v>
      </c>
      <c r="C888" t="s">
        <v>386</v>
      </c>
      <c r="D888" t="s">
        <v>2007</v>
      </c>
      <c r="E888">
        <v>3</v>
      </c>
      <c r="F888" t="s">
        <v>219</v>
      </c>
      <c r="G888" t="s">
        <v>218</v>
      </c>
      <c r="H888" t="s">
        <v>908</v>
      </c>
      <c r="I888">
        <v>39</v>
      </c>
      <c r="J888" s="21">
        <v>45926</v>
      </c>
      <c r="K888" s="21">
        <v>45929</v>
      </c>
      <c r="L888" t="s">
        <v>2010</v>
      </c>
      <c r="M888" t="s">
        <v>1027</v>
      </c>
      <c r="O888" t="s">
        <v>220</v>
      </c>
      <c r="P888">
        <v>2</v>
      </c>
      <c r="Q888">
        <v>1</v>
      </c>
      <c r="R888">
        <v>0.3</v>
      </c>
      <c r="S888">
        <v>0.6</v>
      </c>
      <c r="T888">
        <v>0.3</v>
      </c>
      <c r="U888" t="s">
        <v>1056</v>
      </c>
      <c r="V888" t="s">
        <v>1057</v>
      </c>
      <c r="W888" t="s">
        <v>532</v>
      </c>
      <c r="X888">
        <v>2</v>
      </c>
      <c r="Y888" t="s">
        <v>455</v>
      </c>
      <c r="Z888" t="s">
        <v>496</v>
      </c>
      <c r="AA888">
        <v>31.3</v>
      </c>
      <c r="AB888">
        <v>18.78</v>
      </c>
      <c r="AC888">
        <v>9.39</v>
      </c>
    </row>
    <row r="889" spans="2:29" ht="15" customHeight="1" x14ac:dyDescent="0.15">
      <c r="B889">
        <v>4</v>
      </c>
      <c r="C889" t="s">
        <v>386</v>
      </c>
      <c r="D889" t="s">
        <v>2007</v>
      </c>
      <c r="E889">
        <v>4</v>
      </c>
      <c r="F889" t="s">
        <v>219</v>
      </c>
      <c r="G889" t="s">
        <v>239</v>
      </c>
      <c r="H889" t="s">
        <v>1695</v>
      </c>
      <c r="I889">
        <v>39</v>
      </c>
      <c r="J889" s="21">
        <v>45926</v>
      </c>
      <c r="K889" s="21">
        <v>45929</v>
      </c>
      <c r="L889" t="s">
        <v>2011</v>
      </c>
      <c r="M889" t="s">
        <v>1697</v>
      </c>
      <c r="O889" t="s">
        <v>220</v>
      </c>
      <c r="P889">
        <v>2</v>
      </c>
      <c r="Q889">
        <v>1</v>
      </c>
      <c r="R889">
        <v>0.5</v>
      </c>
      <c r="S889">
        <v>1</v>
      </c>
      <c r="T889">
        <v>0.5</v>
      </c>
      <c r="U889" t="s">
        <v>1056</v>
      </c>
      <c r="V889" t="s">
        <v>1057</v>
      </c>
      <c r="W889" t="s">
        <v>532</v>
      </c>
      <c r="X889">
        <v>2</v>
      </c>
      <c r="Y889" t="s">
        <v>455</v>
      </c>
      <c r="Z889" t="s">
        <v>496</v>
      </c>
      <c r="AA889">
        <v>26.7</v>
      </c>
      <c r="AB889">
        <v>26.7</v>
      </c>
      <c r="AC889">
        <v>13.35</v>
      </c>
    </row>
    <row r="890" spans="2:29" ht="15" customHeight="1" x14ac:dyDescent="0.15">
      <c r="B890">
        <v>4</v>
      </c>
      <c r="C890" t="s">
        <v>386</v>
      </c>
      <c r="D890" t="s">
        <v>2007</v>
      </c>
      <c r="E890">
        <v>5</v>
      </c>
      <c r="F890" t="s">
        <v>219</v>
      </c>
      <c r="G890" t="s">
        <v>244</v>
      </c>
      <c r="H890" t="s">
        <v>1605</v>
      </c>
      <c r="I890">
        <v>39</v>
      </c>
      <c r="J890" s="21">
        <v>45926</v>
      </c>
      <c r="K890" s="21">
        <v>45929</v>
      </c>
      <c r="L890" t="s">
        <v>2012</v>
      </c>
      <c r="M890" t="s">
        <v>295</v>
      </c>
      <c r="O890" t="s">
        <v>220</v>
      </c>
      <c r="P890">
        <v>2</v>
      </c>
      <c r="Q890">
        <v>1</v>
      </c>
      <c r="R890">
        <v>0.5</v>
      </c>
      <c r="S890">
        <v>1</v>
      </c>
      <c r="T890">
        <v>0.5</v>
      </c>
      <c r="U890" t="s">
        <v>1056</v>
      </c>
      <c r="V890" t="s">
        <v>1057</v>
      </c>
      <c r="W890" t="s">
        <v>532</v>
      </c>
      <c r="X890">
        <v>2</v>
      </c>
      <c r="Y890" t="s">
        <v>455</v>
      </c>
      <c r="Z890" t="s">
        <v>496</v>
      </c>
      <c r="AA890">
        <v>77.31</v>
      </c>
      <c r="AB890">
        <v>77.31</v>
      </c>
      <c r="AC890">
        <v>38.659999999999997</v>
      </c>
    </row>
    <row r="891" spans="2:29" ht="15" customHeight="1" x14ac:dyDescent="0.15">
      <c r="B891">
        <v>4</v>
      </c>
      <c r="C891" t="s">
        <v>2013</v>
      </c>
      <c r="D891" t="s">
        <v>2014</v>
      </c>
      <c r="E891">
        <v>1</v>
      </c>
      <c r="F891" t="s">
        <v>219</v>
      </c>
      <c r="G891" t="s">
        <v>231</v>
      </c>
      <c r="H891" t="s">
        <v>433</v>
      </c>
      <c r="I891">
        <v>39</v>
      </c>
      <c r="J891" s="21">
        <v>45926</v>
      </c>
      <c r="K891" s="21">
        <v>45943</v>
      </c>
      <c r="L891" t="s">
        <v>2015</v>
      </c>
      <c r="M891" t="s">
        <v>1030</v>
      </c>
      <c r="O891" t="s">
        <v>248</v>
      </c>
      <c r="P891">
        <v>2</v>
      </c>
      <c r="Q891">
        <v>2</v>
      </c>
      <c r="R891">
        <v>0.15</v>
      </c>
      <c r="S891">
        <v>0.3</v>
      </c>
      <c r="T891">
        <v>0.3</v>
      </c>
      <c r="U891" t="s">
        <v>391</v>
      </c>
      <c r="V891" t="s">
        <v>392</v>
      </c>
      <c r="W891" t="s">
        <v>392</v>
      </c>
      <c r="X891">
        <v>1</v>
      </c>
      <c r="Y891" t="s">
        <v>1477</v>
      </c>
      <c r="Z891" t="s">
        <v>496</v>
      </c>
      <c r="AA891">
        <v>21.83</v>
      </c>
      <c r="AB891">
        <v>6.55</v>
      </c>
      <c r="AC891">
        <v>6.55</v>
      </c>
    </row>
    <row r="892" spans="2:29" ht="15" customHeight="1" x14ac:dyDescent="0.15">
      <c r="B892">
        <v>4</v>
      </c>
      <c r="C892" t="s">
        <v>2013</v>
      </c>
      <c r="D892" t="s">
        <v>2014</v>
      </c>
      <c r="E892">
        <v>2</v>
      </c>
      <c r="F892" t="s">
        <v>219</v>
      </c>
      <c r="G892" t="s">
        <v>244</v>
      </c>
      <c r="H892" t="s">
        <v>571</v>
      </c>
      <c r="I892">
        <v>39</v>
      </c>
      <c r="J892" s="21">
        <v>45926</v>
      </c>
      <c r="K892" s="21">
        <v>45943</v>
      </c>
      <c r="L892" t="s">
        <v>2016</v>
      </c>
      <c r="M892" t="s">
        <v>573</v>
      </c>
      <c r="O892" t="s">
        <v>248</v>
      </c>
      <c r="P892">
        <v>2</v>
      </c>
      <c r="Q892">
        <v>2</v>
      </c>
      <c r="R892">
        <v>0.5</v>
      </c>
      <c r="S892">
        <v>1</v>
      </c>
      <c r="T892">
        <v>1</v>
      </c>
      <c r="U892" t="s">
        <v>391</v>
      </c>
      <c r="V892" t="s">
        <v>392</v>
      </c>
      <c r="W892" t="s">
        <v>392</v>
      </c>
      <c r="X892">
        <v>1</v>
      </c>
      <c r="Y892" t="s">
        <v>1477</v>
      </c>
      <c r="Z892" t="s">
        <v>496</v>
      </c>
      <c r="AA892">
        <v>73.98</v>
      </c>
      <c r="AB892">
        <v>73.98</v>
      </c>
      <c r="AC892">
        <v>73.98</v>
      </c>
    </row>
    <row r="893" spans="2:29" ht="15" customHeight="1" x14ac:dyDescent="0.15">
      <c r="B893">
        <v>4</v>
      </c>
      <c r="C893" t="s">
        <v>386</v>
      </c>
      <c r="D893" t="s">
        <v>2017</v>
      </c>
      <c r="E893">
        <v>1</v>
      </c>
      <c r="F893" t="s">
        <v>416</v>
      </c>
      <c r="G893" t="s">
        <v>1036</v>
      </c>
      <c r="H893" t="s">
        <v>562</v>
      </c>
      <c r="I893">
        <v>39</v>
      </c>
      <c r="J893" s="21">
        <v>45926</v>
      </c>
      <c r="K893" s="21">
        <v>45926</v>
      </c>
      <c r="L893" t="s">
        <v>2018</v>
      </c>
      <c r="M893" t="s">
        <v>1038</v>
      </c>
      <c r="O893" t="s">
        <v>282</v>
      </c>
      <c r="P893">
        <v>1</v>
      </c>
      <c r="Q893">
        <v>1</v>
      </c>
      <c r="R893">
        <v>148.5</v>
      </c>
      <c r="S893">
        <v>148.5</v>
      </c>
      <c r="T893">
        <v>148.5</v>
      </c>
      <c r="U893" t="s">
        <v>391</v>
      </c>
      <c r="V893" t="s">
        <v>392</v>
      </c>
      <c r="W893" t="s">
        <v>392</v>
      </c>
      <c r="X893">
        <v>1</v>
      </c>
      <c r="Y893" t="s">
        <v>893</v>
      </c>
      <c r="Z893" t="s">
        <v>496</v>
      </c>
      <c r="AA893">
        <v>6.7</v>
      </c>
      <c r="AB893">
        <v>994.95</v>
      </c>
      <c r="AC893">
        <v>994.95</v>
      </c>
    </row>
    <row r="894" spans="2:29" ht="15" customHeight="1" x14ac:dyDescent="0.15">
      <c r="B894">
        <v>4</v>
      </c>
      <c r="C894" t="s">
        <v>386</v>
      </c>
      <c r="D894" t="s">
        <v>2019</v>
      </c>
      <c r="E894">
        <v>1</v>
      </c>
      <c r="F894" t="s">
        <v>219</v>
      </c>
      <c r="G894" t="s">
        <v>244</v>
      </c>
      <c r="H894" t="s">
        <v>1593</v>
      </c>
      <c r="I894">
        <v>39</v>
      </c>
      <c r="J894" s="21">
        <v>45926</v>
      </c>
      <c r="K894" s="21">
        <v>45926</v>
      </c>
      <c r="L894" t="s">
        <v>2020</v>
      </c>
      <c r="M894" t="s">
        <v>1595</v>
      </c>
      <c r="O894" t="s">
        <v>282</v>
      </c>
      <c r="P894">
        <v>1</v>
      </c>
      <c r="Q894">
        <v>1</v>
      </c>
      <c r="R894">
        <v>1</v>
      </c>
      <c r="S894">
        <v>1</v>
      </c>
      <c r="T894">
        <v>1</v>
      </c>
      <c r="U894" t="s">
        <v>391</v>
      </c>
      <c r="V894" t="s">
        <v>392</v>
      </c>
      <c r="W894" t="s">
        <v>392</v>
      </c>
      <c r="X894">
        <v>1</v>
      </c>
      <c r="Y894" t="s">
        <v>750</v>
      </c>
      <c r="Z894" t="s">
        <v>496</v>
      </c>
      <c r="AA894">
        <v>528.66</v>
      </c>
      <c r="AB894">
        <v>528.66</v>
      </c>
      <c r="AC894">
        <v>528.66</v>
      </c>
    </row>
    <row r="895" spans="2:29" ht="15" customHeight="1" x14ac:dyDescent="0.15">
      <c r="B895">
        <v>4</v>
      </c>
      <c r="C895" t="s">
        <v>386</v>
      </c>
      <c r="D895" t="s">
        <v>2021</v>
      </c>
      <c r="E895">
        <v>1</v>
      </c>
      <c r="F895" t="s">
        <v>219</v>
      </c>
      <c r="G895" t="s">
        <v>244</v>
      </c>
      <c r="H895" t="s">
        <v>1593</v>
      </c>
      <c r="I895">
        <v>39</v>
      </c>
      <c r="J895" s="21">
        <v>45926</v>
      </c>
      <c r="K895" s="21">
        <v>45926</v>
      </c>
      <c r="L895" t="s">
        <v>2022</v>
      </c>
      <c r="M895" t="s">
        <v>1595</v>
      </c>
      <c r="O895" t="s">
        <v>282</v>
      </c>
      <c r="P895">
        <v>1</v>
      </c>
      <c r="Q895">
        <v>1</v>
      </c>
      <c r="R895">
        <v>0.5</v>
      </c>
      <c r="S895">
        <v>0.5</v>
      </c>
      <c r="T895">
        <v>0.5</v>
      </c>
      <c r="U895" t="s">
        <v>391</v>
      </c>
      <c r="V895" t="s">
        <v>392</v>
      </c>
      <c r="W895" t="s">
        <v>392</v>
      </c>
      <c r="X895">
        <v>1</v>
      </c>
      <c r="Y895" t="s">
        <v>723</v>
      </c>
      <c r="Z895" t="s">
        <v>496</v>
      </c>
      <c r="AA895">
        <v>528.66</v>
      </c>
      <c r="AB895">
        <v>264.33</v>
      </c>
      <c r="AC895">
        <v>264.33</v>
      </c>
    </row>
    <row r="896" spans="2:29" ht="15" customHeight="1" x14ac:dyDescent="0.15">
      <c r="B896">
        <v>4</v>
      </c>
      <c r="C896" t="s">
        <v>386</v>
      </c>
      <c r="D896" t="s">
        <v>2023</v>
      </c>
      <c r="E896">
        <v>1</v>
      </c>
      <c r="F896" t="s">
        <v>219</v>
      </c>
      <c r="G896" t="s">
        <v>244</v>
      </c>
      <c r="H896" t="s">
        <v>1593</v>
      </c>
      <c r="I896">
        <v>39</v>
      </c>
      <c r="J896" s="21">
        <v>45927</v>
      </c>
      <c r="K896" s="21">
        <v>45927</v>
      </c>
      <c r="L896" t="s">
        <v>2024</v>
      </c>
      <c r="M896" t="s">
        <v>1595</v>
      </c>
      <c r="O896" t="s">
        <v>282</v>
      </c>
      <c r="P896">
        <v>1</v>
      </c>
      <c r="Q896">
        <v>1</v>
      </c>
      <c r="R896">
        <v>0.4</v>
      </c>
      <c r="S896">
        <v>0.4</v>
      </c>
      <c r="T896">
        <v>0.4</v>
      </c>
      <c r="U896" t="s">
        <v>391</v>
      </c>
      <c r="V896" t="s">
        <v>392</v>
      </c>
      <c r="W896" t="s">
        <v>392</v>
      </c>
      <c r="X896">
        <v>1</v>
      </c>
      <c r="Y896" t="s">
        <v>710</v>
      </c>
      <c r="Z896" t="s">
        <v>496</v>
      </c>
      <c r="AA896">
        <v>528.66</v>
      </c>
      <c r="AB896">
        <v>211.46</v>
      </c>
      <c r="AC896">
        <v>211.46</v>
      </c>
    </row>
    <row r="897" spans="2:29" ht="15" customHeight="1" x14ac:dyDescent="0.15">
      <c r="B897">
        <v>4</v>
      </c>
      <c r="C897" t="s">
        <v>386</v>
      </c>
      <c r="D897" t="s">
        <v>2025</v>
      </c>
      <c r="E897">
        <v>1</v>
      </c>
      <c r="F897" t="s">
        <v>219</v>
      </c>
      <c r="G897" t="s">
        <v>244</v>
      </c>
      <c r="H897" t="s">
        <v>1593</v>
      </c>
      <c r="I897">
        <v>40</v>
      </c>
      <c r="J897" s="21">
        <v>45930</v>
      </c>
      <c r="K897" s="21">
        <v>45930</v>
      </c>
      <c r="L897" t="s">
        <v>2026</v>
      </c>
      <c r="M897" t="s">
        <v>1595</v>
      </c>
      <c r="O897" t="s">
        <v>282</v>
      </c>
      <c r="P897">
        <v>1</v>
      </c>
      <c r="Q897">
        <v>1</v>
      </c>
      <c r="R897">
        <v>1.6</v>
      </c>
      <c r="S897">
        <v>1.6</v>
      </c>
      <c r="T897">
        <v>1.6</v>
      </c>
      <c r="U897" t="s">
        <v>391</v>
      </c>
      <c r="V897" t="s">
        <v>392</v>
      </c>
      <c r="W897" t="s">
        <v>392</v>
      </c>
      <c r="X897">
        <v>1</v>
      </c>
      <c r="Y897" t="s">
        <v>886</v>
      </c>
      <c r="Z897" t="s">
        <v>496</v>
      </c>
      <c r="AA897">
        <v>528.66</v>
      </c>
      <c r="AB897">
        <v>845.86</v>
      </c>
      <c r="AC897">
        <v>845.86</v>
      </c>
    </row>
    <row r="898" spans="2:29" ht="15" customHeight="1" x14ac:dyDescent="0.15">
      <c r="B898">
        <v>4</v>
      </c>
      <c r="C898" t="s">
        <v>386</v>
      </c>
      <c r="D898" t="s">
        <v>2027</v>
      </c>
      <c r="E898">
        <v>1</v>
      </c>
      <c r="F898" t="s">
        <v>219</v>
      </c>
      <c r="G898" t="s">
        <v>218</v>
      </c>
      <c r="H898" t="s">
        <v>397</v>
      </c>
      <c r="I898">
        <v>36</v>
      </c>
      <c r="J898" s="21">
        <v>45902</v>
      </c>
      <c r="K898" s="21">
        <v>45902</v>
      </c>
      <c r="L898" t="s">
        <v>2028</v>
      </c>
      <c r="M898" t="s">
        <v>454</v>
      </c>
      <c r="O898" t="s">
        <v>220</v>
      </c>
      <c r="P898">
        <v>1</v>
      </c>
      <c r="Q898">
        <v>1</v>
      </c>
      <c r="R898">
        <v>1</v>
      </c>
      <c r="S898">
        <v>1</v>
      </c>
      <c r="T898">
        <v>1</v>
      </c>
      <c r="U898" t="s">
        <v>391</v>
      </c>
      <c r="V898" t="s">
        <v>392</v>
      </c>
      <c r="W898" t="s">
        <v>392</v>
      </c>
      <c r="X898">
        <v>1</v>
      </c>
      <c r="Y898" t="s">
        <v>710</v>
      </c>
      <c r="Z898" t="s">
        <v>496</v>
      </c>
      <c r="AA898">
        <v>686.05</v>
      </c>
      <c r="AB898">
        <v>686.05</v>
      </c>
      <c r="AC898">
        <v>686.05</v>
      </c>
    </row>
    <row r="899" spans="2:29" ht="15" customHeight="1" x14ac:dyDescent="0.15">
      <c r="B899">
        <v>4</v>
      </c>
      <c r="C899" t="s">
        <v>386</v>
      </c>
      <c r="D899" t="s">
        <v>2027</v>
      </c>
      <c r="E899">
        <v>2</v>
      </c>
      <c r="F899" t="s">
        <v>219</v>
      </c>
      <c r="G899" t="s">
        <v>244</v>
      </c>
      <c r="H899" t="s">
        <v>2029</v>
      </c>
      <c r="I899">
        <v>36</v>
      </c>
      <c r="J899" s="21">
        <v>45902</v>
      </c>
      <c r="K899" s="21">
        <v>45902</v>
      </c>
      <c r="L899" t="s">
        <v>2030</v>
      </c>
      <c r="M899" t="s">
        <v>2031</v>
      </c>
      <c r="O899" t="s">
        <v>282</v>
      </c>
      <c r="P899">
        <v>2</v>
      </c>
      <c r="Q899">
        <v>2</v>
      </c>
      <c r="R899">
        <v>0.5</v>
      </c>
      <c r="S899">
        <v>1</v>
      </c>
      <c r="T899">
        <v>1</v>
      </c>
      <c r="U899" t="s">
        <v>391</v>
      </c>
      <c r="V899" t="s">
        <v>392</v>
      </c>
      <c r="W899" t="s">
        <v>392</v>
      </c>
      <c r="X899">
        <v>1</v>
      </c>
      <c r="Y899" t="s">
        <v>710</v>
      </c>
      <c r="Z899" t="s">
        <v>496</v>
      </c>
      <c r="AA899">
        <v>67.209999999999994</v>
      </c>
      <c r="AB899">
        <v>67.209999999999994</v>
      </c>
      <c r="AC899">
        <v>67.209999999999994</v>
      </c>
    </row>
    <row r="900" spans="2:29" ht="15" customHeight="1" x14ac:dyDescent="0.15">
      <c r="B900">
        <v>4</v>
      </c>
      <c r="C900" t="s">
        <v>386</v>
      </c>
      <c r="D900" t="s">
        <v>2027</v>
      </c>
      <c r="E900">
        <v>3</v>
      </c>
      <c r="F900" t="s">
        <v>219</v>
      </c>
      <c r="G900" t="s">
        <v>218</v>
      </c>
      <c r="H900" t="s">
        <v>1366</v>
      </c>
      <c r="I900">
        <v>36</v>
      </c>
      <c r="J900" s="21">
        <v>45902</v>
      </c>
      <c r="K900" s="21">
        <v>45902</v>
      </c>
      <c r="L900" t="s">
        <v>2032</v>
      </c>
      <c r="M900" t="s">
        <v>1368</v>
      </c>
      <c r="O900" t="s">
        <v>220</v>
      </c>
      <c r="P900">
        <v>1</v>
      </c>
      <c r="Q900">
        <v>1</v>
      </c>
      <c r="R900">
        <v>0.6</v>
      </c>
      <c r="S900">
        <v>0.6</v>
      </c>
      <c r="T900">
        <v>0.6</v>
      </c>
      <c r="U900" t="s">
        <v>391</v>
      </c>
      <c r="V900" t="s">
        <v>392</v>
      </c>
      <c r="W900" t="s">
        <v>392</v>
      </c>
      <c r="X900">
        <v>1</v>
      </c>
      <c r="Y900" t="s">
        <v>710</v>
      </c>
      <c r="Z900" t="s">
        <v>496</v>
      </c>
      <c r="AA900">
        <v>784.7</v>
      </c>
      <c r="AB900">
        <v>470.82</v>
      </c>
      <c r="AC900">
        <v>470.82</v>
      </c>
    </row>
    <row r="901" spans="2:29" ht="15" customHeight="1" x14ac:dyDescent="0.15">
      <c r="B901">
        <v>4</v>
      </c>
      <c r="C901" t="s">
        <v>386</v>
      </c>
      <c r="D901" t="s">
        <v>2033</v>
      </c>
      <c r="E901">
        <v>1</v>
      </c>
      <c r="F901" t="s">
        <v>219</v>
      </c>
      <c r="G901" t="s">
        <v>231</v>
      </c>
      <c r="H901" t="s">
        <v>433</v>
      </c>
      <c r="I901">
        <v>40</v>
      </c>
      <c r="J901" s="21">
        <v>45932</v>
      </c>
      <c r="K901" s="21">
        <v>45933</v>
      </c>
      <c r="L901" t="s">
        <v>2034</v>
      </c>
      <c r="M901" t="s">
        <v>1030</v>
      </c>
      <c r="O901" t="s">
        <v>220</v>
      </c>
      <c r="P901">
        <v>11</v>
      </c>
      <c r="Q901">
        <v>11</v>
      </c>
      <c r="R901">
        <v>0.15</v>
      </c>
      <c r="S901">
        <v>1.65</v>
      </c>
      <c r="T901">
        <v>1.65</v>
      </c>
      <c r="U901" t="s">
        <v>391</v>
      </c>
      <c r="V901" t="s">
        <v>392</v>
      </c>
      <c r="W901" t="s">
        <v>392</v>
      </c>
      <c r="X901">
        <v>1</v>
      </c>
      <c r="Y901" t="s">
        <v>893</v>
      </c>
      <c r="Z901" t="s">
        <v>496</v>
      </c>
      <c r="AA901">
        <v>21.83</v>
      </c>
      <c r="AB901">
        <v>36.020000000000003</v>
      </c>
      <c r="AC901">
        <v>36.020000000000003</v>
      </c>
    </row>
    <row r="902" spans="2:29" ht="15" customHeight="1" x14ac:dyDescent="0.15">
      <c r="B902">
        <v>4</v>
      </c>
      <c r="C902" t="s">
        <v>386</v>
      </c>
      <c r="D902" t="s">
        <v>2033</v>
      </c>
      <c r="E902">
        <v>2</v>
      </c>
      <c r="F902" t="s">
        <v>219</v>
      </c>
      <c r="G902" t="s">
        <v>244</v>
      </c>
      <c r="H902" t="s">
        <v>1593</v>
      </c>
      <c r="I902">
        <v>40</v>
      </c>
      <c r="J902" s="21">
        <v>45932</v>
      </c>
      <c r="K902" s="21">
        <v>45933</v>
      </c>
      <c r="L902" t="s">
        <v>2035</v>
      </c>
      <c r="M902" t="s">
        <v>1595</v>
      </c>
      <c r="O902" t="s">
        <v>282</v>
      </c>
      <c r="P902">
        <v>11</v>
      </c>
      <c r="Q902">
        <v>11</v>
      </c>
      <c r="R902">
        <v>0.2</v>
      </c>
      <c r="S902">
        <v>2.2000000000000002</v>
      </c>
      <c r="T902">
        <v>2.2000000000000002</v>
      </c>
      <c r="U902" t="s">
        <v>391</v>
      </c>
      <c r="V902" t="s">
        <v>392</v>
      </c>
      <c r="W902" t="s">
        <v>392</v>
      </c>
      <c r="X902">
        <v>1</v>
      </c>
      <c r="Y902" t="s">
        <v>893</v>
      </c>
      <c r="Z902" t="s">
        <v>496</v>
      </c>
      <c r="AA902">
        <v>528.66</v>
      </c>
      <c r="AB902" s="22">
        <v>1163.05</v>
      </c>
      <c r="AC902" s="22">
        <v>1163.05</v>
      </c>
    </row>
    <row r="903" spans="2:29" ht="15" customHeight="1" x14ac:dyDescent="0.15">
      <c r="B903">
        <v>4</v>
      </c>
      <c r="C903" t="s">
        <v>386</v>
      </c>
      <c r="D903" t="s">
        <v>2033</v>
      </c>
      <c r="E903">
        <v>3</v>
      </c>
      <c r="F903" t="s">
        <v>219</v>
      </c>
      <c r="G903" t="s">
        <v>218</v>
      </c>
      <c r="H903" t="s">
        <v>394</v>
      </c>
      <c r="I903">
        <v>40</v>
      </c>
      <c r="J903" s="21">
        <v>45932</v>
      </c>
      <c r="K903" s="21">
        <v>45933</v>
      </c>
      <c r="L903" t="s">
        <v>2036</v>
      </c>
      <c r="M903" t="s">
        <v>396</v>
      </c>
      <c r="O903" t="s">
        <v>220</v>
      </c>
      <c r="P903">
        <v>1</v>
      </c>
      <c r="Q903">
        <v>1</v>
      </c>
      <c r="R903">
        <v>2</v>
      </c>
      <c r="S903">
        <v>2</v>
      </c>
      <c r="T903">
        <v>2</v>
      </c>
      <c r="U903" t="s">
        <v>391</v>
      </c>
      <c r="V903" t="s">
        <v>392</v>
      </c>
      <c r="W903" t="s">
        <v>392</v>
      </c>
      <c r="X903">
        <v>1</v>
      </c>
      <c r="Y903" t="s">
        <v>893</v>
      </c>
      <c r="Z903" t="s">
        <v>496</v>
      </c>
      <c r="AA903">
        <v>784.7</v>
      </c>
      <c r="AB903" s="22">
        <v>1569.4</v>
      </c>
      <c r="AC903" s="22">
        <v>1569.4</v>
      </c>
    </row>
    <row r="904" spans="2:29" ht="15" customHeight="1" x14ac:dyDescent="0.15">
      <c r="B904">
        <v>4</v>
      </c>
      <c r="C904" t="s">
        <v>386</v>
      </c>
      <c r="D904" t="s">
        <v>2037</v>
      </c>
      <c r="E904">
        <v>1</v>
      </c>
      <c r="F904" t="s">
        <v>219</v>
      </c>
      <c r="G904" t="s">
        <v>218</v>
      </c>
      <c r="H904" t="s">
        <v>2038</v>
      </c>
      <c r="I904">
        <v>40</v>
      </c>
      <c r="J904" s="21">
        <v>45932</v>
      </c>
      <c r="K904" s="21">
        <v>45932</v>
      </c>
      <c r="L904" t="s">
        <v>2039</v>
      </c>
      <c r="M904" t="s">
        <v>2040</v>
      </c>
      <c r="O904" t="s">
        <v>282</v>
      </c>
      <c r="P904">
        <v>1</v>
      </c>
      <c r="R904">
        <v>0.1</v>
      </c>
      <c r="S904">
        <v>0.05</v>
      </c>
      <c r="U904" t="s">
        <v>391</v>
      </c>
      <c r="V904" t="s">
        <v>392</v>
      </c>
      <c r="W904" t="s">
        <v>392</v>
      </c>
      <c r="Y904" t="s">
        <v>2041</v>
      </c>
      <c r="Z904" t="s">
        <v>496</v>
      </c>
      <c r="AA904">
        <v>202</v>
      </c>
      <c r="AB904">
        <v>10.1</v>
      </c>
      <c r="AC904">
        <v>0</v>
      </c>
    </row>
    <row r="905" spans="2:29" ht="15" hidden="1" customHeight="1" x14ac:dyDescent="0.15">
      <c r="B905">
        <v>4</v>
      </c>
      <c r="C905" t="s">
        <v>386</v>
      </c>
      <c r="D905" t="s">
        <v>2042</v>
      </c>
      <c r="E905">
        <v>1</v>
      </c>
      <c r="F905" t="s">
        <v>219</v>
      </c>
      <c r="G905" t="s">
        <v>218</v>
      </c>
      <c r="H905" t="s">
        <v>2043</v>
      </c>
      <c r="I905">
        <v>40</v>
      </c>
      <c r="J905" s="21">
        <v>45934</v>
      </c>
      <c r="K905" s="21">
        <v>45934</v>
      </c>
      <c r="L905" t="s">
        <v>2044</v>
      </c>
      <c r="M905" t="s">
        <v>2045</v>
      </c>
      <c r="O905" t="s">
        <v>226</v>
      </c>
      <c r="P905">
        <v>0</v>
      </c>
      <c r="Q905">
        <v>1.33</v>
      </c>
      <c r="R905">
        <v>50</v>
      </c>
      <c r="S905">
        <v>10</v>
      </c>
      <c r="T905">
        <v>66.67</v>
      </c>
      <c r="U905" t="s">
        <v>2046</v>
      </c>
      <c r="V905" t="s">
        <v>496</v>
      </c>
      <c r="W905" t="s">
        <v>496</v>
      </c>
      <c r="X905">
        <v>0.2</v>
      </c>
      <c r="Y905" t="s">
        <v>2047</v>
      </c>
      <c r="Z905" t="s">
        <v>496</v>
      </c>
      <c r="AA905">
        <v>0.92</v>
      </c>
      <c r="AB905">
        <v>9.1999999999999993</v>
      </c>
      <c r="AC905">
        <v>61.33</v>
      </c>
    </row>
    <row r="906" spans="2:29" ht="15" hidden="1" customHeight="1" x14ac:dyDescent="0.15">
      <c r="B906">
        <v>4</v>
      </c>
      <c r="C906" t="s">
        <v>386</v>
      </c>
      <c r="D906" t="s">
        <v>2042</v>
      </c>
      <c r="E906">
        <v>2</v>
      </c>
      <c r="F906" t="s">
        <v>219</v>
      </c>
      <c r="G906" t="s">
        <v>218</v>
      </c>
      <c r="H906" t="s">
        <v>1018</v>
      </c>
      <c r="I906">
        <v>40</v>
      </c>
      <c r="J906" s="21">
        <v>45934</v>
      </c>
      <c r="K906" s="21">
        <v>45934</v>
      </c>
      <c r="L906" t="s">
        <v>2048</v>
      </c>
      <c r="M906" t="s">
        <v>236</v>
      </c>
      <c r="O906" t="s">
        <v>220</v>
      </c>
      <c r="P906">
        <v>0</v>
      </c>
      <c r="Q906">
        <v>1.33</v>
      </c>
      <c r="R906">
        <v>0.6</v>
      </c>
      <c r="S906">
        <v>0.12</v>
      </c>
      <c r="T906">
        <v>0.8</v>
      </c>
      <c r="U906" t="s">
        <v>2046</v>
      </c>
      <c r="V906" t="s">
        <v>496</v>
      </c>
      <c r="W906" t="s">
        <v>496</v>
      </c>
      <c r="X906">
        <v>0.2</v>
      </c>
      <c r="Y906" t="s">
        <v>2047</v>
      </c>
      <c r="Z906" t="s">
        <v>496</v>
      </c>
      <c r="AA906">
        <v>62.05</v>
      </c>
      <c r="AB906">
        <v>7.45</v>
      </c>
      <c r="AC906">
        <v>49.64</v>
      </c>
    </row>
    <row r="907" spans="2:29" ht="15" hidden="1" customHeight="1" x14ac:dyDescent="0.15">
      <c r="B907">
        <v>4</v>
      </c>
      <c r="C907" t="s">
        <v>386</v>
      </c>
      <c r="D907" t="s">
        <v>2042</v>
      </c>
      <c r="E907">
        <v>3</v>
      </c>
      <c r="F907" t="s">
        <v>219</v>
      </c>
      <c r="G907" t="s">
        <v>218</v>
      </c>
      <c r="H907" t="s">
        <v>667</v>
      </c>
      <c r="I907">
        <v>40</v>
      </c>
      <c r="J907" s="21">
        <v>45934</v>
      </c>
      <c r="K907" s="21">
        <v>45934</v>
      </c>
      <c r="L907" t="s">
        <v>2049</v>
      </c>
      <c r="M907" t="s">
        <v>355</v>
      </c>
      <c r="O907" t="s">
        <v>226</v>
      </c>
      <c r="P907">
        <v>0</v>
      </c>
      <c r="Q907">
        <v>1.33</v>
      </c>
      <c r="R907">
        <v>14</v>
      </c>
      <c r="S907">
        <v>2.8</v>
      </c>
      <c r="T907">
        <v>18.670000000000002</v>
      </c>
      <c r="U907" t="s">
        <v>2046</v>
      </c>
      <c r="V907" t="s">
        <v>496</v>
      </c>
      <c r="W907" t="s">
        <v>496</v>
      </c>
      <c r="X907">
        <v>0.2</v>
      </c>
      <c r="Y907" t="s">
        <v>2047</v>
      </c>
      <c r="Z907" t="s">
        <v>496</v>
      </c>
      <c r="AA907">
        <v>1.2</v>
      </c>
      <c r="AB907">
        <v>3.36</v>
      </c>
      <c r="AC907">
        <v>22.4</v>
      </c>
    </row>
    <row r="908" spans="2:29" ht="15" hidden="1" customHeight="1" x14ac:dyDescent="0.15">
      <c r="B908">
        <v>4</v>
      </c>
      <c r="C908" t="s">
        <v>386</v>
      </c>
      <c r="D908" t="s">
        <v>2042</v>
      </c>
      <c r="E908">
        <v>4</v>
      </c>
      <c r="F908" t="s">
        <v>219</v>
      </c>
      <c r="G908" t="s">
        <v>218</v>
      </c>
      <c r="H908" t="s">
        <v>1396</v>
      </c>
      <c r="I908">
        <v>40</v>
      </c>
      <c r="J908" s="21">
        <v>45934</v>
      </c>
      <c r="K908" s="21">
        <v>45934</v>
      </c>
      <c r="L908" t="s">
        <v>2050</v>
      </c>
      <c r="M908" t="s">
        <v>1398</v>
      </c>
      <c r="O908" t="s">
        <v>220</v>
      </c>
      <c r="P908">
        <v>0</v>
      </c>
      <c r="Q908">
        <v>1.33</v>
      </c>
      <c r="R908">
        <v>2</v>
      </c>
      <c r="S908">
        <v>0.4</v>
      </c>
      <c r="T908">
        <v>2.67</v>
      </c>
      <c r="U908" t="s">
        <v>2046</v>
      </c>
      <c r="V908" t="s">
        <v>496</v>
      </c>
      <c r="W908" t="s">
        <v>496</v>
      </c>
      <c r="X908">
        <v>0.2</v>
      </c>
      <c r="Y908" t="s">
        <v>2047</v>
      </c>
      <c r="Z908" t="s">
        <v>496</v>
      </c>
      <c r="AA908">
        <v>19.68</v>
      </c>
      <c r="AB908">
        <v>7.87</v>
      </c>
      <c r="AC908">
        <v>52.48</v>
      </c>
    </row>
    <row r="909" spans="2:29" ht="15" customHeight="1" x14ac:dyDescent="0.15">
      <c r="B909">
        <v>4</v>
      </c>
      <c r="C909" t="s">
        <v>386</v>
      </c>
      <c r="D909" t="s">
        <v>2051</v>
      </c>
      <c r="E909">
        <v>1</v>
      </c>
      <c r="F909" t="s">
        <v>556</v>
      </c>
      <c r="G909" t="s">
        <v>556</v>
      </c>
      <c r="H909" t="s">
        <v>556</v>
      </c>
      <c r="I909">
        <v>40</v>
      </c>
      <c r="J909" s="21">
        <v>45934</v>
      </c>
      <c r="K909" s="21">
        <v>45934</v>
      </c>
      <c r="L909" t="s">
        <v>2052</v>
      </c>
      <c r="M909" t="s">
        <v>2053</v>
      </c>
      <c r="O909" t="s">
        <v>2054</v>
      </c>
      <c r="P909">
        <v>1</v>
      </c>
      <c r="Q909">
        <v>1</v>
      </c>
      <c r="R909">
        <v>10</v>
      </c>
      <c r="S909">
        <v>10</v>
      </c>
      <c r="T909">
        <v>10</v>
      </c>
      <c r="U909" t="s">
        <v>391</v>
      </c>
      <c r="V909" t="s">
        <v>392</v>
      </c>
      <c r="W909" t="s">
        <v>392</v>
      </c>
      <c r="X909">
        <v>1</v>
      </c>
      <c r="Y909" t="s">
        <v>2055</v>
      </c>
      <c r="Z909" t="s">
        <v>496</v>
      </c>
      <c r="AB909">
        <v>0</v>
      </c>
      <c r="AC909">
        <v>0</v>
      </c>
    </row>
    <row r="910" spans="2:29" ht="15" customHeight="1" x14ac:dyDescent="0.15">
      <c r="B910">
        <v>4</v>
      </c>
      <c r="C910" t="s">
        <v>386</v>
      </c>
      <c r="D910" t="s">
        <v>2056</v>
      </c>
      <c r="E910">
        <v>1</v>
      </c>
      <c r="F910" t="s">
        <v>219</v>
      </c>
      <c r="G910" t="s">
        <v>231</v>
      </c>
      <c r="H910" t="s">
        <v>433</v>
      </c>
      <c r="I910">
        <v>41</v>
      </c>
      <c r="J910" s="21">
        <v>45936</v>
      </c>
      <c r="K910" s="21">
        <v>45937</v>
      </c>
      <c r="L910" t="s">
        <v>2057</v>
      </c>
      <c r="M910" t="s">
        <v>1030</v>
      </c>
      <c r="O910" t="s">
        <v>220</v>
      </c>
      <c r="P910">
        <v>3</v>
      </c>
      <c r="Q910">
        <v>1.5</v>
      </c>
      <c r="R910">
        <v>0.12</v>
      </c>
      <c r="S910">
        <v>0.36</v>
      </c>
      <c r="T910">
        <v>0.18</v>
      </c>
      <c r="U910" t="s">
        <v>1056</v>
      </c>
      <c r="V910" t="s">
        <v>1057</v>
      </c>
      <c r="W910" t="s">
        <v>532</v>
      </c>
      <c r="X910">
        <v>2</v>
      </c>
      <c r="Y910" t="s">
        <v>860</v>
      </c>
      <c r="Z910" t="s">
        <v>496</v>
      </c>
      <c r="AA910">
        <v>21.83</v>
      </c>
      <c r="AB910">
        <v>7.86</v>
      </c>
      <c r="AC910">
        <v>3.93</v>
      </c>
    </row>
    <row r="911" spans="2:29" ht="15" customHeight="1" x14ac:dyDescent="0.15">
      <c r="B911">
        <v>4</v>
      </c>
      <c r="C911" t="s">
        <v>386</v>
      </c>
      <c r="D911" t="s">
        <v>2056</v>
      </c>
      <c r="E911">
        <v>2</v>
      </c>
      <c r="F911" t="s">
        <v>219</v>
      </c>
      <c r="G911" t="s">
        <v>239</v>
      </c>
      <c r="H911" t="s">
        <v>861</v>
      </c>
      <c r="I911">
        <v>41</v>
      </c>
      <c r="J911" s="21">
        <v>45936</v>
      </c>
      <c r="K911" s="21">
        <v>45937</v>
      </c>
      <c r="L911" t="s">
        <v>2058</v>
      </c>
      <c r="M911" t="s">
        <v>863</v>
      </c>
      <c r="O911" t="s">
        <v>220</v>
      </c>
      <c r="P911">
        <v>3</v>
      </c>
      <c r="Q911">
        <v>1.5</v>
      </c>
      <c r="R911">
        <v>2</v>
      </c>
      <c r="S911">
        <v>6</v>
      </c>
      <c r="T911">
        <v>3</v>
      </c>
      <c r="U911" t="s">
        <v>1056</v>
      </c>
      <c r="V911" t="s">
        <v>1057</v>
      </c>
      <c r="W911" t="s">
        <v>532</v>
      </c>
      <c r="X911">
        <v>2</v>
      </c>
      <c r="Y911" t="s">
        <v>860</v>
      </c>
      <c r="Z911" t="s">
        <v>496</v>
      </c>
      <c r="AA911">
        <v>29.14</v>
      </c>
      <c r="AB911">
        <v>174.84</v>
      </c>
      <c r="AC911">
        <v>87.42</v>
      </c>
    </row>
    <row r="912" spans="2:29" ht="15" customHeight="1" x14ac:dyDescent="0.15">
      <c r="B912">
        <v>4</v>
      </c>
      <c r="C912" t="s">
        <v>386</v>
      </c>
      <c r="D912" t="s">
        <v>2056</v>
      </c>
      <c r="E912">
        <v>3</v>
      </c>
      <c r="F912" t="s">
        <v>219</v>
      </c>
      <c r="G912" t="s">
        <v>218</v>
      </c>
      <c r="H912" t="s">
        <v>908</v>
      </c>
      <c r="I912">
        <v>41</v>
      </c>
      <c r="J912" s="21">
        <v>45936</v>
      </c>
      <c r="K912" s="21">
        <v>45937</v>
      </c>
      <c r="L912" t="s">
        <v>2059</v>
      </c>
      <c r="M912" t="s">
        <v>1027</v>
      </c>
      <c r="O912" t="s">
        <v>220</v>
      </c>
      <c r="P912">
        <v>3</v>
      </c>
      <c r="Q912">
        <v>1.5</v>
      </c>
      <c r="R912">
        <v>0.3</v>
      </c>
      <c r="S912">
        <v>0.9</v>
      </c>
      <c r="T912">
        <v>0.45</v>
      </c>
      <c r="U912" t="s">
        <v>1056</v>
      </c>
      <c r="V912" t="s">
        <v>1057</v>
      </c>
      <c r="W912" t="s">
        <v>532</v>
      </c>
      <c r="X912">
        <v>2</v>
      </c>
      <c r="Y912" t="s">
        <v>860</v>
      </c>
      <c r="Z912" t="s">
        <v>496</v>
      </c>
      <c r="AA912">
        <v>31.3</v>
      </c>
      <c r="AB912">
        <v>28.17</v>
      </c>
      <c r="AC912">
        <v>14.09</v>
      </c>
    </row>
    <row r="913" spans="2:29" ht="15" customHeight="1" x14ac:dyDescent="0.15">
      <c r="B913">
        <v>4</v>
      </c>
      <c r="C913" t="s">
        <v>386</v>
      </c>
      <c r="D913" t="s">
        <v>2060</v>
      </c>
      <c r="E913">
        <v>1</v>
      </c>
      <c r="F913" t="s">
        <v>219</v>
      </c>
      <c r="G913" t="s">
        <v>231</v>
      </c>
      <c r="H913" t="s">
        <v>433</v>
      </c>
      <c r="I913">
        <v>41</v>
      </c>
      <c r="J913" s="21">
        <v>45937</v>
      </c>
      <c r="K913" s="21">
        <v>45937</v>
      </c>
      <c r="L913" t="s">
        <v>2061</v>
      </c>
      <c r="M913" t="s">
        <v>1030</v>
      </c>
      <c r="N913" s="22">
        <v>45937</v>
      </c>
      <c r="O913" t="s">
        <v>220</v>
      </c>
      <c r="P913">
        <v>4</v>
      </c>
      <c r="Q913">
        <v>0.92</v>
      </c>
      <c r="R913">
        <v>0.12</v>
      </c>
      <c r="S913">
        <v>0.42</v>
      </c>
      <c r="T913">
        <v>0.11</v>
      </c>
      <c r="U913" t="s">
        <v>530</v>
      </c>
      <c r="V913" t="s">
        <v>531</v>
      </c>
      <c r="W913" t="s">
        <v>532</v>
      </c>
      <c r="X913">
        <v>3.8</v>
      </c>
      <c r="Y913" t="s">
        <v>860</v>
      </c>
      <c r="Z913" t="s">
        <v>496</v>
      </c>
      <c r="AA913">
        <v>21.83</v>
      </c>
      <c r="AB913">
        <v>9.17</v>
      </c>
      <c r="AC913">
        <v>2.41</v>
      </c>
    </row>
    <row r="914" spans="2:29" ht="15" customHeight="1" x14ac:dyDescent="0.15">
      <c r="B914">
        <v>4</v>
      </c>
      <c r="C914" t="s">
        <v>386</v>
      </c>
      <c r="D914" t="s">
        <v>2060</v>
      </c>
      <c r="E914">
        <v>2</v>
      </c>
      <c r="F914" t="s">
        <v>219</v>
      </c>
      <c r="G914" t="s">
        <v>239</v>
      </c>
      <c r="H914" t="s">
        <v>861</v>
      </c>
      <c r="I914">
        <v>41</v>
      </c>
      <c r="J914" s="21">
        <v>45937</v>
      </c>
      <c r="K914" s="21">
        <v>45937</v>
      </c>
      <c r="L914" t="s">
        <v>2062</v>
      </c>
      <c r="M914" t="s">
        <v>863</v>
      </c>
      <c r="N914" s="22">
        <v>45937</v>
      </c>
      <c r="O914" t="s">
        <v>220</v>
      </c>
      <c r="P914">
        <v>4</v>
      </c>
      <c r="Q914">
        <v>0.92</v>
      </c>
      <c r="R914">
        <v>3</v>
      </c>
      <c r="S914">
        <v>10.5</v>
      </c>
      <c r="T914">
        <v>2.76</v>
      </c>
      <c r="U914" t="s">
        <v>530</v>
      </c>
      <c r="V914" t="s">
        <v>531</v>
      </c>
      <c r="W914" t="s">
        <v>532</v>
      </c>
      <c r="X914">
        <v>3.8</v>
      </c>
      <c r="Y914" t="s">
        <v>860</v>
      </c>
      <c r="Z914" t="s">
        <v>496</v>
      </c>
      <c r="AA914">
        <v>29.14</v>
      </c>
      <c r="AB914">
        <v>305.97000000000003</v>
      </c>
      <c r="AC914">
        <v>80.52</v>
      </c>
    </row>
    <row r="915" spans="2:29" ht="15" customHeight="1" x14ac:dyDescent="0.15">
      <c r="B915">
        <v>4</v>
      </c>
      <c r="C915" t="s">
        <v>386</v>
      </c>
      <c r="D915" t="s">
        <v>2060</v>
      </c>
      <c r="E915">
        <v>3</v>
      </c>
      <c r="F915" t="s">
        <v>219</v>
      </c>
      <c r="G915" t="s">
        <v>239</v>
      </c>
      <c r="H915" t="s">
        <v>520</v>
      </c>
      <c r="I915">
        <v>41</v>
      </c>
      <c r="J915" s="21">
        <v>45937</v>
      </c>
      <c r="K915" s="21">
        <v>45937</v>
      </c>
      <c r="L915" t="s">
        <v>2063</v>
      </c>
      <c r="M915" t="s">
        <v>1340</v>
      </c>
      <c r="N915" s="22">
        <v>45937</v>
      </c>
      <c r="O915" t="s">
        <v>282</v>
      </c>
      <c r="P915">
        <v>4</v>
      </c>
      <c r="Q915">
        <v>0.92</v>
      </c>
      <c r="R915">
        <v>2</v>
      </c>
      <c r="S915">
        <v>7</v>
      </c>
      <c r="T915">
        <v>1.84</v>
      </c>
      <c r="U915" t="s">
        <v>530</v>
      </c>
      <c r="V915" t="s">
        <v>531</v>
      </c>
      <c r="W915" t="s">
        <v>532</v>
      </c>
      <c r="X915">
        <v>3.8</v>
      </c>
      <c r="Y915" t="s">
        <v>860</v>
      </c>
      <c r="Z915" t="s">
        <v>496</v>
      </c>
      <c r="AA915">
        <v>66.92</v>
      </c>
      <c r="AB915">
        <v>468.44</v>
      </c>
      <c r="AC915">
        <v>123.27</v>
      </c>
    </row>
    <row r="916" spans="2:29" ht="15" customHeight="1" x14ac:dyDescent="0.15">
      <c r="B916">
        <v>4</v>
      </c>
      <c r="C916" t="s">
        <v>386</v>
      </c>
      <c r="D916" t="s">
        <v>2060</v>
      </c>
      <c r="E916">
        <v>4</v>
      </c>
      <c r="F916" t="s">
        <v>219</v>
      </c>
      <c r="G916" t="s">
        <v>239</v>
      </c>
      <c r="H916" t="s">
        <v>1852</v>
      </c>
      <c r="I916">
        <v>41</v>
      </c>
      <c r="J916" s="21">
        <v>45937</v>
      </c>
      <c r="K916" s="21">
        <v>45937</v>
      </c>
      <c r="L916" t="s">
        <v>2064</v>
      </c>
      <c r="M916" t="s">
        <v>2065</v>
      </c>
      <c r="N916" s="22">
        <v>45937</v>
      </c>
      <c r="O916" t="s">
        <v>220</v>
      </c>
      <c r="P916">
        <v>4</v>
      </c>
      <c r="Q916">
        <v>0.92</v>
      </c>
      <c r="R916">
        <v>1</v>
      </c>
      <c r="S916">
        <v>3.5</v>
      </c>
      <c r="T916">
        <v>0.92</v>
      </c>
      <c r="U916" t="s">
        <v>530</v>
      </c>
      <c r="V916" t="s">
        <v>531</v>
      </c>
      <c r="W916" t="s">
        <v>532</v>
      </c>
      <c r="X916">
        <v>3.8</v>
      </c>
      <c r="Y916" t="s">
        <v>860</v>
      </c>
      <c r="Z916" t="s">
        <v>496</v>
      </c>
      <c r="AA916">
        <v>25.66</v>
      </c>
      <c r="AB916">
        <v>89.81</v>
      </c>
      <c r="AC916">
        <v>23.63</v>
      </c>
    </row>
    <row r="917" spans="2:29" ht="15" customHeight="1" x14ac:dyDescent="0.15">
      <c r="B917">
        <v>4</v>
      </c>
      <c r="C917" t="s">
        <v>386</v>
      </c>
      <c r="D917" t="s">
        <v>2066</v>
      </c>
      <c r="E917">
        <v>1</v>
      </c>
      <c r="F917" t="s">
        <v>219</v>
      </c>
      <c r="G917" t="s">
        <v>218</v>
      </c>
      <c r="H917" t="s">
        <v>1472</v>
      </c>
      <c r="I917">
        <v>41</v>
      </c>
      <c r="J917" s="21">
        <v>45937</v>
      </c>
      <c r="K917" s="21">
        <v>45938</v>
      </c>
      <c r="L917" t="s">
        <v>2067</v>
      </c>
      <c r="M917" t="s">
        <v>1474</v>
      </c>
      <c r="O917" t="s">
        <v>282</v>
      </c>
      <c r="P917">
        <v>25</v>
      </c>
      <c r="Q917">
        <v>25</v>
      </c>
      <c r="R917">
        <v>5</v>
      </c>
      <c r="S917">
        <v>125</v>
      </c>
      <c r="T917">
        <v>125</v>
      </c>
      <c r="U917" t="s">
        <v>391</v>
      </c>
      <c r="V917" t="s">
        <v>392</v>
      </c>
      <c r="W917" t="s">
        <v>392</v>
      </c>
      <c r="X917">
        <v>1</v>
      </c>
      <c r="Y917" t="s">
        <v>893</v>
      </c>
      <c r="Z917" t="s">
        <v>496</v>
      </c>
      <c r="AA917">
        <v>2.88</v>
      </c>
      <c r="AB917">
        <v>360</v>
      </c>
      <c r="AC917">
        <v>360</v>
      </c>
    </row>
    <row r="918" spans="2:29" ht="15" hidden="1" customHeight="1" x14ac:dyDescent="0.15">
      <c r="B918">
        <v>4</v>
      </c>
      <c r="C918" t="s">
        <v>386</v>
      </c>
      <c r="D918" t="s">
        <v>2068</v>
      </c>
      <c r="E918">
        <v>1</v>
      </c>
      <c r="F918" t="s">
        <v>219</v>
      </c>
      <c r="G918" t="s">
        <v>244</v>
      </c>
      <c r="H918" t="s">
        <v>877</v>
      </c>
      <c r="I918">
        <v>41</v>
      </c>
      <c r="J918" s="21">
        <v>45938</v>
      </c>
      <c r="K918" s="21">
        <v>45940</v>
      </c>
      <c r="L918" t="s">
        <v>2069</v>
      </c>
      <c r="M918" t="s">
        <v>1335</v>
      </c>
      <c r="O918" t="s">
        <v>282</v>
      </c>
      <c r="P918">
        <v>0</v>
      </c>
      <c r="Q918">
        <v>1</v>
      </c>
      <c r="R918">
        <v>0.15</v>
      </c>
      <c r="S918">
        <v>2.3E-2</v>
      </c>
      <c r="T918">
        <v>0.15</v>
      </c>
      <c r="U918" t="s">
        <v>2046</v>
      </c>
      <c r="V918" t="s">
        <v>496</v>
      </c>
      <c r="W918" t="s">
        <v>496</v>
      </c>
      <c r="X918">
        <v>0.2</v>
      </c>
      <c r="Y918" t="s">
        <v>2070</v>
      </c>
      <c r="Z918" t="s">
        <v>496</v>
      </c>
      <c r="AA918" s="22">
        <v>1239.5</v>
      </c>
      <c r="AB918">
        <v>27.89</v>
      </c>
      <c r="AC918">
        <v>185.93</v>
      </c>
    </row>
    <row r="919" spans="2:29" ht="15" hidden="1" customHeight="1" x14ac:dyDescent="0.15">
      <c r="B919">
        <v>4</v>
      </c>
      <c r="C919" t="s">
        <v>386</v>
      </c>
      <c r="D919" t="s">
        <v>2068</v>
      </c>
      <c r="E919">
        <v>2</v>
      </c>
      <c r="F919" t="s">
        <v>219</v>
      </c>
      <c r="G919" t="s">
        <v>223</v>
      </c>
      <c r="H919" t="s">
        <v>987</v>
      </c>
      <c r="I919">
        <v>41</v>
      </c>
      <c r="J919" s="21">
        <v>45938</v>
      </c>
      <c r="K919" s="21">
        <v>45940</v>
      </c>
      <c r="L919" t="s">
        <v>2071</v>
      </c>
      <c r="M919" t="s">
        <v>222</v>
      </c>
      <c r="O919" t="s">
        <v>220</v>
      </c>
      <c r="P919">
        <v>0</v>
      </c>
      <c r="Q919">
        <v>1</v>
      </c>
      <c r="R919">
        <v>5</v>
      </c>
      <c r="S919">
        <v>0.75</v>
      </c>
      <c r="T919">
        <v>5</v>
      </c>
      <c r="U919" t="s">
        <v>2046</v>
      </c>
      <c r="V919" t="s">
        <v>496</v>
      </c>
      <c r="W919" t="s">
        <v>496</v>
      </c>
      <c r="X919">
        <v>0.2</v>
      </c>
      <c r="Y919" t="s">
        <v>2070</v>
      </c>
      <c r="Z919" t="s">
        <v>496</v>
      </c>
      <c r="AA919">
        <v>13.47</v>
      </c>
      <c r="AB919">
        <v>10.1</v>
      </c>
      <c r="AC919">
        <v>67.349999999999994</v>
      </c>
    </row>
    <row r="920" spans="2:29" ht="15" hidden="1" customHeight="1" x14ac:dyDescent="0.15">
      <c r="B920">
        <v>4</v>
      </c>
      <c r="C920" t="s">
        <v>386</v>
      </c>
      <c r="D920" t="s">
        <v>2068</v>
      </c>
      <c r="E920">
        <v>3</v>
      </c>
      <c r="F920" t="s">
        <v>219</v>
      </c>
      <c r="G920" t="s">
        <v>223</v>
      </c>
      <c r="H920" t="s">
        <v>1298</v>
      </c>
      <c r="I920">
        <v>41</v>
      </c>
      <c r="J920" s="21">
        <v>45938</v>
      </c>
      <c r="K920" s="21">
        <v>45940</v>
      </c>
      <c r="L920" t="s">
        <v>2072</v>
      </c>
      <c r="M920" t="s">
        <v>1300</v>
      </c>
      <c r="O920" t="s">
        <v>220</v>
      </c>
      <c r="P920">
        <v>0</v>
      </c>
      <c r="Q920">
        <v>1</v>
      </c>
      <c r="R920">
        <v>3</v>
      </c>
      <c r="S920">
        <v>0.45</v>
      </c>
      <c r="T920">
        <v>3</v>
      </c>
      <c r="U920" t="s">
        <v>2046</v>
      </c>
      <c r="V920" t="s">
        <v>496</v>
      </c>
      <c r="W920" t="s">
        <v>496</v>
      </c>
      <c r="X920">
        <v>0.2</v>
      </c>
      <c r="Y920" t="s">
        <v>2070</v>
      </c>
      <c r="Z920" t="s">
        <v>496</v>
      </c>
      <c r="AA920">
        <v>30.4</v>
      </c>
      <c r="AB920">
        <v>13.68</v>
      </c>
      <c r="AC920">
        <v>91.2</v>
      </c>
    </row>
    <row r="921" spans="2:29" ht="15" hidden="1" customHeight="1" x14ac:dyDescent="0.15">
      <c r="B921">
        <v>4</v>
      </c>
      <c r="C921" t="s">
        <v>386</v>
      </c>
      <c r="D921" t="s">
        <v>2068</v>
      </c>
      <c r="E921">
        <v>4</v>
      </c>
      <c r="F921" t="s">
        <v>219</v>
      </c>
      <c r="G921" t="s">
        <v>218</v>
      </c>
      <c r="H921" t="s">
        <v>667</v>
      </c>
      <c r="I921">
        <v>41</v>
      </c>
      <c r="J921" s="21">
        <v>45938</v>
      </c>
      <c r="K921" s="21">
        <v>45940</v>
      </c>
      <c r="L921" t="s">
        <v>2073</v>
      </c>
      <c r="M921" t="s">
        <v>355</v>
      </c>
      <c r="O921" t="s">
        <v>282</v>
      </c>
      <c r="P921">
        <v>0</v>
      </c>
      <c r="Q921">
        <v>1</v>
      </c>
      <c r="R921">
        <v>5</v>
      </c>
      <c r="S921">
        <v>0.75</v>
      </c>
      <c r="T921">
        <v>5</v>
      </c>
      <c r="U921" t="s">
        <v>2046</v>
      </c>
      <c r="V921" t="s">
        <v>496</v>
      </c>
      <c r="W921" t="s">
        <v>496</v>
      </c>
      <c r="X921">
        <v>0.2</v>
      </c>
      <c r="Y921" t="s">
        <v>2070</v>
      </c>
      <c r="Z921" t="s">
        <v>496</v>
      </c>
      <c r="AA921">
        <v>1.2</v>
      </c>
      <c r="AB921">
        <v>0.9</v>
      </c>
      <c r="AC921">
        <v>6</v>
      </c>
    </row>
    <row r="922" spans="2:29" ht="15" hidden="1" customHeight="1" x14ac:dyDescent="0.15">
      <c r="B922">
        <v>4</v>
      </c>
      <c r="C922" t="s">
        <v>386</v>
      </c>
      <c r="D922" t="s">
        <v>2074</v>
      </c>
      <c r="E922">
        <v>1</v>
      </c>
      <c r="F922" t="s">
        <v>201</v>
      </c>
      <c r="G922" t="s">
        <v>337</v>
      </c>
      <c r="H922" t="s">
        <v>632</v>
      </c>
      <c r="I922">
        <v>41</v>
      </c>
      <c r="J922" s="21">
        <v>45938</v>
      </c>
      <c r="K922" s="21">
        <v>45946</v>
      </c>
      <c r="L922" t="s">
        <v>2075</v>
      </c>
      <c r="M922" t="s">
        <v>336</v>
      </c>
      <c r="O922" t="s">
        <v>282</v>
      </c>
      <c r="P922">
        <v>0</v>
      </c>
      <c r="Q922">
        <v>1</v>
      </c>
      <c r="R922">
        <v>10</v>
      </c>
      <c r="S922">
        <v>1.5</v>
      </c>
      <c r="T922">
        <v>10</v>
      </c>
      <c r="U922" t="s">
        <v>2046</v>
      </c>
      <c r="V922" t="s">
        <v>496</v>
      </c>
      <c r="W922" t="s">
        <v>496</v>
      </c>
      <c r="X922">
        <v>0.2</v>
      </c>
      <c r="Y922" t="s">
        <v>2070</v>
      </c>
      <c r="Z922" t="s">
        <v>496</v>
      </c>
      <c r="AA922">
        <v>4.8099999999999996</v>
      </c>
      <c r="AB922">
        <v>7.22</v>
      </c>
      <c r="AC922">
        <v>48.1</v>
      </c>
    </row>
    <row r="923" spans="2:29" ht="15" hidden="1" customHeight="1" x14ac:dyDescent="0.15">
      <c r="B923">
        <v>4</v>
      </c>
      <c r="C923" t="s">
        <v>386</v>
      </c>
      <c r="D923" t="s">
        <v>2074</v>
      </c>
      <c r="E923">
        <v>2</v>
      </c>
      <c r="F923" t="s">
        <v>201</v>
      </c>
      <c r="G923" t="s">
        <v>337</v>
      </c>
      <c r="H923" t="s">
        <v>1132</v>
      </c>
      <c r="I923">
        <v>41</v>
      </c>
      <c r="J923" s="21">
        <v>45938</v>
      </c>
      <c r="K923" s="21">
        <v>45946</v>
      </c>
      <c r="L923" t="s">
        <v>2076</v>
      </c>
      <c r="M923" t="s">
        <v>1134</v>
      </c>
      <c r="O923" t="s">
        <v>282</v>
      </c>
      <c r="P923">
        <v>0</v>
      </c>
      <c r="Q923">
        <v>1</v>
      </c>
      <c r="R923">
        <v>10</v>
      </c>
      <c r="S923">
        <v>1.5</v>
      </c>
      <c r="T923">
        <v>10</v>
      </c>
      <c r="U923" t="s">
        <v>2046</v>
      </c>
      <c r="V923" t="s">
        <v>496</v>
      </c>
      <c r="W923" t="s">
        <v>496</v>
      </c>
      <c r="X923">
        <v>0.2</v>
      </c>
      <c r="Y923" t="s">
        <v>2070</v>
      </c>
      <c r="Z923" t="s">
        <v>496</v>
      </c>
      <c r="AA923">
        <v>5.28</v>
      </c>
      <c r="AB923">
        <v>7.92</v>
      </c>
      <c r="AC923">
        <v>52.8</v>
      </c>
    </row>
    <row r="924" spans="2:29" ht="15" hidden="1" customHeight="1" x14ac:dyDescent="0.15">
      <c r="B924">
        <v>4</v>
      </c>
      <c r="C924" t="s">
        <v>386</v>
      </c>
      <c r="D924" t="s">
        <v>2074</v>
      </c>
      <c r="E924">
        <v>3</v>
      </c>
      <c r="F924" t="s">
        <v>201</v>
      </c>
      <c r="G924" t="s">
        <v>337</v>
      </c>
      <c r="H924" t="s">
        <v>1123</v>
      </c>
      <c r="I924">
        <v>41</v>
      </c>
      <c r="J924" s="21">
        <v>45938</v>
      </c>
      <c r="K924" s="21">
        <v>45946</v>
      </c>
      <c r="L924" t="s">
        <v>2077</v>
      </c>
      <c r="M924" t="s">
        <v>1125</v>
      </c>
      <c r="O924" t="s">
        <v>282</v>
      </c>
      <c r="P924">
        <v>0</v>
      </c>
      <c r="Q924">
        <v>1</v>
      </c>
      <c r="R924">
        <v>7</v>
      </c>
      <c r="S924">
        <v>1.05</v>
      </c>
      <c r="T924">
        <v>7</v>
      </c>
      <c r="U924" t="s">
        <v>2046</v>
      </c>
      <c r="V924" t="s">
        <v>496</v>
      </c>
      <c r="W924" t="s">
        <v>496</v>
      </c>
      <c r="X924">
        <v>0.2</v>
      </c>
      <c r="Y924" t="s">
        <v>2070</v>
      </c>
      <c r="Z924" t="s">
        <v>496</v>
      </c>
      <c r="AA924">
        <v>0.78</v>
      </c>
      <c r="AB924">
        <v>0.82</v>
      </c>
      <c r="AC924">
        <v>5.44</v>
      </c>
    </row>
    <row r="925" spans="2:29" ht="15" hidden="1" customHeight="1" x14ac:dyDescent="0.15">
      <c r="B925">
        <v>4</v>
      </c>
      <c r="C925" t="s">
        <v>386</v>
      </c>
      <c r="D925" t="s">
        <v>2074</v>
      </c>
      <c r="E925">
        <v>4</v>
      </c>
      <c r="F925" t="s">
        <v>201</v>
      </c>
      <c r="G925" t="s">
        <v>337</v>
      </c>
      <c r="H925" t="s">
        <v>1128</v>
      </c>
      <c r="I925">
        <v>41</v>
      </c>
      <c r="J925" s="21">
        <v>45938</v>
      </c>
      <c r="K925" s="21">
        <v>45946</v>
      </c>
      <c r="L925" t="s">
        <v>2078</v>
      </c>
      <c r="M925" t="s">
        <v>1130</v>
      </c>
      <c r="O925" t="s">
        <v>282</v>
      </c>
      <c r="P925">
        <v>0</v>
      </c>
      <c r="Q925">
        <v>1</v>
      </c>
      <c r="R925">
        <v>0.11</v>
      </c>
      <c r="S925">
        <v>1.7000000000000001E-2</v>
      </c>
      <c r="T925">
        <v>0.11</v>
      </c>
      <c r="U925" t="s">
        <v>2046</v>
      </c>
      <c r="V925" t="s">
        <v>496</v>
      </c>
      <c r="W925" t="s">
        <v>496</v>
      </c>
      <c r="X925">
        <v>0.2</v>
      </c>
      <c r="Y925" t="s">
        <v>2070</v>
      </c>
      <c r="Z925" t="s">
        <v>496</v>
      </c>
      <c r="AA925">
        <v>5.61</v>
      </c>
      <c r="AB925">
        <v>0.09</v>
      </c>
      <c r="AC925">
        <v>0.62</v>
      </c>
    </row>
    <row r="926" spans="2:29" ht="15" customHeight="1" x14ac:dyDescent="0.15">
      <c r="B926">
        <v>4</v>
      </c>
      <c r="C926" t="s">
        <v>386</v>
      </c>
      <c r="D926" t="s">
        <v>2079</v>
      </c>
      <c r="E926">
        <v>1</v>
      </c>
      <c r="F926" t="s">
        <v>219</v>
      </c>
      <c r="G926" t="s">
        <v>218</v>
      </c>
      <c r="H926" t="s">
        <v>1472</v>
      </c>
      <c r="I926">
        <v>41</v>
      </c>
      <c r="J926" s="21">
        <v>45938</v>
      </c>
      <c r="K926" s="21">
        <v>45938</v>
      </c>
      <c r="L926" t="s">
        <v>2080</v>
      </c>
      <c r="M926" t="s">
        <v>1474</v>
      </c>
      <c r="O926" t="s">
        <v>202</v>
      </c>
      <c r="P926">
        <v>6</v>
      </c>
      <c r="R926">
        <v>25</v>
      </c>
      <c r="S926">
        <v>150</v>
      </c>
      <c r="U926" t="s">
        <v>391</v>
      </c>
      <c r="V926" t="s">
        <v>392</v>
      </c>
      <c r="W926" t="s">
        <v>392</v>
      </c>
      <c r="Y926" t="s">
        <v>710</v>
      </c>
      <c r="Z926" t="s">
        <v>496</v>
      </c>
      <c r="AA926">
        <v>2.88</v>
      </c>
      <c r="AB926">
        <v>432</v>
      </c>
      <c r="AC926">
        <v>0</v>
      </c>
    </row>
    <row r="927" spans="2:29" ht="15" customHeight="1" x14ac:dyDescent="0.15">
      <c r="B927">
        <v>4</v>
      </c>
      <c r="C927" t="s">
        <v>386</v>
      </c>
      <c r="D927" t="s">
        <v>2081</v>
      </c>
      <c r="E927">
        <v>1</v>
      </c>
      <c r="F927" t="s">
        <v>219</v>
      </c>
      <c r="G927" t="s">
        <v>231</v>
      </c>
      <c r="H927" t="s">
        <v>433</v>
      </c>
      <c r="I927">
        <v>42</v>
      </c>
      <c r="J927" s="21">
        <v>45943</v>
      </c>
      <c r="K927" s="21">
        <v>45945</v>
      </c>
      <c r="L927" t="s">
        <v>2082</v>
      </c>
      <c r="M927" t="s">
        <v>1030</v>
      </c>
      <c r="O927" t="s">
        <v>220</v>
      </c>
      <c r="P927">
        <v>3</v>
      </c>
      <c r="Q927">
        <v>1.5</v>
      </c>
      <c r="R927">
        <v>0.12</v>
      </c>
      <c r="S927">
        <v>0.36</v>
      </c>
      <c r="T927">
        <v>0.18</v>
      </c>
      <c r="U927" t="s">
        <v>627</v>
      </c>
      <c r="V927" t="s">
        <v>628</v>
      </c>
      <c r="W927" t="s">
        <v>532</v>
      </c>
      <c r="X927">
        <v>2</v>
      </c>
      <c r="Y927" t="s">
        <v>860</v>
      </c>
      <c r="Z927" t="s">
        <v>496</v>
      </c>
      <c r="AA927">
        <v>21.83</v>
      </c>
      <c r="AB927">
        <v>7.86</v>
      </c>
      <c r="AC927">
        <v>3.93</v>
      </c>
    </row>
    <row r="928" spans="2:29" ht="15" customHeight="1" x14ac:dyDescent="0.15">
      <c r="B928">
        <v>4</v>
      </c>
      <c r="C928" t="s">
        <v>386</v>
      </c>
      <c r="D928" t="s">
        <v>2081</v>
      </c>
      <c r="E928">
        <v>2</v>
      </c>
      <c r="F928" t="s">
        <v>219</v>
      </c>
      <c r="G928" t="s">
        <v>239</v>
      </c>
      <c r="H928" t="s">
        <v>861</v>
      </c>
      <c r="I928">
        <v>42</v>
      </c>
      <c r="J928" s="21">
        <v>45943</v>
      </c>
      <c r="K928" s="21">
        <v>45945</v>
      </c>
      <c r="L928" t="s">
        <v>2083</v>
      </c>
      <c r="M928" t="s">
        <v>863</v>
      </c>
      <c r="O928" t="s">
        <v>220</v>
      </c>
      <c r="P928">
        <v>3</v>
      </c>
      <c r="Q928">
        <v>1.5</v>
      </c>
      <c r="R928">
        <v>2.5</v>
      </c>
      <c r="S928">
        <v>7.5</v>
      </c>
      <c r="T928">
        <v>3.75</v>
      </c>
      <c r="U928" t="s">
        <v>627</v>
      </c>
      <c r="V928" t="s">
        <v>628</v>
      </c>
      <c r="W928" t="s">
        <v>532</v>
      </c>
      <c r="X928">
        <v>2</v>
      </c>
      <c r="Y928" t="s">
        <v>860</v>
      </c>
      <c r="Z928" t="s">
        <v>496</v>
      </c>
      <c r="AA928">
        <v>29.14</v>
      </c>
      <c r="AB928">
        <v>218.55</v>
      </c>
      <c r="AC928">
        <v>109.28</v>
      </c>
    </row>
    <row r="929" spans="2:29" ht="15" customHeight="1" x14ac:dyDescent="0.15">
      <c r="B929">
        <v>4</v>
      </c>
      <c r="C929" t="s">
        <v>386</v>
      </c>
      <c r="D929" t="s">
        <v>2081</v>
      </c>
      <c r="E929">
        <v>3</v>
      </c>
      <c r="F929" t="s">
        <v>219</v>
      </c>
      <c r="G929" t="s">
        <v>239</v>
      </c>
      <c r="H929" t="s">
        <v>1852</v>
      </c>
      <c r="I929">
        <v>42</v>
      </c>
      <c r="J929" s="21">
        <v>45943</v>
      </c>
      <c r="K929" s="21">
        <v>45945</v>
      </c>
      <c r="L929" t="s">
        <v>2084</v>
      </c>
      <c r="M929" t="s">
        <v>2065</v>
      </c>
      <c r="O929" t="s">
        <v>220</v>
      </c>
      <c r="P929">
        <v>3</v>
      </c>
      <c r="Q929">
        <v>1.5</v>
      </c>
      <c r="R929">
        <v>0.5</v>
      </c>
      <c r="S929">
        <v>1.5</v>
      </c>
      <c r="T929">
        <v>0.75</v>
      </c>
      <c r="U929" t="s">
        <v>627</v>
      </c>
      <c r="V929" t="s">
        <v>628</v>
      </c>
      <c r="W929" t="s">
        <v>532</v>
      </c>
      <c r="X929">
        <v>2</v>
      </c>
      <c r="Y929" t="s">
        <v>860</v>
      </c>
      <c r="Z929" t="s">
        <v>496</v>
      </c>
      <c r="AA929">
        <v>25.66</v>
      </c>
      <c r="AB929">
        <v>38.49</v>
      </c>
      <c r="AC929">
        <v>19.25</v>
      </c>
    </row>
    <row r="930" spans="2:29" ht="15" customHeight="1" x14ac:dyDescent="0.15">
      <c r="B930">
        <v>4</v>
      </c>
      <c r="C930" t="s">
        <v>386</v>
      </c>
      <c r="D930" t="s">
        <v>2081</v>
      </c>
      <c r="E930">
        <v>4</v>
      </c>
      <c r="F930" t="s">
        <v>219</v>
      </c>
      <c r="G930" t="s">
        <v>244</v>
      </c>
      <c r="H930" t="s">
        <v>1605</v>
      </c>
      <c r="I930">
        <v>42</v>
      </c>
      <c r="J930" s="21">
        <v>45943</v>
      </c>
      <c r="K930" s="21">
        <v>45945</v>
      </c>
      <c r="L930" t="s">
        <v>2085</v>
      </c>
      <c r="M930" t="s">
        <v>295</v>
      </c>
      <c r="O930" t="s">
        <v>220</v>
      </c>
      <c r="P930">
        <v>3</v>
      </c>
      <c r="Q930">
        <v>1.5</v>
      </c>
      <c r="R930">
        <v>0.5</v>
      </c>
      <c r="S930">
        <v>1.5</v>
      </c>
      <c r="T930">
        <v>0.75</v>
      </c>
      <c r="U930" t="s">
        <v>627</v>
      </c>
      <c r="V930" t="s">
        <v>628</v>
      </c>
      <c r="W930" t="s">
        <v>532</v>
      </c>
      <c r="X930">
        <v>2</v>
      </c>
      <c r="Y930" t="s">
        <v>860</v>
      </c>
      <c r="Z930" t="s">
        <v>496</v>
      </c>
      <c r="AA930">
        <v>77.31</v>
      </c>
      <c r="AB930">
        <v>115.97</v>
      </c>
      <c r="AC930">
        <v>57.98</v>
      </c>
    </row>
    <row r="931" spans="2:29" ht="15" customHeight="1" x14ac:dyDescent="0.15">
      <c r="B931">
        <v>4</v>
      </c>
      <c r="C931" t="s">
        <v>386</v>
      </c>
      <c r="D931" t="s">
        <v>2081</v>
      </c>
      <c r="E931">
        <v>5</v>
      </c>
      <c r="F931" t="s">
        <v>219</v>
      </c>
      <c r="G931" t="s">
        <v>218</v>
      </c>
      <c r="H931" t="s">
        <v>908</v>
      </c>
      <c r="I931">
        <v>42</v>
      </c>
      <c r="J931" s="21">
        <v>45943</v>
      </c>
      <c r="K931" s="21">
        <v>45945</v>
      </c>
      <c r="L931" t="s">
        <v>2086</v>
      </c>
      <c r="M931" t="s">
        <v>1027</v>
      </c>
      <c r="O931" t="s">
        <v>220</v>
      </c>
      <c r="P931">
        <v>3</v>
      </c>
      <c r="Q931">
        <v>1.5</v>
      </c>
      <c r="R931">
        <v>0.3</v>
      </c>
      <c r="S931">
        <v>0.9</v>
      </c>
      <c r="T931">
        <v>0.45</v>
      </c>
      <c r="U931" t="s">
        <v>627</v>
      </c>
      <c r="V931" t="s">
        <v>628</v>
      </c>
      <c r="W931" t="s">
        <v>532</v>
      </c>
      <c r="X931">
        <v>2</v>
      </c>
      <c r="Y931" t="s">
        <v>860</v>
      </c>
      <c r="Z931" t="s">
        <v>496</v>
      </c>
      <c r="AA931">
        <v>31.3</v>
      </c>
      <c r="AB931">
        <v>28.17</v>
      </c>
      <c r="AC931">
        <v>14.09</v>
      </c>
    </row>
    <row r="932" spans="2:29" ht="15" customHeight="1" x14ac:dyDescent="0.15">
      <c r="B932">
        <v>4</v>
      </c>
      <c r="C932" t="s">
        <v>386</v>
      </c>
      <c r="D932" t="s">
        <v>2087</v>
      </c>
      <c r="E932">
        <v>1</v>
      </c>
      <c r="F932" t="s">
        <v>219</v>
      </c>
      <c r="G932" t="s">
        <v>231</v>
      </c>
      <c r="H932" t="s">
        <v>433</v>
      </c>
      <c r="I932">
        <v>42</v>
      </c>
      <c r="J932" s="21">
        <v>45943</v>
      </c>
      <c r="K932" s="21">
        <v>45945</v>
      </c>
      <c r="L932" t="s">
        <v>2088</v>
      </c>
      <c r="M932" t="s">
        <v>1030</v>
      </c>
      <c r="O932" t="s">
        <v>220</v>
      </c>
      <c r="P932">
        <v>3</v>
      </c>
      <c r="Q932">
        <v>1.47</v>
      </c>
      <c r="R932">
        <v>0.12</v>
      </c>
      <c r="S932">
        <v>0.3</v>
      </c>
      <c r="T932">
        <v>0.18</v>
      </c>
      <c r="U932" t="s">
        <v>1246</v>
      </c>
      <c r="V932" t="s">
        <v>1247</v>
      </c>
      <c r="W932" t="s">
        <v>532</v>
      </c>
      <c r="X932">
        <v>1.7</v>
      </c>
      <c r="Y932" t="s">
        <v>860</v>
      </c>
      <c r="Z932" t="s">
        <v>496</v>
      </c>
      <c r="AA932">
        <v>21.83</v>
      </c>
      <c r="AB932">
        <v>6.55</v>
      </c>
      <c r="AC932">
        <v>3.85</v>
      </c>
    </row>
    <row r="933" spans="2:29" ht="15" customHeight="1" x14ac:dyDescent="0.15">
      <c r="B933">
        <v>4</v>
      </c>
      <c r="C933" t="s">
        <v>386</v>
      </c>
      <c r="D933" t="s">
        <v>2087</v>
      </c>
      <c r="E933">
        <v>2</v>
      </c>
      <c r="F933" t="s">
        <v>219</v>
      </c>
      <c r="G933" t="s">
        <v>239</v>
      </c>
      <c r="H933" t="s">
        <v>861</v>
      </c>
      <c r="I933">
        <v>42</v>
      </c>
      <c r="J933" s="21">
        <v>45943</v>
      </c>
      <c r="K933" s="21">
        <v>45945</v>
      </c>
      <c r="L933" t="s">
        <v>2089</v>
      </c>
      <c r="M933" t="s">
        <v>863</v>
      </c>
      <c r="O933" t="s">
        <v>220</v>
      </c>
      <c r="P933">
        <v>3</v>
      </c>
      <c r="Q933">
        <v>1.47</v>
      </c>
      <c r="R933">
        <v>2</v>
      </c>
      <c r="S933">
        <v>5</v>
      </c>
      <c r="T933">
        <v>2.94</v>
      </c>
      <c r="U933" t="s">
        <v>1246</v>
      </c>
      <c r="V933" t="s">
        <v>1247</v>
      </c>
      <c r="W933" t="s">
        <v>532</v>
      </c>
      <c r="X933">
        <v>1.7</v>
      </c>
      <c r="Y933" t="s">
        <v>860</v>
      </c>
      <c r="Z933" t="s">
        <v>496</v>
      </c>
      <c r="AA933">
        <v>29.14</v>
      </c>
      <c r="AB933">
        <v>145.69999999999999</v>
      </c>
      <c r="AC933">
        <v>85.71</v>
      </c>
    </row>
    <row r="934" spans="2:29" ht="15" customHeight="1" x14ac:dyDescent="0.15">
      <c r="B934">
        <v>4</v>
      </c>
      <c r="C934" t="s">
        <v>386</v>
      </c>
      <c r="D934" t="s">
        <v>2087</v>
      </c>
      <c r="E934">
        <v>3</v>
      </c>
      <c r="F934" t="s">
        <v>219</v>
      </c>
      <c r="G934" t="s">
        <v>218</v>
      </c>
      <c r="H934" t="s">
        <v>908</v>
      </c>
      <c r="I934">
        <v>42</v>
      </c>
      <c r="J934" s="21">
        <v>45943</v>
      </c>
      <c r="K934" s="21">
        <v>45945</v>
      </c>
      <c r="L934" t="s">
        <v>2090</v>
      </c>
      <c r="M934" t="s">
        <v>1027</v>
      </c>
      <c r="O934" t="s">
        <v>220</v>
      </c>
      <c r="P934">
        <v>3</v>
      </c>
      <c r="Q934">
        <v>1.47</v>
      </c>
      <c r="R934">
        <v>0.3</v>
      </c>
      <c r="S934">
        <v>0.75</v>
      </c>
      <c r="T934">
        <v>0.44</v>
      </c>
      <c r="U934" t="s">
        <v>1246</v>
      </c>
      <c r="V934" t="s">
        <v>1247</v>
      </c>
      <c r="W934" t="s">
        <v>532</v>
      </c>
      <c r="X934">
        <v>1.7</v>
      </c>
      <c r="Y934" t="s">
        <v>860</v>
      </c>
      <c r="Z934" t="s">
        <v>496</v>
      </c>
      <c r="AA934">
        <v>31.3</v>
      </c>
      <c r="AB934">
        <v>23.48</v>
      </c>
      <c r="AC934">
        <v>13.81</v>
      </c>
    </row>
    <row r="935" spans="2:29" ht="15" customHeight="1" x14ac:dyDescent="0.15">
      <c r="B935">
        <v>4</v>
      </c>
      <c r="C935" t="s">
        <v>386</v>
      </c>
      <c r="D935" t="s">
        <v>2087</v>
      </c>
      <c r="E935">
        <v>4</v>
      </c>
      <c r="F935" t="s">
        <v>219</v>
      </c>
      <c r="G935" t="s">
        <v>239</v>
      </c>
      <c r="H935" t="s">
        <v>520</v>
      </c>
      <c r="I935">
        <v>42</v>
      </c>
      <c r="J935" s="21">
        <v>45943</v>
      </c>
      <c r="K935" s="21">
        <v>45945</v>
      </c>
      <c r="L935" t="s">
        <v>2091</v>
      </c>
      <c r="M935" t="s">
        <v>1340</v>
      </c>
      <c r="O935" t="s">
        <v>220</v>
      </c>
      <c r="P935">
        <v>3</v>
      </c>
      <c r="Q935">
        <v>1.47</v>
      </c>
      <c r="R935">
        <v>2</v>
      </c>
      <c r="S935">
        <v>5</v>
      </c>
      <c r="T935">
        <v>2.94</v>
      </c>
      <c r="U935" t="s">
        <v>1246</v>
      </c>
      <c r="V935" t="s">
        <v>1247</v>
      </c>
      <c r="W935" t="s">
        <v>532</v>
      </c>
      <c r="X935">
        <v>1.7</v>
      </c>
      <c r="Y935" t="s">
        <v>860</v>
      </c>
      <c r="Z935" t="s">
        <v>496</v>
      </c>
      <c r="AA935">
        <v>66.92</v>
      </c>
      <c r="AB935">
        <v>334.6</v>
      </c>
      <c r="AC935">
        <v>196.82</v>
      </c>
    </row>
    <row r="936" spans="2:29" ht="15" customHeight="1" x14ac:dyDescent="0.15">
      <c r="B936">
        <v>4</v>
      </c>
      <c r="C936" t="s">
        <v>386</v>
      </c>
      <c r="D936" t="s">
        <v>2087</v>
      </c>
      <c r="E936">
        <v>5</v>
      </c>
      <c r="F936" t="s">
        <v>219</v>
      </c>
      <c r="G936" t="s">
        <v>244</v>
      </c>
      <c r="H936" t="s">
        <v>1605</v>
      </c>
      <c r="I936">
        <v>42</v>
      </c>
      <c r="J936" s="21">
        <v>45943</v>
      </c>
      <c r="K936" s="21">
        <v>45945</v>
      </c>
      <c r="L936" t="s">
        <v>2092</v>
      </c>
      <c r="M936" t="s">
        <v>295</v>
      </c>
      <c r="O936" t="s">
        <v>220</v>
      </c>
      <c r="P936">
        <v>3</v>
      </c>
      <c r="Q936">
        <v>1.47</v>
      </c>
      <c r="R936">
        <v>0.5</v>
      </c>
      <c r="S936">
        <v>1.25</v>
      </c>
      <c r="T936">
        <v>0.74</v>
      </c>
      <c r="U936" t="s">
        <v>1246</v>
      </c>
      <c r="V936" t="s">
        <v>1247</v>
      </c>
      <c r="W936" t="s">
        <v>532</v>
      </c>
      <c r="X936">
        <v>1.7</v>
      </c>
      <c r="Y936" t="s">
        <v>860</v>
      </c>
      <c r="Z936" t="s">
        <v>496</v>
      </c>
      <c r="AA936">
        <v>77.31</v>
      </c>
      <c r="AB936">
        <v>96.64</v>
      </c>
      <c r="AC936">
        <v>56.85</v>
      </c>
    </row>
    <row r="937" spans="2:29" ht="15" customHeight="1" x14ac:dyDescent="0.15">
      <c r="B937">
        <v>4</v>
      </c>
      <c r="C937" t="s">
        <v>386</v>
      </c>
      <c r="D937" t="s">
        <v>2093</v>
      </c>
      <c r="E937">
        <v>1</v>
      </c>
      <c r="F937" t="s">
        <v>219</v>
      </c>
      <c r="G937" t="s">
        <v>231</v>
      </c>
      <c r="H937" t="s">
        <v>433</v>
      </c>
      <c r="I937">
        <v>42</v>
      </c>
      <c r="J937" s="21">
        <v>45943</v>
      </c>
      <c r="K937" s="21">
        <v>45945</v>
      </c>
      <c r="L937" t="s">
        <v>2094</v>
      </c>
      <c r="M937" t="s">
        <v>1030</v>
      </c>
      <c r="O937" t="s">
        <v>220</v>
      </c>
      <c r="P937">
        <v>3</v>
      </c>
      <c r="Q937">
        <v>1.5</v>
      </c>
      <c r="R937">
        <v>0.12</v>
      </c>
      <c r="S937">
        <v>0.36</v>
      </c>
      <c r="T937">
        <v>0.18</v>
      </c>
      <c r="U937" t="s">
        <v>805</v>
      </c>
      <c r="V937" t="s">
        <v>806</v>
      </c>
      <c r="W937" t="s">
        <v>532</v>
      </c>
      <c r="X937">
        <v>2</v>
      </c>
      <c r="Y937" t="s">
        <v>860</v>
      </c>
      <c r="Z937" t="s">
        <v>496</v>
      </c>
      <c r="AA937">
        <v>21.83</v>
      </c>
      <c r="AB937">
        <v>7.86</v>
      </c>
      <c r="AC937">
        <v>3.93</v>
      </c>
    </row>
    <row r="938" spans="2:29" ht="15" customHeight="1" x14ac:dyDescent="0.15">
      <c r="B938">
        <v>4</v>
      </c>
      <c r="C938" t="s">
        <v>386</v>
      </c>
      <c r="D938" t="s">
        <v>2093</v>
      </c>
      <c r="E938">
        <v>2</v>
      </c>
      <c r="F938" t="s">
        <v>219</v>
      </c>
      <c r="G938" t="s">
        <v>239</v>
      </c>
      <c r="H938" t="s">
        <v>861</v>
      </c>
      <c r="I938">
        <v>42</v>
      </c>
      <c r="J938" s="21">
        <v>45943</v>
      </c>
      <c r="K938" s="21">
        <v>45945</v>
      </c>
      <c r="L938" t="s">
        <v>2095</v>
      </c>
      <c r="M938" t="s">
        <v>863</v>
      </c>
      <c r="O938" t="s">
        <v>220</v>
      </c>
      <c r="P938">
        <v>3</v>
      </c>
      <c r="Q938">
        <v>1.25</v>
      </c>
      <c r="R938">
        <v>2</v>
      </c>
      <c r="S938">
        <v>5</v>
      </c>
      <c r="T938">
        <v>2.5</v>
      </c>
      <c r="U938" t="s">
        <v>805</v>
      </c>
      <c r="V938" t="s">
        <v>806</v>
      </c>
      <c r="W938" t="s">
        <v>532</v>
      </c>
      <c r="X938">
        <v>2</v>
      </c>
      <c r="Y938" t="s">
        <v>860</v>
      </c>
      <c r="Z938" t="s">
        <v>496</v>
      </c>
      <c r="AA938">
        <v>29.14</v>
      </c>
      <c r="AB938">
        <v>145.69999999999999</v>
      </c>
      <c r="AC938">
        <v>72.849999999999994</v>
      </c>
    </row>
    <row r="939" spans="2:29" ht="15" customHeight="1" x14ac:dyDescent="0.15">
      <c r="B939">
        <v>4</v>
      </c>
      <c r="C939" t="s">
        <v>386</v>
      </c>
      <c r="D939" t="s">
        <v>2093</v>
      </c>
      <c r="E939">
        <v>3</v>
      </c>
      <c r="F939" t="s">
        <v>219</v>
      </c>
      <c r="G939" t="s">
        <v>239</v>
      </c>
      <c r="H939" t="s">
        <v>2096</v>
      </c>
      <c r="I939">
        <v>42</v>
      </c>
      <c r="J939" s="21">
        <v>45943</v>
      </c>
      <c r="K939" s="21">
        <v>45945</v>
      </c>
      <c r="L939" t="s">
        <v>2097</v>
      </c>
      <c r="M939" t="s">
        <v>2098</v>
      </c>
      <c r="O939" t="s">
        <v>220</v>
      </c>
      <c r="P939">
        <v>1</v>
      </c>
      <c r="Q939">
        <v>0.25</v>
      </c>
      <c r="R939">
        <v>1</v>
      </c>
      <c r="S939">
        <v>0.5</v>
      </c>
      <c r="T939">
        <v>0.25</v>
      </c>
      <c r="U939" t="s">
        <v>805</v>
      </c>
      <c r="V939" t="s">
        <v>806</v>
      </c>
      <c r="W939" t="s">
        <v>532</v>
      </c>
      <c r="X939">
        <v>2</v>
      </c>
      <c r="Y939" t="s">
        <v>860</v>
      </c>
      <c r="Z939" t="s">
        <v>496</v>
      </c>
      <c r="AA939">
        <v>14.54</v>
      </c>
      <c r="AB939">
        <v>7.27</v>
      </c>
      <c r="AC939">
        <v>3.64</v>
      </c>
    </row>
    <row r="940" spans="2:29" ht="15" customHeight="1" x14ac:dyDescent="0.15">
      <c r="B940">
        <v>4</v>
      </c>
      <c r="C940" t="s">
        <v>386</v>
      </c>
      <c r="D940" t="s">
        <v>2093</v>
      </c>
      <c r="E940">
        <v>4</v>
      </c>
      <c r="F940" t="s">
        <v>219</v>
      </c>
      <c r="G940" t="s">
        <v>239</v>
      </c>
      <c r="H940" t="s">
        <v>1852</v>
      </c>
      <c r="I940">
        <v>42</v>
      </c>
      <c r="J940" s="21">
        <v>45943</v>
      </c>
      <c r="K940" s="21">
        <v>45945</v>
      </c>
      <c r="L940" t="s">
        <v>2099</v>
      </c>
      <c r="M940" t="s">
        <v>2065</v>
      </c>
      <c r="O940" t="s">
        <v>220</v>
      </c>
      <c r="P940">
        <v>3</v>
      </c>
      <c r="Q940">
        <v>1.5</v>
      </c>
      <c r="R940">
        <v>0.5</v>
      </c>
      <c r="S940">
        <v>1.5</v>
      </c>
      <c r="T940">
        <v>0.75</v>
      </c>
      <c r="U940" t="s">
        <v>805</v>
      </c>
      <c r="V940" t="s">
        <v>806</v>
      </c>
      <c r="W940" t="s">
        <v>532</v>
      </c>
      <c r="X940">
        <v>2</v>
      </c>
      <c r="Y940" t="s">
        <v>860</v>
      </c>
      <c r="Z940" t="s">
        <v>496</v>
      </c>
      <c r="AA940">
        <v>25.66</v>
      </c>
      <c r="AB940">
        <v>38.49</v>
      </c>
      <c r="AC940">
        <v>19.25</v>
      </c>
    </row>
    <row r="941" spans="2:29" ht="15" customHeight="1" x14ac:dyDescent="0.15">
      <c r="B941">
        <v>4</v>
      </c>
      <c r="C941" t="s">
        <v>386</v>
      </c>
      <c r="D941" t="s">
        <v>2093</v>
      </c>
      <c r="E941">
        <v>5</v>
      </c>
      <c r="F941" t="s">
        <v>219</v>
      </c>
      <c r="G941" t="s">
        <v>244</v>
      </c>
      <c r="H941" t="s">
        <v>1605</v>
      </c>
      <c r="I941">
        <v>42</v>
      </c>
      <c r="J941" s="21">
        <v>45943</v>
      </c>
      <c r="K941" s="21">
        <v>45945</v>
      </c>
      <c r="L941" t="s">
        <v>2100</v>
      </c>
      <c r="M941" t="s">
        <v>295</v>
      </c>
      <c r="O941" t="s">
        <v>220</v>
      </c>
      <c r="P941">
        <v>3</v>
      </c>
      <c r="Q941">
        <v>1.5</v>
      </c>
      <c r="R941">
        <v>0.5</v>
      </c>
      <c r="S941">
        <v>1.5</v>
      </c>
      <c r="T941">
        <v>0.75</v>
      </c>
      <c r="U941" t="s">
        <v>805</v>
      </c>
      <c r="V941" t="s">
        <v>806</v>
      </c>
      <c r="W941" t="s">
        <v>532</v>
      </c>
      <c r="X941">
        <v>2</v>
      </c>
      <c r="Y941" t="s">
        <v>860</v>
      </c>
      <c r="Z941" t="s">
        <v>496</v>
      </c>
      <c r="AA941">
        <v>77.31</v>
      </c>
      <c r="AB941">
        <v>115.97</v>
      </c>
      <c r="AC941">
        <v>57.98</v>
      </c>
    </row>
    <row r="942" spans="2:29" ht="15" customHeight="1" x14ac:dyDescent="0.15">
      <c r="B942">
        <v>4</v>
      </c>
      <c r="C942" t="s">
        <v>386</v>
      </c>
      <c r="D942" t="s">
        <v>2093</v>
      </c>
      <c r="E942">
        <v>6</v>
      </c>
      <c r="F942" t="s">
        <v>219</v>
      </c>
      <c r="G942" t="s">
        <v>218</v>
      </c>
      <c r="H942" t="s">
        <v>908</v>
      </c>
      <c r="I942">
        <v>42</v>
      </c>
      <c r="J942" s="21">
        <v>45943</v>
      </c>
      <c r="K942" s="21">
        <v>45945</v>
      </c>
      <c r="L942" t="s">
        <v>2101</v>
      </c>
      <c r="M942" t="s">
        <v>1027</v>
      </c>
      <c r="O942" t="s">
        <v>220</v>
      </c>
      <c r="P942">
        <v>3</v>
      </c>
      <c r="Q942">
        <v>1.5</v>
      </c>
      <c r="R942">
        <v>0.3</v>
      </c>
      <c r="S942">
        <v>0.9</v>
      </c>
      <c r="T942">
        <v>0.45</v>
      </c>
      <c r="U942" t="s">
        <v>805</v>
      </c>
      <c r="V942" t="s">
        <v>806</v>
      </c>
      <c r="W942" t="s">
        <v>532</v>
      </c>
      <c r="X942">
        <v>2</v>
      </c>
      <c r="Y942" t="s">
        <v>860</v>
      </c>
      <c r="Z942" t="s">
        <v>496</v>
      </c>
      <c r="AA942">
        <v>31.3</v>
      </c>
      <c r="AB942">
        <v>28.17</v>
      </c>
      <c r="AC942">
        <v>14.09</v>
      </c>
    </row>
    <row r="943" spans="2:29" ht="15" customHeight="1" x14ac:dyDescent="0.15">
      <c r="B943">
        <v>4</v>
      </c>
      <c r="C943" t="s">
        <v>704</v>
      </c>
      <c r="D943" t="s">
        <v>2102</v>
      </c>
      <c r="E943">
        <v>1</v>
      </c>
      <c r="F943" t="s">
        <v>219</v>
      </c>
      <c r="G943" t="s">
        <v>218</v>
      </c>
      <c r="H943" t="s">
        <v>397</v>
      </c>
      <c r="I943">
        <v>42</v>
      </c>
      <c r="J943" s="21">
        <v>45944</v>
      </c>
      <c r="L943" t="s">
        <v>2103</v>
      </c>
      <c r="M943" t="s">
        <v>454</v>
      </c>
      <c r="O943" t="s">
        <v>220</v>
      </c>
      <c r="P943">
        <v>0</v>
      </c>
      <c r="Q943">
        <v>0</v>
      </c>
      <c r="R943">
        <v>1</v>
      </c>
      <c r="S943">
        <v>0</v>
      </c>
      <c r="T943">
        <v>0</v>
      </c>
      <c r="U943" t="s">
        <v>391</v>
      </c>
      <c r="V943" t="s">
        <v>392</v>
      </c>
      <c r="W943" t="s">
        <v>392</v>
      </c>
      <c r="X943">
        <v>1</v>
      </c>
      <c r="Y943" t="s">
        <v>710</v>
      </c>
      <c r="Z943" t="s">
        <v>496</v>
      </c>
      <c r="AA943">
        <v>686.05</v>
      </c>
      <c r="AB943">
        <v>0</v>
      </c>
      <c r="AC943">
        <v>0</v>
      </c>
    </row>
    <row r="944" spans="2:29" ht="15" customHeight="1" x14ac:dyDescent="0.15">
      <c r="B944">
        <v>4</v>
      </c>
      <c r="C944" t="s">
        <v>704</v>
      </c>
      <c r="D944" t="s">
        <v>2104</v>
      </c>
      <c r="E944">
        <v>1</v>
      </c>
      <c r="F944" t="s">
        <v>219</v>
      </c>
      <c r="G944" t="s">
        <v>218</v>
      </c>
      <c r="H944" t="s">
        <v>397</v>
      </c>
      <c r="I944">
        <v>42</v>
      </c>
      <c r="J944" s="21">
        <v>45944</v>
      </c>
      <c r="L944" t="s">
        <v>2105</v>
      </c>
      <c r="M944" t="s">
        <v>454</v>
      </c>
      <c r="O944" t="s">
        <v>220</v>
      </c>
      <c r="P944">
        <v>0</v>
      </c>
      <c r="Q944">
        <v>0</v>
      </c>
      <c r="R944">
        <v>1</v>
      </c>
      <c r="S944">
        <v>0</v>
      </c>
      <c r="T944">
        <v>0</v>
      </c>
      <c r="U944" t="s">
        <v>391</v>
      </c>
      <c r="V944" t="s">
        <v>392</v>
      </c>
      <c r="W944" t="s">
        <v>392</v>
      </c>
      <c r="X944">
        <v>1</v>
      </c>
      <c r="Y944" t="s">
        <v>750</v>
      </c>
      <c r="Z944" t="s">
        <v>496</v>
      </c>
      <c r="AA944">
        <v>686.05</v>
      </c>
      <c r="AB944">
        <v>0</v>
      </c>
      <c r="AC944">
        <v>0</v>
      </c>
    </row>
    <row r="945" spans="2:29" ht="15" customHeight="1" x14ac:dyDescent="0.15">
      <c r="B945">
        <v>4</v>
      </c>
      <c r="C945" t="s">
        <v>386</v>
      </c>
      <c r="D945" t="s">
        <v>2106</v>
      </c>
      <c r="E945">
        <v>1</v>
      </c>
      <c r="F945" t="s">
        <v>219</v>
      </c>
      <c r="G945" t="s">
        <v>231</v>
      </c>
      <c r="H945" t="s">
        <v>433</v>
      </c>
      <c r="I945">
        <v>42</v>
      </c>
      <c r="J945" s="21">
        <v>45944</v>
      </c>
      <c r="K945" s="21">
        <v>45945</v>
      </c>
      <c r="L945" t="s">
        <v>2107</v>
      </c>
      <c r="M945" t="s">
        <v>1030</v>
      </c>
      <c r="O945" t="s">
        <v>220</v>
      </c>
      <c r="P945">
        <v>0</v>
      </c>
      <c r="R945">
        <v>0.12</v>
      </c>
      <c r="S945">
        <v>1.2E-2</v>
      </c>
      <c r="U945" t="s">
        <v>982</v>
      </c>
      <c r="V945" t="s">
        <v>982</v>
      </c>
      <c r="W945" t="s">
        <v>496</v>
      </c>
      <c r="Y945" t="s">
        <v>455</v>
      </c>
      <c r="Z945" t="s">
        <v>496</v>
      </c>
      <c r="AA945">
        <v>21.83</v>
      </c>
      <c r="AB945">
        <v>0.26</v>
      </c>
      <c r="AC945">
        <v>0</v>
      </c>
    </row>
    <row r="946" spans="2:29" ht="15" customHeight="1" x14ac:dyDescent="0.15">
      <c r="B946">
        <v>4</v>
      </c>
      <c r="C946" t="s">
        <v>386</v>
      </c>
      <c r="D946" t="s">
        <v>2106</v>
      </c>
      <c r="E946">
        <v>2</v>
      </c>
      <c r="F946" t="s">
        <v>219</v>
      </c>
      <c r="G946" t="s">
        <v>244</v>
      </c>
      <c r="H946" t="s">
        <v>2108</v>
      </c>
      <c r="I946">
        <v>42</v>
      </c>
      <c r="J946" s="21">
        <v>45944</v>
      </c>
      <c r="K946" s="21">
        <v>45945</v>
      </c>
      <c r="L946" t="s">
        <v>2109</v>
      </c>
      <c r="M946" t="s">
        <v>2110</v>
      </c>
      <c r="O946" t="s">
        <v>220</v>
      </c>
      <c r="P946">
        <v>0</v>
      </c>
      <c r="R946">
        <v>1</v>
      </c>
      <c r="S946">
        <v>0.1</v>
      </c>
      <c r="U946" t="s">
        <v>982</v>
      </c>
      <c r="V946" t="s">
        <v>982</v>
      </c>
      <c r="W946" t="s">
        <v>496</v>
      </c>
      <c r="Y946" t="s">
        <v>455</v>
      </c>
      <c r="Z946" t="s">
        <v>496</v>
      </c>
      <c r="AA946">
        <v>0</v>
      </c>
      <c r="AB946">
        <v>0</v>
      </c>
      <c r="AC946">
        <v>0</v>
      </c>
    </row>
    <row r="947" spans="2:29" ht="15" customHeight="1" x14ac:dyDescent="0.15">
      <c r="B947">
        <v>4</v>
      </c>
      <c r="C947" t="s">
        <v>386</v>
      </c>
      <c r="D947" t="s">
        <v>2106</v>
      </c>
      <c r="E947">
        <v>3</v>
      </c>
      <c r="F947" t="s">
        <v>219</v>
      </c>
      <c r="G947" t="s">
        <v>218</v>
      </c>
      <c r="H947" t="s">
        <v>911</v>
      </c>
      <c r="I947">
        <v>42</v>
      </c>
      <c r="J947" s="21">
        <v>45944</v>
      </c>
      <c r="K947" s="21">
        <v>45945</v>
      </c>
      <c r="L947" t="s">
        <v>2111</v>
      </c>
      <c r="M947" t="s">
        <v>913</v>
      </c>
      <c r="O947" t="s">
        <v>220</v>
      </c>
      <c r="P947">
        <v>0</v>
      </c>
      <c r="R947">
        <v>0.3</v>
      </c>
      <c r="S947">
        <v>0.03</v>
      </c>
      <c r="U947" t="s">
        <v>982</v>
      </c>
      <c r="V947" t="s">
        <v>982</v>
      </c>
      <c r="W947" t="s">
        <v>496</v>
      </c>
      <c r="Y947" t="s">
        <v>455</v>
      </c>
      <c r="Z947" t="s">
        <v>496</v>
      </c>
      <c r="AA947">
        <v>91.24</v>
      </c>
      <c r="AB947">
        <v>2.74</v>
      </c>
      <c r="AC947">
        <v>0</v>
      </c>
    </row>
    <row r="948" spans="2:29" ht="15" customHeight="1" x14ac:dyDescent="0.15">
      <c r="B948">
        <v>4</v>
      </c>
      <c r="C948" t="s">
        <v>386</v>
      </c>
      <c r="D948" t="s">
        <v>2112</v>
      </c>
      <c r="E948">
        <v>1</v>
      </c>
      <c r="F948" t="s">
        <v>201</v>
      </c>
      <c r="G948" t="s">
        <v>337</v>
      </c>
      <c r="H948" t="s">
        <v>1123</v>
      </c>
      <c r="I948">
        <v>42</v>
      </c>
      <c r="J948" s="21">
        <v>45945</v>
      </c>
      <c r="K948" s="21">
        <v>45945</v>
      </c>
      <c r="L948" t="s">
        <v>2113</v>
      </c>
      <c r="M948" t="s">
        <v>1125</v>
      </c>
      <c r="O948" t="s">
        <v>226</v>
      </c>
      <c r="P948">
        <v>0</v>
      </c>
      <c r="R948">
        <v>4</v>
      </c>
      <c r="S948">
        <v>0.16</v>
      </c>
      <c r="U948" t="s">
        <v>2114</v>
      </c>
      <c r="V948" t="s">
        <v>982</v>
      </c>
      <c r="W948" t="s">
        <v>496</v>
      </c>
      <c r="Y948" t="s">
        <v>2115</v>
      </c>
      <c r="Z948" t="s">
        <v>496</v>
      </c>
      <c r="AA948">
        <v>0.78</v>
      </c>
      <c r="AB948">
        <v>0.12</v>
      </c>
      <c r="AC948">
        <v>0</v>
      </c>
    </row>
    <row r="949" spans="2:29" ht="15" customHeight="1" x14ac:dyDescent="0.15">
      <c r="B949">
        <v>4</v>
      </c>
      <c r="C949" t="s">
        <v>386</v>
      </c>
      <c r="D949" t="s">
        <v>2112</v>
      </c>
      <c r="E949">
        <v>2</v>
      </c>
      <c r="F949" t="s">
        <v>201</v>
      </c>
      <c r="G949" t="s">
        <v>337</v>
      </c>
      <c r="H949" t="s">
        <v>475</v>
      </c>
      <c r="I949">
        <v>42</v>
      </c>
      <c r="J949" s="21">
        <v>45945</v>
      </c>
      <c r="K949" s="21">
        <v>45945</v>
      </c>
      <c r="L949" t="s">
        <v>2116</v>
      </c>
      <c r="M949" t="s">
        <v>477</v>
      </c>
      <c r="O949" t="s">
        <v>226</v>
      </c>
      <c r="P949">
        <v>0</v>
      </c>
      <c r="R949">
        <v>20</v>
      </c>
      <c r="S949">
        <v>0.8</v>
      </c>
      <c r="U949" t="s">
        <v>982</v>
      </c>
      <c r="V949" t="s">
        <v>982</v>
      </c>
      <c r="W949" t="s">
        <v>496</v>
      </c>
      <c r="Y949" t="s">
        <v>2115</v>
      </c>
      <c r="Z949" t="s">
        <v>496</v>
      </c>
      <c r="AA949">
        <v>4.88</v>
      </c>
      <c r="AB949">
        <v>3.9</v>
      </c>
      <c r="AC949">
        <v>0</v>
      </c>
    </row>
    <row r="950" spans="2:29" ht="15" customHeight="1" x14ac:dyDescent="0.15">
      <c r="B950">
        <v>4</v>
      </c>
      <c r="C950" t="s">
        <v>386</v>
      </c>
      <c r="D950" t="s">
        <v>2112</v>
      </c>
      <c r="E950">
        <v>3</v>
      </c>
      <c r="F950" t="s">
        <v>201</v>
      </c>
      <c r="G950" t="s">
        <v>337</v>
      </c>
      <c r="H950" t="s">
        <v>1128</v>
      </c>
      <c r="I950">
        <v>42</v>
      </c>
      <c r="J950" s="21">
        <v>45945</v>
      </c>
      <c r="K950" s="21">
        <v>45945</v>
      </c>
      <c r="L950" t="s">
        <v>2117</v>
      </c>
      <c r="M950" t="s">
        <v>1130</v>
      </c>
      <c r="O950" t="s">
        <v>226</v>
      </c>
      <c r="P950">
        <v>0</v>
      </c>
      <c r="R950">
        <v>0.5</v>
      </c>
      <c r="S950">
        <v>0.02</v>
      </c>
      <c r="U950" t="s">
        <v>982</v>
      </c>
      <c r="V950" t="s">
        <v>982</v>
      </c>
      <c r="W950" t="s">
        <v>496</v>
      </c>
      <c r="Y950" t="s">
        <v>2115</v>
      </c>
      <c r="Z950" t="s">
        <v>496</v>
      </c>
      <c r="AA950">
        <v>5.61</v>
      </c>
      <c r="AB950">
        <v>0.11</v>
      </c>
      <c r="AC950">
        <v>0</v>
      </c>
    </row>
    <row r="951" spans="2:29" ht="15" customHeight="1" x14ac:dyDescent="0.15">
      <c r="B951">
        <v>4</v>
      </c>
      <c r="C951" t="s">
        <v>386</v>
      </c>
      <c r="D951" t="s">
        <v>2112</v>
      </c>
      <c r="E951">
        <v>4</v>
      </c>
      <c r="F951" t="s">
        <v>201</v>
      </c>
      <c r="G951" t="s">
        <v>337</v>
      </c>
      <c r="H951" t="s">
        <v>1132</v>
      </c>
      <c r="I951">
        <v>42</v>
      </c>
      <c r="J951" s="21">
        <v>45945</v>
      </c>
      <c r="K951" s="21">
        <v>45945</v>
      </c>
      <c r="L951" t="s">
        <v>2118</v>
      </c>
      <c r="M951" t="s">
        <v>1134</v>
      </c>
      <c r="O951" t="s">
        <v>226</v>
      </c>
      <c r="P951">
        <v>0</v>
      </c>
      <c r="R951">
        <v>5</v>
      </c>
      <c r="S951">
        <v>0.2</v>
      </c>
      <c r="U951" t="s">
        <v>982</v>
      </c>
      <c r="V951" t="s">
        <v>982</v>
      </c>
      <c r="W951" t="s">
        <v>496</v>
      </c>
      <c r="Y951" t="s">
        <v>2115</v>
      </c>
      <c r="Z951" t="s">
        <v>496</v>
      </c>
      <c r="AA951">
        <v>5.28</v>
      </c>
      <c r="AB951">
        <v>1.06</v>
      </c>
      <c r="AC951">
        <v>0</v>
      </c>
    </row>
    <row r="952" spans="2:29" ht="15" customHeight="1" x14ac:dyDescent="0.15">
      <c r="B952">
        <v>4</v>
      </c>
      <c r="C952" t="s">
        <v>386</v>
      </c>
      <c r="D952" t="s">
        <v>2112</v>
      </c>
      <c r="E952">
        <v>5</v>
      </c>
      <c r="F952" t="s">
        <v>201</v>
      </c>
      <c r="G952" t="s">
        <v>337</v>
      </c>
      <c r="H952" t="s">
        <v>921</v>
      </c>
      <c r="I952">
        <v>42</v>
      </c>
      <c r="J952" s="21">
        <v>45945</v>
      </c>
      <c r="K952" s="21">
        <v>45945</v>
      </c>
      <c r="L952" t="s">
        <v>2119</v>
      </c>
      <c r="M952" t="s">
        <v>923</v>
      </c>
      <c r="O952" t="s">
        <v>226</v>
      </c>
      <c r="P952">
        <v>0</v>
      </c>
      <c r="R952">
        <v>10</v>
      </c>
      <c r="S952">
        <v>0.4</v>
      </c>
      <c r="U952" t="s">
        <v>982</v>
      </c>
      <c r="V952" t="s">
        <v>982</v>
      </c>
      <c r="W952" t="s">
        <v>496</v>
      </c>
      <c r="Y952" t="s">
        <v>2115</v>
      </c>
      <c r="Z952" t="s">
        <v>496</v>
      </c>
      <c r="AA952">
        <v>7.37</v>
      </c>
      <c r="AB952">
        <v>2.95</v>
      </c>
      <c r="AC952">
        <v>0</v>
      </c>
    </row>
    <row r="953" spans="2:29" ht="15" customHeight="1" x14ac:dyDescent="0.15">
      <c r="B953">
        <v>4</v>
      </c>
      <c r="C953" t="s">
        <v>386</v>
      </c>
      <c r="D953" t="s">
        <v>2120</v>
      </c>
      <c r="E953">
        <v>1</v>
      </c>
      <c r="F953" t="s">
        <v>219</v>
      </c>
      <c r="G953" t="s">
        <v>244</v>
      </c>
      <c r="H953" t="s">
        <v>1593</v>
      </c>
      <c r="I953">
        <v>42</v>
      </c>
      <c r="J953" s="21">
        <v>45947</v>
      </c>
      <c r="K953" s="21">
        <v>45948</v>
      </c>
      <c r="L953" t="s">
        <v>2121</v>
      </c>
      <c r="M953" t="s">
        <v>1595</v>
      </c>
      <c r="O953" t="s">
        <v>226</v>
      </c>
      <c r="P953">
        <v>1</v>
      </c>
      <c r="Q953">
        <v>1</v>
      </c>
      <c r="R953">
        <v>0.4</v>
      </c>
      <c r="S953">
        <v>0.4</v>
      </c>
      <c r="T953">
        <v>0.4</v>
      </c>
      <c r="U953" t="s">
        <v>391</v>
      </c>
      <c r="V953" t="s">
        <v>392</v>
      </c>
      <c r="W953" t="s">
        <v>392</v>
      </c>
      <c r="X953">
        <v>1</v>
      </c>
      <c r="Y953" t="s">
        <v>710</v>
      </c>
      <c r="Z953" t="s">
        <v>496</v>
      </c>
      <c r="AA953">
        <v>528.66</v>
      </c>
      <c r="AB953">
        <v>211.46</v>
      </c>
      <c r="AC953">
        <v>211.46</v>
      </c>
    </row>
    <row r="954" spans="2:29" ht="15" customHeight="1" x14ac:dyDescent="0.15">
      <c r="B954">
        <v>4</v>
      </c>
      <c r="C954" t="s">
        <v>386</v>
      </c>
      <c r="D954" t="s">
        <v>2120</v>
      </c>
      <c r="E954">
        <v>2</v>
      </c>
      <c r="F954" t="s">
        <v>219</v>
      </c>
      <c r="G954" t="s">
        <v>218</v>
      </c>
      <c r="H954" t="s">
        <v>1422</v>
      </c>
      <c r="I954">
        <v>42</v>
      </c>
      <c r="J954" s="21">
        <v>45947</v>
      </c>
      <c r="K954" s="21">
        <v>45948</v>
      </c>
      <c r="L954" t="s">
        <v>2122</v>
      </c>
      <c r="M954" t="s">
        <v>1424</v>
      </c>
      <c r="O954" t="s">
        <v>220</v>
      </c>
      <c r="P954">
        <v>1</v>
      </c>
      <c r="Q954">
        <v>1</v>
      </c>
      <c r="R954">
        <v>0.3</v>
      </c>
      <c r="S954">
        <v>0.3</v>
      </c>
      <c r="T954">
        <v>0.3</v>
      </c>
      <c r="U954" t="s">
        <v>391</v>
      </c>
      <c r="V954" t="s">
        <v>392</v>
      </c>
      <c r="W954" t="s">
        <v>392</v>
      </c>
      <c r="X954">
        <v>1</v>
      </c>
      <c r="Y954" t="s">
        <v>710</v>
      </c>
      <c r="Z954" t="s">
        <v>496</v>
      </c>
      <c r="AA954">
        <v>489.99</v>
      </c>
      <c r="AB954">
        <v>147</v>
      </c>
      <c r="AC954">
        <v>147</v>
      </c>
    </row>
    <row r="955" spans="2:29" ht="15" customHeight="1" x14ac:dyDescent="0.15">
      <c r="B955">
        <v>4</v>
      </c>
      <c r="C955" t="s">
        <v>386</v>
      </c>
      <c r="D955" t="s">
        <v>2123</v>
      </c>
      <c r="E955">
        <v>1</v>
      </c>
      <c r="F955" t="s">
        <v>556</v>
      </c>
      <c r="G955" t="s">
        <v>556</v>
      </c>
      <c r="H955" t="s">
        <v>556</v>
      </c>
      <c r="I955">
        <v>42</v>
      </c>
      <c r="J955" s="21">
        <v>45947</v>
      </c>
      <c r="K955" s="21">
        <v>45947</v>
      </c>
      <c r="L955" t="s">
        <v>2124</v>
      </c>
      <c r="M955" t="s">
        <v>2053</v>
      </c>
      <c r="O955" t="s">
        <v>2125</v>
      </c>
      <c r="P955">
        <v>1</v>
      </c>
      <c r="Q955">
        <v>1</v>
      </c>
      <c r="R955">
        <v>8</v>
      </c>
      <c r="S955">
        <v>8</v>
      </c>
      <c r="T955">
        <v>8</v>
      </c>
      <c r="U955" t="s">
        <v>391</v>
      </c>
      <c r="V955" t="s">
        <v>392</v>
      </c>
      <c r="W955" t="s">
        <v>392</v>
      </c>
      <c r="X955">
        <v>1</v>
      </c>
      <c r="Y955" t="s">
        <v>707</v>
      </c>
      <c r="Z955" t="s">
        <v>496</v>
      </c>
      <c r="AB955">
        <v>0</v>
      </c>
      <c r="AC955">
        <v>0</v>
      </c>
    </row>
    <row r="956" spans="2:29" ht="15" customHeight="1" x14ac:dyDescent="0.15">
      <c r="B956">
        <v>4</v>
      </c>
      <c r="C956" t="s">
        <v>386</v>
      </c>
      <c r="D956" t="s">
        <v>2126</v>
      </c>
      <c r="E956">
        <v>1</v>
      </c>
      <c r="F956" t="s">
        <v>556</v>
      </c>
      <c r="G956" t="s">
        <v>556</v>
      </c>
      <c r="H956" t="s">
        <v>556</v>
      </c>
      <c r="I956">
        <v>42</v>
      </c>
      <c r="J956" s="21">
        <v>45947</v>
      </c>
      <c r="K956" s="21">
        <v>45947</v>
      </c>
      <c r="L956" t="s">
        <v>2127</v>
      </c>
      <c r="M956" t="s">
        <v>2053</v>
      </c>
      <c r="O956" t="s">
        <v>2125</v>
      </c>
      <c r="P956">
        <v>1</v>
      </c>
      <c r="Q956">
        <v>1</v>
      </c>
      <c r="R956">
        <v>25</v>
      </c>
      <c r="S956">
        <v>25</v>
      </c>
      <c r="T956">
        <v>25</v>
      </c>
      <c r="U956" t="s">
        <v>391</v>
      </c>
      <c r="V956" t="s">
        <v>392</v>
      </c>
      <c r="W956" t="s">
        <v>392</v>
      </c>
      <c r="X956">
        <v>1</v>
      </c>
      <c r="Y956" t="s">
        <v>2128</v>
      </c>
      <c r="Z956" t="s">
        <v>496</v>
      </c>
      <c r="AB956">
        <v>0</v>
      </c>
      <c r="AC956">
        <v>0</v>
      </c>
    </row>
    <row r="957" spans="2:29" ht="15" hidden="1" customHeight="1" x14ac:dyDescent="0.15">
      <c r="B957">
        <v>4</v>
      </c>
      <c r="C957" t="s">
        <v>386</v>
      </c>
      <c r="D957" t="s">
        <v>2129</v>
      </c>
      <c r="E957">
        <v>1</v>
      </c>
      <c r="F957" t="s">
        <v>556</v>
      </c>
      <c r="G957" t="s">
        <v>556</v>
      </c>
      <c r="H957" t="s">
        <v>556</v>
      </c>
      <c r="I957">
        <v>42</v>
      </c>
      <c r="J957" s="21">
        <v>45947</v>
      </c>
      <c r="K957" s="21">
        <v>45947</v>
      </c>
      <c r="L957" t="s">
        <v>2130</v>
      </c>
      <c r="M957" t="s">
        <v>2053</v>
      </c>
      <c r="O957" t="s">
        <v>2131</v>
      </c>
      <c r="P957">
        <v>1</v>
      </c>
      <c r="Q957">
        <v>1</v>
      </c>
      <c r="R957">
        <v>15</v>
      </c>
      <c r="S957">
        <v>15</v>
      </c>
      <c r="T957">
        <v>15</v>
      </c>
      <c r="U957" t="s">
        <v>2132</v>
      </c>
      <c r="V957" t="s">
        <v>496</v>
      </c>
      <c r="W957" t="s">
        <v>496</v>
      </c>
      <c r="X957">
        <v>1</v>
      </c>
      <c r="Z957" t="s">
        <v>496</v>
      </c>
      <c r="AB957">
        <v>0</v>
      </c>
      <c r="AC957">
        <v>0</v>
      </c>
    </row>
    <row r="958" spans="2:29" ht="15" customHeight="1" x14ac:dyDescent="0.15">
      <c r="B958">
        <v>4</v>
      </c>
      <c r="C958" t="s">
        <v>386</v>
      </c>
      <c r="D958" t="s">
        <v>2133</v>
      </c>
      <c r="E958">
        <v>1</v>
      </c>
      <c r="F958" t="s">
        <v>219</v>
      </c>
      <c r="G958" t="s">
        <v>231</v>
      </c>
      <c r="H958" t="s">
        <v>433</v>
      </c>
      <c r="I958">
        <v>42</v>
      </c>
      <c r="J958" s="21">
        <v>45948</v>
      </c>
      <c r="K958" s="21">
        <v>45948</v>
      </c>
      <c r="L958" t="s">
        <v>2134</v>
      </c>
      <c r="M958" t="s">
        <v>1030</v>
      </c>
      <c r="O958" t="s">
        <v>220</v>
      </c>
      <c r="P958">
        <v>0</v>
      </c>
      <c r="R958">
        <v>0.12</v>
      </c>
      <c r="S958">
        <v>1.2E-2</v>
      </c>
      <c r="U958" t="s">
        <v>982</v>
      </c>
      <c r="V958" t="s">
        <v>982</v>
      </c>
      <c r="W958" t="s">
        <v>496</v>
      </c>
      <c r="Y958" t="s">
        <v>860</v>
      </c>
      <c r="Z958" t="s">
        <v>496</v>
      </c>
      <c r="AA958">
        <v>21.83</v>
      </c>
      <c r="AB958">
        <v>0.26</v>
      </c>
      <c r="AC958">
        <v>0</v>
      </c>
    </row>
    <row r="959" spans="2:29" ht="15" customHeight="1" x14ac:dyDescent="0.15">
      <c r="B959">
        <v>4</v>
      </c>
      <c r="C959" t="s">
        <v>386</v>
      </c>
      <c r="D959" t="s">
        <v>2133</v>
      </c>
      <c r="E959">
        <v>2</v>
      </c>
      <c r="F959" t="s">
        <v>219</v>
      </c>
      <c r="G959" t="s">
        <v>244</v>
      </c>
      <c r="H959" t="s">
        <v>1593</v>
      </c>
      <c r="I959">
        <v>42</v>
      </c>
      <c r="J959" s="21">
        <v>45948</v>
      </c>
      <c r="K959" s="21">
        <v>45948</v>
      </c>
      <c r="L959" t="s">
        <v>2135</v>
      </c>
      <c r="M959" t="s">
        <v>1595</v>
      </c>
      <c r="O959" t="s">
        <v>226</v>
      </c>
      <c r="P959">
        <v>0</v>
      </c>
      <c r="R959">
        <v>0.25</v>
      </c>
      <c r="S959">
        <v>2.5000000000000001E-2</v>
      </c>
      <c r="U959" t="s">
        <v>982</v>
      </c>
      <c r="V959" t="s">
        <v>982</v>
      </c>
      <c r="W959" t="s">
        <v>496</v>
      </c>
      <c r="Y959" t="s">
        <v>860</v>
      </c>
      <c r="Z959" t="s">
        <v>496</v>
      </c>
      <c r="AA959">
        <v>528.66</v>
      </c>
      <c r="AB959">
        <v>13.22</v>
      </c>
      <c r="AC959">
        <v>0</v>
      </c>
    </row>
    <row r="960" spans="2:29" ht="15" customHeight="1" x14ac:dyDescent="0.15">
      <c r="B960">
        <v>4</v>
      </c>
      <c r="C960" t="s">
        <v>386</v>
      </c>
      <c r="D960" t="s">
        <v>2133</v>
      </c>
      <c r="E960">
        <v>3</v>
      </c>
      <c r="F960" t="s">
        <v>219</v>
      </c>
      <c r="G960" t="s">
        <v>218</v>
      </c>
      <c r="H960" t="s">
        <v>911</v>
      </c>
      <c r="I960">
        <v>42</v>
      </c>
      <c r="J960" s="21">
        <v>45948</v>
      </c>
      <c r="K960" s="21">
        <v>45948</v>
      </c>
      <c r="L960" t="s">
        <v>2136</v>
      </c>
      <c r="M960" t="s">
        <v>913</v>
      </c>
      <c r="O960" t="s">
        <v>220</v>
      </c>
      <c r="P960">
        <v>0</v>
      </c>
      <c r="R960">
        <v>0.3</v>
      </c>
      <c r="S960">
        <v>0.03</v>
      </c>
      <c r="U960" t="s">
        <v>982</v>
      </c>
      <c r="V960" t="s">
        <v>982</v>
      </c>
      <c r="W960" t="s">
        <v>496</v>
      </c>
      <c r="Y960" t="s">
        <v>860</v>
      </c>
      <c r="Z960" t="s">
        <v>496</v>
      </c>
      <c r="AA960">
        <v>91.24</v>
      </c>
      <c r="AB960">
        <v>2.74</v>
      </c>
      <c r="AC960">
        <v>0</v>
      </c>
    </row>
    <row r="961" spans="2:29" ht="15" hidden="1" customHeight="1" x14ac:dyDescent="0.15">
      <c r="B961">
        <v>4</v>
      </c>
      <c r="C961" t="s">
        <v>386</v>
      </c>
      <c r="D961" t="s">
        <v>2137</v>
      </c>
      <c r="E961">
        <v>2</v>
      </c>
      <c r="F961" t="s">
        <v>219</v>
      </c>
      <c r="G961" t="s">
        <v>239</v>
      </c>
      <c r="H961" t="s">
        <v>1069</v>
      </c>
      <c r="I961">
        <v>43</v>
      </c>
      <c r="J961" s="21">
        <v>45953</v>
      </c>
      <c r="K961" s="21">
        <v>45955</v>
      </c>
      <c r="L961" t="s">
        <v>2138</v>
      </c>
      <c r="M961" t="s">
        <v>1071</v>
      </c>
      <c r="O961" t="s">
        <v>220</v>
      </c>
      <c r="P961">
        <v>0</v>
      </c>
      <c r="Q961">
        <v>0.67</v>
      </c>
      <c r="R961">
        <v>0.5</v>
      </c>
      <c r="S961">
        <v>0.05</v>
      </c>
      <c r="T961">
        <v>0.33</v>
      </c>
      <c r="U961" t="s">
        <v>2046</v>
      </c>
      <c r="V961" t="s">
        <v>496</v>
      </c>
      <c r="W961" t="s">
        <v>496</v>
      </c>
      <c r="X961">
        <v>0.2</v>
      </c>
      <c r="Y961" t="s">
        <v>2139</v>
      </c>
      <c r="Z961" t="s">
        <v>496</v>
      </c>
      <c r="AA961">
        <v>106.87</v>
      </c>
      <c r="AB961">
        <v>5.34</v>
      </c>
      <c r="AC961">
        <v>35.619999999999997</v>
      </c>
    </row>
    <row r="962" spans="2:29" ht="15" hidden="1" customHeight="1" x14ac:dyDescent="0.15">
      <c r="B962">
        <v>4</v>
      </c>
      <c r="C962" t="s">
        <v>386</v>
      </c>
      <c r="D962" t="s">
        <v>2137</v>
      </c>
      <c r="E962">
        <v>3</v>
      </c>
      <c r="F962" t="s">
        <v>219</v>
      </c>
      <c r="G962" t="s">
        <v>218</v>
      </c>
      <c r="H962" t="s">
        <v>485</v>
      </c>
      <c r="I962">
        <v>43</v>
      </c>
      <c r="J962" s="21">
        <v>45953</v>
      </c>
      <c r="K962" s="21">
        <v>45955</v>
      </c>
      <c r="L962" t="s">
        <v>2140</v>
      </c>
      <c r="M962" t="s">
        <v>2141</v>
      </c>
      <c r="O962" t="s">
        <v>220</v>
      </c>
      <c r="P962">
        <v>0</v>
      </c>
      <c r="Q962">
        <v>0.67</v>
      </c>
      <c r="R962">
        <v>0.5</v>
      </c>
      <c r="S962">
        <v>0.05</v>
      </c>
      <c r="T962">
        <v>0.33</v>
      </c>
      <c r="U962" t="s">
        <v>2046</v>
      </c>
      <c r="V962" t="s">
        <v>496</v>
      </c>
      <c r="W962" t="s">
        <v>496</v>
      </c>
      <c r="X962">
        <v>0.2</v>
      </c>
      <c r="Y962" t="s">
        <v>2139</v>
      </c>
      <c r="Z962" t="s">
        <v>496</v>
      </c>
      <c r="AA962">
        <v>116.5</v>
      </c>
      <c r="AB962">
        <v>5.83</v>
      </c>
      <c r="AC962">
        <v>38.83</v>
      </c>
    </row>
    <row r="963" spans="2:29" ht="15" hidden="1" customHeight="1" x14ac:dyDescent="0.15">
      <c r="B963">
        <v>4</v>
      </c>
      <c r="C963" t="s">
        <v>386</v>
      </c>
      <c r="D963" t="s">
        <v>2137</v>
      </c>
      <c r="E963">
        <v>4</v>
      </c>
      <c r="F963" t="s">
        <v>219</v>
      </c>
      <c r="G963" t="s">
        <v>239</v>
      </c>
      <c r="H963" t="s">
        <v>1066</v>
      </c>
      <c r="I963">
        <v>43</v>
      </c>
      <c r="J963" s="21">
        <v>45953</v>
      </c>
      <c r="K963" s="21">
        <v>45955</v>
      </c>
      <c r="L963" t="s">
        <v>2142</v>
      </c>
      <c r="M963" t="s">
        <v>1068</v>
      </c>
      <c r="O963" t="s">
        <v>220</v>
      </c>
      <c r="P963">
        <v>0</v>
      </c>
      <c r="Q963">
        <v>0.67</v>
      </c>
      <c r="R963">
        <v>0.5</v>
      </c>
      <c r="S963">
        <v>0.05</v>
      </c>
      <c r="T963">
        <v>0.33</v>
      </c>
      <c r="U963" t="s">
        <v>2046</v>
      </c>
      <c r="V963" t="s">
        <v>496</v>
      </c>
      <c r="W963" t="s">
        <v>496</v>
      </c>
      <c r="X963">
        <v>0.2</v>
      </c>
      <c r="Y963" t="s">
        <v>2139</v>
      </c>
      <c r="Z963" t="s">
        <v>496</v>
      </c>
      <c r="AA963">
        <v>138.68</v>
      </c>
      <c r="AB963">
        <v>6.93</v>
      </c>
      <c r="AC963">
        <v>46.23</v>
      </c>
    </row>
    <row r="964" spans="2:29" ht="15" hidden="1" customHeight="1" x14ac:dyDescent="0.15">
      <c r="B964">
        <v>4</v>
      </c>
      <c r="C964" t="s">
        <v>386</v>
      </c>
      <c r="D964" t="s">
        <v>2143</v>
      </c>
      <c r="E964">
        <v>1</v>
      </c>
      <c r="F964" t="s">
        <v>219</v>
      </c>
      <c r="G964" t="s">
        <v>223</v>
      </c>
      <c r="H964" t="s">
        <v>987</v>
      </c>
      <c r="I964">
        <v>43</v>
      </c>
      <c r="J964" s="21">
        <v>45953</v>
      </c>
      <c r="K964" s="21">
        <v>45957</v>
      </c>
      <c r="L964" t="s">
        <v>2144</v>
      </c>
      <c r="M964" t="s">
        <v>222</v>
      </c>
      <c r="O964" t="s">
        <v>220</v>
      </c>
      <c r="P964">
        <v>0</v>
      </c>
      <c r="Q964">
        <v>1</v>
      </c>
      <c r="R964">
        <v>5</v>
      </c>
      <c r="S964">
        <v>0.75</v>
      </c>
      <c r="T964">
        <v>5</v>
      </c>
      <c r="U964" t="s">
        <v>2046</v>
      </c>
      <c r="V964" t="s">
        <v>496</v>
      </c>
      <c r="W964" t="s">
        <v>496</v>
      </c>
      <c r="X964">
        <v>0.2</v>
      </c>
      <c r="Y964" t="s">
        <v>2070</v>
      </c>
      <c r="Z964" t="s">
        <v>496</v>
      </c>
      <c r="AA964">
        <v>13.47</v>
      </c>
      <c r="AB964">
        <v>10.1</v>
      </c>
      <c r="AC964">
        <v>67.349999999999994</v>
      </c>
    </row>
    <row r="965" spans="2:29" ht="15" hidden="1" customHeight="1" x14ac:dyDescent="0.15">
      <c r="B965">
        <v>4</v>
      </c>
      <c r="C965" t="s">
        <v>386</v>
      </c>
      <c r="D965" t="s">
        <v>2143</v>
      </c>
      <c r="E965">
        <v>2</v>
      </c>
      <c r="F965" t="s">
        <v>219</v>
      </c>
      <c r="G965" t="s">
        <v>218</v>
      </c>
      <c r="H965" t="s">
        <v>485</v>
      </c>
      <c r="I965">
        <v>43</v>
      </c>
      <c r="J965" s="21">
        <v>45953</v>
      </c>
      <c r="K965" s="21">
        <v>45957</v>
      </c>
      <c r="L965" t="s">
        <v>2145</v>
      </c>
      <c r="M965" t="s">
        <v>1316</v>
      </c>
      <c r="O965" t="s">
        <v>220</v>
      </c>
      <c r="P965">
        <v>0</v>
      </c>
      <c r="Q965">
        <v>1</v>
      </c>
      <c r="R965">
        <v>1.5</v>
      </c>
      <c r="S965">
        <v>0.22500000000000001</v>
      </c>
      <c r="T965">
        <v>1.5</v>
      </c>
      <c r="U965" t="s">
        <v>2046</v>
      </c>
      <c r="V965" t="s">
        <v>496</v>
      </c>
      <c r="W965" t="s">
        <v>496</v>
      </c>
      <c r="X965">
        <v>0.2</v>
      </c>
      <c r="Y965" t="s">
        <v>2070</v>
      </c>
      <c r="Z965" t="s">
        <v>496</v>
      </c>
      <c r="AA965">
        <v>92.82</v>
      </c>
      <c r="AB965">
        <v>20.88</v>
      </c>
      <c r="AC965">
        <v>139.22999999999999</v>
      </c>
    </row>
    <row r="966" spans="2:29" ht="15" hidden="1" customHeight="1" x14ac:dyDescent="0.15">
      <c r="B966">
        <v>4</v>
      </c>
      <c r="C966" t="s">
        <v>386</v>
      </c>
      <c r="D966" t="s">
        <v>2143</v>
      </c>
      <c r="E966">
        <v>3</v>
      </c>
      <c r="F966" t="s">
        <v>219</v>
      </c>
      <c r="G966" t="s">
        <v>218</v>
      </c>
      <c r="H966" t="s">
        <v>667</v>
      </c>
      <c r="I966">
        <v>43</v>
      </c>
      <c r="J966" s="21">
        <v>45953</v>
      </c>
      <c r="K966" s="21">
        <v>45957</v>
      </c>
      <c r="L966" t="s">
        <v>2146</v>
      </c>
      <c r="M966" t="s">
        <v>355</v>
      </c>
      <c r="O966" t="s">
        <v>282</v>
      </c>
      <c r="P966">
        <v>0</v>
      </c>
      <c r="Q966">
        <v>1</v>
      </c>
      <c r="R966">
        <v>5</v>
      </c>
      <c r="S966">
        <v>0.75</v>
      </c>
      <c r="T966">
        <v>5</v>
      </c>
      <c r="U966" t="s">
        <v>2046</v>
      </c>
      <c r="V966" t="s">
        <v>496</v>
      </c>
      <c r="W966" t="s">
        <v>496</v>
      </c>
      <c r="X966">
        <v>0.2</v>
      </c>
      <c r="Y966" t="s">
        <v>2070</v>
      </c>
      <c r="Z966" t="s">
        <v>496</v>
      </c>
      <c r="AA966">
        <v>1.2</v>
      </c>
      <c r="AB966">
        <v>0.9</v>
      </c>
      <c r="AC966">
        <v>6</v>
      </c>
    </row>
    <row r="967" spans="2:29" ht="15" hidden="1" customHeight="1" x14ac:dyDescent="0.15">
      <c r="B967">
        <v>4</v>
      </c>
      <c r="C967" t="s">
        <v>386</v>
      </c>
      <c r="D967" t="s">
        <v>2147</v>
      </c>
      <c r="E967">
        <v>1</v>
      </c>
      <c r="F967" t="s">
        <v>556</v>
      </c>
      <c r="G967" t="s">
        <v>556</v>
      </c>
      <c r="H967" t="s">
        <v>556</v>
      </c>
      <c r="I967">
        <v>43</v>
      </c>
      <c r="J967" s="21">
        <v>45953</v>
      </c>
      <c r="K967" s="21">
        <v>45953</v>
      </c>
      <c r="L967" t="s">
        <v>2148</v>
      </c>
      <c r="M967" t="s">
        <v>2053</v>
      </c>
      <c r="O967" t="s">
        <v>2131</v>
      </c>
      <c r="P967">
        <v>1</v>
      </c>
      <c r="R967">
        <v>8</v>
      </c>
      <c r="S967">
        <v>8</v>
      </c>
      <c r="U967" t="s">
        <v>2132</v>
      </c>
      <c r="V967" t="s">
        <v>496</v>
      </c>
      <c r="W967" t="s">
        <v>496</v>
      </c>
      <c r="Z967" t="s">
        <v>496</v>
      </c>
      <c r="AB967">
        <v>0</v>
      </c>
      <c r="AC967">
        <v>0</v>
      </c>
    </row>
    <row r="968" spans="2:29" ht="15" customHeight="1" x14ac:dyDescent="0.15">
      <c r="B968">
        <v>4</v>
      </c>
      <c r="C968" t="s">
        <v>386</v>
      </c>
      <c r="D968" t="s">
        <v>2149</v>
      </c>
      <c r="E968">
        <v>1</v>
      </c>
      <c r="F968" t="s">
        <v>219</v>
      </c>
      <c r="G968" t="s">
        <v>218</v>
      </c>
      <c r="H968" t="s">
        <v>397</v>
      </c>
      <c r="I968">
        <v>43</v>
      </c>
      <c r="J968" s="21">
        <v>45954</v>
      </c>
      <c r="K968" s="21">
        <v>45954</v>
      </c>
      <c r="L968" t="s">
        <v>2150</v>
      </c>
      <c r="M968" t="s">
        <v>454</v>
      </c>
      <c r="O968" t="s">
        <v>248</v>
      </c>
      <c r="P968">
        <v>1</v>
      </c>
      <c r="Q968">
        <v>1</v>
      </c>
      <c r="R968">
        <v>0.4</v>
      </c>
      <c r="S968">
        <v>0.4</v>
      </c>
      <c r="T968">
        <v>0.4</v>
      </c>
      <c r="U968" t="s">
        <v>391</v>
      </c>
      <c r="V968" t="s">
        <v>392</v>
      </c>
      <c r="W968" t="s">
        <v>392</v>
      </c>
      <c r="X968">
        <v>1</v>
      </c>
      <c r="Y968" t="s">
        <v>710</v>
      </c>
      <c r="Z968" t="s">
        <v>496</v>
      </c>
      <c r="AA968">
        <v>686.05</v>
      </c>
      <c r="AB968">
        <v>274.42</v>
      </c>
      <c r="AC968">
        <v>274.42</v>
      </c>
    </row>
    <row r="969" spans="2:29" ht="15" customHeight="1" x14ac:dyDescent="0.15">
      <c r="B969">
        <v>4</v>
      </c>
      <c r="C969" t="s">
        <v>386</v>
      </c>
      <c r="D969" t="s">
        <v>2151</v>
      </c>
      <c r="E969">
        <v>1</v>
      </c>
      <c r="F969" t="s">
        <v>219</v>
      </c>
      <c r="G969" t="s">
        <v>231</v>
      </c>
      <c r="H969" t="s">
        <v>433</v>
      </c>
      <c r="I969">
        <v>44</v>
      </c>
      <c r="J969" s="21">
        <v>45959</v>
      </c>
      <c r="K969" s="21">
        <v>45960</v>
      </c>
      <c r="L969" t="s">
        <v>2152</v>
      </c>
      <c r="M969" t="s">
        <v>1030</v>
      </c>
      <c r="O969" t="s">
        <v>248</v>
      </c>
      <c r="P969">
        <v>0</v>
      </c>
      <c r="R969">
        <v>0.12</v>
      </c>
      <c r="S969">
        <v>3.5999999999999997E-2</v>
      </c>
      <c r="U969" t="s">
        <v>391</v>
      </c>
      <c r="V969" t="s">
        <v>392</v>
      </c>
      <c r="W969" t="s">
        <v>392</v>
      </c>
      <c r="Y969" t="s">
        <v>2153</v>
      </c>
      <c r="Z969" t="s">
        <v>496</v>
      </c>
      <c r="AA969">
        <v>21.83</v>
      </c>
      <c r="AB969">
        <v>0.79</v>
      </c>
      <c r="AC969">
        <v>0</v>
      </c>
    </row>
    <row r="970" spans="2:29" ht="15" customHeight="1" x14ac:dyDescent="0.15">
      <c r="B970">
        <v>4</v>
      </c>
      <c r="C970" t="s">
        <v>386</v>
      </c>
      <c r="D970" t="s">
        <v>2151</v>
      </c>
      <c r="E970">
        <v>2</v>
      </c>
      <c r="I970">
        <v>44</v>
      </c>
      <c r="J970" s="21">
        <v>45959</v>
      </c>
      <c r="K970" s="21">
        <v>45960</v>
      </c>
      <c r="L970" t="s">
        <v>2154</v>
      </c>
      <c r="M970" t="s">
        <v>2155</v>
      </c>
      <c r="O970" t="s">
        <v>282</v>
      </c>
      <c r="P970">
        <v>0</v>
      </c>
      <c r="R970">
        <v>0.5</v>
      </c>
      <c r="S970">
        <v>0.15</v>
      </c>
      <c r="U970" t="s">
        <v>391</v>
      </c>
      <c r="V970" t="s">
        <v>392</v>
      </c>
      <c r="W970" t="s">
        <v>392</v>
      </c>
      <c r="Y970" t="s">
        <v>2153</v>
      </c>
      <c r="Z970" t="s">
        <v>496</v>
      </c>
      <c r="AC970">
        <v>0</v>
      </c>
    </row>
    <row r="971" spans="2:29" ht="15" hidden="1" customHeight="1" x14ac:dyDescent="0.15">
      <c r="B971">
        <v>4</v>
      </c>
      <c r="C971" t="s">
        <v>386</v>
      </c>
      <c r="D971" t="s">
        <v>2156</v>
      </c>
      <c r="E971">
        <v>1</v>
      </c>
      <c r="F971" t="s">
        <v>201</v>
      </c>
      <c r="G971" t="s">
        <v>337</v>
      </c>
      <c r="H971" t="s">
        <v>1132</v>
      </c>
      <c r="I971">
        <v>44</v>
      </c>
      <c r="J971" s="21">
        <v>45962</v>
      </c>
      <c r="K971" s="21">
        <v>45962</v>
      </c>
      <c r="L971" t="s">
        <v>2157</v>
      </c>
      <c r="M971" t="s">
        <v>357</v>
      </c>
      <c r="O971" t="s">
        <v>282</v>
      </c>
      <c r="P971">
        <v>0</v>
      </c>
      <c r="Q971">
        <v>1</v>
      </c>
      <c r="R971">
        <v>20</v>
      </c>
      <c r="S971">
        <v>3</v>
      </c>
      <c r="T971">
        <v>20</v>
      </c>
      <c r="U971" t="s">
        <v>2046</v>
      </c>
      <c r="V971" t="s">
        <v>496</v>
      </c>
      <c r="W971" t="s">
        <v>496</v>
      </c>
      <c r="X971">
        <v>0.2</v>
      </c>
      <c r="Y971" t="s">
        <v>2070</v>
      </c>
      <c r="Z971" t="s">
        <v>496</v>
      </c>
      <c r="AA971">
        <v>1.33</v>
      </c>
      <c r="AB971">
        <v>4</v>
      </c>
      <c r="AC971">
        <v>26.64</v>
      </c>
    </row>
    <row r="972" spans="2:29" ht="15" hidden="1" customHeight="1" x14ac:dyDescent="0.15">
      <c r="B972">
        <v>4</v>
      </c>
      <c r="C972" t="s">
        <v>386</v>
      </c>
      <c r="D972" t="s">
        <v>2158</v>
      </c>
      <c r="E972">
        <v>1</v>
      </c>
      <c r="F972" t="s">
        <v>219</v>
      </c>
      <c r="G972" t="s">
        <v>239</v>
      </c>
      <c r="H972" t="s">
        <v>2159</v>
      </c>
      <c r="I972">
        <v>44</v>
      </c>
      <c r="J972" s="21">
        <v>45962</v>
      </c>
      <c r="K972" s="21">
        <v>45962</v>
      </c>
      <c r="L972" t="s">
        <v>2160</v>
      </c>
      <c r="M972" t="s">
        <v>2161</v>
      </c>
      <c r="O972" t="s">
        <v>248</v>
      </c>
      <c r="P972">
        <v>0</v>
      </c>
      <c r="Q972">
        <v>1</v>
      </c>
      <c r="R972">
        <v>5</v>
      </c>
      <c r="S972">
        <v>0.75</v>
      </c>
      <c r="T972">
        <v>5</v>
      </c>
      <c r="U972" t="s">
        <v>2046</v>
      </c>
      <c r="V972" t="s">
        <v>496</v>
      </c>
      <c r="W972" t="s">
        <v>496</v>
      </c>
      <c r="X972">
        <v>0.2</v>
      </c>
      <c r="Y972" t="s">
        <v>2070</v>
      </c>
      <c r="Z972" t="s">
        <v>496</v>
      </c>
      <c r="AA972">
        <v>0</v>
      </c>
      <c r="AB972">
        <v>0</v>
      </c>
      <c r="AC972">
        <v>0</v>
      </c>
    </row>
    <row r="973" spans="2:29" ht="15" hidden="1" customHeight="1" x14ac:dyDescent="0.15">
      <c r="B973">
        <v>4</v>
      </c>
      <c r="C973" t="s">
        <v>386</v>
      </c>
      <c r="D973" t="s">
        <v>2158</v>
      </c>
      <c r="E973">
        <v>2</v>
      </c>
      <c r="F973" t="s">
        <v>219</v>
      </c>
      <c r="G973" t="s">
        <v>223</v>
      </c>
      <c r="H973" t="s">
        <v>1298</v>
      </c>
      <c r="I973">
        <v>44</v>
      </c>
      <c r="J973" s="21">
        <v>45962</v>
      </c>
      <c r="K973" s="21">
        <v>45962</v>
      </c>
      <c r="L973" t="s">
        <v>2162</v>
      </c>
      <c r="M973" t="s">
        <v>1300</v>
      </c>
      <c r="O973" t="s">
        <v>248</v>
      </c>
      <c r="P973">
        <v>0</v>
      </c>
      <c r="Q973">
        <v>1</v>
      </c>
      <c r="R973">
        <v>3.69</v>
      </c>
      <c r="S973">
        <v>0.55400000000000005</v>
      </c>
      <c r="T973">
        <v>3.69</v>
      </c>
      <c r="U973" t="s">
        <v>2046</v>
      </c>
      <c r="V973" t="s">
        <v>496</v>
      </c>
      <c r="W973" t="s">
        <v>496</v>
      </c>
      <c r="X973">
        <v>0.2</v>
      </c>
      <c r="Y973" t="s">
        <v>2070</v>
      </c>
      <c r="Z973" t="s">
        <v>496</v>
      </c>
      <c r="AA973">
        <v>30.4</v>
      </c>
      <c r="AB973">
        <v>16.829999999999998</v>
      </c>
      <c r="AC973">
        <v>112.18</v>
      </c>
    </row>
    <row r="974" spans="2:29" ht="15" hidden="1" customHeight="1" x14ac:dyDescent="0.15">
      <c r="B974">
        <v>4</v>
      </c>
      <c r="C974" t="s">
        <v>386</v>
      </c>
      <c r="D974" t="s">
        <v>2158</v>
      </c>
      <c r="E974">
        <v>3</v>
      </c>
      <c r="F974" t="s">
        <v>219</v>
      </c>
      <c r="G974" t="s">
        <v>1292</v>
      </c>
      <c r="H974" t="s">
        <v>1293</v>
      </c>
      <c r="I974">
        <v>44</v>
      </c>
      <c r="J974" s="21">
        <v>45962</v>
      </c>
      <c r="K974" s="21">
        <v>45962</v>
      </c>
      <c r="L974" t="s">
        <v>2163</v>
      </c>
      <c r="M974" t="s">
        <v>1295</v>
      </c>
      <c r="O974" t="s">
        <v>248</v>
      </c>
      <c r="P974">
        <v>0</v>
      </c>
      <c r="Q974">
        <v>1</v>
      </c>
      <c r="R974">
        <v>3</v>
      </c>
      <c r="S974">
        <v>0.45</v>
      </c>
      <c r="T974">
        <v>3</v>
      </c>
      <c r="U974" t="s">
        <v>2046</v>
      </c>
      <c r="V974" t="s">
        <v>496</v>
      </c>
      <c r="W974" t="s">
        <v>496</v>
      </c>
      <c r="X974">
        <v>0.2</v>
      </c>
      <c r="Y974" t="s">
        <v>2070</v>
      </c>
      <c r="Z974" t="s">
        <v>496</v>
      </c>
      <c r="AA974">
        <v>19.75</v>
      </c>
      <c r="AB974">
        <v>8.89</v>
      </c>
      <c r="AC974">
        <v>59.25</v>
      </c>
    </row>
    <row r="975" spans="2:29" ht="15" hidden="1" customHeight="1" x14ac:dyDescent="0.15">
      <c r="B975">
        <v>4</v>
      </c>
      <c r="C975" t="s">
        <v>386</v>
      </c>
      <c r="D975" t="s">
        <v>2164</v>
      </c>
      <c r="E975">
        <v>1</v>
      </c>
      <c r="F975" t="s">
        <v>201</v>
      </c>
      <c r="G975" t="s">
        <v>337</v>
      </c>
      <c r="H975" t="s">
        <v>632</v>
      </c>
      <c r="I975">
        <v>45</v>
      </c>
      <c r="J975" s="21">
        <v>45964</v>
      </c>
      <c r="K975" s="21">
        <v>45964</v>
      </c>
      <c r="L975" t="s">
        <v>2165</v>
      </c>
      <c r="M975" t="s">
        <v>336</v>
      </c>
      <c r="O975" t="s">
        <v>282</v>
      </c>
      <c r="P975">
        <v>0</v>
      </c>
      <c r="Q975">
        <v>1</v>
      </c>
      <c r="R975">
        <v>12</v>
      </c>
      <c r="S975">
        <v>1.8</v>
      </c>
      <c r="T975">
        <v>12</v>
      </c>
      <c r="U975" t="s">
        <v>2046</v>
      </c>
      <c r="V975" t="s">
        <v>496</v>
      </c>
      <c r="W975" t="s">
        <v>496</v>
      </c>
      <c r="X975">
        <v>0.2</v>
      </c>
      <c r="Y975" t="s">
        <v>2070</v>
      </c>
      <c r="Z975" t="s">
        <v>496</v>
      </c>
      <c r="AA975">
        <v>4.8099999999999996</v>
      </c>
      <c r="AB975">
        <v>8.66</v>
      </c>
      <c r="AC975">
        <v>57.72</v>
      </c>
    </row>
    <row r="976" spans="2:29" ht="15" hidden="1" customHeight="1" x14ac:dyDescent="0.15">
      <c r="B976">
        <v>4</v>
      </c>
      <c r="C976" t="s">
        <v>386</v>
      </c>
      <c r="D976" t="s">
        <v>2164</v>
      </c>
      <c r="E976">
        <v>2</v>
      </c>
      <c r="F976" t="s">
        <v>201</v>
      </c>
      <c r="G976" t="s">
        <v>337</v>
      </c>
      <c r="H976" t="s">
        <v>1123</v>
      </c>
      <c r="I976">
        <v>45</v>
      </c>
      <c r="J976" s="21">
        <v>45964</v>
      </c>
      <c r="K976" s="21">
        <v>45964</v>
      </c>
      <c r="L976" t="s">
        <v>2166</v>
      </c>
      <c r="M976" t="s">
        <v>1125</v>
      </c>
      <c r="O976" t="s">
        <v>282</v>
      </c>
      <c r="P976">
        <v>0</v>
      </c>
      <c r="Q976">
        <v>1</v>
      </c>
      <c r="R976">
        <v>24</v>
      </c>
      <c r="S976">
        <v>3.6</v>
      </c>
      <c r="T976">
        <v>24</v>
      </c>
      <c r="U976" t="s">
        <v>2046</v>
      </c>
      <c r="V976" t="s">
        <v>496</v>
      </c>
      <c r="W976" t="s">
        <v>496</v>
      </c>
      <c r="X976">
        <v>0.2</v>
      </c>
      <c r="Y976" t="s">
        <v>2070</v>
      </c>
      <c r="Z976" t="s">
        <v>496</v>
      </c>
      <c r="AA976">
        <v>0.78</v>
      </c>
      <c r="AB976">
        <v>2.8</v>
      </c>
      <c r="AC976">
        <v>18.649999999999999</v>
      </c>
    </row>
    <row r="977" spans="2:29" ht="15" hidden="1" customHeight="1" x14ac:dyDescent="0.15">
      <c r="B977">
        <v>4</v>
      </c>
      <c r="C977" t="s">
        <v>386</v>
      </c>
      <c r="D977" t="s">
        <v>2164</v>
      </c>
      <c r="E977">
        <v>3</v>
      </c>
      <c r="F977" t="s">
        <v>201</v>
      </c>
      <c r="G977" t="s">
        <v>337</v>
      </c>
      <c r="H977" t="s">
        <v>1128</v>
      </c>
      <c r="I977">
        <v>45</v>
      </c>
      <c r="J977" s="21">
        <v>45964</v>
      </c>
      <c r="K977" s="21">
        <v>45964</v>
      </c>
      <c r="L977" t="s">
        <v>2167</v>
      </c>
      <c r="M977" t="s">
        <v>1130</v>
      </c>
      <c r="O977" t="s">
        <v>282</v>
      </c>
      <c r="P977">
        <v>0</v>
      </c>
      <c r="Q977">
        <v>1</v>
      </c>
      <c r="R977">
        <v>0.38</v>
      </c>
      <c r="S977">
        <v>5.7000000000000002E-2</v>
      </c>
      <c r="T977">
        <v>0.38</v>
      </c>
      <c r="U977" t="s">
        <v>2046</v>
      </c>
      <c r="V977" t="s">
        <v>496</v>
      </c>
      <c r="W977" t="s">
        <v>496</v>
      </c>
      <c r="X977">
        <v>0.2</v>
      </c>
      <c r="Y977" t="s">
        <v>2070</v>
      </c>
      <c r="Z977" t="s">
        <v>496</v>
      </c>
      <c r="AA977">
        <v>5.61</v>
      </c>
      <c r="AB977">
        <v>0.32</v>
      </c>
      <c r="AC977">
        <v>2.13</v>
      </c>
    </row>
    <row r="978" spans="2:29" ht="15" hidden="1" customHeight="1" x14ac:dyDescent="0.15">
      <c r="B978">
        <v>4</v>
      </c>
      <c r="C978" t="s">
        <v>386</v>
      </c>
      <c r="D978" t="s">
        <v>2164</v>
      </c>
      <c r="E978">
        <v>4</v>
      </c>
      <c r="F978" t="s">
        <v>201</v>
      </c>
      <c r="G978" t="s">
        <v>470</v>
      </c>
      <c r="H978" t="s">
        <v>471</v>
      </c>
      <c r="I978">
        <v>45</v>
      </c>
      <c r="J978" s="21">
        <v>45964</v>
      </c>
      <c r="K978" s="21">
        <v>45964</v>
      </c>
      <c r="L978" t="s">
        <v>2168</v>
      </c>
      <c r="M978" t="s">
        <v>473</v>
      </c>
      <c r="O978" t="s">
        <v>282</v>
      </c>
      <c r="P978">
        <v>0</v>
      </c>
      <c r="Q978">
        <v>1</v>
      </c>
      <c r="R978">
        <v>6</v>
      </c>
      <c r="S978">
        <v>0.9</v>
      </c>
      <c r="T978">
        <v>6</v>
      </c>
      <c r="U978" t="s">
        <v>2046</v>
      </c>
      <c r="V978" t="s">
        <v>496</v>
      </c>
      <c r="W978" t="s">
        <v>496</v>
      </c>
      <c r="X978">
        <v>0.2</v>
      </c>
      <c r="Y978" t="s">
        <v>2070</v>
      </c>
      <c r="Z978" t="s">
        <v>496</v>
      </c>
      <c r="AA978">
        <v>2.16</v>
      </c>
      <c r="AB978">
        <v>1.94</v>
      </c>
      <c r="AC978">
        <v>12.96</v>
      </c>
    </row>
    <row r="979" spans="2:29" ht="15" hidden="1" customHeight="1" x14ac:dyDescent="0.15">
      <c r="B979">
        <v>4</v>
      </c>
      <c r="C979" t="s">
        <v>386</v>
      </c>
      <c r="D979" t="s">
        <v>2164</v>
      </c>
      <c r="E979">
        <v>5</v>
      </c>
      <c r="F979" t="s">
        <v>201</v>
      </c>
      <c r="G979" t="s">
        <v>337</v>
      </c>
      <c r="H979" t="s">
        <v>1132</v>
      </c>
      <c r="I979">
        <v>45</v>
      </c>
      <c r="J979" s="21">
        <v>45964</v>
      </c>
      <c r="K979" s="21">
        <v>45964</v>
      </c>
      <c r="L979" t="s">
        <v>2169</v>
      </c>
      <c r="M979" t="s">
        <v>1134</v>
      </c>
      <c r="O979" t="s">
        <v>282</v>
      </c>
      <c r="P979">
        <v>0</v>
      </c>
      <c r="Q979">
        <v>1</v>
      </c>
      <c r="R979">
        <v>15</v>
      </c>
      <c r="S979">
        <v>2.25</v>
      </c>
      <c r="T979">
        <v>15</v>
      </c>
      <c r="U979" t="s">
        <v>2046</v>
      </c>
      <c r="V979" t="s">
        <v>496</v>
      </c>
      <c r="W979" t="s">
        <v>496</v>
      </c>
      <c r="X979">
        <v>0.2</v>
      </c>
      <c r="Y979" t="s">
        <v>2070</v>
      </c>
      <c r="Z979" t="s">
        <v>496</v>
      </c>
      <c r="AA979">
        <v>5.28</v>
      </c>
      <c r="AB979">
        <v>11.88</v>
      </c>
      <c r="AC979">
        <v>79.2</v>
      </c>
    </row>
    <row r="980" spans="2:29" ht="15" hidden="1" customHeight="1" x14ac:dyDescent="0.15">
      <c r="B980">
        <v>4</v>
      </c>
      <c r="C980" t="s">
        <v>386</v>
      </c>
      <c r="D980" t="s">
        <v>2170</v>
      </c>
      <c r="E980">
        <v>1</v>
      </c>
      <c r="F980" t="s">
        <v>201</v>
      </c>
      <c r="G980" t="s">
        <v>337</v>
      </c>
      <c r="H980" t="s">
        <v>632</v>
      </c>
      <c r="I980">
        <v>45</v>
      </c>
      <c r="J980" s="21">
        <v>45966</v>
      </c>
      <c r="K980" s="21">
        <v>45966</v>
      </c>
      <c r="L980" t="s">
        <v>2171</v>
      </c>
      <c r="M980" t="s">
        <v>336</v>
      </c>
      <c r="O980" t="s">
        <v>282</v>
      </c>
      <c r="P980">
        <v>0</v>
      </c>
      <c r="Q980">
        <v>1.67</v>
      </c>
      <c r="R980">
        <v>12</v>
      </c>
      <c r="S980">
        <v>3</v>
      </c>
      <c r="T980">
        <v>20</v>
      </c>
      <c r="U980" t="s">
        <v>2046</v>
      </c>
      <c r="V980" t="s">
        <v>496</v>
      </c>
      <c r="W980" t="s">
        <v>496</v>
      </c>
      <c r="X980">
        <v>0.2</v>
      </c>
      <c r="Y980" t="s">
        <v>2070</v>
      </c>
      <c r="Z980" t="s">
        <v>496</v>
      </c>
      <c r="AA980">
        <v>4.8099999999999996</v>
      </c>
      <c r="AB980">
        <v>14.43</v>
      </c>
      <c r="AC980">
        <v>96.2</v>
      </c>
    </row>
    <row r="981" spans="2:29" ht="15" hidden="1" customHeight="1" x14ac:dyDescent="0.15">
      <c r="B981">
        <v>4</v>
      </c>
      <c r="C981" t="s">
        <v>386</v>
      </c>
      <c r="D981" t="s">
        <v>2170</v>
      </c>
      <c r="E981">
        <v>2</v>
      </c>
      <c r="F981" t="s">
        <v>201</v>
      </c>
      <c r="G981" t="s">
        <v>337</v>
      </c>
      <c r="H981" t="s">
        <v>1123</v>
      </c>
      <c r="I981">
        <v>45</v>
      </c>
      <c r="J981" s="21">
        <v>45966</v>
      </c>
      <c r="K981" s="21">
        <v>45966</v>
      </c>
      <c r="L981" t="s">
        <v>2172</v>
      </c>
      <c r="M981" t="s">
        <v>1125</v>
      </c>
      <c r="O981" t="s">
        <v>282</v>
      </c>
      <c r="P981">
        <v>0</v>
      </c>
      <c r="Q981">
        <v>1.67</v>
      </c>
      <c r="R981">
        <v>24</v>
      </c>
      <c r="S981">
        <v>6</v>
      </c>
      <c r="T981">
        <v>40</v>
      </c>
      <c r="U981" t="s">
        <v>2046</v>
      </c>
      <c r="V981" t="s">
        <v>496</v>
      </c>
      <c r="W981" t="s">
        <v>496</v>
      </c>
      <c r="X981">
        <v>0.2</v>
      </c>
      <c r="Y981" t="s">
        <v>2070</v>
      </c>
      <c r="Z981" t="s">
        <v>496</v>
      </c>
      <c r="AA981">
        <v>0.78</v>
      </c>
      <c r="AB981">
        <v>4.66</v>
      </c>
      <c r="AC981">
        <v>31.08</v>
      </c>
    </row>
    <row r="982" spans="2:29" ht="15" hidden="1" customHeight="1" x14ac:dyDescent="0.15">
      <c r="B982">
        <v>4</v>
      </c>
      <c r="C982" t="s">
        <v>386</v>
      </c>
      <c r="D982" t="s">
        <v>2170</v>
      </c>
      <c r="E982">
        <v>3</v>
      </c>
      <c r="F982" t="s">
        <v>201</v>
      </c>
      <c r="G982" t="s">
        <v>337</v>
      </c>
      <c r="H982" t="s">
        <v>1128</v>
      </c>
      <c r="I982">
        <v>45</v>
      </c>
      <c r="J982" s="21">
        <v>45966</v>
      </c>
      <c r="K982" s="21">
        <v>45966</v>
      </c>
      <c r="L982" t="s">
        <v>2173</v>
      </c>
      <c r="M982" t="s">
        <v>1130</v>
      </c>
      <c r="O982" t="s">
        <v>282</v>
      </c>
      <c r="P982">
        <v>0</v>
      </c>
      <c r="Q982">
        <v>1.67</v>
      </c>
      <c r="R982">
        <v>0.38</v>
      </c>
      <c r="S982">
        <v>9.5000000000000001E-2</v>
      </c>
      <c r="T982">
        <v>0.63</v>
      </c>
      <c r="U982" t="s">
        <v>2046</v>
      </c>
      <c r="V982" t="s">
        <v>496</v>
      </c>
      <c r="W982" t="s">
        <v>496</v>
      </c>
      <c r="X982">
        <v>0.2</v>
      </c>
      <c r="Y982" t="s">
        <v>2070</v>
      </c>
      <c r="Z982" t="s">
        <v>496</v>
      </c>
      <c r="AA982">
        <v>5.61</v>
      </c>
      <c r="AB982">
        <v>0.53</v>
      </c>
      <c r="AC982">
        <v>3.55</v>
      </c>
    </row>
    <row r="983" spans="2:29" ht="15" hidden="1" customHeight="1" x14ac:dyDescent="0.15">
      <c r="B983">
        <v>4</v>
      </c>
      <c r="C983" t="s">
        <v>386</v>
      </c>
      <c r="D983" t="s">
        <v>2170</v>
      </c>
      <c r="E983">
        <v>4</v>
      </c>
      <c r="F983" t="s">
        <v>201</v>
      </c>
      <c r="G983" t="s">
        <v>470</v>
      </c>
      <c r="H983" t="s">
        <v>471</v>
      </c>
      <c r="I983">
        <v>45</v>
      </c>
      <c r="J983" s="21">
        <v>45966</v>
      </c>
      <c r="K983" s="21">
        <v>45966</v>
      </c>
      <c r="L983" t="s">
        <v>2174</v>
      </c>
      <c r="M983" t="s">
        <v>473</v>
      </c>
      <c r="O983" t="s">
        <v>282</v>
      </c>
      <c r="P983">
        <v>0</v>
      </c>
      <c r="Q983">
        <v>1.67</v>
      </c>
      <c r="R983">
        <v>6</v>
      </c>
      <c r="S983">
        <v>1.5</v>
      </c>
      <c r="T983">
        <v>10</v>
      </c>
      <c r="U983" t="s">
        <v>2046</v>
      </c>
      <c r="V983" t="s">
        <v>496</v>
      </c>
      <c r="W983" t="s">
        <v>496</v>
      </c>
      <c r="X983">
        <v>0.2</v>
      </c>
      <c r="Y983" t="s">
        <v>2070</v>
      </c>
      <c r="Z983" t="s">
        <v>496</v>
      </c>
      <c r="AA983">
        <v>2.16</v>
      </c>
      <c r="AB983">
        <v>3.24</v>
      </c>
      <c r="AC983">
        <v>21.6</v>
      </c>
    </row>
    <row r="984" spans="2:29" ht="15" hidden="1" customHeight="1" x14ac:dyDescent="0.15">
      <c r="B984">
        <v>4</v>
      </c>
      <c r="C984" t="s">
        <v>386</v>
      </c>
      <c r="D984" t="s">
        <v>2170</v>
      </c>
      <c r="E984">
        <v>5</v>
      </c>
      <c r="F984" t="s">
        <v>201</v>
      </c>
      <c r="G984" t="s">
        <v>337</v>
      </c>
      <c r="H984" t="s">
        <v>475</v>
      </c>
      <c r="I984">
        <v>45</v>
      </c>
      <c r="J984" s="21">
        <v>45966</v>
      </c>
      <c r="K984" s="21">
        <v>45966</v>
      </c>
      <c r="L984" t="s">
        <v>2175</v>
      </c>
      <c r="M984" t="s">
        <v>477</v>
      </c>
      <c r="O984" t="s">
        <v>282</v>
      </c>
      <c r="P984">
        <v>0</v>
      </c>
      <c r="Q984">
        <v>1.67</v>
      </c>
      <c r="R984">
        <v>15</v>
      </c>
      <c r="S984">
        <v>3.75</v>
      </c>
      <c r="T984">
        <v>25</v>
      </c>
      <c r="U984" t="s">
        <v>2046</v>
      </c>
      <c r="V984" t="s">
        <v>496</v>
      </c>
      <c r="W984" t="s">
        <v>496</v>
      </c>
      <c r="X984">
        <v>0.2</v>
      </c>
      <c r="Y984" t="s">
        <v>2070</v>
      </c>
      <c r="Z984" t="s">
        <v>496</v>
      </c>
      <c r="AA984">
        <v>4.88</v>
      </c>
      <c r="AB984">
        <v>18.3</v>
      </c>
      <c r="AC984">
        <v>122</v>
      </c>
    </row>
    <row r="985" spans="2:29" ht="15" hidden="1" customHeight="1" x14ac:dyDescent="0.15">
      <c r="B985">
        <v>4</v>
      </c>
      <c r="C985" t="s">
        <v>386</v>
      </c>
      <c r="D985" t="s">
        <v>2176</v>
      </c>
      <c r="E985">
        <v>1</v>
      </c>
      <c r="F985" t="s">
        <v>219</v>
      </c>
      <c r="G985" t="s">
        <v>231</v>
      </c>
      <c r="H985" t="s">
        <v>433</v>
      </c>
      <c r="I985">
        <v>45</v>
      </c>
      <c r="J985" s="21">
        <v>45968</v>
      </c>
      <c r="K985" s="21">
        <v>45968</v>
      </c>
      <c r="L985" t="s">
        <v>2177</v>
      </c>
      <c r="M985" t="s">
        <v>1030</v>
      </c>
      <c r="O985" t="s">
        <v>248</v>
      </c>
      <c r="P985">
        <v>0</v>
      </c>
      <c r="Q985">
        <v>0.67</v>
      </c>
      <c r="R985">
        <v>0.12</v>
      </c>
      <c r="S985">
        <v>1.2E-2</v>
      </c>
      <c r="T985">
        <v>0.08</v>
      </c>
      <c r="U985" t="s">
        <v>2046</v>
      </c>
      <c r="V985" t="s">
        <v>496</v>
      </c>
      <c r="W985" t="s">
        <v>496</v>
      </c>
      <c r="X985">
        <v>0.2</v>
      </c>
      <c r="Y985" t="s">
        <v>2178</v>
      </c>
      <c r="Z985" t="s">
        <v>496</v>
      </c>
      <c r="AA985">
        <v>21.83</v>
      </c>
      <c r="AB985">
        <v>0.26</v>
      </c>
      <c r="AC985">
        <v>1.75</v>
      </c>
    </row>
    <row r="986" spans="2:29" ht="15" hidden="1" customHeight="1" x14ac:dyDescent="0.15">
      <c r="B986">
        <v>4</v>
      </c>
      <c r="C986" t="s">
        <v>386</v>
      </c>
      <c r="D986" t="s">
        <v>2176</v>
      </c>
      <c r="E986">
        <v>2</v>
      </c>
      <c r="F986" t="s">
        <v>219</v>
      </c>
      <c r="G986" t="s">
        <v>239</v>
      </c>
      <c r="H986" t="s">
        <v>1308</v>
      </c>
      <c r="I986">
        <v>45</v>
      </c>
      <c r="J986" s="21">
        <v>45968</v>
      </c>
      <c r="K986" s="21">
        <v>45968</v>
      </c>
      <c r="L986" t="s">
        <v>2179</v>
      </c>
      <c r="M986" t="s">
        <v>1310</v>
      </c>
      <c r="O986" t="s">
        <v>248</v>
      </c>
      <c r="P986">
        <v>0</v>
      </c>
      <c r="Q986">
        <v>0.67</v>
      </c>
      <c r="R986">
        <v>0.2</v>
      </c>
      <c r="S986">
        <v>0.02</v>
      </c>
      <c r="T986">
        <v>0.13</v>
      </c>
      <c r="U986" t="s">
        <v>2046</v>
      </c>
      <c r="V986" t="s">
        <v>496</v>
      </c>
      <c r="W986" t="s">
        <v>496</v>
      </c>
      <c r="X986">
        <v>0.2</v>
      </c>
      <c r="Y986" t="s">
        <v>2178</v>
      </c>
      <c r="Z986" t="s">
        <v>496</v>
      </c>
      <c r="AA986">
        <v>182.78</v>
      </c>
      <c r="AB986">
        <v>3.66</v>
      </c>
      <c r="AC986">
        <v>24.37</v>
      </c>
    </row>
    <row r="987" spans="2:29" ht="15" hidden="1" customHeight="1" x14ac:dyDescent="0.15">
      <c r="B987">
        <v>4</v>
      </c>
      <c r="C987" t="s">
        <v>386</v>
      </c>
      <c r="D987" t="s">
        <v>2176</v>
      </c>
      <c r="E987">
        <v>3</v>
      </c>
      <c r="F987" t="s">
        <v>219</v>
      </c>
      <c r="G987" t="s">
        <v>239</v>
      </c>
      <c r="H987" t="s">
        <v>456</v>
      </c>
      <c r="I987">
        <v>45</v>
      </c>
      <c r="J987" s="21">
        <v>45968</v>
      </c>
      <c r="K987" s="21">
        <v>45968</v>
      </c>
      <c r="L987" t="s">
        <v>2180</v>
      </c>
      <c r="M987" t="s">
        <v>458</v>
      </c>
      <c r="O987" t="s">
        <v>248</v>
      </c>
      <c r="P987">
        <v>0</v>
      </c>
      <c r="Q987">
        <v>0.67</v>
      </c>
      <c r="R987">
        <v>0.5</v>
      </c>
      <c r="S987">
        <v>0.05</v>
      </c>
      <c r="T987">
        <v>0.33</v>
      </c>
      <c r="U987" t="s">
        <v>2046</v>
      </c>
      <c r="V987" t="s">
        <v>496</v>
      </c>
      <c r="W987" t="s">
        <v>496</v>
      </c>
      <c r="X987">
        <v>0.2</v>
      </c>
      <c r="Y987" t="s">
        <v>2178</v>
      </c>
      <c r="Z987" t="s">
        <v>496</v>
      </c>
      <c r="AA987">
        <v>49.99</v>
      </c>
      <c r="AB987">
        <v>2.5</v>
      </c>
      <c r="AC987">
        <v>16.66</v>
      </c>
    </row>
    <row r="988" spans="2:29" ht="15" hidden="1" customHeight="1" x14ac:dyDescent="0.15">
      <c r="B988">
        <v>4</v>
      </c>
      <c r="C988" t="s">
        <v>386</v>
      </c>
      <c r="D988" t="s">
        <v>2176</v>
      </c>
      <c r="E988">
        <v>4</v>
      </c>
      <c r="F988" t="s">
        <v>219</v>
      </c>
      <c r="G988" t="s">
        <v>239</v>
      </c>
      <c r="H988" t="s">
        <v>1695</v>
      </c>
      <c r="I988">
        <v>45</v>
      </c>
      <c r="J988" s="21">
        <v>45968</v>
      </c>
      <c r="K988" s="21">
        <v>45968</v>
      </c>
      <c r="L988" t="s">
        <v>2181</v>
      </c>
      <c r="M988" t="s">
        <v>1697</v>
      </c>
      <c r="O988" t="s">
        <v>248</v>
      </c>
      <c r="P988">
        <v>0</v>
      </c>
      <c r="Q988">
        <v>0.67</v>
      </c>
      <c r="R988">
        <v>0.5</v>
      </c>
      <c r="S988">
        <v>0.05</v>
      </c>
      <c r="T988">
        <v>0.33</v>
      </c>
      <c r="U988" t="s">
        <v>2046</v>
      </c>
      <c r="V988" t="s">
        <v>496</v>
      </c>
      <c r="W988" t="s">
        <v>496</v>
      </c>
      <c r="X988">
        <v>0.2</v>
      </c>
      <c r="Y988" t="s">
        <v>2178</v>
      </c>
      <c r="Z988" t="s">
        <v>496</v>
      </c>
      <c r="AA988">
        <v>26.7</v>
      </c>
      <c r="AB988">
        <v>1.34</v>
      </c>
      <c r="AC988">
        <v>8.9</v>
      </c>
    </row>
    <row r="989" spans="2:29" ht="15" hidden="1" customHeight="1" x14ac:dyDescent="0.15">
      <c r="B989">
        <v>4</v>
      </c>
      <c r="C989" t="s">
        <v>386</v>
      </c>
      <c r="D989" t="s">
        <v>2176</v>
      </c>
      <c r="E989">
        <v>5</v>
      </c>
      <c r="F989" t="s">
        <v>219</v>
      </c>
      <c r="G989" t="s">
        <v>239</v>
      </c>
      <c r="H989" t="s">
        <v>2182</v>
      </c>
      <c r="I989">
        <v>45</v>
      </c>
      <c r="J989" s="21">
        <v>45968</v>
      </c>
      <c r="K989" s="21">
        <v>45968</v>
      </c>
      <c r="L989" t="s">
        <v>2183</v>
      </c>
      <c r="M989" t="s">
        <v>2184</v>
      </c>
      <c r="O989" t="s">
        <v>248</v>
      </c>
      <c r="P989">
        <v>0</v>
      </c>
      <c r="Q989">
        <v>0.67</v>
      </c>
      <c r="R989">
        <v>0.5</v>
      </c>
      <c r="S989">
        <v>0.05</v>
      </c>
      <c r="T989">
        <v>0.33</v>
      </c>
      <c r="U989" t="s">
        <v>2046</v>
      </c>
      <c r="V989" t="s">
        <v>496</v>
      </c>
      <c r="W989" t="s">
        <v>496</v>
      </c>
      <c r="X989">
        <v>0.2</v>
      </c>
      <c r="Y989" t="s">
        <v>2178</v>
      </c>
      <c r="Z989" t="s">
        <v>496</v>
      </c>
      <c r="AA989">
        <v>67.209999999999994</v>
      </c>
      <c r="AB989">
        <v>3.36</v>
      </c>
      <c r="AC989">
        <v>22.4</v>
      </c>
    </row>
    <row r="990" spans="2:29" ht="15" customHeight="1" x14ac:dyDescent="0.15">
      <c r="B990">
        <v>4</v>
      </c>
      <c r="C990" t="s">
        <v>386</v>
      </c>
      <c r="D990" t="s">
        <v>2185</v>
      </c>
      <c r="E990">
        <v>1</v>
      </c>
      <c r="F990" t="s">
        <v>219</v>
      </c>
      <c r="G990" t="s">
        <v>231</v>
      </c>
      <c r="H990" t="s">
        <v>433</v>
      </c>
      <c r="I990">
        <v>45</v>
      </c>
      <c r="J990" s="21">
        <v>45968</v>
      </c>
      <c r="K990" s="21">
        <v>45971</v>
      </c>
      <c r="L990" t="s">
        <v>2186</v>
      </c>
      <c r="M990" t="s">
        <v>1030</v>
      </c>
      <c r="O990" t="s">
        <v>248</v>
      </c>
      <c r="P990">
        <v>3</v>
      </c>
      <c r="Q990">
        <v>1.5</v>
      </c>
      <c r="R990">
        <v>0.12</v>
      </c>
      <c r="S990">
        <v>0.36</v>
      </c>
      <c r="T990">
        <v>0.18</v>
      </c>
      <c r="U990" t="s">
        <v>1056</v>
      </c>
      <c r="V990" t="s">
        <v>1057</v>
      </c>
      <c r="W990" t="s">
        <v>532</v>
      </c>
      <c r="X990">
        <v>2</v>
      </c>
      <c r="Y990" t="s">
        <v>860</v>
      </c>
      <c r="Z990" t="s">
        <v>496</v>
      </c>
      <c r="AA990">
        <v>21.83</v>
      </c>
      <c r="AB990">
        <v>7.86</v>
      </c>
      <c r="AC990">
        <v>3.93</v>
      </c>
    </row>
    <row r="991" spans="2:29" ht="15" customHeight="1" x14ac:dyDescent="0.15">
      <c r="B991">
        <v>4</v>
      </c>
      <c r="C991" t="s">
        <v>386</v>
      </c>
      <c r="D991" t="s">
        <v>2185</v>
      </c>
      <c r="E991">
        <v>2</v>
      </c>
      <c r="F991" t="s">
        <v>219</v>
      </c>
      <c r="G991" t="s">
        <v>239</v>
      </c>
      <c r="H991" t="s">
        <v>861</v>
      </c>
      <c r="I991">
        <v>45</v>
      </c>
      <c r="J991" s="21">
        <v>45968</v>
      </c>
      <c r="K991" s="21">
        <v>45971</v>
      </c>
      <c r="L991" t="s">
        <v>2187</v>
      </c>
      <c r="M991" t="s">
        <v>863</v>
      </c>
      <c r="O991" t="s">
        <v>248</v>
      </c>
      <c r="P991">
        <v>3</v>
      </c>
      <c r="Q991">
        <v>1.5</v>
      </c>
      <c r="R991">
        <v>3</v>
      </c>
      <c r="S991">
        <v>9</v>
      </c>
      <c r="T991">
        <v>4.5</v>
      </c>
      <c r="U991" t="s">
        <v>1056</v>
      </c>
      <c r="V991" t="s">
        <v>1057</v>
      </c>
      <c r="W991" t="s">
        <v>532</v>
      </c>
      <c r="X991">
        <v>2</v>
      </c>
      <c r="Y991" t="s">
        <v>860</v>
      </c>
      <c r="Z991" t="s">
        <v>496</v>
      </c>
      <c r="AA991">
        <v>29.14</v>
      </c>
      <c r="AB991">
        <v>262.26</v>
      </c>
      <c r="AC991">
        <v>131.13</v>
      </c>
    </row>
    <row r="992" spans="2:29" ht="15" customHeight="1" x14ac:dyDescent="0.15">
      <c r="B992">
        <v>4</v>
      </c>
      <c r="C992" t="s">
        <v>386</v>
      </c>
      <c r="D992" t="s">
        <v>2185</v>
      </c>
      <c r="E992">
        <v>3</v>
      </c>
      <c r="F992" t="s">
        <v>219</v>
      </c>
      <c r="G992" t="s">
        <v>218</v>
      </c>
      <c r="H992" t="s">
        <v>908</v>
      </c>
      <c r="I992">
        <v>45</v>
      </c>
      <c r="J992" s="21">
        <v>45968</v>
      </c>
      <c r="K992" s="21">
        <v>45971</v>
      </c>
      <c r="L992" t="s">
        <v>2188</v>
      </c>
      <c r="M992" t="s">
        <v>1027</v>
      </c>
      <c r="O992" t="s">
        <v>248</v>
      </c>
      <c r="P992">
        <v>3</v>
      </c>
      <c r="Q992">
        <v>1.5</v>
      </c>
      <c r="R992">
        <v>0.2</v>
      </c>
      <c r="S992">
        <v>0.6</v>
      </c>
      <c r="T992">
        <v>0.3</v>
      </c>
      <c r="U992" t="s">
        <v>1056</v>
      </c>
      <c r="V992" t="s">
        <v>1057</v>
      </c>
      <c r="W992" t="s">
        <v>532</v>
      </c>
      <c r="X992">
        <v>2</v>
      </c>
      <c r="Y992" t="s">
        <v>860</v>
      </c>
      <c r="Z992" t="s">
        <v>496</v>
      </c>
      <c r="AA992">
        <v>31.3</v>
      </c>
      <c r="AB992">
        <v>18.78</v>
      </c>
      <c r="AC992">
        <v>9.39</v>
      </c>
    </row>
    <row r="993" spans="2:29" ht="15" customHeight="1" x14ac:dyDescent="0.15">
      <c r="B993">
        <v>4</v>
      </c>
      <c r="C993" t="s">
        <v>386</v>
      </c>
      <c r="D993" t="s">
        <v>2185</v>
      </c>
      <c r="E993">
        <v>4</v>
      </c>
      <c r="F993" t="s">
        <v>219</v>
      </c>
      <c r="G993" t="s">
        <v>239</v>
      </c>
      <c r="H993" t="s">
        <v>456</v>
      </c>
      <c r="I993">
        <v>45</v>
      </c>
      <c r="J993" s="21">
        <v>45968</v>
      </c>
      <c r="K993" s="21">
        <v>45971</v>
      </c>
      <c r="L993" t="s">
        <v>2189</v>
      </c>
      <c r="M993" t="s">
        <v>458</v>
      </c>
      <c r="O993" t="s">
        <v>248</v>
      </c>
      <c r="P993">
        <v>3</v>
      </c>
      <c r="Q993">
        <v>1.5</v>
      </c>
      <c r="R993">
        <v>0.5</v>
      </c>
      <c r="S993">
        <v>1.5</v>
      </c>
      <c r="T993">
        <v>0.75</v>
      </c>
      <c r="U993" t="s">
        <v>1056</v>
      </c>
      <c r="V993" t="s">
        <v>1057</v>
      </c>
      <c r="W993" t="s">
        <v>532</v>
      </c>
      <c r="X993">
        <v>2</v>
      </c>
      <c r="Y993" t="s">
        <v>860</v>
      </c>
      <c r="Z993" t="s">
        <v>496</v>
      </c>
      <c r="AA993">
        <v>49.99</v>
      </c>
      <c r="AB993">
        <v>74.989999999999995</v>
      </c>
      <c r="AC993">
        <v>37.49</v>
      </c>
    </row>
    <row r="994" spans="2:29" ht="15" customHeight="1" x14ac:dyDescent="0.15">
      <c r="B994">
        <v>4</v>
      </c>
      <c r="C994" t="s">
        <v>386</v>
      </c>
      <c r="D994" t="s">
        <v>2185</v>
      </c>
      <c r="E994">
        <v>5</v>
      </c>
      <c r="F994" t="s">
        <v>219</v>
      </c>
      <c r="G994" t="s">
        <v>244</v>
      </c>
      <c r="H994" t="s">
        <v>1605</v>
      </c>
      <c r="I994">
        <v>45</v>
      </c>
      <c r="J994" s="21">
        <v>45968</v>
      </c>
      <c r="K994" s="21">
        <v>45971</v>
      </c>
      <c r="L994" t="s">
        <v>2190</v>
      </c>
      <c r="M994" t="s">
        <v>295</v>
      </c>
      <c r="O994" t="s">
        <v>248</v>
      </c>
      <c r="P994">
        <v>3</v>
      </c>
      <c r="Q994">
        <v>1.5</v>
      </c>
      <c r="R994">
        <v>0.5</v>
      </c>
      <c r="S994">
        <v>1.5</v>
      </c>
      <c r="T994">
        <v>0.75</v>
      </c>
      <c r="U994" t="s">
        <v>1056</v>
      </c>
      <c r="V994" t="s">
        <v>1057</v>
      </c>
      <c r="W994" t="s">
        <v>532</v>
      </c>
      <c r="X994">
        <v>2</v>
      </c>
      <c r="Y994" t="s">
        <v>860</v>
      </c>
      <c r="Z994" t="s">
        <v>496</v>
      </c>
      <c r="AA994">
        <v>77.31</v>
      </c>
      <c r="AB994">
        <v>115.97</v>
      </c>
      <c r="AC994">
        <v>57.98</v>
      </c>
    </row>
    <row r="995" spans="2:29" ht="15" customHeight="1" x14ac:dyDescent="0.15">
      <c r="B995">
        <v>4</v>
      </c>
      <c r="C995" t="s">
        <v>386</v>
      </c>
      <c r="D995" t="s">
        <v>2191</v>
      </c>
      <c r="E995">
        <v>1</v>
      </c>
      <c r="F995" t="s">
        <v>219</v>
      </c>
      <c r="G995" t="s">
        <v>231</v>
      </c>
      <c r="H995" t="s">
        <v>433</v>
      </c>
      <c r="I995">
        <v>45</v>
      </c>
      <c r="J995" s="21">
        <v>45968</v>
      </c>
      <c r="K995" s="21">
        <v>45969</v>
      </c>
      <c r="L995" t="s">
        <v>2192</v>
      </c>
      <c r="M995" t="s">
        <v>1030</v>
      </c>
      <c r="O995" t="s">
        <v>248</v>
      </c>
      <c r="P995">
        <v>3</v>
      </c>
      <c r="Q995">
        <v>1.5</v>
      </c>
      <c r="R995">
        <v>0.12</v>
      </c>
      <c r="S995">
        <v>0.36</v>
      </c>
      <c r="T995">
        <v>0.18</v>
      </c>
      <c r="U995" t="s">
        <v>1050</v>
      </c>
      <c r="V995" t="s">
        <v>847</v>
      </c>
      <c r="W995" t="s">
        <v>532</v>
      </c>
      <c r="X995">
        <v>2</v>
      </c>
      <c r="Y995" t="s">
        <v>860</v>
      </c>
      <c r="Z995" t="s">
        <v>496</v>
      </c>
      <c r="AA995">
        <v>21.83</v>
      </c>
      <c r="AB995">
        <v>7.86</v>
      </c>
      <c r="AC995">
        <v>3.93</v>
      </c>
    </row>
    <row r="996" spans="2:29" ht="15" customHeight="1" x14ac:dyDescent="0.15">
      <c r="B996">
        <v>4</v>
      </c>
      <c r="C996" t="s">
        <v>386</v>
      </c>
      <c r="D996" t="s">
        <v>2191</v>
      </c>
      <c r="E996">
        <v>2</v>
      </c>
      <c r="F996" t="s">
        <v>219</v>
      </c>
      <c r="G996" t="s">
        <v>218</v>
      </c>
      <c r="H996" t="s">
        <v>908</v>
      </c>
      <c r="I996">
        <v>45</v>
      </c>
      <c r="J996" s="21">
        <v>45968</v>
      </c>
      <c r="K996" s="21">
        <v>45969</v>
      </c>
      <c r="L996" t="s">
        <v>2193</v>
      </c>
      <c r="M996" t="s">
        <v>1027</v>
      </c>
      <c r="O996" t="s">
        <v>248</v>
      </c>
      <c r="P996">
        <v>3</v>
      </c>
      <c r="Q996">
        <v>1.5</v>
      </c>
      <c r="R996">
        <v>0.2</v>
      </c>
      <c r="S996">
        <v>0.6</v>
      </c>
      <c r="T996">
        <v>0.3</v>
      </c>
      <c r="U996" t="s">
        <v>1050</v>
      </c>
      <c r="V996" t="s">
        <v>847</v>
      </c>
      <c r="W996" t="s">
        <v>532</v>
      </c>
      <c r="X996">
        <v>2</v>
      </c>
      <c r="Y996" t="s">
        <v>860</v>
      </c>
      <c r="Z996" t="s">
        <v>496</v>
      </c>
      <c r="AA996">
        <v>31.3</v>
      </c>
      <c r="AB996">
        <v>18.78</v>
      </c>
      <c r="AC996">
        <v>9.39</v>
      </c>
    </row>
    <row r="997" spans="2:29" ht="15" customHeight="1" x14ac:dyDescent="0.15">
      <c r="B997">
        <v>4</v>
      </c>
      <c r="C997" t="s">
        <v>386</v>
      </c>
      <c r="D997" t="s">
        <v>2191</v>
      </c>
      <c r="E997">
        <v>3</v>
      </c>
      <c r="F997" t="s">
        <v>219</v>
      </c>
      <c r="G997" t="s">
        <v>239</v>
      </c>
      <c r="H997" t="s">
        <v>861</v>
      </c>
      <c r="I997">
        <v>45</v>
      </c>
      <c r="J997" s="21">
        <v>45968</v>
      </c>
      <c r="K997" s="21">
        <v>45969</v>
      </c>
      <c r="L997" t="s">
        <v>2194</v>
      </c>
      <c r="M997" t="s">
        <v>863</v>
      </c>
      <c r="O997" t="s">
        <v>248</v>
      </c>
      <c r="P997">
        <v>3</v>
      </c>
      <c r="Q997">
        <v>1.5</v>
      </c>
      <c r="R997">
        <v>3</v>
      </c>
      <c r="S997">
        <v>9</v>
      </c>
      <c r="T997">
        <v>4.5</v>
      </c>
      <c r="U997" t="s">
        <v>1050</v>
      </c>
      <c r="V997" t="s">
        <v>847</v>
      </c>
      <c r="W997" t="s">
        <v>532</v>
      </c>
      <c r="X997">
        <v>2</v>
      </c>
      <c r="Y997" t="s">
        <v>860</v>
      </c>
      <c r="Z997" t="s">
        <v>496</v>
      </c>
      <c r="AA997">
        <v>29.14</v>
      </c>
      <c r="AB997">
        <v>262.26</v>
      </c>
      <c r="AC997">
        <v>131.13</v>
      </c>
    </row>
    <row r="998" spans="2:29" ht="15" customHeight="1" x14ac:dyDescent="0.15">
      <c r="B998">
        <v>4</v>
      </c>
      <c r="C998" t="s">
        <v>386</v>
      </c>
      <c r="D998" t="s">
        <v>2191</v>
      </c>
      <c r="E998">
        <v>4</v>
      </c>
      <c r="F998" t="s">
        <v>219</v>
      </c>
      <c r="G998" t="s">
        <v>244</v>
      </c>
      <c r="H998" t="s">
        <v>571</v>
      </c>
      <c r="I998">
        <v>45</v>
      </c>
      <c r="J998" s="21">
        <v>45968</v>
      </c>
      <c r="K998" s="21">
        <v>45969</v>
      </c>
      <c r="L998" t="s">
        <v>2195</v>
      </c>
      <c r="M998" t="s">
        <v>573</v>
      </c>
      <c r="O998" t="s">
        <v>248</v>
      </c>
      <c r="P998">
        <v>3</v>
      </c>
      <c r="Q998">
        <v>1.5</v>
      </c>
      <c r="R998">
        <v>0.5</v>
      </c>
      <c r="S998">
        <v>1.5</v>
      </c>
      <c r="T998">
        <v>0.75</v>
      </c>
      <c r="U998" t="s">
        <v>1050</v>
      </c>
      <c r="V998" t="s">
        <v>847</v>
      </c>
      <c r="W998" t="s">
        <v>532</v>
      </c>
      <c r="X998">
        <v>2</v>
      </c>
      <c r="Y998" t="s">
        <v>860</v>
      </c>
      <c r="Z998" t="s">
        <v>496</v>
      </c>
      <c r="AA998">
        <v>73.98</v>
      </c>
      <c r="AB998">
        <v>110.97</v>
      </c>
      <c r="AC998">
        <v>55.49</v>
      </c>
    </row>
    <row r="999" spans="2:29" ht="15" customHeight="1" x14ac:dyDescent="0.15">
      <c r="B999">
        <v>4</v>
      </c>
      <c r="C999" t="s">
        <v>386</v>
      </c>
      <c r="D999" t="s">
        <v>2196</v>
      </c>
      <c r="E999">
        <v>1</v>
      </c>
      <c r="F999" t="s">
        <v>219</v>
      </c>
      <c r="G999" t="s">
        <v>231</v>
      </c>
      <c r="H999" t="s">
        <v>433</v>
      </c>
      <c r="I999">
        <v>46</v>
      </c>
      <c r="J999" s="21">
        <v>45972</v>
      </c>
      <c r="K999" s="21">
        <v>45972</v>
      </c>
      <c r="L999" t="s">
        <v>2197</v>
      </c>
      <c r="M999" t="s">
        <v>1030</v>
      </c>
      <c r="O999" t="s">
        <v>248</v>
      </c>
      <c r="P999">
        <v>3</v>
      </c>
      <c r="Q999">
        <v>1.47</v>
      </c>
      <c r="R999">
        <v>0.12</v>
      </c>
      <c r="S999">
        <v>0.3</v>
      </c>
      <c r="T999">
        <v>0.18</v>
      </c>
      <c r="U999" t="s">
        <v>1246</v>
      </c>
      <c r="V999" t="s">
        <v>1247</v>
      </c>
      <c r="W999" t="s">
        <v>532</v>
      </c>
      <c r="X999">
        <v>1.7</v>
      </c>
      <c r="Y999" t="s">
        <v>2198</v>
      </c>
      <c r="Z999" t="s">
        <v>496</v>
      </c>
      <c r="AA999">
        <v>21.83</v>
      </c>
      <c r="AB999">
        <v>6.55</v>
      </c>
      <c r="AC999">
        <v>3.85</v>
      </c>
    </row>
    <row r="1000" spans="2:29" ht="15" customHeight="1" x14ac:dyDescent="0.15">
      <c r="B1000">
        <v>4</v>
      </c>
      <c r="C1000" t="s">
        <v>386</v>
      </c>
      <c r="D1000" t="s">
        <v>2196</v>
      </c>
      <c r="E1000">
        <v>2</v>
      </c>
      <c r="F1000" t="s">
        <v>219</v>
      </c>
      <c r="G1000" t="s">
        <v>218</v>
      </c>
      <c r="H1000" t="s">
        <v>908</v>
      </c>
      <c r="I1000">
        <v>46</v>
      </c>
      <c r="J1000" s="21">
        <v>45972</v>
      </c>
      <c r="K1000" s="21">
        <v>45972</v>
      </c>
      <c r="L1000" t="s">
        <v>2199</v>
      </c>
      <c r="M1000" t="s">
        <v>1027</v>
      </c>
      <c r="O1000" t="s">
        <v>248</v>
      </c>
      <c r="P1000">
        <v>1</v>
      </c>
      <c r="Q1000">
        <v>0.59</v>
      </c>
      <c r="R1000">
        <v>0.3</v>
      </c>
      <c r="S1000">
        <v>0.3</v>
      </c>
      <c r="T1000">
        <v>0.18</v>
      </c>
      <c r="U1000" t="s">
        <v>1246</v>
      </c>
      <c r="V1000" t="s">
        <v>1247</v>
      </c>
      <c r="W1000" t="s">
        <v>532</v>
      </c>
      <c r="X1000">
        <v>1.7</v>
      </c>
      <c r="Y1000" t="s">
        <v>2198</v>
      </c>
      <c r="Z1000" t="s">
        <v>496</v>
      </c>
      <c r="AA1000">
        <v>31.3</v>
      </c>
      <c r="AB1000">
        <v>9.39</v>
      </c>
      <c r="AC1000">
        <v>5.52</v>
      </c>
    </row>
    <row r="1001" spans="2:29" ht="15" customHeight="1" x14ac:dyDescent="0.15">
      <c r="B1001">
        <v>4</v>
      </c>
      <c r="C1001" t="s">
        <v>386</v>
      </c>
      <c r="D1001" t="s">
        <v>2196</v>
      </c>
      <c r="E1001">
        <v>3</v>
      </c>
      <c r="F1001" t="s">
        <v>219</v>
      </c>
      <c r="G1001" t="s">
        <v>239</v>
      </c>
      <c r="H1001" t="s">
        <v>861</v>
      </c>
      <c r="I1001">
        <v>46</v>
      </c>
      <c r="J1001" s="21">
        <v>45972</v>
      </c>
      <c r="K1001" s="21">
        <v>45972</v>
      </c>
      <c r="L1001" t="s">
        <v>2200</v>
      </c>
      <c r="M1001" t="s">
        <v>863</v>
      </c>
      <c r="O1001" t="s">
        <v>248</v>
      </c>
      <c r="P1001">
        <v>2</v>
      </c>
      <c r="Q1001">
        <v>0.88</v>
      </c>
      <c r="R1001">
        <v>2</v>
      </c>
      <c r="S1001">
        <v>3</v>
      </c>
      <c r="T1001">
        <v>1.76</v>
      </c>
      <c r="U1001" t="s">
        <v>1246</v>
      </c>
      <c r="V1001" t="s">
        <v>1247</v>
      </c>
      <c r="W1001" t="s">
        <v>532</v>
      </c>
      <c r="X1001">
        <v>1.7</v>
      </c>
      <c r="Y1001" t="s">
        <v>2198</v>
      </c>
      <c r="Z1001" t="s">
        <v>496</v>
      </c>
      <c r="AA1001">
        <v>29.14</v>
      </c>
      <c r="AB1001">
        <v>87.42</v>
      </c>
      <c r="AC1001">
        <v>51.42</v>
      </c>
    </row>
    <row r="1002" spans="2:29" ht="15" customHeight="1" x14ac:dyDescent="0.15">
      <c r="B1002">
        <v>4</v>
      </c>
      <c r="C1002" t="s">
        <v>386</v>
      </c>
      <c r="D1002" t="s">
        <v>2196</v>
      </c>
      <c r="E1002">
        <v>4</v>
      </c>
      <c r="F1002" t="s">
        <v>219</v>
      </c>
      <c r="G1002" t="s">
        <v>244</v>
      </c>
      <c r="H1002" t="s">
        <v>571</v>
      </c>
      <c r="I1002">
        <v>46</v>
      </c>
      <c r="J1002" s="21">
        <v>45972</v>
      </c>
      <c r="K1002" s="21">
        <v>45972</v>
      </c>
      <c r="L1002" t="s">
        <v>2201</v>
      </c>
      <c r="M1002" t="s">
        <v>573</v>
      </c>
      <c r="O1002" t="s">
        <v>248</v>
      </c>
      <c r="P1002">
        <v>3</v>
      </c>
      <c r="Q1002">
        <v>1.47</v>
      </c>
      <c r="R1002">
        <v>0.5</v>
      </c>
      <c r="S1002">
        <v>1.25</v>
      </c>
      <c r="T1002">
        <v>0.74</v>
      </c>
      <c r="U1002" t="s">
        <v>1246</v>
      </c>
      <c r="V1002" t="s">
        <v>1247</v>
      </c>
      <c r="W1002" t="s">
        <v>532</v>
      </c>
      <c r="X1002">
        <v>1.7</v>
      </c>
      <c r="Y1002" t="s">
        <v>2198</v>
      </c>
      <c r="Z1002" t="s">
        <v>496</v>
      </c>
      <c r="AA1002">
        <v>73.98</v>
      </c>
      <c r="AB1002">
        <v>92.48</v>
      </c>
      <c r="AC1002">
        <v>54.4</v>
      </c>
    </row>
    <row r="1003" spans="2:29" ht="15" customHeight="1" x14ac:dyDescent="0.15">
      <c r="B1003">
        <v>4</v>
      </c>
      <c r="C1003" t="s">
        <v>386</v>
      </c>
      <c r="D1003" t="s">
        <v>2196</v>
      </c>
      <c r="E1003">
        <v>5</v>
      </c>
      <c r="F1003" t="s">
        <v>219</v>
      </c>
      <c r="G1003" t="s">
        <v>239</v>
      </c>
      <c r="H1003" t="s">
        <v>456</v>
      </c>
      <c r="I1003">
        <v>46</v>
      </c>
      <c r="J1003" s="21">
        <v>45972</v>
      </c>
      <c r="K1003" s="21">
        <v>45972</v>
      </c>
      <c r="L1003" t="s">
        <v>2202</v>
      </c>
      <c r="M1003" t="s">
        <v>458</v>
      </c>
      <c r="O1003" t="s">
        <v>248</v>
      </c>
      <c r="P1003">
        <v>3</v>
      </c>
      <c r="Q1003">
        <v>1.47</v>
      </c>
      <c r="R1003">
        <v>2</v>
      </c>
      <c r="S1003">
        <v>5</v>
      </c>
      <c r="T1003">
        <v>2.94</v>
      </c>
      <c r="U1003" t="s">
        <v>1246</v>
      </c>
      <c r="V1003" t="s">
        <v>1247</v>
      </c>
      <c r="W1003" t="s">
        <v>532</v>
      </c>
      <c r="X1003">
        <v>1.7</v>
      </c>
      <c r="Y1003" t="s">
        <v>2198</v>
      </c>
      <c r="Z1003" t="s">
        <v>496</v>
      </c>
      <c r="AA1003">
        <v>49.99</v>
      </c>
      <c r="AB1003">
        <v>249.95</v>
      </c>
      <c r="AC1003">
        <v>147.03</v>
      </c>
    </row>
    <row r="1004" spans="2:29" ht="15" customHeight="1" x14ac:dyDescent="0.15">
      <c r="B1004">
        <v>4</v>
      </c>
      <c r="C1004" t="s">
        <v>386</v>
      </c>
      <c r="D1004" t="s">
        <v>2196</v>
      </c>
      <c r="E1004">
        <v>6</v>
      </c>
      <c r="F1004" t="s">
        <v>219</v>
      </c>
      <c r="G1004" t="s">
        <v>218</v>
      </c>
      <c r="H1004" t="s">
        <v>616</v>
      </c>
      <c r="I1004">
        <v>46</v>
      </c>
      <c r="J1004" s="21">
        <v>45972</v>
      </c>
      <c r="K1004" s="21">
        <v>45972</v>
      </c>
      <c r="L1004" t="s">
        <v>2203</v>
      </c>
      <c r="M1004" t="s">
        <v>618</v>
      </c>
      <c r="O1004" t="s">
        <v>248</v>
      </c>
      <c r="P1004">
        <v>2</v>
      </c>
      <c r="Q1004">
        <v>0.88</v>
      </c>
      <c r="R1004">
        <v>0.2</v>
      </c>
      <c r="S1004">
        <v>0.3</v>
      </c>
      <c r="T1004">
        <v>0.18</v>
      </c>
      <c r="U1004" t="s">
        <v>1246</v>
      </c>
      <c r="V1004" t="s">
        <v>1247</v>
      </c>
      <c r="W1004" t="s">
        <v>532</v>
      </c>
      <c r="X1004">
        <v>1.7</v>
      </c>
      <c r="Y1004" t="s">
        <v>2198</v>
      </c>
      <c r="Z1004" t="s">
        <v>496</v>
      </c>
      <c r="AA1004">
        <v>96.41</v>
      </c>
      <c r="AB1004">
        <v>28.92</v>
      </c>
      <c r="AC1004">
        <v>17.010000000000002</v>
      </c>
    </row>
    <row r="1005" spans="2:29" ht="15" customHeight="1" x14ac:dyDescent="0.15">
      <c r="B1005">
        <v>4</v>
      </c>
      <c r="C1005" t="s">
        <v>386</v>
      </c>
      <c r="D1005" t="s">
        <v>2196</v>
      </c>
      <c r="E1005">
        <v>7</v>
      </c>
      <c r="F1005" t="s">
        <v>219</v>
      </c>
      <c r="G1005" t="s">
        <v>239</v>
      </c>
      <c r="H1005" t="s">
        <v>1308</v>
      </c>
      <c r="I1005">
        <v>46</v>
      </c>
      <c r="J1005" s="21">
        <v>45972</v>
      </c>
      <c r="K1005" s="21">
        <v>45972</v>
      </c>
      <c r="L1005" t="s">
        <v>2204</v>
      </c>
      <c r="M1005" t="s">
        <v>2205</v>
      </c>
      <c r="O1005" t="s">
        <v>248</v>
      </c>
      <c r="P1005">
        <v>1</v>
      </c>
      <c r="Q1005">
        <v>0.59</v>
      </c>
      <c r="R1005">
        <v>1</v>
      </c>
      <c r="S1005">
        <v>1</v>
      </c>
      <c r="T1005">
        <v>0.59</v>
      </c>
      <c r="U1005" t="s">
        <v>1246</v>
      </c>
      <c r="V1005" t="s">
        <v>1247</v>
      </c>
      <c r="W1005" t="s">
        <v>532</v>
      </c>
      <c r="X1005">
        <v>1.7</v>
      </c>
      <c r="Y1005" t="s">
        <v>2198</v>
      </c>
      <c r="Z1005" t="s">
        <v>496</v>
      </c>
      <c r="AA1005">
        <v>0</v>
      </c>
      <c r="AB1005">
        <v>0</v>
      </c>
      <c r="AC1005">
        <v>0</v>
      </c>
    </row>
    <row r="1006" spans="2:29" ht="15" hidden="1" customHeight="1" x14ac:dyDescent="0.15">
      <c r="B1006">
        <v>4</v>
      </c>
      <c r="C1006" t="s">
        <v>386</v>
      </c>
      <c r="D1006" t="s">
        <v>2206</v>
      </c>
      <c r="E1006">
        <v>1</v>
      </c>
      <c r="F1006" t="s">
        <v>219</v>
      </c>
      <c r="G1006" t="s">
        <v>239</v>
      </c>
      <c r="H1006" t="s">
        <v>551</v>
      </c>
      <c r="I1006">
        <v>46</v>
      </c>
      <c r="J1006" s="21">
        <v>45974</v>
      </c>
      <c r="K1006" s="21">
        <v>45974</v>
      </c>
      <c r="L1006" t="s">
        <v>2207</v>
      </c>
      <c r="M1006" t="s">
        <v>1165</v>
      </c>
      <c r="O1006" t="s">
        <v>248</v>
      </c>
      <c r="P1006">
        <v>1</v>
      </c>
      <c r="Q1006">
        <v>0.22</v>
      </c>
      <c r="R1006">
        <v>0.5</v>
      </c>
      <c r="S1006">
        <v>0.5</v>
      </c>
      <c r="T1006">
        <v>0.11</v>
      </c>
      <c r="U1006" t="s">
        <v>2208</v>
      </c>
      <c r="V1006" t="s">
        <v>496</v>
      </c>
      <c r="W1006" t="s">
        <v>496</v>
      </c>
      <c r="X1006">
        <v>4.5</v>
      </c>
      <c r="Y1006" t="s">
        <v>2209</v>
      </c>
      <c r="Z1006" t="s">
        <v>496</v>
      </c>
      <c r="AA1006">
        <v>57.53</v>
      </c>
      <c r="AB1006">
        <v>28.76</v>
      </c>
      <c r="AC1006">
        <v>6.39</v>
      </c>
    </row>
    <row r="1007" spans="2:29" ht="15" hidden="1" customHeight="1" x14ac:dyDescent="0.15">
      <c r="B1007">
        <v>4</v>
      </c>
      <c r="C1007" t="s">
        <v>386</v>
      </c>
      <c r="D1007" t="s">
        <v>2206</v>
      </c>
      <c r="E1007">
        <v>2</v>
      </c>
      <c r="F1007" t="s">
        <v>219</v>
      </c>
      <c r="G1007" t="s">
        <v>244</v>
      </c>
      <c r="H1007" t="s">
        <v>877</v>
      </c>
      <c r="I1007">
        <v>46</v>
      </c>
      <c r="J1007" s="21">
        <v>45974</v>
      </c>
      <c r="K1007" s="21">
        <v>45974</v>
      </c>
      <c r="L1007" t="s">
        <v>2210</v>
      </c>
      <c r="M1007" t="s">
        <v>895</v>
      </c>
      <c r="O1007" t="s">
        <v>282</v>
      </c>
      <c r="P1007">
        <v>1</v>
      </c>
      <c r="Q1007">
        <v>0.22</v>
      </c>
      <c r="R1007">
        <v>0.22500000000000001</v>
      </c>
      <c r="S1007">
        <v>0.22500000000000001</v>
      </c>
      <c r="T1007">
        <v>0.05</v>
      </c>
      <c r="U1007" t="s">
        <v>2208</v>
      </c>
      <c r="V1007" t="s">
        <v>496</v>
      </c>
      <c r="W1007" t="s">
        <v>496</v>
      </c>
      <c r="X1007">
        <v>4.5</v>
      </c>
      <c r="Y1007" t="s">
        <v>2209</v>
      </c>
      <c r="Z1007" t="s">
        <v>496</v>
      </c>
      <c r="AA1007" s="22">
        <v>1239.5</v>
      </c>
      <c r="AB1007">
        <v>278.89</v>
      </c>
      <c r="AC1007">
        <v>61.98</v>
      </c>
    </row>
    <row r="1008" spans="2:29" ht="15" hidden="1" customHeight="1" x14ac:dyDescent="0.15">
      <c r="B1008">
        <v>4</v>
      </c>
      <c r="C1008" t="s">
        <v>386</v>
      </c>
      <c r="D1008" t="s">
        <v>2211</v>
      </c>
      <c r="E1008">
        <v>1</v>
      </c>
      <c r="F1008" t="s">
        <v>219</v>
      </c>
      <c r="G1008" t="s">
        <v>218</v>
      </c>
      <c r="H1008" t="s">
        <v>2043</v>
      </c>
      <c r="I1008">
        <v>46</v>
      </c>
      <c r="J1008" s="21">
        <v>45974</v>
      </c>
      <c r="K1008" s="21">
        <v>45974</v>
      </c>
      <c r="L1008" t="s">
        <v>2212</v>
      </c>
      <c r="M1008" t="s">
        <v>2045</v>
      </c>
      <c r="O1008" t="s">
        <v>282</v>
      </c>
      <c r="P1008">
        <v>5</v>
      </c>
      <c r="Q1008">
        <v>1</v>
      </c>
      <c r="R1008">
        <v>10</v>
      </c>
      <c r="S1008">
        <v>45</v>
      </c>
      <c r="T1008">
        <v>10</v>
      </c>
      <c r="U1008" t="s">
        <v>2208</v>
      </c>
      <c r="V1008" t="s">
        <v>496</v>
      </c>
      <c r="W1008" t="s">
        <v>496</v>
      </c>
      <c r="X1008">
        <v>4.5</v>
      </c>
      <c r="Y1008" t="s">
        <v>2213</v>
      </c>
      <c r="Z1008" t="s">
        <v>496</v>
      </c>
      <c r="AA1008">
        <v>0.92</v>
      </c>
      <c r="AB1008">
        <v>41.4</v>
      </c>
      <c r="AC1008">
        <v>9.1999999999999993</v>
      </c>
    </row>
    <row r="1009" spans="2:29" ht="15" hidden="1" customHeight="1" x14ac:dyDescent="0.15">
      <c r="B1009">
        <v>4</v>
      </c>
      <c r="C1009" t="s">
        <v>386</v>
      </c>
      <c r="D1009" t="s">
        <v>2211</v>
      </c>
      <c r="E1009">
        <v>2</v>
      </c>
      <c r="F1009" t="s">
        <v>219</v>
      </c>
      <c r="G1009" t="s">
        <v>218</v>
      </c>
      <c r="H1009" t="s">
        <v>1018</v>
      </c>
      <c r="I1009">
        <v>46</v>
      </c>
      <c r="J1009" s="21">
        <v>45974</v>
      </c>
      <c r="K1009" s="21">
        <v>45974</v>
      </c>
      <c r="L1009" t="s">
        <v>2214</v>
      </c>
      <c r="M1009" t="s">
        <v>1020</v>
      </c>
      <c r="O1009" t="s">
        <v>248</v>
      </c>
      <c r="P1009">
        <v>5</v>
      </c>
      <c r="Q1009">
        <v>1</v>
      </c>
      <c r="R1009">
        <v>0.2</v>
      </c>
      <c r="S1009">
        <v>0.9</v>
      </c>
      <c r="T1009">
        <v>0.2</v>
      </c>
      <c r="U1009" t="s">
        <v>2208</v>
      </c>
      <c r="V1009" t="s">
        <v>496</v>
      </c>
      <c r="W1009" t="s">
        <v>496</v>
      </c>
      <c r="X1009">
        <v>4.5</v>
      </c>
      <c r="Y1009" t="s">
        <v>2213</v>
      </c>
      <c r="Z1009" t="s">
        <v>496</v>
      </c>
      <c r="AA1009">
        <v>85.01</v>
      </c>
      <c r="AB1009">
        <v>76.510000000000005</v>
      </c>
      <c r="AC1009">
        <v>17</v>
      </c>
    </row>
    <row r="1010" spans="2:29" ht="15" hidden="1" customHeight="1" x14ac:dyDescent="0.15">
      <c r="B1010">
        <v>4</v>
      </c>
      <c r="C1010" t="s">
        <v>386</v>
      </c>
      <c r="D1010" t="s">
        <v>2211</v>
      </c>
      <c r="E1010">
        <v>3</v>
      </c>
      <c r="F1010" t="s">
        <v>219</v>
      </c>
      <c r="G1010" t="s">
        <v>218</v>
      </c>
      <c r="H1010" t="s">
        <v>667</v>
      </c>
      <c r="I1010">
        <v>46</v>
      </c>
      <c r="J1010" s="21">
        <v>45974</v>
      </c>
      <c r="K1010" s="21">
        <v>45974</v>
      </c>
      <c r="L1010" t="s">
        <v>2215</v>
      </c>
      <c r="M1010" t="s">
        <v>355</v>
      </c>
      <c r="O1010" t="s">
        <v>282</v>
      </c>
      <c r="P1010">
        <v>5</v>
      </c>
      <c r="Q1010">
        <v>1</v>
      </c>
      <c r="R1010">
        <v>2</v>
      </c>
      <c r="S1010">
        <v>9</v>
      </c>
      <c r="T1010">
        <v>2</v>
      </c>
      <c r="U1010" t="s">
        <v>2208</v>
      </c>
      <c r="V1010" t="s">
        <v>496</v>
      </c>
      <c r="W1010" t="s">
        <v>496</v>
      </c>
      <c r="X1010">
        <v>4.5</v>
      </c>
      <c r="Y1010" t="s">
        <v>2213</v>
      </c>
      <c r="Z1010" t="s">
        <v>496</v>
      </c>
      <c r="AA1010">
        <v>1.2</v>
      </c>
      <c r="AB1010">
        <v>10.8</v>
      </c>
      <c r="AC1010">
        <v>2.4</v>
      </c>
    </row>
    <row r="1011" spans="2:29" ht="15" hidden="1" customHeight="1" x14ac:dyDescent="0.15">
      <c r="B1011">
        <v>4</v>
      </c>
      <c r="C1011" t="s">
        <v>386</v>
      </c>
      <c r="D1011" t="s">
        <v>2211</v>
      </c>
      <c r="E1011">
        <v>4</v>
      </c>
      <c r="F1011" t="s">
        <v>219</v>
      </c>
      <c r="G1011" t="s">
        <v>218</v>
      </c>
      <c r="H1011" t="s">
        <v>1396</v>
      </c>
      <c r="I1011">
        <v>46</v>
      </c>
      <c r="J1011" s="21">
        <v>45974</v>
      </c>
      <c r="K1011" s="21">
        <v>45974</v>
      </c>
      <c r="L1011" t="s">
        <v>2216</v>
      </c>
      <c r="M1011" t="s">
        <v>1398</v>
      </c>
      <c r="O1011" t="s">
        <v>248</v>
      </c>
      <c r="P1011">
        <v>5</v>
      </c>
      <c r="Q1011">
        <v>1</v>
      </c>
      <c r="R1011">
        <v>0.25</v>
      </c>
      <c r="S1011">
        <v>1.125</v>
      </c>
      <c r="T1011">
        <v>0.25</v>
      </c>
      <c r="U1011" t="s">
        <v>2208</v>
      </c>
      <c r="V1011" t="s">
        <v>496</v>
      </c>
      <c r="W1011" t="s">
        <v>496</v>
      </c>
      <c r="X1011">
        <v>4.5</v>
      </c>
      <c r="Y1011" t="s">
        <v>2213</v>
      </c>
      <c r="Z1011" t="s">
        <v>496</v>
      </c>
      <c r="AA1011">
        <v>19.68</v>
      </c>
      <c r="AB1011">
        <v>22.14</v>
      </c>
      <c r="AC1011">
        <v>4.92</v>
      </c>
    </row>
    <row r="1012" spans="2:29" ht="15" hidden="1" customHeight="1" x14ac:dyDescent="0.15">
      <c r="B1012">
        <v>4</v>
      </c>
      <c r="C1012" t="s">
        <v>386</v>
      </c>
      <c r="D1012" t="s">
        <v>2217</v>
      </c>
      <c r="E1012">
        <v>1</v>
      </c>
      <c r="F1012" t="s">
        <v>219</v>
      </c>
      <c r="G1012" t="s">
        <v>231</v>
      </c>
      <c r="H1012" t="s">
        <v>433</v>
      </c>
      <c r="I1012">
        <v>46</v>
      </c>
      <c r="J1012" s="21">
        <v>45974</v>
      </c>
      <c r="K1012" s="21">
        <v>45974</v>
      </c>
      <c r="L1012" t="s">
        <v>2218</v>
      </c>
      <c r="M1012" t="s">
        <v>1030</v>
      </c>
      <c r="O1012" t="s">
        <v>248</v>
      </c>
      <c r="P1012">
        <v>0</v>
      </c>
      <c r="Q1012">
        <v>0.04</v>
      </c>
      <c r="R1012">
        <v>0.12</v>
      </c>
      <c r="S1012">
        <v>2.4E-2</v>
      </c>
      <c r="T1012">
        <v>0.01</v>
      </c>
      <c r="U1012" t="s">
        <v>2208</v>
      </c>
      <c r="V1012" t="s">
        <v>496</v>
      </c>
      <c r="W1012" t="s">
        <v>496</v>
      </c>
      <c r="X1012">
        <v>4.5</v>
      </c>
      <c r="Y1012" t="s">
        <v>455</v>
      </c>
      <c r="Z1012" t="s">
        <v>496</v>
      </c>
      <c r="AA1012">
        <v>21.83</v>
      </c>
      <c r="AB1012">
        <v>0.52</v>
      </c>
      <c r="AC1012">
        <v>0.12</v>
      </c>
    </row>
    <row r="1013" spans="2:29" ht="15" hidden="1" customHeight="1" x14ac:dyDescent="0.15">
      <c r="B1013">
        <v>4</v>
      </c>
      <c r="C1013" t="s">
        <v>386</v>
      </c>
      <c r="D1013" t="s">
        <v>2217</v>
      </c>
      <c r="E1013">
        <v>2</v>
      </c>
      <c r="F1013" t="s">
        <v>219</v>
      </c>
      <c r="G1013" t="s">
        <v>218</v>
      </c>
      <c r="H1013" t="s">
        <v>406</v>
      </c>
      <c r="I1013">
        <v>46</v>
      </c>
      <c r="J1013" s="21">
        <v>45974</v>
      </c>
      <c r="K1013" s="21">
        <v>45974</v>
      </c>
      <c r="L1013" t="s">
        <v>2219</v>
      </c>
      <c r="M1013" t="s">
        <v>431</v>
      </c>
      <c r="O1013" t="s">
        <v>248</v>
      </c>
      <c r="P1013">
        <v>0</v>
      </c>
      <c r="Q1013">
        <v>0.04</v>
      </c>
      <c r="R1013">
        <v>0.2</v>
      </c>
      <c r="S1013">
        <v>0.04</v>
      </c>
      <c r="T1013">
        <v>0.01</v>
      </c>
      <c r="U1013" t="s">
        <v>2208</v>
      </c>
      <c r="V1013" t="s">
        <v>496</v>
      </c>
      <c r="W1013" t="s">
        <v>496</v>
      </c>
      <c r="X1013">
        <v>4.5</v>
      </c>
      <c r="Y1013" t="s">
        <v>455</v>
      </c>
      <c r="Z1013" t="s">
        <v>496</v>
      </c>
      <c r="AA1013">
        <v>143</v>
      </c>
      <c r="AB1013">
        <v>5.72</v>
      </c>
      <c r="AC1013">
        <v>1.27</v>
      </c>
    </row>
    <row r="1014" spans="2:29" ht="15" customHeight="1" x14ac:dyDescent="0.15">
      <c r="B1014">
        <v>4</v>
      </c>
      <c r="C1014" t="s">
        <v>386</v>
      </c>
      <c r="D1014" t="s">
        <v>2220</v>
      </c>
      <c r="E1014">
        <v>1</v>
      </c>
      <c r="F1014" t="s">
        <v>219</v>
      </c>
      <c r="G1014" t="s">
        <v>231</v>
      </c>
      <c r="H1014" t="s">
        <v>433</v>
      </c>
      <c r="I1014">
        <v>47</v>
      </c>
      <c r="J1014" s="21">
        <v>45978</v>
      </c>
      <c r="K1014" s="21">
        <v>45987</v>
      </c>
      <c r="L1014" t="s">
        <v>2221</v>
      </c>
      <c r="M1014" t="s">
        <v>1030</v>
      </c>
      <c r="O1014" t="s">
        <v>248</v>
      </c>
      <c r="P1014">
        <v>0</v>
      </c>
      <c r="R1014">
        <v>0.12</v>
      </c>
      <c r="S1014">
        <v>6.0000000000000001E-3</v>
      </c>
      <c r="U1014" t="s">
        <v>436</v>
      </c>
      <c r="V1014" t="s">
        <v>437</v>
      </c>
      <c r="W1014" t="s">
        <v>437</v>
      </c>
      <c r="Y1014" t="s">
        <v>455</v>
      </c>
      <c r="Z1014" t="s">
        <v>496</v>
      </c>
      <c r="AA1014">
        <v>21.83</v>
      </c>
      <c r="AB1014">
        <v>0.13</v>
      </c>
      <c r="AC1014">
        <v>0</v>
      </c>
    </row>
    <row r="1015" spans="2:29" ht="15" customHeight="1" x14ac:dyDescent="0.15">
      <c r="B1015">
        <v>4</v>
      </c>
      <c r="C1015" t="s">
        <v>386</v>
      </c>
      <c r="D1015" t="s">
        <v>2220</v>
      </c>
      <c r="E1015">
        <v>2</v>
      </c>
      <c r="F1015" t="s">
        <v>219</v>
      </c>
      <c r="G1015" t="s">
        <v>218</v>
      </c>
      <c r="H1015" t="s">
        <v>911</v>
      </c>
      <c r="I1015">
        <v>47</v>
      </c>
      <c r="J1015" s="21">
        <v>45978</v>
      </c>
      <c r="K1015" s="21">
        <v>45987</v>
      </c>
      <c r="L1015" t="s">
        <v>2222</v>
      </c>
      <c r="M1015" t="s">
        <v>913</v>
      </c>
      <c r="O1015" t="s">
        <v>248</v>
      </c>
      <c r="P1015">
        <v>0</v>
      </c>
      <c r="R1015">
        <v>0.25</v>
      </c>
      <c r="S1015">
        <v>1.2999999999999999E-2</v>
      </c>
      <c r="U1015" t="s">
        <v>436</v>
      </c>
      <c r="V1015" t="s">
        <v>437</v>
      </c>
      <c r="W1015" t="s">
        <v>437</v>
      </c>
      <c r="Y1015" t="s">
        <v>455</v>
      </c>
      <c r="Z1015" t="s">
        <v>496</v>
      </c>
      <c r="AA1015">
        <v>91.24</v>
      </c>
      <c r="AB1015">
        <v>1.1399999999999999</v>
      </c>
      <c r="AC1015">
        <v>0</v>
      </c>
    </row>
    <row r="1016" spans="2:29" ht="15" customHeight="1" x14ac:dyDescent="0.15">
      <c r="B1016">
        <v>4</v>
      </c>
      <c r="C1016" t="s">
        <v>386</v>
      </c>
      <c r="D1016" t="s">
        <v>2220</v>
      </c>
      <c r="E1016">
        <v>3</v>
      </c>
      <c r="F1016" t="s">
        <v>219</v>
      </c>
      <c r="G1016" t="s">
        <v>231</v>
      </c>
      <c r="H1016" t="s">
        <v>400</v>
      </c>
      <c r="I1016">
        <v>47</v>
      </c>
      <c r="J1016" s="21">
        <v>45978</v>
      </c>
      <c r="K1016" s="21">
        <v>45987</v>
      </c>
      <c r="L1016" t="s">
        <v>2223</v>
      </c>
      <c r="M1016" t="s">
        <v>402</v>
      </c>
      <c r="O1016" t="s">
        <v>248</v>
      </c>
      <c r="P1016">
        <v>0</v>
      </c>
      <c r="R1016">
        <v>0.1</v>
      </c>
      <c r="S1016">
        <v>5.0000000000000001E-3</v>
      </c>
      <c r="U1016" t="s">
        <v>436</v>
      </c>
      <c r="V1016" t="s">
        <v>437</v>
      </c>
      <c r="W1016" t="s">
        <v>437</v>
      </c>
      <c r="Y1016" t="s">
        <v>455</v>
      </c>
      <c r="Z1016" t="s">
        <v>496</v>
      </c>
      <c r="AA1016">
        <v>217</v>
      </c>
      <c r="AB1016">
        <v>1.0900000000000001</v>
      </c>
      <c r="AC1016">
        <v>0</v>
      </c>
    </row>
    <row r="1017" spans="2:29" ht="15" customHeight="1" x14ac:dyDescent="0.15">
      <c r="B1017">
        <v>4</v>
      </c>
      <c r="C1017" t="s">
        <v>386</v>
      </c>
      <c r="D1017" t="s">
        <v>2224</v>
      </c>
      <c r="E1017">
        <v>1</v>
      </c>
      <c r="F1017" t="s">
        <v>219</v>
      </c>
      <c r="H1017" t="s">
        <v>433</v>
      </c>
      <c r="I1017">
        <v>47</v>
      </c>
      <c r="J1017" s="21">
        <v>45981</v>
      </c>
      <c r="K1017" s="21">
        <v>45982</v>
      </c>
      <c r="L1017" t="s">
        <v>2225</v>
      </c>
      <c r="M1017" t="s">
        <v>1030</v>
      </c>
      <c r="O1017" t="s">
        <v>248</v>
      </c>
      <c r="P1017">
        <v>1</v>
      </c>
      <c r="Q1017">
        <v>0.5</v>
      </c>
      <c r="R1017">
        <v>0.12</v>
      </c>
      <c r="S1017">
        <v>0.12</v>
      </c>
      <c r="T1017">
        <v>0.06</v>
      </c>
      <c r="U1017" t="s">
        <v>1056</v>
      </c>
      <c r="V1017" t="s">
        <v>1057</v>
      </c>
      <c r="W1017" t="s">
        <v>532</v>
      </c>
      <c r="X1017">
        <v>2</v>
      </c>
      <c r="Y1017" t="s">
        <v>438</v>
      </c>
      <c r="Z1017" t="s">
        <v>496</v>
      </c>
      <c r="AA1017">
        <v>21.83</v>
      </c>
      <c r="AB1017">
        <v>2.62</v>
      </c>
      <c r="AC1017">
        <v>1.31</v>
      </c>
    </row>
    <row r="1018" spans="2:29" ht="15" customHeight="1" x14ac:dyDescent="0.15">
      <c r="B1018">
        <v>4</v>
      </c>
      <c r="C1018" t="s">
        <v>386</v>
      </c>
      <c r="D1018" t="s">
        <v>2224</v>
      </c>
      <c r="E1018">
        <v>2</v>
      </c>
      <c r="F1018" t="s">
        <v>219</v>
      </c>
      <c r="H1018" t="s">
        <v>1946</v>
      </c>
      <c r="I1018">
        <v>47</v>
      </c>
      <c r="J1018" s="21">
        <v>45981</v>
      </c>
      <c r="K1018" s="21">
        <v>45982</v>
      </c>
      <c r="L1018" t="s">
        <v>2226</v>
      </c>
      <c r="M1018" t="s">
        <v>1948</v>
      </c>
      <c r="O1018" t="s">
        <v>248</v>
      </c>
      <c r="P1018">
        <v>1</v>
      </c>
      <c r="Q1018">
        <v>0.5</v>
      </c>
      <c r="R1018">
        <v>1.5</v>
      </c>
      <c r="S1018">
        <v>1.5</v>
      </c>
      <c r="T1018">
        <v>0.75</v>
      </c>
      <c r="U1018" t="s">
        <v>1056</v>
      </c>
      <c r="V1018" t="s">
        <v>1057</v>
      </c>
      <c r="W1018" t="s">
        <v>532</v>
      </c>
      <c r="X1018">
        <v>2</v>
      </c>
      <c r="Y1018" t="s">
        <v>438</v>
      </c>
      <c r="Z1018" t="s">
        <v>496</v>
      </c>
      <c r="AA1018">
        <v>190.68</v>
      </c>
      <c r="AB1018">
        <v>286.02</v>
      </c>
      <c r="AC1018">
        <v>143.01</v>
      </c>
    </row>
    <row r="1019" spans="2:29" ht="15" customHeight="1" x14ac:dyDescent="0.15">
      <c r="B1019">
        <v>4</v>
      </c>
      <c r="C1019" t="s">
        <v>386</v>
      </c>
      <c r="D1019" t="s">
        <v>2224</v>
      </c>
      <c r="E1019">
        <v>3</v>
      </c>
      <c r="F1019" t="s">
        <v>219</v>
      </c>
      <c r="H1019" t="s">
        <v>1175</v>
      </c>
      <c r="I1019">
        <v>47</v>
      </c>
      <c r="J1019" s="21">
        <v>45981</v>
      </c>
      <c r="K1019" s="21">
        <v>45982</v>
      </c>
      <c r="L1019" t="s">
        <v>2227</v>
      </c>
      <c r="M1019" t="s">
        <v>1177</v>
      </c>
      <c r="O1019" t="s">
        <v>248</v>
      </c>
      <c r="P1019">
        <v>1</v>
      </c>
      <c r="Q1019">
        <v>0.5</v>
      </c>
      <c r="R1019">
        <v>0.1</v>
      </c>
      <c r="S1019">
        <v>0.1</v>
      </c>
      <c r="T1019">
        <v>0.05</v>
      </c>
      <c r="U1019" t="s">
        <v>1056</v>
      </c>
      <c r="V1019" t="s">
        <v>1057</v>
      </c>
      <c r="W1019" t="s">
        <v>532</v>
      </c>
      <c r="X1019">
        <v>2</v>
      </c>
      <c r="Y1019" t="s">
        <v>438</v>
      </c>
      <c r="Z1019" t="s">
        <v>496</v>
      </c>
      <c r="AA1019">
        <v>177</v>
      </c>
      <c r="AB1019">
        <v>17.7</v>
      </c>
      <c r="AC1019">
        <v>8.85</v>
      </c>
    </row>
    <row r="1020" spans="2:29" ht="15" customHeight="1" x14ac:dyDescent="0.15">
      <c r="B1020">
        <v>4</v>
      </c>
      <c r="C1020" t="s">
        <v>386</v>
      </c>
      <c r="D1020" t="s">
        <v>2228</v>
      </c>
      <c r="E1020">
        <v>1</v>
      </c>
      <c r="F1020" t="s">
        <v>556</v>
      </c>
      <c r="G1020" t="s">
        <v>556</v>
      </c>
      <c r="H1020" t="s">
        <v>556</v>
      </c>
      <c r="I1020">
        <v>48</v>
      </c>
      <c r="J1020" s="21">
        <v>45987</v>
      </c>
      <c r="K1020" s="21">
        <v>45987</v>
      </c>
      <c r="L1020" t="s">
        <v>2229</v>
      </c>
      <c r="M1020" t="s">
        <v>2230</v>
      </c>
      <c r="O1020" t="s">
        <v>2054</v>
      </c>
      <c r="P1020">
        <v>1</v>
      </c>
      <c r="Q1020">
        <v>1</v>
      </c>
      <c r="R1020">
        <v>4</v>
      </c>
      <c r="S1020">
        <v>4</v>
      </c>
      <c r="T1020">
        <v>4</v>
      </c>
      <c r="U1020" t="s">
        <v>391</v>
      </c>
      <c r="V1020" t="s">
        <v>392</v>
      </c>
      <c r="W1020" t="s">
        <v>392</v>
      </c>
      <c r="X1020">
        <v>1</v>
      </c>
      <c r="Y1020" t="s">
        <v>2231</v>
      </c>
      <c r="Z1020" t="s">
        <v>496</v>
      </c>
      <c r="AB1020">
        <v>0</v>
      </c>
      <c r="AC1020">
        <v>0</v>
      </c>
    </row>
    <row r="1021" spans="2:29" ht="15" customHeight="1" x14ac:dyDescent="0.15">
      <c r="B1021">
        <v>4</v>
      </c>
      <c r="C1021" t="s">
        <v>386</v>
      </c>
      <c r="D1021" t="s">
        <v>2232</v>
      </c>
      <c r="E1021">
        <v>1</v>
      </c>
      <c r="F1021" t="s">
        <v>556</v>
      </c>
      <c r="G1021" t="s">
        <v>556</v>
      </c>
      <c r="H1021" t="s">
        <v>556</v>
      </c>
      <c r="I1021">
        <v>48</v>
      </c>
      <c r="J1021" s="21">
        <v>45987</v>
      </c>
      <c r="K1021" s="21">
        <v>45987</v>
      </c>
      <c r="L1021" t="s">
        <v>2233</v>
      </c>
      <c r="M1021" t="s">
        <v>2230</v>
      </c>
      <c r="O1021" t="s">
        <v>2054</v>
      </c>
      <c r="P1021">
        <v>1</v>
      </c>
      <c r="Q1021">
        <v>1</v>
      </c>
      <c r="R1021">
        <v>2</v>
      </c>
      <c r="S1021">
        <v>2</v>
      </c>
      <c r="T1021">
        <v>2</v>
      </c>
      <c r="U1021" t="s">
        <v>391</v>
      </c>
      <c r="V1021" t="s">
        <v>392</v>
      </c>
      <c r="W1021" t="s">
        <v>392</v>
      </c>
      <c r="X1021">
        <v>1</v>
      </c>
      <c r="Y1021" t="s">
        <v>723</v>
      </c>
      <c r="Z1021" t="s">
        <v>496</v>
      </c>
      <c r="AB1021">
        <v>0</v>
      </c>
      <c r="AC1021">
        <v>0</v>
      </c>
    </row>
    <row r="1022" spans="2:29" ht="15" customHeight="1" x14ac:dyDescent="0.15">
      <c r="B1022">
        <v>4</v>
      </c>
      <c r="C1022" t="s">
        <v>386</v>
      </c>
      <c r="D1022" t="s">
        <v>2232</v>
      </c>
      <c r="E1022">
        <v>2</v>
      </c>
      <c r="F1022" t="s">
        <v>556</v>
      </c>
      <c r="G1022" t="s">
        <v>556</v>
      </c>
      <c r="H1022" t="s">
        <v>556</v>
      </c>
      <c r="I1022">
        <v>48</v>
      </c>
      <c r="J1022" s="21">
        <v>45987</v>
      </c>
      <c r="K1022" s="21">
        <v>45987</v>
      </c>
      <c r="L1022" t="s">
        <v>2234</v>
      </c>
      <c r="M1022" t="s">
        <v>2053</v>
      </c>
      <c r="O1022" t="s">
        <v>2054</v>
      </c>
      <c r="P1022">
        <v>1</v>
      </c>
      <c r="Q1022">
        <v>1</v>
      </c>
      <c r="R1022">
        <v>1.5</v>
      </c>
      <c r="S1022">
        <v>1.5</v>
      </c>
      <c r="T1022">
        <v>1.5</v>
      </c>
      <c r="U1022" t="s">
        <v>391</v>
      </c>
      <c r="V1022" t="s">
        <v>392</v>
      </c>
      <c r="W1022" t="s">
        <v>392</v>
      </c>
      <c r="X1022">
        <v>1</v>
      </c>
      <c r="Y1022" t="s">
        <v>723</v>
      </c>
      <c r="Z1022" t="s">
        <v>496</v>
      </c>
      <c r="AB1022">
        <v>0</v>
      </c>
      <c r="AC1022">
        <v>0</v>
      </c>
    </row>
    <row r="1023" spans="2:29" ht="15" customHeight="1" x14ac:dyDescent="0.15">
      <c r="B1023">
        <v>4</v>
      </c>
      <c r="C1023" t="s">
        <v>386</v>
      </c>
      <c r="D1023" t="s">
        <v>2235</v>
      </c>
      <c r="E1023">
        <v>1</v>
      </c>
      <c r="F1023" t="s">
        <v>556</v>
      </c>
      <c r="G1023" t="s">
        <v>556</v>
      </c>
      <c r="H1023" t="s">
        <v>556</v>
      </c>
      <c r="I1023">
        <v>48</v>
      </c>
      <c r="J1023" s="21">
        <v>45987</v>
      </c>
      <c r="K1023" s="21">
        <v>45987</v>
      </c>
      <c r="L1023" t="s">
        <v>2236</v>
      </c>
      <c r="M1023" t="s">
        <v>2230</v>
      </c>
      <c r="O1023" t="s">
        <v>2054</v>
      </c>
      <c r="P1023">
        <v>1</v>
      </c>
      <c r="Q1023">
        <v>1</v>
      </c>
      <c r="R1023">
        <v>2.9</v>
      </c>
      <c r="S1023">
        <v>2.9</v>
      </c>
      <c r="T1023">
        <v>2.9</v>
      </c>
      <c r="U1023" t="s">
        <v>391</v>
      </c>
      <c r="V1023" t="s">
        <v>392</v>
      </c>
      <c r="W1023" t="s">
        <v>392</v>
      </c>
      <c r="X1023">
        <v>1</v>
      </c>
      <c r="Y1023" t="s">
        <v>2237</v>
      </c>
      <c r="Z1023" t="s">
        <v>496</v>
      </c>
      <c r="AB1023">
        <v>0</v>
      </c>
      <c r="AC1023">
        <v>0</v>
      </c>
    </row>
    <row r="1024" spans="2:29" ht="15" customHeight="1" x14ac:dyDescent="0.15">
      <c r="B1024">
        <v>4</v>
      </c>
      <c r="C1024" t="s">
        <v>386</v>
      </c>
      <c r="D1024" t="s">
        <v>2235</v>
      </c>
      <c r="E1024">
        <v>2</v>
      </c>
      <c r="F1024" t="s">
        <v>556</v>
      </c>
      <c r="G1024" t="s">
        <v>556</v>
      </c>
      <c r="H1024" t="s">
        <v>556</v>
      </c>
      <c r="I1024">
        <v>48</v>
      </c>
      <c r="J1024" s="21">
        <v>45987</v>
      </c>
      <c r="K1024" s="21">
        <v>45987</v>
      </c>
      <c r="L1024" t="s">
        <v>2238</v>
      </c>
      <c r="M1024" t="s">
        <v>2239</v>
      </c>
      <c r="O1024" t="s">
        <v>2054</v>
      </c>
      <c r="P1024">
        <v>1</v>
      </c>
      <c r="Q1024">
        <v>1</v>
      </c>
      <c r="R1024">
        <v>2.9</v>
      </c>
      <c r="S1024">
        <v>2.9</v>
      </c>
      <c r="T1024">
        <v>2.9</v>
      </c>
      <c r="U1024" t="s">
        <v>391</v>
      </c>
      <c r="V1024" t="s">
        <v>392</v>
      </c>
      <c r="W1024" t="s">
        <v>392</v>
      </c>
      <c r="X1024">
        <v>1</v>
      </c>
      <c r="Y1024" t="s">
        <v>2237</v>
      </c>
      <c r="Z1024" t="s">
        <v>496</v>
      </c>
      <c r="AB1024">
        <v>0</v>
      </c>
      <c r="AC1024">
        <v>0</v>
      </c>
    </row>
    <row r="1025" spans="2:29" ht="15" customHeight="1" x14ac:dyDescent="0.15">
      <c r="B1025">
        <v>4</v>
      </c>
      <c r="C1025" t="s">
        <v>386</v>
      </c>
      <c r="D1025" t="s">
        <v>2240</v>
      </c>
      <c r="E1025">
        <v>1</v>
      </c>
      <c r="F1025" t="s">
        <v>219</v>
      </c>
      <c r="G1025" t="s">
        <v>231</v>
      </c>
      <c r="H1025" t="s">
        <v>433</v>
      </c>
      <c r="I1025">
        <v>49</v>
      </c>
      <c r="J1025" s="21">
        <v>45992</v>
      </c>
      <c r="K1025" s="21">
        <v>45995</v>
      </c>
      <c r="L1025" t="s">
        <v>2241</v>
      </c>
      <c r="M1025" t="s">
        <v>1030</v>
      </c>
      <c r="O1025" t="s">
        <v>248</v>
      </c>
      <c r="P1025">
        <v>0</v>
      </c>
      <c r="R1025">
        <v>0.12</v>
      </c>
      <c r="S1025">
        <v>1.2E-2</v>
      </c>
      <c r="U1025" t="s">
        <v>391</v>
      </c>
      <c r="V1025" t="s">
        <v>392</v>
      </c>
      <c r="W1025" t="s">
        <v>392</v>
      </c>
      <c r="Y1025" t="s">
        <v>455</v>
      </c>
      <c r="Z1025" t="s">
        <v>496</v>
      </c>
      <c r="AA1025">
        <v>21.83</v>
      </c>
      <c r="AB1025">
        <v>0.26</v>
      </c>
      <c r="AC1025">
        <v>0</v>
      </c>
    </row>
    <row r="1026" spans="2:29" ht="15" customHeight="1" x14ac:dyDescent="0.15">
      <c r="B1026">
        <v>4</v>
      </c>
      <c r="C1026" t="s">
        <v>386</v>
      </c>
      <c r="D1026" t="s">
        <v>2240</v>
      </c>
      <c r="E1026">
        <v>2</v>
      </c>
      <c r="F1026" t="s">
        <v>219</v>
      </c>
      <c r="G1026" t="s">
        <v>218</v>
      </c>
      <c r="H1026" t="s">
        <v>911</v>
      </c>
      <c r="I1026">
        <v>49</v>
      </c>
      <c r="J1026" s="21">
        <v>45992</v>
      </c>
      <c r="K1026" s="21">
        <v>45995</v>
      </c>
      <c r="L1026" t="s">
        <v>2242</v>
      </c>
      <c r="M1026" t="s">
        <v>913</v>
      </c>
      <c r="O1026" t="s">
        <v>220</v>
      </c>
      <c r="P1026">
        <v>0</v>
      </c>
      <c r="R1026">
        <v>0.25</v>
      </c>
      <c r="S1026">
        <v>2.5000000000000001E-2</v>
      </c>
      <c r="U1026" t="s">
        <v>391</v>
      </c>
      <c r="V1026" t="s">
        <v>392</v>
      </c>
      <c r="W1026" t="s">
        <v>392</v>
      </c>
      <c r="Y1026" t="s">
        <v>455</v>
      </c>
      <c r="Z1026" t="s">
        <v>496</v>
      </c>
      <c r="AA1026">
        <v>91.24</v>
      </c>
      <c r="AB1026">
        <v>2.2799999999999998</v>
      </c>
      <c r="AC1026">
        <v>0</v>
      </c>
    </row>
    <row r="1027" spans="2:29" ht="15" customHeight="1" x14ac:dyDescent="0.15">
      <c r="B1027">
        <v>4</v>
      </c>
      <c r="C1027" t="s">
        <v>386</v>
      </c>
      <c r="D1027" t="s">
        <v>2240</v>
      </c>
      <c r="E1027">
        <v>3</v>
      </c>
      <c r="F1027" t="s">
        <v>219</v>
      </c>
      <c r="G1027" t="s">
        <v>218</v>
      </c>
      <c r="H1027" t="s">
        <v>400</v>
      </c>
      <c r="I1027">
        <v>49</v>
      </c>
      <c r="J1027" s="21">
        <v>45992</v>
      </c>
      <c r="K1027" s="21">
        <v>45995</v>
      </c>
      <c r="L1027" t="s">
        <v>2243</v>
      </c>
      <c r="M1027" t="s">
        <v>402</v>
      </c>
      <c r="O1027" t="s">
        <v>282</v>
      </c>
      <c r="P1027">
        <v>0</v>
      </c>
      <c r="R1027">
        <v>0.1</v>
      </c>
      <c r="S1027">
        <v>0.01</v>
      </c>
      <c r="U1027" t="s">
        <v>391</v>
      </c>
      <c r="V1027" t="s">
        <v>392</v>
      </c>
      <c r="W1027" t="s">
        <v>392</v>
      </c>
      <c r="Y1027" t="s">
        <v>455</v>
      </c>
      <c r="Z1027" t="s">
        <v>496</v>
      </c>
      <c r="AA1027">
        <v>217</v>
      </c>
      <c r="AB1027">
        <v>2.17</v>
      </c>
      <c r="AC1027">
        <v>0</v>
      </c>
    </row>
    <row r="1028" spans="2:29" ht="15" customHeight="1" x14ac:dyDescent="0.15">
      <c r="B1028">
        <v>4</v>
      </c>
      <c r="C1028" t="s">
        <v>386</v>
      </c>
      <c r="D1028" t="s">
        <v>2244</v>
      </c>
      <c r="E1028">
        <v>1</v>
      </c>
      <c r="F1028" t="s">
        <v>556</v>
      </c>
      <c r="G1028" t="s">
        <v>556</v>
      </c>
      <c r="H1028" t="s">
        <v>556</v>
      </c>
      <c r="I1028">
        <v>49</v>
      </c>
      <c r="J1028" s="21">
        <v>45996</v>
      </c>
      <c r="K1028" s="21">
        <v>45996</v>
      </c>
      <c r="L1028" t="s">
        <v>2245</v>
      </c>
      <c r="M1028" t="s">
        <v>2230</v>
      </c>
      <c r="P1028">
        <v>1</v>
      </c>
      <c r="R1028">
        <v>3</v>
      </c>
      <c r="S1028">
        <v>3</v>
      </c>
      <c r="V1028" t="s">
        <v>2246</v>
      </c>
      <c r="W1028" t="s">
        <v>496</v>
      </c>
      <c r="Y1028" t="s">
        <v>2246</v>
      </c>
      <c r="Z1028" t="s">
        <v>496</v>
      </c>
      <c r="AB1028">
        <v>0</v>
      </c>
      <c r="AC1028">
        <v>0</v>
      </c>
    </row>
    <row r="1029" spans="2:29" ht="15" customHeight="1" x14ac:dyDescent="0.15">
      <c r="B1029">
        <v>4</v>
      </c>
      <c r="C1029" t="s">
        <v>704</v>
      </c>
      <c r="D1029" t="s">
        <v>2247</v>
      </c>
      <c r="E1029">
        <v>1</v>
      </c>
      <c r="F1029" t="s">
        <v>219</v>
      </c>
      <c r="G1029" t="s">
        <v>231</v>
      </c>
      <c r="H1029" t="s">
        <v>433</v>
      </c>
      <c r="I1029">
        <v>49</v>
      </c>
      <c r="J1029" s="21">
        <v>45997</v>
      </c>
      <c r="L1029" t="s">
        <v>2248</v>
      </c>
      <c r="M1029" t="s">
        <v>1030</v>
      </c>
      <c r="O1029" t="s">
        <v>248</v>
      </c>
      <c r="P1029">
        <v>0</v>
      </c>
      <c r="Q1029">
        <v>0</v>
      </c>
      <c r="R1029">
        <v>0.12</v>
      </c>
      <c r="S1029">
        <v>0</v>
      </c>
      <c r="T1029">
        <v>0</v>
      </c>
      <c r="U1029" t="s">
        <v>1050</v>
      </c>
      <c r="V1029" t="s">
        <v>847</v>
      </c>
      <c r="W1029" t="s">
        <v>532</v>
      </c>
      <c r="X1029">
        <v>2</v>
      </c>
      <c r="Y1029" t="s">
        <v>2249</v>
      </c>
      <c r="Z1029" t="s">
        <v>496</v>
      </c>
      <c r="AA1029">
        <v>21.83</v>
      </c>
      <c r="AB1029">
        <v>0</v>
      </c>
      <c r="AC1029">
        <v>0</v>
      </c>
    </row>
    <row r="1030" spans="2:29" ht="15" customHeight="1" x14ac:dyDescent="0.15">
      <c r="B1030">
        <v>4</v>
      </c>
      <c r="C1030" t="s">
        <v>704</v>
      </c>
      <c r="D1030" t="s">
        <v>2247</v>
      </c>
      <c r="E1030">
        <v>2</v>
      </c>
      <c r="F1030" t="s">
        <v>219</v>
      </c>
      <c r="G1030" t="s">
        <v>439</v>
      </c>
      <c r="H1030" t="s">
        <v>849</v>
      </c>
      <c r="I1030">
        <v>49</v>
      </c>
      <c r="J1030" s="21">
        <v>45997</v>
      </c>
      <c r="L1030" t="s">
        <v>2250</v>
      </c>
      <c r="M1030" t="s">
        <v>851</v>
      </c>
      <c r="O1030" t="s">
        <v>248</v>
      </c>
      <c r="P1030">
        <v>0</v>
      </c>
      <c r="Q1030">
        <v>0</v>
      </c>
      <c r="R1030">
        <v>3.5</v>
      </c>
      <c r="S1030">
        <v>0</v>
      </c>
      <c r="T1030">
        <v>0</v>
      </c>
      <c r="U1030" t="s">
        <v>1050</v>
      </c>
      <c r="V1030" t="s">
        <v>847</v>
      </c>
      <c r="W1030" t="s">
        <v>532</v>
      </c>
      <c r="X1030">
        <v>2</v>
      </c>
      <c r="Y1030" t="s">
        <v>2249</v>
      </c>
      <c r="Z1030" t="s">
        <v>496</v>
      </c>
      <c r="AA1030">
        <v>24.21</v>
      </c>
      <c r="AB1030">
        <v>0</v>
      </c>
      <c r="AC1030">
        <v>0</v>
      </c>
    </row>
    <row r="1031" spans="2:29" ht="15" customHeight="1" x14ac:dyDescent="0.15">
      <c r="B1031">
        <v>4</v>
      </c>
      <c r="C1031" t="s">
        <v>704</v>
      </c>
      <c r="D1031" t="s">
        <v>2247</v>
      </c>
      <c r="E1031">
        <v>3</v>
      </c>
      <c r="F1031" t="s">
        <v>219</v>
      </c>
      <c r="G1031" t="s">
        <v>218</v>
      </c>
      <c r="H1031" t="s">
        <v>1175</v>
      </c>
      <c r="I1031">
        <v>49</v>
      </c>
      <c r="J1031" s="21">
        <v>45997</v>
      </c>
      <c r="L1031" t="s">
        <v>2251</v>
      </c>
      <c r="M1031" t="s">
        <v>1177</v>
      </c>
      <c r="O1031" t="s">
        <v>248</v>
      </c>
      <c r="P1031">
        <v>0</v>
      </c>
      <c r="Q1031">
        <v>0</v>
      </c>
      <c r="R1031">
        <v>0.1</v>
      </c>
      <c r="S1031">
        <v>0</v>
      </c>
      <c r="T1031">
        <v>0</v>
      </c>
      <c r="U1031" t="s">
        <v>1050</v>
      </c>
      <c r="V1031" t="s">
        <v>847</v>
      </c>
      <c r="W1031" t="s">
        <v>532</v>
      </c>
      <c r="X1031">
        <v>2</v>
      </c>
      <c r="Y1031" t="s">
        <v>2249</v>
      </c>
      <c r="Z1031" t="s">
        <v>496</v>
      </c>
      <c r="AA1031">
        <v>177</v>
      </c>
      <c r="AB1031">
        <v>0</v>
      </c>
      <c r="AC1031">
        <v>0</v>
      </c>
    </row>
    <row r="1032" spans="2:29" ht="15" customHeight="1" x14ac:dyDescent="0.15">
      <c r="B1032">
        <v>4</v>
      </c>
      <c r="C1032" t="s">
        <v>386</v>
      </c>
      <c r="D1032" t="s">
        <v>2252</v>
      </c>
      <c r="E1032">
        <v>1</v>
      </c>
      <c r="F1032" t="s">
        <v>219</v>
      </c>
      <c r="G1032" t="s">
        <v>218</v>
      </c>
      <c r="H1032" t="s">
        <v>2253</v>
      </c>
      <c r="I1032">
        <v>50</v>
      </c>
      <c r="J1032" s="21">
        <v>46002</v>
      </c>
      <c r="K1032" s="21">
        <v>46004</v>
      </c>
      <c r="L1032" t="s">
        <v>2254</v>
      </c>
      <c r="M1032" t="s">
        <v>217</v>
      </c>
      <c r="N1032">
        <v>7</v>
      </c>
      <c r="O1032" t="s">
        <v>248</v>
      </c>
      <c r="P1032">
        <v>5</v>
      </c>
      <c r="Q1032">
        <v>1.25</v>
      </c>
      <c r="R1032">
        <v>1</v>
      </c>
      <c r="S1032">
        <v>5</v>
      </c>
      <c r="T1032">
        <v>1.25</v>
      </c>
      <c r="U1032" t="s">
        <v>19</v>
      </c>
      <c r="V1032" t="s">
        <v>20</v>
      </c>
      <c r="W1032" t="s">
        <v>21</v>
      </c>
      <c r="X1032">
        <v>4</v>
      </c>
      <c r="Y1032" t="s">
        <v>1940</v>
      </c>
      <c r="Z1032" t="s">
        <v>496</v>
      </c>
      <c r="AA1032">
        <v>216.83</v>
      </c>
      <c r="AB1032" s="22">
        <v>1084.1300000000001</v>
      </c>
      <c r="AC1032">
        <v>271.02999999999997</v>
      </c>
    </row>
    <row r="1033" spans="2:29" ht="15" customHeight="1" x14ac:dyDescent="0.15">
      <c r="B1033">
        <v>4</v>
      </c>
      <c r="C1033" t="s">
        <v>386</v>
      </c>
      <c r="D1033" t="s">
        <v>2252</v>
      </c>
      <c r="E1033">
        <v>2</v>
      </c>
      <c r="F1033" t="s">
        <v>219</v>
      </c>
      <c r="G1033" t="s">
        <v>223</v>
      </c>
      <c r="H1033" t="s">
        <v>987</v>
      </c>
      <c r="I1033">
        <v>50</v>
      </c>
      <c r="J1033" s="21">
        <v>46002</v>
      </c>
      <c r="K1033" s="21">
        <v>46004</v>
      </c>
      <c r="L1033" t="s">
        <v>2255</v>
      </c>
      <c r="M1033" t="s">
        <v>222</v>
      </c>
      <c r="N1033">
        <v>7</v>
      </c>
      <c r="O1033" t="s">
        <v>248</v>
      </c>
      <c r="P1033">
        <v>5</v>
      </c>
      <c r="Q1033">
        <v>1.25</v>
      </c>
      <c r="R1033">
        <v>2</v>
      </c>
      <c r="S1033">
        <v>10</v>
      </c>
      <c r="T1033">
        <v>2.5</v>
      </c>
      <c r="U1033" t="s">
        <v>19</v>
      </c>
      <c r="V1033" t="s">
        <v>20</v>
      </c>
      <c r="W1033" t="s">
        <v>21</v>
      </c>
      <c r="X1033">
        <v>4</v>
      </c>
      <c r="Y1033" t="s">
        <v>1940</v>
      </c>
      <c r="Z1033" t="s">
        <v>496</v>
      </c>
      <c r="AA1033">
        <v>13.47</v>
      </c>
      <c r="AB1033">
        <v>134.69999999999999</v>
      </c>
      <c r="AC1033">
        <v>33.68</v>
      </c>
    </row>
    <row r="1034" spans="2:29" ht="15" customHeight="1" x14ac:dyDescent="0.15">
      <c r="B1034">
        <v>4</v>
      </c>
      <c r="C1034" t="s">
        <v>386</v>
      </c>
      <c r="D1034" t="s">
        <v>2256</v>
      </c>
      <c r="E1034">
        <v>1</v>
      </c>
      <c r="F1034" t="s">
        <v>219</v>
      </c>
      <c r="G1034" t="s">
        <v>244</v>
      </c>
      <c r="H1034" t="s">
        <v>433</v>
      </c>
      <c r="I1034">
        <v>51</v>
      </c>
      <c r="J1034" s="21">
        <v>46007</v>
      </c>
      <c r="K1034" s="21">
        <v>46007</v>
      </c>
      <c r="L1034" t="s">
        <v>2257</v>
      </c>
      <c r="M1034" t="s">
        <v>1030</v>
      </c>
      <c r="N1034">
        <v>10</v>
      </c>
      <c r="O1034" t="s">
        <v>248</v>
      </c>
      <c r="P1034">
        <v>4</v>
      </c>
      <c r="Q1034">
        <v>0.95</v>
      </c>
      <c r="R1034">
        <v>0.12</v>
      </c>
      <c r="S1034">
        <v>0.45600000000000002</v>
      </c>
      <c r="T1034">
        <v>0.11</v>
      </c>
      <c r="U1034" t="s">
        <v>19</v>
      </c>
      <c r="V1034" t="s">
        <v>20</v>
      </c>
      <c r="W1034" t="s">
        <v>21</v>
      </c>
      <c r="X1034">
        <v>4</v>
      </c>
      <c r="Y1034" t="s">
        <v>438</v>
      </c>
      <c r="Z1034" t="s">
        <v>496</v>
      </c>
      <c r="AA1034">
        <v>21.83</v>
      </c>
      <c r="AB1034">
        <v>9.9499999999999993</v>
      </c>
      <c r="AC1034">
        <v>2.4900000000000002</v>
      </c>
    </row>
    <row r="1035" spans="2:29" ht="15" customHeight="1" x14ac:dyDescent="0.15">
      <c r="B1035">
        <v>4</v>
      </c>
      <c r="C1035" t="s">
        <v>386</v>
      </c>
      <c r="D1035" t="s">
        <v>2256</v>
      </c>
      <c r="E1035">
        <v>2</v>
      </c>
      <c r="F1035" t="s">
        <v>219</v>
      </c>
      <c r="G1035" t="s">
        <v>244</v>
      </c>
      <c r="H1035" t="s">
        <v>571</v>
      </c>
      <c r="I1035">
        <v>51</v>
      </c>
      <c r="J1035" s="21">
        <v>46007</v>
      </c>
      <c r="K1035" s="21">
        <v>46007</v>
      </c>
      <c r="L1035" t="s">
        <v>2258</v>
      </c>
      <c r="M1035" t="s">
        <v>573</v>
      </c>
      <c r="N1035">
        <v>10</v>
      </c>
      <c r="O1035" t="s">
        <v>248</v>
      </c>
      <c r="P1035">
        <v>1</v>
      </c>
      <c r="Q1035">
        <v>0.25</v>
      </c>
      <c r="R1035">
        <v>0.5</v>
      </c>
      <c r="S1035">
        <v>0.5</v>
      </c>
      <c r="T1035">
        <v>0.13</v>
      </c>
      <c r="U1035" t="s">
        <v>19</v>
      </c>
      <c r="V1035" t="s">
        <v>20</v>
      </c>
      <c r="W1035" t="s">
        <v>21</v>
      </c>
      <c r="X1035">
        <v>4</v>
      </c>
      <c r="Y1035" t="s">
        <v>438</v>
      </c>
      <c r="Z1035" t="s">
        <v>496</v>
      </c>
      <c r="AA1035">
        <v>73.98</v>
      </c>
      <c r="AB1035">
        <v>36.99</v>
      </c>
      <c r="AC1035">
        <v>9.25</v>
      </c>
    </row>
    <row r="1036" spans="2:29" ht="15" customHeight="1" x14ac:dyDescent="0.15">
      <c r="B1036">
        <v>4</v>
      </c>
      <c r="C1036" t="s">
        <v>386</v>
      </c>
      <c r="D1036" t="s">
        <v>2256</v>
      </c>
      <c r="E1036">
        <v>3</v>
      </c>
      <c r="F1036" t="s">
        <v>219</v>
      </c>
      <c r="G1036" t="s">
        <v>244</v>
      </c>
      <c r="H1036" t="s">
        <v>1093</v>
      </c>
      <c r="I1036">
        <v>51</v>
      </c>
      <c r="J1036" s="21">
        <v>46007</v>
      </c>
      <c r="K1036" s="21">
        <v>46007</v>
      </c>
      <c r="L1036" t="s">
        <v>2259</v>
      </c>
      <c r="M1036" t="s">
        <v>1095</v>
      </c>
      <c r="N1036">
        <v>10</v>
      </c>
      <c r="O1036" t="s">
        <v>248</v>
      </c>
      <c r="P1036">
        <v>3</v>
      </c>
      <c r="Q1036">
        <v>0.7</v>
      </c>
      <c r="R1036">
        <v>0.5</v>
      </c>
      <c r="S1036">
        <v>1.4</v>
      </c>
      <c r="T1036">
        <v>0.35</v>
      </c>
      <c r="U1036" t="s">
        <v>19</v>
      </c>
      <c r="V1036" t="s">
        <v>20</v>
      </c>
      <c r="W1036" t="s">
        <v>21</v>
      </c>
      <c r="X1036">
        <v>4</v>
      </c>
      <c r="Y1036" t="s">
        <v>438</v>
      </c>
      <c r="Z1036" t="s">
        <v>496</v>
      </c>
      <c r="AA1036">
        <v>92.42</v>
      </c>
      <c r="AB1036">
        <v>129.38999999999999</v>
      </c>
      <c r="AC1036">
        <v>32.35</v>
      </c>
    </row>
    <row r="1037" spans="2:29" ht="15" customHeight="1" x14ac:dyDescent="0.15">
      <c r="B1037">
        <v>4</v>
      </c>
      <c r="C1037" t="s">
        <v>386</v>
      </c>
      <c r="D1037" t="s">
        <v>2260</v>
      </c>
      <c r="E1037">
        <v>1</v>
      </c>
      <c r="F1037" t="s">
        <v>219</v>
      </c>
      <c r="G1037" t="s">
        <v>231</v>
      </c>
      <c r="H1037" t="s">
        <v>433</v>
      </c>
      <c r="I1037">
        <v>51</v>
      </c>
      <c r="J1037" s="21">
        <v>46008</v>
      </c>
      <c r="K1037" s="21">
        <v>46009</v>
      </c>
      <c r="L1037" t="s">
        <v>2261</v>
      </c>
      <c r="M1037" t="s">
        <v>1030</v>
      </c>
      <c r="N1037">
        <v>12</v>
      </c>
      <c r="O1037" t="s">
        <v>248</v>
      </c>
      <c r="P1037">
        <v>4</v>
      </c>
      <c r="Q1037">
        <v>0.95</v>
      </c>
      <c r="R1037">
        <v>0.12</v>
      </c>
      <c r="S1037">
        <v>0.45600000000000002</v>
      </c>
      <c r="T1037">
        <v>0.11</v>
      </c>
      <c r="U1037" t="s">
        <v>19</v>
      </c>
      <c r="V1037" t="s">
        <v>20</v>
      </c>
      <c r="W1037" t="s">
        <v>21</v>
      </c>
      <c r="X1037">
        <v>4</v>
      </c>
      <c r="Y1037" t="s">
        <v>438</v>
      </c>
      <c r="Z1037" t="s">
        <v>496</v>
      </c>
      <c r="AA1037">
        <v>21.83</v>
      </c>
      <c r="AB1037">
        <v>9.9499999999999993</v>
      </c>
      <c r="AC1037">
        <v>2.4900000000000002</v>
      </c>
    </row>
    <row r="1038" spans="2:29" ht="15" customHeight="1" x14ac:dyDescent="0.15">
      <c r="B1038">
        <v>4</v>
      </c>
      <c r="C1038" t="s">
        <v>386</v>
      </c>
      <c r="D1038" t="s">
        <v>2260</v>
      </c>
      <c r="E1038">
        <v>2</v>
      </c>
      <c r="F1038" t="s">
        <v>219</v>
      </c>
      <c r="G1038" t="s">
        <v>218</v>
      </c>
      <c r="H1038" t="s">
        <v>1018</v>
      </c>
      <c r="I1038">
        <v>51</v>
      </c>
      <c r="J1038" s="21">
        <v>46008</v>
      </c>
      <c r="K1038" s="21">
        <v>46009</v>
      </c>
      <c r="L1038" t="s">
        <v>2262</v>
      </c>
      <c r="M1038" t="s">
        <v>1020</v>
      </c>
      <c r="N1038">
        <v>12</v>
      </c>
      <c r="O1038" t="s">
        <v>248</v>
      </c>
      <c r="P1038">
        <v>4</v>
      </c>
      <c r="Q1038">
        <v>0.95</v>
      </c>
      <c r="R1038">
        <v>0.2</v>
      </c>
      <c r="S1038">
        <v>0.76</v>
      </c>
      <c r="T1038">
        <v>0.19</v>
      </c>
      <c r="U1038" t="s">
        <v>19</v>
      </c>
      <c r="V1038" t="s">
        <v>20</v>
      </c>
      <c r="W1038" t="s">
        <v>21</v>
      </c>
      <c r="X1038">
        <v>4</v>
      </c>
      <c r="Y1038" t="s">
        <v>438</v>
      </c>
      <c r="Z1038" t="s">
        <v>496</v>
      </c>
      <c r="AA1038">
        <v>85.01</v>
      </c>
      <c r="AB1038">
        <v>64.61</v>
      </c>
      <c r="AC1038">
        <v>16.149999999999999</v>
      </c>
    </row>
    <row r="1039" spans="2:29" ht="15" customHeight="1" x14ac:dyDescent="0.15">
      <c r="B1039">
        <v>4</v>
      </c>
      <c r="C1039" t="s">
        <v>386</v>
      </c>
      <c r="D1039" t="s">
        <v>2260</v>
      </c>
      <c r="E1039">
        <v>3</v>
      </c>
      <c r="F1039" t="s">
        <v>219</v>
      </c>
      <c r="G1039" t="s">
        <v>239</v>
      </c>
      <c r="H1039" t="s">
        <v>456</v>
      </c>
      <c r="I1039">
        <v>51</v>
      </c>
      <c r="J1039" s="21">
        <v>46008</v>
      </c>
      <c r="K1039" s="21">
        <v>46009</v>
      </c>
      <c r="L1039" t="s">
        <v>2263</v>
      </c>
      <c r="M1039" t="s">
        <v>458</v>
      </c>
      <c r="N1039">
        <v>12</v>
      </c>
      <c r="O1039" t="s">
        <v>248</v>
      </c>
      <c r="P1039">
        <v>2</v>
      </c>
      <c r="Q1039">
        <v>0.45</v>
      </c>
      <c r="R1039">
        <v>1.5</v>
      </c>
      <c r="S1039">
        <v>2.7</v>
      </c>
      <c r="T1039">
        <v>0.68</v>
      </c>
      <c r="U1039" t="s">
        <v>19</v>
      </c>
      <c r="V1039" t="s">
        <v>20</v>
      </c>
      <c r="W1039" t="s">
        <v>21</v>
      </c>
      <c r="X1039">
        <v>4</v>
      </c>
      <c r="Y1039" t="s">
        <v>438</v>
      </c>
      <c r="Z1039" t="s">
        <v>496</v>
      </c>
      <c r="AA1039">
        <v>49.99</v>
      </c>
      <c r="AB1039">
        <v>134.97</v>
      </c>
      <c r="AC1039">
        <v>33.74</v>
      </c>
    </row>
    <row r="1040" spans="2:29" ht="15" customHeight="1" x14ac:dyDescent="0.15">
      <c r="B1040">
        <v>4</v>
      </c>
      <c r="C1040" t="s">
        <v>386</v>
      </c>
      <c r="D1040" t="s">
        <v>2260</v>
      </c>
      <c r="E1040">
        <v>4</v>
      </c>
      <c r="F1040" t="s">
        <v>219</v>
      </c>
      <c r="G1040" t="s">
        <v>239</v>
      </c>
      <c r="H1040" t="s">
        <v>456</v>
      </c>
      <c r="I1040">
        <v>51</v>
      </c>
      <c r="J1040" s="21">
        <v>46008</v>
      </c>
      <c r="K1040" s="21">
        <v>46009</v>
      </c>
      <c r="L1040" t="s">
        <v>2264</v>
      </c>
      <c r="M1040" t="s">
        <v>2265</v>
      </c>
      <c r="N1040">
        <v>12</v>
      </c>
      <c r="O1040" t="s">
        <v>248</v>
      </c>
      <c r="P1040">
        <v>2</v>
      </c>
      <c r="Q1040">
        <v>0.5</v>
      </c>
      <c r="R1040">
        <v>1</v>
      </c>
      <c r="S1040">
        <v>2</v>
      </c>
      <c r="T1040">
        <v>0.5</v>
      </c>
      <c r="U1040" t="s">
        <v>19</v>
      </c>
      <c r="V1040" t="s">
        <v>20</v>
      </c>
      <c r="W1040" t="s">
        <v>21</v>
      </c>
      <c r="X1040">
        <v>4</v>
      </c>
      <c r="Y1040" t="s">
        <v>438</v>
      </c>
      <c r="Z1040" t="s">
        <v>496</v>
      </c>
      <c r="AA1040">
        <v>0</v>
      </c>
      <c r="AB1040">
        <v>0</v>
      </c>
      <c r="AC1040">
        <v>0</v>
      </c>
    </row>
    <row r="1041" spans="2:29" ht="15" customHeight="1" x14ac:dyDescent="0.15">
      <c r="B1041">
        <v>4</v>
      </c>
      <c r="C1041" t="s">
        <v>386</v>
      </c>
      <c r="D1041" t="s">
        <v>2266</v>
      </c>
      <c r="E1041">
        <v>1</v>
      </c>
      <c r="F1041" t="s">
        <v>201</v>
      </c>
      <c r="G1041" t="s">
        <v>200</v>
      </c>
      <c r="H1041" t="s">
        <v>632</v>
      </c>
      <c r="I1041">
        <v>51</v>
      </c>
      <c r="J1041" s="21">
        <v>46009</v>
      </c>
      <c r="K1041" s="21">
        <v>46009</v>
      </c>
      <c r="L1041" t="s">
        <v>2267</v>
      </c>
      <c r="M1041" t="s">
        <v>634</v>
      </c>
      <c r="O1041" t="s">
        <v>282</v>
      </c>
      <c r="P1041">
        <v>1</v>
      </c>
      <c r="Q1041">
        <v>1</v>
      </c>
      <c r="R1041">
        <v>1950</v>
      </c>
      <c r="S1041">
        <v>1950</v>
      </c>
      <c r="T1041">
        <v>1950</v>
      </c>
      <c r="U1041" t="s">
        <v>391</v>
      </c>
      <c r="V1041" t="s">
        <v>2268</v>
      </c>
      <c r="W1041" t="s">
        <v>392</v>
      </c>
      <c r="X1041">
        <v>1</v>
      </c>
      <c r="Y1041" t="s">
        <v>2268</v>
      </c>
      <c r="Z1041" t="s">
        <v>496</v>
      </c>
      <c r="AA1041">
        <v>3.72</v>
      </c>
      <c r="AB1041" s="22">
        <v>7254</v>
      </c>
      <c r="AC1041" s="22">
        <v>7254</v>
      </c>
    </row>
    <row r="1042" spans="2:29" ht="15" customHeight="1" x14ac:dyDescent="0.15">
      <c r="B1042">
        <v>4</v>
      </c>
      <c r="C1042" t="s">
        <v>386</v>
      </c>
      <c r="D1042" t="s">
        <v>2266</v>
      </c>
      <c r="E1042">
        <v>2</v>
      </c>
      <c r="F1042" t="s">
        <v>201</v>
      </c>
      <c r="G1042" t="s">
        <v>200</v>
      </c>
      <c r="H1042" t="s">
        <v>471</v>
      </c>
      <c r="I1042">
        <v>51</v>
      </c>
      <c r="J1042" s="21">
        <v>46009</v>
      </c>
      <c r="K1042" s="21">
        <v>46009</v>
      </c>
      <c r="L1042" t="s">
        <v>2269</v>
      </c>
      <c r="M1042" t="s">
        <v>942</v>
      </c>
      <c r="O1042" t="s">
        <v>282</v>
      </c>
      <c r="P1042">
        <v>1</v>
      </c>
      <c r="Q1042">
        <v>1</v>
      </c>
      <c r="R1042">
        <v>2100</v>
      </c>
      <c r="S1042">
        <v>2100</v>
      </c>
      <c r="T1042">
        <v>2100</v>
      </c>
      <c r="U1042" t="s">
        <v>391</v>
      </c>
      <c r="V1042" t="s">
        <v>2268</v>
      </c>
      <c r="W1042" t="s">
        <v>392</v>
      </c>
      <c r="X1042">
        <v>1</v>
      </c>
      <c r="Y1042" t="s">
        <v>2268</v>
      </c>
      <c r="Z1042" t="s">
        <v>496</v>
      </c>
      <c r="AA1042">
        <v>1.98</v>
      </c>
      <c r="AB1042" s="22">
        <v>4158</v>
      </c>
      <c r="AC1042" s="22">
        <v>4158</v>
      </c>
    </row>
    <row r="1043" spans="2:29" ht="15" customHeight="1" x14ac:dyDescent="0.15">
      <c r="B1043">
        <v>4</v>
      </c>
      <c r="C1043" t="s">
        <v>386</v>
      </c>
      <c r="D1043" t="s">
        <v>2266</v>
      </c>
      <c r="E1043">
        <v>3</v>
      </c>
      <c r="F1043" t="s">
        <v>201</v>
      </c>
      <c r="G1043" t="s">
        <v>200</v>
      </c>
      <c r="H1043" t="s">
        <v>475</v>
      </c>
      <c r="I1043">
        <v>51</v>
      </c>
      <c r="J1043" s="21">
        <v>46009</v>
      </c>
      <c r="K1043" s="21">
        <v>46009</v>
      </c>
      <c r="L1043" t="s">
        <v>2270</v>
      </c>
      <c r="M1043" t="s">
        <v>631</v>
      </c>
      <c r="O1043" t="s">
        <v>282</v>
      </c>
      <c r="P1043">
        <v>1</v>
      </c>
      <c r="Q1043">
        <v>1</v>
      </c>
      <c r="R1043">
        <v>1900</v>
      </c>
      <c r="S1043">
        <v>1900</v>
      </c>
      <c r="T1043">
        <v>1900</v>
      </c>
      <c r="U1043" t="s">
        <v>391</v>
      </c>
      <c r="V1043" t="s">
        <v>2268</v>
      </c>
      <c r="W1043" t="s">
        <v>392</v>
      </c>
      <c r="X1043">
        <v>1</v>
      </c>
      <c r="Y1043" t="s">
        <v>2268</v>
      </c>
      <c r="Z1043" t="s">
        <v>496</v>
      </c>
      <c r="AA1043">
        <v>3.53</v>
      </c>
      <c r="AB1043" s="22">
        <v>6707</v>
      </c>
      <c r="AC1043" s="22">
        <v>6707</v>
      </c>
    </row>
    <row r="1044" spans="2:29" ht="15" customHeight="1" x14ac:dyDescent="0.15">
      <c r="B1044">
        <v>4</v>
      </c>
      <c r="C1044" t="s">
        <v>386</v>
      </c>
      <c r="D1044" t="s">
        <v>2271</v>
      </c>
      <c r="E1044">
        <v>1</v>
      </c>
      <c r="F1044" t="s">
        <v>201</v>
      </c>
      <c r="G1044" t="s">
        <v>470</v>
      </c>
      <c r="H1044" t="s">
        <v>471</v>
      </c>
      <c r="I1044">
        <v>51</v>
      </c>
      <c r="J1044" s="21">
        <v>46009</v>
      </c>
      <c r="K1044" s="21">
        <v>46009</v>
      </c>
      <c r="L1044" t="s">
        <v>2272</v>
      </c>
      <c r="M1044" t="s">
        <v>473</v>
      </c>
      <c r="O1044" t="s">
        <v>282</v>
      </c>
      <c r="P1044">
        <v>1</v>
      </c>
      <c r="Q1044">
        <v>1</v>
      </c>
      <c r="R1044">
        <v>550</v>
      </c>
      <c r="S1044">
        <v>550</v>
      </c>
      <c r="T1044">
        <v>550</v>
      </c>
      <c r="U1044" t="s">
        <v>391</v>
      </c>
      <c r="V1044" t="s">
        <v>2273</v>
      </c>
      <c r="W1044" t="s">
        <v>392</v>
      </c>
      <c r="X1044">
        <v>1</v>
      </c>
      <c r="Y1044" t="s">
        <v>2273</v>
      </c>
      <c r="Z1044" t="s">
        <v>496</v>
      </c>
      <c r="AA1044">
        <v>2.16</v>
      </c>
      <c r="AB1044" s="22">
        <v>1188</v>
      </c>
      <c r="AC1044" s="22">
        <v>1188</v>
      </c>
    </row>
    <row r="1045" spans="2:29" ht="15" customHeight="1" x14ac:dyDescent="0.15">
      <c r="B1045">
        <v>4</v>
      </c>
      <c r="C1045" t="s">
        <v>386</v>
      </c>
      <c r="D1045" t="s">
        <v>2271</v>
      </c>
      <c r="E1045">
        <v>2</v>
      </c>
      <c r="F1045" t="s">
        <v>201</v>
      </c>
      <c r="G1045" t="s">
        <v>200</v>
      </c>
      <c r="H1045" t="s">
        <v>861</v>
      </c>
      <c r="I1045">
        <v>51</v>
      </c>
      <c r="J1045" s="21">
        <v>46009</v>
      </c>
      <c r="K1045" s="21">
        <v>46009</v>
      </c>
      <c r="L1045" t="s">
        <v>2274</v>
      </c>
      <c r="M1045" t="s">
        <v>2275</v>
      </c>
      <c r="O1045" t="s">
        <v>282</v>
      </c>
      <c r="P1045">
        <v>1</v>
      </c>
      <c r="Q1045">
        <v>1</v>
      </c>
      <c r="R1045">
        <v>850</v>
      </c>
      <c r="S1045">
        <v>850</v>
      </c>
      <c r="T1045">
        <v>850</v>
      </c>
      <c r="U1045" t="s">
        <v>391</v>
      </c>
      <c r="V1045" t="s">
        <v>2273</v>
      </c>
      <c r="W1045" t="s">
        <v>392</v>
      </c>
      <c r="X1045">
        <v>1</v>
      </c>
      <c r="Y1045" t="s">
        <v>2273</v>
      </c>
      <c r="Z1045" t="s">
        <v>496</v>
      </c>
      <c r="AA1045">
        <v>2.84</v>
      </c>
      <c r="AB1045" s="22">
        <v>2414</v>
      </c>
      <c r="AC1045" s="22">
        <v>2414</v>
      </c>
    </row>
    <row r="1046" spans="2:29" ht="15" customHeight="1" x14ac:dyDescent="0.15">
      <c r="B1046">
        <v>4</v>
      </c>
      <c r="C1046" t="s">
        <v>386</v>
      </c>
      <c r="D1046" t="s">
        <v>2276</v>
      </c>
      <c r="E1046">
        <v>1</v>
      </c>
      <c r="F1046" t="s">
        <v>201</v>
      </c>
      <c r="G1046" t="s">
        <v>200</v>
      </c>
      <c r="H1046" t="s">
        <v>635</v>
      </c>
      <c r="I1046">
        <v>51</v>
      </c>
      <c r="J1046" s="21">
        <v>46009</v>
      </c>
      <c r="K1046" s="21">
        <v>46009</v>
      </c>
      <c r="L1046" t="s">
        <v>2277</v>
      </c>
      <c r="M1046" t="s">
        <v>204</v>
      </c>
      <c r="O1046" t="s">
        <v>282</v>
      </c>
      <c r="P1046">
        <v>1</v>
      </c>
      <c r="Q1046">
        <v>1</v>
      </c>
      <c r="R1046">
        <v>1100</v>
      </c>
      <c r="S1046">
        <v>1100</v>
      </c>
      <c r="T1046">
        <v>1100</v>
      </c>
      <c r="U1046" t="s">
        <v>391</v>
      </c>
      <c r="V1046" t="s">
        <v>2273</v>
      </c>
      <c r="W1046" t="s">
        <v>392</v>
      </c>
      <c r="X1046">
        <v>1</v>
      </c>
      <c r="Y1046" t="s">
        <v>2273</v>
      </c>
      <c r="Z1046" t="s">
        <v>496</v>
      </c>
      <c r="AA1046">
        <v>2.06</v>
      </c>
      <c r="AB1046" s="22">
        <v>2263.8000000000002</v>
      </c>
      <c r="AC1046" s="22">
        <v>2263.8000000000002</v>
      </c>
    </row>
    <row r="1047" spans="2:29" ht="15" customHeight="1" x14ac:dyDescent="0.15">
      <c r="B1047">
        <v>4</v>
      </c>
      <c r="C1047" t="s">
        <v>386</v>
      </c>
      <c r="D1047" t="s">
        <v>2278</v>
      </c>
      <c r="E1047">
        <v>1</v>
      </c>
      <c r="F1047" t="s">
        <v>219</v>
      </c>
      <c r="G1047" t="s">
        <v>231</v>
      </c>
      <c r="H1047" t="s">
        <v>433</v>
      </c>
      <c r="I1047">
        <v>52</v>
      </c>
      <c r="J1047" s="21">
        <v>46014</v>
      </c>
      <c r="K1047" s="21">
        <v>46020</v>
      </c>
      <c r="L1047" t="s">
        <v>2279</v>
      </c>
      <c r="M1047" t="s">
        <v>1030</v>
      </c>
      <c r="N1047">
        <v>23</v>
      </c>
      <c r="O1047" t="s">
        <v>220</v>
      </c>
      <c r="P1047">
        <v>4</v>
      </c>
      <c r="Q1047">
        <v>0.95</v>
      </c>
      <c r="R1047">
        <v>0.12</v>
      </c>
      <c r="S1047">
        <v>0.45600000000000002</v>
      </c>
      <c r="T1047">
        <v>0.11</v>
      </c>
      <c r="U1047" t="s">
        <v>19</v>
      </c>
      <c r="V1047" t="s">
        <v>20</v>
      </c>
      <c r="W1047" t="s">
        <v>21</v>
      </c>
      <c r="X1047">
        <v>4</v>
      </c>
      <c r="Y1047" t="s">
        <v>455</v>
      </c>
      <c r="Z1047" t="s">
        <v>496</v>
      </c>
      <c r="AA1047">
        <v>21.83</v>
      </c>
      <c r="AB1047">
        <v>9.9499999999999993</v>
      </c>
      <c r="AC1047">
        <v>2.4900000000000002</v>
      </c>
    </row>
    <row r="1048" spans="2:29" ht="15" customHeight="1" x14ac:dyDescent="0.15">
      <c r="B1048">
        <v>4</v>
      </c>
      <c r="C1048" t="s">
        <v>386</v>
      </c>
      <c r="D1048" t="s">
        <v>2278</v>
      </c>
      <c r="E1048">
        <v>2</v>
      </c>
      <c r="F1048" t="s">
        <v>219</v>
      </c>
      <c r="G1048" t="s">
        <v>239</v>
      </c>
      <c r="H1048" t="s">
        <v>602</v>
      </c>
      <c r="I1048">
        <v>52</v>
      </c>
      <c r="J1048" s="21">
        <v>46014</v>
      </c>
      <c r="K1048" s="21">
        <v>46020</v>
      </c>
      <c r="L1048" t="s">
        <v>2280</v>
      </c>
      <c r="M1048" t="s">
        <v>258</v>
      </c>
      <c r="N1048">
        <v>23</v>
      </c>
      <c r="O1048" t="s">
        <v>220</v>
      </c>
      <c r="P1048">
        <v>4</v>
      </c>
      <c r="Q1048">
        <v>0.95</v>
      </c>
      <c r="R1048">
        <v>0.5</v>
      </c>
      <c r="S1048">
        <v>1.9</v>
      </c>
      <c r="T1048">
        <v>0.48</v>
      </c>
      <c r="U1048" t="s">
        <v>19</v>
      </c>
      <c r="V1048" t="s">
        <v>20</v>
      </c>
      <c r="W1048" t="s">
        <v>21</v>
      </c>
      <c r="X1048">
        <v>4</v>
      </c>
      <c r="Y1048" t="s">
        <v>455</v>
      </c>
      <c r="Z1048" t="s">
        <v>496</v>
      </c>
      <c r="AA1048">
        <v>180</v>
      </c>
      <c r="AB1048">
        <v>342</v>
      </c>
      <c r="AC1048">
        <v>85.5</v>
      </c>
    </row>
    <row r="1049" spans="2:29" ht="15" customHeight="1" x14ac:dyDescent="0.15">
      <c r="B1049">
        <v>4</v>
      </c>
      <c r="C1049" t="s">
        <v>386</v>
      </c>
      <c r="D1049" t="s">
        <v>2278</v>
      </c>
      <c r="E1049">
        <v>3</v>
      </c>
      <c r="F1049" t="s">
        <v>219</v>
      </c>
      <c r="G1049" t="s">
        <v>239</v>
      </c>
      <c r="H1049" t="s">
        <v>1695</v>
      </c>
      <c r="I1049">
        <v>52</v>
      </c>
      <c r="J1049" s="21">
        <v>46014</v>
      </c>
      <c r="K1049" s="21">
        <v>46020</v>
      </c>
      <c r="L1049" t="s">
        <v>2281</v>
      </c>
      <c r="M1049" t="s">
        <v>1697</v>
      </c>
      <c r="N1049">
        <v>23</v>
      </c>
      <c r="O1049" t="s">
        <v>220</v>
      </c>
      <c r="P1049">
        <v>4</v>
      </c>
      <c r="Q1049">
        <v>0.95</v>
      </c>
      <c r="R1049">
        <v>1</v>
      </c>
      <c r="S1049">
        <v>3.8</v>
      </c>
      <c r="T1049">
        <v>0.95</v>
      </c>
      <c r="U1049" t="s">
        <v>19</v>
      </c>
      <c r="V1049" t="s">
        <v>20</v>
      </c>
      <c r="W1049" t="s">
        <v>21</v>
      </c>
      <c r="X1049">
        <v>4</v>
      </c>
      <c r="Y1049" t="s">
        <v>455</v>
      </c>
      <c r="Z1049" t="s">
        <v>496</v>
      </c>
      <c r="AA1049">
        <v>26.7</v>
      </c>
      <c r="AB1049">
        <v>101.46</v>
      </c>
      <c r="AC1049">
        <v>25.37</v>
      </c>
    </row>
    <row r="1050" spans="2:29" ht="15" customHeight="1" x14ac:dyDescent="0.15">
      <c r="B1050">
        <v>4</v>
      </c>
      <c r="C1050" t="s">
        <v>386</v>
      </c>
      <c r="D1050" t="s">
        <v>2278</v>
      </c>
      <c r="E1050">
        <v>4</v>
      </c>
      <c r="F1050" t="s">
        <v>219</v>
      </c>
      <c r="G1050" t="s">
        <v>337</v>
      </c>
      <c r="H1050" t="s">
        <v>485</v>
      </c>
      <c r="I1050">
        <v>52</v>
      </c>
      <c r="J1050" s="21">
        <v>46014</v>
      </c>
      <c r="K1050" s="21">
        <v>46020</v>
      </c>
      <c r="L1050" t="s">
        <v>2282</v>
      </c>
      <c r="M1050" t="s">
        <v>1316</v>
      </c>
      <c r="N1050">
        <v>23</v>
      </c>
      <c r="P1050">
        <v>2</v>
      </c>
      <c r="Q1050">
        <v>0.45</v>
      </c>
      <c r="R1050">
        <v>1</v>
      </c>
      <c r="S1050">
        <v>1.8</v>
      </c>
      <c r="T1050">
        <v>0.45</v>
      </c>
      <c r="U1050" t="s">
        <v>19</v>
      </c>
      <c r="V1050" t="s">
        <v>20</v>
      </c>
      <c r="W1050" t="s">
        <v>21</v>
      </c>
      <c r="X1050">
        <v>4</v>
      </c>
      <c r="Y1050" t="s">
        <v>455</v>
      </c>
      <c r="Z1050" t="s">
        <v>496</v>
      </c>
      <c r="AA1050">
        <v>92.82</v>
      </c>
      <c r="AB1050">
        <v>167.08</v>
      </c>
      <c r="AC1050">
        <v>41.77</v>
      </c>
    </row>
    <row r="1051" spans="2:29" ht="15" customHeight="1" x14ac:dyDescent="0.15">
      <c r="B1051">
        <v>4</v>
      </c>
      <c r="C1051" t="s">
        <v>386</v>
      </c>
      <c r="D1051" t="s">
        <v>2283</v>
      </c>
      <c r="E1051">
        <v>1</v>
      </c>
      <c r="F1051" t="s">
        <v>219</v>
      </c>
      <c r="G1051" t="s">
        <v>231</v>
      </c>
      <c r="H1051" t="s">
        <v>433</v>
      </c>
      <c r="I1051">
        <v>53</v>
      </c>
      <c r="J1051" s="21">
        <v>46020</v>
      </c>
      <c r="K1051" s="21">
        <v>46020</v>
      </c>
      <c r="L1051" t="s">
        <v>2284</v>
      </c>
      <c r="M1051" t="s">
        <v>1030</v>
      </c>
      <c r="O1051" t="s">
        <v>248</v>
      </c>
      <c r="P1051">
        <v>0</v>
      </c>
      <c r="Q1051">
        <v>0.1</v>
      </c>
      <c r="R1051">
        <v>0.2</v>
      </c>
      <c r="S1051">
        <v>0.04</v>
      </c>
      <c r="T1051">
        <v>0.02</v>
      </c>
      <c r="U1051" t="s">
        <v>627</v>
      </c>
      <c r="V1051" t="s">
        <v>628</v>
      </c>
      <c r="W1051" t="s">
        <v>532</v>
      </c>
      <c r="X1051">
        <v>2</v>
      </c>
      <c r="Y1051" t="s">
        <v>2285</v>
      </c>
      <c r="Z1051" t="s">
        <v>496</v>
      </c>
      <c r="AA1051">
        <v>21.83</v>
      </c>
      <c r="AB1051">
        <v>0.87</v>
      </c>
      <c r="AC1051">
        <v>0.44</v>
      </c>
    </row>
    <row r="1052" spans="2:29" ht="15" customHeight="1" x14ac:dyDescent="0.15">
      <c r="B1052">
        <v>4</v>
      </c>
      <c r="C1052" t="s">
        <v>386</v>
      </c>
      <c r="D1052" t="s">
        <v>2283</v>
      </c>
      <c r="E1052">
        <v>2</v>
      </c>
      <c r="F1052" t="s">
        <v>219</v>
      </c>
      <c r="G1052" t="s">
        <v>439</v>
      </c>
      <c r="H1052" t="s">
        <v>849</v>
      </c>
      <c r="I1052">
        <v>53</v>
      </c>
      <c r="J1052" s="21">
        <v>46020</v>
      </c>
      <c r="K1052" s="21">
        <v>46020</v>
      </c>
      <c r="L1052" t="s">
        <v>2286</v>
      </c>
      <c r="M1052" t="s">
        <v>851</v>
      </c>
      <c r="O1052" t="s">
        <v>248</v>
      </c>
      <c r="P1052">
        <v>0</v>
      </c>
      <c r="Q1052">
        <v>0.1</v>
      </c>
      <c r="R1052">
        <v>3.5</v>
      </c>
      <c r="S1052">
        <v>0.7</v>
      </c>
      <c r="T1052">
        <v>0.35</v>
      </c>
      <c r="U1052" t="s">
        <v>627</v>
      </c>
      <c r="V1052" t="s">
        <v>628</v>
      </c>
      <c r="W1052" t="s">
        <v>532</v>
      </c>
      <c r="X1052">
        <v>2</v>
      </c>
      <c r="Y1052" t="s">
        <v>2285</v>
      </c>
      <c r="Z1052" t="s">
        <v>496</v>
      </c>
      <c r="AA1052">
        <v>24.21</v>
      </c>
      <c r="AB1052">
        <v>16.95</v>
      </c>
      <c r="AC1052">
        <v>8.4700000000000006</v>
      </c>
    </row>
    <row r="1053" spans="2:29" ht="15" customHeight="1" x14ac:dyDescent="0.15">
      <c r="B1053">
        <v>4</v>
      </c>
      <c r="C1053" t="s">
        <v>386</v>
      </c>
      <c r="D1053" t="s">
        <v>2283</v>
      </c>
      <c r="E1053">
        <v>3</v>
      </c>
      <c r="F1053" t="s">
        <v>219</v>
      </c>
      <c r="G1053" t="s">
        <v>218</v>
      </c>
      <c r="H1053" t="s">
        <v>1175</v>
      </c>
      <c r="I1053">
        <v>53</v>
      </c>
      <c r="J1053" s="21">
        <v>46020</v>
      </c>
      <c r="K1053" s="21">
        <v>46020</v>
      </c>
      <c r="L1053" t="s">
        <v>2287</v>
      </c>
      <c r="M1053" t="s">
        <v>1177</v>
      </c>
      <c r="O1053" t="s">
        <v>248</v>
      </c>
      <c r="P1053">
        <v>0</v>
      </c>
      <c r="Q1053">
        <v>0.1</v>
      </c>
      <c r="R1053">
        <v>0.2</v>
      </c>
      <c r="S1053">
        <v>0.04</v>
      </c>
      <c r="T1053">
        <v>0.02</v>
      </c>
      <c r="U1053" t="s">
        <v>627</v>
      </c>
      <c r="V1053" t="s">
        <v>628</v>
      </c>
      <c r="W1053" t="s">
        <v>532</v>
      </c>
      <c r="X1053">
        <v>2</v>
      </c>
      <c r="Y1053" t="s">
        <v>2285</v>
      </c>
      <c r="Z1053" t="s">
        <v>496</v>
      </c>
      <c r="AA1053">
        <v>177</v>
      </c>
      <c r="AB1053">
        <v>7.08</v>
      </c>
      <c r="AC1053">
        <v>3.54</v>
      </c>
    </row>
    <row r="1054" spans="2:29" ht="15" customHeight="1" x14ac:dyDescent="0.15">
      <c r="B1054">
        <v>4</v>
      </c>
      <c r="C1054" t="s">
        <v>386</v>
      </c>
      <c r="D1054" t="s">
        <v>2288</v>
      </c>
      <c r="E1054">
        <v>1</v>
      </c>
      <c r="F1054" t="s">
        <v>201</v>
      </c>
      <c r="G1054" t="s">
        <v>200</v>
      </c>
      <c r="H1054" t="s">
        <v>861</v>
      </c>
      <c r="I1054">
        <v>52</v>
      </c>
      <c r="J1054" s="21">
        <v>46017</v>
      </c>
      <c r="K1054" s="21">
        <v>46017</v>
      </c>
      <c r="L1054" t="s">
        <v>2289</v>
      </c>
      <c r="M1054" t="s">
        <v>2290</v>
      </c>
      <c r="P1054">
        <v>1</v>
      </c>
      <c r="R1054">
        <v>1250</v>
      </c>
      <c r="S1054">
        <v>1250</v>
      </c>
      <c r="U1054" t="s">
        <v>391</v>
      </c>
      <c r="V1054" t="s">
        <v>391</v>
      </c>
      <c r="W1054" t="s">
        <v>392</v>
      </c>
      <c r="Y1054" t="s">
        <v>2291</v>
      </c>
      <c r="Z1054" t="s">
        <v>496</v>
      </c>
      <c r="AA1054">
        <v>1.94</v>
      </c>
      <c r="AB1054" s="22">
        <v>2422.5</v>
      </c>
      <c r="AC1054">
        <v>0</v>
      </c>
    </row>
    <row r="1055" spans="2:29" ht="15" customHeight="1" x14ac:dyDescent="0.15">
      <c r="B1055">
        <v>4</v>
      </c>
      <c r="C1055" t="s">
        <v>386</v>
      </c>
      <c r="D1055" t="s">
        <v>2292</v>
      </c>
      <c r="E1055">
        <v>1</v>
      </c>
      <c r="F1055" t="s">
        <v>219</v>
      </c>
      <c r="G1055" t="s">
        <v>231</v>
      </c>
      <c r="H1055" t="s">
        <v>433</v>
      </c>
      <c r="I1055">
        <v>2</v>
      </c>
      <c r="J1055" s="21">
        <v>46028</v>
      </c>
      <c r="L1055" t="s">
        <v>2293</v>
      </c>
      <c r="M1055" t="s">
        <v>1030</v>
      </c>
      <c r="O1055" t="s">
        <v>248</v>
      </c>
      <c r="P1055">
        <v>1</v>
      </c>
      <c r="Q1055">
        <v>0.25</v>
      </c>
      <c r="R1055">
        <v>0.15</v>
      </c>
      <c r="S1055">
        <v>7.4999999999999997E-2</v>
      </c>
      <c r="T1055">
        <v>0.04</v>
      </c>
      <c r="U1055" t="s">
        <v>1050</v>
      </c>
      <c r="V1055" t="s">
        <v>847</v>
      </c>
      <c r="W1055" t="s">
        <v>532</v>
      </c>
      <c r="X1055">
        <v>2</v>
      </c>
      <c r="Y1055" t="s">
        <v>2198</v>
      </c>
      <c r="Z1055" t="s">
        <v>496</v>
      </c>
      <c r="AA1055">
        <v>21.83</v>
      </c>
      <c r="AB1055">
        <v>1.64</v>
      </c>
      <c r="AC1055">
        <v>0.82</v>
      </c>
    </row>
    <row r="1056" spans="2:29" ht="15" customHeight="1" x14ac:dyDescent="0.15">
      <c r="B1056">
        <v>4</v>
      </c>
      <c r="C1056" t="s">
        <v>386</v>
      </c>
      <c r="D1056" t="s">
        <v>2292</v>
      </c>
      <c r="E1056">
        <v>2</v>
      </c>
      <c r="F1056" t="s">
        <v>219</v>
      </c>
      <c r="G1056" t="s">
        <v>218</v>
      </c>
      <c r="H1056" t="s">
        <v>406</v>
      </c>
      <c r="I1056">
        <v>2</v>
      </c>
      <c r="J1056" s="21">
        <v>46028</v>
      </c>
      <c r="L1056" t="s">
        <v>2294</v>
      </c>
      <c r="M1056" t="s">
        <v>2295</v>
      </c>
      <c r="O1056" t="s">
        <v>248</v>
      </c>
      <c r="P1056">
        <v>1</v>
      </c>
      <c r="Q1056">
        <v>0.25</v>
      </c>
      <c r="R1056">
        <v>0.3</v>
      </c>
      <c r="S1056">
        <v>0.15</v>
      </c>
      <c r="T1056">
        <v>0.08</v>
      </c>
      <c r="U1056" t="s">
        <v>1050</v>
      </c>
      <c r="V1056" t="s">
        <v>847</v>
      </c>
      <c r="W1056" t="s">
        <v>532</v>
      </c>
      <c r="X1056">
        <v>2</v>
      </c>
      <c r="Y1056" t="s">
        <v>2198</v>
      </c>
      <c r="Z1056" t="s">
        <v>496</v>
      </c>
      <c r="AA1056">
        <v>299.57</v>
      </c>
      <c r="AB1056">
        <v>44.94</v>
      </c>
      <c r="AC1056">
        <v>22.47</v>
      </c>
    </row>
    <row r="1057" spans="2:29" ht="15" customHeight="1" x14ac:dyDescent="0.15">
      <c r="B1057">
        <v>4</v>
      </c>
      <c r="C1057" t="s">
        <v>386</v>
      </c>
      <c r="D1057" t="s">
        <v>2292</v>
      </c>
      <c r="E1057">
        <v>3</v>
      </c>
      <c r="F1057" t="s">
        <v>219</v>
      </c>
      <c r="G1057" t="s">
        <v>218</v>
      </c>
      <c r="H1057" t="s">
        <v>911</v>
      </c>
      <c r="I1057">
        <v>2</v>
      </c>
      <c r="J1057" s="21">
        <v>46028</v>
      </c>
      <c r="L1057" t="s">
        <v>2296</v>
      </c>
      <c r="M1057" t="s">
        <v>913</v>
      </c>
      <c r="O1057" t="s">
        <v>248</v>
      </c>
      <c r="P1057">
        <v>1</v>
      </c>
      <c r="Q1057">
        <v>0.25</v>
      </c>
      <c r="R1057">
        <v>0.3</v>
      </c>
      <c r="S1057">
        <v>0.15</v>
      </c>
      <c r="T1057">
        <v>0.08</v>
      </c>
      <c r="U1057" t="s">
        <v>1050</v>
      </c>
      <c r="V1057" t="s">
        <v>847</v>
      </c>
      <c r="W1057" t="s">
        <v>532</v>
      </c>
      <c r="X1057">
        <v>2</v>
      </c>
      <c r="Y1057" t="s">
        <v>2198</v>
      </c>
      <c r="Z1057" t="s">
        <v>496</v>
      </c>
      <c r="AA1057">
        <v>91.24</v>
      </c>
      <c r="AB1057">
        <v>13.69</v>
      </c>
      <c r="AC1057">
        <v>6.84</v>
      </c>
    </row>
    <row r="1058" spans="2:29" ht="15" customHeight="1" x14ac:dyDescent="0.15">
      <c r="B1058">
        <v>4</v>
      </c>
      <c r="C1058" t="s">
        <v>386</v>
      </c>
      <c r="D1058" t="s">
        <v>2297</v>
      </c>
      <c r="E1058">
        <v>1</v>
      </c>
      <c r="F1058" t="s">
        <v>219</v>
      </c>
      <c r="G1058" t="s">
        <v>231</v>
      </c>
      <c r="H1058" t="s">
        <v>433</v>
      </c>
      <c r="I1058">
        <v>2</v>
      </c>
      <c r="J1058" s="21">
        <v>46028</v>
      </c>
      <c r="K1058" s="21">
        <v>46034</v>
      </c>
      <c r="L1058" t="s">
        <v>2298</v>
      </c>
      <c r="M1058" t="s">
        <v>1030</v>
      </c>
      <c r="O1058" t="s">
        <v>248</v>
      </c>
      <c r="P1058">
        <v>0</v>
      </c>
      <c r="Q1058">
        <v>0.2</v>
      </c>
      <c r="R1058">
        <v>0.2</v>
      </c>
      <c r="S1058">
        <v>0.04</v>
      </c>
      <c r="T1058">
        <v>0.04</v>
      </c>
      <c r="U1058" t="s">
        <v>391</v>
      </c>
      <c r="V1058" t="s">
        <v>392</v>
      </c>
      <c r="W1058" t="s">
        <v>392</v>
      </c>
      <c r="X1058">
        <v>1</v>
      </c>
      <c r="Y1058" t="s">
        <v>2285</v>
      </c>
      <c r="Z1058" t="s">
        <v>496</v>
      </c>
      <c r="AA1058">
        <v>21.83</v>
      </c>
      <c r="AB1058">
        <v>0.87</v>
      </c>
      <c r="AC1058">
        <v>0.87</v>
      </c>
    </row>
    <row r="1059" spans="2:29" ht="15" customHeight="1" x14ac:dyDescent="0.15">
      <c r="B1059">
        <v>4</v>
      </c>
      <c r="C1059" t="s">
        <v>386</v>
      </c>
      <c r="D1059" t="s">
        <v>2297</v>
      </c>
      <c r="E1059">
        <v>2</v>
      </c>
      <c r="F1059" t="s">
        <v>219</v>
      </c>
      <c r="G1059" t="s">
        <v>439</v>
      </c>
      <c r="H1059" t="s">
        <v>849</v>
      </c>
      <c r="I1059">
        <v>2</v>
      </c>
      <c r="J1059" s="21">
        <v>46028</v>
      </c>
      <c r="K1059" s="21">
        <v>46034</v>
      </c>
      <c r="L1059" t="s">
        <v>2299</v>
      </c>
      <c r="M1059" t="s">
        <v>851</v>
      </c>
      <c r="O1059" t="s">
        <v>248</v>
      </c>
      <c r="P1059">
        <v>0</v>
      </c>
      <c r="Q1059">
        <v>0.2</v>
      </c>
      <c r="R1059">
        <v>3.5</v>
      </c>
      <c r="S1059">
        <v>0.7</v>
      </c>
      <c r="T1059">
        <v>0.7</v>
      </c>
      <c r="U1059" t="s">
        <v>391</v>
      </c>
      <c r="V1059" t="s">
        <v>392</v>
      </c>
      <c r="W1059" t="s">
        <v>392</v>
      </c>
      <c r="X1059">
        <v>1</v>
      </c>
      <c r="Y1059" t="s">
        <v>2285</v>
      </c>
      <c r="Z1059" t="s">
        <v>496</v>
      </c>
      <c r="AA1059">
        <v>24.21</v>
      </c>
      <c r="AB1059">
        <v>16.95</v>
      </c>
      <c r="AC1059">
        <v>16.95</v>
      </c>
    </row>
    <row r="1060" spans="2:29" ht="15" customHeight="1" x14ac:dyDescent="0.15">
      <c r="B1060">
        <v>4</v>
      </c>
      <c r="C1060" t="s">
        <v>386</v>
      </c>
      <c r="D1060" t="s">
        <v>2297</v>
      </c>
      <c r="E1060">
        <v>3</v>
      </c>
      <c r="F1060" t="s">
        <v>219</v>
      </c>
      <c r="G1060" t="s">
        <v>218</v>
      </c>
      <c r="H1060" t="s">
        <v>1175</v>
      </c>
      <c r="I1060">
        <v>2</v>
      </c>
      <c r="J1060" s="21">
        <v>46028</v>
      </c>
      <c r="K1060" s="21">
        <v>46034</v>
      </c>
      <c r="L1060" t="s">
        <v>2300</v>
      </c>
      <c r="M1060" t="s">
        <v>1177</v>
      </c>
      <c r="O1060" t="s">
        <v>248</v>
      </c>
      <c r="P1060">
        <v>0</v>
      </c>
      <c r="Q1060">
        <v>0.2</v>
      </c>
      <c r="R1060">
        <v>0.2</v>
      </c>
      <c r="S1060">
        <v>0.04</v>
      </c>
      <c r="T1060">
        <v>0.04</v>
      </c>
      <c r="U1060" t="s">
        <v>391</v>
      </c>
      <c r="V1060" t="s">
        <v>392</v>
      </c>
      <c r="W1060" t="s">
        <v>392</v>
      </c>
      <c r="X1060">
        <v>1</v>
      </c>
      <c r="Y1060" t="s">
        <v>2285</v>
      </c>
      <c r="AA1060">
        <v>177</v>
      </c>
      <c r="AB1060">
        <v>7.08</v>
      </c>
      <c r="AC1060">
        <v>7.08</v>
      </c>
    </row>
    <row r="1061" spans="2:29" ht="15" customHeight="1" x14ac:dyDescent="0.15">
      <c r="B1061">
        <v>4</v>
      </c>
      <c r="C1061" t="s">
        <v>386</v>
      </c>
      <c r="D1061" t="s">
        <v>2301</v>
      </c>
      <c r="E1061">
        <v>1</v>
      </c>
      <c r="F1061" t="s">
        <v>219</v>
      </c>
      <c r="G1061" t="s">
        <v>231</v>
      </c>
      <c r="H1061" t="s">
        <v>433</v>
      </c>
      <c r="I1061">
        <v>3</v>
      </c>
      <c r="J1061" s="21">
        <v>46036</v>
      </c>
      <c r="K1061" s="21">
        <v>46036</v>
      </c>
      <c r="L1061" t="s">
        <v>2302</v>
      </c>
      <c r="M1061" t="s">
        <v>1030</v>
      </c>
      <c r="N1061">
        <v>39</v>
      </c>
      <c r="O1061" t="s">
        <v>248</v>
      </c>
      <c r="P1061">
        <v>6</v>
      </c>
      <c r="Q1061">
        <v>1.5</v>
      </c>
      <c r="R1061">
        <v>0.12</v>
      </c>
      <c r="S1061">
        <v>0.72</v>
      </c>
      <c r="T1061">
        <v>0.18</v>
      </c>
      <c r="U1061" t="s">
        <v>19</v>
      </c>
      <c r="V1061" t="s">
        <v>20</v>
      </c>
      <c r="W1061" t="s">
        <v>21</v>
      </c>
      <c r="X1061">
        <v>4</v>
      </c>
      <c r="Y1061" t="s">
        <v>679</v>
      </c>
      <c r="Z1061" t="s">
        <v>496</v>
      </c>
      <c r="AA1061">
        <v>21.83</v>
      </c>
      <c r="AB1061">
        <v>15.72</v>
      </c>
      <c r="AC1061">
        <v>3.93</v>
      </c>
    </row>
    <row r="1062" spans="2:29" ht="15" customHeight="1" x14ac:dyDescent="0.15">
      <c r="B1062">
        <v>4</v>
      </c>
      <c r="C1062" t="s">
        <v>386</v>
      </c>
      <c r="D1062" t="s">
        <v>2301</v>
      </c>
      <c r="E1062">
        <v>2</v>
      </c>
      <c r="F1062" t="s">
        <v>219</v>
      </c>
      <c r="G1062" t="s">
        <v>218</v>
      </c>
      <c r="H1062" t="s">
        <v>406</v>
      </c>
      <c r="I1062">
        <v>3</v>
      </c>
      <c r="J1062" s="21">
        <v>46036</v>
      </c>
      <c r="K1062" s="21">
        <v>46036</v>
      </c>
      <c r="L1062" t="s">
        <v>2303</v>
      </c>
      <c r="M1062" t="s">
        <v>2295</v>
      </c>
      <c r="N1062">
        <v>39</v>
      </c>
      <c r="O1062" t="s">
        <v>248</v>
      </c>
      <c r="P1062">
        <v>6</v>
      </c>
      <c r="Q1062">
        <v>1.5</v>
      </c>
      <c r="R1062">
        <v>0.3</v>
      </c>
      <c r="S1062">
        <v>1.8</v>
      </c>
      <c r="T1062">
        <v>0.45</v>
      </c>
      <c r="U1062" t="s">
        <v>19</v>
      </c>
      <c r="V1062" t="s">
        <v>20</v>
      </c>
      <c r="W1062" t="s">
        <v>21</v>
      </c>
      <c r="X1062">
        <v>4</v>
      </c>
      <c r="Y1062" t="s">
        <v>679</v>
      </c>
      <c r="Z1062" t="s">
        <v>496</v>
      </c>
      <c r="AA1062">
        <v>299.57</v>
      </c>
      <c r="AB1062">
        <v>539.23</v>
      </c>
      <c r="AC1062">
        <v>134.81</v>
      </c>
    </row>
    <row r="1063" spans="2:29" ht="15" customHeight="1" x14ac:dyDescent="0.15">
      <c r="B1063">
        <v>4</v>
      </c>
      <c r="C1063" t="s">
        <v>386</v>
      </c>
      <c r="D1063" t="s">
        <v>2301</v>
      </c>
      <c r="E1063">
        <v>3</v>
      </c>
      <c r="F1063" t="s">
        <v>219</v>
      </c>
      <c r="G1063" t="s">
        <v>239</v>
      </c>
      <c r="H1063" t="s">
        <v>2182</v>
      </c>
      <c r="I1063">
        <v>3</v>
      </c>
      <c r="J1063" s="21">
        <v>46036</v>
      </c>
      <c r="K1063" s="21">
        <v>46036</v>
      </c>
      <c r="L1063" t="s">
        <v>2304</v>
      </c>
      <c r="M1063" t="s">
        <v>2184</v>
      </c>
      <c r="N1063">
        <v>39</v>
      </c>
      <c r="O1063" t="s">
        <v>248</v>
      </c>
      <c r="P1063">
        <v>6</v>
      </c>
      <c r="Q1063">
        <v>1.5</v>
      </c>
      <c r="R1063">
        <v>0.5</v>
      </c>
      <c r="S1063">
        <v>3</v>
      </c>
      <c r="T1063">
        <v>0.75</v>
      </c>
      <c r="U1063" t="s">
        <v>19</v>
      </c>
      <c r="V1063" t="s">
        <v>20</v>
      </c>
      <c r="W1063" t="s">
        <v>21</v>
      </c>
      <c r="X1063">
        <v>4</v>
      </c>
      <c r="Y1063" t="s">
        <v>679</v>
      </c>
      <c r="Z1063" t="s">
        <v>496</v>
      </c>
      <c r="AA1063">
        <v>67.209999999999994</v>
      </c>
      <c r="AB1063">
        <v>201.63</v>
      </c>
      <c r="AC1063">
        <v>50.41</v>
      </c>
    </row>
    <row r="1064" spans="2:29" ht="15" customHeight="1" x14ac:dyDescent="0.15">
      <c r="B1064">
        <v>4</v>
      </c>
      <c r="C1064" t="s">
        <v>386</v>
      </c>
      <c r="D1064" t="s">
        <v>2301</v>
      </c>
      <c r="E1064">
        <v>4</v>
      </c>
      <c r="F1064" t="s">
        <v>219</v>
      </c>
      <c r="G1064" t="s">
        <v>218</v>
      </c>
      <c r="H1064" t="s">
        <v>2305</v>
      </c>
      <c r="I1064">
        <v>3</v>
      </c>
      <c r="J1064" s="21">
        <v>46036</v>
      </c>
      <c r="K1064" s="21">
        <v>46036</v>
      </c>
      <c r="L1064" t="s">
        <v>2306</v>
      </c>
      <c r="M1064" t="s">
        <v>2307</v>
      </c>
      <c r="N1064">
        <v>39</v>
      </c>
      <c r="O1064" t="s">
        <v>226</v>
      </c>
      <c r="P1064">
        <v>6</v>
      </c>
      <c r="Q1064">
        <v>1.5</v>
      </c>
      <c r="R1064">
        <v>0.5</v>
      </c>
      <c r="S1064">
        <v>3</v>
      </c>
      <c r="T1064">
        <v>0.75</v>
      </c>
      <c r="U1064" t="s">
        <v>19</v>
      </c>
      <c r="V1064" t="s">
        <v>20</v>
      </c>
      <c r="W1064" t="s">
        <v>21</v>
      </c>
      <c r="X1064">
        <v>4</v>
      </c>
      <c r="Y1064" t="s">
        <v>679</v>
      </c>
      <c r="Z1064" t="s">
        <v>496</v>
      </c>
      <c r="AA1064">
        <v>53</v>
      </c>
      <c r="AB1064">
        <v>159</v>
      </c>
      <c r="AC1064">
        <v>39.75</v>
      </c>
    </row>
    <row r="1065" spans="2:29" ht="15" customHeight="1" x14ac:dyDescent="0.15">
      <c r="B1065">
        <v>4</v>
      </c>
      <c r="C1065" t="s">
        <v>386</v>
      </c>
      <c r="D1065" t="s">
        <v>2301</v>
      </c>
      <c r="E1065">
        <v>5</v>
      </c>
      <c r="F1065" t="s">
        <v>219</v>
      </c>
      <c r="G1065" t="s">
        <v>239</v>
      </c>
      <c r="H1065" t="s">
        <v>1695</v>
      </c>
      <c r="I1065">
        <v>3</v>
      </c>
      <c r="J1065" s="21">
        <v>46036</v>
      </c>
      <c r="K1065" s="21">
        <v>46036</v>
      </c>
      <c r="L1065" t="s">
        <v>2308</v>
      </c>
      <c r="M1065" t="s">
        <v>1697</v>
      </c>
      <c r="N1065">
        <v>39</v>
      </c>
      <c r="O1065" t="s">
        <v>248</v>
      </c>
      <c r="P1065">
        <v>6</v>
      </c>
      <c r="Q1065">
        <v>1.5</v>
      </c>
      <c r="R1065">
        <v>0.5</v>
      </c>
      <c r="S1065">
        <v>3</v>
      </c>
      <c r="T1065">
        <v>0.75</v>
      </c>
      <c r="U1065" t="s">
        <v>19</v>
      </c>
      <c r="V1065" t="s">
        <v>20</v>
      </c>
      <c r="W1065" t="s">
        <v>21</v>
      </c>
      <c r="X1065">
        <v>4</v>
      </c>
      <c r="Y1065" t="s">
        <v>679</v>
      </c>
      <c r="Z1065" t="s">
        <v>496</v>
      </c>
      <c r="AA1065">
        <v>26.7</v>
      </c>
      <c r="AB1065">
        <v>80.099999999999994</v>
      </c>
      <c r="AC1065">
        <v>20.03</v>
      </c>
    </row>
    <row r="1066" spans="2:29" ht="15" customHeight="1" x14ac:dyDescent="0.15">
      <c r="B1066">
        <v>4</v>
      </c>
      <c r="C1066" t="s">
        <v>386</v>
      </c>
      <c r="D1066" t="s">
        <v>2301</v>
      </c>
      <c r="E1066">
        <v>6</v>
      </c>
      <c r="F1066" t="s">
        <v>219</v>
      </c>
      <c r="G1066" t="s">
        <v>218</v>
      </c>
      <c r="H1066" t="s">
        <v>908</v>
      </c>
      <c r="I1066">
        <v>3</v>
      </c>
      <c r="J1066" s="21">
        <v>46036</v>
      </c>
      <c r="K1066" s="21">
        <v>46036</v>
      </c>
      <c r="L1066" t="s">
        <v>2309</v>
      </c>
      <c r="M1066" t="s">
        <v>910</v>
      </c>
      <c r="N1066">
        <v>39</v>
      </c>
      <c r="O1066" t="s">
        <v>248</v>
      </c>
      <c r="P1066">
        <v>6</v>
      </c>
      <c r="Q1066">
        <v>1.5</v>
      </c>
      <c r="R1066">
        <v>0.15</v>
      </c>
      <c r="S1066">
        <v>0.9</v>
      </c>
      <c r="T1066">
        <v>0.23</v>
      </c>
      <c r="U1066" t="s">
        <v>19</v>
      </c>
      <c r="V1066" t="s">
        <v>20</v>
      </c>
      <c r="W1066" t="s">
        <v>21</v>
      </c>
      <c r="X1066">
        <v>4</v>
      </c>
      <c r="Y1066" t="s">
        <v>679</v>
      </c>
      <c r="Z1066" t="s">
        <v>496</v>
      </c>
      <c r="AA1066">
        <v>42.6</v>
      </c>
      <c r="AB1066">
        <v>38.340000000000003</v>
      </c>
      <c r="AC1066">
        <v>9.58</v>
      </c>
    </row>
    <row r="1067" spans="2:29" ht="15" customHeight="1" x14ac:dyDescent="0.15">
      <c r="B1067">
        <v>4</v>
      </c>
      <c r="C1067" t="s">
        <v>386</v>
      </c>
      <c r="D1067" t="s">
        <v>2310</v>
      </c>
      <c r="E1067">
        <v>1</v>
      </c>
      <c r="F1067" t="s">
        <v>219</v>
      </c>
      <c r="G1067" t="s">
        <v>231</v>
      </c>
      <c r="H1067" t="s">
        <v>433</v>
      </c>
      <c r="I1067">
        <v>4</v>
      </c>
      <c r="J1067" s="21">
        <v>46046</v>
      </c>
      <c r="K1067" s="21">
        <v>46046</v>
      </c>
      <c r="L1067" t="s">
        <v>2311</v>
      </c>
      <c r="M1067" t="s">
        <v>1030</v>
      </c>
      <c r="O1067" t="s">
        <v>220</v>
      </c>
      <c r="P1067">
        <v>2</v>
      </c>
      <c r="Q1067">
        <v>1</v>
      </c>
      <c r="R1067">
        <v>0.12</v>
      </c>
      <c r="S1067">
        <v>0.24</v>
      </c>
      <c r="T1067">
        <v>0.12</v>
      </c>
      <c r="U1067" t="s">
        <v>39</v>
      </c>
      <c r="V1067" t="s">
        <v>40</v>
      </c>
      <c r="W1067" t="s">
        <v>21</v>
      </c>
      <c r="X1067">
        <v>2</v>
      </c>
      <c r="Y1067" t="s">
        <v>2312</v>
      </c>
      <c r="Z1067" t="s">
        <v>496</v>
      </c>
      <c r="AA1067">
        <v>21.83</v>
      </c>
      <c r="AB1067">
        <v>5.24</v>
      </c>
      <c r="AC1067">
        <v>2.62</v>
      </c>
    </row>
    <row r="1068" spans="2:29" ht="15" customHeight="1" x14ac:dyDescent="0.15">
      <c r="B1068">
        <v>4</v>
      </c>
      <c r="C1068" t="s">
        <v>386</v>
      </c>
      <c r="D1068" t="s">
        <v>2310</v>
      </c>
      <c r="E1068">
        <v>2</v>
      </c>
      <c r="F1068" t="s">
        <v>219</v>
      </c>
      <c r="G1068" t="s">
        <v>218</v>
      </c>
      <c r="H1068" t="s">
        <v>406</v>
      </c>
      <c r="I1068">
        <v>4</v>
      </c>
      <c r="J1068" s="21">
        <v>46046</v>
      </c>
      <c r="K1068" s="21">
        <v>46046</v>
      </c>
      <c r="L1068" t="s">
        <v>2313</v>
      </c>
      <c r="M1068" t="s">
        <v>2295</v>
      </c>
      <c r="O1068" t="s">
        <v>220</v>
      </c>
      <c r="P1068">
        <v>2</v>
      </c>
      <c r="Q1068">
        <v>1</v>
      </c>
      <c r="R1068">
        <v>0.25</v>
      </c>
      <c r="S1068">
        <v>0.5</v>
      </c>
      <c r="T1068">
        <v>0.25</v>
      </c>
      <c r="U1068" t="s">
        <v>39</v>
      </c>
      <c r="V1068" t="s">
        <v>40</v>
      </c>
      <c r="W1068" t="s">
        <v>21</v>
      </c>
      <c r="X1068">
        <v>2</v>
      </c>
      <c r="Y1068" t="s">
        <v>2312</v>
      </c>
      <c r="Z1068" t="s">
        <v>496</v>
      </c>
      <c r="AA1068">
        <v>299.57</v>
      </c>
      <c r="AB1068">
        <v>149.79</v>
      </c>
      <c r="AC1068">
        <v>74.89</v>
      </c>
    </row>
    <row r="1069" spans="2:29" ht="15" customHeight="1" x14ac:dyDescent="0.15">
      <c r="B1069">
        <v>4</v>
      </c>
      <c r="C1069" t="s">
        <v>386</v>
      </c>
      <c r="D1069" t="s">
        <v>2310</v>
      </c>
      <c r="E1069">
        <v>3</v>
      </c>
      <c r="F1069" t="s">
        <v>219</v>
      </c>
      <c r="G1069" t="s">
        <v>218</v>
      </c>
      <c r="H1069" t="s">
        <v>2314</v>
      </c>
      <c r="I1069">
        <v>4</v>
      </c>
      <c r="J1069" s="21">
        <v>46046</v>
      </c>
      <c r="K1069" s="21">
        <v>46046</v>
      </c>
      <c r="L1069" t="s">
        <v>2315</v>
      </c>
      <c r="M1069" t="s">
        <v>2316</v>
      </c>
      <c r="O1069" t="s">
        <v>220</v>
      </c>
      <c r="P1069">
        <v>2</v>
      </c>
      <c r="Q1069">
        <v>1</v>
      </c>
      <c r="R1069">
        <v>0.06</v>
      </c>
      <c r="S1069">
        <v>0.12</v>
      </c>
      <c r="T1069">
        <v>0.06</v>
      </c>
      <c r="U1069" t="s">
        <v>39</v>
      </c>
      <c r="V1069" t="s">
        <v>40</v>
      </c>
      <c r="W1069" t="s">
        <v>21</v>
      </c>
      <c r="X1069">
        <v>2</v>
      </c>
      <c r="Y1069" t="s">
        <v>2312</v>
      </c>
      <c r="Z1069" t="s">
        <v>496</v>
      </c>
      <c r="AA1069">
        <v>175</v>
      </c>
      <c r="AB1069">
        <v>21</v>
      </c>
      <c r="AC1069">
        <v>10.5</v>
      </c>
    </row>
    <row r="1070" spans="2:29" ht="15" customHeight="1" x14ac:dyDescent="0.15">
      <c r="B1070">
        <v>4</v>
      </c>
      <c r="C1070" t="s">
        <v>386</v>
      </c>
      <c r="D1070" t="s">
        <v>2310</v>
      </c>
      <c r="E1070">
        <v>4</v>
      </c>
      <c r="F1070" t="s">
        <v>219</v>
      </c>
      <c r="G1070" t="s">
        <v>239</v>
      </c>
      <c r="H1070" t="s">
        <v>551</v>
      </c>
      <c r="I1070">
        <v>4</v>
      </c>
      <c r="J1070" s="21">
        <v>46046</v>
      </c>
      <c r="K1070" s="21">
        <v>46046</v>
      </c>
      <c r="L1070" t="s">
        <v>2317</v>
      </c>
      <c r="M1070" t="s">
        <v>1165</v>
      </c>
      <c r="O1070" t="s">
        <v>220</v>
      </c>
      <c r="P1070">
        <v>2</v>
      </c>
      <c r="Q1070">
        <v>1</v>
      </c>
      <c r="R1070">
        <v>0.5</v>
      </c>
      <c r="S1070">
        <v>1</v>
      </c>
      <c r="T1070">
        <v>0.5</v>
      </c>
      <c r="U1070" t="s">
        <v>39</v>
      </c>
      <c r="V1070" t="s">
        <v>40</v>
      </c>
      <c r="W1070" t="s">
        <v>21</v>
      </c>
      <c r="X1070">
        <v>2</v>
      </c>
      <c r="Y1070" t="s">
        <v>2312</v>
      </c>
      <c r="Z1070" t="s">
        <v>496</v>
      </c>
      <c r="AA1070">
        <v>57.53</v>
      </c>
      <c r="AB1070">
        <v>57.53</v>
      </c>
      <c r="AC1070">
        <v>28.76</v>
      </c>
    </row>
    <row r="1071" spans="2:29" ht="15" customHeight="1" x14ac:dyDescent="0.15">
      <c r="B1071">
        <v>4</v>
      </c>
      <c r="C1071" t="s">
        <v>386</v>
      </c>
      <c r="D1071" t="s">
        <v>2310</v>
      </c>
      <c r="E1071">
        <v>5</v>
      </c>
      <c r="F1071" t="s">
        <v>219</v>
      </c>
      <c r="G1071" t="s">
        <v>218</v>
      </c>
      <c r="H1071" t="s">
        <v>864</v>
      </c>
      <c r="I1071">
        <v>4</v>
      </c>
      <c r="J1071" s="21">
        <v>46046</v>
      </c>
      <c r="K1071" s="21">
        <v>46046</v>
      </c>
      <c r="L1071" t="s">
        <v>2318</v>
      </c>
      <c r="M1071" t="s">
        <v>2319</v>
      </c>
      <c r="O1071" t="s">
        <v>226</v>
      </c>
      <c r="P1071">
        <v>2</v>
      </c>
      <c r="Q1071">
        <v>1</v>
      </c>
      <c r="R1071">
        <v>0.2</v>
      </c>
      <c r="S1071">
        <v>0.4</v>
      </c>
      <c r="T1071">
        <v>0.2</v>
      </c>
      <c r="U1071" t="s">
        <v>39</v>
      </c>
      <c r="V1071" t="s">
        <v>40</v>
      </c>
      <c r="W1071" t="s">
        <v>21</v>
      </c>
      <c r="X1071">
        <v>2</v>
      </c>
      <c r="Y1071" t="s">
        <v>2312</v>
      </c>
      <c r="Z1071" t="s">
        <v>496</v>
      </c>
      <c r="AA1071">
        <v>3.75</v>
      </c>
      <c r="AB1071">
        <v>1.5</v>
      </c>
      <c r="AC1071">
        <v>0.75</v>
      </c>
    </row>
    <row r="1072" spans="2:29" ht="15" customHeight="1" x14ac:dyDescent="0.15">
      <c r="B1072">
        <v>4</v>
      </c>
      <c r="C1072" t="s">
        <v>386</v>
      </c>
      <c r="D1072" t="s">
        <v>2310</v>
      </c>
      <c r="E1072">
        <v>6</v>
      </c>
      <c r="F1072" t="s">
        <v>219</v>
      </c>
      <c r="G1072" t="s">
        <v>244</v>
      </c>
      <c r="H1072" t="s">
        <v>1962</v>
      </c>
      <c r="I1072">
        <v>4</v>
      </c>
      <c r="J1072" s="21">
        <v>46046</v>
      </c>
      <c r="K1072" s="21">
        <v>46046</v>
      </c>
      <c r="L1072" t="s">
        <v>2320</v>
      </c>
      <c r="M1072" t="s">
        <v>2321</v>
      </c>
      <c r="O1072" t="s">
        <v>226</v>
      </c>
      <c r="P1072">
        <v>2</v>
      </c>
      <c r="Q1072">
        <v>1</v>
      </c>
      <c r="R1072">
        <v>0.5</v>
      </c>
      <c r="S1072">
        <v>1</v>
      </c>
      <c r="T1072">
        <v>0.5</v>
      </c>
      <c r="U1072" t="s">
        <v>39</v>
      </c>
      <c r="V1072" t="s">
        <v>40</v>
      </c>
      <c r="W1072" t="s">
        <v>21</v>
      </c>
      <c r="X1072">
        <v>2</v>
      </c>
      <c r="Y1072" t="s">
        <v>2312</v>
      </c>
      <c r="Z1072" t="s">
        <v>496</v>
      </c>
      <c r="AA1072">
        <v>0</v>
      </c>
      <c r="AB1072">
        <v>0</v>
      </c>
      <c r="AC1072">
        <v>0</v>
      </c>
    </row>
    <row r="1073" spans="2:29" ht="15" customHeight="1" x14ac:dyDescent="0.15">
      <c r="B1073">
        <v>4</v>
      </c>
      <c r="C1073" t="s">
        <v>386</v>
      </c>
      <c r="D1073" t="s">
        <v>2322</v>
      </c>
      <c r="E1073">
        <v>1</v>
      </c>
      <c r="F1073" t="s">
        <v>219</v>
      </c>
      <c r="G1073" t="s">
        <v>231</v>
      </c>
      <c r="H1073" t="s">
        <v>433</v>
      </c>
      <c r="I1073">
        <v>6</v>
      </c>
      <c r="J1073" s="21">
        <v>46056</v>
      </c>
      <c r="K1073" s="21">
        <v>46056</v>
      </c>
      <c r="L1073" t="s">
        <v>2323</v>
      </c>
      <c r="M1073" t="s">
        <v>1030</v>
      </c>
      <c r="N1073">
        <v>59</v>
      </c>
      <c r="O1073" t="s">
        <v>220</v>
      </c>
      <c r="P1073">
        <v>6</v>
      </c>
      <c r="Q1073">
        <v>1.5</v>
      </c>
      <c r="R1073">
        <v>0.12</v>
      </c>
      <c r="S1073">
        <v>0.72</v>
      </c>
      <c r="T1073">
        <v>0.18</v>
      </c>
      <c r="U1073" t="s">
        <v>19</v>
      </c>
      <c r="V1073" t="s">
        <v>20</v>
      </c>
      <c r="W1073" t="s">
        <v>21</v>
      </c>
      <c r="X1073">
        <v>4</v>
      </c>
      <c r="Y1073" t="s">
        <v>679</v>
      </c>
      <c r="Z1073" t="s">
        <v>496</v>
      </c>
      <c r="AA1073">
        <v>21.83</v>
      </c>
      <c r="AB1073">
        <v>15.72</v>
      </c>
      <c r="AC1073">
        <v>3.93</v>
      </c>
    </row>
    <row r="1074" spans="2:29" ht="15" customHeight="1" x14ac:dyDescent="0.15">
      <c r="B1074">
        <v>4</v>
      </c>
      <c r="C1074" t="s">
        <v>386</v>
      </c>
      <c r="D1074" t="s">
        <v>2322</v>
      </c>
      <c r="E1074">
        <v>2</v>
      </c>
      <c r="F1074" t="s">
        <v>219</v>
      </c>
      <c r="G1074" t="s">
        <v>218</v>
      </c>
      <c r="H1074" t="s">
        <v>400</v>
      </c>
      <c r="I1074">
        <v>6</v>
      </c>
      <c r="J1074" s="21">
        <v>46056</v>
      </c>
      <c r="K1074" s="21">
        <v>46056</v>
      </c>
      <c r="L1074" t="s">
        <v>2324</v>
      </c>
      <c r="M1074" t="s">
        <v>402</v>
      </c>
      <c r="N1074">
        <v>59</v>
      </c>
      <c r="O1074" t="s">
        <v>226</v>
      </c>
      <c r="P1074">
        <v>6</v>
      </c>
      <c r="Q1074">
        <v>1.5</v>
      </c>
      <c r="R1074">
        <v>0.1</v>
      </c>
      <c r="S1074">
        <v>0.6</v>
      </c>
      <c r="T1074">
        <v>0.15</v>
      </c>
      <c r="U1074" t="s">
        <v>19</v>
      </c>
      <c r="V1074" t="s">
        <v>20</v>
      </c>
      <c r="W1074" t="s">
        <v>21</v>
      </c>
      <c r="X1074">
        <v>4</v>
      </c>
      <c r="Y1074" t="s">
        <v>679</v>
      </c>
      <c r="Z1074" t="s">
        <v>496</v>
      </c>
      <c r="AA1074">
        <v>217</v>
      </c>
      <c r="AB1074">
        <v>130.19999999999999</v>
      </c>
      <c r="AC1074">
        <v>32.549999999999997</v>
      </c>
    </row>
    <row r="1075" spans="2:29" ht="15" customHeight="1" x14ac:dyDescent="0.15">
      <c r="B1075">
        <v>4</v>
      </c>
      <c r="C1075" t="s">
        <v>386</v>
      </c>
      <c r="D1075" t="s">
        <v>2322</v>
      </c>
      <c r="E1075">
        <v>3</v>
      </c>
      <c r="F1075" t="s">
        <v>219</v>
      </c>
      <c r="G1075" t="s">
        <v>239</v>
      </c>
      <c r="H1075" t="s">
        <v>602</v>
      </c>
      <c r="I1075">
        <v>6</v>
      </c>
      <c r="J1075" s="21">
        <v>46056</v>
      </c>
      <c r="K1075" s="21">
        <v>46056</v>
      </c>
      <c r="L1075" t="s">
        <v>2325</v>
      </c>
      <c r="M1075" t="s">
        <v>258</v>
      </c>
      <c r="N1075">
        <v>59</v>
      </c>
      <c r="O1075" t="s">
        <v>220</v>
      </c>
      <c r="P1075">
        <v>6</v>
      </c>
      <c r="Q1075">
        <v>1.5</v>
      </c>
      <c r="R1075">
        <v>0.5</v>
      </c>
      <c r="S1075">
        <v>3</v>
      </c>
      <c r="T1075">
        <v>0.75</v>
      </c>
      <c r="U1075" t="s">
        <v>19</v>
      </c>
      <c r="V1075" t="s">
        <v>20</v>
      </c>
      <c r="W1075" t="s">
        <v>21</v>
      </c>
      <c r="X1075">
        <v>4</v>
      </c>
      <c r="Y1075" t="s">
        <v>679</v>
      </c>
      <c r="Z1075" t="s">
        <v>496</v>
      </c>
      <c r="AA1075">
        <v>180</v>
      </c>
      <c r="AB1075">
        <v>540</v>
      </c>
      <c r="AC1075">
        <v>135</v>
      </c>
    </row>
    <row r="1076" spans="2:29" ht="15" customHeight="1" x14ac:dyDescent="0.15">
      <c r="B1076">
        <v>4</v>
      </c>
      <c r="C1076" t="s">
        <v>386</v>
      </c>
      <c r="D1076" t="s">
        <v>2322</v>
      </c>
      <c r="E1076">
        <v>4</v>
      </c>
      <c r="F1076" t="s">
        <v>219</v>
      </c>
      <c r="G1076" t="s">
        <v>218</v>
      </c>
      <c r="H1076" t="s">
        <v>911</v>
      </c>
      <c r="I1076">
        <v>6</v>
      </c>
      <c r="J1076" s="21">
        <v>46056</v>
      </c>
      <c r="K1076" s="21">
        <v>46056</v>
      </c>
      <c r="L1076" t="s">
        <v>2326</v>
      </c>
      <c r="M1076" t="s">
        <v>913</v>
      </c>
      <c r="N1076">
        <v>59</v>
      </c>
      <c r="O1076" t="s">
        <v>220</v>
      </c>
      <c r="P1076">
        <v>6</v>
      </c>
      <c r="Q1076">
        <v>1.5</v>
      </c>
      <c r="R1076">
        <v>0.25</v>
      </c>
      <c r="S1076">
        <v>1.5</v>
      </c>
      <c r="T1076">
        <v>0.38</v>
      </c>
      <c r="U1076" t="s">
        <v>19</v>
      </c>
      <c r="V1076" t="s">
        <v>20</v>
      </c>
      <c r="W1076" t="s">
        <v>21</v>
      </c>
      <c r="X1076">
        <v>4</v>
      </c>
      <c r="Y1076" t="s">
        <v>679</v>
      </c>
      <c r="Z1076" t="s">
        <v>496</v>
      </c>
      <c r="AA1076">
        <v>91.24</v>
      </c>
      <c r="AB1076">
        <v>136.86000000000001</v>
      </c>
      <c r="AC1076">
        <v>34.22</v>
      </c>
    </row>
    <row r="1077" spans="2:29" ht="15" customHeight="1" x14ac:dyDescent="0.15">
      <c r="B1077">
        <v>4</v>
      </c>
      <c r="C1077" t="s">
        <v>386</v>
      </c>
      <c r="D1077" t="s">
        <v>2322</v>
      </c>
      <c r="E1077">
        <v>5</v>
      </c>
      <c r="F1077" t="s">
        <v>219</v>
      </c>
      <c r="G1077" t="s">
        <v>218</v>
      </c>
      <c r="H1077" t="s">
        <v>2305</v>
      </c>
      <c r="I1077">
        <v>6</v>
      </c>
      <c r="J1077" s="21">
        <v>46056</v>
      </c>
      <c r="K1077" s="21">
        <v>46056</v>
      </c>
      <c r="L1077" t="s">
        <v>2327</v>
      </c>
      <c r="M1077" t="s">
        <v>2328</v>
      </c>
      <c r="N1077">
        <v>59</v>
      </c>
      <c r="O1077" t="s">
        <v>226</v>
      </c>
      <c r="P1077">
        <v>6</v>
      </c>
      <c r="Q1077">
        <v>1.5</v>
      </c>
      <c r="R1077">
        <v>0.5</v>
      </c>
      <c r="S1077">
        <v>3</v>
      </c>
      <c r="T1077">
        <v>0.75</v>
      </c>
      <c r="U1077" t="s">
        <v>19</v>
      </c>
      <c r="V1077" t="s">
        <v>20</v>
      </c>
      <c r="W1077" t="s">
        <v>21</v>
      </c>
      <c r="X1077">
        <v>4</v>
      </c>
      <c r="Y1077" t="s">
        <v>679</v>
      </c>
      <c r="Z1077" t="s">
        <v>496</v>
      </c>
      <c r="AA1077">
        <v>6.45</v>
      </c>
      <c r="AB1077">
        <v>19.350000000000001</v>
      </c>
      <c r="AC1077">
        <v>4.84</v>
      </c>
    </row>
    <row r="1078" spans="2:29" ht="15" customHeight="1" x14ac:dyDescent="0.15">
      <c r="B1078">
        <v>4</v>
      </c>
      <c r="C1078" t="s">
        <v>386</v>
      </c>
      <c r="D1078" t="s">
        <v>2322</v>
      </c>
      <c r="E1078">
        <v>6</v>
      </c>
      <c r="F1078" t="s">
        <v>219</v>
      </c>
      <c r="G1078" t="s">
        <v>244</v>
      </c>
      <c r="H1078" t="s">
        <v>2329</v>
      </c>
      <c r="I1078">
        <v>6</v>
      </c>
      <c r="J1078" s="21">
        <v>46056</v>
      </c>
      <c r="K1078" s="21">
        <v>46056</v>
      </c>
      <c r="L1078" t="s">
        <v>2330</v>
      </c>
      <c r="M1078" t="s">
        <v>2331</v>
      </c>
      <c r="N1078">
        <v>59</v>
      </c>
      <c r="O1078" t="s">
        <v>226</v>
      </c>
      <c r="P1078">
        <v>6</v>
      </c>
      <c r="Q1078">
        <v>1.5</v>
      </c>
      <c r="R1078">
        <v>0.5</v>
      </c>
      <c r="S1078">
        <v>3</v>
      </c>
      <c r="T1078">
        <v>0.75</v>
      </c>
      <c r="U1078" t="s">
        <v>19</v>
      </c>
      <c r="V1078" t="s">
        <v>20</v>
      </c>
      <c r="W1078" t="s">
        <v>21</v>
      </c>
      <c r="X1078">
        <v>4</v>
      </c>
      <c r="Y1078" t="s">
        <v>679</v>
      </c>
      <c r="Z1078" t="s">
        <v>496</v>
      </c>
      <c r="AA1078">
        <v>180</v>
      </c>
      <c r="AB1078">
        <v>540</v>
      </c>
      <c r="AC1078">
        <v>135</v>
      </c>
    </row>
    <row r="1079" spans="2:29" ht="15" customHeight="1" x14ac:dyDescent="0.15">
      <c r="B1079">
        <v>4</v>
      </c>
      <c r="C1079" t="s">
        <v>386</v>
      </c>
      <c r="D1079" t="s">
        <v>2322</v>
      </c>
      <c r="E1079">
        <v>7</v>
      </c>
      <c r="F1079" t="s">
        <v>219</v>
      </c>
      <c r="G1079" t="s">
        <v>218</v>
      </c>
      <c r="H1079" t="s">
        <v>686</v>
      </c>
      <c r="I1079">
        <v>6</v>
      </c>
      <c r="J1079" s="21">
        <v>46056</v>
      </c>
      <c r="K1079" s="21">
        <v>46056</v>
      </c>
      <c r="L1079" t="s">
        <v>2332</v>
      </c>
      <c r="M1079" t="s">
        <v>1219</v>
      </c>
      <c r="N1079">
        <v>59</v>
      </c>
      <c r="O1079" t="s">
        <v>220</v>
      </c>
      <c r="P1079">
        <v>6</v>
      </c>
      <c r="Q1079">
        <v>1.5</v>
      </c>
      <c r="R1079">
        <v>0.15</v>
      </c>
      <c r="S1079">
        <v>0.9</v>
      </c>
      <c r="T1079">
        <v>0.23</v>
      </c>
      <c r="U1079" t="s">
        <v>19</v>
      </c>
      <c r="V1079" t="s">
        <v>20</v>
      </c>
      <c r="W1079" t="s">
        <v>21</v>
      </c>
      <c r="X1079">
        <v>4</v>
      </c>
      <c r="Y1079" t="s">
        <v>679</v>
      </c>
      <c r="Z1079" t="s">
        <v>496</v>
      </c>
      <c r="AA1079">
        <v>163</v>
      </c>
      <c r="AB1079">
        <v>146.69999999999999</v>
      </c>
      <c r="AC1079">
        <v>36.68</v>
      </c>
    </row>
    <row r="1080" spans="2:29" ht="15" customHeight="1" x14ac:dyDescent="0.15">
      <c r="B1080">
        <v>4</v>
      </c>
      <c r="C1080" t="s">
        <v>386</v>
      </c>
      <c r="D1080" t="s">
        <v>2322</v>
      </c>
      <c r="E1080">
        <v>8</v>
      </c>
      <c r="F1080" t="s">
        <v>219</v>
      </c>
      <c r="G1080" t="s">
        <v>239</v>
      </c>
      <c r="H1080" t="s">
        <v>861</v>
      </c>
      <c r="I1080">
        <v>6</v>
      </c>
      <c r="J1080" s="21">
        <v>46056</v>
      </c>
      <c r="K1080" s="21">
        <v>46056</v>
      </c>
      <c r="L1080" t="s">
        <v>2333</v>
      </c>
      <c r="M1080" t="s">
        <v>2334</v>
      </c>
      <c r="N1080">
        <v>59</v>
      </c>
      <c r="O1080" t="s">
        <v>220</v>
      </c>
      <c r="P1080">
        <v>6</v>
      </c>
      <c r="Q1080">
        <v>1.5</v>
      </c>
      <c r="R1080">
        <v>2</v>
      </c>
      <c r="S1080">
        <v>12</v>
      </c>
      <c r="T1080">
        <v>3</v>
      </c>
      <c r="U1080" t="s">
        <v>19</v>
      </c>
      <c r="V1080" t="s">
        <v>20</v>
      </c>
      <c r="W1080" t="s">
        <v>21</v>
      </c>
      <c r="X1080">
        <v>4</v>
      </c>
      <c r="Y1080" t="s">
        <v>679</v>
      </c>
      <c r="Z1080" t="s">
        <v>496</v>
      </c>
      <c r="AA1080">
        <v>24.81</v>
      </c>
      <c r="AB1080">
        <v>297.72000000000003</v>
      </c>
      <c r="AC1080">
        <v>74.430000000000007</v>
      </c>
    </row>
    <row r="1081" spans="2:29" ht="15" customHeight="1" x14ac:dyDescent="0.15">
      <c r="B1081">
        <v>4</v>
      </c>
      <c r="C1081" t="s">
        <v>386</v>
      </c>
      <c r="D1081" t="s">
        <v>2335</v>
      </c>
      <c r="E1081">
        <v>1</v>
      </c>
      <c r="F1081" t="s">
        <v>201</v>
      </c>
      <c r="G1081" t="s">
        <v>200</v>
      </c>
      <c r="H1081" t="s">
        <v>471</v>
      </c>
      <c r="I1081">
        <v>6</v>
      </c>
      <c r="J1081" s="21">
        <v>46056</v>
      </c>
      <c r="K1081" s="21">
        <v>46039</v>
      </c>
      <c r="L1081" t="s">
        <v>2336</v>
      </c>
      <c r="M1081" t="s">
        <v>942</v>
      </c>
      <c r="N1081" s="22">
        <v>46039</v>
      </c>
      <c r="O1081" t="s">
        <v>226</v>
      </c>
      <c r="P1081">
        <v>1</v>
      </c>
      <c r="Q1081">
        <v>1</v>
      </c>
      <c r="R1081">
        <v>300</v>
      </c>
      <c r="S1081">
        <v>300</v>
      </c>
      <c r="T1081">
        <v>300</v>
      </c>
      <c r="U1081" t="s">
        <v>2337</v>
      </c>
      <c r="V1081" t="s">
        <v>392</v>
      </c>
      <c r="W1081" t="s">
        <v>392</v>
      </c>
      <c r="X1081">
        <v>1</v>
      </c>
      <c r="Y1081" t="s">
        <v>2338</v>
      </c>
      <c r="Z1081" t="s">
        <v>496</v>
      </c>
      <c r="AA1081">
        <v>1.98</v>
      </c>
      <c r="AB1081">
        <v>594</v>
      </c>
      <c r="AC1081">
        <v>594</v>
      </c>
    </row>
    <row r="1082" spans="2:29" ht="15" customHeight="1" x14ac:dyDescent="0.15">
      <c r="B1082">
        <v>4</v>
      </c>
      <c r="C1082" t="s">
        <v>386</v>
      </c>
      <c r="D1082" t="s">
        <v>2335</v>
      </c>
      <c r="E1082">
        <v>2</v>
      </c>
      <c r="F1082" t="s">
        <v>201</v>
      </c>
      <c r="G1082" t="s">
        <v>200</v>
      </c>
      <c r="H1082" t="s">
        <v>475</v>
      </c>
      <c r="I1082">
        <v>6</v>
      </c>
      <c r="J1082" s="21">
        <v>46056</v>
      </c>
      <c r="K1082" s="21">
        <v>46039</v>
      </c>
      <c r="L1082" t="s">
        <v>2339</v>
      </c>
      <c r="M1082" t="s">
        <v>631</v>
      </c>
      <c r="N1082" s="22">
        <v>46039</v>
      </c>
      <c r="O1082" t="s">
        <v>226</v>
      </c>
      <c r="P1082">
        <v>1</v>
      </c>
      <c r="Q1082">
        <v>1</v>
      </c>
      <c r="R1082">
        <v>300</v>
      </c>
      <c r="S1082">
        <v>300</v>
      </c>
      <c r="T1082">
        <v>300</v>
      </c>
      <c r="U1082" t="s">
        <v>2337</v>
      </c>
      <c r="V1082" t="s">
        <v>392</v>
      </c>
      <c r="W1082" t="s">
        <v>392</v>
      </c>
      <c r="X1082">
        <v>1</v>
      </c>
      <c r="Y1082" t="s">
        <v>2338</v>
      </c>
      <c r="Z1082" t="s">
        <v>496</v>
      </c>
      <c r="AA1082">
        <v>3.53</v>
      </c>
      <c r="AB1082" s="22">
        <v>1059</v>
      </c>
      <c r="AC1082" s="22">
        <v>1059</v>
      </c>
    </row>
    <row r="1083" spans="2:29" ht="15" customHeight="1" x14ac:dyDescent="0.15">
      <c r="B1083">
        <v>4</v>
      </c>
      <c r="C1083" t="s">
        <v>386</v>
      </c>
      <c r="D1083" t="s">
        <v>2340</v>
      </c>
      <c r="E1083">
        <v>1</v>
      </c>
      <c r="F1083" t="s">
        <v>201</v>
      </c>
      <c r="G1083" t="s">
        <v>200</v>
      </c>
      <c r="H1083" t="s">
        <v>635</v>
      </c>
      <c r="I1083">
        <v>6</v>
      </c>
      <c r="J1083" s="21">
        <v>46056</v>
      </c>
      <c r="K1083" s="21">
        <v>46039</v>
      </c>
      <c r="L1083" t="s">
        <v>2341</v>
      </c>
      <c r="M1083" t="s">
        <v>204</v>
      </c>
      <c r="N1083" s="22">
        <v>46039</v>
      </c>
      <c r="O1083" t="s">
        <v>226</v>
      </c>
      <c r="P1083">
        <v>1</v>
      </c>
      <c r="Q1083">
        <v>1</v>
      </c>
      <c r="R1083">
        <v>800</v>
      </c>
      <c r="S1083">
        <v>800</v>
      </c>
      <c r="T1083">
        <v>800</v>
      </c>
      <c r="U1083" t="s">
        <v>2337</v>
      </c>
      <c r="V1083" t="s">
        <v>392</v>
      </c>
      <c r="W1083" t="s">
        <v>392</v>
      </c>
      <c r="X1083">
        <v>1</v>
      </c>
      <c r="Y1083" t="s">
        <v>2342</v>
      </c>
      <c r="Z1083" t="s">
        <v>496</v>
      </c>
      <c r="AA1083">
        <v>2.06</v>
      </c>
      <c r="AB1083" s="22">
        <v>1646.4</v>
      </c>
      <c r="AC1083" s="22">
        <v>1646.4</v>
      </c>
    </row>
    <row r="1084" spans="2:29" ht="15" customHeight="1" x14ac:dyDescent="0.15">
      <c r="B1084">
        <v>4</v>
      </c>
      <c r="C1084" t="s">
        <v>386</v>
      </c>
      <c r="D1084" t="s">
        <v>2343</v>
      </c>
      <c r="E1084">
        <v>1</v>
      </c>
      <c r="F1084" t="s">
        <v>201</v>
      </c>
      <c r="G1084" t="s">
        <v>200</v>
      </c>
      <c r="H1084" t="s">
        <v>471</v>
      </c>
      <c r="I1084">
        <v>6</v>
      </c>
      <c r="J1084" s="21">
        <v>46056</v>
      </c>
      <c r="K1084" s="21">
        <v>46039</v>
      </c>
      <c r="L1084" t="s">
        <v>2344</v>
      </c>
      <c r="M1084" t="s">
        <v>942</v>
      </c>
      <c r="N1084" s="22">
        <v>46039</v>
      </c>
      <c r="O1084" t="s">
        <v>226</v>
      </c>
      <c r="P1084">
        <v>1</v>
      </c>
      <c r="Q1084">
        <v>1</v>
      </c>
      <c r="R1084">
        <v>300</v>
      </c>
      <c r="S1084">
        <v>300</v>
      </c>
      <c r="T1084">
        <v>300</v>
      </c>
      <c r="U1084" t="s">
        <v>2337</v>
      </c>
      <c r="V1084" t="s">
        <v>392</v>
      </c>
      <c r="W1084" t="s">
        <v>392</v>
      </c>
      <c r="X1084">
        <v>1</v>
      </c>
      <c r="Y1084" t="s">
        <v>2338</v>
      </c>
      <c r="Z1084" t="s">
        <v>496</v>
      </c>
      <c r="AA1084">
        <v>1.98</v>
      </c>
      <c r="AB1084">
        <v>594</v>
      </c>
      <c r="AC1084">
        <v>594</v>
      </c>
    </row>
    <row r="1085" spans="2:29" ht="15" customHeight="1" x14ac:dyDescent="0.15">
      <c r="B1085">
        <v>4</v>
      </c>
      <c r="C1085" t="s">
        <v>386</v>
      </c>
      <c r="D1085" t="s">
        <v>2343</v>
      </c>
      <c r="E1085">
        <v>2</v>
      </c>
      <c r="F1085" t="s">
        <v>201</v>
      </c>
      <c r="G1085" t="s">
        <v>200</v>
      </c>
      <c r="H1085" t="s">
        <v>475</v>
      </c>
      <c r="I1085">
        <v>6</v>
      </c>
      <c r="J1085" s="21">
        <v>46056</v>
      </c>
      <c r="K1085" s="21">
        <v>46039</v>
      </c>
      <c r="L1085" t="s">
        <v>2345</v>
      </c>
      <c r="M1085" t="s">
        <v>631</v>
      </c>
      <c r="N1085" s="22">
        <v>46039</v>
      </c>
      <c r="O1085" t="s">
        <v>226</v>
      </c>
      <c r="P1085">
        <v>1</v>
      </c>
      <c r="Q1085">
        <v>1</v>
      </c>
      <c r="R1085">
        <v>300</v>
      </c>
      <c r="S1085">
        <v>300</v>
      </c>
      <c r="T1085">
        <v>300</v>
      </c>
      <c r="U1085" t="s">
        <v>2337</v>
      </c>
      <c r="V1085" t="s">
        <v>392</v>
      </c>
      <c r="W1085" t="s">
        <v>392</v>
      </c>
      <c r="X1085">
        <v>1</v>
      </c>
      <c r="Y1085" t="s">
        <v>2338</v>
      </c>
      <c r="Z1085" t="s">
        <v>496</v>
      </c>
      <c r="AA1085">
        <v>3.53</v>
      </c>
      <c r="AB1085" s="22">
        <v>1059</v>
      </c>
      <c r="AC1085" s="22">
        <v>1059</v>
      </c>
    </row>
    <row r="1086" spans="2:29" ht="15" customHeight="1" x14ac:dyDescent="0.15">
      <c r="B1086">
        <v>4</v>
      </c>
      <c r="C1086" t="s">
        <v>386</v>
      </c>
      <c r="D1086" t="s">
        <v>2346</v>
      </c>
      <c r="E1086">
        <v>1</v>
      </c>
      <c r="F1086" t="s">
        <v>201</v>
      </c>
      <c r="G1086" t="s">
        <v>200</v>
      </c>
      <c r="H1086" t="s">
        <v>471</v>
      </c>
      <c r="I1086">
        <v>6</v>
      </c>
      <c r="J1086" s="21">
        <v>46056</v>
      </c>
      <c r="K1086" s="21">
        <v>46039</v>
      </c>
      <c r="L1086" t="s">
        <v>2347</v>
      </c>
      <c r="M1086" t="s">
        <v>942</v>
      </c>
      <c r="N1086" s="22">
        <v>46039</v>
      </c>
      <c r="O1086" t="s">
        <v>226</v>
      </c>
      <c r="P1086">
        <v>1</v>
      </c>
      <c r="Q1086">
        <v>1</v>
      </c>
      <c r="R1086">
        <v>250</v>
      </c>
      <c r="S1086">
        <v>250</v>
      </c>
      <c r="T1086">
        <v>250</v>
      </c>
      <c r="U1086" t="s">
        <v>2337</v>
      </c>
      <c r="V1086" t="s">
        <v>392</v>
      </c>
      <c r="W1086" t="s">
        <v>392</v>
      </c>
      <c r="X1086">
        <v>1</v>
      </c>
      <c r="Y1086" t="s">
        <v>2342</v>
      </c>
      <c r="Z1086" t="s">
        <v>496</v>
      </c>
      <c r="AA1086">
        <v>1.98</v>
      </c>
      <c r="AB1086">
        <v>495</v>
      </c>
      <c r="AC1086">
        <v>495</v>
      </c>
    </row>
    <row r="1087" spans="2:29" ht="15" customHeight="1" x14ac:dyDescent="0.15">
      <c r="B1087">
        <v>4</v>
      </c>
      <c r="C1087" t="s">
        <v>386</v>
      </c>
      <c r="D1087" t="s">
        <v>2346</v>
      </c>
      <c r="E1087">
        <v>2</v>
      </c>
      <c r="F1087" t="s">
        <v>201</v>
      </c>
      <c r="G1087" t="s">
        <v>200</v>
      </c>
      <c r="H1087" t="s">
        <v>475</v>
      </c>
      <c r="I1087">
        <v>6</v>
      </c>
      <c r="J1087" s="21">
        <v>46056</v>
      </c>
      <c r="K1087" s="21">
        <v>46039</v>
      </c>
      <c r="L1087" t="s">
        <v>2348</v>
      </c>
      <c r="M1087" t="s">
        <v>631</v>
      </c>
      <c r="N1087" s="22">
        <v>46039</v>
      </c>
      <c r="O1087" t="s">
        <v>226</v>
      </c>
      <c r="P1087">
        <v>1</v>
      </c>
      <c r="Q1087">
        <v>1</v>
      </c>
      <c r="R1087">
        <v>250</v>
      </c>
      <c r="S1087">
        <v>250</v>
      </c>
      <c r="T1087">
        <v>250</v>
      </c>
      <c r="U1087" t="s">
        <v>2337</v>
      </c>
      <c r="V1087" t="s">
        <v>392</v>
      </c>
      <c r="W1087" t="s">
        <v>392</v>
      </c>
      <c r="X1087">
        <v>1</v>
      </c>
      <c r="Y1087" t="s">
        <v>2342</v>
      </c>
      <c r="Z1087" t="s">
        <v>496</v>
      </c>
      <c r="AA1087">
        <v>3.53</v>
      </c>
      <c r="AB1087">
        <v>882.5</v>
      </c>
      <c r="AC1087">
        <v>882.5</v>
      </c>
    </row>
    <row r="1088" spans="2:29" ht="15" customHeight="1" x14ac:dyDescent="0.15">
      <c r="B1088">
        <v>4</v>
      </c>
      <c r="C1088" t="s">
        <v>386</v>
      </c>
      <c r="D1088" t="s">
        <v>2349</v>
      </c>
      <c r="E1088">
        <v>1</v>
      </c>
      <c r="F1088" t="s">
        <v>219</v>
      </c>
      <c r="G1088" t="s">
        <v>231</v>
      </c>
      <c r="H1088" t="s">
        <v>231</v>
      </c>
      <c r="I1088">
        <v>7</v>
      </c>
      <c r="J1088" s="21">
        <v>46065</v>
      </c>
      <c r="K1088" s="21">
        <v>46065</v>
      </c>
      <c r="L1088" t="s">
        <v>2350</v>
      </c>
      <c r="M1088" t="s">
        <v>2351</v>
      </c>
      <c r="N1088">
        <v>28</v>
      </c>
      <c r="O1088" t="s">
        <v>220</v>
      </c>
      <c r="P1088">
        <v>2</v>
      </c>
      <c r="Q1088">
        <v>1</v>
      </c>
      <c r="R1088">
        <v>0.12</v>
      </c>
      <c r="S1088">
        <v>0.24</v>
      </c>
      <c r="T1088">
        <v>0.12</v>
      </c>
      <c r="U1088" t="s">
        <v>39</v>
      </c>
      <c r="V1088" t="s">
        <v>40</v>
      </c>
      <c r="W1088" t="s">
        <v>21</v>
      </c>
      <c r="X1088">
        <v>2</v>
      </c>
      <c r="Y1088" t="s">
        <v>2285</v>
      </c>
      <c r="Z1088" t="s">
        <v>496</v>
      </c>
      <c r="AA1088">
        <v>16.61</v>
      </c>
      <c r="AB1088">
        <v>3.99</v>
      </c>
      <c r="AC1088">
        <v>1.99</v>
      </c>
    </row>
    <row r="1089" spans="2:29" ht="15" customHeight="1" x14ac:dyDescent="0.15">
      <c r="B1089">
        <v>4</v>
      </c>
      <c r="C1089" t="s">
        <v>386</v>
      </c>
      <c r="D1089" t="s">
        <v>2349</v>
      </c>
      <c r="E1089">
        <v>2</v>
      </c>
      <c r="F1089" t="s">
        <v>219</v>
      </c>
      <c r="G1089" t="s">
        <v>218</v>
      </c>
      <c r="H1089" t="s">
        <v>406</v>
      </c>
      <c r="I1089">
        <v>7</v>
      </c>
      <c r="J1089" s="21">
        <v>46065</v>
      </c>
      <c r="K1089" s="21">
        <v>46065</v>
      </c>
      <c r="L1089" t="s">
        <v>2352</v>
      </c>
      <c r="M1089" t="s">
        <v>2295</v>
      </c>
      <c r="N1089">
        <v>28</v>
      </c>
      <c r="O1089" t="s">
        <v>220</v>
      </c>
      <c r="P1089">
        <v>2</v>
      </c>
      <c r="Q1089">
        <v>1</v>
      </c>
      <c r="R1089">
        <v>0.25</v>
      </c>
      <c r="S1089">
        <v>0.5</v>
      </c>
      <c r="T1089">
        <v>0.25</v>
      </c>
      <c r="U1089" t="s">
        <v>39</v>
      </c>
      <c r="V1089" t="s">
        <v>40</v>
      </c>
      <c r="W1089" t="s">
        <v>21</v>
      </c>
      <c r="X1089">
        <v>2</v>
      </c>
      <c r="Y1089" t="s">
        <v>2285</v>
      </c>
      <c r="Z1089" t="s">
        <v>496</v>
      </c>
      <c r="AA1089">
        <v>299.57</v>
      </c>
      <c r="AB1089">
        <v>149.79</v>
      </c>
      <c r="AC1089">
        <v>74.89</v>
      </c>
    </row>
    <row r="1090" spans="2:29" ht="15" customHeight="1" x14ac:dyDescent="0.15">
      <c r="B1090">
        <v>4</v>
      </c>
      <c r="C1090" t="s">
        <v>386</v>
      </c>
      <c r="D1090" t="s">
        <v>2349</v>
      </c>
      <c r="E1090">
        <v>3</v>
      </c>
      <c r="F1090" t="s">
        <v>219</v>
      </c>
      <c r="G1090" t="s">
        <v>218</v>
      </c>
      <c r="H1090" t="s">
        <v>2353</v>
      </c>
      <c r="I1090">
        <v>7</v>
      </c>
      <c r="J1090" s="21">
        <v>46065</v>
      </c>
      <c r="K1090" s="21">
        <v>46065</v>
      </c>
      <c r="L1090" t="s">
        <v>2354</v>
      </c>
      <c r="M1090" t="s">
        <v>241</v>
      </c>
      <c r="N1090">
        <v>28</v>
      </c>
      <c r="O1090" t="s">
        <v>226</v>
      </c>
      <c r="P1090">
        <v>2</v>
      </c>
      <c r="Q1090">
        <v>1</v>
      </c>
      <c r="R1090">
        <v>0.2</v>
      </c>
      <c r="S1090">
        <v>0.4</v>
      </c>
      <c r="T1090">
        <v>0.2</v>
      </c>
      <c r="U1090" t="s">
        <v>39</v>
      </c>
      <c r="V1090" t="s">
        <v>40</v>
      </c>
      <c r="W1090" t="s">
        <v>21</v>
      </c>
      <c r="X1090">
        <v>2</v>
      </c>
      <c r="Y1090" t="s">
        <v>2285</v>
      </c>
      <c r="Z1090" t="s">
        <v>496</v>
      </c>
      <c r="AA1090">
        <v>61.3</v>
      </c>
      <c r="AB1090">
        <v>24.52</v>
      </c>
      <c r="AC1090">
        <v>12.26</v>
      </c>
    </row>
    <row r="1091" spans="2:29" ht="15" customHeight="1" x14ac:dyDescent="0.15">
      <c r="B1091">
        <v>4</v>
      </c>
      <c r="C1091" t="s">
        <v>386</v>
      </c>
      <c r="D1091" t="s">
        <v>2349</v>
      </c>
      <c r="E1091">
        <v>4</v>
      </c>
      <c r="F1091" t="s">
        <v>219</v>
      </c>
      <c r="G1091" t="s">
        <v>239</v>
      </c>
      <c r="H1091" t="s">
        <v>602</v>
      </c>
      <c r="I1091">
        <v>7</v>
      </c>
      <c r="J1091" s="21">
        <v>46065</v>
      </c>
      <c r="K1091" s="21">
        <v>46065</v>
      </c>
      <c r="L1091" t="s">
        <v>2355</v>
      </c>
      <c r="M1091" t="s">
        <v>258</v>
      </c>
      <c r="N1091">
        <v>28</v>
      </c>
      <c r="O1091" t="s">
        <v>220</v>
      </c>
      <c r="P1091">
        <v>2</v>
      </c>
      <c r="Q1091">
        <v>1</v>
      </c>
      <c r="R1091">
        <v>0.5</v>
      </c>
      <c r="S1091">
        <v>1</v>
      </c>
      <c r="T1091">
        <v>0.5</v>
      </c>
      <c r="U1091" t="s">
        <v>39</v>
      </c>
      <c r="V1091" t="s">
        <v>40</v>
      </c>
      <c r="W1091" t="s">
        <v>21</v>
      </c>
      <c r="X1091">
        <v>2</v>
      </c>
      <c r="Y1091" t="s">
        <v>2285</v>
      </c>
      <c r="Z1091" t="s">
        <v>496</v>
      </c>
      <c r="AA1091">
        <v>180</v>
      </c>
      <c r="AB1091">
        <v>180</v>
      </c>
      <c r="AC1091">
        <v>90</v>
      </c>
    </row>
    <row r="1092" spans="2:29" ht="15" customHeight="1" x14ac:dyDescent="0.15">
      <c r="B1092">
        <v>4</v>
      </c>
      <c r="C1092" t="s">
        <v>386</v>
      </c>
      <c r="D1092" t="s">
        <v>2349</v>
      </c>
      <c r="E1092">
        <v>5</v>
      </c>
      <c r="F1092" t="s">
        <v>219</v>
      </c>
      <c r="G1092" t="s">
        <v>239</v>
      </c>
      <c r="H1092" t="s">
        <v>551</v>
      </c>
      <c r="I1092">
        <v>7</v>
      </c>
      <c r="J1092" s="21">
        <v>46065</v>
      </c>
      <c r="K1092" s="21">
        <v>46065</v>
      </c>
      <c r="L1092" t="s">
        <v>2356</v>
      </c>
      <c r="M1092" t="s">
        <v>1165</v>
      </c>
      <c r="N1092">
        <v>28</v>
      </c>
      <c r="O1092" t="s">
        <v>220</v>
      </c>
      <c r="P1092">
        <v>2</v>
      </c>
      <c r="Q1092">
        <v>1</v>
      </c>
      <c r="R1092">
        <v>0.5</v>
      </c>
      <c r="S1092">
        <v>1</v>
      </c>
      <c r="T1092">
        <v>0.5</v>
      </c>
      <c r="U1092" t="s">
        <v>39</v>
      </c>
      <c r="V1092" t="s">
        <v>40</v>
      </c>
      <c r="W1092" t="s">
        <v>21</v>
      </c>
      <c r="X1092">
        <v>2</v>
      </c>
      <c r="Y1092" t="s">
        <v>2285</v>
      </c>
      <c r="Z1092" t="s">
        <v>496</v>
      </c>
      <c r="AA1092">
        <v>57.53</v>
      </c>
      <c r="AB1092">
        <v>57.53</v>
      </c>
      <c r="AC1092">
        <v>28.76</v>
      </c>
    </row>
    <row r="1093" spans="2:29" ht="15" customHeight="1" x14ac:dyDescent="0.15">
      <c r="B1093">
        <v>4</v>
      </c>
      <c r="C1093" t="s">
        <v>386</v>
      </c>
      <c r="D1093" t="s">
        <v>2349</v>
      </c>
      <c r="E1093">
        <v>6</v>
      </c>
      <c r="F1093" t="s">
        <v>219</v>
      </c>
      <c r="G1093" t="s">
        <v>244</v>
      </c>
      <c r="H1093" t="s">
        <v>514</v>
      </c>
      <c r="I1093">
        <v>7</v>
      </c>
      <c r="J1093" s="21">
        <v>46065</v>
      </c>
      <c r="K1093" s="21">
        <v>46065</v>
      </c>
      <c r="L1093" t="s">
        <v>2357</v>
      </c>
      <c r="M1093" t="s">
        <v>903</v>
      </c>
      <c r="N1093">
        <v>28</v>
      </c>
      <c r="O1093" t="s">
        <v>220</v>
      </c>
      <c r="P1093">
        <v>2</v>
      </c>
      <c r="Q1093">
        <v>1</v>
      </c>
      <c r="R1093">
        <v>0.25</v>
      </c>
      <c r="S1093">
        <v>0.5</v>
      </c>
      <c r="T1093">
        <v>0.25</v>
      </c>
      <c r="U1093" t="s">
        <v>39</v>
      </c>
      <c r="V1093" t="s">
        <v>40</v>
      </c>
      <c r="W1093" t="s">
        <v>21</v>
      </c>
      <c r="X1093">
        <v>2</v>
      </c>
      <c r="Y1093" t="s">
        <v>2285</v>
      </c>
      <c r="Z1093" t="s">
        <v>496</v>
      </c>
      <c r="AA1093">
        <v>98.81</v>
      </c>
      <c r="AB1093">
        <v>49.41</v>
      </c>
      <c r="AC1093">
        <v>24.7</v>
      </c>
    </row>
    <row r="1094" spans="2:29" ht="15" customHeight="1" x14ac:dyDescent="0.15">
      <c r="B1094">
        <v>4</v>
      </c>
      <c r="C1094" t="s">
        <v>386</v>
      </c>
      <c r="D1094" t="s">
        <v>2358</v>
      </c>
      <c r="E1094">
        <v>1</v>
      </c>
      <c r="F1094" t="s">
        <v>219</v>
      </c>
      <c r="G1094" t="s">
        <v>218</v>
      </c>
      <c r="H1094" t="s">
        <v>231</v>
      </c>
      <c r="I1094">
        <v>9</v>
      </c>
      <c r="J1094" s="21">
        <v>46081</v>
      </c>
      <c r="K1094" s="21">
        <v>46081</v>
      </c>
      <c r="L1094" t="s">
        <v>2359</v>
      </c>
      <c r="M1094" t="s">
        <v>2351</v>
      </c>
      <c r="N1094">
        <v>84</v>
      </c>
      <c r="O1094" t="s">
        <v>220</v>
      </c>
      <c r="P1094">
        <v>6</v>
      </c>
      <c r="Q1094">
        <v>1.5</v>
      </c>
      <c r="R1094">
        <v>0.12</v>
      </c>
      <c r="S1094">
        <v>0.72</v>
      </c>
      <c r="T1094">
        <v>0.18</v>
      </c>
      <c r="U1094" t="s">
        <v>19</v>
      </c>
      <c r="V1094" t="s">
        <v>20</v>
      </c>
      <c r="W1094" t="s">
        <v>21</v>
      </c>
      <c r="X1094">
        <v>4</v>
      </c>
      <c r="Y1094" t="s">
        <v>679</v>
      </c>
      <c r="Z1094" t="s">
        <v>496</v>
      </c>
      <c r="AA1094">
        <v>16.61</v>
      </c>
      <c r="AB1094">
        <v>11.96</v>
      </c>
      <c r="AC1094">
        <v>2.99</v>
      </c>
    </row>
    <row r="1095" spans="2:29" ht="15" customHeight="1" x14ac:dyDescent="0.15">
      <c r="B1095">
        <v>4</v>
      </c>
      <c r="C1095" t="s">
        <v>386</v>
      </c>
      <c r="D1095" t="s">
        <v>2358</v>
      </c>
      <c r="E1095">
        <v>2</v>
      </c>
      <c r="F1095" t="s">
        <v>219</v>
      </c>
      <c r="G1095" t="s">
        <v>244</v>
      </c>
      <c r="H1095" t="s">
        <v>1605</v>
      </c>
      <c r="I1095">
        <v>9</v>
      </c>
      <c r="J1095" s="21">
        <v>46081</v>
      </c>
      <c r="K1095" s="21">
        <v>46081</v>
      </c>
      <c r="L1095" t="s">
        <v>2360</v>
      </c>
      <c r="M1095" t="s">
        <v>295</v>
      </c>
      <c r="N1095">
        <v>84</v>
      </c>
      <c r="O1095" t="s">
        <v>220</v>
      </c>
      <c r="P1095">
        <v>6</v>
      </c>
      <c r="Q1095">
        <v>1.5</v>
      </c>
      <c r="R1095">
        <v>0.4</v>
      </c>
      <c r="S1095">
        <v>2.4</v>
      </c>
      <c r="T1095">
        <v>0.6</v>
      </c>
      <c r="U1095" t="s">
        <v>19</v>
      </c>
      <c r="V1095" t="s">
        <v>20</v>
      </c>
      <c r="W1095" t="s">
        <v>21</v>
      </c>
      <c r="X1095">
        <v>4</v>
      </c>
      <c r="Y1095" t="s">
        <v>679</v>
      </c>
      <c r="Z1095" t="s">
        <v>496</v>
      </c>
      <c r="AA1095">
        <v>77.31</v>
      </c>
      <c r="AB1095">
        <v>185.54</v>
      </c>
      <c r="AC1095">
        <v>46.39</v>
      </c>
    </row>
    <row r="1096" spans="2:29" ht="15" customHeight="1" x14ac:dyDescent="0.15">
      <c r="B1096">
        <v>4</v>
      </c>
      <c r="C1096" t="s">
        <v>386</v>
      </c>
      <c r="D1096" t="s">
        <v>2358</v>
      </c>
      <c r="E1096">
        <v>3</v>
      </c>
      <c r="F1096" t="s">
        <v>219</v>
      </c>
      <c r="G1096" t="s">
        <v>218</v>
      </c>
      <c r="H1096" t="s">
        <v>400</v>
      </c>
      <c r="I1096">
        <v>9</v>
      </c>
      <c r="J1096" s="21">
        <v>46081</v>
      </c>
      <c r="K1096" s="21">
        <v>46081</v>
      </c>
      <c r="L1096" t="s">
        <v>2361</v>
      </c>
      <c r="M1096" t="s">
        <v>2362</v>
      </c>
      <c r="N1096">
        <v>84</v>
      </c>
      <c r="O1096" t="s">
        <v>220</v>
      </c>
      <c r="P1096">
        <v>5</v>
      </c>
      <c r="Q1096">
        <v>1.25</v>
      </c>
      <c r="R1096">
        <v>0.25</v>
      </c>
      <c r="S1096">
        <v>1.25</v>
      </c>
      <c r="T1096">
        <v>0.31</v>
      </c>
      <c r="U1096" t="s">
        <v>19</v>
      </c>
      <c r="V1096" t="s">
        <v>20</v>
      </c>
      <c r="W1096" t="s">
        <v>21</v>
      </c>
      <c r="X1096">
        <v>4</v>
      </c>
      <c r="Y1096" t="s">
        <v>679</v>
      </c>
      <c r="Z1096" t="s">
        <v>496</v>
      </c>
      <c r="AA1096">
        <v>52.5</v>
      </c>
      <c r="AB1096">
        <v>65.63</v>
      </c>
      <c r="AC1096">
        <v>16.41</v>
      </c>
    </row>
    <row r="1097" spans="2:29" ht="15" customHeight="1" x14ac:dyDescent="0.15">
      <c r="B1097">
        <v>4</v>
      </c>
      <c r="C1097" t="s">
        <v>386</v>
      </c>
      <c r="D1097" t="s">
        <v>2358</v>
      </c>
      <c r="E1097">
        <v>4</v>
      </c>
      <c r="F1097" t="s">
        <v>219</v>
      </c>
      <c r="G1097" t="s">
        <v>218</v>
      </c>
      <c r="H1097" t="s">
        <v>400</v>
      </c>
      <c r="I1097">
        <v>9</v>
      </c>
      <c r="J1097" s="21">
        <v>46081</v>
      </c>
      <c r="K1097" s="21">
        <v>46081</v>
      </c>
      <c r="L1097" t="s">
        <v>2363</v>
      </c>
      <c r="M1097" t="s">
        <v>402</v>
      </c>
      <c r="N1097">
        <v>84</v>
      </c>
      <c r="O1097" t="s">
        <v>226</v>
      </c>
      <c r="P1097">
        <v>1</v>
      </c>
      <c r="Q1097">
        <v>0.25</v>
      </c>
      <c r="R1097">
        <v>6.5000000000000002E-2</v>
      </c>
      <c r="S1097">
        <v>6.5000000000000002E-2</v>
      </c>
      <c r="T1097">
        <v>0.02</v>
      </c>
      <c r="U1097" t="s">
        <v>19</v>
      </c>
      <c r="V1097" t="s">
        <v>20</v>
      </c>
      <c r="W1097" t="s">
        <v>21</v>
      </c>
      <c r="X1097">
        <v>4</v>
      </c>
      <c r="Y1097" t="s">
        <v>679</v>
      </c>
      <c r="Z1097" t="s">
        <v>496</v>
      </c>
      <c r="AA1097">
        <v>217</v>
      </c>
      <c r="AB1097">
        <v>14.11</v>
      </c>
      <c r="AC1097">
        <v>3.53</v>
      </c>
    </row>
    <row r="1098" spans="2:29" ht="15" customHeight="1" x14ac:dyDescent="0.15">
      <c r="B1098">
        <v>4</v>
      </c>
      <c r="C1098" t="s">
        <v>386</v>
      </c>
      <c r="D1098" t="s">
        <v>2358</v>
      </c>
      <c r="E1098">
        <v>5</v>
      </c>
      <c r="F1098" t="s">
        <v>219</v>
      </c>
      <c r="G1098" t="s">
        <v>218</v>
      </c>
      <c r="H1098" t="s">
        <v>2305</v>
      </c>
      <c r="I1098">
        <v>9</v>
      </c>
      <c r="J1098" s="21">
        <v>46081</v>
      </c>
      <c r="K1098" s="21">
        <v>46081</v>
      </c>
      <c r="L1098" t="s">
        <v>2364</v>
      </c>
      <c r="M1098" t="s">
        <v>255</v>
      </c>
      <c r="N1098">
        <v>84</v>
      </c>
      <c r="O1098" t="s">
        <v>226</v>
      </c>
      <c r="P1098">
        <v>6</v>
      </c>
      <c r="Q1098">
        <v>1.5</v>
      </c>
      <c r="R1098">
        <v>0.5</v>
      </c>
      <c r="S1098">
        <v>3</v>
      </c>
      <c r="T1098">
        <v>0.75</v>
      </c>
      <c r="U1098" t="s">
        <v>19</v>
      </c>
      <c r="V1098" t="s">
        <v>20</v>
      </c>
      <c r="W1098" t="s">
        <v>21</v>
      </c>
      <c r="X1098">
        <v>4</v>
      </c>
      <c r="Y1098" t="s">
        <v>679</v>
      </c>
      <c r="Z1098" t="s">
        <v>496</v>
      </c>
      <c r="AA1098">
        <v>37.5</v>
      </c>
      <c r="AB1098">
        <v>112.5</v>
      </c>
      <c r="AC1098">
        <v>28.13</v>
      </c>
    </row>
    <row r="1099" spans="2:29" ht="15" customHeight="1" x14ac:dyDescent="0.15">
      <c r="B1099">
        <v>4</v>
      </c>
      <c r="C1099" t="s">
        <v>386</v>
      </c>
      <c r="D1099" t="s">
        <v>2358</v>
      </c>
      <c r="E1099">
        <v>6</v>
      </c>
      <c r="F1099" t="s">
        <v>219</v>
      </c>
      <c r="G1099" t="s">
        <v>239</v>
      </c>
      <c r="H1099" t="s">
        <v>861</v>
      </c>
      <c r="I1099">
        <v>9</v>
      </c>
      <c r="J1099" s="21">
        <v>46081</v>
      </c>
      <c r="K1099" s="21">
        <v>46081</v>
      </c>
      <c r="L1099" t="s">
        <v>2365</v>
      </c>
      <c r="M1099" t="s">
        <v>2334</v>
      </c>
      <c r="N1099">
        <v>84</v>
      </c>
      <c r="O1099" t="s">
        <v>220</v>
      </c>
      <c r="P1099">
        <v>6</v>
      </c>
      <c r="Q1099">
        <v>1.5</v>
      </c>
      <c r="R1099">
        <v>1.5</v>
      </c>
      <c r="S1099">
        <v>9</v>
      </c>
      <c r="T1099">
        <v>2.25</v>
      </c>
      <c r="U1099" t="s">
        <v>19</v>
      </c>
      <c r="V1099" t="s">
        <v>20</v>
      </c>
      <c r="W1099" t="s">
        <v>21</v>
      </c>
      <c r="X1099">
        <v>4</v>
      </c>
      <c r="Y1099" t="s">
        <v>679</v>
      </c>
      <c r="Z1099" t="s">
        <v>496</v>
      </c>
      <c r="AA1099">
        <v>24.81</v>
      </c>
      <c r="AB1099">
        <v>223.29</v>
      </c>
      <c r="AC1099">
        <v>55.82</v>
      </c>
    </row>
    <row r="1100" spans="2:29" ht="15" customHeight="1" x14ac:dyDescent="0.15">
      <c r="B1100">
        <v>4</v>
      </c>
      <c r="C1100" t="s">
        <v>386</v>
      </c>
      <c r="D1100" t="s">
        <v>2358</v>
      </c>
      <c r="E1100">
        <v>7</v>
      </c>
      <c r="F1100" t="s">
        <v>219</v>
      </c>
      <c r="G1100" t="s">
        <v>218</v>
      </c>
      <c r="H1100" t="s">
        <v>2314</v>
      </c>
      <c r="I1100">
        <v>9</v>
      </c>
      <c r="J1100" s="21">
        <v>46081</v>
      </c>
      <c r="K1100" s="21">
        <v>46081</v>
      </c>
      <c r="L1100" t="s">
        <v>2366</v>
      </c>
      <c r="M1100" t="s">
        <v>2316</v>
      </c>
      <c r="N1100">
        <v>84</v>
      </c>
      <c r="O1100" t="s">
        <v>220</v>
      </c>
      <c r="P1100">
        <v>6</v>
      </c>
      <c r="Q1100">
        <v>1.5</v>
      </c>
      <c r="R1100">
        <v>0.05</v>
      </c>
      <c r="S1100">
        <v>0.3</v>
      </c>
      <c r="T1100">
        <v>0.08</v>
      </c>
      <c r="U1100" t="s">
        <v>19</v>
      </c>
      <c r="V1100" t="s">
        <v>20</v>
      </c>
      <c r="W1100" t="s">
        <v>21</v>
      </c>
      <c r="X1100">
        <v>4</v>
      </c>
      <c r="Y1100" t="s">
        <v>679</v>
      </c>
      <c r="Z1100" t="s">
        <v>496</v>
      </c>
      <c r="AA1100">
        <v>175</v>
      </c>
      <c r="AB1100">
        <v>52.5</v>
      </c>
      <c r="AC1100">
        <v>13.13</v>
      </c>
    </row>
    <row r="1101" spans="2:29" ht="15" customHeight="1" x14ac:dyDescent="0.15">
      <c r="B1101">
        <v>4</v>
      </c>
      <c r="C1101" t="s">
        <v>386</v>
      </c>
      <c r="D1101" t="s">
        <v>2358</v>
      </c>
      <c r="E1101">
        <v>8</v>
      </c>
      <c r="F1101" t="s">
        <v>219</v>
      </c>
      <c r="G1101" t="s">
        <v>218</v>
      </c>
      <c r="H1101" t="s">
        <v>686</v>
      </c>
      <c r="I1101">
        <v>9</v>
      </c>
      <c r="J1101" s="21">
        <v>46081</v>
      </c>
      <c r="K1101" s="21">
        <v>46081</v>
      </c>
      <c r="L1101" t="s">
        <v>2367</v>
      </c>
      <c r="M1101" t="s">
        <v>1219</v>
      </c>
      <c r="N1101">
        <v>84</v>
      </c>
      <c r="O1101" t="s">
        <v>220</v>
      </c>
      <c r="P1101">
        <v>6</v>
      </c>
      <c r="Q1101">
        <v>1.5</v>
      </c>
      <c r="R1101">
        <v>0.15</v>
      </c>
      <c r="S1101">
        <v>0.9</v>
      </c>
      <c r="T1101">
        <v>0.23</v>
      </c>
      <c r="U1101" t="s">
        <v>19</v>
      </c>
      <c r="V1101" t="s">
        <v>20</v>
      </c>
      <c r="W1101" t="s">
        <v>21</v>
      </c>
      <c r="X1101">
        <v>4</v>
      </c>
      <c r="Y1101" t="s">
        <v>679</v>
      </c>
      <c r="Z1101" t="s">
        <v>496</v>
      </c>
      <c r="AA1101">
        <v>163</v>
      </c>
      <c r="AB1101">
        <v>146.69999999999999</v>
      </c>
      <c r="AC1101">
        <v>36.68</v>
      </c>
    </row>
    <row r="1102" spans="2:29" ht="15" customHeight="1" x14ac:dyDescent="0.15">
      <c r="B1102">
        <v>4</v>
      </c>
      <c r="C1102" t="s">
        <v>386</v>
      </c>
      <c r="D1102" t="s">
        <v>2368</v>
      </c>
      <c r="E1102">
        <v>1</v>
      </c>
      <c r="F1102" t="s">
        <v>219</v>
      </c>
      <c r="G1102" t="s">
        <v>231</v>
      </c>
      <c r="H1102" t="s">
        <v>231</v>
      </c>
      <c r="I1102">
        <v>10</v>
      </c>
      <c r="J1102" s="21">
        <v>46088</v>
      </c>
      <c r="K1102" s="21">
        <v>46095</v>
      </c>
      <c r="L1102" t="s">
        <v>2369</v>
      </c>
      <c r="M1102" t="s">
        <v>2351</v>
      </c>
      <c r="N1102">
        <v>23</v>
      </c>
      <c r="O1102" t="s">
        <v>220</v>
      </c>
      <c r="P1102">
        <v>2</v>
      </c>
      <c r="Q1102">
        <v>1</v>
      </c>
      <c r="R1102">
        <v>0.12</v>
      </c>
      <c r="S1102">
        <v>0.24</v>
      </c>
      <c r="T1102">
        <v>0.12</v>
      </c>
      <c r="U1102" t="s">
        <v>47</v>
      </c>
      <c r="V1102" t="s">
        <v>48</v>
      </c>
      <c r="W1102" t="s">
        <v>21</v>
      </c>
      <c r="X1102">
        <v>2</v>
      </c>
      <c r="Y1102" t="s">
        <v>2312</v>
      </c>
      <c r="Z1102" t="s">
        <v>496</v>
      </c>
      <c r="AA1102">
        <v>16.61</v>
      </c>
      <c r="AB1102">
        <v>3.99</v>
      </c>
      <c r="AC1102">
        <v>1.99</v>
      </c>
    </row>
    <row r="1103" spans="2:29" ht="15" customHeight="1" x14ac:dyDescent="0.15">
      <c r="B1103">
        <v>4</v>
      </c>
      <c r="C1103" t="s">
        <v>386</v>
      </c>
      <c r="D1103" t="s">
        <v>2368</v>
      </c>
      <c r="E1103">
        <v>2</v>
      </c>
      <c r="F1103" t="s">
        <v>219</v>
      </c>
      <c r="G1103" t="s">
        <v>218</v>
      </c>
      <c r="H1103" t="s">
        <v>1090</v>
      </c>
      <c r="I1103">
        <v>10</v>
      </c>
      <c r="J1103" s="21">
        <v>46088</v>
      </c>
      <c r="K1103" s="21">
        <v>46095</v>
      </c>
      <c r="L1103" t="s">
        <v>2370</v>
      </c>
      <c r="M1103" t="s">
        <v>2371</v>
      </c>
      <c r="N1103">
        <v>23</v>
      </c>
      <c r="O1103" t="s">
        <v>220</v>
      </c>
      <c r="P1103">
        <v>2</v>
      </c>
      <c r="Q1103">
        <v>1</v>
      </c>
      <c r="R1103">
        <v>1.5</v>
      </c>
      <c r="S1103">
        <v>3</v>
      </c>
      <c r="T1103">
        <v>1.5</v>
      </c>
      <c r="U1103" t="s">
        <v>47</v>
      </c>
      <c r="V1103" t="s">
        <v>48</v>
      </c>
      <c r="W1103" t="s">
        <v>21</v>
      </c>
      <c r="X1103">
        <v>2</v>
      </c>
      <c r="Y1103" t="s">
        <v>2312</v>
      </c>
      <c r="Z1103" t="s">
        <v>496</v>
      </c>
      <c r="AA1103">
        <v>58.29</v>
      </c>
      <c r="AB1103">
        <v>174.87</v>
      </c>
      <c r="AC1103">
        <v>87.44</v>
      </c>
    </row>
    <row r="1104" spans="2:29" ht="15" customHeight="1" x14ac:dyDescent="0.15">
      <c r="B1104">
        <v>4</v>
      </c>
      <c r="C1104" t="s">
        <v>386</v>
      </c>
      <c r="D1104" t="s">
        <v>2368</v>
      </c>
      <c r="E1104">
        <v>3</v>
      </c>
      <c r="F1104" t="s">
        <v>219</v>
      </c>
      <c r="G1104" t="s">
        <v>239</v>
      </c>
      <c r="H1104" t="s">
        <v>602</v>
      </c>
      <c r="I1104">
        <v>10</v>
      </c>
      <c r="J1104" s="21">
        <v>46088</v>
      </c>
      <c r="K1104" s="21">
        <v>46095</v>
      </c>
      <c r="L1104" t="s">
        <v>2372</v>
      </c>
      <c r="M1104" t="s">
        <v>258</v>
      </c>
      <c r="N1104">
        <v>23</v>
      </c>
      <c r="O1104" t="s">
        <v>220</v>
      </c>
      <c r="P1104">
        <v>2</v>
      </c>
      <c r="Q1104">
        <v>1</v>
      </c>
      <c r="R1104">
        <v>0.5</v>
      </c>
      <c r="S1104">
        <v>1</v>
      </c>
      <c r="T1104">
        <v>0.5</v>
      </c>
      <c r="U1104" t="s">
        <v>47</v>
      </c>
      <c r="V1104" t="s">
        <v>48</v>
      </c>
      <c r="W1104" t="s">
        <v>21</v>
      </c>
      <c r="X1104">
        <v>2</v>
      </c>
      <c r="Y1104" t="s">
        <v>2312</v>
      </c>
      <c r="Z1104" t="s">
        <v>496</v>
      </c>
      <c r="AA1104">
        <v>180</v>
      </c>
      <c r="AB1104">
        <v>180</v>
      </c>
      <c r="AC1104">
        <v>90</v>
      </c>
    </row>
    <row r="1105" spans="2:29" ht="15" customHeight="1" x14ac:dyDescent="0.15">
      <c r="B1105">
        <v>4</v>
      </c>
      <c r="C1105" t="s">
        <v>386</v>
      </c>
      <c r="D1105" t="s">
        <v>2368</v>
      </c>
      <c r="E1105">
        <v>4</v>
      </c>
      <c r="F1105" t="s">
        <v>219</v>
      </c>
      <c r="G1105" t="s">
        <v>218</v>
      </c>
      <c r="H1105" t="s">
        <v>406</v>
      </c>
      <c r="I1105">
        <v>10</v>
      </c>
      <c r="J1105" s="21">
        <v>46088</v>
      </c>
      <c r="K1105" s="21">
        <v>46095</v>
      </c>
      <c r="L1105" t="s">
        <v>2373</v>
      </c>
      <c r="M1105" t="s">
        <v>2295</v>
      </c>
      <c r="N1105">
        <v>23</v>
      </c>
      <c r="O1105" t="s">
        <v>220</v>
      </c>
      <c r="P1105">
        <v>2</v>
      </c>
      <c r="Q1105">
        <v>1</v>
      </c>
      <c r="R1105">
        <v>5.8000000000000003E-2</v>
      </c>
      <c r="S1105">
        <v>0.115</v>
      </c>
      <c r="T1105">
        <v>0.06</v>
      </c>
      <c r="U1105" t="s">
        <v>47</v>
      </c>
      <c r="V1105" t="s">
        <v>48</v>
      </c>
      <c r="W1105" t="s">
        <v>21</v>
      </c>
      <c r="X1105">
        <v>2</v>
      </c>
      <c r="Y1105" t="s">
        <v>2312</v>
      </c>
      <c r="Z1105" t="s">
        <v>496</v>
      </c>
      <c r="AA1105">
        <v>299.57</v>
      </c>
      <c r="AB1105">
        <v>34.450000000000003</v>
      </c>
      <c r="AC1105">
        <v>17.23</v>
      </c>
    </row>
    <row r="1106" spans="2:29" ht="15" customHeight="1" x14ac:dyDescent="0.15">
      <c r="B1106">
        <v>4</v>
      </c>
      <c r="C1106" t="s">
        <v>386</v>
      </c>
      <c r="D1106" t="s">
        <v>2368</v>
      </c>
      <c r="E1106">
        <v>5</v>
      </c>
      <c r="F1106" t="s">
        <v>219</v>
      </c>
      <c r="G1106" t="s">
        <v>239</v>
      </c>
      <c r="H1106" t="s">
        <v>551</v>
      </c>
      <c r="I1106">
        <v>10</v>
      </c>
      <c r="J1106" s="21">
        <v>46088</v>
      </c>
      <c r="K1106" s="21">
        <v>46095</v>
      </c>
      <c r="L1106" t="s">
        <v>2374</v>
      </c>
      <c r="M1106" t="s">
        <v>1165</v>
      </c>
      <c r="N1106">
        <v>23</v>
      </c>
      <c r="O1106" t="s">
        <v>220</v>
      </c>
      <c r="P1106">
        <v>2</v>
      </c>
      <c r="Q1106">
        <v>1</v>
      </c>
      <c r="R1106">
        <v>0.5</v>
      </c>
      <c r="S1106">
        <v>1</v>
      </c>
      <c r="T1106">
        <v>0.5</v>
      </c>
      <c r="U1106" t="s">
        <v>47</v>
      </c>
      <c r="V1106" t="s">
        <v>48</v>
      </c>
      <c r="W1106" t="s">
        <v>21</v>
      </c>
      <c r="X1106">
        <v>2</v>
      </c>
      <c r="Y1106" t="s">
        <v>2312</v>
      </c>
      <c r="Z1106" t="s">
        <v>496</v>
      </c>
      <c r="AA1106">
        <v>57.53</v>
      </c>
      <c r="AB1106">
        <v>57.53</v>
      </c>
      <c r="AC1106">
        <v>28.76</v>
      </c>
    </row>
    <row r="1107" spans="2:29" ht="15" customHeight="1" x14ac:dyDescent="0.15">
      <c r="B1107">
        <v>4</v>
      </c>
      <c r="C1107" t="s">
        <v>386</v>
      </c>
      <c r="D1107" t="s">
        <v>2368</v>
      </c>
      <c r="E1107">
        <v>6</v>
      </c>
      <c r="F1107" t="s">
        <v>219</v>
      </c>
      <c r="G1107" t="s">
        <v>244</v>
      </c>
      <c r="H1107" t="s">
        <v>409</v>
      </c>
      <c r="I1107">
        <v>10</v>
      </c>
      <c r="J1107" s="21">
        <v>46088</v>
      </c>
      <c r="K1107" s="21">
        <v>46095</v>
      </c>
      <c r="L1107" t="s">
        <v>2375</v>
      </c>
      <c r="M1107" t="s">
        <v>284</v>
      </c>
      <c r="N1107">
        <v>23</v>
      </c>
      <c r="O1107" t="s">
        <v>220</v>
      </c>
      <c r="P1107">
        <v>2</v>
      </c>
      <c r="Q1107">
        <v>1</v>
      </c>
      <c r="R1107">
        <v>0.5</v>
      </c>
      <c r="S1107">
        <v>1</v>
      </c>
      <c r="T1107">
        <v>0.5</v>
      </c>
      <c r="U1107" t="s">
        <v>47</v>
      </c>
      <c r="V1107" t="s">
        <v>48</v>
      </c>
      <c r="W1107" t="s">
        <v>21</v>
      </c>
      <c r="X1107">
        <v>2</v>
      </c>
      <c r="Y1107" t="s">
        <v>2312</v>
      </c>
      <c r="Z1107" t="s">
        <v>496</v>
      </c>
      <c r="AA1107">
        <v>53.07</v>
      </c>
      <c r="AB1107">
        <v>53.07</v>
      </c>
      <c r="AC1107">
        <v>26.54</v>
      </c>
    </row>
    <row r="1108" spans="2:29" ht="15" customHeight="1" x14ac:dyDescent="0.15">
      <c r="B1108">
        <v>4</v>
      </c>
      <c r="C1108" t="s">
        <v>386</v>
      </c>
      <c r="D1108" t="s">
        <v>2376</v>
      </c>
      <c r="E1108">
        <v>1</v>
      </c>
      <c r="F1108" t="s">
        <v>219</v>
      </c>
      <c r="G1108" t="s">
        <v>231</v>
      </c>
      <c r="H1108" t="s">
        <v>231</v>
      </c>
      <c r="I1108">
        <v>11</v>
      </c>
      <c r="J1108" s="21">
        <v>46090</v>
      </c>
      <c r="K1108" s="21">
        <v>46092</v>
      </c>
      <c r="L1108" t="s">
        <v>2377</v>
      </c>
      <c r="M1108" t="s">
        <v>2351</v>
      </c>
      <c r="N1108">
        <v>55</v>
      </c>
      <c r="O1108" t="s">
        <v>220</v>
      </c>
      <c r="P1108">
        <v>4</v>
      </c>
      <c r="Q1108">
        <v>2</v>
      </c>
      <c r="R1108">
        <v>0.12</v>
      </c>
      <c r="S1108">
        <v>0.48</v>
      </c>
      <c r="T1108">
        <v>0.24</v>
      </c>
      <c r="U1108" t="s">
        <v>39</v>
      </c>
      <c r="V1108" t="s">
        <v>40</v>
      </c>
      <c r="W1108" t="s">
        <v>21</v>
      </c>
      <c r="X1108">
        <v>2</v>
      </c>
      <c r="Y1108" t="s">
        <v>2378</v>
      </c>
      <c r="Z1108" t="s">
        <v>496</v>
      </c>
      <c r="AA1108">
        <v>16.61</v>
      </c>
      <c r="AB1108">
        <v>7.97</v>
      </c>
      <c r="AC1108">
        <v>3.99</v>
      </c>
    </row>
    <row r="1109" spans="2:29" ht="15" customHeight="1" x14ac:dyDescent="0.15">
      <c r="B1109">
        <v>4</v>
      </c>
      <c r="C1109" t="s">
        <v>386</v>
      </c>
      <c r="D1109" t="s">
        <v>2376</v>
      </c>
      <c r="E1109">
        <v>2</v>
      </c>
      <c r="F1109" t="s">
        <v>219</v>
      </c>
      <c r="G1109" t="s">
        <v>218</v>
      </c>
      <c r="H1109" t="s">
        <v>485</v>
      </c>
      <c r="I1109">
        <v>11</v>
      </c>
      <c r="J1109" s="21">
        <v>46090</v>
      </c>
      <c r="K1109" s="21">
        <v>46092</v>
      </c>
      <c r="L1109" t="s">
        <v>2379</v>
      </c>
      <c r="M1109" t="s">
        <v>1316</v>
      </c>
      <c r="N1109">
        <v>55</v>
      </c>
      <c r="O1109" t="s">
        <v>220</v>
      </c>
      <c r="P1109">
        <v>4</v>
      </c>
      <c r="Q1109">
        <v>2</v>
      </c>
      <c r="R1109">
        <v>1</v>
      </c>
      <c r="S1109">
        <v>4</v>
      </c>
      <c r="T1109">
        <v>2</v>
      </c>
      <c r="U1109" t="s">
        <v>39</v>
      </c>
      <c r="V1109" t="s">
        <v>40</v>
      </c>
      <c r="W1109" t="s">
        <v>21</v>
      </c>
      <c r="X1109">
        <v>2</v>
      </c>
      <c r="Y1109" t="s">
        <v>2378</v>
      </c>
      <c r="Z1109" t="s">
        <v>496</v>
      </c>
      <c r="AA1109">
        <v>92.82</v>
      </c>
      <c r="AB1109">
        <v>371.28</v>
      </c>
      <c r="AC1109">
        <v>185.64</v>
      </c>
    </row>
    <row r="1110" spans="2:29" ht="15" customHeight="1" x14ac:dyDescent="0.15">
      <c r="B1110">
        <v>4</v>
      </c>
      <c r="C1110" t="s">
        <v>386</v>
      </c>
      <c r="D1110" t="s">
        <v>2376</v>
      </c>
      <c r="E1110">
        <v>3</v>
      </c>
      <c r="F1110" t="s">
        <v>219</v>
      </c>
      <c r="G1110" t="s">
        <v>244</v>
      </c>
      <c r="H1110" t="s">
        <v>511</v>
      </c>
      <c r="I1110">
        <v>11</v>
      </c>
      <c r="J1110" s="21">
        <v>46090</v>
      </c>
      <c r="K1110" s="21">
        <v>46092</v>
      </c>
      <c r="L1110" t="s">
        <v>2380</v>
      </c>
      <c r="M1110" t="s">
        <v>1243</v>
      </c>
      <c r="N1110">
        <v>55</v>
      </c>
      <c r="O1110" t="s">
        <v>220</v>
      </c>
      <c r="P1110">
        <v>4</v>
      </c>
      <c r="Q1110">
        <v>2</v>
      </c>
      <c r="R1110">
        <v>0.2</v>
      </c>
      <c r="S1110">
        <v>0.8</v>
      </c>
      <c r="T1110">
        <v>0.4</v>
      </c>
      <c r="U1110" t="s">
        <v>39</v>
      </c>
      <c r="V1110" t="s">
        <v>40</v>
      </c>
      <c r="W1110" t="s">
        <v>21</v>
      </c>
      <c r="X1110">
        <v>2</v>
      </c>
      <c r="Y1110" t="s">
        <v>2378</v>
      </c>
      <c r="Z1110" t="s">
        <v>496</v>
      </c>
      <c r="AA1110">
        <v>269</v>
      </c>
      <c r="AB1110">
        <v>215.2</v>
      </c>
      <c r="AC1110">
        <v>107.6</v>
      </c>
    </row>
    <row r="1111" spans="2:29" ht="15" customHeight="1" x14ac:dyDescent="0.15">
      <c r="B1111">
        <v>4</v>
      </c>
      <c r="C1111" t="s">
        <v>386</v>
      </c>
      <c r="D1111" t="s">
        <v>2376</v>
      </c>
      <c r="E1111">
        <v>4</v>
      </c>
      <c r="F1111" t="s">
        <v>219</v>
      </c>
      <c r="G1111" t="s">
        <v>218</v>
      </c>
      <c r="H1111" t="s">
        <v>2305</v>
      </c>
      <c r="I1111">
        <v>11</v>
      </c>
      <c r="J1111" s="21">
        <v>46090</v>
      </c>
      <c r="K1111" s="21">
        <v>46092</v>
      </c>
      <c r="L1111" t="s">
        <v>2381</v>
      </c>
      <c r="M1111" t="s">
        <v>255</v>
      </c>
      <c r="N1111">
        <v>55</v>
      </c>
      <c r="O1111" t="s">
        <v>220</v>
      </c>
      <c r="P1111">
        <v>4</v>
      </c>
      <c r="Q1111">
        <v>2</v>
      </c>
      <c r="R1111">
        <v>0.4</v>
      </c>
      <c r="S1111">
        <v>1.6</v>
      </c>
      <c r="T1111">
        <v>0.8</v>
      </c>
      <c r="U1111" t="s">
        <v>39</v>
      </c>
      <c r="V1111" t="s">
        <v>40</v>
      </c>
      <c r="W1111" t="s">
        <v>21</v>
      </c>
      <c r="X1111">
        <v>2</v>
      </c>
      <c r="Y1111" t="s">
        <v>2378</v>
      </c>
      <c r="Z1111" t="s">
        <v>496</v>
      </c>
      <c r="AA1111">
        <v>37.5</v>
      </c>
      <c r="AB1111">
        <v>60</v>
      </c>
      <c r="AC1111">
        <v>30</v>
      </c>
    </row>
    <row r="1112" spans="2:29" ht="15" customHeight="1" x14ac:dyDescent="0.15">
      <c r="B1112">
        <v>4</v>
      </c>
      <c r="C1112" t="s">
        <v>386</v>
      </c>
      <c r="D1112" t="s">
        <v>2376</v>
      </c>
      <c r="E1112">
        <v>5</v>
      </c>
      <c r="F1112" t="s">
        <v>219</v>
      </c>
      <c r="G1112" t="s">
        <v>218</v>
      </c>
      <c r="H1112" t="s">
        <v>680</v>
      </c>
      <c r="I1112">
        <v>11</v>
      </c>
      <c r="J1112" s="21">
        <v>46090</v>
      </c>
      <c r="K1112" s="21">
        <v>46092</v>
      </c>
      <c r="L1112" t="s">
        <v>2382</v>
      </c>
      <c r="M1112" t="s">
        <v>682</v>
      </c>
      <c r="N1112">
        <v>55</v>
      </c>
      <c r="O1112" t="s">
        <v>220</v>
      </c>
      <c r="P1112">
        <v>4</v>
      </c>
      <c r="Q1112">
        <v>2</v>
      </c>
      <c r="R1112">
        <v>0.5</v>
      </c>
      <c r="S1112">
        <v>2</v>
      </c>
      <c r="T1112">
        <v>1</v>
      </c>
      <c r="U1112" t="s">
        <v>39</v>
      </c>
      <c r="V1112" t="s">
        <v>40</v>
      </c>
      <c r="W1112" t="s">
        <v>21</v>
      </c>
      <c r="X1112">
        <v>2</v>
      </c>
      <c r="Y1112" t="s">
        <v>2378</v>
      </c>
      <c r="Z1112" t="s">
        <v>496</v>
      </c>
      <c r="AA1112">
        <v>128.37</v>
      </c>
      <c r="AB1112">
        <v>256.74</v>
      </c>
      <c r="AC1112">
        <v>128.37</v>
      </c>
    </row>
    <row r="1113" spans="2:29" ht="15" customHeight="1" x14ac:dyDescent="0.15">
      <c r="B1113">
        <v>4</v>
      </c>
      <c r="C1113" t="s">
        <v>386</v>
      </c>
      <c r="D1113" t="s">
        <v>2376</v>
      </c>
      <c r="E1113">
        <v>6</v>
      </c>
      <c r="F1113" t="s">
        <v>219</v>
      </c>
      <c r="G1113" t="s">
        <v>239</v>
      </c>
      <c r="H1113" t="s">
        <v>602</v>
      </c>
      <c r="I1113">
        <v>11</v>
      </c>
      <c r="J1113" s="21">
        <v>46090</v>
      </c>
      <c r="K1113" s="21">
        <v>46092</v>
      </c>
      <c r="L1113" t="s">
        <v>2383</v>
      </c>
      <c r="M1113" t="s">
        <v>258</v>
      </c>
      <c r="N1113">
        <v>55</v>
      </c>
      <c r="O1113" t="s">
        <v>220</v>
      </c>
      <c r="P1113">
        <v>4</v>
      </c>
      <c r="Q1113">
        <v>2</v>
      </c>
      <c r="R1113">
        <v>0.5</v>
      </c>
      <c r="S1113">
        <v>2</v>
      </c>
      <c r="T1113">
        <v>1</v>
      </c>
      <c r="U1113" t="s">
        <v>39</v>
      </c>
      <c r="V1113" t="s">
        <v>40</v>
      </c>
      <c r="W1113" t="s">
        <v>21</v>
      </c>
      <c r="X1113">
        <v>2</v>
      </c>
      <c r="Y1113" t="s">
        <v>2378</v>
      </c>
      <c r="Z1113" t="s">
        <v>496</v>
      </c>
      <c r="AA1113">
        <v>180</v>
      </c>
      <c r="AB1113">
        <v>360</v>
      </c>
      <c r="AC1113">
        <v>180</v>
      </c>
    </row>
    <row r="1114" spans="2:29" ht="15" customHeight="1" x14ac:dyDescent="0.15">
      <c r="B1114">
        <v>4</v>
      </c>
      <c r="C1114" t="s">
        <v>386</v>
      </c>
      <c r="D1114" t="s">
        <v>2376</v>
      </c>
      <c r="E1114">
        <v>7</v>
      </c>
      <c r="F1114" t="s">
        <v>219</v>
      </c>
      <c r="G1114" t="s">
        <v>218</v>
      </c>
      <c r="H1114" t="s">
        <v>2314</v>
      </c>
      <c r="I1114">
        <v>11</v>
      </c>
      <c r="J1114" s="21">
        <v>46090</v>
      </c>
      <c r="K1114" s="21">
        <v>46092</v>
      </c>
      <c r="L1114" t="s">
        <v>2384</v>
      </c>
      <c r="M1114" t="s">
        <v>2316</v>
      </c>
      <c r="N1114">
        <v>55</v>
      </c>
      <c r="O1114" t="s">
        <v>220</v>
      </c>
      <c r="P1114">
        <v>4</v>
      </c>
      <c r="Q1114">
        <v>2</v>
      </c>
      <c r="R1114">
        <v>5.5E-2</v>
      </c>
      <c r="S1114">
        <v>0.22</v>
      </c>
      <c r="T1114">
        <v>0.11</v>
      </c>
      <c r="U1114" t="s">
        <v>39</v>
      </c>
      <c r="V1114" t="s">
        <v>40</v>
      </c>
      <c r="W1114" t="s">
        <v>21</v>
      </c>
      <c r="X1114">
        <v>2</v>
      </c>
      <c r="Y1114" t="s">
        <v>2378</v>
      </c>
      <c r="Z1114" t="s">
        <v>496</v>
      </c>
      <c r="AA1114">
        <v>175</v>
      </c>
      <c r="AB1114">
        <v>38.5</v>
      </c>
      <c r="AC1114">
        <v>19.25</v>
      </c>
    </row>
    <row r="1115" spans="2:29" ht="15" customHeight="1" x14ac:dyDescent="0.15">
      <c r="B1115">
        <v>4</v>
      </c>
      <c r="C1115" t="s">
        <v>386</v>
      </c>
      <c r="D1115" t="s">
        <v>2385</v>
      </c>
      <c r="E1115">
        <v>1</v>
      </c>
      <c r="F1115" t="s">
        <v>219</v>
      </c>
      <c r="G1115" t="s">
        <v>231</v>
      </c>
      <c r="H1115" t="s">
        <v>231</v>
      </c>
      <c r="I1115">
        <v>11</v>
      </c>
      <c r="J1115" s="21">
        <v>46092</v>
      </c>
      <c r="K1115" s="21">
        <v>46093</v>
      </c>
      <c r="L1115" t="s">
        <v>2386</v>
      </c>
      <c r="M1115" t="s">
        <v>2351</v>
      </c>
      <c r="N1115">
        <v>7</v>
      </c>
      <c r="O1115" t="s">
        <v>220</v>
      </c>
      <c r="P1115">
        <v>2</v>
      </c>
      <c r="Q1115">
        <v>1</v>
      </c>
      <c r="R1115">
        <v>0.15</v>
      </c>
      <c r="S1115">
        <v>0.3</v>
      </c>
      <c r="T1115">
        <v>0.15</v>
      </c>
      <c r="U1115" t="s">
        <v>53</v>
      </c>
      <c r="V1115" t="s">
        <v>54</v>
      </c>
      <c r="W1115" t="s">
        <v>21</v>
      </c>
      <c r="X1115">
        <v>2</v>
      </c>
      <c r="Y1115" t="s">
        <v>2312</v>
      </c>
      <c r="Z1115" t="s">
        <v>496</v>
      </c>
      <c r="AA1115">
        <v>16.61</v>
      </c>
      <c r="AB1115">
        <v>4.9800000000000004</v>
      </c>
      <c r="AC1115">
        <v>2.4900000000000002</v>
      </c>
    </row>
    <row r="1116" spans="2:29" ht="15" customHeight="1" x14ac:dyDescent="0.15">
      <c r="B1116">
        <v>4</v>
      </c>
      <c r="C1116" t="s">
        <v>386</v>
      </c>
      <c r="D1116" t="s">
        <v>2385</v>
      </c>
      <c r="E1116">
        <v>2</v>
      </c>
      <c r="F1116" t="s">
        <v>219</v>
      </c>
      <c r="G1116" t="s">
        <v>439</v>
      </c>
      <c r="H1116" t="s">
        <v>533</v>
      </c>
      <c r="I1116">
        <v>11</v>
      </c>
      <c r="J1116" s="21">
        <v>46092</v>
      </c>
      <c r="K1116" s="21">
        <v>46093</v>
      </c>
      <c r="L1116" t="s">
        <v>2387</v>
      </c>
      <c r="M1116" t="s">
        <v>535</v>
      </c>
      <c r="N1116">
        <v>7</v>
      </c>
      <c r="O1116" t="s">
        <v>220</v>
      </c>
      <c r="P1116">
        <v>2</v>
      </c>
      <c r="Q1116">
        <v>1</v>
      </c>
      <c r="R1116">
        <v>1.5</v>
      </c>
      <c r="S1116">
        <v>3</v>
      </c>
      <c r="T1116">
        <v>1.5</v>
      </c>
      <c r="U1116" t="s">
        <v>53</v>
      </c>
      <c r="V1116" t="s">
        <v>54</v>
      </c>
      <c r="W1116" t="s">
        <v>21</v>
      </c>
      <c r="X1116">
        <v>2</v>
      </c>
      <c r="Y1116" t="s">
        <v>2312</v>
      </c>
      <c r="Z1116" t="s">
        <v>496</v>
      </c>
      <c r="AA1116">
        <v>38.14</v>
      </c>
      <c r="AB1116">
        <v>114.42</v>
      </c>
      <c r="AC1116">
        <v>57.21</v>
      </c>
    </row>
    <row r="1117" spans="2:29" ht="15" customHeight="1" x14ac:dyDescent="0.15">
      <c r="B1117">
        <v>4</v>
      </c>
      <c r="C1117" t="s">
        <v>386</v>
      </c>
      <c r="D1117" t="s">
        <v>2385</v>
      </c>
      <c r="E1117">
        <v>3</v>
      </c>
      <c r="F1117" t="s">
        <v>219</v>
      </c>
      <c r="G1117" t="s">
        <v>239</v>
      </c>
      <c r="H1117" t="s">
        <v>551</v>
      </c>
      <c r="I1117">
        <v>11</v>
      </c>
      <c r="J1117" s="21">
        <v>46092</v>
      </c>
      <c r="K1117" s="21">
        <v>46093</v>
      </c>
      <c r="L1117" t="s">
        <v>2388</v>
      </c>
      <c r="M1117" t="s">
        <v>1165</v>
      </c>
      <c r="N1117">
        <v>7</v>
      </c>
      <c r="O1117" t="s">
        <v>220</v>
      </c>
      <c r="P1117">
        <v>2</v>
      </c>
      <c r="Q1117">
        <v>1</v>
      </c>
      <c r="R1117">
        <v>1</v>
      </c>
      <c r="S1117">
        <v>2</v>
      </c>
      <c r="T1117">
        <v>1</v>
      </c>
      <c r="U1117" t="s">
        <v>53</v>
      </c>
      <c r="V1117" t="s">
        <v>54</v>
      </c>
      <c r="W1117" t="s">
        <v>21</v>
      </c>
      <c r="X1117">
        <v>2</v>
      </c>
      <c r="Y1117" t="s">
        <v>2312</v>
      </c>
      <c r="Z1117" t="s">
        <v>496</v>
      </c>
      <c r="AA1117">
        <v>57.53</v>
      </c>
      <c r="AB1117">
        <v>115.05</v>
      </c>
      <c r="AC1117">
        <v>57.53</v>
      </c>
    </row>
    <row r="1118" spans="2:29" ht="15" customHeight="1" x14ac:dyDescent="0.15">
      <c r="B1118">
        <v>4</v>
      </c>
      <c r="C1118" t="s">
        <v>386</v>
      </c>
      <c r="D1118" t="s">
        <v>2385</v>
      </c>
      <c r="E1118">
        <v>4</v>
      </c>
      <c r="F1118" t="s">
        <v>219</v>
      </c>
      <c r="G1118" t="s">
        <v>218</v>
      </c>
      <c r="H1118" t="s">
        <v>686</v>
      </c>
      <c r="I1118">
        <v>11</v>
      </c>
      <c r="J1118" s="21">
        <v>46092</v>
      </c>
      <c r="K1118" s="21">
        <v>46093</v>
      </c>
      <c r="L1118" t="s">
        <v>2389</v>
      </c>
      <c r="M1118" t="s">
        <v>1219</v>
      </c>
      <c r="N1118">
        <v>7</v>
      </c>
      <c r="O1118" t="s">
        <v>220</v>
      </c>
      <c r="P1118">
        <v>2</v>
      </c>
      <c r="Q1118">
        <v>1</v>
      </c>
      <c r="R1118">
        <v>0.15</v>
      </c>
      <c r="S1118">
        <v>0.3</v>
      </c>
      <c r="T1118">
        <v>0.15</v>
      </c>
      <c r="U1118" t="s">
        <v>53</v>
      </c>
      <c r="V1118" t="s">
        <v>54</v>
      </c>
      <c r="W1118" t="s">
        <v>21</v>
      </c>
      <c r="X1118">
        <v>2</v>
      </c>
      <c r="Y1118" t="s">
        <v>2312</v>
      </c>
      <c r="Z1118" t="s">
        <v>496</v>
      </c>
      <c r="AA1118">
        <v>163</v>
      </c>
      <c r="AB1118">
        <v>48.9</v>
      </c>
      <c r="AC1118">
        <v>24.45</v>
      </c>
    </row>
    <row r="1119" spans="2:29" ht="15" customHeight="1" x14ac:dyDescent="0.15">
      <c r="B1119">
        <v>4</v>
      </c>
      <c r="C1119" t="s">
        <v>386</v>
      </c>
      <c r="D1119" t="s">
        <v>2390</v>
      </c>
      <c r="E1119">
        <v>1</v>
      </c>
      <c r="F1119" t="s">
        <v>219</v>
      </c>
      <c r="G1119" t="s">
        <v>231</v>
      </c>
      <c r="H1119" t="s">
        <v>231</v>
      </c>
      <c r="I1119">
        <v>12</v>
      </c>
      <c r="J1119" s="21">
        <v>46097</v>
      </c>
      <c r="K1119" s="21">
        <v>46097</v>
      </c>
      <c r="L1119" t="s">
        <v>2391</v>
      </c>
      <c r="M1119" t="s">
        <v>2351</v>
      </c>
      <c r="N1119">
        <v>60</v>
      </c>
      <c r="O1119" t="s">
        <v>220</v>
      </c>
      <c r="P1119">
        <v>4</v>
      </c>
      <c r="Q1119">
        <v>2</v>
      </c>
      <c r="R1119">
        <v>0.12</v>
      </c>
      <c r="S1119">
        <v>0.48</v>
      </c>
      <c r="T1119">
        <v>0.24</v>
      </c>
      <c r="U1119" t="s">
        <v>39</v>
      </c>
      <c r="V1119" t="s">
        <v>40</v>
      </c>
      <c r="W1119" t="s">
        <v>21</v>
      </c>
      <c r="X1119">
        <v>2</v>
      </c>
      <c r="Y1119" t="s">
        <v>2378</v>
      </c>
      <c r="Z1119" t="s">
        <v>496</v>
      </c>
      <c r="AA1119">
        <v>16.61</v>
      </c>
      <c r="AB1119">
        <v>7.97</v>
      </c>
      <c r="AC1119">
        <v>3.99</v>
      </c>
    </row>
    <row r="1120" spans="2:29" ht="15" customHeight="1" x14ac:dyDescent="0.15">
      <c r="B1120">
        <v>4</v>
      </c>
      <c r="C1120" t="s">
        <v>386</v>
      </c>
      <c r="D1120" t="s">
        <v>2390</v>
      </c>
      <c r="E1120">
        <v>2</v>
      </c>
      <c r="F1120" t="s">
        <v>219</v>
      </c>
      <c r="G1120" t="s">
        <v>218</v>
      </c>
      <c r="H1120" t="s">
        <v>2392</v>
      </c>
      <c r="I1120">
        <v>12</v>
      </c>
      <c r="J1120" s="21">
        <v>46097</v>
      </c>
      <c r="K1120" s="21">
        <v>46097</v>
      </c>
      <c r="L1120" t="s">
        <v>2393</v>
      </c>
      <c r="M1120" t="s">
        <v>2394</v>
      </c>
      <c r="N1120">
        <v>60</v>
      </c>
      <c r="O1120" t="s">
        <v>220</v>
      </c>
      <c r="P1120">
        <v>4</v>
      </c>
      <c r="Q1120">
        <v>2</v>
      </c>
      <c r="R1120">
        <v>0.3</v>
      </c>
      <c r="S1120">
        <v>1.2</v>
      </c>
      <c r="T1120">
        <v>0.6</v>
      </c>
      <c r="U1120" t="s">
        <v>39</v>
      </c>
      <c r="V1120" t="s">
        <v>40</v>
      </c>
      <c r="W1120" t="s">
        <v>21</v>
      </c>
      <c r="X1120">
        <v>2</v>
      </c>
      <c r="Y1120" t="s">
        <v>2378</v>
      </c>
      <c r="Z1120" t="s">
        <v>496</v>
      </c>
      <c r="AA1120">
        <v>269</v>
      </c>
      <c r="AB1120">
        <v>322.8</v>
      </c>
      <c r="AC1120">
        <v>161.4</v>
      </c>
    </row>
    <row r="1121" spans="2:29" ht="15" customHeight="1" x14ac:dyDescent="0.15">
      <c r="B1121">
        <v>4</v>
      </c>
      <c r="C1121" t="s">
        <v>386</v>
      </c>
      <c r="D1121" t="s">
        <v>2390</v>
      </c>
      <c r="E1121">
        <v>3</v>
      </c>
      <c r="F1121" t="s">
        <v>219</v>
      </c>
      <c r="G1121" t="s">
        <v>218</v>
      </c>
      <c r="H1121" t="s">
        <v>911</v>
      </c>
      <c r="I1121">
        <v>12</v>
      </c>
      <c r="J1121" s="21">
        <v>46097</v>
      </c>
      <c r="K1121" s="21">
        <v>46097</v>
      </c>
      <c r="L1121" t="s">
        <v>2395</v>
      </c>
      <c r="M1121" t="s">
        <v>2396</v>
      </c>
      <c r="N1121">
        <v>60</v>
      </c>
      <c r="O1121" t="s">
        <v>220</v>
      </c>
      <c r="P1121">
        <v>4</v>
      </c>
      <c r="Q1121">
        <v>2</v>
      </c>
      <c r="R1121">
        <v>0.25</v>
      </c>
      <c r="S1121">
        <v>1</v>
      </c>
      <c r="T1121">
        <v>0.5</v>
      </c>
      <c r="U1121" t="s">
        <v>39</v>
      </c>
      <c r="V1121" t="s">
        <v>40</v>
      </c>
      <c r="W1121" t="s">
        <v>21</v>
      </c>
      <c r="X1121">
        <v>2</v>
      </c>
      <c r="Y1121" t="s">
        <v>2378</v>
      </c>
      <c r="Z1121" t="s">
        <v>496</v>
      </c>
      <c r="AA1121">
        <v>91.24</v>
      </c>
      <c r="AB1121">
        <v>91.24</v>
      </c>
      <c r="AC1121">
        <v>45.62</v>
      </c>
    </row>
    <row r="1122" spans="2:29" ht="15" customHeight="1" x14ac:dyDescent="0.15">
      <c r="B1122">
        <v>4</v>
      </c>
      <c r="C1122" t="s">
        <v>386</v>
      </c>
      <c r="D1122" t="s">
        <v>2390</v>
      </c>
      <c r="E1122">
        <v>4</v>
      </c>
      <c r="F1122" t="s">
        <v>219</v>
      </c>
      <c r="G1122" t="s">
        <v>244</v>
      </c>
      <c r="H1122" t="s">
        <v>409</v>
      </c>
      <c r="I1122">
        <v>12</v>
      </c>
      <c r="J1122" s="21">
        <v>46097</v>
      </c>
      <c r="K1122" s="21">
        <v>46097</v>
      </c>
      <c r="L1122" t="s">
        <v>2397</v>
      </c>
      <c r="M1122" t="s">
        <v>284</v>
      </c>
      <c r="N1122">
        <v>60</v>
      </c>
      <c r="O1122" t="s">
        <v>2398</v>
      </c>
      <c r="P1122">
        <v>4</v>
      </c>
      <c r="Q1122">
        <v>2</v>
      </c>
      <c r="R1122">
        <v>0.4</v>
      </c>
      <c r="S1122">
        <v>1.6</v>
      </c>
      <c r="T1122">
        <v>0.8</v>
      </c>
      <c r="U1122" t="s">
        <v>39</v>
      </c>
      <c r="V1122" t="s">
        <v>40</v>
      </c>
      <c r="W1122" t="s">
        <v>21</v>
      </c>
      <c r="X1122">
        <v>2</v>
      </c>
      <c r="Y1122" t="s">
        <v>2378</v>
      </c>
      <c r="Z1122" t="s">
        <v>496</v>
      </c>
      <c r="AA1122">
        <v>53.07</v>
      </c>
      <c r="AB1122">
        <v>84.91</v>
      </c>
      <c r="AC1122">
        <v>42.46</v>
      </c>
    </row>
    <row r="1123" spans="2:29" ht="15" customHeight="1" x14ac:dyDescent="0.15">
      <c r="B1123">
        <v>4</v>
      </c>
      <c r="C1123" t="s">
        <v>386</v>
      </c>
      <c r="D1123" t="s">
        <v>2390</v>
      </c>
      <c r="E1123">
        <v>5</v>
      </c>
      <c r="F1123" t="s">
        <v>219</v>
      </c>
      <c r="G1123" t="s">
        <v>218</v>
      </c>
      <c r="H1123" t="s">
        <v>864</v>
      </c>
      <c r="I1123">
        <v>12</v>
      </c>
      <c r="J1123" s="21">
        <v>46097</v>
      </c>
      <c r="K1123" s="21">
        <v>46097</v>
      </c>
      <c r="L1123" t="s">
        <v>2399</v>
      </c>
      <c r="M1123" t="s">
        <v>2400</v>
      </c>
      <c r="N1123">
        <v>60</v>
      </c>
      <c r="O1123" t="s">
        <v>202</v>
      </c>
      <c r="P1123">
        <v>4</v>
      </c>
      <c r="Q1123">
        <v>2</v>
      </c>
      <c r="R1123">
        <v>0.2</v>
      </c>
      <c r="S1123">
        <v>0.8</v>
      </c>
      <c r="T1123">
        <v>0.4</v>
      </c>
      <c r="U1123" t="s">
        <v>39</v>
      </c>
      <c r="V1123" t="s">
        <v>40</v>
      </c>
      <c r="W1123" t="s">
        <v>21</v>
      </c>
      <c r="X1123">
        <v>2</v>
      </c>
      <c r="Y1123" t="s">
        <v>2378</v>
      </c>
      <c r="Z1123" t="s">
        <v>496</v>
      </c>
      <c r="AA1123">
        <v>70.3</v>
      </c>
      <c r="AB1123">
        <v>56.24</v>
      </c>
      <c r="AC1123">
        <v>28.12</v>
      </c>
    </row>
    <row r="1124" spans="2:29" ht="15" customHeight="1" x14ac:dyDescent="0.15">
      <c r="B1124">
        <v>4</v>
      </c>
      <c r="C1124" t="s">
        <v>386</v>
      </c>
      <c r="D1124" t="s">
        <v>2390</v>
      </c>
      <c r="E1124">
        <v>6</v>
      </c>
      <c r="F1124" t="s">
        <v>219</v>
      </c>
      <c r="G1124" t="s">
        <v>218</v>
      </c>
      <c r="H1124" t="s">
        <v>400</v>
      </c>
      <c r="I1124">
        <v>12</v>
      </c>
      <c r="J1124" s="21">
        <v>46097</v>
      </c>
      <c r="K1124" s="21">
        <v>46097</v>
      </c>
      <c r="L1124" t="s">
        <v>2401</v>
      </c>
      <c r="M1124" t="s">
        <v>2402</v>
      </c>
      <c r="N1124">
        <v>60</v>
      </c>
      <c r="O1124" t="s">
        <v>2398</v>
      </c>
      <c r="P1124">
        <v>4</v>
      </c>
      <c r="Q1124">
        <v>2</v>
      </c>
      <c r="R1124">
        <v>0.25</v>
      </c>
      <c r="S1124">
        <v>1</v>
      </c>
      <c r="T1124">
        <v>0.5</v>
      </c>
      <c r="U1124" t="s">
        <v>39</v>
      </c>
      <c r="V1124" t="s">
        <v>40</v>
      </c>
      <c r="W1124" t="s">
        <v>21</v>
      </c>
      <c r="X1124">
        <v>2</v>
      </c>
      <c r="Y1124" t="s">
        <v>2378</v>
      </c>
      <c r="Z1124" t="s">
        <v>496</v>
      </c>
      <c r="AA1124">
        <v>39.68</v>
      </c>
      <c r="AB1124">
        <v>39.68</v>
      </c>
      <c r="AC1124">
        <v>19.84</v>
      </c>
    </row>
    <row r="1125" spans="2:29" ht="15" customHeight="1" x14ac:dyDescent="0.15">
      <c r="B1125">
        <v>4</v>
      </c>
      <c r="C1125" t="s">
        <v>386</v>
      </c>
      <c r="D1125" t="s">
        <v>2403</v>
      </c>
      <c r="E1125">
        <v>1</v>
      </c>
      <c r="F1125" t="s">
        <v>219</v>
      </c>
      <c r="G1125" t="s">
        <v>231</v>
      </c>
      <c r="H1125" t="s">
        <v>231</v>
      </c>
      <c r="I1125">
        <v>12</v>
      </c>
      <c r="J1125" s="21">
        <v>46099</v>
      </c>
      <c r="K1125" s="21">
        <v>46102</v>
      </c>
      <c r="L1125" t="s">
        <v>2404</v>
      </c>
      <c r="M1125" t="s">
        <v>2351</v>
      </c>
      <c r="N1125">
        <v>16</v>
      </c>
      <c r="O1125" t="s">
        <v>2398</v>
      </c>
      <c r="P1125">
        <v>2</v>
      </c>
      <c r="Q1125">
        <v>1</v>
      </c>
      <c r="R1125">
        <v>0.15</v>
      </c>
      <c r="S1125">
        <v>0.3</v>
      </c>
      <c r="T1125">
        <v>0.15</v>
      </c>
      <c r="U1125" t="s">
        <v>53</v>
      </c>
      <c r="V1125" t="s">
        <v>54</v>
      </c>
      <c r="W1125" t="s">
        <v>21</v>
      </c>
      <c r="X1125">
        <v>2</v>
      </c>
      <c r="Y1125" t="s">
        <v>2312</v>
      </c>
      <c r="Z1125" t="s">
        <v>496</v>
      </c>
      <c r="AA1125">
        <v>16.61</v>
      </c>
      <c r="AB1125">
        <v>4.9800000000000004</v>
      </c>
      <c r="AC1125">
        <v>2.4900000000000002</v>
      </c>
    </row>
    <row r="1126" spans="2:29" ht="15" customHeight="1" x14ac:dyDescent="0.15">
      <c r="B1126">
        <v>4</v>
      </c>
      <c r="C1126" t="s">
        <v>386</v>
      </c>
      <c r="D1126" t="s">
        <v>2403</v>
      </c>
      <c r="E1126">
        <v>2</v>
      </c>
      <c r="F1126" t="s">
        <v>219</v>
      </c>
      <c r="G1126" t="s">
        <v>218</v>
      </c>
      <c r="H1126" t="s">
        <v>1090</v>
      </c>
      <c r="I1126">
        <v>12</v>
      </c>
      <c r="J1126" s="21">
        <v>46099</v>
      </c>
      <c r="K1126" s="21">
        <v>46102</v>
      </c>
      <c r="L1126" t="s">
        <v>2405</v>
      </c>
      <c r="M1126" t="s">
        <v>2371</v>
      </c>
      <c r="N1126">
        <v>16</v>
      </c>
      <c r="O1126" t="s">
        <v>2398</v>
      </c>
      <c r="P1126">
        <v>2</v>
      </c>
      <c r="Q1126">
        <v>1</v>
      </c>
      <c r="R1126">
        <v>1.5</v>
      </c>
      <c r="S1126">
        <v>3</v>
      </c>
      <c r="T1126">
        <v>1.5</v>
      </c>
      <c r="U1126" t="s">
        <v>53</v>
      </c>
      <c r="V1126" t="s">
        <v>54</v>
      </c>
      <c r="W1126" t="s">
        <v>21</v>
      </c>
      <c r="X1126">
        <v>2</v>
      </c>
      <c r="Y1126" t="s">
        <v>2312</v>
      </c>
      <c r="Z1126" t="s">
        <v>496</v>
      </c>
      <c r="AA1126">
        <v>58.29</v>
      </c>
      <c r="AB1126">
        <v>174.87</v>
      </c>
      <c r="AC1126">
        <v>87.44</v>
      </c>
    </row>
    <row r="1127" spans="2:29" ht="15" customHeight="1" x14ac:dyDescent="0.15">
      <c r="B1127">
        <v>4</v>
      </c>
      <c r="C1127" t="s">
        <v>386</v>
      </c>
      <c r="D1127" t="s">
        <v>2403</v>
      </c>
      <c r="E1127">
        <v>3</v>
      </c>
      <c r="F1127" t="s">
        <v>219</v>
      </c>
      <c r="G1127" t="s">
        <v>218</v>
      </c>
      <c r="H1127" t="s">
        <v>1501</v>
      </c>
      <c r="I1127">
        <v>12</v>
      </c>
      <c r="J1127" s="21">
        <v>46099</v>
      </c>
      <c r="K1127" s="21">
        <v>46102</v>
      </c>
      <c r="L1127" t="s">
        <v>2406</v>
      </c>
      <c r="M1127" t="s">
        <v>2407</v>
      </c>
      <c r="N1127">
        <v>16</v>
      </c>
      <c r="O1127" t="s">
        <v>202</v>
      </c>
      <c r="P1127">
        <v>2</v>
      </c>
      <c r="Q1127">
        <v>1</v>
      </c>
      <c r="R1127">
        <v>1.2E-2</v>
      </c>
      <c r="S1127">
        <v>2.4E-2</v>
      </c>
      <c r="T1127">
        <v>0.01</v>
      </c>
      <c r="U1127" t="s">
        <v>53</v>
      </c>
      <c r="V1127" t="s">
        <v>54</v>
      </c>
      <c r="W1127" t="s">
        <v>21</v>
      </c>
      <c r="X1127">
        <v>2</v>
      </c>
      <c r="Y1127" t="s">
        <v>2312</v>
      </c>
      <c r="Z1127" t="s">
        <v>496</v>
      </c>
      <c r="AA1127">
        <v>560</v>
      </c>
      <c r="AB1127">
        <v>13.44</v>
      </c>
      <c r="AC1127">
        <v>6.72</v>
      </c>
    </row>
    <row r="1128" spans="2:29" ht="15" customHeight="1" x14ac:dyDescent="0.15">
      <c r="B1128">
        <v>4</v>
      </c>
      <c r="C1128" t="s">
        <v>386</v>
      </c>
      <c r="D1128" t="s">
        <v>2403</v>
      </c>
      <c r="E1128">
        <v>4</v>
      </c>
      <c r="F1128" t="s">
        <v>219</v>
      </c>
      <c r="G1128" t="s">
        <v>218</v>
      </c>
      <c r="H1128" t="s">
        <v>2038</v>
      </c>
      <c r="I1128">
        <v>12</v>
      </c>
      <c r="J1128" s="21">
        <v>46099</v>
      </c>
      <c r="K1128" s="21">
        <v>46102</v>
      </c>
      <c r="L1128" t="s">
        <v>2408</v>
      </c>
      <c r="M1128" t="s">
        <v>2040</v>
      </c>
      <c r="N1128">
        <v>16</v>
      </c>
      <c r="O1128" t="s">
        <v>202</v>
      </c>
      <c r="P1128">
        <v>2</v>
      </c>
      <c r="Q1128">
        <v>1</v>
      </c>
      <c r="R1128">
        <v>2.5000000000000001E-2</v>
      </c>
      <c r="S1128">
        <v>0.05</v>
      </c>
      <c r="T1128">
        <v>0.03</v>
      </c>
      <c r="U1128" t="s">
        <v>53</v>
      </c>
      <c r="V1128" t="s">
        <v>54</v>
      </c>
      <c r="W1128" t="s">
        <v>21</v>
      </c>
      <c r="X1128">
        <v>2</v>
      </c>
      <c r="Y1128" t="s">
        <v>2312</v>
      </c>
      <c r="Z1128" t="s">
        <v>496</v>
      </c>
      <c r="AA1128">
        <v>202</v>
      </c>
      <c r="AB1128">
        <v>10.1</v>
      </c>
      <c r="AC1128">
        <v>5.05</v>
      </c>
    </row>
    <row r="1129" spans="2:29" ht="15" customHeight="1" x14ac:dyDescent="0.15">
      <c r="B1129">
        <v>4</v>
      </c>
      <c r="C1129" t="s">
        <v>386</v>
      </c>
      <c r="D1129" t="s">
        <v>2403</v>
      </c>
      <c r="E1129">
        <v>5</v>
      </c>
      <c r="F1129" t="s">
        <v>219</v>
      </c>
      <c r="G1129" t="s">
        <v>218</v>
      </c>
      <c r="H1129" t="s">
        <v>2409</v>
      </c>
      <c r="I1129">
        <v>12</v>
      </c>
      <c r="J1129" s="21">
        <v>46099</v>
      </c>
      <c r="K1129" s="21">
        <v>46102</v>
      </c>
      <c r="L1129" t="s">
        <v>2410</v>
      </c>
      <c r="M1129" t="s">
        <v>2411</v>
      </c>
      <c r="N1129">
        <v>16</v>
      </c>
      <c r="O1129" t="s">
        <v>2398</v>
      </c>
      <c r="P1129">
        <v>2</v>
      </c>
      <c r="Q1129">
        <v>1</v>
      </c>
      <c r="R1129">
        <v>0.21</v>
      </c>
      <c r="S1129">
        <v>0.42</v>
      </c>
      <c r="T1129">
        <v>0.21</v>
      </c>
      <c r="U1129" t="s">
        <v>53</v>
      </c>
      <c r="V1129" t="s">
        <v>54</v>
      </c>
      <c r="W1129" t="s">
        <v>21</v>
      </c>
      <c r="X1129">
        <v>2</v>
      </c>
      <c r="Y1129" t="s">
        <v>2312</v>
      </c>
      <c r="Z1129" t="s">
        <v>496</v>
      </c>
      <c r="AA1129">
        <v>313.88</v>
      </c>
      <c r="AB1129">
        <v>131.83000000000001</v>
      </c>
      <c r="AC1129">
        <v>65.91</v>
      </c>
    </row>
    <row r="1130" spans="2:29" ht="15" customHeight="1" x14ac:dyDescent="0.15">
      <c r="B1130">
        <v>4</v>
      </c>
      <c r="C1130" t="s">
        <v>386</v>
      </c>
      <c r="D1130" t="s">
        <v>2403</v>
      </c>
      <c r="E1130">
        <v>6</v>
      </c>
      <c r="F1130" t="s">
        <v>219</v>
      </c>
      <c r="G1130" t="s">
        <v>218</v>
      </c>
      <c r="H1130" t="s">
        <v>2412</v>
      </c>
      <c r="I1130">
        <v>12</v>
      </c>
      <c r="J1130" s="21">
        <v>46099</v>
      </c>
      <c r="K1130" s="21">
        <v>46102</v>
      </c>
      <c r="L1130" t="s">
        <v>2413</v>
      </c>
      <c r="M1130" t="s">
        <v>2414</v>
      </c>
      <c r="N1130">
        <v>16</v>
      </c>
      <c r="O1130" t="s">
        <v>2398</v>
      </c>
      <c r="P1130">
        <v>2</v>
      </c>
      <c r="Q1130">
        <v>1</v>
      </c>
      <c r="R1130">
        <v>0.1</v>
      </c>
      <c r="S1130">
        <v>0.2</v>
      </c>
      <c r="T1130">
        <v>0.1</v>
      </c>
      <c r="U1130" t="s">
        <v>53</v>
      </c>
      <c r="V1130" t="s">
        <v>54</v>
      </c>
      <c r="W1130" t="s">
        <v>21</v>
      </c>
      <c r="X1130">
        <v>2</v>
      </c>
      <c r="Y1130" t="s">
        <v>2312</v>
      </c>
      <c r="Z1130" t="s">
        <v>496</v>
      </c>
      <c r="AA1130">
        <v>291</v>
      </c>
      <c r="AB1130">
        <v>58.2</v>
      </c>
      <c r="AC1130">
        <v>29.1</v>
      </c>
    </row>
    <row r="1131" spans="2:29" ht="15" customHeight="1" x14ac:dyDescent="0.15">
      <c r="B1131">
        <v>4</v>
      </c>
      <c r="C1131" t="s">
        <v>386</v>
      </c>
      <c r="D1131" t="s">
        <v>2403</v>
      </c>
      <c r="E1131">
        <v>7</v>
      </c>
      <c r="F1131" t="s">
        <v>219</v>
      </c>
      <c r="G1131" t="s">
        <v>218</v>
      </c>
      <c r="H1131" t="s">
        <v>1422</v>
      </c>
      <c r="I1131">
        <v>12</v>
      </c>
      <c r="J1131" s="21">
        <v>46099</v>
      </c>
      <c r="K1131" s="21">
        <v>46102</v>
      </c>
      <c r="L1131" t="s">
        <v>2415</v>
      </c>
      <c r="M1131" t="s">
        <v>2416</v>
      </c>
      <c r="N1131">
        <v>16</v>
      </c>
      <c r="O1131" t="s">
        <v>2398</v>
      </c>
      <c r="P1131">
        <v>2</v>
      </c>
      <c r="Q1131">
        <v>1</v>
      </c>
      <c r="R1131">
        <v>0.12</v>
      </c>
      <c r="S1131">
        <v>0.24</v>
      </c>
      <c r="T1131">
        <v>0.12</v>
      </c>
      <c r="U1131" t="s">
        <v>53</v>
      </c>
      <c r="V1131" t="s">
        <v>54</v>
      </c>
      <c r="W1131" t="s">
        <v>21</v>
      </c>
      <c r="X1131">
        <v>2</v>
      </c>
      <c r="Y1131" t="s">
        <v>2312</v>
      </c>
      <c r="Z1131" t="s">
        <v>496</v>
      </c>
      <c r="AA1131">
        <v>489.99</v>
      </c>
      <c r="AB1131">
        <v>117.6</v>
      </c>
      <c r="AC1131">
        <v>58.8</v>
      </c>
    </row>
    <row r="1132" spans="2:29" ht="15" customHeight="1" x14ac:dyDescent="0.15">
      <c r="B1132">
        <v>4</v>
      </c>
      <c r="C1132" t="s">
        <v>386</v>
      </c>
      <c r="D1132" t="s">
        <v>2403</v>
      </c>
      <c r="E1132">
        <v>8</v>
      </c>
      <c r="F1132" t="s">
        <v>219</v>
      </c>
      <c r="G1132" t="s">
        <v>239</v>
      </c>
      <c r="H1132" t="s">
        <v>2417</v>
      </c>
      <c r="I1132">
        <v>12</v>
      </c>
      <c r="J1132" s="21">
        <v>46099</v>
      </c>
      <c r="K1132" s="21">
        <v>46102</v>
      </c>
      <c r="L1132" t="s">
        <v>2418</v>
      </c>
      <c r="M1132" t="s">
        <v>2419</v>
      </c>
      <c r="N1132">
        <v>16</v>
      </c>
      <c r="O1132" t="s">
        <v>2398</v>
      </c>
      <c r="P1132">
        <v>2</v>
      </c>
      <c r="Q1132">
        <v>1</v>
      </c>
      <c r="R1132">
        <v>0.40100000000000002</v>
      </c>
      <c r="S1132">
        <v>0.80200000000000005</v>
      </c>
      <c r="T1132">
        <v>0.4</v>
      </c>
      <c r="U1132" t="s">
        <v>53</v>
      </c>
      <c r="V1132" t="s">
        <v>54</v>
      </c>
      <c r="W1132" t="s">
        <v>21</v>
      </c>
      <c r="X1132">
        <v>2</v>
      </c>
      <c r="Y1132" t="s">
        <v>2312</v>
      </c>
      <c r="Z1132" t="s">
        <v>496</v>
      </c>
      <c r="AA1132">
        <v>0</v>
      </c>
      <c r="AB1132">
        <v>0</v>
      </c>
      <c r="AC1132">
        <v>0</v>
      </c>
    </row>
    <row r="1133" spans="2:29" ht="15" customHeight="1" x14ac:dyDescent="0.15">
      <c r="B1133">
        <v>4</v>
      </c>
      <c r="C1133" t="s">
        <v>386</v>
      </c>
      <c r="D1133" t="s">
        <v>2403</v>
      </c>
      <c r="E1133">
        <v>9</v>
      </c>
      <c r="F1133" t="s">
        <v>219</v>
      </c>
      <c r="G1133" t="s">
        <v>239</v>
      </c>
      <c r="H1133" t="s">
        <v>420</v>
      </c>
      <c r="I1133">
        <v>12</v>
      </c>
      <c r="J1133" s="21">
        <v>46099</v>
      </c>
      <c r="K1133" s="21">
        <v>46102</v>
      </c>
      <c r="L1133" t="s">
        <v>2420</v>
      </c>
      <c r="M1133" t="s">
        <v>764</v>
      </c>
      <c r="N1133">
        <v>16</v>
      </c>
      <c r="O1133" t="s">
        <v>2398</v>
      </c>
      <c r="P1133">
        <v>2</v>
      </c>
      <c r="Q1133">
        <v>1</v>
      </c>
      <c r="R1133">
        <v>0.5</v>
      </c>
      <c r="S1133">
        <v>1</v>
      </c>
      <c r="T1133">
        <v>0.5</v>
      </c>
      <c r="U1133" t="s">
        <v>53</v>
      </c>
      <c r="V1133" t="s">
        <v>54</v>
      </c>
      <c r="W1133" t="s">
        <v>21</v>
      </c>
      <c r="X1133">
        <v>2</v>
      </c>
      <c r="Y1133" t="s">
        <v>2312</v>
      </c>
      <c r="Z1133" t="s">
        <v>496</v>
      </c>
      <c r="AA1133">
        <v>115.5</v>
      </c>
      <c r="AB1133">
        <v>115.5</v>
      </c>
      <c r="AC1133">
        <v>57.75</v>
      </c>
    </row>
    <row r="1134" spans="2:29" ht="15" customHeight="1" x14ac:dyDescent="0.15">
      <c r="B1134">
        <v>4</v>
      </c>
      <c r="C1134" t="s">
        <v>386</v>
      </c>
      <c r="D1134" t="s">
        <v>2421</v>
      </c>
      <c r="E1134">
        <v>1</v>
      </c>
      <c r="F1134" t="s">
        <v>219</v>
      </c>
      <c r="G1134" t="s">
        <v>231</v>
      </c>
      <c r="H1134" t="s">
        <v>231</v>
      </c>
      <c r="I1134">
        <v>12</v>
      </c>
      <c r="J1134" s="21">
        <v>46099</v>
      </c>
      <c r="K1134" s="21">
        <v>46102</v>
      </c>
      <c r="L1134" t="s">
        <v>2422</v>
      </c>
      <c r="M1134" t="s">
        <v>2351</v>
      </c>
      <c r="N1134">
        <v>105</v>
      </c>
      <c r="O1134" t="s">
        <v>2398</v>
      </c>
      <c r="P1134">
        <v>7</v>
      </c>
      <c r="Q1134">
        <v>1.63</v>
      </c>
      <c r="R1134">
        <v>0.12</v>
      </c>
      <c r="S1134">
        <v>0.78</v>
      </c>
      <c r="T1134">
        <v>0.2</v>
      </c>
      <c r="U1134" t="s">
        <v>19</v>
      </c>
      <c r="V1134" t="s">
        <v>20</v>
      </c>
      <c r="W1134" t="s">
        <v>21</v>
      </c>
      <c r="X1134">
        <v>4</v>
      </c>
      <c r="Y1134" t="s">
        <v>2378</v>
      </c>
      <c r="Z1134" t="s">
        <v>496</v>
      </c>
      <c r="AA1134">
        <v>16.61</v>
      </c>
      <c r="AB1134">
        <v>12.96</v>
      </c>
      <c r="AC1134">
        <v>3.24</v>
      </c>
    </row>
    <row r="1135" spans="2:29" ht="15" customHeight="1" x14ac:dyDescent="0.15">
      <c r="B1135">
        <v>4</v>
      </c>
      <c r="C1135" t="s">
        <v>386</v>
      </c>
      <c r="D1135" t="s">
        <v>2421</v>
      </c>
      <c r="E1135">
        <v>2</v>
      </c>
      <c r="F1135" t="s">
        <v>219</v>
      </c>
      <c r="G1135" t="s">
        <v>218</v>
      </c>
      <c r="H1135" t="s">
        <v>394</v>
      </c>
      <c r="I1135">
        <v>12</v>
      </c>
      <c r="J1135" s="21">
        <v>46099</v>
      </c>
      <c r="K1135" s="21">
        <v>46102</v>
      </c>
      <c r="L1135" t="s">
        <v>2423</v>
      </c>
      <c r="M1135" t="s">
        <v>396</v>
      </c>
      <c r="N1135">
        <v>105</v>
      </c>
      <c r="O1135" t="s">
        <v>2398</v>
      </c>
      <c r="P1135">
        <v>7</v>
      </c>
      <c r="Q1135">
        <v>1.63</v>
      </c>
      <c r="R1135">
        <v>0.15</v>
      </c>
      <c r="S1135">
        <v>0.97499999999999998</v>
      </c>
      <c r="T1135">
        <v>0.24</v>
      </c>
      <c r="U1135" t="s">
        <v>19</v>
      </c>
      <c r="V1135" t="s">
        <v>20</v>
      </c>
      <c r="W1135" t="s">
        <v>21</v>
      </c>
      <c r="X1135">
        <v>4</v>
      </c>
      <c r="Y1135" t="s">
        <v>2378</v>
      </c>
      <c r="Z1135" t="s">
        <v>496</v>
      </c>
      <c r="AA1135">
        <v>784.7</v>
      </c>
      <c r="AB1135">
        <v>765.08</v>
      </c>
      <c r="AC1135">
        <v>191.27</v>
      </c>
    </row>
    <row r="1136" spans="2:29" ht="15" customHeight="1" x14ac:dyDescent="0.15">
      <c r="B1136">
        <v>4</v>
      </c>
      <c r="C1136" t="s">
        <v>386</v>
      </c>
      <c r="D1136" t="s">
        <v>2421</v>
      </c>
      <c r="E1136">
        <v>3</v>
      </c>
      <c r="F1136" t="s">
        <v>219</v>
      </c>
      <c r="G1136" t="s">
        <v>244</v>
      </c>
      <c r="H1136" t="s">
        <v>1605</v>
      </c>
      <c r="I1136">
        <v>12</v>
      </c>
      <c r="J1136" s="21">
        <v>46099</v>
      </c>
      <c r="K1136" s="21">
        <v>46102</v>
      </c>
      <c r="L1136" t="s">
        <v>2424</v>
      </c>
      <c r="M1136" t="s">
        <v>295</v>
      </c>
      <c r="N1136">
        <v>105</v>
      </c>
      <c r="O1136" t="s">
        <v>2398</v>
      </c>
      <c r="P1136">
        <v>6</v>
      </c>
      <c r="Q1136">
        <v>1.5</v>
      </c>
      <c r="R1136">
        <v>0.308</v>
      </c>
      <c r="S1136">
        <v>1.8480000000000001</v>
      </c>
      <c r="T1136">
        <v>0.46</v>
      </c>
      <c r="U1136" t="s">
        <v>19</v>
      </c>
      <c r="V1136" t="s">
        <v>20</v>
      </c>
      <c r="W1136" t="s">
        <v>21</v>
      </c>
      <c r="X1136">
        <v>4</v>
      </c>
      <c r="Y1136" t="s">
        <v>2378</v>
      </c>
      <c r="Z1136" t="s">
        <v>496</v>
      </c>
      <c r="AA1136">
        <v>77.31</v>
      </c>
      <c r="AB1136">
        <v>142.87</v>
      </c>
      <c r="AC1136">
        <v>35.72</v>
      </c>
    </row>
    <row r="1137" spans="2:29" ht="15" customHeight="1" x14ac:dyDescent="0.15">
      <c r="B1137">
        <v>4</v>
      </c>
      <c r="C1137" t="s">
        <v>386</v>
      </c>
      <c r="D1137" t="s">
        <v>2421</v>
      </c>
      <c r="E1137">
        <v>4</v>
      </c>
      <c r="F1137" t="s">
        <v>219</v>
      </c>
      <c r="G1137" t="s">
        <v>218</v>
      </c>
      <c r="H1137" t="s">
        <v>911</v>
      </c>
      <c r="I1137">
        <v>12</v>
      </c>
      <c r="J1137" s="21">
        <v>46099</v>
      </c>
      <c r="K1137" s="21">
        <v>46102</v>
      </c>
      <c r="L1137" t="s">
        <v>2425</v>
      </c>
      <c r="M1137" t="s">
        <v>2396</v>
      </c>
      <c r="N1137">
        <v>105</v>
      </c>
      <c r="O1137" t="s">
        <v>2398</v>
      </c>
      <c r="P1137">
        <v>7</v>
      </c>
      <c r="Q1137">
        <v>1.63</v>
      </c>
      <c r="R1137">
        <v>0.2</v>
      </c>
      <c r="S1137">
        <v>1.3</v>
      </c>
      <c r="T1137">
        <v>0.33</v>
      </c>
      <c r="U1137" t="s">
        <v>19</v>
      </c>
      <c r="V1137" t="s">
        <v>20</v>
      </c>
      <c r="W1137" t="s">
        <v>21</v>
      </c>
      <c r="X1137">
        <v>4</v>
      </c>
      <c r="Y1137" t="s">
        <v>2378</v>
      </c>
      <c r="Z1137" t="s">
        <v>496</v>
      </c>
      <c r="AA1137">
        <v>91.24</v>
      </c>
      <c r="AB1137">
        <v>118.61</v>
      </c>
      <c r="AC1137">
        <v>29.65</v>
      </c>
    </row>
    <row r="1138" spans="2:29" ht="15" customHeight="1" x14ac:dyDescent="0.15">
      <c r="B1138">
        <v>4</v>
      </c>
      <c r="C1138" t="s">
        <v>386</v>
      </c>
      <c r="D1138" t="s">
        <v>2421</v>
      </c>
      <c r="E1138">
        <v>5</v>
      </c>
      <c r="F1138" t="s">
        <v>219</v>
      </c>
      <c r="G1138" t="s">
        <v>218</v>
      </c>
      <c r="H1138" t="s">
        <v>1018</v>
      </c>
      <c r="I1138">
        <v>12</v>
      </c>
      <c r="J1138" s="21">
        <v>46099</v>
      </c>
      <c r="K1138" s="21">
        <v>46102</v>
      </c>
      <c r="L1138" t="s">
        <v>2426</v>
      </c>
      <c r="M1138" t="s">
        <v>2427</v>
      </c>
      <c r="N1138">
        <v>105</v>
      </c>
      <c r="O1138" t="s">
        <v>2398</v>
      </c>
      <c r="P1138">
        <v>7</v>
      </c>
      <c r="Q1138">
        <v>1.63</v>
      </c>
      <c r="R1138">
        <v>0.25</v>
      </c>
      <c r="S1138">
        <v>1.625</v>
      </c>
      <c r="T1138">
        <v>0.41</v>
      </c>
      <c r="U1138" t="s">
        <v>19</v>
      </c>
      <c r="V1138" t="s">
        <v>20</v>
      </c>
      <c r="W1138" t="s">
        <v>21</v>
      </c>
      <c r="X1138">
        <v>4</v>
      </c>
      <c r="Y1138" t="s">
        <v>2378</v>
      </c>
      <c r="Z1138" t="s">
        <v>496</v>
      </c>
      <c r="AA1138">
        <v>62.05</v>
      </c>
      <c r="AB1138">
        <v>100.83</v>
      </c>
      <c r="AC1138">
        <v>25.21</v>
      </c>
    </row>
    <row r="1139" spans="2:29" ht="15" customHeight="1" x14ac:dyDescent="0.15">
      <c r="B1139">
        <v>4</v>
      </c>
      <c r="C1139" t="s">
        <v>386</v>
      </c>
      <c r="D1139" t="s">
        <v>2421</v>
      </c>
      <c r="E1139">
        <v>6</v>
      </c>
      <c r="F1139" t="s">
        <v>201</v>
      </c>
      <c r="G1139" t="s">
        <v>200</v>
      </c>
      <c r="H1139" t="s">
        <v>1132</v>
      </c>
      <c r="I1139">
        <v>12</v>
      </c>
      <c r="J1139" s="21">
        <v>46099</v>
      </c>
      <c r="K1139" s="21">
        <v>46102</v>
      </c>
      <c r="L1139" t="s">
        <v>2428</v>
      </c>
      <c r="M1139" t="s">
        <v>2429</v>
      </c>
      <c r="N1139">
        <v>105</v>
      </c>
      <c r="O1139" t="s">
        <v>202</v>
      </c>
      <c r="P1139">
        <v>6</v>
      </c>
      <c r="Q1139">
        <v>1.5</v>
      </c>
      <c r="R1139">
        <v>2</v>
      </c>
      <c r="S1139">
        <v>12</v>
      </c>
      <c r="T1139">
        <v>3</v>
      </c>
      <c r="U1139" t="s">
        <v>19</v>
      </c>
      <c r="V1139" t="s">
        <v>20</v>
      </c>
      <c r="W1139" t="s">
        <v>21</v>
      </c>
      <c r="X1139">
        <v>4</v>
      </c>
      <c r="Y1139" t="s">
        <v>2378</v>
      </c>
      <c r="Z1139" t="s">
        <v>496</v>
      </c>
      <c r="AA1139">
        <v>5.0999999999999996</v>
      </c>
      <c r="AB1139">
        <v>61.2</v>
      </c>
      <c r="AC1139">
        <v>15.3</v>
      </c>
    </row>
    <row r="1140" spans="2:29" ht="15" customHeight="1" x14ac:dyDescent="0.15">
      <c r="B1140">
        <v>4</v>
      </c>
      <c r="C1140" t="s">
        <v>386</v>
      </c>
      <c r="D1140" t="s">
        <v>2430</v>
      </c>
      <c r="E1140">
        <v>1</v>
      </c>
      <c r="F1140" t="s">
        <v>201</v>
      </c>
      <c r="G1140" t="s">
        <v>200</v>
      </c>
      <c r="H1140" t="s">
        <v>635</v>
      </c>
      <c r="I1140">
        <v>13</v>
      </c>
      <c r="J1140" s="21">
        <v>46106</v>
      </c>
      <c r="K1140" s="21">
        <v>46106</v>
      </c>
      <c r="L1140" t="s">
        <v>2431</v>
      </c>
      <c r="M1140" t="s">
        <v>204</v>
      </c>
      <c r="N1140">
        <v>20</v>
      </c>
      <c r="O1140" t="s">
        <v>202</v>
      </c>
      <c r="P1140">
        <v>2</v>
      </c>
      <c r="Q1140">
        <v>1</v>
      </c>
      <c r="R1140">
        <v>150</v>
      </c>
      <c r="S1140">
        <v>300</v>
      </c>
      <c r="T1140">
        <v>150</v>
      </c>
      <c r="U1140" t="s">
        <v>53</v>
      </c>
      <c r="V1140" t="s">
        <v>54</v>
      </c>
      <c r="W1140" t="s">
        <v>21</v>
      </c>
      <c r="X1140">
        <v>2</v>
      </c>
      <c r="Z1140" t="s">
        <v>496</v>
      </c>
      <c r="AA1140">
        <v>2.06</v>
      </c>
      <c r="AB1140">
        <v>617.4</v>
      </c>
      <c r="AC1140">
        <v>308.7</v>
      </c>
    </row>
    <row r="1141" spans="2:29" ht="15" customHeight="1" x14ac:dyDescent="0.15">
      <c r="B1141">
        <v>4</v>
      </c>
      <c r="C1141" t="s">
        <v>386</v>
      </c>
      <c r="D1141" t="s">
        <v>2432</v>
      </c>
      <c r="E1141">
        <v>1</v>
      </c>
      <c r="F1141" t="s">
        <v>219</v>
      </c>
      <c r="G1141" t="s">
        <v>231</v>
      </c>
      <c r="H1141" t="s">
        <v>231</v>
      </c>
      <c r="I1141">
        <v>13</v>
      </c>
      <c r="J1141" s="21">
        <v>46107</v>
      </c>
      <c r="K1141" s="21">
        <v>46108</v>
      </c>
      <c r="L1141" t="s">
        <v>2433</v>
      </c>
      <c r="M1141" t="s">
        <v>2351</v>
      </c>
      <c r="N1141">
        <v>111</v>
      </c>
      <c r="O1141" t="s">
        <v>2398</v>
      </c>
      <c r="P1141">
        <v>7</v>
      </c>
      <c r="Q1141">
        <v>1.63</v>
      </c>
      <c r="R1141">
        <v>0.15</v>
      </c>
      <c r="S1141">
        <v>0.97499999999999998</v>
      </c>
      <c r="T1141">
        <v>0.24</v>
      </c>
      <c r="U1141" t="s">
        <v>19</v>
      </c>
      <c r="V1141" t="s">
        <v>20</v>
      </c>
      <c r="W1141" t="s">
        <v>21</v>
      </c>
      <c r="X1141">
        <v>4</v>
      </c>
      <c r="Z1141" t="s">
        <v>496</v>
      </c>
      <c r="AA1141">
        <v>16.61</v>
      </c>
      <c r="AB1141">
        <v>16.190000000000001</v>
      </c>
      <c r="AC1141">
        <v>4.05</v>
      </c>
    </row>
    <row r="1142" spans="2:29" ht="15" customHeight="1" x14ac:dyDescent="0.15">
      <c r="B1142">
        <v>4</v>
      </c>
      <c r="C1142" t="s">
        <v>386</v>
      </c>
      <c r="D1142" t="s">
        <v>2432</v>
      </c>
      <c r="E1142">
        <v>2</v>
      </c>
      <c r="F1142" t="s">
        <v>219</v>
      </c>
      <c r="G1142" t="s">
        <v>218</v>
      </c>
      <c r="H1142" t="s">
        <v>2434</v>
      </c>
      <c r="I1142">
        <v>13</v>
      </c>
      <c r="J1142" s="21">
        <v>46107</v>
      </c>
      <c r="K1142" s="21">
        <v>46108</v>
      </c>
      <c r="L1142" t="s">
        <v>2435</v>
      </c>
      <c r="M1142" t="s">
        <v>2436</v>
      </c>
      <c r="N1142">
        <v>111</v>
      </c>
      <c r="O1142" t="s">
        <v>2398</v>
      </c>
      <c r="P1142">
        <v>7</v>
      </c>
      <c r="Q1142">
        <v>1.63</v>
      </c>
      <c r="R1142">
        <v>0.2</v>
      </c>
      <c r="S1142">
        <v>1.3</v>
      </c>
      <c r="T1142">
        <v>0.33</v>
      </c>
      <c r="U1142" t="s">
        <v>19</v>
      </c>
      <c r="V1142" t="s">
        <v>20</v>
      </c>
      <c r="W1142" t="s">
        <v>21</v>
      </c>
      <c r="X1142">
        <v>4</v>
      </c>
      <c r="Z1142" t="s">
        <v>496</v>
      </c>
      <c r="AA1142">
        <v>58.46</v>
      </c>
      <c r="AB1142">
        <v>76</v>
      </c>
      <c r="AC1142">
        <v>19</v>
      </c>
    </row>
    <row r="1143" spans="2:29" ht="15" customHeight="1" x14ac:dyDescent="0.15">
      <c r="B1143">
        <v>4</v>
      </c>
      <c r="C1143" t="s">
        <v>386</v>
      </c>
      <c r="D1143" t="s">
        <v>2432</v>
      </c>
      <c r="E1143">
        <v>3</v>
      </c>
      <c r="F1143" t="s">
        <v>219</v>
      </c>
      <c r="G1143" t="s">
        <v>218</v>
      </c>
      <c r="H1143" t="s">
        <v>2353</v>
      </c>
      <c r="I1143">
        <v>13</v>
      </c>
      <c r="J1143" s="21">
        <v>46107</v>
      </c>
      <c r="K1143" s="21">
        <v>46108</v>
      </c>
      <c r="L1143" t="s">
        <v>2437</v>
      </c>
      <c r="M1143" t="s">
        <v>241</v>
      </c>
      <c r="N1143">
        <v>111</v>
      </c>
      <c r="O1143" t="s">
        <v>202</v>
      </c>
      <c r="P1143">
        <v>7</v>
      </c>
      <c r="Q1143">
        <v>1.63</v>
      </c>
      <c r="R1143">
        <v>0.2</v>
      </c>
      <c r="S1143">
        <v>1.3</v>
      </c>
      <c r="T1143">
        <v>0.33</v>
      </c>
      <c r="U1143" t="s">
        <v>19</v>
      </c>
      <c r="V1143" t="s">
        <v>20</v>
      </c>
      <c r="W1143" t="s">
        <v>21</v>
      </c>
      <c r="X1143">
        <v>4</v>
      </c>
      <c r="Z1143" t="s">
        <v>496</v>
      </c>
      <c r="AA1143">
        <v>61.3</v>
      </c>
      <c r="AB1143">
        <v>79.69</v>
      </c>
      <c r="AC1143">
        <v>19.920000000000002</v>
      </c>
    </row>
    <row r="1144" spans="2:29" ht="15" customHeight="1" x14ac:dyDescent="0.15">
      <c r="B1144">
        <v>4</v>
      </c>
      <c r="C1144" t="s">
        <v>386</v>
      </c>
      <c r="D1144" t="s">
        <v>2432</v>
      </c>
      <c r="E1144">
        <v>4</v>
      </c>
      <c r="F1144" t="s">
        <v>219</v>
      </c>
      <c r="G1144" t="s">
        <v>239</v>
      </c>
      <c r="H1144" t="s">
        <v>2438</v>
      </c>
      <c r="I1144">
        <v>13</v>
      </c>
      <c r="J1144" s="21">
        <v>46107</v>
      </c>
      <c r="K1144" s="21">
        <v>46108</v>
      </c>
      <c r="L1144" t="s">
        <v>2439</v>
      </c>
      <c r="M1144" t="s">
        <v>2440</v>
      </c>
      <c r="N1144">
        <v>111</v>
      </c>
      <c r="O1144" t="s">
        <v>2398</v>
      </c>
      <c r="P1144">
        <v>6</v>
      </c>
      <c r="Q1144">
        <v>1.5</v>
      </c>
      <c r="R1144">
        <v>1</v>
      </c>
      <c r="S1144">
        <v>6</v>
      </c>
      <c r="T1144">
        <v>1.5</v>
      </c>
      <c r="U1144" t="s">
        <v>19</v>
      </c>
      <c r="V1144" t="s">
        <v>20</v>
      </c>
      <c r="W1144" t="s">
        <v>21</v>
      </c>
      <c r="X1144">
        <v>4</v>
      </c>
      <c r="Z1144" t="s">
        <v>496</v>
      </c>
      <c r="AA1144">
        <v>41</v>
      </c>
      <c r="AB1144">
        <v>246</v>
      </c>
      <c r="AC1144">
        <v>61.5</v>
      </c>
    </row>
    <row r="1145" spans="2:29" ht="15" customHeight="1" x14ac:dyDescent="0.15">
      <c r="B1145">
        <v>4</v>
      </c>
      <c r="C1145" t="s">
        <v>386</v>
      </c>
      <c r="D1145" t="s">
        <v>2432</v>
      </c>
      <c r="E1145">
        <v>5</v>
      </c>
      <c r="F1145" t="s">
        <v>219</v>
      </c>
      <c r="G1145" t="s">
        <v>239</v>
      </c>
      <c r="H1145" t="s">
        <v>517</v>
      </c>
      <c r="I1145">
        <v>13</v>
      </c>
      <c r="J1145" s="21">
        <v>46107</v>
      </c>
      <c r="K1145" s="21">
        <v>46108</v>
      </c>
      <c r="L1145" t="s">
        <v>2441</v>
      </c>
      <c r="M1145" t="s">
        <v>614</v>
      </c>
      <c r="N1145">
        <v>111</v>
      </c>
      <c r="O1145" t="s">
        <v>202</v>
      </c>
      <c r="P1145">
        <v>6</v>
      </c>
      <c r="Q1145">
        <v>1.5</v>
      </c>
      <c r="R1145">
        <v>0.3</v>
      </c>
      <c r="S1145">
        <v>1.8</v>
      </c>
      <c r="T1145">
        <v>0.45</v>
      </c>
      <c r="U1145" t="s">
        <v>19</v>
      </c>
      <c r="V1145" t="s">
        <v>20</v>
      </c>
      <c r="W1145" t="s">
        <v>21</v>
      </c>
      <c r="X1145">
        <v>4</v>
      </c>
      <c r="Z1145" t="s">
        <v>496</v>
      </c>
      <c r="AA1145">
        <v>65</v>
      </c>
      <c r="AB1145">
        <v>117</v>
      </c>
      <c r="AC1145">
        <v>29.25</v>
      </c>
    </row>
    <row r="1146" spans="2:29" ht="15" customHeight="1" x14ac:dyDescent="0.15">
      <c r="B1146">
        <v>4</v>
      </c>
      <c r="C1146" t="s">
        <v>386</v>
      </c>
      <c r="D1146" t="s">
        <v>2432</v>
      </c>
      <c r="E1146">
        <v>6</v>
      </c>
      <c r="F1146" t="s">
        <v>219</v>
      </c>
      <c r="G1146" t="s">
        <v>244</v>
      </c>
      <c r="H1146" t="s">
        <v>571</v>
      </c>
      <c r="I1146">
        <v>13</v>
      </c>
      <c r="J1146" s="21">
        <v>46107</v>
      </c>
      <c r="K1146" s="21">
        <v>46108</v>
      </c>
      <c r="L1146" t="s">
        <v>2442</v>
      </c>
      <c r="M1146" t="s">
        <v>2443</v>
      </c>
      <c r="N1146">
        <v>111</v>
      </c>
      <c r="O1146" t="s">
        <v>2398</v>
      </c>
      <c r="P1146">
        <v>7</v>
      </c>
      <c r="Q1146">
        <v>1.63</v>
      </c>
      <c r="R1146">
        <v>0.5</v>
      </c>
      <c r="S1146">
        <v>3.25</v>
      </c>
      <c r="T1146">
        <v>0.81</v>
      </c>
      <c r="U1146" t="s">
        <v>19</v>
      </c>
      <c r="V1146" t="s">
        <v>20</v>
      </c>
      <c r="W1146" t="s">
        <v>21</v>
      </c>
      <c r="X1146">
        <v>4</v>
      </c>
      <c r="Z1146" t="s">
        <v>496</v>
      </c>
      <c r="AA1146">
        <v>59.5</v>
      </c>
      <c r="AB1146">
        <v>193.38</v>
      </c>
      <c r="AC1146">
        <v>48.34</v>
      </c>
    </row>
    <row r="1147" spans="2:29" ht="15" customHeight="1" x14ac:dyDescent="0.15">
      <c r="B1147">
        <v>4</v>
      </c>
      <c r="C1147" t="s">
        <v>386</v>
      </c>
      <c r="D1147" t="s">
        <v>2444</v>
      </c>
      <c r="E1147">
        <v>1</v>
      </c>
      <c r="F1147" t="s">
        <v>219</v>
      </c>
      <c r="G1147" t="s">
        <v>231</v>
      </c>
      <c r="H1147" t="s">
        <v>231</v>
      </c>
      <c r="I1147">
        <v>13</v>
      </c>
      <c r="J1147" s="21">
        <v>46107</v>
      </c>
      <c r="K1147" s="21">
        <v>46108</v>
      </c>
      <c r="L1147" t="s">
        <v>2445</v>
      </c>
      <c r="M1147" t="s">
        <v>2351</v>
      </c>
      <c r="N1147">
        <v>22</v>
      </c>
      <c r="O1147" t="s">
        <v>2398</v>
      </c>
      <c r="P1147">
        <v>3</v>
      </c>
      <c r="Q1147">
        <v>1.5</v>
      </c>
      <c r="R1147">
        <v>0.15</v>
      </c>
      <c r="S1147">
        <v>0.45</v>
      </c>
      <c r="T1147">
        <v>0.23</v>
      </c>
      <c r="U1147" t="s">
        <v>53</v>
      </c>
      <c r="V1147" t="s">
        <v>54</v>
      </c>
      <c r="W1147" t="s">
        <v>21</v>
      </c>
      <c r="X1147">
        <v>2</v>
      </c>
      <c r="Z1147" t="s">
        <v>496</v>
      </c>
      <c r="AA1147">
        <v>16.61</v>
      </c>
      <c r="AB1147">
        <v>7.47</v>
      </c>
      <c r="AC1147">
        <v>3.74</v>
      </c>
    </row>
    <row r="1148" spans="2:29" ht="15" customHeight="1" x14ac:dyDescent="0.15">
      <c r="B1148">
        <v>4</v>
      </c>
      <c r="C1148" t="s">
        <v>386</v>
      </c>
      <c r="D1148" t="s">
        <v>2444</v>
      </c>
      <c r="E1148">
        <v>2</v>
      </c>
      <c r="F1148" t="s">
        <v>219</v>
      </c>
      <c r="G1148" t="s">
        <v>218</v>
      </c>
      <c r="H1148" t="s">
        <v>2434</v>
      </c>
      <c r="I1148">
        <v>13</v>
      </c>
      <c r="J1148" s="21">
        <v>46107</v>
      </c>
      <c r="K1148" s="21">
        <v>46108</v>
      </c>
      <c r="L1148" t="s">
        <v>2446</v>
      </c>
      <c r="M1148" t="s">
        <v>2436</v>
      </c>
      <c r="N1148">
        <v>22</v>
      </c>
      <c r="O1148" t="s">
        <v>2398</v>
      </c>
      <c r="P1148">
        <v>3</v>
      </c>
      <c r="Q1148">
        <v>1.5</v>
      </c>
      <c r="R1148">
        <v>0.2</v>
      </c>
      <c r="S1148">
        <v>0.6</v>
      </c>
      <c r="T1148">
        <v>0.3</v>
      </c>
      <c r="U1148" t="s">
        <v>53</v>
      </c>
      <c r="V1148" t="s">
        <v>54</v>
      </c>
      <c r="W1148" t="s">
        <v>21</v>
      </c>
      <c r="X1148">
        <v>2</v>
      </c>
      <c r="Z1148" t="s">
        <v>496</v>
      </c>
      <c r="AA1148">
        <v>58.46</v>
      </c>
      <c r="AB1148">
        <v>35.08</v>
      </c>
      <c r="AC1148">
        <v>17.54</v>
      </c>
    </row>
    <row r="1149" spans="2:29" ht="15" customHeight="1" x14ac:dyDescent="0.15">
      <c r="B1149">
        <v>4</v>
      </c>
      <c r="C1149" t="s">
        <v>386</v>
      </c>
      <c r="D1149" t="s">
        <v>2444</v>
      </c>
      <c r="E1149">
        <v>3</v>
      </c>
      <c r="F1149" t="s">
        <v>219</v>
      </c>
      <c r="G1149" t="s">
        <v>218</v>
      </c>
      <c r="H1149" t="s">
        <v>2353</v>
      </c>
      <c r="I1149">
        <v>13</v>
      </c>
      <c r="J1149" s="21">
        <v>46107</v>
      </c>
      <c r="K1149" s="21">
        <v>46108</v>
      </c>
      <c r="L1149" t="s">
        <v>2447</v>
      </c>
      <c r="M1149" t="s">
        <v>241</v>
      </c>
      <c r="N1149">
        <v>22</v>
      </c>
      <c r="O1149" t="s">
        <v>202</v>
      </c>
      <c r="P1149">
        <v>3</v>
      </c>
      <c r="Q1149">
        <v>1.5</v>
      </c>
      <c r="R1149">
        <v>0.2</v>
      </c>
      <c r="S1149">
        <v>0.6</v>
      </c>
      <c r="T1149">
        <v>0.3</v>
      </c>
      <c r="U1149" t="s">
        <v>53</v>
      </c>
      <c r="V1149" t="s">
        <v>54</v>
      </c>
      <c r="W1149" t="s">
        <v>21</v>
      </c>
      <c r="X1149">
        <v>2</v>
      </c>
      <c r="Z1149" t="s">
        <v>496</v>
      </c>
      <c r="AA1149">
        <v>61.3</v>
      </c>
      <c r="AB1149">
        <v>36.78</v>
      </c>
      <c r="AC1149">
        <v>18.39</v>
      </c>
    </row>
    <row r="1150" spans="2:29" ht="15" customHeight="1" x14ac:dyDescent="0.15">
      <c r="B1150">
        <v>4</v>
      </c>
      <c r="C1150" t="s">
        <v>386</v>
      </c>
      <c r="D1150" t="s">
        <v>2444</v>
      </c>
      <c r="E1150">
        <v>4</v>
      </c>
      <c r="F1150" t="s">
        <v>219</v>
      </c>
      <c r="G1150" t="s">
        <v>239</v>
      </c>
      <c r="H1150" t="s">
        <v>602</v>
      </c>
      <c r="I1150">
        <v>13</v>
      </c>
      <c r="J1150" s="21">
        <v>46107</v>
      </c>
      <c r="K1150" s="21">
        <v>46108</v>
      </c>
      <c r="L1150" t="s">
        <v>2448</v>
      </c>
      <c r="M1150" t="s">
        <v>258</v>
      </c>
      <c r="N1150">
        <v>22</v>
      </c>
      <c r="O1150" t="s">
        <v>2398</v>
      </c>
      <c r="P1150">
        <v>3</v>
      </c>
      <c r="Q1150">
        <v>1.5</v>
      </c>
      <c r="R1150">
        <v>1</v>
      </c>
      <c r="S1150">
        <v>3</v>
      </c>
      <c r="T1150">
        <v>1.5</v>
      </c>
      <c r="U1150" t="s">
        <v>53</v>
      </c>
      <c r="V1150" t="s">
        <v>54</v>
      </c>
      <c r="W1150" t="s">
        <v>21</v>
      </c>
      <c r="X1150">
        <v>2</v>
      </c>
      <c r="Z1150" t="s">
        <v>496</v>
      </c>
      <c r="AA1150">
        <v>180</v>
      </c>
      <c r="AB1150">
        <v>540</v>
      </c>
      <c r="AC1150">
        <v>270</v>
      </c>
    </row>
    <row r="1151" spans="2:29" ht="15" customHeight="1" x14ac:dyDescent="0.15">
      <c r="B1151">
        <v>4</v>
      </c>
      <c r="C1151" t="s">
        <v>386</v>
      </c>
      <c r="D1151" t="s">
        <v>2444</v>
      </c>
      <c r="E1151">
        <v>5</v>
      </c>
      <c r="F1151" t="s">
        <v>219</v>
      </c>
      <c r="G1151" t="s">
        <v>239</v>
      </c>
      <c r="H1151" t="s">
        <v>517</v>
      </c>
      <c r="I1151">
        <v>13</v>
      </c>
      <c r="J1151" s="21">
        <v>46107</v>
      </c>
      <c r="K1151" s="21">
        <v>46108</v>
      </c>
      <c r="L1151" t="s">
        <v>2449</v>
      </c>
      <c r="M1151" t="s">
        <v>614</v>
      </c>
      <c r="N1151">
        <v>22</v>
      </c>
      <c r="O1151" t="s">
        <v>202</v>
      </c>
      <c r="P1151">
        <v>3</v>
      </c>
      <c r="Q1151">
        <v>1.5</v>
      </c>
      <c r="R1151">
        <v>0.3</v>
      </c>
      <c r="S1151">
        <v>0.9</v>
      </c>
      <c r="T1151">
        <v>0.45</v>
      </c>
      <c r="U1151" t="s">
        <v>53</v>
      </c>
      <c r="V1151" t="s">
        <v>54</v>
      </c>
      <c r="W1151" t="s">
        <v>21</v>
      </c>
      <c r="X1151">
        <v>2</v>
      </c>
      <c r="Z1151" t="s">
        <v>496</v>
      </c>
      <c r="AA1151">
        <v>65</v>
      </c>
      <c r="AB1151">
        <v>58.5</v>
      </c>
      <c r="AC1151">
        <v>29.25</v>
      </c>
    </row>
    <row r="1152" spans="2:29" ht="15" customHeight="1" x14ac:dyDescent="0.15">
      <c r="B1152">
        <v>4</v>
      </c>
      <c r="C1152" t="s">
        <v>386</v>
      </c>
      <c r="D1152" t="s">
        <v>2444</v>
      </c>
      <c r="E1152">
        <v>6</v>
      </c>
      <c r="F1152" t="s">
        <v>219</v>
      </c>
      <c r="G1152" t="s">
        <v>244</v>
      </c>
      <c r="H1152" t="s">
        <v>571</v>
      </c>
      <c r="I1152">
        <v>13</v>
      </c>
      <c r="J1152" s="21">
        <v>46107</v>
      </c>
      <c r="K1152" s="21">
        <v>46108</v>
      </c>
      <c r="L1152" t="s">
        <v>2450</v>
      </c>
      <c r="M1152" t="s">
        <v>2443</v>
      </c>
      <c r="N1152">
        <v>22</v>
      </c>
      <c r="O1152" t="s">
        <v>2398</v>
      </c>
      <c r="P1152">
        <v>3</v>
      </c>
      <c r="Q1152">
        <v>1.5</v>
      </c>
      <c r="R1152">
        <v>0.5</v>
      </c>
      <c r="S1152">
        <v>1.5</v>
      </c>
      <c r="T1152">
        <v>0.75</v>
      </c>
      <c r="U1152" t="s">
        <v>53</v>
      </c>
      <c r="V1152" t="s">
        <v>54</v>
      </c>
      <c r="W1152" t="s">
        <v>21</v>
      </c>
      <c r="X1152">
        <v>2</v>
      </c>
      <c r="Z1152" t="s">
        <v>496</v>
      </c>
      <c r="AA1152">
        <v>59.5</v>
      </c>
      <c r="AB1152">
        <v>89.25</v>
      </c>
      <c r="AC1152">
        <v>44.63</v>
      </c>
    </row>
    <row r="1153" spans="2:29" ht="15" customHeight="1" x14ac:dyDescent="0.15">
      <c r="B1153">
        <v>4</v>
      </c>
      <c r="C1153" t="s">
        <v>386</v>
      </c>
      <c r="D1153" t="s">
        <v>2444</v>
      </c>
      <c r="E1153">
        <v>7</v>
      </c>
      <c r="F1153" t="s">
        <v>219</v>
      </c>
      <c r="G1153" t="s">
        <v>239</v>
      </c>
      <c r="H1153" t="s">
        <v>485</v>
      </c>
      <c r="I1153">
        <v>13</v>
      </c>
      <c r="J1153" s="21">
        <v>46107</v>
      </c>
      <c r="K1153" s="21">
        <v>46108</v>
      </c>
      <c r="L1153" t="s">
        <v>2451</v>
      </c>
      <c r="M1153" t="s">
        <v>2452</v>
      </c>
      <c r="N1153">
        <v>22</v>
      </c>
      <c r="O1153" t="s">
        <v>2398</v>
      </c>
      <c r="P1153">
        <v>3</v>
      </c>
      <c r="Q1153">
        <v>1.5</v>
      </c>
      <c r="R1153">
        <v>0.33300000000000002</v>
      </c>
      <c r="S1153">
        <v>1</v>
      </c>
      <c r="T1153">
        <v>0.5</v>
      </c>
      <c r="U1153" t="s">
        <v>53</v>
      </c>
      <c r="V1153" t="s">
        <v>54</v>
      </c>
      <c r="W1153" t="s">
        <v>21</v>
      </c>
      <c r="X1153">
        <v>2</v>
      </c>
      <c r="Z1153" t="s">
        <v>496</v>
      </c>
      <c r="AA1153">
        <v>70.12</v>
      </c>
      <c r="AB1153">
        <v>70.11</v>
      </c>
      <c r="AC1153">
        <v>35.06</v>
      </c>
    </row>
    <row r="1154" spans="2:29" ht="15" customHeight="1" x14ac:dyDescent="0.15">
      <c r="B1154">
        <v>4</v>
      </c>
      <c r="C1154" t="s">
        <v>386</v>
      </c>
      <c r="D1154" t="s">
        <v>2453</v>
      </c>
      <c r="E1154">
        <v>1</v>
      </c>
      <c r="F1154" t="s">
        <v>219</v>
      </c>
      <c r="G1154" t="s">
        <v>1292</v>
      </c>
      <c r="H1154" t="s">
        <v>1293</v>
      </c>
      <c r="I1154">
        <v>14</v>
      </c>
      <c r="J1154" s="21">
        <v>46111</v>
      </c>
      <c r="K1154" s="21">
        <v>46111</v>
      </c>
      <c r="L1154" t="s">
        <v>2454</v>
      </c>
      <c r="M1154" t="s">
        <v>1295</v>
      </c>
      <c r="N1154">
        <v>-3</v>
      </c>
      <c r="O1154" t="s">
        <v>2398</v>
      </c>
      <c r="P1154">
        <v>1</v>
      </c>
      <c r="Q1154">
        <v>0.5</v>
      </c>
      <c r="R1154">
        <v>8</v>
      </c>
      <c r="S1154">
        <v>4</v>
      </c>
      <c r="T1154">
        <v>4</v>
      </c>
      <c r="U1154" t="s">
        <v>68</v>
      </c>
      <c r="V1154" t="s">
        <v>69</v>
      </c>
      <c r="W1154" t="s">
        <v>21</v>
      </c>
      <c r="X1154">
        <v>1</v>
      </c>
      <c r="Y1154" t="s">
        <v>2455</v>
      </c>
      <c r="Z1154" t="s">
        <v>496</v>
      </c>
      <c r="AA1154">
        <v>19.75</v>
      </c>
      <c r="AB1154">
        <v>79</v>
      </c>
      <c r="AC1154">
        <v>79</v>
      </c>
    </row>
    <row r="1155" spans="2:29" ht="15" customHeight="1" x14ac:dyDescent="0.15">
      <c r="B1155">
        <v>4</v>
      </c>
      <c r="C1155" t="s">
        <v>386</v>
      </c>
      <c r="D1155" t="s">
        <v>2453</v>
      </c>
      <c r="E1155">
        <v>2</v>
      </c>
      <c r="F1155" t="s">
        <v>219</v>
      </c>
      <c r="G1155" t="s">
        <v>223</v>
      </c>
      <c r="H1155" t="s">
        <v>987</v>
      </c>
      <c r="I1155">
        <v>14</v>
      </c>
      <c r="J1155" s="21">
        <v>46111</v>
      </c>
      <c r="K1155" s="21">
        <v>46111</v>
      </c>
      <c r="L1155" t="s">
        <v>2456</v>
      </c>
      <c r="M1155" t="s">
        <v>222</v>
      </c>
      <c r="N1155">
        <v>-3</v>
      </c>
      <c r="O1155" t="s">
        <v>2398</v>
      </c>
      <c r="P1155">
        <v>1</v>
      </c>
      <c r="Q1155">
        <v>0.5</v>
      </c>
      <c r="R1155">
        <v>4</v>
      </c>
      <c r="S1155">
        <v>2</v>
      </c>
      <c r="T1155">
        <v>2</v>
      </c>
      <c r="U1155" t="s">
        <v>68</v>
      </c>
      <c r="V1155" t="s">
        <v>69</v>
      </c>
      <c r="W1155" t="s">
        <v>21</v>
      </c>
      <c r="X1155">
        <v>1</v>
      </c>
      <c r="Y1155" t="s">
        <v>2455</v>
      </c>
      <c r="Z1155" t="s">
        <v>496</v>
      </c>
      <c r="AA1155">
        <v>13.47</v>
      </c>
      <c r="AB1155">
        <v>26.94</v>
      </c>
      <c r="AC1155">
        <v>26.94</v>
      </c>
    </row>
    <row r="1156" spans="2:29" ht="15" customHeight="1" x14ac:dyDescent="0.15">
      <c r="B1156">
        <v>4</v>
      </c>
      <c r="C1156" t="s">
        <v>386</v>
      </c>
      <c r="D1156" t="s">
        <v>2453</v>
      </c>
      <c r="E1156">
        <v>3</v>
      </c>
      <c r="F1156" t="s">
        <v>219</v>
      </c>
      <c r="G1156" t="s">
        <v>239</v>
      </c>
      <c r="H1156" t="s">
        <v>551</v>
      </c>
      <c r="I1156">
        <v>14</v>
      </c>
      <c r="J1156" s="21">
        <v>46111</v>
      </c>
      <c r="K1156" s="21">
        <v>46111</v>
      </c>
      <c r="L1156" t="s">
        <v>2457</v>
      </c>
      <c r="M1156" t="s">
        <v>1165</v>
      </c>
      <c r="N1156">
        <v>-3</v>
      </c>
      <c r="O1156" t="s">
        <v>2398</v>
      </c>
      <c r="P1156">
        <v>1</v>
      </c>
      <c r="Q1156">
        <v>0.5</v>
      </c>
      <c r="R1156">
        <v>4</v>
      </c>
      <c r="S1156">
        <v>2</v>
      </c>
      <c r="T1156">
        <v>2</v>
      </c>
      <c r="U1156" t="s">
        <v>68</v>
      </c>
      <c r="V1156" t="s">
        <v>69</v>
      </c>
      <c r="W1156" t="s">
        <v>21</v>
      </c>
      <c r="X1156">
        <v>1</v>
      </c>
      <c r="Y1156" t="s">
        <v>2455</v>
      </c>
      <c r="Z1156" t="s">
        <v>496</v>
      </c>
      <c r="AA1156">
        <v>57.53</v>
      </c>
      <c r="AB1156">
        <v>115.05</v>
      </c>
      <c r="AC1156">
        <v>115.05</v>
      </c>
    </row>
    <row r="1157" spans="2:29" ht="15" customHeight="1" x14ac:dyDescent="0.15">
      <c r="B1157">
        <v>4</v>
      </c>
      <c r="C1157" t="s">
        <v>386</v>
      </c>
      <c r="D1157" t="s">
        <v>2453</v>
      </c>
      <c r="E1157">
        <v>1</v>
      </c>
      <c r="F1157" t="s">
        <v>219</v>
      </c>
      <c r="G1157" t="s">
        <v>1292</v>
      </c>
      <c r="H1157" t="s">
        <v>1293</v>
      </c>
      <c r="I1157">
        <v>14</v>
      </c>
      <c r="J1157" s="21">
        <v>46113</v>
      </c>
      <c r="K1157" s="21">
        <v>46113</v>
      </c>
      <c r="L1157" t="s">
        <v>2454</v>
      </c>
      <c r="M1157" t="s">
        <v>1295</v>
      </c>
      <c r="N1157">
        <v>-1</v>
      </c>
      <c r="O1157" t="s">
        <v>2398</v>
      </c>
      <c r="P1157">
        <v>1</v>
      </c>
      <c r="Q1157">
        <v>0.5</v>
      </c>
      <c r="R1157">
        <v>8</v>
      </c>
      <c r="S1157">
        <v>4</v>
      </c>
      <c r="T1157">
        <v>4</v>
      </c>
      <c r="U1157" t="s">
        <v>68</v>
      </c>
      <c r="V1157" t="s">
        <v>69</v>
      </c>
      <c r="W1157" t="s">
        <v>21</v>
      </c>
      <c r="X1157">
        <v>1</v>
      </c>
      <c r="Y1157" t="s">
        <v>2455</v>
      </c>
      <c r="Z1157" t="s">
        <v>496</v>
      </c>
      <c r="AA1157">
        <v>19.75</v>
      </c>
      <c r="AB1157">
        <v>79</v>
      </c>
      <c r="AC1157">
        <v>79</v>
      </c>
    </row>
    <row r="1158" spans="2:29" ht="15" customHeight="1" x14ac:dyDescent="0.15">
      <c r="B1158">
        <v>4</v>
      </c>
      <c r="C1158" t="s">
        <v>386</v>
      </c>
      <c r="D1158" t="s">
        <v>2453</v>
      </c>
      <c r="E1158">
        <v>2</v>
      </c>
      <c r="F1158" t="s">
        <v>219</v>
      </c>
      <c r="G1158" t="s">
        <v>223</v>
      </c>
      <c r="H1158" t="s">
        <v>987</v>
      </c>
      <c r="I1158">
        <v>14</v>
      </c>
      <c r="J1158" s="21">
        <v>46113</v>
      </c>
      <c r="K1158" s="21">
        <v>46113</v>
      </c>
      <c r="L1158" t="s">
        <v>2456</v>
      </c>
      <c r="M1158" t="s">
        <v>222</v>
      </c>
      <c r="N1158">
        <v>-1</v>
      </c>
      <c r="O1158" t="s">
        <v>2398</v>
      </c>
      <c r="P1158">
        <v>1</v>
      </c>
      <c r="Q1158">
        <v>0.5</v>
      </c>
      <c r="R1158">
        <v>4</v>
      </c>
      <c r="S1158">
        <v>2</v>
      </c>
      <c r="T1158">
        <v>2</v>
      </c>
      <c r="U1158" t="s">
        <v>68</v>
      </c>
      <c r="V1158" t="s">
        <v>69</v>
      </c>
      <c r="W1158" t="s">
        <v>21</v>
      </c>
      <c r="X1158">
        <v>1</v>
      </c>
      <c r="Y1158" t="s">
        <v>2455</v>
      </c>
      <c r="Z1158" t="s">
        <v>496</v>
      </c>
      <c r="AA1158">
        <v>13.47</v>
      </c>
      <c r="AB1158">
        <v>26.94</v>
      </c>
      <c r="AC1158">
        <v>26.94</v>
      </c>
    </row>
    <row r="1159" spans="2:29" ht="15" customHeight="1" x14ac:dyDescent="0.15">
      <c r="B1159">
        <v>4</v>
      </c>
      <c r="C1159" t="s">
        <v>386</v>
      </c>
      <c r="D1159" t="s">
        <v>2453</v>
      </c>
      <c r="E1159">
        <v>3</v>
      </c>
      <c r="F1159" t="s">
        <v>219</v>
      </c>
      <c r="G1159" t="s">
        <v>239</v>
      </c>
      <c r="H1159" t="s">
        <v>602</v>
      </c>
      <c r="I1159">
        <v>14</v>
      </c>
      <c r="J1159" s="21">
        <v>46113</v>
      </c>
      <c r="K1159" s="21">
        <v>46113</v>
      </c>
      <c r="L1159" t="s">
        <v>2457</v>
      </c>
      <c r="M1159" t="s">
        <v>258</v>
      </c>
      <c r="N1159">
        <v>-1</v>
      </c>
      <c r="O1159" t="s">
        <v>2398</v>
      </c>
      <c r="P1159">
        <v>1</v>
      </c>
      <c r="Q1159">
        <v>0.5</v>
      </c>
      <c r="R1159">
        <v>2</v>
      </c>
      <c r="S1159">
        <v>1</v>
      </c>
      <c r="T1159">
        <v>1</v>
      </c>
      <c r="U1159" t="s">
        <v>68</v>
      </c>
      <c r="V1159" t="s">
        <v>69</v>
      </c>
      <c r="W1159" t="s">
        <v>21</v>
      </c>
      <c r="X1159">
        <v>1</v>
      </c>
      <c r="Y1159" t="s">
        <v>2455</v>
      </c>
      <c r="Z1159" t="s">
        <v>496</v>
      </c>
      <c r="AA1159">
        <v>180</v>
      </c>
      <c r="AB1159">
        <v>180</v>
      </c>
      <c r="AC1159">
        <v>180</v>
      </c>
    </row>
    <row r="1160" spans="2:29" ht="15" customHeight="1" x14ac:dyDescent="0.15">
      <c r="B1160">
        <v>4</v>
      </c>
      <c r="C1160" t="s">
        <v>386</v>
      </c>
      <c r="D1160" t="s">
        <v>2458</v>
      </c>
      <c r="E1160">
        <v>1</v>
      </c>
      <c r="F1160" t="s">
        <v>219</v>
      </c>
      <c r="G1160" t="s">
        <v>231</v>
      </c>
      <c r="H1160" t="s">
        <v>231</v>
      </c>
      <c r="I1160">
        <v>15</v>
      </c>
      <c r="J1160" s="21">
        <v>46118</v>
      </c>
      <c r="K1160" s="21">
        <v>46118</v>
      </c>
      <c r="L1160" t="s">
        <v>2459</v>
      </c>
      <c r="M1160" t="s">
        <v>2351</v>
      </c>
      <c r="N1160">
        <v>121</v>
      </c>
      <c r="O1160" t="s">
        <v>2398</v>
      </c>
      <c r="P1160">
        <v>6</v>
      </c>
      <c r="Q1160">
        <v>1.5</v>
      </c>
      <c r="R1160">
        <v>0.15</v>
      </c>
      <c r="S1160">
        <v>0.9</v>
      </c>
      <c r="T1160">
        <v>0.23</v>
      </c>
      <c r="U1160" t="s">
        <v>19</v>
      </c>
      <c r="V1160" t="s">
        <v>20</v>
      </c>
      <c r="W1160" t="s">
        <v>21</v>
      </c>
      <c r="X1160">
        <v>4</v>
      </c>
      <c r="Y1160" t="s">
        <v>679</v>
      </c>
      <c r="Z1160" t="s">
        <v>496</v>
      </c>
      <c r="AA1160">
        <v>16.61</v>
      </c>
      <c r="AB1160">
        <v>14.95</v>
      </c>
      <c r="AC1160">
        <v>3.74</v>
      </c>
    </row>
    <row r="1161" spans="2:29" ht="15" customHeight="1" x14ac:dyDescent="0.15">
      <c r="B1161">
        <v>4</v>
      </c>
      <c r="C1161" t="s">
        <v>386</v>
      </c>
      <c r="D1161" t="s">
        <v>2458</v>
      </c>
      <c r="E1161">
        <v>2</v>
      </c>
      <c r="F1161" t="s">
        <v>219</v>
      </c>
      <c r="G1161" t="s">
        <v>218</v>
      </c>
      <c r="H1161" t="s">
        <v>2305</v>
      </c>
      <c r="I1161">
        <v>15</v>
      </c>
      <c r="J1161" s="21">
        <v>46118</v>
      </c>
      <c r="K1161" s="21">
        <v>46118</v>
      </c>
      <c r="L1161" t="s">
        <v>2460</v>
      </c>
      <c r="M1161" t="s">
        <v>255</v>
      </c>
      <c r="N1161">
        <v>121</v>
      </c>
      <c r="O1161" t="s">
        <v>202</v>
      </c>
      <c r="P1161">
        <v>6</v>
      </c>
      <c r="Q1161">
        <v>1.5</v>
      </c>
      <c r="R1161">
        <v>0.5</v>
      </c>
      <c r="S1161">
        <v>3</v>
      </c>
      <c r="T1161">
        <v>0.75</v>
      </c>
      <c r="U1161" t="s">
        <v>19</v>
      </c>
      <c r="V1161" t="s">
        <v>20</v>
      </c>
      <c r="W1161" t="s">
        <v>21</v>
      </c>
      <c r="X1161">
        <v>4</v>
      </c>
      <c r="Y1161" t="s">
        <v>679</v>
      </c>
      <c r="Z1161" t="s">
        <v>496</v>
      </c>
      <c r="AA1161">
        <v>37.5</v>
      </c>
      <c r="AB1161">
        <v>112.5</v>
      </c>
      <c r="AC1161">
        <v>28.13</v>
      </c>
    </row>
    <row r="1162" spans="2:29" ht="15" customHeight="1" x14ac:dyDescent="0.15">
      <c r="B1162">
        <v>4</v>
      </c>
      <c r="C1162" t="s">
        <v>386</v>
      </c>
      <c r="D1162" t="s">
        <v>2458</v>
      </c>
      <c r="E1162">
        <v>3</v>
      </c>
      <c r="F1162" t="s">
        <v>219</v>
      </c>
      <c r="G1162" t="s">
        <v>239</v>
      </c>
      <c r="H1162" t="s">
        <v>2438</v>
      </c>
      <c r="I1162">
        <v>15</v>
      </c>
      <c r="J1162" s="21">
        <v>46118</v>
      </c>
      <c r="K1162" s="21">
        <v>46118</v>
      </c>
      <c r="L1162" t="s">
        <v>2461</v>
      </c>
      <c r="M1162" t="s">
        <v>2440</v>
      </c>
      <c r="N1162">
        <v>121</v>
      </c>
      <c r="O1162" t="s">
        <v>2398</v>
      </c>
      <c r="P1162">
        <v>6</v>
      </c>
      <c r="Q1162">
        <v>1.5</v>
      </c>
      <c r="R1162">
        <v>1.5</v>
      </c>
      <c r="S1162">
        <v>9</v>
      </c>
      <c r="T1162">
        <v>2.25</v>
      </c>
      <c r="U1162" t="s">
        <v>19</v>
      </c>
      <c r="V1162" t="s">
        <v>20</v>
      </c>
      <c r="W1162" t="s">
        <v>21</v>
      </c>
      <c r="X1162">
        <v>4</v>
      </c>
      <c r="Y1162" t="s">
        <v>679</v>
      </c>
      <c r="Z1162" t="s">
        <v>496</v>
      </c>
      <c r="AA1162">
        <v>41</v>
      </c>
      <c r="AB1162">
        <v>369</v>
      </c>
      <c r="AC1162">
        <v>92.25</v>
      </c>
    </row>
    <row r="1163" spans="2:29" ht="15" customHeight="1" x14ac:dyDescent="0.15">
      <c r="B1163">
        <v>4</v>
      </c>
      <c r="C1163" t="s">
        <v>386</v>
      </c>
      <c r="D1163" t="s">
        <v>2458</v>
      </c>
      <c r="E1163">
        <v>4</v>
      </c>
      <c r="F1163" t="s">
        <v>201</v>
      </c>
      <c r="G1163" t="s">
        <v>200</v>
      </c>
      <c r="H1163" t="s">
        <v>1132</v>
      </c>
      <c r="I1163">
        <v>15</v>
      </c>
      <c r="J1163" s="21">
        <v>46118</v>
      </c>
      <c r="K1163" s="21">
        <v>46118</v>
      </c>
      <c r="L1163" t="s">
        <v>2462</v>
      </c>
      <c r="M1163" t="s">
        <v>2463</v>
      </c>
      <c r="N1163">
        <v>121</v>
      </c>
      <c r="O1163" t="s">
        <v>202</v>
      </c>
      <c r="P1163">
        <v>6</v>
      </c>
      <c r="Q1163">
        <v>1.5</v>
      </c>
      <c r="R1163">
        <v>2</v>
      </c>
      <c r="S1163">
        <v>12</v>
      </c>
      <c r="T1163">
        <v>3</v>
      </c>
      <c r="U1163" t="s">
        <v>19</v>
      </c>
      <c r="V1163" t="s">
        <v>20</v>
      </c>
      <c r="W1163" t="s">
        <v>21</v>
      </c>
      <c r="X1163">
        <v>4</v>
      </c>
      <c r="Y1163" t="s">
        <v>679</v>
      </c>
      <c r="Z1163" t="s">
        <v>496</v>
      </c>
      <c r="AA1163">
        <v>5.0999999999999996</v>
      </c>
      <c r="AB1163">
        <v>61.2</v>
      </c>
      <c r="AC1163">
        <v>15.3</v>
      </c>
    </row>
    <row r="1164" spans="2:29" ht="15" customHeight="1" x14ac:dyDescent="0.15">
      <c r="B1164">
        <v>4</v>
      </c>
      <c r="C1164" t="s">
        <v>386</v>
      </c>
      <c r="D1164" t="s">
        <v>2458</v>
      </c>
      <c r="E1164">
        <v>5</v>
      </c>
      <c r="F1164" t="s">
        <v>219</v>
      </c>
      <c r="G1164" t="s">
        <v>218</v>
      </c>
      <c r="H1164" t="s">
        <v>2464</v>
      </c>
      <c r="I1164">
        <v>15</v>
      </c>
      <c r="J1164" s="21">
        <v>46118</v>
      </c>
      <c r="K1164" s="21">
        <v>46118</v>
      </c>
      <c r="L1164" t="s">
        <v>2465</v>
      </c>
      <c r="M1164" t="s">
        <v>2466</v>
      </c>
      <c r="N1164">
        <v>121</v>
      </c>
      <c r="O1164" t="s">
        <v>2398</v>
      </c>
      <c r="P1164">
        <v>6</v>
      </c>
      <c r="Q1164">
        <v>1.5</v>
      </c>
      <c r="R1164">
        <v>0.5</v>
      </c>
      <c r="S1164">
        <v>3</v>
      </c>
      <c r="T1164">
        <v>0.75</v>
      </c>
      <c r="U1164" t="s">
        <v>19</v>
      </c>
      <c r="V1164" t="s">
        <v>20</v>
      </c>
      <c r="W1164" t="s">
        <v>21</v>
      </c>
      <c r="X1164">
        <v>4</v>
      </c>
      <c r="Y1164" t="s">
        <v>679</v>
      </c>
      <c r="Z1164" t="s">
        <v>496</v>
      </c>
      <c r="AA1164">
        <v>46</v>
      </c>
      <c r="AB1164">
        <v>138</v>
      </c>
      <c r="AC1164">
        <v>34.5</v>
      </c>
    </row>
    <row r="1165" spans="2:29" ht="15" customHeight="1" x14ac:dyDescent="0.15">
      <c r="B1165">
        <v>4</v>
      </c>
      <c r="C1165" t="s">
        <v>386</v>
      </c>
      <c r="D1165" t="s">
        <v>2458</v>
      </c>
      <c r="E1165">
        <v>6</v>
      </c>
      <c r="F1165" t="s">
        <v>219</v>
      </c>
      <c r="G1165" t="s">
        <v>218</v>
      </c>
      <c r="H1165" t="s">
        <v>686</v>
      </c>
      <c r="I1165">
        <v>15</v>
      </c>
      <c r="J1165" s="21">
        <v>46118</v>
      </c>
      <c r="K1165" s="21">
        <v>46118</v>
      </c>
      <c r="L1165" t="s">
        <v>2467</v>
      </c>
      <c r="M1165" t="s">
        <v>2468</v>
      </c>
      <c r="N1165">
        <v>121</v>
      </c>
      <c r="O1165" t="s">
        <v>2398</v>
      </c>
      <c r="P1165">
        <v>6</v>
      </c>
      <c r="Q1165">
        <v>1.5</v>
      </c>
      <c r="R1165">
        <v>0.15</v>
      </c>
      <c r="S1165">
        <v>0.9</v>
      </c>
      <c r="T1165">
        <v>0.23</v>
      </c>
      <c r="U1165" t="s">
        <v>19</v>
      </c>
      <c r="V1165" t="s">
        <v>20</v>
      </c>
      <c r="W1165" t="s">
        <v>21</v>
      </c>
      <c r="X1165">
        <v>4</v>
      </c>
      <c r="Y1165" t="s">
        <v>679</v>
      </c>
      <c r="Z1165" t="s">
        <v>496</v>
      </c>
      <c r="AA1165">
        <v>80.900000000000006</v>
      </c>
      <c r="AB1165">
        <v>72.81</v>
      </c>
      <c r="AC1165">
        <v>18.2</v>
      </c>
    </row>
    <row r="1166" spans="2:29" ht="15" customHeight="1" x14ac:dyDescent="0.15">
      <c r="B1166">
        <v>4</v>
      </c>
      <c r="C1166" t="s">
        <v>386</v>
      </c>
      <c r="D1166" t="s">
        <v>2469</v>
      </c>
      <c r="E1166">
        <v>1</v>
      </c>
      <c r="F1166" t="s">
        <v>219</v>
      </c>
      <c r="G1166" t="s">
        <v>231</v>
      </c>
      <c r="H1166" t="s">
        <v>231</v>
      </c>
      <c r="I1166">
        <v>15</v>
      </c>
      <c r="J1166" s="21">
        <v>46118</v>
      </c>
      <c r="K1166" s="21">
        <v>46119</v>
      </c>
      <c r="L1166" t="s">
        <v>2470</v>
      </c>
      <c r="M1166" t="s">
        <v>2351</v>
      </c>
      <c r="N1166">
        <v>33</v>
      </c>
      <c r="O1166" t="s">
        <v>2398</v>
      </c>
      <c r="P1166">
        <v>3</v>
      </c>
      <c r="Q1166">
        <v>1.5</v>
      </c>
      <c r="R1166">
        <v>0.15</v>
      </c>
      <c r="S1166">
        <v>0.45</v>
      </c>
      <c r="T1166">
        <v>0.23</v>
      </c>
      <c r="U1166" t="s">
        <v>53</v>
      </c>
      <c r="V1166" t="s">
        <v>54</v>
      </c>
      <c r="W1166" t="s">
        <v>21</v>
      </c>
      <c r="X1166">
        <v>2</v>
      </c>
      <c r="Y1166" t="s">
        <v>679</v>
      </c>
      <c r="Z1166" t="s">
        <v>496</v>
      </c>
      <c r="AA1166">
        <v>16.61</v>
      </c>
      <c r="AB1166">
        <v>7.47</v>
      </c>
      <c r="AC1166">
        <v>3.74</v>
      </c>
    </row>
    <row r="1167" spans="2:29" ht="15" customHeight="1" x14ac:dyDescent="0.15">
      <c r="B1167">
        <v>4</v>
      </c>
      <c r="C1167" t="s">
        <v>386</v>
      </c>
      <c r="D1167" t="s">
        <v>2469</v>
      </c>
      <c r="E1167">
        <v>2</v>
      </c>
      <c r="F1167" t="s">
        <v>219</v>
      </c>
      <c r="G1167" t="s">
        <v>218</v>
      </c>
      <c r="H1167" t="s">
        <v>2305</v>
      </c>
      <c r="I1167">
        <v>15</v>
      </c>
      <c r="J1167" s="21">
        <v>46118</v>
      </c>
      <c r="K1167" s="21">
        <v>46119</v>
      </c>
      <c r="L1167" t="s">
        <v>2471</v>
      </c>
      <c r="M1167" t="s">
        <v>255</v>
      </c>
      <c r="N1167">
        <v>33</v>
      </c>
      <c r="O1167" t="s">
        <v>202</v>
      </c>
      <c r="P1167">
        <v>3</v>
      </c>
      <c r="Q1167">
        <v>1.5</v>
      </c>
      <c r="R1167">
        <v>0.5</v>
      </c>
      <c r="S1167">
        <v>1.5</v>
      </c>
      <c r="T1167">
        <v>0.75</v>
      </c>
      <c r="U1167" t="s">
        <v>53</v>
      </c>
      <c r="V1167" t="s">
        <v>54</v>
      </c>
      <c r="W1167" t="s">
        <v>21</v>
      </c>
      <c r="X1167">
        <v>2</v>
      </c>
      <c r="Y1167" t="s">
        <v>679</v>
      </c>
      <c r="Z1167" t="s">
        <v>496</v>
      </c>
      <c r="AA1167">
        <v>37.5</v>
      </c>
      <c r="AB1167">
        <v>56.25</v>
      </c>
      <c r="AC1167">
        <v>28.13</v>
      </c>
    </row>
    <row r="1168" spans="2:29" ht="15" customHeight="1" x14ac:dyDescent="0.15">
      <c r="B1168">
        <v>4</v>
      </c>
      <c r="C1168" t="s">
        <v>386</v>
      </c>
      <c r="D1168" t="s">
        <v>2469</v>
      </c>
      <c r="E1168">
        <v>3</v>
      </c>
      <c r="F1168" t="s">
        <v>219</v>
      </c>
      <c r="G1168" t="s">
        <v>244</v>
      </c>
      <c r="H1168" t="s">
        <v>409</v>
      </c>
      <c r="I1168">
        <v>15</v>
      </c>
      <c r="J1168" s="21">
        <v>46118</v>
      </c>
      <c r="K1168" s="21">
        <v>46119</v>
      </c>
      <c r="L1168" t="s">
        <v>2472</v>
      </c>
      <c r="M1168" t="s">
        <v>284</v>
      </c>
      <c r="N1168">
        <v>33</v>
      </c>
      <c r="O1168" t="s">
        <v>2398</v>
      </c>
      <c r="P1168">
        <v>3</v>
      </c>
      <c r="Q1168">
        <v>1.5</v>
      </c>
      <c r="R1168">
        <v>0.5</v>
      </c>
      <c r="S1168">
        <v>1.5</v>
      </c>
      <c r="T1168">
        <v>0.75</v>
      </c>
      <c r="U1168" t="s">
        <v>53</v>
      </c>
      <c r="V1168" t="s">
        <v>54</v>
      </c>
      <c r="W1168" t="s">
        <v>21</v>
      </c>
      <c r="X1168">
        <v>2</v>
      </c>
      <c r="Y1168" t="s">
        <v>679</v>
      </c>
      <c r="Z1168" t="s">
        <v>496</v>
      </c>
      <c r="AA1168">
        <v>53.07</v>
      </c>
      <c r="AB1168">
        <v>79.61</v>
      </c>
      <c r="AC1168">
        <v>39.799999999999997</v>
      </c>
    </row>
    <row r="1169" spans="2:29" ht="15" customHeight="1" x14ac:dyDescent="0.15">
      <c r="B1169">
        <v>4</v>
      </c>
      <c r="C1169" t="s">
        <v>386</v>
      </c>
      <c r="D1169" t="s">
        <v>2469</v>
      </c>
      <c r="E1169">
        <v>4</v>
      </c>
      <c r="F1169" t="s">
        <v>219</v>
      </c>
      <c r="G1169" t="s">
        <v>218</v>
      </c>
      <c r="H1169" t="s">
        <v>2464</v>
      </c>
      <c r="I1169">
        <v>15</v>
      </c>
      <c r="J1169" s="21">
        <v>46118</v>
      </c>
      <c r="K1169" s="21">
        <v>46119</v>
      </c>
      <c r="L1169" t="s">
        <v>2473</v>
      </c>
      <c r="M1169" t="s">
        <v>2466</v>
      </c>
      <c r="N1169">
        <v>33</v>
      </c>
      <c r="O1169" t="s">
        <v>2398</v>
      </c>
      <c r="P1169">
        <v>3</v>
      </c>
      <c r="Q1169">
        <v>1.5</v>
      </c>
      <c r="R1169">
        <v>0.5</v>
      </c>
      <c r="S1169">
        <v>1.5</v>
      </c>
      <c r="T1169">
        <v>0.75</v>
      </c>
      <c r="U1169" t="s">
        <v>53</v>
      </c>
      <c r="V1169" t="s">
        <v>54</v>
      </c>
      <c r="W1169" t="s">
        <v>21</v>
      </c>
      <c r="X1169">
        <v>2</v>
      </c>
      <c r="Y1169" t="s">
        <v>679</v>
      </c>
      <c r="Z1169" t="s">
        <v>496</v>
      </c>
      <c r="AA1169">
        <v>46</v>
      </c>
      <c r="AB1169">
        <v>69</v>
      </c>
      <c r="AC1169">
        <v>34.5</v>
      </c>
    </row>
    <row r="1170" spans="2:29" ht="15" customHeight="1" x14ac:dyDescent="0.15">
      <c r="B1170">
        <v>4</v>
      </c>
      <c r="C1170" t="s">
        <v>386</v>
      </c>
      <c r="D1170" t="s">
        <v>2469</v>
      </c>
      <c r="E1170">
        <v>5</v>
      </c>
      <c r="F1170" t="s">
        <v>219</v>
      </c>
      <c r="G1170" t="s">
        <v>218</v>
      </c>
      <c r="H1170" t="s">
        <v>686</v>
      </c>
      <c r="I1170">
        <v>15</v>
      </c>
      <c r="J1170" s="21">
        <v>46118</v>
      </c>
      <c r="K1170" s="21">
        <v>46119</v>
      </c>
      <c r="L1170" t="s">
        <v>2474</v>
      </c>
      <c r="M1170" t="s">
        <v>2468</v>
      </c>
      <c r="N1170">
        <v>33</v>
      </c>
      <c r="O1170" t="s">
        <v>2398</v>
      </c>
      <c r="P1170">
        <v>3</v>
      </c>
      <c r="Q1170">
        <v>1.5</v>
      </c>
      <c r="R1170">
        <v>0.15</v>
      </c>
      <c r="S1170">
        <v>0.45</v>
      </c>
      <c r="T1170">
        <v>0.23</v>
      </c>
      <c r="U1170" t="s">
        <v>53</v>
      </c>
      <c r="V1170" t="s">
        <v>54</v>
      </c>
      <c r="W1170" t="s">
        <v>21</v>
      </c>
      <c r="X1170">
        <v>2</v>
      </c>
      <c r="Y1170" t="s">
        <v>679</v>
      </c>
      <c r="Z1170" t="s">
        <v>496</v>
      </c>
      <c r="AA1170">
        <v>80.900000000000006</v>
      </c>
      <c r="AB1170">
        <v>36.409999999999997</v>
      </c>
      <c r="AC1170">
        <v>18.2</v>
      </c>
    </row>
    <row r="1171" spans="2:29" ht="15" customHeight="1" x14ac:dyDescent="0.15">
      <c r="B1171">
        <v>4</v>
      </c>
      <c r="C1171" t="s">
        <v>386</v>
      </c>
      <c r="D1171" t="s">
        <v>2475</v>
      </c>
      <c r="E1171">
        <v>1</v>
      </c>
      <c r="F1171" t="s">
        <v>219</v>
      </c>
      <c r="G1171" t="s">
        <v>231</v>
      </c>
      <c r="H1171" t="s">
        <v>231</v>
      </c>
      <c r="I1171">
        <v>15</v>
      </c>
      <c r="J1171" s="21">
        <v>46118</v>
      </c>
      <c r="K1171" s="21">
        <v>46118</v>
      </c>
      <c r="L1171" t="s">
        <v>2476</v>
      </c>
      <c r="M1171" t="s">
        <v>2351</v>
      </c>
      <c r="N1171">
        <v>10</v>
      </c>
      <c r="O1171" t="s">
        <v>2398</v>
      </c>
      <c r="P1171">
        <v>2</v>
      </c>
      <c r="Q1171">
        <v>1.25</v>
      </c>
      <c r="R1171">
        <v>0.15</v>
      </c>
      <c r="S1171">
        <v>0.3</v>
      </c>
      <c r="T1171">
        <v>0.19</v>
      </c>
      <c r="U1171" t="s">
        <v>60</v>
      </c>
      <c r="V1171" t="s">
        <v>61</v>
      </c>
      <c r="W1171" t="s">
        <v>21</v>
      </c>
      <c r="X1171">
        <v>1.6</v>
      </c>
      <c r="Y1171" t="s">
        <v>2477</v>
      </c>
      <c r="Z1171" t="s">
        <v>496</v>
      </c>
      <c r="AA1171">
        <v>16.61</v>
      </c>
      <c r="AB1171">
        <v>4.9800000000000004</v>
      </c>
      <c r="AC1171">
        <v>3.11</v>
      </c>
    </row>
    <row r="1172" spans="2:29" ht="15" customHeight="1" x14ac:dyDescent="0.15">
      <c r="B1172">
        <v>4</v>
      </c>
      <c r="C1172" t="s">
        <v>386</v>
      </c>
      <c r="D1172" t="s">
        <v>2475</v>
      </c>
      <c r="E1172">
        <v>2</v>
      </c>
      <c r="F1172" t="s">
        <v>219</v>
      </c>
      <c r="G1172" t="s">
        <v>439</v>
      </c>
      <c r="H1172" t="s">
        <v>533</v>
      </c>
      <c r="I1172">
        <v>15</v>
      </c>
      <c r="J1172" s="21">
        <v>46118</v>
      </c>
      <c r="K1172" s="21">
        <v>46118</v>
      </c>
      <c r="L1172" t="s">
        <v>2478</v>
      </c>
      <c r="M1172" t="s">
        <v>535</v>
      </c>
      <c r="N1172">
        <v>10</v>
      </c>
      <c r="O1172" t="s">
        <v>2398</v>
      </c>
      <c r="P1172">
        <v>2</v>
      </c>
      <c r="Q1172">
        <v>1.25</v>
      </c>
      <c r="R1172">
        <v>1.25</v>
      </c>
      <c r="S1172">
        <v>2.5</v>
      </c>
      <c r="T1172">
        <v>1.56</v>
      </c>
      <c r="U1172" t="s">
        <v>60</v>
      </c>
      <c r="V1172" t="s">
        <v>61</v>
      </c>
      <c r="W1172" t="s">
        <v>21</v>
      </c>
      <c r="X1172">
        <v>1.6</v>
      </c>
      <c r="Y1172" t="s">
        <v>2477</v>
      </c>
      <c r="Z1172" t="s">
        <v>496</v>
      </c>
      <c r="AA1172">
        <v>38.14</v>
      </c>
      <c r="AB1172">
        <v>95.35</v>
      </c>
      <c r="AC1172">
        <v>59.59</v>
      </c>
    </row>
    <row r="1173" spans="2:29" ht="15" customHeight="1" x14ac:dyDescent="0.15">
      <c r="B1173">
        <v>4</v>
      </c>
      <c r="C1173" t="s">
        <v>386</v>
      </c>
      <c r="D1173" t="s">
        <v>2475</v>
      </c>
      <c r="E1173">
        <v>3</v>
      </c>
      <c r="F1173" t="s">
        <v>219</v>
      </c>
      <c r="G1173" t="s">
        <v>218</v>
      </c>
      <c r="H1173" t="s">
        <v>1090</v>
      </c>
      <c r="I1173">
        <v>15</v>
      </c>
      <c r="J1173" s="21">
        <v>46118</v>
      </c>
      <c r="K1173" s="21">
        <v>46118</v>
      </c>
      <c r="L1173" t="s">
        <v>2479</v>
      </c>
      <c r="M1173" t="s">
        <v>2371</v>
      </c>
      <c r="N1173">
        <v>10</v>
      </c>
      <c r="O1173" t="s">
        <v>2398</v>
      </c>
      <c r="P1173">
        <v>2</v>
      </c>
      <c r="Q1173">
        <v>1.25</v>
      </c>
      <c r="R1173">
        <v>1.5</v>
      </c>
      <c r="S1173">
        <v>3</v>
      </c>
      <c r="T1173">
        <v>1.88</v>
      </c>
      <c r="U1173" t="s">
        <v>60</v>
      </c>
      <c r="V1173" t="s">
        <v>61</v>
      </c>
      <c r="W1173" t="s">
        <v>21</v>
      </c>
      <c r="X1173">
        <v>1.6</v>
      </c>
      <c r="Y1173" t="s">
        <v>2477</v>
      </c>
      <c r="Z1173" t="s">
        <v>496</v>
      </c>
      <c r="AA1173">
        <v>58.29</v>
      </c>
      <c r="AB1173">
        <v>174.87</v>
      </c>
      <c r="AC1173">
        <v>109.29</v>
      </c>
    </row>
    <row r="1174" spans="2:29" ht="15" customHeight="1" x14ac:dyDescent="0.15">
      <c r="B1174">
        <v>4</v>
      </c>
      <c r="C1174" t="s">
        <v>386</v>
      </c>
      <c r="D1174" t="s">
        <v>2475</v>
      </c>
      <c r="E1174">
        <v>4</v>
      </c>
      <c r="F1174" t="s">
        <v>219</v>
      </c>
      <c r="G1174" t="s">
        <v>239</v>
      </c>
      <c r="H1174" t="s">
        <v>602</v>
      </c>
      <c r="I1174">
        <v>15</v>
      </c>
      <c r="J1174" s="21">
        <v>46118</v>
      </c>
      <c r="K1174" s="21">
        <v>46118</v>
      </c>
      <c r="L1174" t="s">
        <v>2480</v>
      </c>
      <c r="M1174" t="s">
        <v>258</v>
      </c>
      <c r="N1174">
        <v>10</v>
      </c>
      <c r="O1174" t="s">
        <v>2398</v>
      </c>
      <c r="P1174">
        <v>2</v>
      </c>
      <c r="Q1174">
        <v>1.25</v>
      </c>
      <c r="R1174">
        <v>0.5</v>
      </c>
      <c r="S1174">
        <v>1</v>
      </c>
      <c r="T1174">
        <v>0.63</v>
      </c>
      <c r="U1174" t="s">
        <v>60</v>
      </c>
      <c r="V1174" t="s">
        <v>61</v>
      </c>
      <c r="W1174" t="s">
        <v>21</v>
      </c>
      <c r="X1174">
        <v>1.6</v>
      </c>
      <c r="Y1174" t="s">
        <v>2477</v>
      </c>
      <c r="Z1174" t="s">
        <v>496</v>
      </c>
      <c r="AA1174">
        <v>180</v>
      </c>
      <c r="AB1174">
        <v>180</v>
      </c>
      <c r="AC1174">
        <v>112.5</v>
      </c>
    </row>
    <row r="1175" spans="2:29" ht="15" customHeight="1" x14ac:dyDescent="0.15">
      <c r="B1175">
        <v>4</v>
      </c>
      <c r="C1175" t="s">
        <v>386</v>
      </c>
      <c r="D1175" t="s">
        <v>2475</v>
      </c>
      <c r="E1175">
        <v>5</v>
      </c>
      <c r="F1175" t="s">
        <v>219</v>
      </c>
      <c r="G1175" t="s">
        <v>218</v>
      </c>
      <c r="H1175" t="s">
        <v>686</v>
      </c>
      <c r="I1175">
        <v>15</v>
      </c>
      <c r="J1175" s="21">
        <v>46118</v>
      </c>
      <c r="K1175" s="21">
        <v>46118</v>
      </c>
      <c r="L1175" t="s">
        <v>2481</v>
      </c>
      <c r="M1175" t="s">
        <v>2468</v>
      </c>
      <c r="N1175">
        <v>10</v>
      </c>
      <c r="O1175" t="s">
        <v>2398</v>
      </c>
      <c r="P1175">
        <v>2</v>
      </c>
      <c r="Q1175">
        <v>1.25</v>
      </c>
      <c r="R1175">
        <v>0.2</v>
      </c>
      <c r="S1175">
        <v>0.4</v>
      </c>
      <c r="T1175">
        <v>0.25</v>
      </c>
      <c r="U1175" t="s">
        <v>60</v>
      </c>
      <c r="V1175" t="s">
        <v>61</v>
      </c>
      <c r="W1175" t="s">
        <v>21</v>
      </c>
      <c r="X1175">
        <v>1.6</v>
      </c>
      <c r="Z1175" t="s">
        <v>496</v>
      </c>
      <c r="AA1175">
        <v>80.900000000000006</v>
      </c>
      <c r="AB1175">
        <v>32.36</v>
      </c>
      <c r="AC1175">
        <v>20.23</v>
      </c>
    </row>
    <row r="1176" spans="2:29" ht="15" customHeight="1" x14ac:dyDescent="0.15">
      <c r="B1176">
        <v>4</v>
      </c>
      <c r="C1176" t="s">
        <v>386</v>
      </c>
      <c r="D1176" t="s">
        <v>2482</v>
      </c>
      <c r="E1176">
        <v>1</v>
      </c>
      <c r="F1176" t="s">
        <v>219</v>
      </c>
      <c r="G1176" t="s">
        <v>231</v>
      </c>
      <c r="H1176" t="s">
        <v>231</v>
      </c>
      <c r="I1176">
        <v>15</v>
      </c>
      <c r="J1176" s="21">
        <v>46119</v>
      </c>
      <c r="K1176" s="21">
        <v>46119</v>
      </c>
      <c r="L1176" t="s">
        <v>2483</v>
      </c>
      <c r="M1176" t="s">
        <v>2351</v>
      </c>
      <c r="N1176">
        <v>47</v>
      </c>
      <c r="O1176" t="s">
        <v>2398</v>
      </c>
      <c r="P1176">
        <v>3</v>
      </c>
      <c r="Q1176">
        <v>1.5</v>
      </c>
      <c r="R1176">
        <v>0.15</v>
      </c>
      <c r="S1176">
        <v>0.45</v>
      </c>
      <c r="T1176">
        <v>0.23</v>
      </c>
      <c r="U1176" t="s">
        <v>47</v>
      </c>
      <c r="V1176" t="s">
        <v>48</v>
      </c>
      <c r="W1176" t="s">
        <v>21</v>
      </c>
      <c r="X1176">
        <v>2</v>
      </c>
      <c r="Y1176" t="s">
        <v>2484</v>
      </c>
      <c r="Z1176" t="s">
        <v>496</v>
      </c>
      <c r="AA1176">
        <v>16.61</v>
      </c>
      <c r="AB1176">
        <v>7.47</v>
      </c>
      <c r="AC1176">
        <v>3.74</v>
      </c>
    </row>
    <row r="1177" spans="2:29" ht="15" customHeight="1" x14ac:dyDescent="0.15">
      <c r="B1177">
        <v>4</v>
      </c>
      <c r="C1177" t="s">
        <v>386</v>
      </c>
      <c r="D1177" t="s">
        <v>2482</v>
      </c>
      <c r="E1177">
        <v>2</v>
      </c>
      <c r="F1177" t="s">
        <v>219</v>
      </c>
      <c r="G1177" t="s">
        <v>218</v>
      </c>
      <c r="H1177" t="s">
        <v>2434</v>
      </c>
      <c r="I1177">
        <v>15</v>
      </c>
      <c r="J1177" s="21">
        <v>46119</v>
      </c>
      <c r="K1177" s="21">
        <v>46119</v>
      </c>
      <c r="L1177" t="s">
        <v>2485</v>
      </c>
      <c r="M1177" t="s">
        <v>2436</v>
      </c>
      <c r="N1177">
        <v>47</v>
      </c>
      <c r="O1177" t="s">
        <v>2398</v>
      </c>
      <c r="P1177">
        <v>3</v>
      </c>
      <c r="Q1177">
        <v>1.5</v>
      </c>
      <c r="R1177">
        <v>0.18</v>
      </c>
      <c r="S1177">
        <v>0.54</v>
      </c>
      <c r="T1177">
        <v>0.27</v>
      </c>
      <c r="U1177" t="s">
        <v>47</v>
      </c>
      <c r="V1177" t="s">
        <v>48</v>
      </c>
      <c r="W1177" t="s">
        <v>21</v>
      </c>
      <c r="X1177">
        <v>2</v>
      </c>
      <c r="Y1177" t="s">
        <v>2484</v>
      </c>
      <c r="Z1177" t="s">
        <v>496</v>
      </c>
      <c r="AA1177">
        <v>58.46</v>
      </c>
      <c r="AB1177">
        <v>31.57</v>
      </c>
      <c r="AC1177">
        <v>15.78</v>
      </c>
    </row>
    <row r="1178" spans="2:29" ht="15" customHeight="1" x14ac:dyDescent="0.15">
      <c r="B1178">
        <v>4</v>
      </c>
      <c r="C1178" t="s">
        <v>386</v>
      </c>
      <c r="D1178" t="s">
        <v>2482</v>
      </c>
      <c r="E1178">
        <v>3</v>
      </c>
      <c r="F1178" t="s">
        <v>219</v>
      </c>
      <c r="G1178" t="s">
        <v>218</v>
      </c>
      <c r="H1178" t="s">
        <v>2305</v>
      </c>
      <c r="I1178">
        <v>15</v>
      </c>
      <c r="J1178" s="21">
        <v>46119</v>
      </c>
      <c r="K1178" s="21">
        <v>46119</v>
      </c>
      <c r="L1178" t="s">
        <v>2486</v>
      </c>
      <c r="M1178" t="s">
        <v>255</v>
      </c>
      <c r="N1178">
        <v>47</v>
      </c>
      <c r="O1178" t="s">
        <v>202</v>
      </c>
      <c r="P1178">
        <v>3</v>
      </c>
      <c r="Q1178">
        <v>1.5</v>
      </c>
      <c r="R1178">
        <v>0.5</v>
      </c>
      <c r="S1178">
        <v>1.5</v>
      </c>
      <c r="T1178">
        <v>0.75</v>
      </c>
      <c r="U1178" t="s">
        <v>47</v>
      </c>
      <c r="V1178" t="s">
        <v>48</v>
      </c>
      <c r="W1178" t="s">
        <v>21</v>
      </c>
      <c r="X1178">
        <v>2</v>
      </c>
      <c r="Y1178" t="s">
        <v>2484</v>
      </c>
      <c r="Z1178" t="s">
        <v>496</v>
      </c>
      <c r="AA1178">
        <v>37.5</v>
      </c>
      <c r="AB1178">
        <v>56.25</v>
      </c>
      <c r="AC1178">
        <v>28.13</v>
      </c>
    </row>
    <row r="1179" spans="2:29" ht="15" customHeight="1" x14ac:dyDescent="0.15">
      <c r="B1179">
        <v>4</v>
      </c>
      <c r="C1179" t="s">
        <v>386</v>
      </c>
      <c r="D1179" t="s">
        <v>2482</v>
      </c>
      <c r="E1179">
        <v>4</v>
      </c>
      <c r="F1179" t="s">
        <v>219</v>
      </c>
      <c r="G1179" t="s">
        <v>218</v>
      </c>
      <c r="H1179" t="s">
        <v>686</v>
      </c>
      <c r="I1179">
        <v>15</v>
      </c>
      <c r="J1179" s="21">
        <v>46119</v>
      </c>
      <c r="K1179" s="21">
        <v>46119</v>
      </c>
      <c r="L1179" t="s">
        <v>2487</v>
      </c>
      <c r="M1179" t="s">
        <v>2468</v>
      </c>
      <c r="N1179">
        <v>47</v>
      </c>
      <c r="O1179" t="s">
        <v>2398</v>
      </c>
      <c r="P1179">
        <v>3</v>
      </c>
      <c r="Q1179">
        <v>1.5</v>
      </c>
      <c r="R1179">
        <v>0.2</v>
      </c>
      <c r="S1179">
        <v>0.6</v>
      </c>
      <c r="T1179">
        <v>0.3</v>
      </c>
      <c r="U1179" t="s">
        <v>47</v>
      </c>
      <c r="V1179" t="s">
        <v>48</v>
      </c>
      <c r="W1179" t="s">
        <v>21</v>
      </c>
      <c r="X1179">
        <v>2</v>
      </c>
      <c r="Y1179" t="s">
        <v>2484</v>
      </c>
      <c r="Z1179" t="s">
        <v>496</v>
      </c>
      <c r="AA1179">
        <v>80.900000000000006</v>
      </c>
      <c r="AB1179">
        <v>48.54</v>
      </c>
      <c r="AC1179">
        <v>24.27</v>
      </c>
    </row>
    <row r="1180" spans="2:29" ht="15" customHeight="1" x14ac:dyDescent="0.15">
      <c r="B1180">
        <v>4</v>
      </c>
      <c r="C1180" t="s">
        <v>386</v>
      </c>
      <c r="D1180" t="s">
        <v>2482</v>
      </c>
      <c r="E1180">
        <v>5</v>
      </c>
      <c r="F1180" t="s">
        <v>219</v>
      </c>
      <c r="G1180" t="s">
        <v>218</v>
      </c>
      <c r="H1180" t="s">
        <v>2464</v>
      </c>
      <c r="I1180">
        <v>15</v>
      </c>
      <c r="J1180" s="21">
        <v>46119</v>
      </c>
      <c r="K1180" s="21">
        <v>46119</v>
      </c>
      <c r="L1180" t="s">
        <v>2488</v>
      </c>
      <c r="M1180" t="s">
        <v>2466</v>
      </c>
      <c r="N1180">
        <v>47</v>
      </c>
      <c r="O1180" t="s">
        <v>2398</v>
      </c>
      <c r="P1180">
        <v>3</v>
      </c>
      <c r="Q1180">
        <v>1.5</v>
      </c>
      <c r="R1180">
        <v>0.5</v>
      </c>
      <c r="S1180">
        <v>1.5</v>
      </c>
      <c r="T1180">
        <v>0.75</v>
      </c>
      <c r="U1180" t="s">
        <v>47</v>
      </c>
      <c r="V1180" t="s">
        <v>48</v>
      </c>
      <c r="W1180" t="s">
        <v>21</v>
      </c>
      <c r="X1180">
        <v>2</v>
      </c>
      <c r="Y1180" t="s">
        <v>2484</v>
      </c>
      <c r="Z1180" t="s">
        <v>496</v>
      </c>
      <c r="AA1180">
        <v>46</v>
      </c>
      <c r="AB1180">
        <v>69</v>
      </c>
      <c r="AC1180">
        <v>34.5</v>
      </c>
    </row>
    <row r="1181" spans="2:29" ht="15" customHeight="1" x14ac:dyDescent="0.15">
      <c r="B1181">
        <v>4</v>
      </c>
      <c r="C1181" t="s">
        <v>386</v>
      </c>
      <c r="D1181" t="s">
        <v>2489</v>
      </c>
      <c r="E1181">
        <v>1</v>
      </c>
      <c r="F1181" t="s">
        <v>219</v>
      </c>
      <c r="G1181" t="s">
        <v>231</v>
      </c>
      <c r="H1181" t="s">
        <v>231</v>
      </c>
      <c r="I1181">
        <v>15</v>
      </c>
      <c r="J1181" s="21">
        <v>46121</v>
      </c>
      <c r="K1181" s="21">
        <v>46121</v>
      </c>
      <c r="L1181" t="s">
        <v>2490</v>
      </c>
      <c r="M1181" t="s">
        <v>2351</v>
      </c>
      <c r="N1181">
        <v>7</v>
      </c>
      <c r="O1181" t="s">
        <v>2398</v>
      </c>
      <c r="P1181">
        <v>2</v>
      </c>
      <c r="Q1181">
        <v>0.87</v>
      </c>
      <c r="R1181">
        <v>0.15</v>
      </c>
      <c r="S1181">
        <v>0.3</v>
      </c>
      <c r="T1181">
        <v>0.13</v>
      </c>
      <c r="U1181" t="s">
        <v>80</v>
      </c>
      <c r="V1181" t="s">
        <v>81</v>
      </c>
      <c r="W1181" t="s">
        <v>21</v>
      </c>
      <c r="X1181">
        <v>2.2999999999999998</v>
      </c>
      <c r="Y1181" t="s">
        <v>2484</v>
      </c>
      <c r="Z1181" t="s">
        <v>496</v>
      </c>
      <c r="AA1181">
        <v>16.61</v>
      </c>
      <c r="AB1181">
        <v>4.9800000000000004</v>
      </c>
      <c r="AC1181">
        <v>2.17</v>
      </c>
    </row>
    <row r="1182" spans="2:29" ht="15" customHeight="1" x14ac:dyDescent="0.15">
      <c r="B1182">
        <v>4</v>
      </c>
      <c r="C1182" t="s">
        <v>386</v>
      </c>
      <c r="D1182" t="s">
        <v>2489</v>
      </c>
      <c r="E1182">
        <v>2</v>
      </c>
      <c r="F1182" t="s">
        <v>219</v>
      </c>
      <c r="G1182" t="s">
        <v>439</v>
      </c>
      <c r="H1182" t="s">
        <v>533</v>
      </c>
      <c r="I1182">
        <v>15</v>
      </c>
      <c r="J1182" s="21">
        <v>46121</v>
      </c>
      <c r="K1182" s="21">
        <v>46121</v>
      </c>
      <c r="L1182" t="s">
        <v>2491</v>
      </c>
      <c r="M1182" t="s">
        <v>535</v>
      </c>
      <c r="N1182">
        <v>7</v>
      </c>
      <c r="O1182" t="s">
        <v>2398</v>
      </c>
      <c r="P1182">
        <v>2</v>
      </c>
      <c r="Q1182">
        <v>0.87</v>
      </c>
      <c r="R1182">
        <v>1.5</v>
      </c>
      <c r="S1182">
        <v>3</v>
      </c>
      <c r="T1182">
        <v>1.3</v>
      </c>
      <c r="U1182" t="s">
        <v>80</v>
      </c>
      <c r="V1182" t="s">
        <v>81</v>
      </c>
      <c r="W1182" t="s">
        <v>21</v>
      </c>
      <c r="X1182">
        <v>2.2999999999999998</v>
      </c>
      <c r="Y1182" t="s">
        <v>2484</v>
      </c>
      <c r="Z1182" t="s">
        <v>496</v>
      </c>
      <c r="AA1182">
        <v>38.14</v>
      </c>
      <c r="AB1182">
        <v>114.42</v>
      </c>
      <c r="AC1182">
        <v>49.75</v>
      </c>
    </row>
    <row r="1183" spans="2:29" ht="15" customHeight="1" x14ac:dyDescent="0.15">
      <c r="B1183">
        <v>4</v>
      </c>
      <c r="C1183" t="s">
        <v>386</v>
      </c>
      <c r="D1183" t="s">
        <v>2489</v>
      </c>
      <c r="E1183">
        <v>3</v>
      </c>
      <c r="F1183" t="s">
        <v>219</v>
      </c>
      <c r="G1183" t="s">
        <v>239</v>
      </c>
      <c r="H1183" t="s">
        <v>551</v>
      </c>
      <c r="I1183">
        <v>15</v>
      </c>
      <c r="J1183" s="21">
        <v>46121</v>
      </c>
      <c r="K1183" s="21">
        <v>46121</v>
      </c>
      <c r="L1183" t="s">
        <v>2492</v>
      </c>
      <c r="M1183" t="s">
        <v>1165</v>
      </c>
      <c r="N1183">
        <v>7</v>
      </c>
      <c r="O1183" t="s">
        <v>2398</v>
      </c>
      <c r="P1183">
        <v>2</v>
      </c>
      <c r="Q1183">
        <v>0.87</v>
      </c>
      <c r="R1183">
        <v>0.5</v>
      </c>
      <c r="S1183">
        <v>1</v>
      </c>
      <c r="T1183">
        <v>0.43</v>
      </c>
      <c r="U1183" t="s">
        <v>80</v>
      </c>
      <c r="V1183" t="s">
        <v>81</v>
      </c>
      <c r="W1183" t="s">
        <v>21</v>
      </c>
      <c r="X1183">
        <v>2.2999999999999998</v>
      </c>
      <c r="Y1183" t="s">
        <v>2484</v>
      </c>
      <c r="Z1183" t="s">
        <v>496</v>
      </c>
      <c r="AA1183">
        <v>57.53</v>
      </c>
      <c r="AB1183">
        <v>57.53</v>
      </c>
      <c r="AC1183">
        <v>25.01</v>
      </c>
    </row>
    <row r="1184" spans="2:29" ht="15" customHeight="1" x14ac:dyDescent="0.15">
      <c r="B1184">
        <v>4</v>
      </c>
      <c r="C1184" t="s">
        <v>386</v>
      </c>
      <c r="D1184" t="s">
        <v>2489</v>
      </c>
      <c r="E1184">
        <v>4</v>
      </c>
      <c r="F1184" t="s">
        <v>219</v>
      </c>
      <c r="G1184" t="s">
        <v>239</v>
      </c>
      <c r="H1184" t="s">
        <v>2493</v>
      </c>
      <c r="I1184">
        <v>15</v>
      </c>
      <c r="J1184" s="21">
        <v>46121</v>
      </c>
      <c r="K1184" s="21">
        <v>46121</v>
      </c>
      <c r="L1184" t="s">
        <v>2494</v>
      </c>
      <c r="M1184" t="s">
        <v>2495</v>
      </c>
      <c r="N1184">
        <v>7</v>
      </c>
      <c r="O1184" t="s">
        <v>2398</v>
      </c>
      <c r="P1184">
        <v>1</v>
      </c>
      <c r="Q1184">
        <v>0.43</v>
      </c>
      <c r="R1184">
        <v>0.5</v>
      </c>
      <c r="S1184">
        <v>0.5</v>
      </c>
      <c r="T1184">
        <v>0.22</v>
      </c>
      <c r="U1184" t="s">
        <v>80</v>
      </c>
      <c r="V1184" t="s">
        <v>81</v>
      </c>
      <c r="W1184" t="s">
        <v>21</v>
      </c>
      <c r="X1184">
        <v>2.2999999999999998</v>
      </c>
      <c r="Y1184" t="s">
        <v>2484</v>
      </c>
      <c r="Z1184" t="s">
        <v>496</v>
      </c>
      <c r="AB1184">
        <v>0</v>
      </c>
      <c r="AC1184">
        <v>0</v>
      </c>
    </row>
    <row r="1185" spans="2:29" ht="15" customHeight="1" x14ac:dyDescent="0.15">
      <c r="B1185">
        <v>4</v>
      </c>
      <c r="C1185" t="s">
        <v>386</v>
      </c>
      <c r="D1185" t="s">
        <v>2489</v>
      </c>
      <c r="E1185">
        <v>5</v>
      </c>
      <c r="F1185" t="s">
        <v>219</v>
      </c>
      <c r="G1185" t="s">
        <v>239</v>
      </c>
      <c r="H1185" t="s">
        <v>517</v>
      </c>
      <c r="I1185">
        <v>15</v>
      </c>
      <c r="J1185" s="21">
        <v>46121</v>
      </c>
      <c r="K1185" s="21">
        <v>46121</v>
      </c>
      <c r="L1185" t="s">
        <v>2496</v>
      </c>
      <c r="M1185" t="s">
        <v>614</v>
      </c>
      <c r="N1185">
        <v>7</v>
      </c>
      <c r="O1185" t="s">
        <v>202</v>
      </c>
      <c r="P1185">
        <v>1</v>
      </c>
      <c r="Q1185">
        <v>0.43</v>
      </c>
      <c r="R1185">
        <v>0.5</v>
      </c>
      <c r="S1185">
        <v>0.5</v>
      </c>
      <c r="T1185">
        <v>0.22</v>
      </c>
      <c r="U1185" t="s">
        <v>80</v>
      </c>
      <c r="V1185" t="s">
        <v>81</v>
      </c>
      <c r="W1185" t="s">
        <v>21</v>
      </c>
      <c r="X1185">
        <v>2.2999999999999998</v>
      </c>
      <c r="Y1185" t="s">
        <v>2484</v>
      </c>
      <c r="Z1185" t="s">
        <v>496</v>
      </c>
      <c r="AA1185">
        <v>65</v>
      </c>
      <c r="AB1185">
        <v>32.5</v>
      </c>
      <c r="AC1185">
        <v>14.13</v>
      </c>
    </row>
    <row r="1186" spans="2:29" ht="15" customHeight="1" x14ac:dyDescent="0.15">
      <c r="B1186">
        <v>4</v>
      </c>
      <c r="C1186" t="s">
        <v>386</v>
      </c>
      <c r="D1186" t="s">
        <v>2489</v>
      </c>
      <c r="E1186">
        <v>6</v>
      </c>
      <c r="F1186" t="s">
        <v>219</v>
      </c>
      <c r="G1186" t="s">
        <v>239</v>
      </c>
      <c r="H1186" t="s">
        <v>2497</v>
      </c>
      <c r="I1186">
        <v>15</v>
      </c>
      <c r="J1186" s="21">
        <v>46121</v>
      </c>
      <c r="K1186" s="21">
        <v>46121</v>
      </c>
      <c r="L1186" t="s">
        <v>2498</v>
      </c>
      <c r="M1186" t="s">
        <v>2499</v>
      </c>
      <c r="N1186">
        <v>7</v>
      </c>
      <c r="O1186" t="s">
        <v>2398</v>
      </c>
      <c r="P1186">
        <v>1</v>
      </c>
      <c r="Q1186">
        <v>0.43</v>
      </c>
      <c r="R1186">
        <v>0.5</v>
      </c>
      <c r="S1186">
        <v>0.5</v>
      </c>
      <c r="T1186">
        <v>0.22</v>
      </c>
      <c r="U1186" t="s">
        <v>80</v>
      </c>
      <c r="V1186" t="s">
        <v>81</v>
      </c>
      <c r="W1186" t="s">
        <v>21</v>
      </c>
      <c r="X1186">
        <v>2.2999999999999998</v>
      </c>
      <c r="Y1186" t="s">
        <v>2484</v>
      </c>
      <c r="Z1186" t="s">
        <v>496</v>
      </c>
      <c r="AB1186">
        <v>0</v>
      </c>
      <c r="AC1186">
        <v>0</v>
      </c>
    </row>
    <row r="1187" spans="2:29" ht="15" customHeight="1" x14ac:dyDescent="0.15">
      <c r="B1187">
        <v>4</v>
      </c>
      <c r="C1187" t="s">
        <v>386</v>
      </c>
      <c r="D1187" t="s">
        <v>2489</v>
      </c>
      <c r="E1187">
        <v>7</v>
      </c>
      <c r="F1187" t="s">
        <v>219</v>
      </c>
      <c r="G1187" t="s">
        <v>218</v>
      </c>
      <c r="H1187" t="s">
        <v>1090</v>
      </c>
      <c r="I1187">
        <v>15</v>
      </c>
      <c r="J1187" s="21">
        <v>46121</v>
      </c>
      <c r="K1187" s="21">
        <v>46121</v>
      </c>
      <c r="L1187" t="s">
        <v>2500</v>
      </c>
      <c r="M1187" t="s">
        <v>2371</v>
      </c>
      <c r="N1187">
        <v>7</v>
      </c>
      <c r="O1187" t="s">
        <v>2398</v>
      </c>
      <c r="P1187">
        <v>2</v>
      </c>
      <c r="Q1187">
        <v>0.87</v>
      </c>
      <c r="R1187">
        <v>1</v>
      </c>
      <c r="S1187">
        <v>2</v>
      </c>
      <c r="T1187">
        <v>0.87</v>
      </c>
      <c r="U1187" t="s">
        <v>80</v>
      </c>
      <c r="V1187" t="s">
        <v>81</v>
      </c>
      <c r="W1187" t="s">
        <v>21</v>
      </c>
      <c r="X1187">
        <v>2.2999999999999998</v>
      </c>
      <c r="Y1187" t="s">
        <v>2484</v>
      </c>
      <c r="Z1187" t="s">
        <v>496</v>
      </c>
      <c r="AA1187">
        <v>58.29</v>
      </c>
      <c r="AB1187">
        <v>116.58</v>
      </c>
      <c r="AC1187">
        <v>50.69</v>
      </c>
    </row>
    <row r="1188" spans="2:29" ht="15" customHeight="1" x14ac:dyDescent="0.15">
      <c r="B1188">
        <v>4</v>
      </c>
      <c r="C1188" t="s">
        <v>386</v>
      </c>
      <c r="D1188" t="s">
        <v>2489</v>
      </c>
      <c r="E1188">
        <v>8</v>
      </c>
      <c r="F1188" t="s">
        <v>219</v>
      </c>
      <c r="G1188" t="s">
        <v>218</v>
      </c>
      <c r="H1188" t="s">
        <v>686</v>
      </c>
      <c r="I1188">
        <v>15</v>
      </c>
      <c r="J1188" s="21">
        <v>46121</v>
      </c>
      <c r="K1188" s="21">
        <v>46121</v>
      </c>
      <c r="L1188" t="s">
        <v>2501</v>
      </c>
      <c r="M1188" t="s">
        <v>2468</v>
      </c>
      <c r="N1188">
        <v>7</v>
      </c>
      <c r="O1188" t="s">
        <v>2398</v>
      </c>
      <c r="P1188">
        <v>2</v>
      </c>
      <c r="Q1188">
        <v>0.87</v>
      </c>
      <c r="R1188">
        <v>0.15</v>
      </c>
      <c r="S1188">
        <v>0.3</v>
      </c>
      <c r="T1188">
        <v>0.13</v>
      </c>
      <c r="U1188" t="s">
        <v>80</v>
      </c>
      <c r="V1188" t="s">
        <v>81</v>
      </c>
      <c r="W1188" t="s">
        <v>21</v>
      </c>
      <c r="X1188">
        <v>2.2999999999999998</v>
      </c>
      <c r="Y1188" t="s">
        <v>2484</v>
      </c>
      <c r="Z1188" t="s">
        <v>496</v>
      </c>
      <c r="AA1188">
        <v>80.900000000000006</v>
      </c>
      <c r="AB1188">
        <v>24.27</v>
      </c>
      <c r="AC1188">
        <v>10.55</v>
      </c>
    </row>
    <row r="1189" spans="2:29" ht="15" customHeight="1" x14ac:dyDescent="0.15">
      <c r="B1189">
        <v>4</v>
      </c>
      <c r="C1189" t="s">
        <v>386</v>
      </c>
      <c r="D1189" t="s">
        <v>2502</v>
      </c>
      <c r="E1189">
        <v>1</v>
      </c>
      <c r="F1189" t="s">
        <v>219</v>
      </c>
      <c r="G1189" t="s">
        <v>231</v>
      </c>
      <c r="H1189" t="s">
        <v>231</v>
      </c>
      <c r="I1189">
        <v>15</v>
      </c>
      <c r="J1189" s="21">
        <v>46121</v>
      </c>
      <c r="K1189" s="21">
        <v>46121</v>
      </c>
      <c r="L1189" t="s">
        <v>2503</v>
      </c>
      <c r="M1189" t="s">
        <v>2351</v>
      </c>
      <c r="N1189">
        <v>-9</v>
      </c>
      <c r="O1189" t="s">
        <v>2398</v>
      </c>
      <c r="P1189">
        <v>1</v>
      </c>
      <c r="Q1189">
        <v>0.56999999999999995</v>
      </c>
      <c r="R1189">
        <v>0.15</v>
      </c>
      <c r="S1189">
        <v>0.19500000000000001</v>
      </c>
      <c r="T1189">
        <v>0.08</v>
      </c>
      <c r="U1189" t="s">
        <v>73</v>
      </c>
      <c r="V1189" t="s">
        <v>74</v>
      </c>
      <c r="W1189" t="s">
        <v>75</v>
      </c>
      <c r="X1189">
        <v>2.2999999999999998</v>
      </c>
      <c r="Y1189" t="s">
        <v>2484</v>
      </c>
      <c r="Z1189" t="s">
        <v>496</v>
      </c>
      <c r="AA1189">
        <v>16.61</v>
      </c>
      <c r="AB1189">
        <v>3.24</v>
      </c>
      <c r="AC1189">
        <v>1.41</v>
      </c>
    </row>
    <row r="1190" spans="2:29" ht="15" customHeight="1" x14ac:dyDescent="0.15">
      <c r="B1190">
        <v>4</v>
      </c>
      <c r="C1190" t="s">
        <v>386</v>
      </c>
      <c r="D1190" t="s">
        <v>2502</v>
      </c>
      <c r="E1190">
        <v>2</v>
      </c>
      <c r="F1190" t="s">
        <v>219</v>
      </c>
      <c r="G1190" t="s">
        <v>439</v>
      </c>
      <c r="H1190" t="s">
        <v>533</v>
      </c>
      <c r="I1190">
        <v>15</v>
      </c>
      <c r="J1190" s="21">
        <v>46121</v>
      </c>
      <c r="K1190" s="21">
        <v>46121</v>
      </c>
      <c r="L1190" t="s">
        <v>2504</v>
      </c>
      <c r="M1190" t="s">
        <v>535</v>
      </c>
      <c r="N1190">
        <v>-9</v>
      </c>
      <c r="O1190" t="s">
        <v>2398</v>
      </c>
      <c r="P1190">
        <v>1</v>
      </c>
      <c r="Q1190">
        <v>0.56999999999999995</v>
      </c>
      <c r="R1190">
        <v>1.5</v>
      </c>
      <c r="S1190">
        <v>1.95</v>
      </c>
      <c r="T1190">
        <v>0.85</v>
      </c>
      <c r="U1190" t="s">
        <v>73</v>
      </c>
      <c r="V1190" t="s">
        <v>74</v>
      </c>
      <c r="W1190" t="s">
        <v>75</v>
      </c>
      <c r="X1190">
        <v>2.2999999999999998</v>
      </c>
      <c r="Y1190" t="s">
        <v>2484</v>
      </c>
      <c r="Z1190" t="s">
        <v>496</v>
      </c>
      <c r="AA1190">
        <v>38.14</v>
      </c>
      <c r="AB1190">
        <v>74.37</v>
      </c>
      <c r="AC1190">
        <v>32.340000000000003</v>
      </c>
    </row>
    <row r="1191" spans="2:29" ht="15" customHeight="1" x14ac:dyDescent="0.15">
      <c r="B1191">
        <v>4</v>
      </c>
      <c r="C1191" t="s">
        <v>386</v>
      </c>
      <c r="D1191" t="s">
        <v>2502</v>
      </c>
      <c r="E1191">
        <v>3</v>
      </c>
      <c r="F1191" t="s">
        <v>219</v>
      </c>
      <c r="G1191" t="s">
        <v>239</v>
      </c>
      <c r="H1191" t="s">
        <v>602</v>
      </c>
      <c r="I1191">
        <v>15</v>
      </c>
      <c r="J1191" s="21">
        <v>46121</v>
      </c>
      <c r="K1191" s="21">
        <v>46121</v>
      </c>
      <c r="L1191" t="s">
        <v>2505</v>
      </c>
      <c r="M1191" t="s">
        <v>258</v>
      </c>
      <c r="N1191">
        <v>-9</v>
      </c>
      <c r="O1191" t="s">
        <v>2398</v>
      </c>
      <c r="P1191">
        <v>1</v>
      </c>
      <c r="Q1191">
        <v>0.56999999999999995</v>
      </c>
      <c r="R1191">
        <v>0.5</v>
      </c>
      <c r="S1191">
        <v>0.65</v>
      </c>
      <c r="T1191">
        <v>0.28000000000000003</v>
      </c>
      <c r="U1191" t="s">
        <v>73</v>
      </c>
      <c r="V1191" t="s">
        <v>74</v>
      </c>
      <c r="W1191" t="s">
        <v>75</v>
      </c>
      <c r="X1191">
        <v>2.2999999999999998</v>
      </c>
      <c r="Y1191" t="s">
        <v>2484</v>
      </c>
      <c r="Z1191" t="s">
        <v>496</v>
      </c>
      <c r="AA1191">
        <v>180</v>
      </c>
      <c r="AB1191">
        <v>117</v>
      </c>
      <c r="AC1191">
        <v>50.87</v>
      </c>
    </row>
    <row r="1192" spans="2:29" ht="15" customHeight="1" x14ac:dyDescent="0.15">
      <c r="B1192">
        <v>4</v>
      </c>
      <c r="C1192" t="s">
        <v>386</v>
      </c>
      <c r="D1192" t="s">
        <v>2502</v>
      </c>
      <c r="E1192">
        <v>4</v>
      </c>
      <c r="F1192" t="s">
        <v>219</v>
      </c>
      <c r="G1192" t="s">
        <v>239</v>
      </c>
      <c r="H1192" t="s">
        <v>517</v>
      </c>
      <c r="I1192">
        <v>15</v>
      </c>
      <c r="J1192" s="21">
        <v>46121</v>
      </c>
      <c r="K1192" s="21">
        <v>46121</v>
      </c>
      <c r="L1192" t="s">
        <v>2506</v>
      </c>
      <c r="M1192" t="s">
        <v>614</v>
      </c>
      <c r="N1192">
        <v>-9</v>
      </c>
      <c r="O1192" t="s">
        <v>202</v>
      </c>
      <c r="P1192">
        <v>1</v>
      </c>
      <c r="Q1192">
        <v>0.56999999999999995</v>
      </c>
      <c r="R1192">
        <v>0.5</v>
      </c>
      <c r="S1192">
        <v>0.65</v>
      </c>
      <c r="T1192">
        <v>0.28000000000000003</v>
      </c>
      <c r="U1192" t="s">
        <v>73</v>
      </c>
      <c r="V1192" t="s">
        <v>74</v>
      </c>
      <c r="W1192" t="s">
        <v>75</v>
      </c>
      <c r="X1192">
        <v>2.2999999999999998</v>
      </c>
      <c r="Y1192" t="s">
        <v>2484</v>
      </c>
      <c r="Z1192" t="s">
        <v>496</v>
      </c>
      <c r="AA1192">
        <v>65</v>
      </c>
      <c r="AB1192">
        <v>42.25</v>
      </c>
      <c r="AC1192">
        <v>18.37</v>
      </c>
    </row>
    <row r="1193" spans="2:29" ht="15" customHeight="1" x14ac:dyDescent="0.15">
      <c r="B1193">
        <v>4</v>
      </c>
      <c r="C1193" t="s">
        <v>386</v>
      </c>
      <c r="D1193" t="s">
        <v>2502</v>
      </c>
      <c r="E1193">
        <v>5</v>
      </c>
      <c r="F1193" t="s">
        <v>219</v>
      </c>
      <c r="G1193" t="s">
        <v>218</v>
      </c>
      <c r="H1193" t="s">
        <v>686</v>
      </c>
      <c r="I1193">
        <v>15</v>
      </c>
      <c r="J1193" s="21">
        <v>46121</v>
      </c>
      <c r="K1193" s="21">
        <v>46121</v>
      </c>
      <c r="L1193" t="s">
        <v>2507</v>
      </c>
      <c r="M1193" t="s">
        <v>2468</v>
      </c>
      <c r="N1193">
        <v>-9</v>
      </c>
      <c r="O1193" t="s">
        <v>2398</v>
      </c>
      <c r="P1193">
        <v>1</v>
      </c>
      <c r="Q1193">
        <v>0.56999999999999995</v>
      </c>
      <c r="R1193">
        <v>0.15</v>
      </c>
      <c r="S1193">
        <v>0.19500000000000001</v>
      </c>
      <c r="T1193">
        <v>0.08</v>
      </c>
      <c r="U1193" t="s">
        <v>73</v>
      </c>
      <c r="V1193" t="s">
        <v>74</v>
      </c>
      <c r="W1193" t="s">
        <v>75</v>
      </c>
      <c r="X1193">
        <v>2.2999999999999998</v>
      </c>
      <c r="Y1193" t="s">
        <v>2484</v>
      </c>
      <c r="Z1193" t="s">
        <v>496</v>
      </c>
      <c r="AA1193">
        <v>80.900000000000006</v>
      </c>
      <c r="AB1193">
        <v>15.78</v>
      </c>
      <c r="AC1193">
        <v>6.86</v>
      </c>
    </row>
    <row r="1194" spans="2:29" ht="15" customHeight="1" x14ac:dyDescent="0.15">
      <c r="B1194">
        <v>4</v>
      </c>
      <c r="C1194" t="s">
        <v>386</v>
      </c>
      <c r="D1194" t="s">
        <v>2508</v>
      </c>
      <c r="E1194">
        <v>1</v>
      </c>
      <c r="F1194" t="s">
        <v>638</v>
      </c>
      <c r="G1194" t="s">
        <v>223</v>
      </c>
      <c r="H1194" t="s">
        <v>1852</v>
      </c>
      <c r="I1194">
        <v>16</v>
      </c>
      <c r="J1194" s="21">
        <v>46126</v>
      </c>
      <c r="K1194" s="21">
        <v>46126</v>
      </c>
      <c r="L1194" t="s">
        <v>2509</v>
      </c>
      <c r="M1194" t="s">
        <v>2510</v>
      </c>
      <c r="N1194">
        <v>18</v>
      </c>
      <c r="O1194" t="s">
        <v>202</v>
      </c>
      <c r="P1194">
        <v>1</v>
      </c>
      <c r="Q1194">
        <v>0.63</v>
      </c>
      <c r="R1194">
        <v>1000</v>
      </c>
      <c r="S1194">
        <v>1000</v>
      </c>
      <c r="T1194">
        <v>625</v>
      </c>
      <c r="U1194" t="s">
        <v>60</v>
      </c>
      <c r="V1194" t="s">
        <v>61</v>
      </c>
      <c r="W1194" t="s">
        <v>21</v>
      </c>
      <c r="X1194">
        <v>1.6</v>
      </c>
      <c r="Y1194" t="s">
        <v>560</v>
      </c>
      <c r="Z1194" t="s">
        <v>496</v>
      </c>
      <c r="AA1194">
        <v>0.64</v>
      </c>
      <c r="AB1194">
        <v>640</v>
      </c>
      <c r="AC1194">
        <v>400</v>
      </c>
    </row>
    <row r="1195" spans="2:29" ht="15" customHeight="1" x14ac:dyDescent="0.15">
      <c r="B1195">
        <v>4</v>
      </c>
      <c r="C1195" t="s">
        <v>386</v>
      </c>
      <c r="D1195" t="s">
        <v>2511</v>
      </c>
      <c r="E1195">
        <v>1</v>
      </c>
      <c r="F1195" t="s">
        <v>219</v>
      </c>
      <c r="G1195" t="s">
        <v>231</v>
      </c>
      <c r="H1195" t="s">
        <v>231</v>
      </c>
      <c r="I1195">
        <v>16</v>
      </c>
      <c r="J1195" s="21">
        <v>46128</v>
      </c>
      <c r="K1195" s="21">
        <v>46128</v>
      </c>
      <c r="L1195" t="s">
        <v>2512</v>
      </c>
      <c r="M1195" t="s">
        <v>2351</v>
      </c>
      <c r="N1195">
        <v>14</v>
      </c>
      <c r="O1195" t="s">
        <v>2398</v>
      </c>
      <c r="P1195">
        <v>2</v>
      </c>
      <c r="Q1195">
        <v>1.5</v>
      </c>
      <c r="R1195">
        <v>0.15</v>
      </c>
      <c r="S1195">
        <v>0.22500000000000001</v>
      </c>
      <c r="T1195">
        <v>0.23</v>
      </c>
      <c r="U1195" t="s">
        <v>68</v>
      </c>
      <c r="V1195" t="s">
        <v>69</v>
      </c>
      <c r="W1195" t="s">
        <v>21</v>
      </c>
      <c r="X1195">
        <v>1</v>
      </c>
      <c r="Y1195" t="s">
        <v>2484</v>
      </c>
      <c r="Z1195" t="s">
        <v>496</v>
      </c>
      <c r="AA1195">
        <v>16.61</v>
      </c>
      <c r="AB1195">
        <v>3.74</v>
      </c>
      <c r="AC1195">
        <v>3.74</v>
      </c>
    </row>
    <row r="1196" spans="2:29" ht="15" customHeight="1" x14ac:dyDescent="0.15">
      <c r="B1196">
        <v>4</v>
      </c>
      <c r="C1196" t="s">
        <v>386</v>
      </c>
      <c r="D1196" t="s">
        <v>2511</v>
      </c>
      <c r="E1196">
        <v>2</v>
      </c>
      <c r="F1196" t="s">
        <v>219</v>
      </c>
      <c r="G1196" t="s">
        <v>218</v>
      </c>
      <c r="H1196" t="s">
        <v>2305</v>
      </c>
      <c r="I1196">
        <v>16</v>
      </c>
      <c r="J1196" s="21">
        <v>46128</v>
      </c>
      <c r="K1196" s="21">
        <v>46128</v>
      </c>
      <c r="L1196" t="s">
        <v>2513</v>
      </c>
      <c r="M1196" t="s">
        <v>255</v>
      </c>
      <c r="N1196">
        <v>14</v>
      </c>
      <c r="O1196" t="s">
        <v>202</v>
      </c>
      <c r="P1196">
        <v>2</v>
      </c>
      <c r="Q1196">
        <v>1.5</v>
      </c>
      <c r="R1196">
        <v>0.5</v>
      </c>
      <c r="S1196">
        <v>0.75</v>
      </c>
      <c r="T1196">
        <v>0.75</v>
      </c>
      <c r="U1196" t="s">
        <v>68</v>
      </c>
      <c r="V1196" t="s">
        <v>69</v>
      </c>
      <c r="W1196" t="s">
        <v>21</v>
      </c>
      <c r="X1196">
        <v>1</v>
      </c>
      <c r="Y1196" t="s">
        <v>2484</v>
      </c>
      <c r="Z1196" t="s">
        <v>496</v>
      </c>
      <c r="AA1196">
        <v>37.5</v>
      </c>
      <c r="AB1196">
        <v>28.13</v>
      </c>
      <c r="AC1196">
        <v>28.13</v>
      </c>
    </row>
    <row r="1197" spans="2:29" ht="15" customHeight="1" x14ac:dyDescent="0.15">
      <c r="B1197">
        <v>4</v>
      </c>
      <c r="C1197" t="s">
        <v>386</v>
      </c>
      <c r="D1197" t="s">
        <v>2511</v>
      </c>
      <c r="E1197">
        <v>3</v>
      </c>
      <c r="F1197" t="s">
        <v>219</v>
      </c>
      <c r="G1197" t="s">
        <v>218</v>
      </c>
      <c r="H1197" t="s">
        <v>2353</v>
      </c>
      <c r="I1197">
        <v>16</v>
      </c>
      <c r="J1197" s="21">
        <v>46128</v>
      </c>
      <c r="K1197" s="21">
        <v>46128</v>
      </c>
      <c r="L1197" t="s">
        <v>2514</v>
      </c>
      <c r="M1197" t="s">
        <v>2515</v>
      </c>
      <c r="N1197">
        <v>14</v>
      </c>
      <c r="O1197" t="s">
        <v>202</v>
      </c>
      <c r="P1197">
        <v>2</v>
      </c>
      <c r="Q1197">
        <v>1.5</v>
      </c>
      <c r="R1197">
        <v>0.2</v>
      </c>
      <c r="S1197">
        <v>0.3</v>
      </c>
      <c r="T1197">
        <v>0.3</v>
      </c>
      <c r="U1197" t="s">
        <v>68</v>
      </c>
      <c r="V1197" t="s">
        <v>69</v>
      </c>
      <c r="W1197" t="s">
        <v>21</v>
      </c>
      <c r="X1197">
        <v>1</v>
      </c>
      <c r="Y1197" t="s">
        <v>2484</v>
      </c>
      <c r="Z1197" t="s">
        <v>496</v>
      </c>
      <c r="AB1197">
        <v>0</v>
      </c>
      <c r="AC1197">
        <v>0</v>
      </c>
    </row>
    <row r="1198" spans="2:29" ht="15" customHeight="1" x14ac:dyDescent="0.15">
      <c r="B1198">
        <v>4</v>
      </c>
      <c r="C1198" t="s">
        <v>386</v>
      </c>
      <c r="D1198" t="s">
        <v>2511</v>
      </c>
      <c r="E1198">
        <v>4</v>
      </c>
      <c r="F1198" t="s">
        <v>219</v>
      </c>
      <c r="G1198" t="s">
        <v>239</v>
      </c>
      <c r="H1198" t="s">
        <v>602</v>
      </c>
      <c r="I1198">
        <v>16</v>
      </c>
      <c r="J1198" s="21">
        <v>46128</v>
      </c>
      <c r="K1198" s="21">
        <v>46128</v>
      </c>
      <c r="L1198" t="s">
        <v>2516</v>
      </c>
      <c r="M1198" t="s">
        <v>258</v>
      </c>
      <c r="N1198">
        <v>14</v>
      </c>
      <c r="O1198" t="s">
        <v>2398</v>
      </c>
      <c r="P1198">
        <v>2</v>
      </c>
      <c r="Q1198">
        <v>1.5</v>
      </c>
      <c r="R1198">
        <v>0.5</v>
      </c>
      <c r="S1198">
        <v>0.75</v>
      </c>
      <c r="T1198">
        <v>0.75</v>
      </c>
      <c r="U1198" t="s">
        <v>68</v>
      </c>
      <c r="V1198" t="s">
        <v>69</v>
      </c>
      <c r="W1198" t="s">
        <v>21</v>
      </c>
      <c r="X1198">
        <v>1</v>
      </c>
      <c r="Y1198" t="s">
        <v>2484</v>
      </c>
      <c r="Z1198" t="s">
        <v>496</v>
      </c>
      <c r="AA1198">
        <v>180</v>
      </c>
      <c r="AB1198">
        <v>135</v>
      </c>
      <c r="AC1198">
        <v>135</v>
      </c>
    </row>
    <row r="1199" spans="2:29" ht="15" customHeight="1" x14ac:dyDescent="0.15">
      <c r="B1199">
        <v>4</v>
      </c>
      <c r="C1199" t="s">
        <v>386</v>
      </c>
      <c r="D1199" t="s">
        <v>2511</v>
      </c>
      <c r="E1199">
        <v>5</v>
      </c>
      <c r="F1199" t="s">
        <v>219</v>
      </c>
      <c r="G1199" t="s">
        <v>244</v>
      </c>
      <c r="H1199" t="s">
        <v>409</v>
      </c>
      <c r="I1199">
        <v>16</v>
      </c>
      <c r="J1199" s="21">
        <v>46128</v>
      </c>
      <c r="K1199" s="21">
        <v>46128</v>
      </c>
      <c r="L1199" t="s">
        <v>2517</v>
      </c>
      <c r="M1199" t="s">
        <v>284</v>
      </c>
      <c r="N1199">
        <v>14</v>
      </c>
      <c r="O1199" t="s">
        <v>2398</v>
      </c>
      <c r="P1199">
        <v>1</v>
      </c>
      <c r="Q1199">
        <v>1</v>
      </c>
      <c r="R1199">
        <v>0.5</v>
      </c>
      <c r="S1199">
        <v>0.5</v>
      </c>
      <c r="T1199">
        <v>0.5</v>
      </c>
      <c r="U1199" t="s">
        <v>68</v>
      </c>
      <c r="V1199" t="s">
        <v>69</v>
      </c>
      <c r="W1199" t="s">
        <v>21</v>
      </c>
      <c r="X1199">
        <v>1</v>
      </c>
      <c r="Y1199" t="s">
        <v>2484</v>
      </c>
      <c r="Z1199" t="s">
        <v>496</v>
      </c>
      <c r="AA1199">
        <v>53.07</v>
      </c>
      <c r="AB1199">
        <v>26.54</v>
      </c>
      <c r="AC1199">
        <v>26.54</v>
      </c>
    </row>
    <row r="1200" spans="2:29" ht="15" customHeight="1" x14ac:dyDescent="0.15">
      <c r="B1200">
        <v>4</v>
      </c>
      <c r="C1200" t="s">
        <v>386</v>
      </c>
      <c r="D1200" t="s">
        <v>2511</v>
      </c>
      <c r="E1200">
        <v>6</v>
      </c>
      <c r="F1200" t="s">
        <v>219</v>
      </c>
      <c r="G1200" t="s">
        <v>218</v>
      </c>
      <c r="H1200" t="s">
        <v>686</v>
      </c>
      <c r="I1200">
        <v>16</v>
      </c>
      <c r="J1200" s="21">
        <v>46128</v>
      </c>
      <c r="K1200" s="21">
        <v>46128</v>
      </c>
      <c r="L1200" t="s">
        <v>2518</v>
      </c>
      <c r="M1200" t="s">
        <v>2468</v>
      </c>
      <c r="N1200">
        <v>14</v>
      </c>
      <c r="O1200" t="s">
        <v>2398</v>
      </c>
      <c r="P1200">
        <v>2</v>
      </c>
      <c r="Q1200">
        <v>1.5</v>
      </c>
      <c r="R1200">
        <v>0.15</v>
      </c>
      <c r="S1200">
        <v>0.22500000000000001</v>
      </c>
      <c r="T1200">
        <v>0.23</v>
      </c>
      <c r="U1200" t="s">
        <v>68</v>
      </c>
      <c r="V1200" t="s">
        <v>69</v>
      </c>
      <c r="W1200" t="s">
        <v>21</v>
      </c>
      <c r="X1200">
        <v>1</v>
      </c>
      <c r="Y1200" t="s">
        <v>2484</v>
      </c>
      <c r="Z1200" t="s">
        <v>496</v>
      </c>
      <c r="AA1200">
        <v>80.900000000000006</v>
      </c>
      <c r="AB1200">
        <v>18.2</v>
      </c>
      <c r="AC1200">
        <v>18.2</v>
      </c>
    </row>
    <row r="1201" spans="2:29" ht="15" customHeight="1" x14ac:dyDescent="0.15">
      <c r="B1201">
        <v>4</v>
      </c>
      <c r="C1201" t="s">
        <v>386</v>
      </c>
      <c r="D1201" t="s">
        <v>2511</v>
      </c>
      <c r="E1201">
        <v>7</v>
      </c>
      <c r="F1201" t="s">
        <v>219</v>
      </c>
      <c r="G1201" t="s">
        <v>244</v>
      </c>
      <c r="H1201" t="s">
        <v>2519</v>
      </c>
      <c r="I1201">
        <v>16</v>
      </c>
      <c r="J1201" s="21">
        <v>46128</v>
      </c>
      <c r="K1201" s="21">
        <v>46128</v>
      </c>
      <c r="L1201" t="s">
        <v>2520</v>
      </c>
      <c r="M1201" t="s">
        <v>2521</v>
      </c>
      <c r="N1201">
        <v>14</v>
      </c>
      <c r="O1201" t="s">
        <v>2398</v>
      </c>
      <c r="P1201">
        <v>1</v>
      </c>
      <c r="Q1201">
        <v>0.5</v>
      </c>
      <c r="R1201">
        <v>0.1</v>
      </c>
      <c r="S1201">
        <v>0.05</v>
      </c>
      <c r="T1201">
        <v>0.05</v>
      </c>
      <c r="U1201" t="s">
        <v>68</v>
      </c>
      <c r="V1201" t="s">
        <v>69</v>
      </c>
      <c r="W1201" t="s">
        <v>21</v>
      </c>
      <c r="X1201">
        <v>1</v>
      </c>
      <c r="Y1201" t="s">
        <v>2484</v>
      </c>
      <c r="Z1201" t="s">
        <v>496</v>
      </c>
      <c r="AA1201">
        <v>238</v>
      </c>
      <c r="AB1201">
        <v>11.9</v>
      </c>
      <c r="AC1201">
        <v>11.9</v>
      </c>
    </row>
    <row r="1202" spans="2:29" ht="15" customHeight="1" x14ac:dyDescent="0.15">
      <c r="B1202">
        <v>4</v>
      </c>
      <c r="C1202" t="s">
        <v>386</v>
      </c>
      <c r="D1202" t="s">
        <v>2522</v>
      </c>
      <c r="E1202">
        <v>1</v>
      </c>
      <c r="F1202" t="s">
        <v>219</v>
      </c>
      <c r="G1202" t="s">
        <v>231</v>
      </c>
      <c r="H1202" t="s">
        <v>231</v>
      </c>
      <c r="I1202">
        <v>16</v>
      </c>
      <c r="J1202" s="21">
        <v>46128</v>
      </c>
      <c r="K1202" s="21">
        <v>46128</v>
      </c>
      <c r="L1202" t="s">
        <v>2523</v>
      </c>
      <c r="M1202" t="s">
        <v>2351</v>
      </c>
      <c r="N1202">
        <v>14</v>
      </c>
      <c r="O1202" t="s">
        <v>2398</v>
      </c>
      <c r="P1202">
        <v>2</v>
      </c>
      <c r="Q1202">
        <v>0.65</v>
      </c>
      <c r="R1202">
        <v>0.15</v>
      </c>
      <c r="S1202">
        <v>0.22500000000000001</v>
      </c>
      <c r="T1202">
        <v>0.1</v>
      </c>
      <c r="U1202" t="s">
        <v>80</v>
      </c>
      <c r="V1202" t="s">
        <v>81</v>
      </c>
      <c r="W1202" t="s">
        <v>21</v>
      </c>
      <c r="X1202">
        <v>2.2999999999999998</v>
      </c>
      <c r="Y1202" t="s">
        <v>2484</v>
      </c>
      <c r="Z1202" t="s">
        <v>496</v>
      </c>
      <c r="AA1202">
        <v>16.61</v>
      </c>
      <c r="AB1202">
        <v>3.74</v>
      </c>
      <c r="AC1202">
        <v>1.62</v>
      </c>
    </row>
    <row r="1203" spans="2:29" ht="15" customHeight="1" x14ac:dyDescent="0.15">
      <c r="B1203">
        <v>4</v>
      </c>
      <c r="C1203" t="s">
        <v>386</v>
      </c>
      <c r="D1203" t="s">
        <v>2522</v>
      </c>
      <c r="E1203">
        <v>2</v>
      </c>
      <c r="F1203" t="s">
        <v>219</v>
      </c>
      <c r="G1203" t="s">
        <v>218</v>
      </c>
      <c r="H1203" t="s">
        <v>2305</v>
      </c>
      <c r="I1203">
        <v>16</v>
      </c>
      <c r="J1203" s="21">
        <v>46128</v>
      </c>
      <c r="K1203" s="21">
        <v>46128</v>
      </c>
      <c r="L1203" t="s">
        <v>2524</v>
      </c>
      <c r="M1203" t="s">
        <v>255</v>
      </c>
      <c r="N1203">
        <v>14</v>
      </c>
      <c r="O1203" t="s">
        <v>202</v>
      </c>
      <c r="P1203">
        <v>2</v>
      </c>
      <c r="Q1203">
        <v>0.65</v>
      </c>
      <c r="R1203">
        <v>0.5</v>
      </c>
      <c r="S1203">
        <v>0.75</v>
      </c>
      <c r="T1203">
        <v>0.33</v>
      </c>
      <c r="U1203" t="s">
        <v>80</v>
      </c>
      <c r="V1203" t="s">
        <v>81</v>
      </c>
      <c r="W1203" t="s">
        <v>21</v>
      </c>
      <c r="X1203">
        <v>2.2999999999999998</v>
      </c>
      <c r="Y1203" t="s">
        <v>2484</v>
      </c>
      <c r="Z1203" t="s">
        <v>496</v>
      </c>
      <c r="AA1203">
        <v>37.5</v>
      </c>
      <c r="AB1203">
        <v>28.13</v>
      </c>
      <c r="AC1203">
        <v>12.23</v>
      </c>
    </row>
    <row r="1204" spans="2:29" ht="15" customHeight="1" x14ac:dyDescent="0.15">
      <c r="B1204">
        <v>4</v>
      </c>
      <c r="C1204" t="s">
        <v>386</v>
      </c>
      <c r="D1204" t="s">
        <v>2522</v>
      </c>
      <c r="E1204">
        <v>3</v>
      </c>
      <c r="F1204" t="s">
        <v>219</v>
      </c>
      <c r="G1204" t="s">
        <v>218</v>
      </c>
      <c r="H1204" t="s">
        <v>2353</v>
      </c>
      <c r="I1204">
        <v>16</v>
      </c>
      <c r="J1204" s="21">
        <v>46128</v>
      </c>
      <c r="K1204" s="21">
        <v>46128</v>
      </c>
      <c r="L1204" t="s">
        <v>2525</v>
      </c>
      <c r="M1204" t="s">
        <v>2515</v>
      </c>
      <c r="N1204">
        <v>14</v>
      </c>
      <c r="O1204" t="s">
        <v>202</v>
      </c>
      <c r="P1204">
        <v>2</v>
      </c>
      <c r="Q1204">
        <v>0.65</v>
      </c>
      <c r="R1204">
        <v>0.2</v>
      </c>
      <c r="S1204">
        <v>0.3</v>
      </c>
      <c r="T1204">
        <v>0.13</v>
      </c>
      <c r="U1204" t="s">
        <v>80</v>
      </c>
      <c r="V1204" t="s">
        <v>81</v>
      </c>
      <c r="W1204" t="s">
        <v>21</v>
      </c>
      <c r="X1204">
        <v>2.2999999999999998</v>
      </c>
      <c r="Y1204" t="s">
        <v>2484</v>
      </c>
      <c r="Z1204" t="s">
        <v>496</v>
      </c>
      <c r="AB1204">
        <v>0</v>
      </c>
      <c r="AC1204">
        <v>0</v>
      </c>
    </row>
    <row r="1205" spans="2:29" ht="15" customHeight="1" x14ac:dyDescent="0.15">
      <c r="B1205">
        <v>4</v>
      </c>
      <c r="C1205" t="s">
        <v>386</v>
      </c>
      <c r="D1205" t="s">
        <v>2522</v>
      </c>
      <c r="E1205">
        <v>4</v>
      </c>
      <c r="F1205" t="s">
        <v>219</v>
      </c>
      <c r="G1205" t="s">
        <v>239</v>
      </c>
      <c r="H1205" t="s">
        <v>602</v>
      </c>
      <c r="I1205">
        <v>16</v>
      </c>
      <c r="J1205" s="21">
        <v>46128</v>
      </c>
      <c r="K1205" s="21">
        <v>46128</v>
      </c>
      <c r="L1205" t="s">
        <v>2526</v>
      </c>
      <c r="M1205" t="s">
        <v>258</v>
      </c>
      <c r="N1205">
        <v>14</v>
      </c>
      <c r="O1205" t="s">
        <v>2398</v>
      </c>
      <c r="P1205">
        <v>1</v>
      </c>
      <c r="Q1205">
        <v>0.22</v>
      </c>
      <c r="R1205">
        <v>0.5</v>
      </c>
      <c r="S1205">
        <v>0.25</v>
      </c>
      <c r="T1205">
        <v>0.11</v>
      </c>
      <c r="U1205" t="s">
        <v>80</v>
      </c>
      <c r="V1205" t="s">
        <v>81</v>
      </c>
      <c r="W1205" t="s">
        <v>21</v>
      </c>
      <c r="X1205">
        <v>2.2999999999999998</v>
      </c>
      <c r="Y1205" t="s">
        <v>2484</v>
      </c>
      <c r="Z1205" t="s">
        <v>496</v>
      </c>
      <c r="AA1205">
        <v>180</v>
      </c>
      <c r="AB1205">
        <v>45</v>
      </c>
      <c r="AC1205">
        <v>19.57</v>
      </c>
    </row>
    <row r="1206" spans="2:29" ht="15" customHeight="1" x14ac:dyDescent="0.15">
      <c r="B1206">
        <v>4</v>
      </c>
      <c r="C1206" t="s">
        <v>386</v>
      </c>
      <c r="D1206" t="s">
        <v>2522</v>
      </c>
      <c r="E1206">
        <v>5</v>
      </c>
      <c r="F1206" t="s">
        <v>219</v>
      </c>
      <c r="G1206" t="s">
        <v>244</v>
      </c>
      <c r="H1206" t="s">
        <v>2519</v>
      </c>
      <c r="I1206">
        <v>16</v>
      </c>
      <c r="J1206" s="21">
        <v>46128</v>
      </c>
      <c r="K1206" s="21">
        <v>46128</v>
      </c>
      <c r="L1206" t="s">
        <v>2527</v>
      </c>
      <c r="M1206" t="s">
        <v>2521</v>
      </c>
      <c r="N1206">
        <v>14</v>
      </c>
      <c r="O1206" t="s">
        <v>2398</v>
      </c>
      <c r="P1206">
        <v>2</v>
      </c>
      <c r="Q1206">
        <v>0.65</v>
      </c>
      <c r="R1206">
        <v>0.15</v>
      </c>
      <c r="S1206">
        <v>0.22500000000000001</v>
      </c>
      <c r="T1206">
        <v>0.1</v>
      </c>
      <c r="U1206" t="s">
        <v>80</v>
      </c>
      <c r="V1206" t="s">
        <v>81</v>
      </c>
      <c r="W1206" t="s">
        <v>21</v>
      </c>
      <c r="X1206">
        <v>2.2999999999999998</v>
      </c>
      <c r="Y1206" t="s">
        <v>2484</v>
      </c>
      <c r="Z1206" t="s">
        <v>496</v>
      </c>
      <c r="AA1206">
        <v>238</v>
      </c>
      <c r="AB1206">
        <v>53.55</v>
      </c>
      <c r="AC1206">
        <v>23.28</v>
      </c>
    </row>
    <row r="1207" spans="2:29" ht="15" customHeight="1" x14ac:dyDescent="0.15">
      <c r="B1207">
        <v>4</v>
      </c>
      <c r="C1207" t="s">
        <v>386</v>
      </c>
      <c r="D1207" t="s">
        <v>2522</v>
      </c>
      <c r="E1207">
        <v>6</v>
      </c>
      <c r="F1207" t="s">
        <v>219</v>
      </c>
      <c r="G1207" t="s">
        <v>218</v>
      </c>
      <c r="H1207" t="s">
        <v>686</v>
      </c>
      <c r="I1207">
        <v>16</v>
      </c>
      <c r="J1207" s="21">
        <v>46128</v>
      </c>
      <c r="K1207" s="21">
        <v>46128</v>
      </c>
      <c r="L1207" t="s">
        <v>2528</v>
      </c>
      <c r="M1207" t="s">
        <v>2468</v>
      </c>
      <c r="N1207">
        <v>14</v>
      </c>
      <c r="O1207" t="s">
        <v>2398</v>
      </c>
      <c r="P1207">
        <v>2</v>
      </c>
      <c r="Q1207">
        <v>0.65</v>
      </c>
      <c r="R1207">
        <v>0.15</v>
      </c>
      <c r="S1207">
        <v>0.22500000000000001</v>
      </c>
      <c r="T1207">
        <v>0.1</v>
      </c>
      <c r="U1207" t="s">
        <v>80</v>
      </c>
      <c r="V1207" t="s">
        <v>81</v>
      </c>
      <c r="W1207" t="s">
        <v>21</v>
      </c>
      <c r="X1207">
        <v>2.2999999999999998</v>
      </c>
      <c r="Y1207" t="s">
        <v>2484</v>
      </c>
      <c r="Z1207" t="s">
        <v>496</v>
      </c>
      <c r="AA1207">
        <v>80.900000000000006</v>
      </c>
      <c r="AB1207">
        <v>18.2</v>
      </c>
      <c r="AC1207">
        <v>7.91</v>
      </c>
    </row>
    <row r="1208" spans="2:29" ht="15" customHeight="1" x14ac:dyDescent="0.15">
      <c r="B1208">
        <v>4</v>
      </c>
      <c r="C1208" t="s">
        <v>386</v>
      </c>
      <c r="D1208" t="s">
        <v>2522</v>
      </c>
      <c r="E1208">
        <v>7</v>
      </c>
      <c r="F1208" t="s">
        <v>219</v>
      </c>
      <c r="G1208" t="s">
        <v>239</v>
      </c>
      <c r="H1208" t="s">
        <v>2493</v>
      </c>
      <c r="I1208">
        <v>16</v>
      </c>
      <c r="J1208" s="21">
        <v>46128</v>
      </c>
      <c r="K1208" s="21">
        <v>46128</v>
      </c>
      <c r="L1208" t="s">
        <v>2529</v>
      </c>
      <c r="M1208" t="s">
        <v>2495</v>
      </c>
      <c r="N1208">
        <v>14</v>
      </c>
      <c r="O1208" t="s">
        <v>2398</v>
      </c>
      <c r="P1208">
        <v>1</v>
      </c>
      <c r="Q1208">
        <v>0.43</v>
      </c>
      <c r="R1208">
        <v>0.15</v>
      </c>
      <c r="S1208">
        <v>0.15</v>
      </c>
      <c r="T1208">
        <v>7.0000000000000007E-2</v>
      </c>
      <c r="U1208" t="s">
        <v>80</v>
      </c>
      <c r="V1208" t="s">
        <v>81</v>
      </c>
      <c r="W1208" t="s">
        <v>21</v>
      </c>
      <c r="X1208">
        <v>2.2999999999999998</v>
      </c>
      <c r="Y1208" t="s">
        <v>2484</v>
      </c>
      <c r="Z1208" t="s">
        <v>496</v>
      </c>
      <c r="AB1208">
        <v>0</v>
      </c>
      <c r="AC1208">
        <v>0</v>
      </c>
    </row>
    <row r="1209" spans="2:29" ht="15" customHeight="1" x14ac:dyDescent="0.15">
      <c r="B1209">
        <v>4</v>
      </c>
      <c r="C1209" t="s">
        <v>386</v>
      </c>
      <c r="D1209" t="s">
        <v>2522</v>
      </c>
      <c r="E1209">
        <v>8</v>
      </c>
      <c r="F1209" t="s">
        <v>219</v>
      </c>
      <c r="G1209" t="s">
        <v>239</v>
      </c>
      <c r="H1209" t="s">
        <v>2497</v>
      </c>
      <c r="I1209">
        <v>16</v>
      </c>
      <c r="J1209" s="21">
        <v>46128</v>
      </c>
      <c r="K1209" s="21">
        <v>46128</v>
      </c>
      <c r="L1209" t="s">
        <v>2530</v>
      </c>
      <c r="M1209" t="s">
        <v>2499</v>
      </c>
      <c r="N1209">
        <v>14</v>
      </c>
      <c r="O1209" t="s">
        <v>2398</v>
      </c>
      <c r="P1209">
        <v>1</v>
      </c>
      <c r="Q1209">
        <v>0.43</v>
      </c>
      <c r="R1209">
        <v>0.15</v>
      </c>
      <c r="S1209">
        <v>0.15</v>
      </c>
      <c r="T1209">
        <v>7.0000000000000007E-2</v>
      </c>
      <c r="U1209" t="s">
        <v>80</v>
      </c>
      <c r="V1209" t="s">
        <v>81</v>
      </c>
      <c r="W1209" t="s">
        <v>21</v>
      </c>
      <c r="X1209">
        <v>2.2999999999999998</v>
      </c>
      <c r="Y1209" t="s">
        <v>2484</v>
      </c>
      <c r="Z1209" t="s">
        <v>496</v>
      </c>
      <c r="AB1209">
        <v>0</v>
      </c>
      <c r="AC1209">
        <v>0</v>
      </c>
    </row>
    <row r="1210" spans="2:29" ht="15" customHeight="1" x14ac:dyDescent="0.15">
      <c r="B1210">
        <v>4</v>
      </c>
      <c r="C1210" t="s">
        <v>704</v>
      </c>
      <c r="D1210" t="s">
        <v>2531</v>
      </c>
      <c r="E1210">
        <v>1</v>
      </c>
      <c r="F1210" t="s">
        <v>219</v>
      </c>
      <c r="G1210" t="s">
        <v>231</v>
      </c>
      <c r="H1210" t="s">
        <v>231</v>
      </c>
      <c r="I1210">
        <v>16</v>
      </c>
      <c r="J1210" s="21">
        <v>46128</v>
      </c>
      <c r="K1210" t="s">
        <v>2532</v>
      </c>
      <c r="L1210" t="s">
        <v>2533</v>
      </c>
      <c r="M1210" t="s">
        <v>2351</v>
      </c>
      <c r="N1210" s="22">
        <v>-46072</v>
      </c>
      <c r="O1210" t="s">
        <v>2398</v>
      </c>
      <c r="P1210">
        <v>0</v>
      </c>
      <c r="Q1210">
        <v>0</v>
      </c>
      <c r="R1210">
        <v>0.15</v>
      </c>
      <c r="S1210">
        <v>0</v>
      </c>
      <c r="T1210">
        <v>0</v>
      </c>
      <c r="U1210" t="s">
        <v>47</v>
      </c>
      <c r="V1210" t="s">
        <v>48</v>
      </c>
      <c r="W1210" t="s">
        <v>21</v>
      </c>
      <c r="X1210">
        <v>2</v>
      </c>
      <c r="Y1210" t="s">
        <v>679</v>
      </c>
      <c r="Z1210" t="s">
        <v>496</v>
      </c>
      <c r="AA1210">
        <v>16.61</v>
      </c>
      <c r="AB1210">
        <v>0</v>
      </c>
      <c r="AC1210">
        <v>0</v>
      </c>
    </row>
    <row r="1211" spans="2:29" ht="15" customHeight="1" x14ac:dyDescent="0.15">
      <c r="B1211">
        <v>4</v>
      </c>
      <c r="C1211" t="s">
        <v>704</v>
      </c>
      <c r="D1211" t="s">
        <v>2531</v>
      </c>
      <c r="E1211">
        <v>2</v>
      </c>
      <c r="F1211" t="s">
        <v>219</v>
      </c>
      <c r="G1211" t="s">
        <v>218</v>
      </c>
      <c r="H1211" t="s">
        <v>2305</v>
      </c>
      <c r="I1211">
        <v>16</v>
      </c>
      <c r="J1211" s="21">
        <v>46128</v>
      </c>
      <c r="K1211" t="s">
        <v>2532</v>
      </c>
      <c r="L1211" t="s">
        <v>2534</v>
      </c>
      <c r="M1211" t="s">
        <v>255</v>
      </c>
      <c r="N1211" s="22">
        <v>-46072</v>
      </c>
      <c r="O1211" t="s">
        <v>202</v>
      </c>
      <c r="P1211">
        <v>0</v>
      </c>
      <c r="Q1211">
        <v>0</v>
      </c>
      <c r="R1211">
        <v>0.5</v>
      </c>
      <c r="S1211">
        <v>0</v>
      </c>
      <c r="T1211">
        <v>0</v>
      </c>
      <c r="U1211" t="s">
        <v>47</v>
      </c>
      <c r="V1211" t="s">
        <v>48</v>
      </c>
      <c r="W1211" t="s">
        <v>21</v>
      </c>
      <c r="X1211">
        <v>2</v>
      </c>
      <c r="Y1211" t="s">
        <v>679</v>
      </c>
      <c r="Z1211" t="s">
        <v>496</v>
      </c>
      <c r="AA1211">
        <v>37.5</v>
      </c>
      <c r="AB1211">
        <v>0</v>
      </c>
      <c r="AC1211">
        <v>0</v>
      </c>
    </row>
    <row r="1212" spans="2:29" ht="15" customHeight="1" x14ac:dyDescent="0.15">
      <c r="B1212">
        <v>4</v>
      </c>
      <c r="C1212" t="s">
        <v>704</v>
      </c>
      <c r="D1212" t="s">
        <v>2531</v>
      </c>
      <c r="E1212">
        <v>3</v>
      </c>
      <c r="F1212" t="s">
        <v>219</v>
      </c>
      <c r="G1212" t="s">
        <v>218</v>
      </c>
      <c r="H1212" t="s">
        <v>2353</v>
      </c>
      <c r="I1212">
        <v>16</v>
      </c>
      <c r="J1212" s="21">
        <v>46128</v>
      </c>
      <c r="K1212" t="s">
        <v>2532</v>
      </c>
      <c r="L1212" t="s">
        <v>2535</v>
      </c>
      <c r="M1212" t="s">
        <v>2515</v>
      </c>
      <c r="N1212" s="22">
        <v>-46072</v>
      </c>
      <c r="O1212" t="s">
        <v>202</v>
      </c>
      <c r="P1212">
        <v>0</v>
      </c>
      <c r="Q1212">
        <v>0</v>
      </c>
      <c r="R1212">
        <v>0.2</v>
      </c>
      <c r="S1212">
        <v>0</v>
      </c>
      <c r="T1212">
        <v>0</v>
      </c>
      <c r="U1212" t="s">
        <v>47</v>
      </c>
      <c r="V1212" t="s">
        <v>48</v>
      </c>
      <c r="W1212" t="s">
        <v>21</v>
      </c>
      <c r="X1212">
        <v>2</v>
      </c>
      <c r="Y1212" t="s">
        <v>679</v>
      </c>
      <c r="Z1212" t="s">
        <v>496</v>
      </c>
      <c r="AB1212">
        <v>0</v>
      </c>
      <c r="AC1212">
        <v>0</v>
      </c>
    </row>
    <row r="1213" spans="2:29" ht="15" customHeight="1" x14ac:dyDescent="0.15">
      <c r="B1213">
        <v>4</v>
      </c>
      <c r="C1213" t="s">
        <v>704</v>
      </c>
      <c r="D1213" t="s">
        <v>2531</v>
      </c>
      <c r="E1213">
        <v>4</v>
      </c>
      <c r="F1213" t="s">
        <v>219</v>
      </c>
      <c r="G1213" t="s">
        <v>239</v>
      </c>
      <c r="H1213" t="s">
        <v>602</v>
      </c>
      <c r="I1213">
        <v>16</v>
      </c>
      <c r="J1213" s="21">
        <v>46128</v>
      </c>
      <c r="K1213" t="s">
        <v>2532</v>
      </c>
      <c r="L1213" t="s">
        <v>2536</v>
      </c>
      <c r="M1213" t="s">
        <v>258</v>
      </c>
      <c r="N1213" s="22">
        <v>-46072</v>
      </c>
      <c r="O1213" t="s">
        <v>2398</v>
      </c>
      <c r="P1213">
        <v>0</v>
      </c>
      <c r="Q1213">
        <v>0</v>
      </c>
      <c r="R1213">
        <v>0.5</v>
      </c>
      <c r="S1213">
        <v>0</v>
      </c>
      <c r="T1213">
        <v>0</v>
      </c>
      <c r="U1213" t="s">
        <v>47</v>
      </c>
      <c r="V1213" t="s">
        <v>48</v>
      </c>
      <c r="W1213" t="s">
        <v>21</v>
      </c>
      <c r="X1213">
        <v>2</v>
      </c>
      <c r="Y1213" t="s">
        <v>679</v>
      </c>
      <c r="Z1213" t="s">
        <v>496</v>
      </c>
      <c r="AA1213">
        <v>180</v>
      </c>
      <c r="AB1213">
        <v>0</v>
      </c>
      <c r="AC1213">
        <v>0</v>
      </c>
    </row>
    <row r="1214" spans="2:29" ht="15" customHeight="1" x14ac:dyDescent="0.15">
      <c r="B1214">
        <v>4</v>
      </c>
      <c r="C1214" t="s">
        <v>704</v>
      </c>
      <c r="D1214" t="s">
        <v>2531</v>
      </c>
      <c r="E1214">
        <v>5</v>
      </c>
      <c r="F1214" t="s">
        <v>219</v>
      </c>
      <c r="G1214" t="s">
        <v>239</v>
      </c>
      <c r="H1214" t="s">
        <v>1695</v>
      </c>
      <c r="I1214">
        <v>16</v>
      </c>
      <c r="J1214" s="21">
        <v>46128</v>
      </c>
      <c r="K1214" t="s">
        <v>2532</v>
      </c>
      <c r="L1214" t="s">
        <v>2537</v>
      </c>
      <c r="M1214" t="s">
        <v>1697</v>
      </c>
      <c r="N1214" s="22">
        <v>-46072</v>
      </c>
      <c r="O1214" t="s">
        <v>2398</v>
      </c>
      <c r="P1214">
        <v>0</v>
      </c>
      <c r="Q1214">
        <v>0</v>
      </c>
      <c r="R1214">
        <v>0.5</v>
      </c>
      <c r="S1214">
        <v>0</v>
      </c>
      <c r="T1214">
        <v>0</v>
      </c>
      <c r="U1214" t="s">
        <v>47</v>
      </c>
      <c r="V1214" t="s">
        <v>48</v>
      </c>
      <c r="W1214" t="s">
        <v>21</v>
      </c>
      <c r="X1214">
        <v>2</v>
      </c>
      <c r="Y1214" t="s">
        <v>679</v>
      </c>
      <c r="Z1214" t="s">
        <v>496</v>
      </c>
      <c r="AA1214">
        <v>26.7</v>
      </c>
      <c r="AB1214">
        <v>0</v>
      </c>
      <c r="AC1214">
        <v>0</v>
      </c>
    </row>
    <row r="1215" spans="2:29" ht="15" customHeight="1" x14ac:dyDescent="0.15">
      <c r="B1215">
        <v>4</v>
      </c>
      <c r="C1215" t="s">
        <v>704</v>
      </c>
      <c r="D1215" t="s">
        <v>2531</v>
      </c>
      <c r="E1215">
        <v>6</v>
      </c>
      <c r="F1215" t="s">
        <v>219</v>
      </c>
      <c r="G1215" t="s">
        <v>244</v>
      </c>
      <c r="H1215" t="s">
        <v>2519</v>
      </c>
      <c r="I1215">
        <v>16</v>
      </c>
      <c r="J1215" s="21">
        <v>46128</v>
      </c>
      <c r="K1215" t="s">
        <v>2532</v>
      </c>
      <c r="L1215" t="s">
        <v>2538</v>
      </c>
      <c r="M1215" t="s">
        <v>2521</v>
      </c>
      <c r="N1215" s="22">
        <v>-46072</v>
      </c>
      <c r="O1215" t="s">
        <v>2398</v>
      </c>
      <c r="P1215">
        <v>0</v>
      </c>
      <c r="Q1215">
        <v>0</v>
      </c>
      <c r="R1215">
        <v>0.15</v>
      </c>
      <c r="S1215">
        <v>0</v>
      </c>
      <c r="T1215">
        <v>0</v>
      </c>
      <c r="U1215" t="s">
        <v>47</v>
      </c>
      <c r="V1215" t="s">
        <v>48</v>
      </c>
      <c r="W1215" t="s">
        <v>21</v>
      </c>
      <c r="X1215">
        <v>2</v>
      </c>
      <c r="Y1215" t="s">
        <v>679</v>
      </c>
      <c r="Z1215" t="s">
        <v>496</v>
      </c>
      <c r="AA1215">
        <v>238</v>
      </c>
      <c r="AB1215">
        <v>0</v>
      </c>
      <c r="AC1215">
        <v>0</v>
      </c>
    </row>
    <row r="1216" spans="2:29" ht="15" customHeight="1" x14ac:dyDescent="0.15">
      <c r="B1216">
        <v>4</v>
      </c>
      <c r="C1216" t="s">
        <v>704</v>
      </c>
      <c r="D1216" t="s">
        <v>2531</v>
      </c>
      <c r="E1216">
        <v>7</v>
      </c>
      <c r="F1216" t="s">
        <v>219</v>
      </c>
      <c r="G1216" t="s">
        <v>218</v>
      </c>
      <c r="H1216" t="s">
        <v>686</v>
      </c>
      <c r="I1216">
        <v>16</v>
      </c>
      <c r="J1216" s="21">
        <v>46128</v>
      </c>
      <c r="K1216" t="s">
        <v>2532</v>
      </c>
      <c r="L1216" t="s">
        <v>2539</v>
      </c>
      <c r="M1216" t="s">
        <v>2468</v>
      </c>
      <c r="N1216" s="22">
        <v>-46072</v>
      </c>
      <c r="O1216" t="s">
        <v>2398</v>
      </c>
      <c r="P1216">
        <v>0</v>
      </c>
      <c r="Q1216">
        <v>0</v>
      </c>
      <c r="R1216">
        <v>0.15</v>
      </c>
      <c r="S1216">
        <v>0</v>
      </c>
      <c r="T1216">
        <v>0</v>
      </c>
      <c r="U1216" t="s">
        <v>47</v>
      </c>
      <c r="V1216" t="s">
        <v>48</v>
      </c>
      <c r="W1216" t="s">
        <v>21</v>
      </c>
      <c r="X1216">
        <v>2</v>
      </c>
      <c r="Y1216" t="s">
        <v>679</v>
      </c>
      <c r="Z1216" t="s">
        <v>496</v>
      </c>
      <c r="AA1216">
        <v>80.900000000000006</v>
      </c>
      <c r="AB1216">
        <v>0</v>
      </c>
      <c r="AC1216">
        <v>0</v>
      </c>
    </row>
    <row r="1217" spans="2:29" ht="15" customHeight="1" x14ac:dyDescent="0.15">
      <c r="B1217">
        <v>4</v>
      </c>
      <c r="C1217" t="s">
        <v>704</v>
      </c>
      <c r="D1217" t="s">
        <v>2531</v>
      </c>
      <c r="E1217">
        <v>8</v>
      </c>
      <c r="F1217" t="s">
        <v>219</v>
      </c>
      <c r="G1217" t="s">
        <v>218</v>
      </c>
      <c r="H1217" t="s">
        <v>2353</v>
      </c>
      <c r="I1217">
        <v>16</v>
      </c>
      <c r="J1217" s="21">
        <v>46128</v>
      </c>
      <c r="K1217" t="s">
        <v>2532</v>
      </c>
      <c r="L1217" t="s">
        <v>2540</v>
      </c>
      <c r="M1217" t="s">
        <v>241</v>
      </c>
      <c r="N1217" s="22">
        <v>-46072</v>
      </c>
      <c r="O1217" t="s">
        <v>202</v>
      </c>
      <c r="P1217">
        <v>0</v>
      </c>
      <c r="Q1217">
        <v>0</v>
      </c>
      <c r="R1217">
        <v>0.2</v>
      </c>
      <c r="S1217">
        <v>0</v>
      </c>
      <c r="T1217">
        <v>0</v>
      </c>
      <c r="U1217" t="s">
        <v>47</v>
      </c>
      <c r="V1217" t="s">
        <v>48</v>
      </c>
      <c r="W1217" t="s">
        <v>21</v>
      </c>
      <c r="X1217">
        <v>2</v>
      </c>
      <c r="Y1217" t="s">
        <v>679</v>
      </c>
      <c r="Z1217" t="s">
        <v>496</v>
      </c>
      <c r="AA1217">
        <v>61.3</v>
      </c>
      <c r="AB1217">
        <v>0</v>
      </c>
      <c r="AC1217">
        <v>0</v>
      </c>
    </row>
    <row r="1218" spans="2:29" ht="15" customHeight="1" x14ac:dyDescent="0.15">
      <c r="B1218">
        <v>4</v>
      </c>
      <c r="C1218" t="s">
        <v>386</v>
      </c>
      <c r="D1218" t="s">
        <v>2541</v>
      </c>
      <c r="E1218">
        <v>1</v>
      </c>
      <c r="F1218" t="s">
        <v>219</v>
      </c>
      <c r="G1218" t="s">
        <v>223</v>
      </c>
      <c r="H1218" t="s">
        <v>987</v>
      </c>
      <c r="I1218">
        <v>16</v>
      </c>
      <c r="J1218" s="21">
        <v>46128</v>
      </c>
      <c r="K1218" s="21">
        <v>46128</v>
      </c>
      <c r="L1218" t="s">
        <v>2542</v>
      </c>
      <c r="M1218" t="s">
        <v>222</v>
      </c>
      <c r="N1218">
        <v>1</v>
      </c>
      <c r="O1218" t="s">
        <v>2398</v>
      </c>
      <c r="P1218">
        <v>1</v>
      </c>
      <c r="Q1218">
        <v>1</v>
      </c>
      <c r="R1218">
        <v>6</v>
      </c>
      <c r="S1218">
        <v>6</v>
      </c>
      <c r="T1218">
        <v>6</v>
      </c>
      <c r="U1218" t="s">
        <v>89</v>
      </c>
      <c r="V1218" t="s">
        <v>90</v>
      </c>
      <c r="W1218" t="s">
        <v>21</v>
      </c>
      <c r="X1218">
        <v>1</v>
      </c>
      <c r="Y1218" t="s">
        <v>2455</v>
      </c>
      <c r="Z1218" t="s">
        <v>496</v>
      </c>
      <c r="AA1218">
        <v>13.47</v>
      </c>
      <c r="AB1218">
        <v>80.819999999999993</v>
      </c>
      <c r="AC1218">
        <v>80.819999999999993</v>
      </c>
    </row>
    <row r="1219" spans="2:29" ht="15" customHeight="1" x14ac:dyDescent="0.15">
      <c r="B1219">
        <v>4</v>
      </c>
      <c r="C1219" t="s">
        <v>386</v>
      </c>
      <c r="D1219" t="s">
        <v>2541</v>
      </c>
      <c r="E1219">
        <v>2</v>
      </c>
      <c r="F1219" t="s">
        <v>219</v>
      </c>
      <c r="G1219" t="s">
        <v>1292</v>
      </c>
      <c r="H1219" t="s">
        <v>1293</v>
      </c>
      <c r="I1219">
        <v>16</v>
      </c>
      <c r="J1219" s="21">
        <v>46128</v>
      </c>
      <c r="K1219" s="21">
        <v>46128</v>
      </c>
      <c r="L1219" t="s">
        <v>2543</v>
      </c>
      <c r="M1219" t="s">
        <v>1295</v>
      </c>
      <c r="N1219">
        <v>1</v>
      </c>
      <c r="O1219" t="s">
        <v>2398</v>
      </c>
      <c r="P1219">
        <v>1</v>
      </c>
      <c r="Q1219">
        <v>1</v>
      </c>
      <c r="R1219">
        <v>6</v>
      </c>
      <c r="S1219">
        <v>6</v>
      </c>
      <c r="T1219">
        <v>6</v>
      </c>
      <c r="U1219" t="s">
        <v>89</v>
      </c>
      <c r="V1219" t="s">
        <v>90</v>
      </c>
      <c r="W1219" t="s">
        <v>21</v>
      </c>
      <c r="X1219">
        <v>1</v>
      </c>
      <c r="Y1219" t="s">
        <v>2455</v>
      </c>
      <c r="Z1219" t="s">
        <v>496</v>
      </c>
      <c r="AA1219">
        <v>19.75</v>
      </c>
      <c r="AB1219">
        <v>118.5</v>
      </c>
      <c r="AC1219">
        <v>118.5</v>
      </c>
    </row>
    <row r="1220" spans="2:29" ht="15" customHeight="1" x14ac:dyDescent="0.15">
      <c r="B1220">
        <v>4</v>
      </c>
      <c r="C1220" t="s">
        <v>386</v>
      </c>
      <c r="D1220" t="s">
        <v>2541</v>
      </c>
      <c r="E1220">
        <v>3</v>
      </c>
      <c r="F1220" t="s">
        <v>219</v>
      </c>
      <c r="G1220" t="s">
        <v>239</v>
      </c>
      <c r="H1220" t="s">
        <v>2544</v>
      </c>
      <c r="I1220">
        <v>16</v>
      </c>
      <c r="J1220" s="21">
        <v>46128</v>
      </c>
      <c r="K1220" s="21">
        <v>46128</v>
      </c>
      <c r="L1220" t="s">
        <v>2545</v>
      </c>
      <c r="M1220" t="s">
        <v>2546</v>
      </c>
      <c r="N1220">
        <v>1</v>
      </c>
      <c r="O1220" t="s">
        <v>2398</v>
      </c>
      <c r="P1220">
        <v>1</v>
      </c>
      <c r="Q1220">
        <v>1</v>
      </c>
      <c r="R1220">
        <v>1</v>
      </c>
      <c r="S1220">
        <v>1</v>
      </c>
      <c r="T1220">
        <v>1</v>
      </c>
      <c r="U1220" t="s">
        <v>89</v>
      </c>
      <c r="V1220" t="s">
        <v>90</v>
      </c>
      <c r="W1220" t="s">
        <v>21</v>
      </c>
      <c r="X1220">
        <v>1</v>
      </c>
      <c r="Y1220" t="s">
        <v>2455</v>
      </c>
      <c r="Z1220" t="s">
        <v>496</v>
      </c>
      <c r="AA1220">
        <v>0</v>
      </c>
      <c r="AB1220">
        <v>0</v>
      </c>
      <c r="AC1220">
        <v>0</v>
      </c>
    </row>
    <row r="1221" spans="2:29" ht="15" customHeight="1" x14ac:dyDescent="0.15">
      <c r="B1221">
        <v>4</v>
      </c>
      <c r="C1221" t="s">
        <v>386</v>
      </c>
      <c r="D1221" t="s">
        <v>2547</v>
      </c>
      <c r="E1221">
        <v>1</v>
      </c>
      <c r="F1221" t="s">
        <v>201</v>
      </c>
      <c r="G1221" t="s">
        <v>337</v>
      </c>
      <c r="H1221" t="s">
        <v>1132</v>
      </c>
      <c r="I1221">
        <v>16</v>
      </c>
      <c r="J1221" s="21">
        <v>46130</v>
      </c>
      <c r="K1221" s="21">
        <v>46130</v>
      </c>
      <c r="L1221" t="s">
        <v>2548</v>
      </c>
      <c r="M1221" t="s">
        <v>2549</v>
      </c>
      <c r="N1221">
        <v>3</v>
      </c>
      <c r="O1221" t="s">
        <v>202</v>
      </c>
      <c r="P1221">
        <v>1</v>
      </c>
      <c r="Q1221">
        <v>1</v>
      </c>
      <c r="R1221">
        <v>17</v>
      </c>
      <c r="S1221">
        <v>17</v>
      </c>
      <c r="T1221">
        <v>17</v>
      </c>
      <c r="U1221" t="s">
        <v>89</v>
      </c>
      <c r="V1221" t="s">
        <v>90</v>
      </c>
      <c r="W1221" t="s">
        <v>21</v>
      </c>
      <c r="X1221">
        <v>1</v>
      </c>
      <c r="Y1221" t="s">
        <v>2455</v>
      </c>
      <c r="Z1221" t="s">
        <v>496</v>
      </c>
      <c r="AA1221">
        <v>1.33</v>
      </c>
      <c r="AB1221">
        <v>22.64</v>
      </c>
      <c r="AC1221">
        <v>22.64</v>
      </c>
    </row>
    <row r="1222" spans="2:29" ht="15" customHeight="1" x14ac:dyDescent="0.15">
      <c r="B1222">
        <v>4</v>
      </c>
      <c r="C1222" t="s">
        <v>386</v>
      </c>
      <c r="D1222" t="s">
        <v>2547</v>
      </c>
      <c r="E1222">
        <v>2</v>
      </c>
      <c r="F1222" t="s">
        <v>201</v>
      </c>
      <c r="G1222" t="s">
        <v>337</v>
      </c>
      <c r="H1222" t="s">
        <v>632</v>
      </c>
      <c r="I1222">
        <v>16</v>
      </c>
      <c r="J1222" s="21">
        <v>46130</v>
      </c>
      <c r="K1222" s="21">
        <v>46130</v>
      </c>
      <c r="L1222" t="s">
        <v>2550</v>
      </c>
      <c r="M1222" t="s">
        <v>336</v>
      </c>
      <c r="N1222">
        <v>3</v>
      </c>
      <c r="O1222" t="s">
        <v>202</v>
      </c>
      <c r="P1222">
        <v>1</v>
      </c>
      <c r="Q1222">
        <v>1</v>
      </c>
      <c r="R1222">
        <v>15</v>
      </c>
      <c r="S1222">
        <v>15</v>
      </c>
      <c r="T1222">
        <v>15</v>
      </c>
      <c r="U1222" t="s">
        <v>89</v>
      </c>
      <c r="V1222" t="s">
        <v>90</v>
      </c>
      <c r="W1222" t="s">
        <v>21</v>
      </c>
      <c r="X1222">
        <v>1</v>
      </c>
      <c r="Y1222" t="s">
        <v>2455</v>
      </c>
      <c r="Z1222" t="s">
        <v>496</v>
      </c>
      <c r="AA1222">
        <v>4.8099999999999996</v>
      </c>
      <c r="AB1222">
        <v>72.150000000000006</v>
      </c>
      <c r="AC1222">
        <v>72.150000000000006</v>
      </c>
    </row>
    <row r="1223" spans="2:29" ht="15" customHeight="1" x14ac:dyDescent="0.15">
      <c r="B1223">
        <v>4</v>
      </c>
      <c r="C1223" t="s">
        <v>386</v>
      </c>
      <c r="D1223" t="s">
        <v>2551</v>
      </c>
      <c r="E1223">
        <v>1</v>
      </c>
      <c r="F1223" t="s">
        <v>201</v>
      </c>
      <c r="G1223" t="s">
        <v>337</v>
      </c>
      <c r="H1223" t="s">
        <v>632</v>
      </c>
      <c r="I1223">
        <v>17</v>
      </c>
      <c r="J1223" s="21">
        <v>46133</v>
      </c>
      <c r="K1223" s="21">
        <v>46133</v>
      </c>
      <c r="L1223" t="s">
        <v>2552</v>
      </c>
      <c r="M1223" t="s">
        <v>336</v>
      </c>
      <c r="N1223">
        <v>3</v>
      </c>
      <c r="O1223" t="s">
        <v>202</v>
      </c>
      <c r="P1223">
        <v>1</v>
      </c>
      <c r="Q1223">
        <v>0.77</v>
      </c>
      <c r="R1223">
        <v>17.399999999999999</v>
      </c>
      <c r="S1223">
        <v>17.399999999999999</v>
      </c>
      <c r="T1223">
        <v>13.38</v>
      </c>
      <c r="U1223" t="s">
        <v>91</v>
      </c>
      <c r="V1223" t="s">
        <v>92</v>
      </c>
      <c r="W1223" t="s">
        <v>21</v>
      </c>
      <c r="X1223">
        <v>1.3</v>
      </c>
      <c r="Y1223" t="s">
        <v>2455</v>
      </c>
      <c r="Z1223" t="s">
        <v>496</v>
      </c>
      <c r="AA1223">
        <v>4.8099999999999996</v>
      </c>
      <c r="AB1223">
        <v>83.69</v>
      </c>
      <c r="AC1223">
        <v>64.38</v>
      </c>
    </row>
    <row r="1224" spans="2:29" ht="15" customHeight="1" x14ac:dyDescent="0.15">
      <c r="B1224">
        <v>4</v>
      </c>
      <c r="C1224" t="s">
        <v>386</v>
      </c>
      <c r="D1224" t="s">
        <v>2551</v>
      </c>
      <c r="E1224">
        <v>2</v>
      </c>
      <c r="F1224" t="s">
        <v>201</v>
      </c>
      <c r="G1224" t="s">
        <v>337</v>
      </c>
      <c r="H1224" t="s">
        <v>475</v>
      </c>
      <c r="I1224">
        <v>17</v>
      </c>
      <c r="J1224" s="21">
        <v>46133</v>
      </c>
      <c r="K1224" s="21">
        <v>46133</v>
      </c>
      <c r="L1224" t="s">
        <v>2553</v>
      </c>
      <c r="M1224" t="s">
        <v>477</v>
      </c>
      <c r="N1224">
        <v>3</v>
      </c>
      <c r="O1224" t="s">
        <v>202</v>
      </c>
      <c r="P1224">
        <v>1</v>
      </c>
      <c r="Q1224">
        <v>0.77</v>
      </c>
      <c r="R1224">
        <v>25</v>
      </c>
      <c r="S1224">
        <v>25</v>
      </c>
      <c r="T1224">
        <v>19.23</v>
      </c>
      <c r="U1224" t="s">
        <v>91</v>
      </c>
      <c r="V1224" t="s">
        <v>92</v>
      </c>
      <c r="W1224" t="s">
        <v>21</v>
      </c>
      <c r="X1224">
        <v>1.3</v>
      </c>
      <c r="Y1224" t="s">
        <v>2455</v>
      </c>
      <c r="Z1224" t="s">
        <v>496</v>
      </c>
      <c r="AA1224">
        <v>4.88</v>
      </c>
      <c r="AB1224">
        <v>122</v>
      </c>
      <c r="AC1224">
        <v>93.85</v>
      </c>
    </row>
    <row r="1225" spans="2:29" ht="15" customHeight="1" x14ac:dyDescent="0.15">
      <c r="B1225">
        <v>4</v>
      </c>
      <c r="C1225" t="s">
        <v>386</v>
      </c>
      <c r="D1225" t="s">
        <v>2551</v>
      </c>
      <c r="E1225">
        <v>3</v>
      </c>
      <c r="F1225" t="s">
        <v>219</v>
      </c>
      <c r="G1225" t="s">
        <v>239</v>
      </c>
      <c r="H1225" t="s">
        <v>2493</v>
      </c>
      <c r="I1225">
        <v>17</v>
      </c>
      <c r="J1225" s="21">
        <v>46133</v>
      </c>
      <c r="K1225" s="21">
        <v>46133</v>
      </c>
      <c r="L1225" t="s">
        <v>2554</v>
      </c>
      <c r="M1225" t="s">
        <v>2495</v>
      </c>
      <c r="N1225">
        <v>3</v>
      </c>
      <c r="O1225" t="s">
        <v>2398</v>
      </c>
      <c r="P1225">
        <v>1</v>
      </c>
      <c r="Q1225">
        <v>0.77</v>
      </c>
      <c r="R1225">
        <v>1</v>
      </c>
      <c r="S1225">
        <v>1</v>
      </c>
      <c r="T1225">
        <v>0.77</v>
      </c>
      <c r="U1225" t="s">
        <v>91</v>
      </c>
      <c r="V1225" t="s">
        <v>92</v>
      </c>
      <c r="W1225" t="s">
        <v>21</v>
      </c>
      <c r="X1225">
        <v>1.3</v>
      </c>
      <c r="Y1225" t="s">
        <v>2455</v>
      </c>
      <c r="Z1225" t="s">
        <v>496</v>
      </c>
      <c r="AA1225">
        <v>25</v>
      </c>
      <c r="AB1225">
        <v>25</v>
      </c>
      <c r="AC1225">
        <v>19.23</v>
      </c>
    </row>
    <row r="1226" spans="2:29" ht="15" customHeight="1" x14ac:dyDescent="0.15">
      <c r="B1226">
        <v>4</v>
      </c>
      <c r="C1226" t="s">
        <v>386</v>
      </c>
      <c r="D1226" t="s">
        <v>2551</v>
      </c>
      <c r="E1226">
        <v>4</v>
      </c>
      <c r="F1226" t="s">
        <v>219</v>
      </c>
      <c r="G1226" t="s">
        <v>218</v>
      </c>
      <c r="H1226" t="s">
        <v>2253</v>
      </c>
      <c r="I1226">
        <v>17</v>
      </c>
      <c r="J1226" s="21">
        <v>46133</v>
      </c>
      <c r="K1226" s="21">
        <v>46133</v>
      </c>
      <c r="L1226" t="s">
        <v>2555</v>
      </c>
      <c r="M1226" t="s">
        <v>2556</v>
      </c>
      <c r="N1226">
        <v>3</v>
      </c>
      <c r="O1226" t="s">
        <v>2398</v>
      </c>
      <c r="P1226">
        <v>1</v>
      </c>
      <c r="Q1226">
        <v>0.77</v>
      </c>
      <c r="R1226">
        <v>1.5</v>
      </c>
      <c r="S1226">
        <v>1.5</v>
      </c>
      <c r="T1226">
        <v>1.1499999999999999</v>
      </c>
      <c r="U1226" t="s">
        <v>91</v>
      </c>
      <c r="V1226" t="s">
        <v>92</v>
      </c>
      <c r="W1226" t="s">
        <v>21</v>
      </c>
      <c r="X1226">
        <v>1.3</v>
      </c>
      <c r="Y1226" t="s">
        <v>2455</v>
      </c>
      <c r="Z1226" t="s">
        <v>496</v>
      </c>
      <c r="AA1226">
        <v>216.83</v>
      </c>
      <c r="AB1226">
        <v>325.24</v>
      </c>
      <c r="AC1226">
        <v>250.18</v>
      </c>
    </row>
    <row r="1227" spans="2:29" ht="15" customHeight="1" x14ac:dyDescent="0.15">
      <c r="B1227">
        <v>4</v>
      </c>
      <c r="C1227" t="s">
        <v>386</v>
      </c>
      <c r="D1227" t="s">
        <v>2557</v>
      </c>
      <c r="E1227">
        <v>1</v>
      </c>
      <c r="F1227" t="s">
        <v>201</v>
      </c>
      <c r="G1227" t="s">
        <v>200</v>
      </c>
      <c r="H1227" t="s">
        <v>1059</v>
      </c>
      <c r="I1227">
        <v>17</v>
      </c>
      <c r="J1227" s="21">
        <v>46133</v>
      </c>
      <c r="K1227" s="21">
        <v>46133</v>
      </c>
      <c r="L1227" t="s">
        <v>2558</v>
      </c>
      <c r="M1227" t="s">
        <v>2559</v>
      </c>
      <c r="N1227">
        <v>25</v>
      </c>
      <c r="O1227" t="s">
        <v>202</v>
      </c>
      <c r="P1227">
        <v>2</v>
      </c>
      <c r="Q1227">
        <v>0.94</v>
      </c>
      <c r="R1227">
        <v>100</v>
      </c>
      <c r="S1227">
        <v>150</v>
      </c>
      <c r="T1227">
        <v>93.75</v>
      </c>
      <c r="U1227" t="s">
        <v>60</v>
      </c>
      <c r="V1227" t="s">
        <v>61</v>
      </c>
      <c r="W1227" t="s">
        <v>21</v>
      </c>
      <c r="X1227">
        <v>1.6</v>
      </c>
      <c r="Y1227" t="s">
        <v>560</v>
      </c>
      <c r="Z1227" t="s">
        <v>496</v>
      </c>
      <c r="AA1227">
        <v>4</v>
      </c>
      <c r="AB1227">
        <v>600</v>
      </c>
      <c r="AC1227">
        <v>375</v>
      </c>
    </row>
    <row r="1228" spans="2:29" ht="15" customHeight="1" x14ac:dyDescent="0.15">
      <c r="B1228">
        <v>4</v>
      </c>
      <c r="C1228" t="s">
        <v>386</v>
      </c>
      <c r="D1228" t="s">
        <v>2557</v>
      </c>
      <c r="E1228">
        <v>2</v>
      </c>
      <c r="F1228" t="s">
        <v>201</v>
      </c>
      <c r="G1228" t="s">
        <v>200</v>
      </c>
      <c r="H1228" t="s">
        <v>2560</v>
      </c>
      <c r="I1228">
        <v>17</v>
      </c>
      <c r="J1228" s="21">
        <v>46133</v>
      </c>
      <c r="K1228" s="21">
        <v>46133</v>
      </c>
      <c r="L1228" t="s">
        <v>2561</v>
      </c>
      <c r="M1228" t="s">
        <v>2562</v>
      </c>
      <c r="N1228">
        <v>25</v>
      </c>
      <c r="O1228" t="s">
        <v>202</v>
      </c>
      <c r="P1228">
        <v>2</v>
      </c>
      <c r="Q1228">
        <v>0.94</v>
      </c>
      <c r="R1228">
        <v>150</v>
      </c>
      <c r="S1228">
        <v>225</v>
      </c>
      <c r="T1228">
        <v>140.63</v>
      </c>
      <c r="U1228" t="s">
        <v>60</v>
      </c>
      <c r="V1228" t="s">
        <v>61</v>
      </c>
      <c r="W1228" t="s">
        <v>21</v>
      </c>
      <c r="X1228">
        <v>1.6</v>
      </c>
      <c r="Y1228" t="s">
        <v>560</v>
      </c>
      <c r="Z1228" t="s">
        <v>496</v>
      </c>
      <c r="AB1228">
        <v>0</v>
      </c>
      <c r="AC1228">
        <v>0</v>
      </c>
    </row>
    <row r="1229" spans="2:29" ht="15" customHeight="1" x14ac:dyDescent="0.15">
      <c r="B1229">
        <v>4</v>
      </c>
      <c r="C1229" t="s">
        <v>386</v>
      </c>
      <c r="D1229" t="s">
        <v>2557</v>
      </c>
      <c r="E1229">
        <v>3</v>
      </c>
      <c r="F1229" t="s">
        <v>201</v>
      </c>
      <c r="G1229" t="s">
        <v>200</v>
      </c>
      <c r="H1229" t="s">
        <v>2563</v>
      </c>
      <c r="I1229">
        <v>17</v>
      </c>
      <c r="J1229" s="21">
        <v>46133</v>
      </c>
      <c r="K1229" s="21">
        <v>46133</v>
      </c>
      <c r="L1229" t="s">
        <v>2564</v>
      </c>
      <c r="M1229" t="s">
        <v>2565</v>
      </c>
      <c r="N1229">
        <v>25</v>
      </c>
      <c r="O1229" t="s">
        <v>202</v>
      </c>
      <c r="P1229">
        <v>2</v>
      </c>
      <c r="Q1229">
        <v>0.94</v>
      </c>
      <c r="R1229">
        <v>100</v>
      </c>
      <c r="S1229">
        <v>150</v>
      </c>
      <c r="T1229">
        <v>93.75</v>
      </c>
      <c r="U1229" t="s">
        <v>60</v>
      </c>
      <c r="V1229" t="s">
        <v>61</v>
      </c>
      <c r="W1229" t="s">
        <v>21</v>
      </c>
      <c r="X1229">
        <v>1.6</v>
      </c>
      <c r="Y1229" t="s">
        <v>560</v>
      </c>
      <c r="Z1229" t="s">
        <v>496</v>
      </c>
      <c r="AB1229">
        <v>0</v>
      </c>
      <c r="AC1229">
        <v>0</v>
      </c>
    </row>
    <row r="1230" spans="2:29" ht="15" customHeight="1" x14ac:dyDescent="0.15">
      <c r="B1230">
        <v>4</v>
      </c>
      <c r="C1230" t="s">
        <v>386</v>
      </c>
      <c r="D1230" t="s">
        <v>2566</v>
      </c>
      <c r="E1230">
        <v>1</v>
      </c>
      <c r="F1230" t="s">
        <v>201</v>
      </c>
      <c r="G1230" t="s">
        <v>200</v>
      </c>
      <c r="H1230" t="s">
        <v>1059</v>
      </c>
      <c r="I1230">
        <v>17</v>
      </c>
      <c r="J1230" s="21">
        <v>46133</v>
      </c>
      <c r="K1230" s="21">
        <v>46133</v>
      </c>
      <c r="L1230" t="s">
        <v>2567</v>
      </c>
      <c r="M1230" t="s">
        <v>2559</v>
      </c>
      <c r="N1230">
        <v>19</v>
      </c>
      <c r="O1230" t="s">
        <v>202</v>
      </c>
      <c r="P1230">
        <v>3</v>
      </c>
      <c r="Q1230">
        <v>1.0900000000000001</v>
      </c>
      <c r="R1230">
        <v>100</v>
      </c>
      <c r="S1230">
        <v>250</v>
      </c>
      <c r="T1230">
        <v>108.7</v>
      </c>
      <c r="U1230" t="s">
        <v>80</v>
      </c>
      <c r="V1230" t="s">
        <v>81</v>
      </c>
      <c r="W1230" t="s">
        <v>21</v>
      </c>
      <c r="X1230">
        <v>2.2999999999999998</v>
      </c>
      <c r="Y1230" t="s">
        <v>560</v>
      </c>
      <c r="Z1230" t="s">
        <v>496</v>
      </c>
      <c r="AA1230">
        <v>4</v>
      </c>
      <c r="AB1230" s="22">
        <v>1000</v>
      </c>
      <c r="AC1230">
        <v>434.78</v>
      </c>
    </row>
    <row r="1231" spans="2:29" ht="15" customHeight="1" x14ac:dyDescent="0.15">
      <c r="B1231">
        <v>4</v>
      </c>
      <c r="C1231" t="s">
        <v>386</v>
      </c>
      <c r="D1231" t="s">
        <v>2566</v>
      </c>
      <c r="E1231">
        <v>2</v>
      </c>
      <c r="F1231" t="s">
        <v>201</v>
      </c>
      <c r="G1231" t="s">
        <v>200</v>
      </c>
      <c r="H1231" t="s">
        <v>2560</v>
      </c>
      <c r="I1231">
        <v>17</v>
      </c>
      <c r="J1231" s="21">
        <v>46133</v>
      </c>
      <c r="K1231" s="21">
        <v>46133</v>
      </c>
      <c r="L1231" t="s">
        <v>2568</v>
      </c>
      <c r="M1231" t="s">
        <v>2562</v>
      </c>
      <c r="N1231">
        <v>19</v>
      </c>
      <c r="O1231" t="s">
        <v>202</v>
      </c>
      <c r="P1231">
        <v>3</v>
      </c>
      <c r="Q1231">
        <v>1.0900000000000001</v>
      </c>
      <c r="R1231">
        <v>150</v>
      </c>
      <c r="S1231">
        <v>375</v>
      </c>
      <c r="T1231">
        <v>163.04</v>
      </c>
      <c r="U1231" t="s">
        <v>80</v>
      </c>
      <c r="V1231" t="s">
        <v>81</v>
      </c>
      <c r="W1231" t="s">
        <v>21</v>
      </c>
      <c r="X1231">
        <v>2.2999999999999998</v>
      </c>
      <c r="Y1231" t="s">
        <v>560</v>
      </c>
      <c r="Z1231" t="s">
        <v>496</v>
      </c>
      <c r="AB1231">
        <v>0</v>
      </c>
      <c r="AC1231">
        <v>0</v>
      </c>
    </row>
    <row r="1232" spans="2:29" ht="15" customHeight="1" x14ac:dyDescent="0.15">
      <c r="B1232">
        <v>4</v>
      </c>
      <c r="C1232" t="s">
        <v>386</v>
      </c>
      <c r="D1232" t="s">
        <v>2566</v>
      </c>
      <c r="E1232">
        <v>3</v>
      </c>
      <c r="F1232" t="s">
        <v>201</v>
      </c>
      <c r="G1232" t="s">
        <v>200</v>
      </c>
      <c r="H1232" t="s">
        <v>2563</v>
      </c>
      <c r="I1232">
        <v>17</v>
      </c>
      <c r="J1232" s="21">
        <v>46133</v>
      </c>
      <c r="K1232" s="21">
        <v>46133</v>
      </c>
      <c r="L1232" t="s">
        <v>2569</v>
      </c>
      <c r="M1232" t="s">
        <v>2565</v>
      </c>
      <c r="N1232">
        <v>19</v>
      </c>
      <c r="O1232" t="s">
        <v>202</v>
      </c>
      <c r="P1232">
        <v>3</v>
      </c>
      <c r="Q1232">
        <v>1.0900000000000001</v>
      </c>
      <c r="R1232">
        <v>100</v>
      </c>
      <c r="S1232">
        <v>250</v>
      </c>
      <c r="T1232">
        <v>108.7</v>
      </c>
      <c r="U1232" t="s">
        <v>80</v>
      </c>
      <c r="V1232" t="s">
        <v>81</v>
      </c>
      <c r="W1232" t="s">
        <v>21</v>
      </c>
      <c r="X1232">
        <v>2.2999999999999998</v>
      </c>
      <c r="Y1232" t="s">
        <v>560</v>
      </c>
      <c r="Z1232" t="s">
        <v>496</v>
      </c>
      <c r="AB1232">
        <v>0</v>
      </c>
      <c r="AC1232">
        <v>0</v>
      </c>
    </row>
    <row r="1233" spans="2:29" ht="15" customHeight="1" x14ac:dyDescent="0.15">
      <c r="B1233">
        <v>4</v>
      </c>
      <c r="C1233" t="s">
        <v>386</v>
      </c>
      <c r="D1233" t="s">
        <v>2570</v>
      </c>
      <c r="E1233">
        <v>1</v>
      </c>
      <c r="F1233" t="s">
        <v>219</v>
      </c>
      <c r="G1233" t="s">
        <v>231</v>
      </c>
      <c r="H1233" t="s">
        <v>231</v>
      </c>
      <c r="I1233">
        <v>17</v>
      </c>
      <c r="J1233" s="21">
        <v>46133</v>
      </c>
      <c r="K1233" s="21">
        <v>46134</v>
      </c>
      <c r="L1233" t="s">
        <v>2571</v>
      </c>
      <c r="M1233" t="s">
        <v>2351</v>
      </c>
      <c r="N1233">
        <v>7</v>
      </c>
      <c r="O1233" t="s">
        <v>2398</v>
      </c>
      <c r="P1233">
        <v>1</v>
      </c>
      <c r="Q1233">
        <v>1.35</v>
      </c>
      <c r="R1233">
        <v>0.15</v>
      </c>
      <c r="S1233">
        <v>0.20300000000000001</v>
      </c>
      <c r="T1233">
        <v>0.2</v>
      </c>
      <c r="U1233" t="s">
        <v>89</v>
      </c>
      <c r="V1233" t="s">
        <v>90</v>
      </c>
      <c r="W1233" t="s">
        <v>21</v>
      </c>
      <c r="X1233">
        <v>1</v>
      </c>
      <c r="Y1233" t="s">
        <v>2572</v>
      </c>
      <c r="Z1233" t="s">
        <v>496</v>
      </c>
      <c r="AA1233">
        <v>16.61</v>
      </c>
      <c r="AB1233">
        <v>3.36</v>
      </c>
      <c r="AC1233">
        <v>3.36</v>
      </c>
    </row>
    <row r="1234" spans="2:29" ht="15" customHeight="1" x14ac:dyDescent="0.15">
      <c r="B1234">
        <v>4</v>
      </c>
      <c r="C1234" t="s">
        <v>386</v>
      </c>
      <c r="D1234" t="s">
        <v>2570</v>
      </c>
      <c r="E1234">
        <v>2</v>
      </c>
      <c r="F1234" t="s">
        <v>219</v>
      </c>
      <c r="G1234" t="s">
        <v>439</v>
      </c>
      <c r="H1234" t="s">
        <v>533</v>
      </c>
      <c r="I1234">
        <v>17</v>
      </c>
      <c r="J1234" s="21">
        <v>46133</v>
      </c>
      <c r="K1234" s="21">
        <v>46134</v>
      </c>
      <c r="L1234" t="s">
        <v>2573</v>
      </c>
      <c r="M1234" t="s">
        <v>535</v>
      </c>
      <c r="N1234">
        <v>7</v>
      </c>
      <c r="O1234" t="s">
        <v>2398</v>
      </c>
      <c r="P1234">
        <v>1</v>
      </c>
      <c r="Q1234">
        <v>1.35</v>
      </c>
      <c r="R1234">
        <v>1.5</v>
      </c>
      <c r="S1234">
        <v>2.0249999999999999</v>
      </c>
      <c r="T1234">
        <v>2.0299999999999998</v>
      </c>
      <c r="U1234" t="s">
        <v>89</v>
      </c>
      <c r="V1234" t="s">
        <v>90</v>
      </c>
      <c r="W1234" t="s">
        <v>21</v>
      </c>
      <c r="X1234">
        <v>1</v>
      </c>
      <c r="Y1234" t="s">
        <v>2572</v>
      </c>
      <c r="Z1234" t="s">
        <v>496</v>
      </c>
      <c r="AA1234">
        <v>38.14</v>
      </c>
      <c r="AB1234">
        <v>77.23</v>
      </c>
      <c r="AC1234">
        <v>77.23</v>
      </c>
    </row>
    <row r="1235" spans="2:29" ht="15" customHeight="1" x14ac:dyDescent="0.15">
      <c r="B1235">
        <v>4</v>
      </c>
      <c r="C1235" t="s">
        <v>386</v>
      </c>
      <c r="D1235" t="s">
        <v>2570</v>
      </c>
      <c r="E1235">
        <v>3</v>
      </c>
      <c r="F1235" t="s">
        <v>219</v>
      </c>
      <c r="G1235" t="s">
        <v>218</v>
      </c>
      <c r="H1235" t="s">
        <v>2353</v>
      </c>
      <c r="I1235">
        <v>17</v>
      </c>
      <c r="J1235" s="21">
        <v>46133</v>
      </c>
      <c r="K1235" s="21">
        <v>46134</v>
      </c>
      <c r="L1235" t="s">
        <v>2574</v>
      </c>
      <c r="M1235" t="s">
        <v>241</v>
      </c>
      <c r="N1235">
        <v>7</v>
      </c>
      <c r="O1235" t="s">
        <v>202</v>
      </c>
      <c r="P1235">
        <v>1</v>
      </c>
      <c r="Q1235">
        <v>1.35</v>
      </c>
      <c r="R1235">
        <v>0.222</v>
      </c>
      <c r="S1235">
        <v>0.3</v>
      </c>
      <c r="T1235">
        <v>0.3</v>
      </c>
      <c r="U1235" t="s">
        <v>89</v>
      </c>
      <c r="V1235" t="s">
        <v>90</v>
      </c>
      <c r="W1235" t="s">
        <v>21</v>
      </c>
      <c r="X1235">
        <v>1</v>
      </c>
      <c r="Y1235" t="s">
        <v>2572</v>
      </c>
      <c r="Z1235" t="s">
        <v>496</v>
      </c>
      <c r="AA1235">
        <v>61.3</v>
      </c>
      <c r="AB1235">
        <v>18.37</v>
      </c>
      <c r="AC1235">
        <v>18.37</v>
      </c>
    </row>
    <row r="1236" spans="2:29" ht="15" customHeight="1" x14ac:dyDescent="0.15">
      <c r="B1236">
        <v>4</v>
      </c>
      <c r="C1236" t="s">
        <v>386</v>
      </c>
      <c r="D1236" t="s">
        <v>2570</v>
      </c>
      <c r="E1236">
        <v>4</v>
      </c>
      <c r="F1236" t="s">
        <v>219</v>
      </c>
      <c r="G1236" t="s">
        <v>239</v>
      </c>
      <c r="H1236" t="s">
        <v>602</v>
      </c>
      <c r="I1236">
        <v>17</v>
      </c>
      <c r="J1236" s="21">
        <v>46133</v>
      </c>
      <c r="K1236" s="21">
        <v>46134</v>
      </c>
      <c r="L1236" t="s">
        <v>2575</v>
      </c>
      <c r="M1236" t="s">
        <v>258</v>
      </c>
      <c r="N1236">
        <v>7</v>
      </c>
      <c r="O1236" t="s">
        <v>2398</v>
      </c>
      <c r="P1236">
        <v>1</v>
      </c>
      <c r="Q1236">
        <v>1.35</v>
      </c>
      <c r="R1236">
        <v>0.5</v>
      </c>
      <c r="S1236">
        <v>0.67500000000000004</v>
      </c>
      <c r="T1236">
        <v>0.68</v>
      </c>
      <c r="U1236" t="s">
        <v>89</v>
      </c>
      <c r="V1236" t="s">
        <v>90</v>
      </c>
      <c r="W1236" t="s">
        <v>21</v>
      </c>
      <c r="X1236">
        <v>1</v>
      </c>
      <c r="Y1236" t="s">
        <v>2572</v>
      </c>
      <c r="Z1236" t="s">
        <v>496</v>
      </c>
      <c r="AA1236">
        <v>180</v>
      </c>
      <c r="AB1236">
        <v>121.5</v>
      </c>
      <c r="AC1236">
        <v>121.5</v>
      </c>
    </row>
    <row r="1237" spans="2:29" ht="15" customHeight="1" x14ac:dyDescent="0.15">
      <c r="B1237">
        <v>4</v>
      </c>
      <c r="C1237" t="s">
        <v>386</v>
      </c>
      <c r="D1237" t="s">
        <v>2570</v>
      </c>
      <c r="E1237">
        <v>5</v>
      </c>
      <c r="F1237" t="s">
        <v>219</v>
      </c>
      <c r="G1237" t="s">
        <v>218</v>
      </c>
      <c r="H1237" t="s">
        <v>686</v>
      </c>
      <c r="I1237">
        <v>17</v>
      </c>
      <c r="J1237" s="21">
        <v>46133</v>
      </c>
      <c r="K1237" s="21">
        <v>46134</v>
      </c>
      <c r="L1237" t="s">
        <v>2576</v>
      </c>
      <c r="M1237" t="s">
        <v>2468</v>
      </c>
      <c r="N1237">
        <v>7</v>
      </c>
      <c r="O1237" t="s">
        <v>2398</v>
      </c>
      <c r="P1237">
        <v>1</v>
      </c>
      <c r="Q1237">
        <v>1.35</v>
      </c>
      <c r="R1237">
        <v>0.2</v>
      </c>
      <c r="S1237">
        <v>0.27</v>
      </c>
      <c r="T1237">
        <v>0.27</v>
      </c>
      <c r="U1237" t="s">
        <v>89</v>
      </c>
      <c r="V1237" t="s">
        <v>90</v>
      </c>
      <c r="W1237" t="s">
        <v>21</v>
      </c>
      <c r="X1237">
        <v>1</v>
      </c>
      <c r="Y1237" t="s">
        <v>2572</v>
      </c>
      <c r="Z1237" t="s">
        <v>496</v>
      </c>
      <c r="AA1237">
        <v>80.900000000000006</v>
      </c>
      <c r="AB1237">
        <v>21.84</v>
      </c>
      <c r="AC1237">
        <v>21.84</v>
      </c>
    </row>
    <row r="1238" spans="2:29" ht="15" customHeight="1" x14ac:dyDescent="0.15">
      <c r="B1238">
        <v>4</v>
      </c>
      <c r="C1238" t="s">
        <v>386</v>
      </c>
      <c r="D1238" t="s">
        <v>2577</v>
      </c>
      <c r="E1238">
        <v>1</v>
      </c>
      <c r="F1238" t="s">
        <v>219</v>
      </c>
      <c r="G1238" t="s">
        <v>231</v>
      </c>
      <c r="I1238">
        <v>17</v>
      </c>
      <c r="J1238" s="21">
        <v>46133</v>
      </c>
      <c r="K1238" s="21">
        <v>46134</v>
      </c>
      <c r="L1238" t="s">
        <v>2578</v>
      </c>
      <c r="M1238" t="s">
        <v>2351</v>
      </c>
      <c r="N1238">
        <v>7</v>
      </c>
      <c r="O1238" t="s">
        <v>2398</v>
      </c>
      <c r="P1238">
        <v>0</v>
      </c>
      <c r="Q1238">
        <v>0.35</v>
      </c>
      <c r="R1238">
        <v>0.15</v>
      </c>
      <c r="S1238">
        <v>5.2999999999999999E-2</v>
      </c>
      <c r="T1238">
        <v>0.05</v>
      </c>
      <c r="U1238" t="s">
        <v>89</v>
      </c>
      <c r="V1238" t="s">
        <v>90</v>
      </c>
      <c r="W1238" t="s">
        <v>21</v>
      </c>
      <c r="X1238">
        <v>1</v>
      </c>
      <c r="Y1238" t="s">
        <v>2572</v>
      </c>
      <c r="Z1238" t="s">
        <v>496</v>
      </c>
      <c r="AA1238">
        <v>16.61</v>
      </c>
      <c r="AB1238">
        <v>0.87</v>
      </c>
      <c r="AC1238">
        <v>0.87</v>
      </c>
    </row>
    <row r="1239" spans="2:29" ht="15" customHeight="1" x14ac:dyDescent="0.15">
      <c r="B1239">
        <v>4</v>
      </c>
      <c r="C1239" t="s">
        <v>386</v>
      </c>
      <c r="D1239" t="s">
        <v>2577</v>
      </c>
      <c r="E1239">
        <v>2</v>
      </c>
      <c r="F1239" t="s">
        <v>219</v>
      </c>
      <c r="G1239" t="s">
        <v>218</v>
      </c>
      <c r="H1239" t="s">
        <v>686</v>
      </c>
      <c r="I1239">
        <v>17</v>
      </c>
      <c r="J1239" s="21">
        <v>46133</v>
      </c>
      <c r="K1239" s="21">
        <v>46134</v>
      </c>
      <c r="L1239" t="s">
        <v>2579</v>
      </c>
      <c r="M1239" t="s">
        <v>2468</v>
      </c>
      <c r="N1239">
        <v>7</v>
      </c>
      <c r="O1239" t="s">
        <v>2398</v>
      </c>
      <c r="P1239">
        <v>0</v>
      </c>
      <c r="Q1239">
        <v>0.35</v>
      </c>
      <c r="R1239">
        <v>0.3</v>
      </c>
      <c r="S1239">
        <v>0.105</v>
      </c>
      <c r="T1239">
        <v>0.11</v>
      </c>
      <c r="U1239" t="s">
        <v>89</v>
      </c>
      <c r="V1239" t="s">
        <v>90</v>
      </c>
      <c r="W1239" t="s">
        <v>21</v>
      </c>
      <c r="X1239">
        <v>1</v>
      </c>
      <c r="Y1239" t="s">
        <v>2572</v>
      </c>
      <c r="Z1239" t="s">
        <v>496</v>
      </c>
      <c r="AA1239">
        <v>80.900000000000006</v>
      </c>
      <c r="AB1239">
        <v>8.49</v>
      </c>
      <c r="AC1239">
        <v>8.49</v>
      </c>
    </row>
    <row r="1240" spans="2:29" ht="15" customHeight="1" x14ac:dyDescent="0.15">
      <c r="B1240">
        <v>4</v>
      </c>
      <c r="C1240" t="s">
        <v>386</v>
      </c>
      <c r="D1240" t="s">
        <v>2580</v>
      </c>
      <c r="E1240">
        <v>1</v>
      </c>
      <c r="F1240" t="s">
        <v>201</v>
      </c>
      <c r="G1240" t="s">
        <v>337</v>
      </c>
      <c r="H1240" t="s">
        <v>632</v>
      </c>
      <c r="I1240">
        <v>17</v>
      </c>
      <c r="J1240" s="21">
        <v>46135</v>
      </c>
      <c r="K1240" s="21">
        <v>46135</v>
      </c>
      <c r="L1240" t="s">
        <v>2581</v>
      </c>
      <c r="M1240" t="s">
        <v>336</v>
      </c>
      <c r="N1240">
        <v>3</v>
      </c>
      <c r="O1240" t="s">
        <v>202</v>
      </c>
      <c r="P1240">
        <v>1</v>
      </c>
      <c r="Q1240">
        <v>0.25</v>
      </c>
      <c r="R1240">
        <v>20</v>
      </c>
      <c r="S1240">
        <v>10</v>
      </c>
      <c r="T1240">
        <v>5</v>
      </c>
      <c r="U1240" t="s">
        <v>84</v>
      </c>
      <c r="V1240" t="s">
        <v>85</v>
      </c>
      <c r="W1240" t="s">
        <v>21</v>
      </c>
      <c r="X1240">
        <v>2</v>
      </c>
      <c r="Y1240" t="s">
        <v>2455</v>
      </c>
      <c r="Z1240" t="s">
        <v>496</v>
      </c>
      <c r="AA1240">
        <v>4.8099999999999996</v>
      </c>
      <c r="AB1240">
        <v>48.1</v>
      </c>
      <c r="AC1240">
        <v>24.05</v>
      </c>
    </row>
    <row r="1241" spans="2:29" ht="15" customHeight="1" x14ac:dyDescent="0.15">
      <c r="B1241">
        <v>4</v>
      </c>
      <c r="C1241" t="s">
        <v>386</v>
      </c>
      <c r="D1241" t="s">
        <v>2580</v>
      </c>
      <c r="E1241">
        <v>2</v>
      </c>
      <c r="F1241" t="s">
        <v>201</v>
      </c>
      <c r="G1241" t="s">
        <v>337</v>
      </c>
      <c r="H1241" t="s">
        <v>475</v>
      </c>
      <c r="I1241">
        <v>17</v>
      </c>
      <c r="J1241" s="21">
        <v>46135</v>
      </c>
      <c r="K1241" s="21">
        <v>46135</v>
      </c>
      <c r="L1241" t="s">
        <v>2582</v>
      </c>
      <c r="M1241" t="s">
        <v>477</v>
      </c>
      <c r="N1241">
        <v>3</v>
      </c>
      <c r="O1241" t="s">
        <v>202</v>
      </c>
      <c r="P1241">
        <v>1</v>
      </c>
      <c r="Q1241">
        <v>0.25</v>
      </c>
      <c r="R1241">
        <v>20</v>
      </c>
      <c r="S1241">
        <v>10</v>
      </c>
      <c r="T1241">
        <v>5</v>
      </c>
      <c r="U1241" t="s">
        <v>84</v>
      </c>
      <c r="V1241" t="s">
        <v>85</v>
      </c>
      <c r="W1241" t="s">
        <v>21</v>
      </c>
      <c r="X1241">
        <v>2</v>
      </c>
      <c r="Y1241" t="s">
        <v>2455</v>
      </c>
      <c r="Z1241" t="s">
        <v>496</v>
      </c>
      <c r="AA1241">
        <v>4.88</v>
      </c>
      <c r="AB1241">
        <v>48.8</v>
      </c>
      <c r="AC1241">
        <v>24.4</v>
      </c>
    </row>
    <row r="1242" spans="2:29" ht="15" customHeight="1" x14ac:dyDescent="0.15">
      <c r="B1242">
        <v>4</v>
      </c>
      <c r="C1242" t="s">
        <v>386</v>
      </c>
      <c r="D1242" t="s">
        <v>2580</v>
      </c>
      <c r="E1242">
        <v>3</v>
      </c>
      <c r="F1242" t="s">
        <v>219</v>
      </c>
      <c r="G1242" t="s">
        <v>218</v>
      </c>
      <c r="H1242" t="s">
        <v>667</v>
      </c>
      <c r="I1242">
        <v>17</v>
      </c>
      <c r="J1242" s="21">
        <v>46135</v>
      </c>
      <c r="K1242" s="21">
        <v>46135</v>
      </c>
      <c r="L1242" t="s">
        <v>2583</v>
      </c>
      <c r="M1242" t="s">
        <v>355</v>
      </c>
      <c r="N1242">
        <v>3</v>
      </c>
      <c r="O1242" t="s">
        <v>202</v>
      </c>
      <c r="P1242">
        <v>1</v>
      </c>
      <c r="Q1242">
        <v>0.25</v>
      </c>
      <c r="R1242">
        <v>10</v>
      </c>
      <c r="S1242">
        <v>5</v>
      </c>
      <c r="T1242">
        <v>2.5</v>
      </c>
      <c r="U1242" t="s">
        <v>84</v>
      </c>
      <c r="V1242" t="s">
        <v>85</v>
      </c>
      <c r="W1242" t="s">
        <v>21</v>
      </c>
      <c r="X1242">
        <v>2</v>
      </c>
      <c r="Y1242" t="s">
        <v>2455</v>
      </c>
      <c r="Z1242" t="s">
        <v>496</v>
      </c>
      <c r="AA1242">
        <v>1.2</v>
      </c>
      <c r="AB1242">
        <v>6</v>
      </c>
      <c r="AC1242">
        <v>3</v>
      </c>
    </row>
    <row r="1243" spans="2:29" ht="15" customHeight="1" x14ac:dyDescent="0.15">
      <c r="B1243">
        <v>4</v>
      </c>
      <c r="C1243" t="s">
        <v>386</v>
      </c>
      <c r="D1243" t="s">
        <v>2580</v>
      </c>
      <c r="E1243">
        <v>4</v>
      </c>
      <c r="F1243" t="s">
        <v>219</v>
      </c>
      <c r="G1243" t="s">
        <v>218</v>
      </c>
      <c r="H1243" t="s">
        <v>2253</v>
      </c>
      <c r="I1243">
        <v>17</v>
      </c>
      <c r="J1243" s="21">
        <v>46135</v>
      </c>
      <c r="K1243" s="21">
        <v>46135</v>
      </c>
      <c r="L1243" t="s">
        <v>2584</v>
      </c>
      <c r="M1243" t="s">
        <v>2556</v>
      </c>
      <c r="N1243">
        <v>3</v>
      </c>
      <c r="O1243" t="s">
        <v>2398</v>
      </c>
      <c r="P1243">
        <v>1</v>
      </c>
      <c r="Q1243">
        <v>0.25</v>
      </c>
      <c r="R1243">
        <v>1.5</v>
      </c>
      <c r="S1243">
        <v>0.75</v>
      </c>
      <c r="T1243">
        <v>0.38</v>
      </c>
      <c r="U1243" t="s">
        <v>84</v>
      </c>
      <c r="V1243" t="s">
        <v>85</v>
      </c>
      <c r="W1243" t="s">
        <v>21</v>
      </c>
      <c r="X1243">
        <v>2</v>
      </c>
      <c r="Y1243" t="s">
        <v>2455</v>
      </c>
      <c r="Z1243" t="s">
        <v>496</v>
      </c>
      <c r="AA1243">
        <v>216.83</v>
      </c>
      <c r="AB1243">
        <v>162.62</v>
      </c>
      <c r="AC1243">
        <v>81.31</v>
      </c>
    </row>
    <row r="1244" spans="2:29" ht="15" customHeight="1" x14ac:dyDescent="0.15">
      <c r="B1244">
        <v>4</v>
      </c>
      <c r="C1244" t="s">
        <v>386</v>
      </c>
      <c r="D1244" t="s">
        <v>2580</v>
      </c>
      <c r="E1244">
        <v>5</v>
      </c>
      <c r="F1244" t="s">
        <v>219</v>
      </c>
      <c r="G1244" t="s">
        <v>239</v>
      </c>
      <c r="H1244" t="s">
        <v>602</v>
      </c>
      <c r="I1244">
        <v>17</v>
      </c>
      <c r="J1244" s="21">
        <v>46135</v>
      </c>
      <c r="K1244" s="21">
        <v>46135</v>
      </c>
      <c r="L1244" t="s">
        <v>2585</v>
      </c>
      <c r="M1244" t="s">
        <v>258</v>
      </c>
      <c r="N1244">
        <v>3</v>
      </c>
      <c r="O1244" t="s">
        <v>2398</v>
      </c>
      <c r="P1244">
        <v>1</v>
      </c>
      <c r="Q1244">
        <v>0.25</v>
      </c>
      <c r="R1244">
        <v>1</v>
      </c>
      <c r="S1244">
        <v>0.5</v>
      </c>
      <c r="T1244">
        <v>0.25</v>
      </c>
      <c r="U1244" t="s">
        <v>84</v>
      </c>
      <c r="V1244" t="s">
        <v>85</v>
      </c>
      <c r="W1244" t="s">
        <v>21</v>
      </c>
      <c r="X1244">
        <v>2</v>
      </c>
      <c r="Y1244" t="s">
        <v>2455</v>
      </c>
      <c r="Z1244" t="s">
        <v>496</v>
      </c>
      <c r="AA1244">
        <v>180</v>
      </c>
      <c r="AB1244">
        <v>90</v>
      </c>
      <c r="AC1244">
        <v>45</v>
      </c>
    </row>
    <row r="1245" spans="2:29" ht="15" customHeight="1" x14ac:dyDescent="0.15">
      <c r="B1245">
        <v>4</v>
      </c>
      <c r="C1245" t="s">
        <v>386</v>
      </c>
      <c r="D1245" t="s">
        <v>2586</v>
      </c>
      <c r="E1245">
        <v>1</v>
      </c>
      <c r="F1245" t="s">
        <v>201</v>
      </c>
      <c r="G1245" t="s">
        <v>337</v>
      </c>
      <c r="H1245" t="s">
        <v>632</v>
      </c>
      <c r="I1245">
        <v>17</v>
      </c>
      <c r="J1245" s="21">
        <v>46136</v>
      </c>
      <c r="K1245" s="21">
        <v>46136</v>
      </c>
      <c r="L1245" t="s">
        <v>2587</v>
      </c>
      <c r="M1245" t="s">
        <v>336</v>
      </c>
      <c r="N1245">
        <v>4</v>
      </c>
      <c r="O1245" t="s">
        <v>202</v>
      </c>
      <c r="P1245">
        <v>1</v>
      </c>
      <c r="Q1245">
        <v>0.25</v>
      </c>
      <c r="R1245">
        <v>20</v>
      </c>
      <c r="S1245">
        <v>10</v>
      </c>
      <c r="T1245">
        <v>5</v>
      </c>
      <c r="U1245" t="s">
        <v>84</v>
      </c>
      <c r="V1245" t="s">
        <v>85</v>
      </c>
      <c r="W1245" t="s">
        <v>21</v>
      </c>
      <c r="X1245">
        <v>2</v>
      </c>
      <c r="Y1245" t="s">
        <v>2455</v>
      </c>
      <c r="Z1245" t="s">
        <v>496</v>
      </c>
      <c r="AA1245">
        <v>4.8099999999999996</v>
      </c>
      <c r="AB1245">
        <v>48.1</v>
      </c>
      <c r="AC1245">
        <v>24.05</v>
      </c>
    </row>
    <row r="1246" spans="2:29" ht="15" customHeight="1" x14ac:dyDescent="0.15">
      <c r="B1246">
        <v>4</v>
      </c>
      <c r="C1246" t="s">
        <v>386</v>
      </c>
      <c r="D1246" t="s">
        <v>2586</v>
      </c>
      <c r="E1246">
        <v>2</v>
      </c>
      <c r="F1246" t="s">
        <v>201</v>
      </c>
      <c r="G1246" t="s">
        <v>337</v>
      </c>
      <c r="H1246" t="s">
        <v>475</v>
      </c>
      <c r="I1246">
        <v>17</v>
      </c>
      <c r="J1246" s="21">
        <v>46136</v>
      </c>
      <c r="K1246" s="21">
        <v>46136</v>
      </c>
      <c r="L1246" t="s">
        <v>2588</v>
      </c>
      <c r="M1246" t="s">
        <v>477</v>
      </c>
      <c r="N1246">
        <v>4</v>
      </c>
      <c r="O1246" t="s">
        <v>202</v>
      </c>
      <c r="P1246">
        <v>1</v>
      </c>
      <c r="Q1246">
        <v>0.25</v>
      </c>
      <c r="R1246">
        <v>20</v>
      </c>
      <c r="S1246">
        <v>10</v>
      </c>
      <c r="T1246">
        <v>5</v>
      </c>
      <c r="U1246" t="s">
        <v>84</v>
      </c>
      <c r="V1246" t="s">
        <v>85</v>
      </c>
      <c r="W1246" t="s">
        <v>21</v>
      </c>
      <c r="X1246">
        <v>2</v>
      </c>
      <c r="Y1246" t="s">
        <v>2455</v>
      </c>
      <c r="Z1246" t="s">
        <v>496</v>
      </c>
      <c r="AA1246">
        <v>4.88</v>
      </c>
      <c r="AB1246">
        <v>48.8</v>
      </c>
      <c r="AC1246">
        <v>24.4</v>
      </c>
    </row>
    <row r="1247" spans="2:29" ht="15" customHeight="1" x14ac:dyDescent="0.15">
      <c r="B1247">
        <v>4</v>
      </c>
      <c r="C1247" t="s">
        <v>386</v>
      </c>
      <c r="D1247" t="s">
        <v>2586</v>
      </c>
      <c r="E1247">
        <v>3</v>
      </c>
      <c r="F1247" t="s">
        <v>219</v>
      </c>
      <c r="G1247" t="s">
        <v>218</v>
      </c>
      <c r="H1247" t="s">
        <v>667</v>
      </c>
      <c r="I1247">
        <v>17</v>
      </c>
      <c r="J1247" s="21">
        <v>46136</v>
      </c>
      <c r="K1247" s="21">
        <v>46136</v>
      </c>
      <c r="L1247" t="s">
        <v>2589</v>
      </c>
      <c r="M1247" t="s">
        <v>355</v>
      </c>
      <c r="N1247">
        <v>4</v>
      </c>
      <c r="O1247" t="s">
        <v>202</v>
      </c>
      <c r="P1247">
        <v>1</v>
      </c>
      <c r="Q1247">
        <v>0.25</v>
      </c>
      <c r="R1247">
        <v>10</v>
      </c>
      <c r="S1247">
        <v>5</v>
      </c>
      <c r="T1247">
        <v>2.5</v>
      </c>
      <c r="U1247" t="s">
        <v>84</v>
      </c>
      <c r="V1247" t="s">
        <v>85</v>
      </c>
      <c r="W1247" t="s">
        <v>21</v>
      </c>
      <c r="X1247">
        <v>2</v>
      </c>
      <c r="Y1247" t="s">
        <v>2455</v>
      </c>
      <c r="Z1247" t="s">
        <v>496</v>
      </c>
      <c r="AA1247">
        <v>1.2</v>
      </c>
      <c r="AB1247">
        <v>6</v>
      </c>
      <c r="AC1247">
        <v>3</v>
      </c>
    </row>
    <row r="1248" spans="2:29" ht="15" customHeight="1" x14ac:dyDescent="0.15">
      <c r="B1248">
        <v>4</v>
      </c>
      <c r="C1248" t="s">
        <v>386</v>
      </c>
      <c r="D1248" t="s">
        <v>2586</v>
      </c>
      <c r="E1248">
        <v>4</v>
      </c>
      <c r="F1248" t="s">
        <v>219</v>
      </c>
      <c r="G1248" t="s">
        <v>218</v>
      </c>
      <c r="H1248" t="s">
        <v>2253</v>
      </c>
      <c r="I1248">
        <v>17</v>
      </c>
      <c r="J1248" s="21">
        <v>46136</v>
      </c>
      <c r="K1248" s="21">
        <v>46136</v>
      </c>
      <c r="L1248" t="s">
        <v>2590</v>
      </c>
      <c r="M1248" t="s">
        <v>2556</v>
      </c>
      <c r="N1248">
        <v>4</v>
      </c>
      <c r="O1248" t="s">
        <v>2398</v>
      </c>
      <c r="P1248">
        <v>1</v>
      </c>
      <c r="Q1248">
        <v>0.25</v>
      </c>
      <c r="R1248">
        <v>1.5</v>
      </c>
      <c r="S1248">
        <v>0.75</v>
      </c>
      <c r="T1248">
        <v>0.38</v>
      </c>
      <c r="U1248" t="s">
        <v>84</v>
      </c>
      <c r="V1248" t="s">
        <v>85</v>
      </c>
      <c r="W1248" t="s">
        <v>21</v>
      </c>
      <c r="X1248">
        <v>2</v>
      </c>
      <c r="Y1248" t="s">
        <v>2455</v>
      </c>
      <c r="Z1248" t="s">
        <v>496</v>
      </c>
      <c r="AA1248">
        <v>216.83</v>
      </c>
      <c r="AB1248">
        <v>162.62</v>
      </c>
      <c r="AC1248">
        <v>81.31</v>
      </c>
    </row>
    <row r="1249" spans="2:29" ht="15" customHeight="1" x14ac:dyDescent="0.15">
      <c r="B1249">
        <v>4</v>
      </c>
      <c r="C1249" t="s">
        <v>386</v>
      </c>
      <c r="D1249" t="s">
        <v>2586</v>
      </c>
      <c r="E1249">
        <v>5</v>
      </c>
      <c r="F1249" t="s">
        <v>219</v>
      </c>
      <c r="G1249" t="s">
        <v>239</v>
      </c>
      <c r="H1249" t="s">
        <v>602</v>
      </c>
      <c r="I1249">
        <v>17</v>
      </c>
      <c r="J1249" s="21">
        <v>46136</v>
      </c>
      <c r="K1249" s="21">
        <v>46136</v>
      </c>
      <c r="L1249" t="s">
        <v>2591</v>
      </c>
      <c r="M1249" t="s">
        <v>258</v>
      </c>
      <c r="N1249">
        <v>4</v>
      </c>
      <c r="O1249" t="s">
        <v>2398</v>
      </c>
      <c r="P1249">
        <v>1</v>
      </c>
      <c r="Q1249">
        <v>0.25</v>
      </c>
      <c r="R1249">
        <v>1</v>
      </c>
      <c r="S1249">
        <v>0.5</v>
      </c>
      <c r="T1249">
        <v>0.25</v>
      </c>
      <c r="U1249" t="s">
        <v>84</v>
      </c>
      <c r="V1249" t="s">
        <v>85</v>
      </c>
      <c r="W1249" t="s">
        <v>21</v>
      </c>
      <c r="X1249">
        <v>2</v>
      </c>
      <c r="Y1249" t="s">
        <v>2455</v>
      </c>
      <c r="Z1249" t="s">
        <v>496</v>
      </c>
      <c r="AA1249">
        <v>180</v>
      </c>
      <c r="AB1249">
        <v>90</v>
      </c>
      <c r="AC1249">
        <v>45</v>
      </c>
    </row>
    <row r="1250" spans="2:29" ht="15" customHeight="1" x14ac:dyDescent="0.15">
      <c r="B1250">
        <v>4</v>
      </c>
      <c r="C1250" t="s">
        <v>386</v>
      </c>
      <c r="D1250" t="s">
        <v>2592</v>
      </c>
      <c r="E1250">
        <v>1</v>
      </c>
      <c r="F1250" t="s">
        <v>219</v>
      </c>
      <c r="G1250" t="s">
        <v>231</v>
      </c>
      <c r="H1250" t="s">
        <v>231</v>
      </c>
      <c r="I1250">
        <v>17</v>
      </c>
      <c r="J1250" s="21">
        <v>46136</v>
      </c>
      <c r="K1250" s="21">
        <v>46136</v>
      </c>
      <c r="L1250" t="s">
        <v>2593</v>
      </c>
      <c r="M1250" t="s">
        <v>2351</v>
      </c>
      <c r="N1250">
        <v>9</v>
      </c>
      <c r="O1250" t="s">
        <v>2398</v>
      </c>
      <c r="P1250">
        <v>1</v>
      </c>
      <c r="Q1250">
        <v>1.35</v>
      </c>
      <c r="R1250">
        <v>0.15</v>
      </c>
      <c r="S1250">
        <v>0.20300000000000001</v>
      </c>
      <c r="T1250">
        <v>0.2</v>
      </c>
      <c r="U1250" t="s">
        <v>89</v>
      </c>
      <c r="V1250" t="s">
        <v>90</v>
      </c>
      <c r="W1250" t="s">
        <v>21</v>
      </c>
      <c r="X1250">
        <v>1</v>
      </c>
      <c r="Y1250" t="s">
        <v>2594</v>
      </c>
      <c r="Z1250" t="s">
        <v>496</v>
      </c>
      <c r="AA1250">
        <v>16.61</v>
      </c>
      <c r="AB1250">
        <v>3.36</v>
      </c>
      <c r="AC1250">
        <v>3.36</v>
      </c>
    </row>
    <row r="1251" spans="2:29" ht="15" customHeight="1" x14ac:dyDescent="0.15">
      <c r="B1251">
        <v>4</v>
      </c>
      <c r="C1251" t="s">
        <v>386</v>
      </c>
      <c r="D1251" t="s">
        <v>2592</v>
      </c>
      <c r="E1251">
        <v>2</v>
      </c>
      <c r="F1251" t="s">
        <v>219</v>
      </c>
      <c r="G1251" t="s">
        <v>439</v>
      </c>
      <c r="H1251" t="s">
        <v>533</v>
      </c>
      <c r="I1251">
        <v>17</v>
      </c>
      <c r="J1251" s="21">
        <v>46136</v>
      </c>
      <c r="K1251" s="21">
        <v>46136</v>
      </c>
      <c r="L1251" t="s">
        <v>2595</v>
      </c>
      <c r="M1251" t="s">
        <v>535</v>
      </c>
      <c r="N1251">
        <v>9</v>
      </c>
      <c r="O1251" t="s">
        <v>2398</v>
      </c>
      <c r="P1251">
        <v>1</v>
      </c>
      <c r="Q1251">
        <v>1.35</v>
      </c>
      <c r="R1251">
        <v>1.5</v>
      </c>
      <c r="S1251">
        <v>2.0249999999999999</v>
      </c>
      <c r="T1251">
        <v>2.0299999999999998</v>
      </c>
      <c r="U1251" t="s">
        <v>89</v>
      </c>
      <c r="V1251" t="s">
        <v>90</v>
      </c>
      <c r="W1251" t="s">
        <v>21</v>
      </c>
      <c r="X1251">
        <v>1</v>
      </c>
      <c r="Y1251" t="s">
        <v>2594</v>
      </c>
      <c r="Z1251" t="s">
        <v>496</v>
      </c>
      <c r="AA1251">
        <v>38.14</v>
      </c>
      <c r="AB1251">
        <v>77.23</v>
      </c>
      <c r="AC1251">
        <v>77.23</v>
      </c>
    </row>
    <row r="1252" spans="2:29" ht="15" customHeight="1" x14ac:dyDescent="0.15">
      <c r="B1252">
        <v>4</v>
      </c>
      <c r="C1252" t="s">
        <v>386</v>
      </c>
      <c r="D1252" t="s">
        <v>2592</v>
      </c>
      <c r="E1252">
        <v>3</v>
      </c>
      <c r="F1252" t="s">
        <v>219</v>
      </c>
      <c r="G1252" t="s">
        <v>218</v>
      </c>
      <c r="H1252" t="s">
        <v>2353</v>
      </c>
      <c r="I1252">
        <v>17</v>
      </c>
      <c r="J1252" s="21">
        <v>46136</v>
      </c>
      <c r="K1252" s="21">
        <v>46136</v>
      </c>
      <c r="L1252" t="s">
        <v>2596</v>
      </c>
      <c r="M1252" t="s">
        <v>241</v>
      </c>
      <c r="N1252">
        <v>9</v>
      </c>
      <c r="O1252" t="s">
        <v>202</v>
      </c>
      <c r="P1252">
        <v>1</v>
      </c>
      <c r="Q1252">
        <v>1.35</v>
      </c>
      <c r="R1252">
        <v>0.222</v>
      </c>
      <c r="S1252">
        <v>0.3</v>
      </c>
      <c r="T1252">
        <v>0.3</v>
      </c>
      <c r="U1252" t="s">
        <v>89</v>
      </c>
      <c r="V1252" t="s">
        <v>90</v>
      </c>
      <c r="W1252" t="s">
        <v>21</v>
      </c>
      <c r="X1252">
        <v>1</v>
      </c>
      <c r="Y1252" t="s">
        <v>2594</v>
      </c>
      <c r="Z1252" t="s">
        <v>496</v>
      </c>
      <c r="AA1252">
        <v>61.3</v>
      </c>
      <c r="AB1252">
        <v>18.37</v>
      </c>
      <c r="AC1252">
        <v>18.37</v>
      </c>
    </row>
    <row r="1253" spans="2:29" ht="15" customHeight="1" x14ac:dyDescent="0.15">
      <c r="B1253">
        <v>4</v>
      </c>
      <c r="C1253" t="s">
        <v>386</v>
      </c>
      <c r="D1253" t="s">
        <v>2592</v>
      </c>
      <c r="E1253">
        <v>4</v>
      </c>
      <c r="F1253" t="s">
        <v>219</v>
      </c>
      <c r="G1253" t="s">
        <v>239</v>
      </c>
      <c r="H1253" t="s">
        <v>602</v>
      </c>
      <c r="I1253">
        <v>17</v>
      </c>
      <c r="J1253" s="21">
        <v>46136</v>
      </c>
      <c r="K1253" s="21">
        <v>46136</v>
      </c>
      <c r="L1253" t="s">
        <v>2597</v>
      </c>
      <c r="M1253" t="s">
        <v>258</v>
      </c>
      <c r="N1253">
        <v>9</v>
      </c>
      <c r="O1253" t="s">
        <v>2398</v>
      </c>
      <c r="P1253">
        <v>1</v>
      </c>
      <c r="Q1253">
        <v>1.35</v>
      </c>
      <c r="R1253">
        <v>0.5</v>
      </c>
      <c r="S1253">
        <v>0.67500000000000004</v>
      </c>
      <c r="T1253">
        <v>0.68</v>
      </c>
      <c r="U1253" t="s">
        <v>89</v>
      </c>
      <c r="V1253" t="s">
        <v>90</v>
      </c>
      <c r="W1253" t="s">
        <v>21</v>
      </c>
      <c r="X1253">
        <v>1</v>
      </c>
      <c r="Y1253" t="s">
        <v>2594</v>
      </c>
      <c r="Z1253" t="s">
        <v>496</v>
      </c>
      <c r="AA1253">
        <v>180</v>
      </c>
      <c r="AB1253">
        <v>121.5</v>
      </c>
      <c r="AC1253">
        <v>121.5</v>
      </c>
    </row>
    <row r="1254" spans="2:29" ht="15" customHeight="1" x14ac:dyDescent="0.15">
      <c r="B1254">
        <v>4</v>
      </c>
      <c r="C1254" t="s">
        <v>386</v>
      </c>
      <c r="D1254" t="s">
        <v>2592</v>
      </c>
      <c r="E1254">
        <v>5</v>
      </c>
      <c r="F1254" t="s">
        <v>219</v>
      </c>
      <c r="G1254" t="s">
        <v>218</v>
      </c>
      <c r="H1254" t="s">
        <v>686</v>
      </c>
      <c r="I1254">
        <v>17</v>
      </c>
      <c r="J1254" s="21">
        <v>46136</v>
      </c>
      <c r="K1254" s="21">
        <v>46136</v>
      </c>
      <c r="L1254" t="s">
        <v>2598</v>
      </c>
      <c r="M1254" t="s">
        <v>2468</v>
      </c>
      <c r="N1254">
        <v>9</v>
      </c>
      <c r="O1254" t="s">
        <v>2398</v>
      </c>
      <c r="P1254">
        <v>1</v>
      </c>
      <c r="Q1254">
        <v>1.35</v>
      </c>
      <c r="R1254">
        <v>0.15</v>
      </c>
      <c r="S1254">
        <v>0.20300000000000001</v>
      </c>
      <c r="T1254">
        <v>0.2</v>
      </c>
      <c r="U1254" t="s">
        <v>89</v>
      </c>
      <c r="V1254" t="s">
        <v>90</v>
      </c>
      <c r="W1254" t="s">
        <v>21</v>
      </c>
      <c r="X1254">
        <v>1</v>
      </c>
      <c r="Y1254" t="s">
        <v>2594</v>
      </c>
      <c r="Z1254" t="s">
        <v>496</v>
      </c>
      <c r="AA1254">
        <v>80.900000000000006</v>
      </c>
      <c r="AB1254">
        <v>16.38</v>
      </c>
      <c r="AC1254">
        <v>16.38</v>
      </c>
    </row>
    <row r="1255" spans="2:29" ht="15" customHeight="1" x14ac:dyDescent="0.15">
      <c r="B1255">
        <v>4</v>
      </c>
      <c r="C1255" t="s">
        <v>386</v>
      </c>
      <c r="D1255" t="s">
        <v>2599</v>
      </c>
      <c r="E1255">
        <v>1</v>
      </c>
      <c r="F1255" t="s">
        <v>219</v>
      </c>
      <c r="G1255" t="s">
        <v>231</v>
      </c>
      <c r="H1255" t="s">
        <v>231</v>
      </c>
      <c r="I1255">
        <v>17</v>
      </c>
      <c r="J1255" s="21">
        <v>46136</v>
      </c>
      <c r="K1255" s="21">
        <v>46136</v>
      </c>
      <c r="L1255" t="s">
        <v>2600</v>
      </c>
      <c r="M1255" t="s">
        <v>2351</v>
      </c>
      <c r="N1255">
        <v>4</v>
      </c>
      <c r="O1255" t="s">
        <v>2398</v>
      </c>
      <c r="P1255">
        <v>1</v>
      </c>
      <c r="Q1255">
        <v>0.68</v>
      </c>
      <c r="R1255">
        <v>0.15</v>
      </c>
      <c r="S1255">
        <v>0.20300000000000001</v>
      </c>
      <c r="T1255">
        <v>0.1</v>
      </c>
      <c r="U1255" t="s">
        <v>84</v>
      </c>
      <c r="V1255" t="s">
        <v>85</v>
      </c>
      <c r="W1255" t="s">
        <v>21</v>
      </c>
      <c r="X1255">
        <v>2</v>
      </c>
      <c r="Y1255" t="s">
        <v>2594</v>
      </c>
      <c r="Z1255" t="s">
        <v>496</v>
      </c>
      <c r="AA1255">
        <v>16.61</v>
      </c>
      <c r="AB1255">
        <v>3.36</v>
      </c>
      <c r="AC1255">
        <v>1.68</v>
      </c>
    </row>
    <row r="1256" spans="2:29" ht="15" customHeight="1" x14ac:dyDescent="0.15">
      <c r="B1256">
        <v>4</v>
      </c>
      <c r="C1256" t="s">
        <v>386</v>
      </c>
      <c r="D1256" t="s">
        <v>2599</v>
      </c>
      <c r="E1256">
        <v>2</v>
      </c>
      <c r="F1256" t="s">
        <v>219</v>
      </c>
      <c r="G1256" t="s">
        <v>439</v>
      </c>
      <c r="H1256" t="s">
        <v>533</v>
      </c>
      <c r="I1256">
        <v>17</v>
      </c>
      <c r="J1256" s="21">
        <v>46136</v>
      </c>
      <c r="K1256" s="21">
        <v>46136</v>
      </c>
      <c r="L1256" t="s">
        <v>2601</v>
      </c>
      <c r="M1256" t="s">
        <v>535</v>
      </c>
      <c r="N1256">
        <v>4</v>
      </c>
      <c r="O1256" t="s">
        <v>2398</v>
      </c>
      <c r="P1256">
        <v>1</v>
      </c>
      <c r="Q1256">
        <v>0.68</v>
      </c>
      <c r="R1256">
        <v>1.5</v>
      </c>
      <c r="S1256">
        <v>2.0249999999999999</v>
      </c>
      <c r="T1256">
        <v>1.01</v>
      </c>
      <c r="U1256" t="s">
        <v>84</v>
      </c>
      <c r="V1256" t="s">
        <v>85</v>
      </c>
      <c r="W1256" t="s">
        <v>21</v>
      </c>
      <c r="X1256">
        <v>2</v>
      </c>
      <c r="Y1256" t="s">
        <v>2594</v>
      </c>
      <c r="Z1256" t="s">
        <v>496</v>
      </c>
      <c r="AA1256">
        <v>38.14</v>
      </c>
      <c r="AB1256">
        <v>77.23</v>
      </c>
      <c r="AC1256">
        <v>38.619999999999997</v>
      </c>
    </row>
    <row r="1257" spans="2:29" ht="15" customHeight="1" x14ac:dyDescent="0.15">
      <c r="B1257">
        <v>4</v>
      </c>
      <c r="C1257" t="s">
        <v>386</v>
      </c>
      <c r="D1257" t="s">
        <v>2599</v>
      </c>
      <c r="E1257">
        <v>3</v>
      </c>
      <c r="F1257" t="s">
        <v>219</v>
      </c>
      <c r="G1257" t="s">
        <v>218</v>
      </c>
      <c r="H1257" t="s">
        <v>2353</v>
      </c>
      <c r="I1257">
        <v>17</v>
      </c>
      <c r="J1257" s="21">
        <v>46136</v>
      </c>
      <c r="K1257" s="21">
        <v>46136</v>
      </c>
      <c r="L1257" t="s">
        <v>2602</v>
      </c>
      <c r="M1257" t="s">
        <v>241</v>
      </c>
      <c r="N1257">
        <v>4</v>
      </c>
      <c r="O1257" t="s">
        <v>202</v>
      </c>
      <c r="P1257">
        <v>1</v>
      </c>
      <c r="Q1257">
        <v>0.68</v>
      </c>
      <c r="R1257">
        <v>0.222</v>
      </c>
      <c r="S1257">
        <v>0.3</v>
      </c>
      <c r="T1257">
        <v>0.15</v>
      </c>
      <c r="U1257" t="s">
        <v>84</v>
      </c>
      <c r="V1257" t="s">
        <v>85</v>
      </c>
      <c r="W1257" t="s">
        <v>21</v>
      </c>
      <c r="X1257">
        <v>2</v>
      </c>
      <c r="Y1257" t="s">
        <v>2594</v>
      </c>
      <c r="Z1257" t="s">
        <v>496</v>
      </c>
      <c r="AA1257">
        <v>61.3</v>
      </c>
      <c r="AB1257">
        <v>18.37</v>
      </c>
      <c r="AC1257">
        <v>9.19</v>
      </c>
    </row>
    <row r="1258" spans="2:29" ht="15" customHeight="1" x14ac:dyDescent="0.15">
      <c r="B1258">
        <v>4</v>
      </c>
      <c r="C1258" t="s">
        <v>386</v>
      </c>
      <c r="D1258" t="s">
        <v>2599</v>
      </c>
      <c r="E1258">
        <v>4</v>
      </c>
      <c r="F1258" t="s">
        <v>219</v>
      </c>
      <c r="G1258" t="s">
        <v>239</v>
      </c>
      <c r="H1258" t="s">
        <v>602</v>
      </c>
      <c r="I1258">
        <v>17</v>
      </c>
      <c r="J1258" s="21">
        <v>46136</v>
      </c>
      <c r="K1258" s="21">
        <v>46136</v>
      </c>
      <c r="L1258" t="s">
        <v>2603</v>
      </c>
      <c r="M1258" t="s">
        <v>258</v>
      </c>
      <c r="N1258">
        <v>4</v>
      </c>
      <c r="O1258" t="s">
        <v>2398</v>
      </c>
      <c r="P1258">
        <v>1</v>
      </c>
      <c r="Q1258">
        <v>0.68</v>
      </c>
      <c r="R1258">
        <v>0.5</v>
      </c>
      <c r="S1258">
        <v>0.67500000000000004</v>
      </c>
      <c r="T1258">
        <v>0.34</v>
      </c>
      <c r="U1258" t="s">
        <v>84</v>
      </c>
      <c r="V1258" t="s">
        <v>85</v>
      </c>
      <c r="W1258" t="s">
        <v>21</v>
      </c>
      <c r="X1258">
        <v>2</v>
      </c>
      <c r="Y1258" t="s">
        <v>2594</v>
      </c>
      <c r="Z1258" t="s">
        <v>496</v>
      </c>
      <c r="AA1258">
        <v>180</v>
      </c>
      <c r="AB1258">
        <v>121.5</v>
      </c>
      <c r="AC1258">
        <v>60.75</v>
      </c>
    </row>
    <row r="1259" spans="2:29" ht="15" customHeight="1" x14ac:dyDescent="0.15">
      <c r="B1259">
        <v>4</v>
      </c>
      <c r="C1259" t="s">
        <v>386</v>
      </c>
      <c r="D1259" t="s">
        <v>2599</v>
      </c>
      <c r="E1259">
        <v>5</v>
      </c>
      <c r="F1259" t="s">
        <v>219</v>
      </c>
      <c r="G1259" t="s">
        <v>218</v>
      </c>
      <c r="H1259" t="s">
        <v>686</v>
      </c>
      <c r="I1259">
        <v>17</v>
      </c>
      <c r="J1259" s="21">
        <v>46136</v>
      </c>
      <c r="K1259" s="21">
        <v>46136</v>
      </c>
      <c r="L1259" t="s">
        <v>2604</v>
      </c>
      <c r="M1259" t="s">
        <v>2468</v>
      </c>
      <c r="N1259">
        <v>4</v>
      </c>
      <c r="O1259" t="s">
        <v>2398</v>
      </c>
      <c r="P1259">
        <v>1</v>
      </c>
      <c r="Q1259">
        <v>0.68</v>
      </c>
      <c r="R1259">
        <v>0.15</v>
      </c>
      <c r="S1259">
        <v>0.20300000000000001</v>
      </c>
      <c r="T1259">
        <v>0.1</v>
      </c>
      <c r="U1259" t="s">
        <v>84</v>
      </c>
      <c r="V1259" t="s">
        <v>85</v>
      </c>
      <c r="W1259" t="s">
        <v>21</v>
      </c>
      <c r="X1259">
        <v>2</v>
      </c>
      <c r="Y1259" t="s">
        <v>2594</v>
      </c>
      <c r="Z1259" t="s">
        <v>496</v>
      </c>
      <c r="AA1259">
        <v>80.900000000000006</v>
      </c>
      <c r="AB1259">
        <v>16.38</v>
      </c>
      <c r="AC1259">
        <v>8.19</v>
      </c>
    </row>
    <row r="1260" spans="2:29" ht="15" customHeight="1" x14ac:dyDescent="0.15">
      <c r="B1260">
        <v>4</v>
      </c>
      <c r="C1260" t="s">
        <v>386</v>
      </c>
      <c r="D1260" t="s">
        <v>2605</v>
      </c>
      <c r="E1260">
        <v>1</v>
      </c>
      <c r="F1260" t="s">
        <v>219</v>
      </c>
      <c r="G1260" t="s">
        <v>231</v>
      </c>
      <c r="H1260" t="s">
        <v>231</v>
      </c>
      <c r="I1260">
        <v>17</v>
      </c>
      <c r="J1260" s="21">
        <v>46137</v>
      </c>
      <c r="K1260" s="21">
        <v>46137</v>
      </c>
      <c r="L1260" t="s">
        <v>2606</v>
      </c>
      <c r="M1260" t="s">
        <v>2351</v>
      </c>
      <c r="N1260">
        <v>65</v>
      </c>
      <c r="O1260" t="s">
        <v>2398</v>
      </c>
      <c r="P1260">
        <v>4</v>
      </c>
      <c r="Q1260">
        <v>2</v>
      </c>
      <c r="R1260">
        <v>0.15</v>
      </c>
      <c r="S1260">
        <v>0.6</v>
      </c>
      <c r="T1260">
        <v>0.3</v>
      </c>
      <c r="U1260" t="s">
        <v>47</v>
      </c>
      <c r="V1260" t="s">
        <v>48</v>
      </c>
      <c r="W1260" t="s">
        <v>21</v>
      </c>
      <c r="X1260">
        <v>2</v>
      </c>
      <c r="Y1260" t="s">
        <v>679</v>
      </c>
      <c r="Z1260" t="s">
        <v>496</v>
      </c>
      <c r="AA1260">
        <v>16.61</v>
      </c>
      <c r="AB1260">
        <v>9.9700000000000006</v>
      </c>
      <c r="AC1260">
        <v>4.9800000000000004</v>
      </c>
    </row>
    <row r="1261" spans="2:29" ht="15" customHeight="1" x14ac:dyDescent="0.15">
      <c r="B1261">
        <v>4</v>
      </c>
      <c r="C1261" t="s">
        <v>386</v>
      </c>
      <c r="D1261" t="s">
        <v>2605</v>
      </c>
      <c r="E1261">
        <v>2</v>
      </c>
      <c r="F1261" t="s">
        <v>219</v>
      </c>
      <c r="G1261" t="s">
        <v>218</v>
      </c>
      <c r="H1261" t="s">
        <v>2353</v>
      </c>
      <c r="I1261">
        <v>17</v>
      </c>
      <c r="J1261" s="21">
        <v>46137</v>
      </c>
      <c r="K1261" s="21">
        <v>46137</v>
      </c>
      <c r="L1261" t="s">
        <v>2607</v>
      </c>
      <c r="M1261" t="s">
        <v>241</v>
      </c>
      <c r="N1261">
        <v>65</v>
      </c>
      <c r="O1261" t="s">
        <v>202</v>
      </c>
      <c r="P1261">
        <v>4</v>
      </c>
      <c r="Q1261">
        <v>2</v>
      </c>
      <c r="R1261">
        <v>0.2</v>
      </c>
      <c r="S1261">
        <v>0.8</v>
      </c>
      <c r="T1261">
        <v>0.4</v>
      </c>
      <c r="U1261" t="s">
        <v>47</v>
      </c>
      <c r="V1261" t="s">
        <v>48</v>
      </c>
      <c r="W1261" t="s">
        <v>21</v>
      </c>
      <c r="X1261">
        <v>2</v>
      </c>
      <c r="Y1261" t="s">
        <v>679</v>
      </c>
      <c r="Z1261" t="s">
        <v>496</v>
      </c>
      <c r="AA1261">
        <v>61.3</v>
      </c>
      <c r="AB1261">
        <v>49.04</v>
      </c>
      <c r="AC1261">
        <v>24.52</v>
      </c>
    </row>
    <row r="1262" spans="2:29" ht="15" customHeight="1" x14ac:dyDescent="0.15">
      <c r="B1262">
        <v>4</v>
      </c>
      <c r="C1262" t="s">
        <v>386</v>
      </c>
      <c r="D1262" t="s">
        <v>2605</v>
      </c>
      <c r="E1262">
        <v>3</v>
      </c>
      <c r="F1262" t="s">
        <v>219</v>
      </c>
      <c r="G1262" s="8" t="s">
        <v>223</v>
      </c>
      <c r="H1262" t="s">
        <v>2608</v>
      </c>
      <c r="I1262">
        <v>17</v>
      </c>
      <c r="J1262" s="21">
        <v>46137</v>
      </c>
      <c r="K1262" s="21">
        <v>46137</v>
      </c>
      <c r="L1262" t="s">
        <v>2609</v>
      </c>
      <c r="M1262" t="s">
        <v>250</v>
      </c>
      <c r="N1262">
        <v>65</v>
      </c>
      <c r="O1262" t="s">
        <v>2398</v>
      </c>
      <c r="P1262">
        <v>4</v>
      </c>
      <c r="Q1262">
        <v>2</v>
      </c>
      <c r="R1262">
        <v>10</v>
      </c>
      <c r="S1262">
        <v>40</v>
      </c>
      <c r="T1262">
        <v>20</v>
      </c>
      <c r="U1262" t="s">
        <v>47</v>
      </c>
      <c r="V1262" t="s">
        <v>48</v>
      </c>
      <c r="W1262" t="s">
        <v>21</v>
      </c>
      <c r="X1262">
        <v>2</v>
      </c>
      <c r="Y1262" t="s">
        <v>679</v>
      </c>
      <c r="Z1262" t="s">
        <v>496</v>
      </c>
      <c r="AA1262">
        <v>3</v>
      </c>
      <c r="AB1262">
        <v>120</v>
      </c>
      <c r="AC1262">
        <v>60</v>
      </c>
    </row>
    <row r="1263" spans="2:29" ht="15" customHeight="1" x14ac:dyDescent="0.15">
      <c r="B1263">
        <v>4</v>
      </c>
      <c r="C1263" t="s">
        <v>386</v>
      </c>
      <c r="D1263" t="s">
        <v>2605</v>
      </c>
      <c r="E1263">
        <v>4</v>
      </c>
      <c r="F1263" t="s">
        <v>219</v>
      </c>
      <c r="G1263" t="s">
        <v>244</v>
      </c>
      <c r="H1263" t="s">
        <v>2519</v>
      </c>
      <c r="I1263">
        <v>17</v>
      </c>
      <c r="J1263" s="21">
        <v>46137</v>
      </c>
      <c r="K1263" s="21">
        <v>46137</v>
      </c>
      <c r="L1263" t="s">
        <v>2610</v>
      </c>
      <c r="M1263" t="s">
        <v>2521</v>
      </c>
      <c r="N1263">
        <v>65</v>
      </c>
      <c r="O1263" t="s">
        <v>2398</v>
      </c>
      <c r="P1263">
        <v>4</v>
      </c>
      <c r="Q1263">
        <v>2</v>
      </c>
      <c r="R1263">
        <v>0.15</v>
      </c>
      <c r="S1263">
        <v>0.6</v>
      </c>
      <c r="T1263">
        <v>0.3</v>
      </c>
      <c r="U1263" t="s">
        <v>47</v>
      </c>
      <c r="V1263" t="s">
        <v>48</v>
      </c>
      <c r="W1263" t="s">
        <v>21</v>
      </c>
      <c r="X1263">
        <v>2</v>
      </c>
      <c r="Y1263" t="s">
        <v>679</v>
      </c>
      <c r="Z1263" t="s">
        <v>496</v>
      </c>
      <c r="AA1263">
        <v>238</v>
      </c>
      <c r="AB1263">
        <v>142.80000000000001</v>
      </c>
      <c r="AC1263">
        <v>71.400000000000006</v>
      </c>
    </row>
    <row r="1264" spans="2:29" ht="15" customHeight="1" x14ac:dyDescent="0.15">
      <c r="B1264">
        <v>4</v>
      </c>
      <c r="C1264" t="s">
        <v>386</v>
      </c>
      <c r="D1264" t="s">
        <v>2605</v>
      </c>
      <c r="E1264">
        <v>5</v>
      </c>
      <c r="F1264" t="s">
        <v>219</v>
      </c>
      <c r="G1264" t="s">
        <v>239</v>
      </c>
      <c r="H1264" t="s">
        <v>602</v>
      </c>
      <c r="I1264">
        <v>17</v>
      </c>
      <c r="J1264" s="21">
        <v>46137</v>
      </c>
      <c r="K1264" s="21">
        <v>46137</v>
      </c>
      <c r="L1264" t="s">
        <v>2611</v>
      </c>
      <c r="M1264" t="s">
        <v>258</v>
      </c>
      <c r="N1264">
        <v>65</v>
      </c>
      <c r="O1264" t="s">
        <v>2398</v>
      </c>
      <c r="P1264">
        <v>4</v>
      </c>
      <c r="Q1264">
        <v>2</v>
      </c>
      <c r="R1264">
        <v>0.5</v>
      </c>
      <c r="S1264">
        <v>2</v>
      </c>
      <c r="T1264">
        <v>1</v>
      </c>
      <c r="U1264" t="s">
        <v>47</v>
      </c>
      <c r="V1264" t="s">
        <v>48</v>
      </c>
      <c r="W1264" t="s">
        <v>21</v>
      </c>
      <c r="X1264">
        <v>2</v>
      </c>
      <c r="Y1264" t="s">
        <v>679</v>
      </c>
      <c r="Z1264" t="s">
        <v>496</v>
      </c>
      <c r="AA1264">
        <v>180</v>
      </c>
      <c r="AB1264">
        <v>360</v>
      </c>
      <c r="AC1264">
        <v>180</v>
      </c>
    </row>
    <row r="1265" spans="2:29" ht="15" customHeight="1" x14ac:dyDescent="0.15">
      <c r="B1265">
        <v>4</v>
      </c>
      <c r="C1265" t="s">
        <v>386</v>
      </c>
      <c r="D1265" t="s">
        <v>2605</v>
      </c>
      <c r="E1265">
        <v>6</v>
      </c>
      <c r="F1265" t="s">
        <v>219</v>
      </c>
      <c r="G1265" t="s">
        <v>218</v>
      </c>
      <c r="H1265" t="s">
        <v>686</v>
      </c>
      <c r="I1265">
        <v>17</v>
      </c>
      <c r="J1265" s="21">
        <v>46137</v>
      </c>
      <c r="K1265" s="21">
        <v>46137</v>
      </c>
      <c r="L1265" t="s">
        <v>2612</v>
      </c>
      <c r="M1265" t="s">
        <v>2468</v>
      </c>
      <c r="N1265">
        <v>65</v>
      </c>
      <c r="O1265" t="s">
        <v>2398</v>
      </c>
      <c r="P1265">
        <v>4</v>
      </c>
      <c r="Q1265">
        <v>2</v>
      </c>
      <c r="R1265">
        <v>0.15</v>
      </c>
      <c r="S1265">
        <v>0.6</v>
      </c>
      <c r="T1265">
        <v>0.3</v>
      </c>
      <c r="U1265" t="s">
        <v>47</v>
      </c>
      <c r="V1265" t="s">
        <v>48</v>
      </c>
      <c r="W1265" t="s">
        <v>21</v>
      </c>
      <c r="X1265">
        <v>2</v>
      </c>
      <c r="Y1265" t="s">
        <v>679</v>
      </c>
      <c r="Z1265" t="s">
        <v>496</v>
      </c>
      <c r="AA1265">
        <v>80.900000000000006</v>
      </c>
      <c r="AB1265">
        <v>48.54</v>
      </c>
      <c r="AC1265">
        <v>24.27</v>
      </c>
    </row>
    <row r="1266" spans="2:29" ht="15" customHeight="1" x14ac:dyDescent="0.15">
      <c r="B1266">
        <v>4</v>
      </c>
      <c r="C1266" t="s">
        <v>386</v>
      </c>
      <c r="D1266" t="s">
        <v>2613</v>
      </c>
      <c r="E1266">
        <v>1</v>
      </c>
      <c r="F1266" t="s">
        <v>219</v>
      </c>
      <c r="G1266" t="s">
        <v>231</v>
      </c>
      <c r="H1266" t="s">
        <v>231</v>
      </c>
      <c r="I1266">
        <v>17</v>
      </c>
      <c r="J1266" s="21">
        <v>46137</v>
      </c>
      <c r="K1266" s="21">
        <v>46137</v>
      </c>
      <c r="L1266" t="s">
        <v>2614</v>
      </c>
      <c r="M1266" t="s">
        <v>2351</v>
      </c>
      <c r="N1266">
        <v>23</v>
      </c>
      <c r="O1266" t="s">
        <v>2398</v>
      </c>
      <c r="P1266">
        <v>3</v>
      </c>
      <c r="Q1266">
        <v>1.3</v>
      </c>
      <c r="R1266">
        <v>0.15</v>
      </c>
      <c r="S1266">
        <v>0.45</v>
      </c>
      <c r="T1266">
        <v>0.2</v>
      </c>
      <c r="U1266" t="s">
        <v>80</v>
      </c>
      <c r="V1266" t="s">
        <v>81</v>
      </c>
      <c r="W1266" t="s">
        <v>21</v>
      </c>
      <c r="X1266">
        <v>2.2999999999999998</v>
      </c>
      <c r="Y1266" t="s">
        <v>679</v>
      </c>
      <c r="Z1266" t="s">
        <v>496</v>
      </c>
      <c r="AA1266">
        <v>16.61</v>
      </c>
      <c r="AB1266">
        <v>7.47</v>
      </c>
      <c r="AC1266">
        <v>3.25</v>
      </c>
    </row>
    <row r="1267" spans="2:29" ht="15" customHeight="1" x14ac:dyDescent="0.15">
      <c r="B1267">
        <v>4</v>
      </c>
      <c r="C1267" t="s">
        <v>386</v>
      </c>
      <c r="D1267" t="s">
        <v>2613</v>
      </c>
      <c r="E1267">
        <v>2</v>
      </c>
      <c r="F1267" t="s">
        <v>219</v>
      </c>
      <c r="G1267" t="s">
        <v>218</v>
      </c>
      <c r="H1267" t="s">
        <v>2353</v>
      </c>
      <c r="I1267">
        <v>17</v>
      </c>
      <c r="J1267" s="21">
        <v>46137</v>
      </c>
      <c r="K1267" s="21">
        <v>46137</v>
      </c>
      <c r="L1267" t="s">
        <v>2615</v>
      </c>
      <c r="M1267" t="s">
        <v>241</v>
      </c>
      <c r="N1267">
        <v>23</v>
      </c>
      <c r="O1267" t="s">
        <v>202</v>
      </c>
      <c r="P1267">
        <v>3</v>
      </c>
      <c r="Q1267">
        <v>1.3</v>
      </c>
      <c r="R1267">
        <v>0.2</v>
      </c>
      <c r="S1267">
        <v>0.6</v>
      </c>
      <c r="T1267">
        <v>0.26</v>
      </c>
      <c r="U1267" t="s">
        <v>80</v>
      </c>
      <c r="V1267" t="s">
        <v>81</v>
      </c>
      <c r="W1267" t="s">
        <v>21</v>
      </c>
      <c r="X1267">
        <v>2.2999999999999998</v>
      </c>
      <c r="Y1267" t="s">
        <v>679</v>
      </c>
      <c r="Z1267" t="s">
        <v>496</v>
      </c>
      <c r="AA1267">
        <v>61.3</v>
      </c>
      <c r="AB1267">
        <v>36.78</v>
      </c>
      <c r="AC1267">
        <v>15.99</v>
      </c>
    </row>
    <row r="1268" spans="2:29" ht="15" customHeight="1" x14ac:dyDescent="0.15">
      <c r="B1268">
        <v>4</v>
      </c>
      <c r="C1268" t="s">
        <v>386</v>
      </c>
      <c r="D1268" t="s">
        <v>2613</v>
      </c>
      <c r="E1268">
        <v>3</v>
      </c>
      <c r="F1268" t="s">
        <v>219</v>
      </c>
      <c r="G1268" t="s">
        <v>244</v>
      </c>
      <c r="H1268" t="s">
        <v>571</v>
      </c>
      <c r="I1268">
        <v>17</v>
      </c>
      <c r="J1268" s="21">
        <v>46137</v>
      </c>
      <c r="K1268" s="21">
        <v>46137</v>
      </c>
      <c r="L1268" t="s">
        <v>2616</v>
      </c>
      <c r="M1268" t="s">
        <v>2443</v>
      </c>
      <c r="N1268">
        <v>23</v>
      </c>
      <c r="O1268" t="s">
        <v>2398</v>
      </c>
      <c r="P1268">
        <v>3</v>
      </c>
      <c r="Q1268">
        <v>1.3</v>
      </c>
      <c r="R1268">
        <v>0.5</v>
      </c>
      <c r="S1268">
        <v>1.5</v>
      </c>
      <c r="T1268">
        <v>0.65</v>
      </c>
      <c r="U1268" t="s">
        <v>80</v>
      </c>
      <c r="V1268" t="s">
        <v>81</v>
      </c>
      <c r="W1268" t="s">
        <v>21</v>
      </c>
      <c r="X1268">
        <v>2.2999999999999998</v>
      </c>
      <c r="Y1268" t="s">
        <v>679</v>
      </c>
      <c r="Z1268" t="s">
        <v>496</v>
      </c>
      <c r="AA1268">
        <v>59.5</v>
      </c>
      <c r="AB1268">
        <v>89.25</v>
      </c>
      <c r="AC1268">
        <v>38.799999999999997</v>
      </c>
    </row>
    <row r="1269" spans="2:29" ht="15" customHeight="1" x14ac:dyDescent="0.15">
      <c r="B1269">
        <v>4</v>
      </c>
      <c r="C1269" t="s">
        <v>386</v>
      </c>
      <c r="D1269" t="s">
        <v>2613</v>
      </c>
      <c r="E1269">
        <v>4</v>
      </c>
      <c r="F1269" t="s">
        <v>219</v>
      </c>
      <c r="G1269" t="s">
        <v>239</v>
      </c>
      <c r="H1269" t="s">
        <v>602</v>
      </c>
      <c r="I1269">
        <v>17</v>
      </c>
      <c r="J1269" s="21">
        <v>46137</v>
      </c>
      <c r="K1269" s="21">
        <v>46137</v>
      </c>
      <c r="L1269" t="s">
        <v>2617</v>
      </c>
      <c r="M1269" t="s">
        <v>258</v>
      </c>
      <c r="N1269">
        <v>23</v>
      </c>
      <c r="O1269" t="s">
        <v>2398</v>
      </c>
      <c r="P1269">
        <v>3</v>
      </c>
      <c r="Q1269">
        <v>1.3</v>
      </c>
      <c r="R1269">
        <v>0.5</v>
      </c>
      <c r="S1269">
        <v>1.5</v>
      </c>
      <c r="T1269">
        <v>0.65</v>
      </c>
      <c r="U1269" t="s">
        <v>80</v>
      </c>
      <c r="V1269" t="s">
        <v>81</v>
      </c>
      <c r="W1269" t="s">
        <v>21</v>
      </c>
      <c r="X1269">
        <v>2.2999999999999998</v>
      </c>
      <c r="Y1269" t="s">
        <v>679</v>
      </c>
      <c r="Z1269" t="s">
        <v>496</v>
      </c>
      <c r="AA1269">
        <v>180</v>
      </c>
      <c r="AB1269">
        <v>270</v>
      </c>
      <c r="AC1269">
        <v>117.39</v>
      </c>
    </row>
    <row r="1270" spans="2:29" ht="15" customHeight="1" x14ac:dyDescent="0.15">
      <c r="B1270">
        <v>4</v>
      </c>
      <c r="C1270" t="s">
        <v>386</v>
      </c>
      <c r="D1270" t="s">
        <v>2613</v>
      </c>
      <c r="E1270">
        <v>5</v>
      </c>
      <c r="F1270" t="s">
        <v>219</v>
      </c>
      <c r="G1270" t="s">
        <v>218</v>
      </c>
      <c r="H1270" t="s">
        <v>1366</v>
      </c>
      <c r="I1270">
        <v>17</v>
      </c>
      <c r="J1270" s="21">
        <v>46137</v>
      </c>
      <c r="K1270" s="21">
        <v>46137</v>
      </c>
      <c r="L1270" t="s">
        <v>2618</v>
      </c>
      <c r="M1270" t="s">
        <v>1368</v>
      </c>
      <c r="N1270">
        <v>23</v>
      </c>
      <c r="O1270" t="s">
        <v>2398</v>
      </c>
      <c r="P1270">
        <v>3</v>
      </c>
      <c r="Q1270">
        <v>1.3</v>
      </c>
      <c r="R1270">
        <v>0.1</v>
      </c>
      <c r="S1270">
        <v>0.3</v>
      </c>
      <c r="T1270">
        <v>0.13</v>
      </c>
      <c r="U1270" t="s">
        <v>80</v>
      </c>
      <c r="V1270" t="s">
        <v>81</v>
      </c>
      <c r="W1270" t="s">
        <v>21</v>
      </c>
      <c r="X1270">
        <v>2.2999999999999998</v>
      </c>
      <c r="Y1270" t="s">
        <v>679</v>
      </c>
      <c r="Z1270" t="s">
        <v>496</v>
      </c>
      <c r="AA1270">
        <v>784.7</v>
      </c>
      <c r="AB1270">
        <v>235.41</v>
      </c>
      <c r="AC1270">
        <v>102.35</v>
      </c>
    </row>
    <row r="1271" spans="2:29" ht="15" customHeight="1" x14ac:dyDescent="0.15">
      <c r="B1271">
        <v>4</v>
      </c>
      <c r="C1271" t="s">
        <v>386</v>
      </c>
      <c r="D1271" t="s">
        <v>2613</v>
      </c>
      <c r="E1271">
        <v>6</v>
      </c>
      <c r="F1271" t="s">
        <v>219</v>
      </c>
      <c r="G1271" t="s">
        <v>218</v>
      </c>
      <c r="H1271" t="s">
        <v>686</v>
      </c>
      <c r="I1271">
        <v>17</v>
      </c>
      <c r="J1271" s="21">
        <v>46137</v>
      </c>
      <c r="K1271" s="21">
        <v>46137</v>
      </c>
      <c r="L1271" t="s">
        <v>2619</v>
      </c>
      <c r="M1271" t="s">
        <v>2468</v>
      </c>
      <c r="N1271">
        <v>23</v>
      </c>
      <c r="O1271" t="s">
        <v>2398</v>
      </c>
      <c r="P1271">
        <v>3</v>
      </c>
      <c r="Q1271">
        <v>1.3</v>
      </c>
      <c r="R1271">
        <v>0.15</v>
      </c>
      <c r="S1271">
        <v>0.45</v>
      </c>
      <c r="T1271">
        <v>0.2</v>
      </c>
      <c r="U1271" t="s">
        <v>80</v>
      </c>
      <c r="V1271" t="s">
        <v>81</v>
      </c>
      <c r="W1271" t="s">
        <v>21</v>
      </c>
      <c r="X1271">
        <v>2.2999999999999998</v>
      </c>
      <c r="Y1271" t="s">
        <v>679</v>
      </c>
      <c r="Z1271" t="s">
        <v>496</v>
      </c>
      <c r="AA1271">
        <v>80.900000000000006</v>
      </c>
      <c r="AB1271">
        <v>36.409999999999997</v>
      </c>
      <c r="AC1271">
        <v>15.83</v>
      </c>
    </row>
    <row r="1272" spans="2:29" ht="15" customHeight="1" x14ac:dyDescent="0.15">
      <c r="B1272">
        <v>4</v>
      </c>
      <c r="C1272" t="s">
        <v>386</v>
      </c>
      <c r="D1272" t="s">
        <v>2620</v>
      </c>
      <c r="E1272">
        <v>1</v>
      </c>
      <c r="F1272" t="s">
        <v>219</v>
      </c>
      <c r="G1272" t="s">
        <v>231</v>
      </c>
      <c r="H1272" t="s">
        <v>231</v>
      </c>
      <c r="I1272">
        <v>17</v>
      </c>
      <c r="J1272" s="21">
        <v>46137</v>
      </c>
      <c r="K1272" s="21">
        <v>46137</v>
      </c>
      <c r="L1272" t="s">
        <v>2621</v>
      </c>
      <c r="M1272" t="s">
        <v>2351</v>
      </c>
      <c r="N1272">
        <v>23</v>
      </c>
      <c r="O1272" t="s">
        <v>2398</v>
      </c>
      <c r="P1272">
        <v>2</v>
      </c>
      <c r="Q1272">
        <v>1.5</v>
      </c>
      <c r="R1272">
        <v>0.15</v>
      </c>
      <c r="S1272">
        <v>0.22500000000000001</v>
      </c>
      <c r="T1272">
        <v>0.23</v>
      </c>
      <c r="U1272" t="s">
        <v>68</v>
      </c>
      <c r="V1272" t="s">
        <v>69</v>
      </c>
      <c r="W1272" t="s">
        <v>21</v>
      </c>
      <c r="X1272">
        <v>1</v>
      </c>
      <c r="Y1272" t="s">
        <v>679</v>
      </c>
      <c r="Z1272" t="s">
        <v>496</v>
      </c>
      <c r="AA1272">
        <v>16.61</v>
      </c>
      <c r="AB1272">
        <v>3.74</v>
      </c>
      <c r="AC1272">
        <v>3.74</v>
      </c>
    </row>
    <row r="1273" spans="2:29" ht="15" customHeight="1" x14ac:dyDescent="0.15">
      <c r="B1273">
        <v>4</v>
      </c>
      <c r="C1273" t="s">
        <v>386</v>
      </c>
      <c r="D1273" t="s">
        <v>2620</v>
      </c>
      <c r="E1273">
        <v>2</v>
      </c>
      <c r="F1273" t="s">
        <v>219</v>
      </c>
      <c r="G1273" t="s">
        <v>218</v>
      </c>
      <c r="H1273" t="s">
        <v>2353</v>
      </c>
      <c r="I1273">
        <v>17</v>
      </c>
      <c r="J1273" s="21">
        <v>46137</v>
      </c>
      <c r="K1273" s="21">
        <v>46137</v>
      </c>
      <c r="L1273" t="s">
        <v>2622</v>
      </c>
      <c r="M1273" t="s">
        <v>241</v>
      </c>
      <c r="N1273">
        <v>23</v>
      </c>
      <c r="O1273" t="s">
        <v>202</v>
      </c>
      <c r="P1273">
        <v>2</v>
      </c>
      <c r="Q1273">
        <v>1.5</v>
      </c>
      <c r="R1273">
        <v>0.2</v>
      </c>
      <c r="S1273">
        <v>0.3</v>
      </c>
      <c r="T1273">
        <v>0.3</v>
      </c>
      <c r="U1273" t="s">
        <v>68</v>
      </c>
      <c r="V1273" t="s">
        <v>69</v>
      </c>
      <c r="W1273" t="s">
        <v>21</v>
      </c>
      <c r="X1273">
        <v>1</v>
      </c>
      <c r="Y1273" t="s">
        <v>679</v>
      </c>
      <c r="Z1273" t="s">
        <v>496</v>
      </c>
      <c r="AA1273">
        <v>61.3</v>
      </c>
      <c r="AB1273">
        <v>18.39</v>
      </c>
      <c r="AC1273">
        <v>18.39</v>
      </c>
    </row>
    <row r="1274" spans="2:29" ht="15" customHeight="1" x14ac:dyDescent="0.15">
      <c r="B1274">
        <v>4</v>
      </c>
      <c r="C1274" t="s">
        <v>386</v>
      </c>
      <c r="D1274" t="s">
        <v>2620</v>
      </c>
      <c r="E1274">
        <v>3</v>
      </c>
      <c r="F1274" t="s">
        <v>219</v>
      </c>
      <c r="G1274" t="s">
        <v>244</v>
      </c>
      <c r="H1274" t="s">
        <v>571</v>
      </c>
      <c r="I1274">
        <v>17</v>
      </c>
      <c r="J1274" s="21">
        <v>46137</v>
      </c>
      <c r="K1274" s="21">
        <v>46137</v>
      </c>
      <c r="L1274" t="s">
        <v>2623</v>
      </c>
      <c r="M1274" t="s">
        <v>2443</v>
      </c>
      <c r="N1274">
        <v>23</v>
      </c>
      <c r="O1274" t="s">
        <v>2398</v>
      </c>
      <c r="P1274">
        <v>2</v>
      </c>
      <c r="Q1274">
        <v>1.5</v>
      </c>
      <c r="R1274">
        <v>0.5</v>
      </c>
      <c r="S1274">
        <v>0.75</v>
      </c>
      <c r="T1274">
        <v>0.75</v>
      </c>
      <c r="U1274" t="s">
        <v>68</v>
      </c>
      <c r="V1274" t="s">
        <v>69</v>
      </c>
      <c r="W1274" t="s">
        <v>21</v>
      </c>
      <c r="X1274">
        <v>1</v>
      </c>
      <c r="Y1274" t="s">
        <v>679</v>
      </c>
      <c r="Z1274" t="s">
        <v>496</v>
      </c>
      <c r="AA1274">
        <v>59.5</v>
      </c>
      <c r="AB1274">
        <v>44.63</v>
      </c>
      <c r="AC1274">
        <v>44.63</v>
      </c>
    </row>
    <row r="1275" spans="2:29" ht="15" customHeight="1" x14ac:dyDescent="0.15">
      <c r="B1275">
        <v>4</v>
      </c>
      <c r="C1275" t="s">
        <v>386</v>
      </c>
      <c r="D1275" t="s">
        <v>2620</v>
      </c>
      <c r="E1275">
        <v>4</v>
      </c>
      <c r="F1275" t="s">
        <v>219</v>
      </c>
      <c r="G1275" t="s">
        <v>239</v>
      </c>
      <c r="H1275" t="s">
        <v>602</v>
      </c>
      <c r="I1275">
        <v>17</v>
      </c>
      <c r="J1275" s="21">
        <v>46137</v>
      </c>
      <c r="K1275" s="21">
        <v>46137</v>
      </c>
      <c r="L1275" t="s">
        <v>2624</v>
      </c>
      <c r="M1275" t="s">
        <v>258</v>
      </c>
      <c r="N1275">
        <v>23</v>
      </c>
      <c r="O1275" t="s">
        <v>2398</v>
      </c>
      <c r="P1275">
        <v>2</v>
      </c>
      <c r="Q1275">
        <v>1.5</v>
      </c>
      <c r="R1275">
        <v>0.5</v>
      </c>
      <c r="S1275">
        <v>0.75</v>
      </c>
      <c r="T1275">
        <v>0.75</v>
      </c>
      <c r="U1275" t="s">
        <v>68</v>
      </c>
      <c r="V1275" t="s">
        <v>69</v>
      </c>
      <c r="W1275" t="s">
        <v>21</v>
      </c>
      <c r="X1275">
        <v>1</v>
      </c>
      <c r="Y1275" t="s">
        <v>679</v>
      </c>
      <c r="Z1275" t="s">
        <v>496</v>
      </c>
      <c r="AA1275">
        <v>180</v>
      </c>
      <c r="AB1275">
        <v>135</v>
      </c>
      <c r="AC1275">
        <v>135</v>
      </c>
    </row>
    <row r="1276" spans="2:29" ht="15" customHeight="1" x14ac:dyDescent="0.15">
      <c r="B1276">
        <v>4</v>
      </c>
      <c r="C1276" t="s">
        <v>386</v>
      </c>
      <c r="D1276" t="s">
        <v>2620</v>
      </c>
      <c r="E1276">
        <v>5</v>
      </c>
      <c r="F1276" t="s">
        <v>219</v>
      </c>
      <c r="G1276" t="s">
        <v>218</v>
      </c>
      <c r="H1276" t="s">
        <v>1366</v>
      </c>
      <c r="I1276">
        <v>17</v>
      </c>
      <c r="J1276" s="21">
        <v>46137</v>
      </c>
      <c r="K1276" s="21">
        <v>46137</v>
      </c>
      <c r="L1276" t="s">
        <v>2625</v>
      </c>
      <c r="M1276" t="s">
        <v>1368</v>
      </c>
      <c r="N1276">
        <v>23</v>
      </c>
      <c r="O1276" t="s">
        <v>2398</v>
      </c>
      <c r="P1276">
        <v>2</v>
      </c>
      <c r="Q1276">
        <v>1.5</v>
      </c>
      <c r="R1276">
        <v>0.1</v>
      </c>
      <c r="S1276">
        <v>0.15</v>
      </c>
      <c r="T1276">
        <v>0.15</v>
      </c>
      <c r="U1276" t="s">
        <v>68</v>
      </c>
      <c r="V1276" t="s">
        <v>69</v>
      </c>
      <c r="W1276" t="s">
        <v>21</v>
      </c>
      <c r="X1276">
        <v>1</v>
      </c>
      <c r="Y1276" t="s">
        <v>679</v>
      </c>
      <c r="Z1276" t="s">
        <v>496</v>
      </c>
      <c r="AA1276">
        <v>784.7</v>
      </c>
      <c r="AB1276">
        <v>117.71</v>
      </c>
      <c r="AC1276">
        <v>117.71</v>
      </c>
    </row>
    <row r="1277" spans="2:29" ht="15" customHeight="1" x14ac:dyDescent="0.15">
      <c r="B1277">
        <v>4</v>
      </c>
      <c r="C1277" t="s">
        <v>386</v>
      </c>
      <c r="D1277" t="s">
        <v>2620</v>
      </c>
      <c r="E1277">
        <v>6</v>
      </c>
      <c r="F1277" t="s">
        <v>219</v>
      </c>
      <c r="G1277" t="s">
        <v>218</v>
      </c>
      <c r="H1277" t="s">
        <v>686</v>
      </c>
      <c r="I1277">
        <v>17</v>
      </c>
      <c r="J1277" s="21">
        <v>46137</v>
      </c>
      <c r="K1277" s="21">
        <v>46137</v>
      </c>
      <c r="L1277" t="s">
        <v>2626</v>
      </c>
      <c r="M1277" t="s">
        <v>2468</v>
      </c>
      <c r="N1277">
        <v>23</v>
      </c>
      <c r="O1277" t="s">
        <v>2398</v>
      </c>
      <c r="P1277">
        <v>2</v>
      </c>
      <c r="Q1277">
        <v>1.5</v>
      </c>
      <c r="R1277">
        <v>0.15</v>
      </c>
      <c r="S1277">
        <v>0.22500000000000001</v>
      </c>
      <c r="T1277">
        <v>0.23</v>
      </c>
      <c r="U1277" t="s">
        <v>68</v>
      </c>
      <c r="V1277" t="s">
        <v>69</v>
      </c>
      <c r="W1277" t="s">
        <v>21</v>
      </c>
      <c r="X1277">
        <v>1</v>
      </c>
      <c r="Y1277" t="s">
        <v>679</v>
      </c>
      <c r="Z1277" t="s">
        <v>496</v>
      </c>
      <c r="AA1277">
        <v>80.900000000000006</v>
      </c>
      <c r="AB1277">
        <v>18.2</v>
      </c>
      <c r="AC1277">
        <v>18.2</v>
      </c>
    </row>
    <row r="1278" spans="2:29" ht="15" customHeight="1" x14ac:dyDescent="0.15">
      <c r="B1278">
        <v>4</v>
      </c>
      <c r="C1278" t="s">
        <v>386</v>
      </c>
      <c r="D1278" t="s">
        <v>2627</v>
      </c>
      <c r="E1278">
        <v>1</v>
      </c>
      <c r="F1278" t="s">
        <v>219</v>
      </c>
      <c r="G1278" t="s">
        <v>231</v>
      </c>
      <c r="H1278" t="s">
        <v>231</v>
      </c>
      <c r="I1278">
        <v>17</v>
      </c>
      <c r="J1278" s="21">
        <v>46137</v>
      </c>
      <c r="K1278" s="21">
        <v>46137</v>
      </c>
      <c r="L1278" t="s">
        <v>2628</v>
      </c>
      <c r="M1278" t="s">
        <v>2351</v>
      </c>
      <c r="N1278">
        <v>7</v>
      </c>
      <c r="O1278" t="s">
        <v>2398</v>
      </c>
      <c r="P1278">
        <v>3</v>
      </c>
      <c r="Q1278">
        <v>1.0900000000000001</v>
      </c>
      <c r="R1278">
        <v>0.15</v>
      </c>
      <c r="S1278">
        <v>0.375</v>
      </c>
      <c r="T1278">
        <v>0.16</v>
      </c>
      <c r="U1278" t="s">
        <v>73</v>
      </c>
      <c r="V1278" t="s">
        <v>74</v>
      </c>
      <c r="W1278" t="s">
        <v>75</v>
      </c>
      <c r="X1278">
        <v>2.2999999999999998</v>
      </c>
      <c r="Y1278" t="s">
        <v>2629</v>
      </c>
      <c r="Z1278" t="s">
        <v>496</v>
      </c>
      <c r="AA1278">
        <v>16.61</v>
      </c>
      <c r="AB1278">
        <v>6.23</v>
      </c>
      <c r="AC1278">
        <v>2.71</v>
      </c>
    </row>
    <row r="1279" spans="2:29" ht="15" customHeight="1" x14ac:dyDescent="0.15">
      <c r="B1279">
        <v>4</v>
      </c>
      <c r="C1279" t="s">
        <v>386</v>
      </c>
      <c r="D1279" t="s">
        <v>2627</v>
      </c>
      <c r="E1279">
        <v>2</v>
      </c>
      <c r="F1279" t="s">
        <v>219</v>
      </c>
      <c r="G1279" t="s">
        <v>218</v>
      </c>
      <c r="H1279" t="s">
        <v>2353</v>
      </c>
      <c r="I1279">
        <v>17</v>
      </c>
      <c r="J1279" s="21">
        <v>46137</v>
      </c>
      <c r="K1279" s="21">
        <v>46137</v>
      </c>
      <c r="L1279" t="s">
        <v>2630</v>
      </c>
      <c r="M1279" t="s">
        <v>241</v>
      </c>
      <c r="N1279">
        <v>7</v>
      </c>
      <c r="O1279" t="s">
        <v>202</v>
      </c>
      <c r="P1279">
        <v>3</v>
      </c>
      <c r="Q1279">
        <v>1.0900000000000001</v>
      </c>
      <c r="R1279">
        <v>0.2</v>
      </c>
      <c r="S1279">
        <v>0.5</v>
      </c>
      <c r="T1279">
        <v>0.22</v>
      </c>
      <c r="U1279" t="s">
        <v>73</v>
      </c>
      <c r="V1279" t="s">
        <v>74</v>
      </c>
      <c r="W1279" t="s">
        <v>75</v>
      </c>
      <c r="X1279">
        <v>2.2999999999999998</v>
      </c>
      <c r="Y1279" t="s">
        <v>2629</v>
      </c>
      <c r="Z1279" t="s">
        <v>496</v>
      </c>
      <c r="AA1279">
        <v>61.3</v>
      </c>
      <c r="AB1279">
        <v>30.65</v>
      </c>
      <c r="AC1279">
        <v>13.33</v>
      </c>
    </row>
    <row r="1280" spans="2:29" ht="15" customHeight="1" x14ac:dyDescent="0.15">
      <c r="B1280">
        <v>4</v>
      </c>
      <c r="C1280" t="s">
        <v>386</v>
      </c>
      <c r="D1280" t="s">
        <v>2627</v>
      </c>
      <c r="E1280">
        <v>3</v>
      </c>
      <c r="F1280" t="s">
        <v>219</v>
      </c>
      <c r="G1280" t="s">
        <v>239</v>
      </c>
      <c r="H1280" t="s">
        <v>602</v>
      </c>
      <c r="I1280">
        <v>17</v>
      </c>
      <c r="J1280" s="21">
        <v>46137</v>
      </c>
      <c r="K1280" s="21">
        <v>46137</v>
      </c>
      <c r="L1280" t="s">
        <v>2631</v>
      </c>
      <c r="M1280" t="s">
        <v>258</v>
      </c>
      <c r="N1280">
        <v>7</v>
      </c>
      <c r="O1280" t="s">
        <v>2398</v>
      </c>
      <c r="P1280">
        <v>3</v>
      </c>
      <c r="Q1280">
        <v>1.0900000000000001</v>
      </c>
      <c r="R1280">
        <v>0.5</v>
      </c>
      <c r="S1280">
        <v>1.25</v>
      </c>
      <c r="T1280">
        <v>0.54</v>
      </c>
      <c r="U1280" t="s">
        <v>73</v>
      </c>
      <c r="V1280" t="s">
        <v>74</v>
      </c>
      <c r="W1280" t="s">
        <v>75</v>
      </c>
      <c r="X1280">
        <v>2.2999999999999998</v>
      </c>
      <c r="Y1280" t="s">
        <v>2629</v>
      </c>
      <c r="Z1280" t="s">
        <v>496</v>
      </c>
      <c r="AA1280">
        <v>180</v>
      </c>
      <c r="AB1280">
        <v>225</v>
      </c>
      <c r="AC1280">
        <v>97.83</v>
      </c>
    </row>
    <row r="1281" spans="2:29" ht="15" customHeight="1" x14ac:dyDescent="0.15">
      <c r="B1281">
        <v>4</v>
      </c>
      <c r="C1281" t="s">
        <v>386</v>
      </c>
      <c r="D1281" t="s">
        <v>2627</v>
      </c>
      <c r="E1281">
        <v>4</v>
      </c>
      <c r="F1281" t="s">
        <v>219</v>
      </c>
      <c r="G1281" t="s">
        <v>439</v>
      </c>
      <c r="H1281" t="s">
        <v>533</v>
      </c>
      <c r="I1281">
        <v>17</v>
      </c>
      <c r="J1281" s="21">
        <v>46137</v>
      </c>
      <c r="K1281" s="21">
        <v>46137</v>
      </c>
      <c r="L1281" t="s">
        <v>2632</v>
      </c>
      <c r="M1281" t="s">
        <v>535</v>
      </c>
      <c r="N1281">
        <v>7</v>
      </c>
      <c r="O1281" t="s">
        <v>2398</v>
      </c>
      <c r="P1281">
        <v>3</v>
      </c>
      <c r="Q1281">
        <v>1.0900000000000001</v>
      </c>
      <c r="R1281">
        <v>1.5</v>
      </c>
      <c r="S1281">
        <v>3.75</v>
      </c>
      <c r="T1281">
        <v>1.63</v>
      </c>
      <c r="U1281" t="s">
        <v>73</v>
      </c>
      <c r="V1281" t="s">
        <v>74</v>
      </c>
      <c r="W1281" t="s">
        <v>75</v>
      </c>
      <c r="X1281">
        <v>2.2999999999999998</v>
      </c>
      <c r="Y1281" t="s">
        <v>2629</v>
      </c>
      <c r="Z1281" t="s">
        <v>496</v>
      </c>
      <c r="AA1281">
        <v>38.14</v>
      </c>
      <c r="AB1281">
        <v>143.03</v>
      </c>
      <c r="AC1281">
        <v>62.18</v>
      </c>
    </row>
    <row r="1282" spans="2:29" ht="15" customHeight="1" x14ac:dyDescent="0.15">
      <c r="B1282">
        <v>4</v>
      </c>
      <c r="C1282" t="s">
        <v>386</v>
      </c>
      <c r="D1282" t="s">
        <v>2627</v>
      </c>
      <c r="E1282">
        <v>5</v>
      </c>
      <c r="F1282" t="s">
        <v>219</v>
      </c>
      <c r="G1282" t="s">
        <v>218</v>
      </c>
      <c r="H1282" t="s">
        <v>686</v>
      </c>
      <c r="I1282">
        <v>17</v>
      </c>
      <c r="J1282" s="21">
        <v>46137</v>
      </c>
      <c r="K1282" s="21">
        <v>46137</v>
      </c>
      <c r="L1282" t="s">
        <v>2633</v>
      </c>
      <c r="M1282" t="s">
        <v>2468</v>
      </c>
      <c r="N1282">
        <v>7</v>
      </c>
      <c r="O1282" t="s">
        <v>2398</v>
      </c>
      <c r="P1282">
        <v>3</v>
      </c>
      <c r="Q1282">
        <v>1.0900000000000001</v>
      </c>
      <c r="R1282">
        <v>0.15</v>
      </c>
      <c r="S1282">
        <v>0.375</v>
      </c>
      <c r="T1282">
        <v>0.16</v>
      </c>
      <c r="U1282" t="s">
        <v>73</v>
      </c>
      <c r="V1282" t="s">
        <v>74</v>
      </c>
      <c r="W1282" t="s">
        <v>75</v>
      </c>
      <c r="X1282">
        <v>2.2999999999999998</v>
      </c>
      <c r="Y1282" t="s">
        <v>2629</v>
      </c>
      <c r="Z1282" t="s">
        <v>496</v>
      </c>
      <c r="AA1282">
        <v>80.900000000000006</v>
      </c>
      <c r="AB1282">
        <v>30.34</v>
      </c>
      <c r="AC1282">
        <v>13.19</v>
      </c>
    </row>
    <row r="1283" spans="2:29" ht="15" customHeight="1" x14ac:dyDescent="0.15">
      <c r="B1283">
        <v>4</v>
      </c>
      <c r="C1283" t="s">
        <v>386</v>
      </c>
      <c r="D1283" t="s">
        <v>2634</v>
      </c>
      <c r="E1283">
        <v>1</v>
      </c>
      <c r="F1283" t="s">
        <v>219</v>
      </c>
      <c r="G1283" t="s">
        <v>231</v>
      </c>
      <c r="H1283" t="s">
        <v>231</v>
      </c>
      <c r="I1283">
        <v>18</v>
      </c>
      <c r="J1283" s="21">
        <v>46139</v>
      </c>
      <c r="K1283" s="21">
        <v>46139</v>
      </c>
      <c r="L1283" t="s">
        <v>2635</v>
      </c>
      <c r="M1283" t="s">
        <v>2351</v>
      </c>
      <c r="N1283">
        <v>142</v>
      </c>
      <c r="O1283" t="s">
        <v>2398</v>
      </c>
      <c r="P1283">
        <v>6</v>
      </c>
      <c r="Q1283">
        <v>1.5</v>
      </c>
      <c r="R1283">
        <v>0.15</v>
      </c>
      <c r="S1283">
        <v>0.9</v>
      </c>
      <c r="T1283">
        <v>0.23</v>
      </c>
      <c r="U1283" t="s">
        <v>19</v>
      </c>
      <c r="V1283" t="s">
        <v>20</v>
      </c>
      <c r="W1283" t="s">
        <v>21</v>
      </c>
      <c r="X1283">
        <v>4</v>
      </c>
      <c r="Y1283" t="s">
        <v>679</v>
      </c>
      <c r="Z1283" t="s">
        <v>496</v>
      </c>
      <c r="AA1283">
        <v>16.61</v>
      </c>
      <c r="AB1283">
        <v>14.95</v>
      </c>
      <c r="AC1283">
        <v>3.74</v>
      </c>
    </row>
    <row r="1284" spans="2:29" ht="15" customHeight="1" x14ac:dyDescent="0.15">
      <c r="B1284">
        <v>4</v>
      </c>
      <c r="C1284" t="s">
        <v>386</v>
      </c>
      <c r="D1284" t="s">
        <v>2634</v>
      </c>
      <c r="E1284">
        <v>2</v>
      </c>
      <c r="F1284" t="s">
        <v>219</v>
      </c>
      <c r="G1284" t="s">
        <v>218</v>
      </c>
      <c r="H1284" t="s">
        <v>2353</v>
      </c>
      <c r="I1284">
        <v>18</v>
      </c>
      <c r="J1284" s="21">
        <v>46139</v>
      </c>
      <c r="K1284" s="21">
        <v>46139</v>
      </c>
      <c r="L1284" t="s">
        <v>2636</v>
      </c>
      <c r="M1284" t="s">
        <v>241</v>
      </c>
      <c r="N1284">
        <v>142</v>
      </c>
      <c r="O1284" t="s">
        <v>202</v>
      </c>
      <c r="P1284">
        <v>6</v>
      </c>
      <c r="Q1284">
        <v>1.5</v>
      </c>
      <c r="R1284">
        <v>0.2</v>
      </c>
      <c r="S1284">
        <v>1.2</v>
      </c>
      <c r="T1284">
        <v>0.3</v>
      </c>
      <c r="U1284" t="s">
        <v>19</v>
      </c>
      <c r="V1284" t="s">
        <v>20</v>
      </c>
      <c r="W1284" t="s">
        <v>21</v>
      </c>
      <c r="X1284">
        <v>4</v>
      </c>
      <c r="Y1284" t="s">
        <v>679</v>
      </c>
      <c r="Z1284" t="s">
        <v>496</v>
      </c>
      <c r="AA1284">
        <v>61.3</v>
      </c>
      <c r="AB1284">
        <v>73.56</v>
      </c>
      <c r="AC1284">
        <v>18.39</v>
      </c>
    </row>
    <row r="1285" spans="2:29" ht="15" customHeight="1" x14ac:dyDescent="0.15">
      <c r="B1285">
        <v>4</v>
      </c>
      <c r="C1285" t="s">
        <v>386</v>
      </c>
      <c r="D1285" t="s">
        <v>2634</v>
      </c>
      <c r="E1285">
        <v>3</v>
      </c>
      <c r="F1285" t="s">
        <v>219</v>
      </c>
      <c r="G1285" t="s">
        <v>218</v>
      </c>
      <c r="H1285" t="s">
        <v>2305</v>
      </c>
      <c r="I1285">
        <v>18</v>
      </c>
      <c r="J1285" s="21">
        <v>46139</v>
      </c>
      <c r="K1285" s="21">
        <v>46139</v>
      </c>
      <c r="L1285" t="s">
        <v>2637</v>
      </c>
      <c r="M1285" t="s">
        <v>255</v>
      </c>
      <c r="N1285">
        <v>142</v>
      </c>
      <c r="O1285" t="s">
        <v>202</v>
      </c>
      <c r="P1285">
        <v>6</v>
      </c>
      <c r="Q1285">
        <v>1.5</v>
      </c>
      <c r="R1285">
        <v>0.5</v>
      </c>
      <c r="S1285">
        <v>3</v>
      </c>
      <c r="T1285">
        <v>0.75</v>
      </c>
      <c r="U1285" t="s">
        <v>19</v>
      </c>
      <c r="V1285" t="s">
        <v>20</v>
      </c>
      <c r="W1285" t="s">
        <v>21</v>
      </c>
      <c r="X1285">
        <v>4</v>
      </c>
      <c r="Y1285" t="s">
        <v>679</v>
      </c>
      <c r="Z1285" t="s">
        <v>496</v>
      </c>
      <c r="AA1285">
        <v>37.5</v>
      </c>
      <c r="AB1285">
        <v>112.5</v>
      </c>
      <c r="AC1285">
        <v>28.13</v>
      </c>
    </row>
    <row r="1286" spans="2:29" ht="15" customHeight="1" x14ac:dyDescent="0.15">
      <c r="B1286">
        <v>4</v>
      </c>
      <c r="C1286" t="s">
        <v>386</v>
      </c>
      <c r="D1286" t="s">
        <v>2634</v>
      </c>
      <c r="E1286">
        <v>4</v>
      </c>
      <c r="F1286" t="s">
        <v>219</v>
      </c>
      <c r="G1286" t="s">
        <v>239</v>
      </c>
      <c r="H1286" t="s">
        <v>2438</v>
      </c>
      <c r="I1286">
        <v>18</v>
      </c>
      <c r="J1286" s="21">
        <v>46139</v>
      </c>
      <c r="K1286" s="21">
        <v>46139</v>
      </c>
      <c r="L1286" t="s">
        <v>2638</v>
      </c>
      <c r="M1286" t="s">
        <v>2440</v>
      </c>
      <c r="N1286">
        <v>142</v>
      </c>
      <c r="O1286" t="s">
        <v>2398</v>
      </c>
      <c r="P1286">
        <v>6</v>
      </c>
      <c r="Q1286">
        <v>1.5</v>
      </c>
      <c r="R1286">
        <v>1.5</v>
      </c>
      <c r="S1286">
        <v>9</v>
      </c>
      <c r="T1286">
        <v>2.25</v>
      </c>
      <c r="U1286" t="s">
        <v>19</v>
      </c>
      <c r="V1286" t="s">
        <v>20</v>
      </c>
      <c r="W1286" t="s">
        <v>21</v>
      </c>
      <c r="X1286">
        <v>4</v>
      </c>
      <c r="Y1286" t="s">
        <v>679</v>
      </c>
      <c r="Z1286" t="s">
        <v>496</v>
      </c>
      <c r="AA1286">
        <v>41</v>
      </c>
      <c r="AB1286">
        <v>369</v>
      </c>
      <c r="AC1286">
        <v>92.25</v>
      </c>
    </row>
    <row r="1287" spans="2:29" ht="15" customHeight="1" x14ac:dyDescent="0.15">
      <c r="B1287">
        <v>4</v>
      </c>
      <c r="C1287" t="s">
        <v>386</v>
      </c>
      <c r="D1287" t="s">
        <v>2634</v>
      </c>
      <c r="E1287">
        <v>5</v>
      </c>
      <c r="F1287" t="s">
        <v>201</v>
      </c>
      <c r="G1287" t="s">
        <v>200</v>
      </c>
      <c r="H1287" t="s">
        <v>1132</v>
      </c>
      <c r="I1287">
        <v>18</v>
      </c>
      <c r="J1287" s="21">
        <v>46139</v>
      </c>
      <c r="K1287" s="21">
        <v>46139</v>
      </c>
      <c r="L1287" t="s">
        <v>2639</v>
      </c>
      <c r="M1287" t="s">
        <v>2463</v>
      </c>
      <c r="N1287">
        <v>142</v>
      </c>
      <c r="O1287" t="s">
        <v>202</v>
      </c>
      <c r="P1287">
        <v>6</v>
      </c>
      <c r="Q1287">
        <v>1.5</v>
      </c>
      <c r="R1287">
        <v>2</v>
      </c>
      <c r="S1287">
        <v>12</v>
      </c>
      <c r="T1287">
        <v>3</v>
      </c>
      <c r="U1287" t="s">
        <v>19</v>
      </c>
      <c r="V1287" t="s">
        <v>20</v>
      </c>
      <c r="W1287" t="s">
        <v>21</v>
      </c>
      <c r="X1287">
        <v>4</v>
      </c>
      <c r="Y1287" t="s">
        <v>679</v>
      </c>
      <c r="Z1287" t="s">
        <v>496</v>
      </c>
      <c r="AA1287">
        <v>5.0999999999999996</v>
      </c>
      <c r="AB1287">
        <v>61.2</v>
      </c>
      <c r="AC1287">
        <v>15.3</v>
      </c>
    </row>
    <row r="1288" spans="2:29" ht="15" customHeight="1" x14ac:dyDescent="0.15">
      <c r="B1288">
        <v>4</v>
      </c>
      <c r="C1288" t="s">
        <v>386</v>
      </c>
      <c r="D1288" t="s">
        <v>2634</v>
      </c>
      <c r="E1288">
        <v>6</v>
      </c>
      <c r="F1288" t="s">
        <v>219</v>
      </c>
      <c r="G1288" t="s">
        <v>218</v>
      </c>
      <c r="H1288" t="s">
        <v>686</v>
      </c>
      <c r="I1288">
        <v>18</v>
      </c>
      <c r="J1288" s="21">
        <v>46139</v>
      </c>
      <c r="K1288" s="21">
        <v>46139</v>
      </c>
      <c r="L1288" t="s">
        <v>2640</v>
      </c>
      <c r="M1288" t="s">
        <v>2468</v>
      </c>
      <c r="N1288">
        <v>142</v>
      </c>
      <c r="O1288" t="s">
        <v>2398</v>
      </c>
      <c r="P1288">
        <v>6</v>
      </c>
      <c r="Q1288">
        <v>1.5</v>
      </c>
      <c r="R1288">
        <v>0.15</v>
      </c>
      <c r="S1288">
        <v>0.9</v>
      </c>
      <c r="T1288">
        <v>0.23</v>
      </c>
      <c r="U1288" t="s">
        <v>19</v>
      </c>
      <c r="V1288" t="s">
        <v>20</v>
      </c>
      <c r="W1288" t="s">
        <v>21</v>
      </c>
      <c r="X1288">
        <v>4</v>
      </c>
      <c r="Y1288" t="s">
        <v>679</v>
      </c>
      <c r="Z1288" t="s">
        <v>496</v>
      </c>
      <c r="AA1288">
        <v>80.900000000000006</v>
      </c>
      <c r="AB1288">
        <v>72.81</v>
      </c>
      <c r="AC1288">
        <v>18.2</v>
      </c>
    </row>
    <row r="1289" spans="2:29" ht="15" customHeight="1" x14ac:dyDescent="0.15">
      <c r="B1289">
        <v>4</v>
      </c>
      <c r="C1289" t="s">
        <v>386</v>
      </c>
      <c r="D1289" t="s">
        <v>2641</v>
      </c>
      <c r="E1289">
        <v>1</v>
      </c>
      <c r="F1289" t="s">
        <v>201</v>
      </c>
      <c r="G1289" t="s">
        <v>337</v>
      </c>
      <c r="H1289" t="s">
        <v>632</v>
      </c>
      <c r="I1289">
        <v>18</v>
      </c>
      <c r="J1289" s="21">
        <v>46139</v>
      </c>
      <c r="K1289" s="21">
        <v>46139</v>
      </c>
      <c r="L1289" t="s">
        <v>2642</v>
      </c>
      <c r="M1289" t="s">
        <v>336</v>
      </c>
      <c r="N1289">
        <v>7</v>
      </c>
      <c r="O1289" t="s">
        <v>202</v>
      </c>
      <c r="P1289">
        <v>1</v>
      </c>
      <c r="Q1289">
        <v>0.5</v>
      </c>
      <c r="R1289">
        <v>25</v>
      </c>
      <c r="S1289">
        <v>25</v>
      </c>
      <c r="T1289">
        <v>12.5</v>
      </c>
      <c r="U1289" t="s">
        <v>84</v>
      </c>
      <c r="V1289" t="s">
        <v>85</v>
      </c>
      <c r="W1289" t="s">
        <v>21</v>
      </c>
      <c r="X1289">
        <v>2</v>
      </c>
      <c r="Y1289" t="s">
        <v>2455</v>
      </c>
      <c r="Z1289" t="s">
        <v>496</v>
      </c>
      <c r="AA1289">
        <v>4.8099999999999996</v>
      </c>
      <c r="AB1289">
        <v>120.25</v>
      </c>
      <c r="AC1289">
        <v>60.13</v>
      </c>
    </row>
    <row r="1290" spans="2:29" ht="15" customHeight="1" x14ac:dyDescent="0.15">
      <c r="B1290">
        <v>4</v>
      </c>
      <c r="C1290" t="s">
        <v>386</v>
      </c>
      <c r="D1290" t="s">
        <v>2641</v>
      </c>
      <c r="E1290">
        <v>2</v>
      </c>
      <c r="F1290" t="s">
        <v>201</v>
      </c>
      <c r="G1290" t="s">
        <v>337</v>
      </c>
      <c r="H1290" t="s">
        <v>475</v>
      </c>
      <c r="I1290">
        <v>18</v>
      </c>
      <c r="J1290" s="21">
        <v>46139</v>
      </c>
      <c r="K1290" s="21">
        <v>46139</v>
      </c>
      <c r="L1290" t="s">
        <v>2643</v>
      </c>
      <c r="M1290" t="s">
        <v>477</v>
      </c>
      <c r="N1290">
        <v>7</v>
      </c>
      <c r="O1290" t="s">
        <v>202</v>
      </c>
      <c r="P1290">
        <v>1</v>
      </c>
      <c r="Q1290">
        <v>0.5</v>
      </c>
      <c r="R1290">
        <v>25</v>
      </c>
      <c r="S1290">
        <v>25</v>
      </c>
      <c r="T1290">
        <v>12.5</v>
      </c>
      <c r="U1290" t="s">
        <v>84</v>
      </c>
      <c r="V1290" t="s">
        <v>85</v>
      </c>
      <c r="W1290" t="s">
        <v>21</v>
      </c>
      <c r="X1290">
        <v>2</v>
      </c>
      <c r="Y1290" t="s">
        <v>2455</v>
      </c>
      <c r="Z1290" t="s">
        <v>496</v>
      </c>
      <c r="AA1290">
        <v>4.88</v>
      </c>
      <c r="AB1290">
        <v>122</v>
      </c>
      <c r="AC1290">
        <v>61</v>
      </c>
    </row>
    <row r="1291" spans="2:29" ht="15" customHeight="1" x14ac:dyDescent="0.15">
      <c r="B1291">
        <v>4</v>
      </c>
      <c r="C1291" t="s">
        <v>386</v>
      </c>
      <c r="D1291" t="s">
        <v>2641</v>
      </c>
      <c r="E1291">
        <v>3</v>
      </c>
      <c r="F1291" t="s">
        <v>219</v>
      </c>
      <c r="G1291" t="s">
        <v>218</v>
      </c>
      <c r="H1291" t="s">
        <v>667</v>
      </c>
      <c r="I1291">
        <v>18</v>
      </c>
      <c r="J1291" s="21">
        <v>46139</v>
      </c>
      <c r="K1291" s="21">
        <v>46139</v>
      </c>
      <c r="L1291" t="s">
        <v>2644</v>
      </c>
      <c r="M1291" t="s">
        <v>355</v>
      </c>
      <c r="N1291">
        <v>7</v>
      </c>
      <c r="O1291" t="s">
        <v>202</v>
      </c>
      <c r="P1291">
        <v>1</v>
      </c>
      <c r="Q1291">
        <v>0.5</v>
      </c>
      <c r="R1291">
        <v>8</v>
      </c>
      <c r="S1291">
        <v>8</v>
      </c>
      <c r="T1291">
        <v>4</v>
      </c>
      <c r="U1291" t="s">
        <v>84</v>
      </c>
      <c r="V1291" t="s">
        <v>85</v>
      </c>
      <c r="W1291" t="s">
        <v>21</v>
      </c>
      <c r="X1291">
        <v>2</v>
      </c>
      <c r="Y1291" t="s">
        <v>2455</v>
      </c>
      <c r="Z1291" t="s">
        <v>496</v>
      </c>
      <c r="AA1291">
        <v>1.2</v>
      </c>
      <c r="AB1291">
        <v>9.6</v>
      </c>
      <c r="AC1291">
        <v>4.8</v>
      </c>
    </row>
    <row r="1292" spans="2:29" ht="15" customHeight="1" x14ac:dyDescent="0.15">
      <c r="B1292">
        <v>4</v>
      </c>
      <c r="C1292" t="s">
        <v>386</v>
      </c>
      <c r="D1292" t="s">
        <v>2641</v>
      </c>
      <c r="E1292">
        <v>4</v>
      </c>
      <c r="F1292" t="s">
        <v>219</v>
      </c>
      <c r="G1292" t="s">
        <v>218</v>
      </c>
      <c r="H1292" t="s">
        <v>2253</v>
      </c>
      <c r="I1292">
        <v>18</v>
      </c>
      <c r="J1292" s="21">
        <v>46139</v>
      </c>
      <c r="K1292" s="21">
        <v>46139</v>
      </c>
      <c r="L1292" t="s">
        <v>2645</v>
      </c>
      <c r="M1292" t="s">
        <v>2556</v>
      </c>
      <c r="N1292">
        <v>7</v>
      </c>
      <c r="O1292" t="s">
        <v>2398</v>
      </c>
      <c r="P1292">
        <v>1</v>
      </c>
      <c r="Q1292">
        <v>0.5</v>
      </c>
      <c r="R1292">
        <v>1.5</v>
      </c>
      <c r="S1292">
        <v>1.5</v>
      </c>
      <c r="T1292">
        <v>0.75</v>
      </c>
      <c r="U1292" t="s">
        <v>84</v>
      </c>
      <c r="V1292" t="s">
        <v>85</v>
      </c>
      <c r="W1292" t="s">
        <v>21</v>
      </c>
      <c r="X1292">
        <v>2</v>
      </c>
      <c r="Y1292" t="s">
        <v>2455</v>
      </c>
      <c r="Z1292" t="s">
        <v>496</v>
      </c>
      <c r="AA1292">
        <v>216.83</v>
      </c>
      <c r="AB1292">
        <v>325.24</v>
      </c>
      <c r="AC1292">
        <v>162.62</v>
      </c>
    </row>
    <row r="1293" spans="2:29" ht="15" customHeight="1" x14ac:dyDescent="0.15">
      <c r="B1293">
        <v>4</v>
      </c>
      <c r="C1293" t="s">
        <v>386</v>
      </c>
      <c r="D1293" t="s">
        <v>2646</v>
      </c>
      <c r="E1293">
        <v>1</v>
      </c>
      <c r="F1293" t="s">
        <v>219</v>
      </c>
      <c r="G1293" t="s">
        <v>231</v>
      </c>
      <c r="H1293" t="s">
        <v>231</v>
      </c>
      <c r="I1293">
        <v>18</v>
      </c>
      <c r="J1293" s="21">
        <v>46143</v>
      </c>
      <c r="K1293" s="21">
        <v>46143</v>
      </c>
      <c r="L1293" t="s">
        <v>2647</v>
      </c>
      <c r="M1293" t="s">
        <v>2648</v>
      </c>
      <c r="N1293">
        <v>57</v>
      </c>
      <c r="O1293" t="s">
        <v>2398</v>
      </c>
      <c r="P1293">
        <v>3</v>
      </c>
      <c r="Q1293">
        <v>1.5</v>
      </c>
      <c r="R1293">
        <v>0.15</v>
      </c>
      <c r="S1293">
        <v>0.45</v>
      </c>
      <c r="T1293">
        <v>0.23</v>
      </c>
      <c r="U1293" t="s">
        <v>53</v>
      </c>
      <c r="V1293" t="s">
        <v>54</v>
      </c>
      <c r="W1293" t="s">
        <v>21</v>
      </c>
      <c r="X1293">
        <v>2</v>
      </c>
      <c r="Y1293" t="s">
        <v>679</v>
      </c>
      <c r="Z1293" t="s">
        <v>496</v>
      </c>
      <c r="AA1293">
        <v>16.61</v>
      </c>
      <c r="AB1293">
        <v>7.47</v>
      </c>
      <c r="AC1293">
        <v>3.74</v>
      </c>
    </row>
    <row r="1294" spans="2:29" ht="15" customHeight="1" x14ac:dyDescent="0.15">
      <c r="B1294">
        <v>4</v>
      </c>
      <c r="C1294" t="s">
        <v>386</v>
      </c>
      <c r="D1294" t="s">
        <v>2646</v>
      </c>
      <c r="E1294">
        <v>2</v>
      </c>
      <c r="F1294" t="s">
        <v>219</v>
      </c>
      <c r="G1294" t="s">
        <v>218</v>
      </c>
      <c r="H1294" t="s">
        <v>2353</v>
      </c>
      <c r="I1294">
        <v>18</v>
      </c>
      <c r="J1294" s="21">
        <v>46143</v>
      </c>
      <c r="K1294" s="21">
        <v>46143</v>
      </c>
      <c r="L1294" t="s">
        <v>2649</v>
      </c>
      <c r="M1294" t="s">
        <v>241</v>
      </c>
      <c r="N1294">
        <v>57</v>
      </c>
      <c r="O1294" t="s">
        <v>202</v>
      </c>
      <c r="P1294">
        <v>3</v>
      </c>
      <c r="Q1294">
        <v>1.5</v>
      </c>
      <c r="R1294">
        <v>0.2</v>
      </c>
      <c r="S1294">
        <v>0.6</v>
      </c>
      <c r="T1294">
        <v>0.3</v>
      </c>
      <c r="U1294" t="s">
        <v>53</v>
      </c>
      <c r="V1294" t="s">
        <v>54</v>
      </c>
      <c r="W1294" t="s">
        <v>21</v>
      </c>
      <c r="X1294">
        <v>2</v>
      </c>
      <c r="Y1294" t="s">
        <v>679</v>
      </c>
      <c r="Z1294" t="s">
        <v>496</v>
      </c>
      <c r="AA1294">
        <v>61.3</v>
      </c>
      <c r="AB1294">
        <v>36.78</v>
      </c>
      <c r="AC1294">
        <v>18.39</v>
      </c>
    </row>
    <row r="1295" spans="2:29" ht="15" customHeight="1" x14ac:dyDescent="0.15">
      <c r="B1295">
        <v>4</v>
      </c>
      <c r="C1295" t="s">
        <v>386</v>
      </c>
      <c r="D1295" t="s">
        <v>2646</v>
      </c>
      <c r="E1295">
        <v>3</v>
      </c>
      <c r="F1295" t="s">
        <v>219</v>
      </c>
      <c r="G1295" t="s">
        <v>239</v>
      </c>
      <c r="H1295" t="s">
        <v>2438</v>
      </c>
      <c r="I1295">
        <v>18</v>
      </c>
      <c r="J1295" s="21">
        <v>46143</v>
      </c>
      <c r="K1295" s="21">
        <v>46143</v>
      </c>
      <c r="L1295" t="s">
        <v>2650</v>
      </c>
      <c r="M1295" t="s">
        <v>2440</v>
      </c>
      <c r="N1295">
        <v>57</v>
      </c>
      <c r="O1295" t="s">
        <v>2398</v>
      </c>
      <c r="P1295">
        <v>3</v>
      </c>
      <c r="Q1295">
        <v>1.5</v>
      </c>
      <c r="R1295">
        <v>1</v>
      </c>
      <c r="S1295">
        <v>3</v>
      </c>
      <c r="T1295">
        <v>1.5</v>
      </c>
      <c r="U1295" t="s">
        <v>53</v>
      </c>
      <c r="V1295" t="s">
        <v>54</v>
      </c>
      <c r="W1295" t="s">
        <v>21</v>
      </c>
      <c r="X1295">
        <v>2</v>
      </c>
      <c r="Y1295" t="s">
        <v>679</v>
      </c>
      <c r="Z1295" t="s">
        <v>496</v>
      </c>
      <c r="AA1295">
        <v>41</v>
      </c>
      <c r="AB1295">
        <v>123</v>
      </c>
      <c r="AC1295">
        <v>61.5</v>
      </c>
    </row>
    <row r="1296" spans="2:29" ht="15" customHeight="1" x14ac:dyDescent="0.15">
      <c r="B1296">
        <v>4</v>
      </c>
      <c r="C1296" t="s">
        <v>386</v>
      </c>
      <c r="D1296" t="s">
        <v>2646</v>
      </c>
      <c r="E1296">
        <v>4</v>
      </c>
      <c r="F1296" t="s">
        <v>219</v>
      </c>
      <c r="G1296" t="s">
        <v>218</v>
      </c>
      <c r="H1296" t="s">
        <v>686</v>
      </c>
      <c r="I1296">
        <v>18</v>
      </c>
      <c r="J1296" s="21">
        <v>46143</v>
      </c>
      <c r="K1296" s="21">
        <v>46143</v>
      </c>
      <c r="L1296" t="s">
        <v>2651</v>
      </c>
      <c r="M1296" t="s">
        <v>2468</v>
      </c>
      <c r="N1296">
        <v>57</v>
      </c>
      <c r="O1296" t="s">
        <v>2398</v>
      </c>
      <c r="P1296">
        <v>3</v>
      </c>
      <c r="Q1296">
        <v>1.5</v>
      </c>
      <c r="R1296">
        <v>0.15</v>
      </c>
      <c r="S1296">
        <v>0.45</v>
      </c>
      <c r="T1296">
        <v>0.23</v>
      </c>
      <c r="U1296" t="s">
        <v>53</v>
      </c>
      <c r="V1296" t="s">
        <v>54</v>
      </c>
      <c r="W1296" t="s">
        <v>21</v>
      </c>
      <c r="X1296">
        <v>2</v>
      </c>
      <c r="Y1296" t="s">
        <v>679</v>
      </c>
      <c r="Z1296" t="s">
        <v>496</v>
      </c>
      <c r="AA1296">
        <v>80.900000000000006</v>
      </c>
      <c r="AB1296">
        <v>36.409999999999997</v>
      </c>
      <c r="AC1296">
        <v>18.2</v>
      </c>
    </row>
    <row r="1297" spans="2:29" ht="15" customHeight="1" x14ac:dyDescent="0.15">
      <c r="B1297">
        <v>4</v>
      </c>
      <c r="C1297" t="s">
        <v>386</v>
      </c>
      <c r="D1297" t="s">
        <v>2646</v>
      </c>
      <c r="E1297">
        <v>5</v>
      </c>
      <c r="F1297" t="s">
        <v>219</v>
      </c>
      <c r="G1297" t="s">
        <v>218</v>
      </c>
      <c r="H1297" t="s">
        <v>2464</v>
      </c>
      <c r="I1297">
        <v>18</v>
      </c>
      <c r="J1297" s="21">
        <v>46143</v>
      </c>
      <c r="K1297" s="21">
        <v>46143</v>
      </c>
      <c r="L1297" t="s">
        <v>2652</v>
      </c>
      <c r="M1297" t="s">
        <v>2466</v>
      </c>
      <c r="N1297">
        <v>57</v>
      </c>
      <c r="O1297" t="s">
        <v>2398</v>
      </c>
      <c r="P1297">
        <v>3</v>
      </c>
      <c r="Q1297">
        <v>1.5</v>
      </c>
      <c r="R1297">
        <v>1</v>
      </c>
      <c r="S1297">
        <v>3</v>
      </c>
      <c r="T1297">
        <v>1.5</v>
      </c>
      <c r="U1297" t="s">
        <v>53</v>
      </c>
      <c r="V1297" t="s">
        <v>54</v>
      </c>
      <c r="W1297" t="s">
        <v>21</v>
      </c>
      <c r="X1297">
        <v>2</v>
      </c>
      <c r="Y1297" t="s">
        <v>679</v>
      </c>
      <c r="Z1297" t="s">
        <v>496</v>
      </c>
      <c r="AA1297">
        <v>46</v>
      </c>
      <c r="AB1297">
        <v>138</v>
      </c>
      <c r="AC1297">
        <v>69</v>
      </c>
    </row>
    <row r="1298" spans="2:29" ht="15" customHeight="1" x14ac:dyDescent="0.15">
      <c r="B1298">
        <v>4</v>
      </c>
      <c r="C1298" t="s">
        <v>386</v>
      </c>
      <c r="D1298" t="s">
        <v>2653</v>
      </c>
      <c r="E1298">
        <v>1</v>
      </c>
      <c r="F1298" t="s">
        <v>219</v>
      </c>
      <c r="G1298" t="s">
        <v>231</v>
      </c>
      <c r="H1298" t="s">
        <v>231</v>
      </c>
      <c r="I1298">
        <v>18</v>
      </c>
      <c r="J1298" s="21">
        <v>46143</v>
      </c>
      <c r="K1298" s="21">
        <v>46143</v>
      </c>
      <c r="L1298" t="s">
        <v>2654</v>
      </c>
      <c r="M1298" t="s">
        <v>2648</v>
      </c>
      <c r="N1298">
        <v>35</v>
      </c>
      <c r="O1298" t="s">
        <v>2398</v>
      </c>
      <c r="P1298">
        <v>2</v>
      </c>
      <c r="Q1298">
        <v>1.25</v>
      </c>
      <c r="R1298">
        <v>0.15</v>
      </c>
      <c r="S1298">
        <v>0.3</v>
      </c>
      <c r="T1298">
        <v>0.19</v>
      </c>
      <c r="U1298" t="s">
        <v>60</v>
      </c>
      <c r="V1298" t="s">
        <v>61</v>
      </c>
      <c r="W1298" t="s">
        <v>21</v>
      </c>
      <c r="X1298">
        <v>1.6</v>
      </c>
      <c r="Y1298" t="s">
        <v>679</v>
      </c>
      <c r="Z1298" t="s">
        <v>496</v>
      </c>
      <c r="AA1298">
        <v>16.61</v>
      </c>
      <c r="AB1298">
        <v>4.9800000000000004</v>
      </c>
      <c r="AC1298">
        <v>3.11</v>
      </c>
    </row>
    <row r="1299" spans="2:29" ht="15" customHeight="1" x14ac:dyDescent="0.15">
      <c r="B1299">
        <v>4</v>
      </c>
      <c r="C1299" t="s">
        <v>386</v>
      </c>
      <c r="D1299" t="s">
        <v>2653</v>
      </c>
      <c r="E1299">
        <v>2</v>
      </c>
      <c r="F1299" t="s">
        <v>219</v>
      </c>
      <c r="G1299" t="s">
        <v>218</v>
      </c>
      <c r="H1299" t="s">
        <v>2353</v>
      </c>
      <c r="I1299">
        <v>18</v>
      </c>
      <c r="J1299" s="21">
        <v>46143</v>
      </c>
      <c r="K1299" s="21">
        <v>46143</v>
      </c>
      <c r="L1299" t="s">
        <v>2655</v>
      </c>
      <c r="M1299" t="s">
        <v>241</v>
      </c>
      <c r="N1299">
        <v>35</v>
      </c>
      <c r="O1299" t="s">
        <v>202</v>
      </c>
      <c r="P1299">
        <v>2</v>
      </c>
      <c r="Q1299">
        <v>1.25</v>
      </c>
      <c r="R1299">
        <v>0.2</v>
      </c>
      <c r="S1299">
        <v>0.4</v>
      </c>
      <c r="T1299">
        <v>0.25</v>
      </c>
      <c r="U1299" t="s">
        <v>60</v>
      </c>
      <c r="V1299" t="s">
        <v>61</v>
      </c>
      <c r="W1299" t="s">
        <v>21</v>
      </c>
      <c r="X1299">
        <v>1.6</v>
      </c>
      <c r="Y1299" t="s">
        <v>679</v>
      </c>
      <c r="Z1299" t="s">
        <v>496</v>
      </c>
      <c r="AA1299">
        <v>61.3</v>
      </c>
      <c r="AB1299">
        <v>24.52</v>
      </c>
      <c r="AC1299">
        <v>15.33</v>
      </c>
    </row>
    <row r="1300" spans="2:29" ht="15" customHeight="1" x14ac:dyDescent="0.15">
      <c r="B1300">
        <v>4</v>
      </c>
      <c r="C1300" t="s">
        <v>386</v>
      </c>
      <c r="D1300" t="s">
        <v>2653</v>
      </c>
      <c r="E1300">
        <v>3</v>
      </c>
      <c r="F1300" t="s">
        <v>219</v>
      </c>
      <c r="G1300" t="s">
        <v>239</v>
      </c>
      <c r="H1300" t="s">
        <v>602</v>
      </c>
      <c r="I1300">
        <v>18</v>
      </c>
      <c r="J1300" s="21">
        <v>46143</v>
      </c>
      <c r="K1300" s="21">
        <v>46143</v>
      </c>
      <c r="L1300" t="s">
        <v>2656</v>
      </c>
      <c r="M1300" t="s">
        <v>258</v>
      </c>
      <c r="N1300">
        <v>35</v>
      </c>
      <c r="O1300" t="s">
        <v>2398</v>
      </c>
      <c r="P1300">
        <v>2</v>
      </c>
      <c r="Q1300">
        <v>1.25</v>
      </c>
      <c r="R1300">
        <v>0.75</v>
      </c>
      <c r="S1300">
        <v>1.5</v>
      </c>
      <c r="T1300">
        <v>0.94</v>
      </c>
      <c r="U1300" t="s">
        <v>60</v>
      </c>
      <c r="V1300" t="s">
        <v>61</v>
      </c>
      <c r="W1300" t="s">
        <v>21</v>
      </c>
      <c r="X1300">
        <v>1.6</v>
      </c>
      <c r="Y1300" t="s">
        <v>679</v>
      </c>
      <c r="Z1300" t="s">
        <v>496</v>
      </c>
      <c r="AA1300">
        <v>180</v>
      </c>
      <c r="AB1300">
        <v>270</v>
      </c>
      <c r="AC1300">
        <v>168.75</v>
      </c>
    </row>
    <row r="1301" spans="2:29" ht="15" customHeight="1" x14ac:dyDescent="0.15">
      <c r="B1301">
        <v>4</v>
      </c>
      <c r="C1301" t="s">
        <v>386</v>
      </c>
      <c r="D1301" t="s">
        <v>2653</v>
      </c>
      <c r="E1301">
        <v>4</v>
      </c>
      <c r="F1301" t="s">
        <v>219</v>
      </c>
      <c r="G1301" t="s">
        <v>218</v>
      </c>
      <c r="H1301" t="s">
        <v>686</v>
      </c>
      <c r="I1301">
        <v>18</v>
      </c>
      <c r="J1301" s="21">
        <v>46143</v>
      </c>
      <c r="K1301" s="21">
        <v>46143</v>
      </c>
      <c r="L1301" t="s">
        <v>2657</v>
      </c>
      <c r="M1301" t="s">
        <v>2468</v>
      </c>
      <c r="N1301">
        <v>35</v>
      </c>
      <c r="O1301" t="s">
        <v>2398</v>
      </c>
      <c r="P1301">
        <v>2</v>
      </c>
      <c r="Q1301">
        <v>1.25</v>
      </c>
      <c r="R1301">
        <v>0.15</v>
      </c>
      <c r="S1301">
        <v>0.3</v>
      </c>
      <c r="T1301">
        <v>0.19</v>
      </c>
      <c r="U1301" t="s">
        <v>60</v>
      </c>
      <c r="V1301" t="s">
        <v>61</v>
      </c>
      <c r="W1301" t="s">
        <v>21</v>
      </c>
      <c r="X1301">
        <v>1.6</v>
      </c>
      <c r="Y1301" t="s">
        <v>679</v>
      </c>
      <c r="Z1301" t="s">
        <v>496</v>
      </c>
      <c r="AA1301">
        <v>80.900000000000006</v>
      </c>
      <c r="AB1301">
        <v>24.27</v>
      </c>
      <c r="AC1301">
        <v>15.17</v>
      </c>
    </row>
    <row r="1302" spans="2:29" ht="15" customHeight="1" x14ac:dyDescent="0.15">
      <c r="B1302">
        <v>4</v>
      </c>
      <c r="C1302" t="s">
        <v>386</v>
      </c>
      <c r="D1302" t="s">
        <v>2653</v>
      </c>
      <c r="E1302">
        <v>5</v>
      </c>
      <c r="F1302" t="s">
        <v>219</v>
      </c>
      <c r="G1302" t="s">
        <v>218</v>
      </c>
      <c r="H1302" t="s">
        <v>2464</v>
      </c>
      <c r="I1302">
        <v>18</v>
      </c>
      <c r="J1302" s="21">
        <v>46143</v>
      </c>
      <c r="K1302" s="21">
        <v>46143</v>
      </c>
      <c r="L1302" t="s">
        <v>2658</v>
      </c>
      <c r="M1302" t="s">
        <v>2466</v>
      </c>
      <c r="N1302">
        <v>35</v>
      </c>
      <c r="O1302" t="s">
        <v>2398</v>
      </c>
      <c r="P1302">
        <v>2</v>
      </c>
      <c r="Q1302">
        <v>1.25</v>
      </c>
      <c r="R1302">
        <v>1</v>
      </c>
      <c r="S1302">
        <v>2</v>
      </c>
      <c r="T1302">
        <v>1.25</v>
      </c>
      <c r="U1302" t="s">
        <v>60</v>
      </c>
      <c r="V1302" t="s">
        <v>61</v>
      </c>
      <c r="W1302" t="s">
        <v>21</v>
      </c>
      <c r="X1302">
        <v>1.6</v>
      </c>
      <c r="Y1302" t="s">
        <v>679</v>
      </c>
      <c r="Z1302" t="s">
        <v>496</v>
      </c>
      <c r="AA1302">
        <v>46</v>
      </c>
      <c r="AB1302">
        <v>92</v>
      </c>
      <c r="AC1302">
        <v>57.5</v>
      </c>
    </row>
    <row r="1303" spans="2:29" ht="15" customHeight="1" x14ac:dyDescent="0.15">
      <c r="B1303">
        <v>4</v>
      </c>
      <c r="C1303" t="s">
        <v>386</v>
      </c>
      <c r="D1303" t="s">
        <v>2659</v>
      </c>
      <c r="E1303">
        <v>1</v>
      </c>
      <c r="F1303" t="s">
        <v>201</v>
      </c>
      <c r="G1303" t="s">
        <v>337</v>
      </c>
      <c r="H1303" t="s">
        <v>632</v>
      </c>
      <c r="I1303">
        <v>19</v>
      </c>
      <c r="J1303" s="21">
        <v>46148</v>
      </c>
      <c r="K1303" s="21">
        <v>46148</v>
      </c>
      <c r="L1303" t="s">
        <v>2660</v>
      </c>
      <c r="M1303" t="s">
        <v>336</v>
      </c>
      <c r="N1303" s="22">
        <v>46148</v>
      </c>
      <c r="O1303" t="s">
        <v>202</v>
      </c>
      <c r="P1303">
        <v>1</v>
      </c>
      <c r="Q1303">
        <v>0.22</v>
      </c>
      <c r="R1303">
        <v>25</v>
      </c>
      <c r="S1303">
        <v>25</v>
      </c>
      <c r="T1303">
        <v>5.56</v>
      </c>
      <c r="U1303" t="s">
        <v>96</v>
      </c>
      <c r="V1303" t="s">
        <v>97</v>
      </c>
      <c r="W1303" t="s">
        <v>21</v>
      </c>
      <c r="X1303">
        <v>4.5</v>
      </c>
      <c r="Y1303" t="s">
        <v>2455</v>
      </c>
      <c r="Z1303" t="s">
        <v>496</v>
      </c>
      <c r="AA1303">
        <v>4.8099999999999996</v>
      </c>
      <c r="AB1303">
        <v>120.25</v>
      </c>
      <c r="AC1303">
        <v>26.72</v>
      </c>
    </row>
    <row r="1304" spans="2:29" ht="15" customHeight="1" x14ac:dyDescent="0.15">
      <c r="B1304">
        <v>4</v>
      </c>
      <c r="C1304" t="s">
        <v>386</v>
      </c>
      <c r="D1304" t="s">
        <v>2659</v>
      </c>
      <c r="E1304">
        <v>2</v>
      </c>
      <c r="F1304" t="s">
        <v>201</v>
      </c>
      <c r="G1304" t="s">
        <v>337</v>
      </c>
      <c r="H1304" t="s">
        <v>475</v>
      </c>
      <c r="I1304">
        <v>19</v>
      </c>
      <c r="J1304" s="21">
        <v>46148</v>
      </c>
      <c r="K1304" s="21">
        <v>46148</v>
      </c>
      <c r="L1304" t="s">
        <v>2661</v>
      </c>
      <c r="M1304" t="s">
        <v>477</v>
      </c>
      <c r="N1304" s="22">
        <v>46148</v>
      </c>
      <c r="O1304" t="s">
        <v>202</v>
      </c>
      <c r="P1304">
        <v>1</v>
      </c>
      <c r="Q1304">
        <v>0.22</v>
      </c>
      <c r="R1304">
        <v>25</v>
      </c>
      <c r="S1304">
        <v>25</v>
      </c>
      <c r="T1304">
        <v>5.56</v>
      </c>
      <c r="U1304" t="s">
        <v>96</v>
      </c>
      <c r="V1304" t="s">
        <v>97</v>
      </c>
      <c r="W1304" t="s">
        <v>21</v>
      </c>
      <c r="X1304">
        <v>4.5</v>
      </c>
      <c r="Y1304" t="s">
        <v>2455</v>
      </c>
      <c r="Z1304" t="s">
        <v>496</v>
      </c>
      <c r="AA1304">
        <v>4.88</v>
      </c>
      <c r="AB1304">
        <v>122</v>
      </c>
      <c r="AC1304">
        <v>27.11</v>
      </c>
    </row>
    <row r="1305" spans="2:29" ht="15" customHeight="1" x14ac:dyDescent="0.15">
      <c r="B1305">
        <v>4</v>
      </c>
      <c r="C1305" t="s">
        <v>386</v>
      </c>
      <c r="D1305" t="s">
        <v>2659</v>
      </c>
      <c r="E1305">
        <v>3</v>
      </c>
      <c r="F1305" t="s">
        <v>219</v>
      </c>
      <c r="G1305" t="s">
        <v>218</v>
      </c>
      <c r="H1305" t="s">
        <v>667</v>
      </c>
      <c r="I1305">
        <v>19</v>
      </c>
      <c r="J1305" s="21">
        <v>46148</v>
      </c>
      <c r="K1305" s="21">
        <v>46148</v>
      </c>
      <c r="L1305" t="s">
        <v>2662</v>
      </c>
      <c r="M1305" t="s">
        <v>355</v>
      </c>
      <c r="N1305" s="22">
        <v>46148</v>
      </c>
      <c r="O1305" t="s">
        <v>202</v>
      </c>
      <c r="P1305">
        <v>1</v>
      </c>
      <c r="Q1305">
        <v>0.22</v>
      </c>
      <c r="R1305">
        <v>5</v>
      </c>
      <c r="S1305">
        <v>5</v>
      </c>
      <c r="T1305">
        <v>1.1100000000000001</v>
      </c>
      <c r="U1305" t="s">
        <v>96</v>
      </c>
      <c r="V1305" t="s">
        <v>97</v>
      </c>
      <c r="W1305" t="s">
        <v>21</v>
      </c>
      <c r="X1305">
        <v>4.5</v>
      </c>
      <c r="Y1305" t="s">
        <v>2455</v>
      </c>
      <c r="Z1305" t="s">
        <v>496</v>
      </c>
      <c r="AA1305">
        <v>1.2</v>
      </c>
      <c r="AB1305">
        <v>6</v>
      </c>
      <c r="AC1305">
        <v>1.33</v>
      </c>
    </row>
    <row r="1306" spans="2:29" ht="15" customHeight="1" x14ac:dyDescent="0.15">
      <c r="B1306">
        <v>4</v>
      </c>
      <c r="C1306" t="s">
        <v>386</v>
      </c>
      <c r="D1306" t="s">
        <v>2663</v>
      </c>
      <c r="E1306">
        <v>1</v>
      </c>
      <c r="F1306" t="s">
        <v>2664</v>
      </c>
      <c r="G1306" t="s">
        <v>2664</v>
      </c>
      <c r="H1306" t="s">
        <v>2664</v>
      </c>
      <c r="I1306">
        <v>12</v>
      </c>
      <c r="J1306" s="21">
        <v>46097</v>
      </c>
      <c r="K1306" s="21">
        <v>46097</v>
      </c>
      <c r="L1306" t="s">
        <v>2665</v>
      </c>
      <c r="M1306" t="s">
        <v>2666</v>
      </c>
      <c r="N1306">
        <v>-30</v>
      </c>
      <c r="O1306" t="s">
        <v>220</v>
      </c>
      <c r="P1306">
        <v>1</v>
      </c>
      <c r="Q1306">
        <v>1</v>
      </c>
      <c r="R1306">
        <v>3.86</v>
      </c>
      <c r="S1306">
        <v>3.86</v>
      </c>
      <c r="T1306">
        <v>3.86</v>
      </c>
      <c r="U1306" t="s">
        <v>89</v>
      </c>
      <c r="V1306" t="s">
        <v>90</v>
      </c>
      <c r="W1306" t="s">
        <v>21</v>
      </c>
      <c r="X1306">
        <v>1</v>
      </c>
      <c r="Y1306" t="s">
        <v>560</v>
      </c>
      <c r="Z1306" t="s">
        <v>496</v>
      </c>
      <c r="AA1306">
        <v>14.86</v>
      </c>
      <c r="AB1306">
        <v>57.36</v>
      </c>
      <c r="AC1306">
        <v>57.36</v>
      </c>
    </row>
    <row r="1307" spans="2:29" ht="15" customHeight="1" x14ac:dyDescent="0.15">
      <c r="B1307">
        <v>4</v>
      </c>
      <c r="C1307" t="s">
        <v>386</v>
      </c>
      <c r="D1307" t="s">
        <v>2667</v>
      </c>
      <c r="E1307">
        <v>1</v>
      </c>
      <c r="F1307" t="s">
        <v>2664</v>
      </c>
      <c r="G1307" t="s">
        <v>2664</v>
      </c>
      <c r="H1307" t="s">
        <v>2664</v>
      </c>
      <c r="I1307">
        <v>14</v>
      </c>
      <c r="J1307" s="21">
        <v>46113</v>
      </c>
      <c r="K1307" s="21">
        <v>46113</v>
      </c>
      <c r="L1307" t="s">
        <v>2668</v>
      </c>
      <c r="M1307" t="s">
        <v>2666</v>
      </c>
      <c r="N1307">
        <v>-17</v>
      </c>
      <c r="O1307" t="s">
        <v>220</v>
      </c>
      <c r="P1307">
        <v>1</v>
      </c>
      <c r="Q1307">
        <v>1</v>
      </c>
      <c r="R1307">
        <v>0.71699999999999997</v>
      </c>
      <c r="S1307">
        <v>0.71699999999999997</v>
      </c>
      <c r="T1307">
        <v>0.31</v>
      </c>
      <c r="U1307" t="s">
        <v>73</v>
      </c>
      <c r="V1307" t="s">
        <v>74</v>
      </c>
      <c r="W1307" t="s">
        <v>75</v>
      </c>
      <c r="X1307">
        <v>2.2999999999999998</v>
      </c>
      <c r="Y1307" t="s">
        <v>560</v>
      </c>
      <c r="Z1307" t="s">
        <v>496</v>
      </c>
      <c r="AA1307">
        <v>14.86</v>
      </c>
      <c r="AB1307">
        <v>10.65</v>
      </c>
      <c r="AC1307">
        <v>4.63</v>
      </c>
    </row>
    <row r="1308" spans="2:29" ht="15" customHeight="1" x14ac:dyDescent="0.15">
      <c r="B1308">
        <v>4</v>
      </c>
      <c r="C1308" t="s">
        <v>386</v>
      </c>
      <c r="D1308" t="s">
        <v>2669</v>
      </c>
      <c r="E1308">
        <v>1</v>
      </c>
      <c r="F1308" t="s">
        <v>2664</v>
      </c>
      <c r="G1308" t="s">
        <v>2664</v>
      </c>
      <c r="H1308" t="s">
        <v>2664</v>
      </c>
      <c r="I1308">
        <v>14</v>
      </c>
      <c r="J1308" s="21">
        <v>46116</v>
      </c>
      <c r="K1308" s="21">
        <v>46116</v>
      </c>
      <c r="L1308" t="s">
        <v>2670</v>
      </c>
      <c r="M1308" t="s">
        <v>2666</v>
      </c>
      <c r="N1308">
        <v>-11</v>
      </c>
      <c r="O1308" t="s">
        <v>220</v>
      </c>
      <c r="P1308">
        <v>1</v>
      </c>
      <c r="Q1308">
        <v>1</v>
      </c>
      <c r="R1308">
        <v>3.31</v>
      </c>
      <c r="S1308">
        <v>3.31</v>
      </c>
      <c r="T1308">
        <v>3.31</v>
      </c>
      <c r="U1308" t="s">
        <v>89</v>
      </c>
      <c r="V1308" t="s">
        <v>90</v>
      </c>
      <c r="W1308" t="s">
        <v>21</v>
      </c>
      <c r="X1308">
        <v>1</v>
      </c>
      <c r="Y1308" t="s">
        <v>560</v>
      </c>
      <c r="Z1308" t="s">
        <v>496</v>
      </c>
      <c r="AA1308">
        <v>14.86</v>
      </c>
      <c r="AB1308">
        <v>49.19</v>
      </c>
      <c r="AC1308">
        <v>49.19</v>
      </c>
    </row>
    <row r="1309" spans="2:29" ht="15" customHeight="1" x14ac:dyDescent="0.15">
      <c r="B1309">
        <v>4</v>
      </c>
      <c r="C1309" t="s">
        <v>386</v>
      </c>
      <c r="D1309" t="s">
        <v>2671</v>
      </c>
      <c r="E1309">
        <v>1</v>
      </c>
      <c r="F1309" t="s">
        <v>2664</v>
      </c>
      <c r="G1309" t="s">
        <v>2664</v>
      </c>
      <c r="H1309" t="s">
        <v>2664</v>
      </c>
      <c r="I1309">
        <v>15</v>
      </c>
      <c r="J1309" s="21">
        <v>46118</v>
      </c>
      <c r="K1309" s="21">
        <v>46118</v>
      </c>
      <c r="L1309" t="s">
        <v>2672</v>
      </c>
      <c r="M1309" t="s">
        <v>2666</v>
      </c>
      <c r="N1309">
        <v>-9</v>
      </c>
      <c r="O1309" t="s">
        <v>220</v>
      </c>
      <c r="P1309">
        <v>1</v>
      </c>
      <c r="Q1309">
        <v>1</v>
      </c>
      <c r="R1309">
        <v>3.31</v>
      </c>
      <c r="S1309">
        <v>3.31</v>
      </c>
      <c r="T1309">
        <v>3.31</v>
      </c>
      <c r="U1309" t="s">
        <v>89</v>
      </c>
      <c r="V1309" t="s">
        <v>90</v>
      </c>
      <c r="W1309" t="s">
        <v>21</v>
      </c>
      <c r="X1309">
        <v>1</v>
      </c>
      <c r="Y1309" t="s">
        <v>560</v>
      </c>
      <c r="Z1309" t="s">
        <v>496</v>
      </c>
      <c r="AA1309">
        <v>14.86</v>
      </c>
      <c r="AB1309">
        <v>49.19</v>
      </c>
      <c r="AC1309">
        <v>49.19</v>
      </c>
    </row>
    <row r="1310" spans="2:29" ht="15" customHeight="1" x14ac:dyDescent="0.15">
      <c r="B1310">
        <v>4</v>
      </c>
      <c r="C1310" t="s">
        <v>386</v>
      </c>
      <c r="D1310" t="s">
        <v>2673</v>
      </c>
      <c r="E1310">
        <v>1</v>
      </c>
      <c r="F1310" t="s">
        <v>2664</v>
      </c>
      <c r="G1310" t="s">
        <v>2664</v>
      </c>
      <c r="H1310" t="s">
        <v>2664</v>
      </c>
      <c r="I1310">
        <v>15</v>
      </c>
      <c r="J1310" s="21">
        <v>46121</v>
      </c>
      <c r="K1310" s="21">
        <v>46121</v>
      </c>
      <c r="L1310" t="s">
        <v>2674</v>
      </c>
      <c r="M1310" t="s">
        <v>2666</v>
      </c>
      <c r="N1310">
        <v>-6</v>
      </c>
      <c r="O1310" t="s">
        <v>220</v>
      </c>
      <c r="P1310">
        <v>1</v>
      </c>
      <c r="Q1310">
        <v>1</v>
      </c>
      <c r="R1310">
        <v>2.2069999999999999</v>
      </c>
      <c r="S1310">
        <v>2.2069999999999999</v>
      </c>
      <c r="T1310">
        <v>2.21</v>
      </c>
      <c r="U1310" t="s">
        <v>89</v>
      </c>
      <c r="V1310" t="s">
        <v>90</v>
      </c>
      <c r="W1310" t="s">
        <v>21</v>
      </c>
      <c r="X1310">
        <v>1</v>
      </c>
      <c r="Y1310" t="s">
        <v>560</v>
      </c>
      <c r="Z1310" t="s">
        <v>496</v>
      </c>
      <c r="AA1310">
        <v>14.86</v>
      </c>
      <c r="AB1310">
        <v>32.799999999999997</v>
      </c>
      <c r="AC1310">
        <v>32.799999999999997</v>
      </c>
    </row>
    <row r="1311" spans="2:29" ht="15" customHeight="1" x14ac:dyDescent="0.15">
      <c r="B1311">
        <v>4</v>
      </c>
      <c r="C1311" t="s">
        <v>386</v>
      </c>
      <c r="D1311" t="s">
        <v>2675</v>
      </c>
      <c r="E1311">
        <v>1</v>
      </c>
      <c r="F1311" t="s">
        <v>2664</v>
      </c>
      <c r="G1311" t="s">
        <v>2664</v>
      </c>
      <c r="H1311" t="s">
        <v>2664</v>
      </c>
      <c r="I1311">
        <v>16</v>
      </c>
      <c r="J1311" s="21">
        <v>46126</v>
      </c>
      <c r="K1311" s="21">
        <v>46126</v>
      </c>
      <c r="L1311" t="s">
        <v>2676</v>
      </c>
      <c r="M1311" t="s">
        <v>2666</v>
      </c>
      <c r="N1311">
        <v>-4</v>
      </c>
      <c r="O1311" t="s">
        <v>220</v>
      </c>
      <c r="P1311">
        <v>1</v>
      </c>
      <c r="Q1311">
        <v>1</v>
      </c>
      <c r="R1311">
        <v>2.9020000000000001</v>
      </c>
      <c r="S1311">
        <v>2.9020000000000001</v>
      </c>
      <c r="T1311">
        <v>2.23</v>
      </c>
      <c r="U1311" t="s">
        <v>91</v>
      </c>
      <c r="V1311" t="s">
        <v>92</v>
      </c>
      <c r="W1311" t="s">
        <v>21</v>
      </c>
      <c r="X1311">
        <v>1.3</v>
      </c>
      <c r="Y1311" t="s">
        <v>560</v>
      </c>
      <c r="Z1311" t="s">
        <v>496</v>
      </c>
      <c r="AA1311">
        <v>14.86</v>
      </c>
      <c r="AB1311">
        <v>43.12</v>
      </c>
      <c r="AC1311">
        <v>33.17</v>
      </c>
    </row>
    <row r="1312" spans="2:29" ht="15" customHeight="1" x14ac:dyDescent="0.15">
      <c r="B1312">
        <v>4</v>
      </c>
      <c r="C1312" t="s">
        <v>386</v>
      </c>
      <c r="D1312" t="s">
        <v>2677</v>
      </c>
      <c r="E1312">
        <v>1</v>
      </c>
      <c r="F1312" t="s">
        <v>2664</v>
      </c>
      <c r="G1312" t="s">
        <v>2664</v>
      </c>
      <c r="H1312" t="s">
        <v>2664</v>
      </c>
      <c r="I1312">
        <v>16</v>
      </c>
      <c r="J1312" s="21">
        <v>46126</v>
      </c>
      <c r="K1312" s="21">
        <v>46126</v>
      </c>
      <c r="L1312" t="s">
        <v>2678</v>
      </c>
      <c r="M1312" t="s">
        <v>2666</v>
      </c>
      <c r="N1312">
        <v>-4</v>
      </c>
      <c r="O1312" t="s">
        <v>220</v>
      </c>
      <c r="P1312">
        <v>1</v>
      </c>
      <c r="Q1312">
        <v>1</v>
      </c>
      <c r="R1312">
        <v>1.45</v>
      </c>
      <c r="S1312">
        <v>1.45</v>
      </c>
      <c r="T1312">
        <v>1.1200000000000001</v>
      </c>
      <c r="U1312" t="s">
        <v>91</v>
      </c>
      <c r="V1312" t="s">
        <v>92</v>
      </c>
      <c r="W1312" t="s">
        <v>21</v>
      </c>
      <c r="X1312">
        <v>1.3</v>
      </c>
      <c r="Y1312" t="s">
        <v>560</v>
      </c>
      <c r="Z1312" t="s">
        <v>496</v>
      </c>
      <c r="AA1312">
        <v>14.86</v>
      </c>
      <c r="AB1312">
        <v>21.55</v>
      </c>
      <c r="AC1312">
        <v>16.57</v>
      </c>
    </row>
    <row r="1313" spans="2:29" ht="15" customHeight="1" x14ac:dyDescent="0.15">
      <c r="B1313">
        <v>4</v>
      </c>
      <c r="C1313" t="s">
        <v>386</v>
      </c>
      <c r="D1313" t="s">
        <v>2679</v>
      </c>
      <c r="E1313">
        <v>1</v>
      </c>
      <c r="F1313" t="s">
        <v>2664</v>
      </c>
      <c r="G1313" t="s">
        <v>2664</v>
      </c>
      <c r="H1313" t="s">
        <v>2664</v>
      </c>
      <c r="I1313">
        <v>16</v>
      </c>
      <c r="J1313" s="21">
        <v>46127</v>
      </c>
      <c r="K1313" s="21">
        <v>46127</v>
      </c>
      <c r="L1313" t="s">
        <v>2680</v>
      </c>
      <c r="M1313" t="s">
        <v>2666</v>
      </c>
      <c r="N1313">
        <v>0</v>
      </c>
      <c r="O1313" t="s">
        <v>220</v>
      </c>
      <c r="P1313">
        <v>1</v>
      </c>
      <c r="Q1313">
        <v>1</v>
      </c>
      <c r="R1313">
        <v>0.55200000000000005</v>
      </c>
      <c r="S1313">
        <v>0.55200000000000005</v>
      </c>
      <c r="T1313">
        <v>0.55000000000000004</v>
      </c>
      <c r="U1313" t="s">
        <v>89</v>
      </c>
      <c r="V1313" t="s">
        <v>90</v>
      </c>
      <c r="W1313" t="s">
        <v>21</v>
      </c>
      <c r="X1313">
        <v>1</v>
      </c>
      <c r="Y1313" t="s">
        <v>560</v>
      </c>
      <c r="Z1313" t="s">
        <v>496</v>
      </c>
      <c r="AA1313">
        <v>14.86</v>
      </c>
      <c r="AB1313">
        <v>8.1999999999999993</v>
      </c>
      <c r="AC1313">
        <v>8.1999999999999993</v>
      </c>
    </row>
    <row r="1314" spans="2:29" ht="15" customHeight="1" x14ac:dyDescent="0.15">
      <c r="B1314">
        <v>4</v>
      </c>
      <c r="C1314" t="s">
        <v>386</v>
      </c>
      <c r="D1314" t="s">
        <v>2681</v>
      </c>
      <c r="E1314">
        <v>1</v>
      </c>
      <c r="F1314" t="s">
        <v>2664</v>
      </c>
      <c r="G1314" t="s">
        <v>2664</v>
      </c>
      <c r="H1314" t="s">
        <v>2664</v>
      </c>
      <c r="I1314">
        <v>16</v>
      </c>
      <c r="J1314" s="21">
        <v>46128</v>
      </c>
      <c r="K1314" s="21">
        <v>46128</v>
      </c>
      <c r="L1314" t="s">
        <v>2682</v>
      </c>
      <c r="M1314" t="s">
        <v>2666</v>
      </c>
      <c r="N1314">
        <v>-2</v>
      </c>
      <c r="O1314" t="s">
        <v>220</v>
      </c>
      <c r="P1314">
        <v>1</v>
      </c>
      <c r="Q1314">
        <v>1</v>
      </c>
      <c r="R1314">
        <v>1.655</v>
      </c>
      <c r="S1314">
        <v>1.655</v>
      </c>
      <c r="T1314">
        <v>0.72</v>
      </c>
      <c r="U1314" t="s">
        <v>73</v>
      </c>
      <c r="V1314" t="s">
        <v>74</v>
      </c>
      <c r="W1314" t="s">
        <v>75</v>
      </c>
      <c r="X1314">
        <v>2.2999999999999998</v>
      </c>
      <c r="Y1314" t="s">
        <v>560</v>
      </c>
      <c r="Z1314" t="s">
        <v>496</v>
      </c>
      <c r="AA1314">
        <v>14.86</v>
      </c>
      <c r="AB1314">
        <v>24.59</v>
      </c>
      <c r="AC1314">
        <v>10.69</v>
      </c>
    </row>
    <row r="1315" spans="2:29" ht="15" customHeight="1" x14ac:dyDescent="0.15">
      <c r="B1315">
        <v>4</v>
      </c>
      <c r="C1315" t="s">
        <v>386</v>
      </c>
      <c r="D1315" t="s">
        <v>2683</v>
      </c>
      <c r="E1315">
        <v>1</v>
      </c>
      <c r="F1315" t="s">
        <v>2664</v>
      </c>
      <c r="G1315" t="s">
        <v>2664</v>
      </c>
      <c r="H1315" t="s">
        <v>2664</v>
      </c>
      <c r="I1315">
        <v>16</v>
      </c>
      <c r="J1315" s="21">
        <v>46129</v>
      </c>
      <c r="K1315" s="21">
        <v>46129</v>
      </c>
      <c r="L1315" t="s">
        <v>2684</v>
      </c>
      <c r="M1315" t="s">
        <v>2666</v>
      </c>
      <c r="N1315">
        <v>-1</v>
      </c>
      <c r="O1315" t="s">
        <v>220</v>
      </c>
      <c r="P1315">
        <v>1</v>
      </c>
      <c r="Q1315">
        <v>1</v>
      </c>
      <c r="R1315">
        <v>1.655</v>
      </c>
      <c r="S1315">
        <v>1.655</v>
      </c>
      <c r="T1315">
        <v>0.72</v>
      </c>
      <c r="U1315" t="s">
        <v>73</v>
      </c>
      <c r="V1315" t="s">
        <v>74</v>
      </c>
      <c r="W1315" t="s">
        <v>75</v>
      </c>
      <c r="X1315">
        <v>2.2999999999999998</v>
      </c>
      <c r="Y1315" t="s">
        <v>560</v>
      </c>
      <c r="Z1315" t="s">
        <v>496</v>
      </c>
      <c r="AA1315">
        <v>14.86</v>
      </c>
      <c r="AB1315">
        <v>24.59</v>
      </c>
      <c r="AC1315">
        <v>10.69</v>
      </c>
    </row>
    <row r="1316" spans="2:29" ht="15" customHeight="1" x14ac:dyDescent="0.15">
      <c r="B1316">
        <v>4</v>
      </c>
      <c r="C1316" t="s">
        <v>386</v>
      </c>
      <c r="D1316" t="s">
        <v>2685</v>
      </c>
      <c r="E1316">
        <v>1</v>
      </c>
      <c r="F1316" t="s">
        <v>2664</v>
      </c>
      <c r="G1316" t="s">
        <v>2664</v>
      </c>
      <c r="H1316" t="s">
        <v>2664</v>
      </c>
      <c r="I1316">
        <v>16</v>
      </c>
      <c r="J1316" s="21">
        <v>46130</v>
      </c>
      <c r="K1316" s="21">
        <v>46130</v>
      </c>
      <c r="L1316" t="s">
        <v>2686</v>
      </c>
      <c r="M1316" t="s">
        <v>2666</v>
      </c>
      <c r="N1316">
        <v>0</v>
      </c>
      <c r="O1316" t="s">
        <v>220</v>
      </c>
      <c r="P1316">
        <v>1</v>
      </c>
      <c r="Q1316">
        <v>1</v>
      </c>
      <c r="R1316">
        <v>1.27</v>
      </c>
      <c r="S1316">
        <v>1.27</v>
      </c>
      <c r="T1316">
        <v>0.55000000000000004</v>
      </c>
      <c r="U1316" t="s">
        <v>73</v>
      </c>
      <c r="V1316" t="s">
        <v>74</v>
      </c>
      <c r="W1316" t="s">
        <v>75</v>
      </c>
      <c r="X1316">
        <v>2.2999999999999998</v>
      </c>
      <c r="Y1316" t="s">
        <v>560</v>
      </c>
      <c r="Z1316" t="s">
        <v>496</v>
      </c>
      <c r="AA1316">
        <v>14.86</v>
      </c>
      <c r="AB1316">
        <v>18.87</v>
      </c>
      <c r="AC1316">
        <v>8.2100000000000009</v>
      </c>
    </row>
    <row r="1317" spans="2:29" ht="15" customHeight="1" x14ac:dyDescent="0.15">
      <c r="B1317">
        <v>4</v>
      </c>
      <c r="C1317" t="s">
        <v>386</v>
      </c>
      <c r="D1317" t="s">
        <v>2687</v>
      </c>
      <c r="E1317">
        <v>1</v>
      </c>
      <c r="F1317" t="s">
        <v>2664</v>
      </c>
      <c r="G1317" t="s">
        <v>2664</v>
      </c>
      <c r="H1317" t="s">
        <v>2664</v>
      </c>
      <c r="I1317">
        <v>18</v>
      </c>
      <c r="J1317" s="21">
        <v>46140</v>
      </c>
      <c r="K1317" s="21">
        <v>46140</v>
      </c>
      <c r="L1317" t="s">
        <v>2688</v>
      </c>
      <c r="M1317" t="s">
        <v>2666</v>
      </c>
      <c r="N1317">
        <v>0</v>
      </c>
      <c r="O1317" t="s">
        <v>220</v>
      </c>
      <c r="P1317">
        <v>1</v>
      </c>
      <c r="Q1317">
        <v>1</v>
      </c>
      <c r="R1317">
        <v>0.38700000000000001</v>
      </c>
      <c r="S1317">
        <v>0.38700000000000001</v>
      </c>
      <c r="T1317">
        <v>0.05</v>
      </c>
      <c r="U1317" t="s">
        <v>101</v>
      </c>
      <c r="V1317" t="s">
        <v>102</v>
      </c>
      <c r="W1317" t="s">
        <v>75</v>
      </c>
      <c r="X1317">
        <v>7.3</v>
      </c>
      <c r="Y1317" t="s">
        <v>560</v>
      </c>
      <c r="Z1317" t="s">
        <v>496</v>
      </c>
      <c r="AA1317">
        <v>14.86</v>
      </c>
      <c r="AB1317">
        <v>5.75</v>
      </c>
      <c r="AC1317">
        <v>0.79</v>
      </c>
    </row>
    <row r="1318" spans="2:29" ht="15" customHeight="1" x14ac:dyDescent="0.15">
      <c r="B1318">
        <v>4</v>
      </c>
      <c r="C1318" t="s">
        <v>386</v>
      </c>
      <c r="D1318" t="s">
        <v>2689</v>
      </c>
      <c r="E1318">
        <v>1</v>
      </c>
      <c r="F1318" t="s">
        <v>2664</v>
      </c>
      <c r="G1318" t="s">
        <v>2664</v>
      </c>
      <c r="H1318" t="s">
        <v>2664</v>
      </c>
      <c r="I1318">
        <v>18</v>
      </c>
      <c r="J1318" s="21">
        <v>46141</v>
      </c>
      <c r="K1318" s="21">
        <v>46141</v>
      </c>
      <c r="L1318" t="s">
        <v>2690</v>
      </c>
      <c r="M1318" t="s">
        <v>2666</v>
      </c>
      <c r="N1318">
        <v>14</v>
      </c>
      <c r="O1318" t="s">
        <v>220</v>
      </c>
      <c r="P1318">
        <v>1</v>
      </c>
      <c r="Q1318">
        <v>1</v>
      </c>
      <c r="R1318">
        <v>0.55200000000000005</v>
      </c>
      <c r="S1318">
        <v>0.55200000000000005</v>
      </c>
      <c r="T1318">
        <v>0.55000000000000004</v>
      </c>
      <c r="U1318" t="s">
        <v>89</v>
      </c>
      <c r="V1318" t="s">
        <v>90</v>
      </c>
      <c r="W1318" t="s">
        <v>21</v>
      </c>
      <c r="X1318">
        <v>1</v>
      </c>
      <c r="Y1318" t="s">
        <v>560</v>
      </c>
      <c r="Z1318" t="s">
        <v>496</v>
      </c>
      <c r="AA1318">
        <v>14.86</v>
      </c>
      <c r="AB1318">
        <v>8.1999999999999993</v>
      </c>
      <c r="AC1318">
        <v>8.1999999999999993</v>
      </c>
    </row>
    <row r="1319" spans="2:29" ht="15" customHeight="1" x14ac:dyDescent="0.15">
      <c r="B1319">
        <v>4</v>
      </c>
      <c r="C1319" t="s">
        <v>386</v>
      </c>
      <c r="D1319" t="s">
        <v>2691</v>
      </c>
      <c r="E1319">
        <v>1</v>
      </c>
      <c r="F1319" t="s">
        <v>2664</v>
      </c>
      <c r="G1319" t="s">
        <v>2664</v>
      </c>
      <c r="H1319" t="s">
        <v>2664</v>
      </c>
      <c r="I1319">
        <v>18</v>
      </c>
      <c r="J1319" s="21">
        <v>46142</v>
      </c>
      <c r="K1319" s="21">
        <v>46142</v>
      </c>
      <c r="L1319" t="s">
        <v>2692</v>
      </c>
      <c r="M1319" t="s">
        <v>2666</v>
      </c>
      <c r="N1319" s="22">
        <v>46142</v>
      </c>
      <c r="O1319" t="s">
        <v>220</v>
      </c>
      <c r="P1319">
        <v>1</v>
      </c>
      <c r="Q1319">
        <v>1</v>
      </c>
      <c r="R1319">
        <v>0.193</v>
      </c>
      <c r="S1319">
        <v>0.193</v>
      </c>
      <c r="T1319">
        <v>0.04</v>
      </c>
      <c r="U1319" t="s">
        <v>96</v>
      </c>
      <c r="V1319" t="s">
        <v>97</v>
      </c>
      <c r="W1319" t="s">
        <v>21</v>
      </c>
      <c r="X1319">
        <v>4.5</v>
      </c>
      <c r="Y1319" t="s">
        <v>560</v>
      </c>
      <c r="Z1319" t="s">
        <v>496</v>
      </c>
      <c r="AA1319">
        <v>14.86</v>
      </c>
      <c r="AB1319">
        <v>2.87</v>
      </c>
      <c r="AC1319">
        <v>0.64</v>
      </c>
    </row>
    <row r="1320" spans="2:29" ht="15" customHeight="1" x14ac:dyDescent="0.15">
      <c r="B1320">
        <v>4</v>
      </c>
      <c r="C1320" t="s">
        <v>386</v>
      </c>
      <c r="D1320" t="s">
        <v>2693</v>
      </c>
      <c r="E1320">
        <v>1</v>
      </c>
      <c r="F1320" t="s">
        <v>2664</v>
      </c>
      <c r="G1320" t="s">
        <v>2664</v>
      </c>
      <c r="H1320" t="s">
        <v>2664</v>
      </c>
      <c r="I1320">
        <v>18</v>
      </c>
      <c r="J1320" s="21">
        <v>46142</v>
      </c>
      <c r="K1320" s="21">
        <v>46142</v>
      </c>
      <c r="L1320" t="s">
        <v>2694</v>
      </c>
      <c r="M1320" t="s">
        <v>2666</v>
      </c>
      <c r="N1320">
        <v>2</v>
      </c>
      <c r="O1320" t="s">
        <v>220</v>
      </c>
      <c r="P1320">
        <v>1</v>
      </c>
      <c r="Q1320">
        <v>1</v>
      </c>
      <c r="R1320">
        <v>0.87</v>
      </c>
      <c r="S1320">
        <v>0.87</v>
      </c>
      <c r="T1320">
        <v>0.12</v>
      </c>
      <c r="U1320" t="s">
        <v>101</v>
      </c>
      <c r="V1320" t="s">
        <v>102</v>
      </c>
      <c r="W1320" t="s">
        <v>75</v>
      </c>
      <c r="X1320">
        <v>7.3</v>
      </c>
      <c r="Y1320" t="s">
        <v>560</v>
      </c>
      <c r="Z1320" t="s">
        <v>496</v>
      </c>
      <c r="AA1320">
        <v>14.86</v>
      </c>
      <c r="AB1320">
        <v>12.93</v>
      </c>
      <c r="AC1320">
        <v>1.77</v>
      </c>
    </row>
    <row r="1321" spans="2:29" ht="15" customHeight="1" x14ac:dyDescent="0.15">
      <c r="B1321">
        <v>4</v>
      </c>
      <c r="C1321" t="s">
        <v>386</v>
      </c>
      <c r="D1321" t="s">
        <v>2695</v>
      </c>
      <c r="E1321">
        <v>1</v>
      </c>
      <c r="F1321" t="s">
        <v>2664</v>
      </c>
      <c r="G1321" t="s">
        <v>2664</v>
      </c>
      <c r="H1321" t="s">
        <v>2664</v>
      </c>
      <c r="I1321">
        <v>18</v>
      </c>
      <c r="J1321" s="21">
        <v>46142</v>
      </c>
      <c r="K1321" s="21">
        <v>46142</v>
      </c>
      <c r="L1321" t="s">
        <v>2696</v>
      </c>
      <c r="M1321" t="s">
        <v>2666</v>
      </c>
      <c r="N1321">
        <v>15</v>
      </c>
      <c r="O1321" t="s">
        <v>220</v>
      </c>
      <c r="P1321">
        <v>1</v>
      </c>
      <c r="Q1321">
        <v>1</v>
      </c>
      <c r="R1321">
        <v>1.655</v>
      </c>
      <c r="S1321">
        <v>1.655</v>
      </c>
      <c r="T1321">
        <v>1.66</v>
      </c>
      <c r="U1321" t="s">
        <v>89</v>
      </c>
      <c r="V1321" t="s">
        <v>90</v>
      </c>
      <c r="W1321" t="s">
        <v>21</v>
      </c>
      <c r="X1321">
        <v>1</v>
      </c>
      <c r="Y1321" t="s">
        <v>560</v>
      </c>
      <c r="Z1321" t="s">
        <v>496</v>
      </c>
      <c r="AA1321">
        <v>14.86</v>
      </c>
      <c r="AB1321">
        <v>24.59</v>
      </c>
      <c r="AC1321">
        <v>24.59</v>
      </c>
    </row>
    <row r="1322" spans="2:29" ht="15" customHeight="1" x14ac:dyDescent="0.15">
      <c r="B1322">
        <v>4</v>
      </c>
      <c r="C1322" t="s">
        <v>386</v>
      </c>
      <c r="D1322" t="s">
        <v>2697</v>
      </c>
      <c r="E1322">
        <v>1</v>
      </c>
      <c r="F1322" t="s">
        <v>201</v>
      </c>
      <c r="G1322" t="s">
        <v>200</v>
      </c>
      <c r="H1322" t="s">
        <v>1059</v>
      </c>
      <c r="I1322">
        <v>20</v>
      </c>
      <c r="J1322" s="21">
        <v>46153</v>
      </c>
      <c r="K1322" s="21">
        <v>46153</v>
      </c>
      <c r="L1322" t="s">
        <v>2698</v>
      </c>
      <c r="M1322" t="s">
        <v>2559</v>
      </c>
      <c r="N1322">
        <v>23</v>
      </c>
      <c r="O1322" t="s">
        <v>202</v>
      </c>
      <c r="P1322">
        <v>4</v>
      </c>
      <c r="Q1322">
        <v>1.87</v>
      </c>
      <c r="R1322">
        <v>200</v>
      </c>
      <c r="S1322">
        <v>860</v>
      </c>
      <c r="T1322">
        <v>373.91</v>
      </c>
      <c r="U1322" t="s">
        <v>73</v>
      </c>
      <c r="V1322" t="s">
        <v>74</v>
      </c>
      <c r="W1322" t="s">
        <v>75</v>
      </c>
      <c r="X1322">
        <v>2.2999999999999998</v>
      </c>
      <c r="Y1322" t="s">
        <v>560</v>
      </c>
      <c r="Z1322" t="s">
        <v>496</v>
      </c>
      <c r="AA1322">
        <v>4</v>
      </c>
      <c r="AB1322" s="22">
        <v>3440</v>
      </c>
      <c r="AC1322" s="22">
        <v>1495.65</v>
      </c>
    </row>
    <row r="1323" spans="2:29" ht="15" customHeight="1" x14ac:dyDescent="0.15">
      <c r="B1323">
        <v>4</v>
      </c>
      <c r="C1323" t="s">
        <v>386</v>
      </c>
      <c r="D1323" t="s">
        <v>2697</v>
      </c>
      <c r="E1323">
        <v>2</v>
      </c>
      <c r="F1323" t="s">
        <v>201</v>
      </c>
      <c r="G1323" t="s">
        <v>200</v>
      </c>
      <c r="H1323" t="s">
        <v>2560</v>
      </c>
      <c r="I1323">
        <v>20</v>
      </c>
      <c r="J1323" s="21">
        <v>46153</v>
      </c>
      <c r="K1323" s="21">
        <v>46153</v>
      </c>
      <c r="L1323" t="s">
        <v>2699</v>
      </c>
      <c r="M1323" t="s">
        <v>2562</v>
      </c>
      <c r="N1323">
        <v>23</v>
      </c>
      <c r="O1323" t="s">
        <v>202</v>
      </c>
      <c r="P1323">
        <v>4</v>
      </c>
      <c r="Q1323">
        <v>1.87</v>
      </c>
      <c r="R1323">
        <v>350</v>
      </c>
      <c r="S1323">
        <v>1505</v>
      </c>
      <c r="T1323">
        <v>654.35</v>
      </c>
      <c r="U1323" t="s">
        <v>73</v>
      </c>
      <c r="V1323" t="s">
        <v>74</v>
      </c>
      <c r="W1323" t="s">
        <v>75</v>
      </c>
      <c r="X1323">
        <v>2.2999999999999998</v>
      </c>
      <c r="Y1323" t="s">
        <v>560</v>
      </c>
      <c r="Z1323" t="s">
        <v>496</v>
      </c>
      <c r="AB1323">
        <v>0</v>
      </c>
      <c r="AC1323">
        <v>0</v>
      </c>
    </row>
    <row r="1324" spans="2:29" ht="15" customHeight="1" x14ac:dyDescent="0.15">
      <c r="B1324">
        <v>4</v>
      </c>
      <c r="C1324" t="s">
        <v>386</v>
      </c>
      <c r="D1324" t="s">
        <v>2700</v>
      </c>
      <c r="E1324">
        <v>1</v>
      </c>
      <c r="F1324" t="s">
        <v>219</v>
      </c>
      <c r="G1324" t="s">
        <v>223</v>
      </c>
      <c r="H1324" t="s">
        <v>987</v>
      </c>
      <c r="I1324">
        <v>20</v>
      </c>
      <c r="J1324" s="21">
        <v>46153</v>
      </c>
      <c r="K1324" s="21">
        <v>46153</v>
      </c>
      <c r="L1324" t="s">
        <v>2701</v>
      </c>
      <c r="M1324" t="s">
        <v>222</v>
      </c>
      <c r="N1324">
        <v>21</v>
      </c>
      <c r="O1324" t="s">
        <v>220</v>
      </c>
      <c r="P1324">
        <v>1</v>
      </c>
      <c r="Q1324">
        <v>0.5</v>
      </c>
      <c r="R1324">
        <v>5</v>
      </c>
      <c r="S1324">
        <v>5</v>
      </c>
      <c r="T1324">
        <v>2.5</v>
      </c>
      <c r="U1324" t="s">
        <v>84</v>
      </c>
      <c r="V1324" t="s">
        <v>85</v>
      </c>
      <c r="W1324" t="s">
        <v>21</v>
      </c>
      <c r="X1324">
        <v>2</v>
      </c>
      <c r="Y1324" t="s">
        <v>2455</v>
      </c>
      <c r="Z1324" t="s">
        <v>496</v>
      </c>
      <c r="AA1324">
        <v>13.47</v>
      </c>
      <c r="AB1324">
        <v>67.349999999999994</v>
      </c>
      <c r="AC1324">
        <v>33.68</v>
      </c>
    </row>
    <row r="1325" spans="2:29" ht="15" customHeight="1" x14ac:dyDescent="0.15">
      <c r="B1325">
        <v>4</v>
      </c>
      <c r="C1325" t="s">
        <v>386</v>
      </c>
      <c r="D1325" t="s">
        <v>2700</v>
      </c>
      <c r="E1325">
        <v>2</v>
      </c>
      <c r="F1325" t="s">
        <v>219</v>
      </c>
      <c r="G1325" t="s">
        <v>218</v>
      </c>
      <c r="H1325" t="s">
        <v>667</v>
      </c>
      <c r="I1325">
        <v>20</v>
      </c>
      <c r="J1325" s="21">
        <v>46153</v>
      </c>
      <c r="K1325" s="21">
        <v>46153</v>
      </c>
      <c r="L1325" t="s">
        <v>2702</v>
      </c>
      <c r="M1325" t="s">
        <v>355</v>
      </c>
      <c r="N1325">
        <v>21</v>
      </c>
      <c r="O1325" t="s">
        <v>202</v>
      </c>
      <c r="P1325">
        <v>1</v>
      </c>
      <c r="Q1325">
        <v>0.5</v>
      </c>
      <c r="R1325">
        <v>5</v>
      </c>
      <c r="S1325">
        <v>5</v>
      </c>
      <c r="T1325">
        <v>2.5</v>
      </c>
      <c r="U1325" t="s">
        <v>84</v>
      </c>
      <c r="V1325" t="s">
        <v>85</v>
      </c>
      <c r="W1325" t="s">
        <v>21</v>
      </c>
      <c r="X1325">
        <v>2</v>
      </c>
      <c r="Y1325" t="s">
        <v>2455</v>
      </c>
      <c r="Z1325" t="s">
        <v>496</v>
      </c>
      <c r="AA1325">
        <v>1.2</v>
      </c>
      <c r="AB1325">
        <v>6</v>
      </c>
      <c r="AC1325">
        <v>3</v>
      </c>
    </row>
    <row r="1326" spans="2:29" ht="15" customHeight="1" x14ac:dyDescent="0.15">
      <c r="B1326">
        <v>4</v>
      </c>
      <c r="C1326" t="s">
        <v>386</v>
      </c>
      <c r="D1326" t="s">
        <v>2700</v>
      </c>
      <c r="E1326">
        <v>3</v>
      </c>
      <c r="F1326" t="s">
        <v>201</v>
      </c>
      <c r="G1326" t="s">
        <v>337</v>
      </c>
      <c r="H1326" t="s">
        <v>475</v>
      </c>
      <c r="I1326">
        <v>20</v>
      </c>
      <c r="J1326" s="21">
        <v>46153</v>
      </c>
      <c r="K1326" s="21">
        <v>46153</v>
      </c>
      <c r="L1326" t="s">
        <v>2703</v>
      </c>
      <c r="M1326" t="s">
        <v>477</v>
      </c>
      <c r="N1326">
        <v>21</v>
      </c>
      <c r="O1326" t="s">
        <v>202</v>
      </c>
      <c r="P1326">
        <v>2</v>
      </c>
      <c r="Q1326">
        <v>1</v>
      </c>
      <c r="R1326">
        <v>25</v>
      </c>
      <c r="S1326">
        <v>50</v>
      </c>
      <c r="T1326">
        <v>25</v>
      </c>
      <c r="U1326" t="s">
        <v>84</v>
      </c>
      <c r="V1326" t="s">
        <v>85</v>
      </c>
      <c r="W1326" t="s">
        <v>21</v>
      </c>
      <c r="X1326">
        <v>2</v>
      </c>
      <c r="Y1326" t="s">
        <v>2455</v>
      </c>
      <c r="Z1326" t="s">
        <v>496</v>
      </c>
      <c r="AA1326">
        <v>4.88</v>
      </c>
      <c r="AB1326">
        <v>244</v>
      </c>
      <c r="AC1326">
        <v>122</v>
      </c>
    </row>
    <row r="1327" spans="2:29" ht="15" customHeight="1" x14ac:dyDescent="0.15">
      <c r="B1327">
        <v>4</v>
      </c>
      <c r="C1327" t="s">
        <v>386</v>
      </c>
      <c r="D1327" t="s">
        <v>2700</v>
      </c>
      <c r="E1327">
        <v>4</v>
      </c>
      <c r="F1327" t="s">
        <v>201</v>
      </c>
      <c r="G1327" t="s">
        <v>337</v>
      </c>
      <c r="H1327" t="s">
        <v>632</v>
      </c>
      <c r="I1327">
        <v>20</v>
      </c>
      <c r="J1327" s="21">
        <v>46153</v>
      </c>
      <c r="K1327" s="21">
        <v>46153</v>
      </c>
      <c r="L1327" t="s">
        <v>2704</v>
      </c>
      <c r="M1327" t="s">
        <v>336</v>
      </c>
      <c r="N1327">
        <v>21</v>
      </c>
      <c r="O1327" t="s">
        <v>202</v>
      </c>
      <c r="P1327">
        <v>2</v>
      </c>
      <c r="Q1327">
        <v>1</v>
      </c>
      <c r="R1327">
        <v>25</v>
      </c>
      <c r="S1327">
        <v>50</v>
      </c>
      <c r="T1327">
        <v>25</v>
      </c>
      <c r="U1327" t="s">
        <v>84</v>
      </c>
      <c r="V1327" t="s">
        <v>85</v>
      </c>
      <c r="W1327" t="s">
        <v>21</v>
      </c>
      <c r="X1327">
        <v>2</v>
      </c>
      <c r="Y1327" t="s">
        <v>2455</v>
      </c>
      <c r="Z1327" t="s">
        <v>496</v>
      </c>
      <c r="AA1327">
        <v>4.8099999999999996</v>
      </c>
      <c r="AB1327">
        <v>240.5</v>
      </c>
      <c r="AC1327">
        <v>120.25</v>
      </c>
    </row>
    <row r="1328" spans="2:29" ht="15" customHeight="1" x14ac:dyDescent="0.15">
      <c r="B1328">
        <v>4</v>
      </c>
      <c r="C1328" t="s">
        <v>386</v>
      </c>
      <c r="D1328" t="s">
        <v>2705</v>
      </c>
      <c r="E1328">
        <v>1</v>
      </c>
      <c r="F1328" t="s">
        <v>219</v>
      </c>
      <c r="G1328" t="s">
        <v>231</v>
      </c>
      <c r="H1328" t="s">
        <v>231</v>
      </c>
      <c r="I1328">
        <v>20</v>
      </c>
      <c r="J1328" s="21">
        <v>46153</v>
      </c>
      <c r="K1328" s="21">
        <v>46153</v>
      </c>
      <c r="L1328" t="s">
        <v>2706</v>
      </c>
      <c r="M1328" t="s">
        <v>2648</v>
      </c>
      <c r="N1328" s="22">
        <v>46153</v>
      </c>
      <c r="O1328" t="s">
        <v>220</v>
      </c>
      <c r="P1328">
        <v>5</v>
      </c>
      <c r="Q1328">
        <v>1.1100000000000001</v>
      </c>
      <c r="R1328">
        <v>0.15</v>
      </c>
      <c r="S1328">
        <v>0.75</v>
      </c>
      <c r="T1328">
        <v>0.17</v>
      </c>
      <c r="U1328" t="s">
        <v>96</v>
      </c>
      <c r="V1328" t="s">
        <v>97</v>
      </c>
      <c r="W1328" t="s">
        <v>21</v>
      </c>
      <c r="X1328">
        <v>4.5</v>
      </c>
      <c r="Y1328" t="s">
        <v>2629</v>
      </c>
      <c r="Z1328" t="s">
        <v>496</v>
      </c>
      <c r="AA1328">
        <v>16.61</v>
      </c>
      <c r="AB1328">
        <v>12.46</v>
      </c>
      <c r="AC1328">
        <v>2.77</v>
      </c>
    </row>
    <row r="1329" spans="2:29" ht="15" customHeight="1" x14ac:dyDescent="0.15">
      <c r="B1329">
        <v>4</v>
      </c>
      <c r="C1329" t="s">
        <v>386</v>
      </c>
      <c r="D1329" t="s">
        <v>2705</v>
      </c>
      <c r="E1329">
        <v>2</v>
      </c>
      <c r="F1329" t="s">
        <v>219</v>
      </c>
      <c r="G1329" t="s">
        <v>439</v>
      </c>
      <c r="H1329" t="s">
        <v>533</v>
      </c>
      <c r="I1329">
        <v>20</v>
      </c>
      <c r="J1329" s="21">
        <v>46153</v>
      </c>
      <c r="K1329" s="21">
        <v>46153</v>
      </c>
      <c r="L1329" t="s">
        <v>2707</v>
      </c>
      <c r="M1329" t="s">
        <v>535</v>
      </c>
      <c r="N1329" s="22">
        <v>46153</v>
      </c>
      <c r="O1329" t="s">
        <v>220</v>
      </c>
      <c r="P1329">
        <v>5</v>
      </c>
      <c r="Q1329">
        <v>1.1100000000000001</v>
      </c>
      <c r="R1329">
        <v>1.5</v>
      </c>
      <c r="S1329">
        <v>7.5</v>
      </c>
      <c r="T1329">
        <v>1.67</v>
      </c>
      <c r="U1329" t="s">
        <v>96</v>
      </c>
      <c r="V1329" t="s">
        <v>97</v>
      </c>
      <c r="W1329" t="s">
        <v>21</v>
      </c>
      <c r="X1329">
        <v>4.5</v>
      </c>
      <c r="Y1329" t="s">
        <v>2629</v>
      </c>
      <c r="Z1329" t="s">
        <v>496</v>
      </c>
      <c r="AA1329">
        <v>38.14</v>
      </c>
      <c r="AB1329">
        <v>286.05</v>
      </c>
      <c r="AC1329">
        <v>63.57</v>
      </c>
    </row>
    <row r="1330" spans="2:29" ht="15" customHeight="1" x14ac:dyDescent="0.15">
      <c r="B1330">
        <v>4</v>
      </c>
      <c r="C1330" t="s">
        <v>386</v>
      </c>
      <c r="D1330" t="s">
        <v>2705</v>
      </c>
      <c r="E1330">
        <v>3</v>
      </c>
      <c r="F1330" t="s">
        <v>219</v>
      </c>
      <c r="G1330" t="s">
        <v>244</v>
      </c>
      <c r="H1330" t="s">
        <v>545</v>
      </c>
      <c r="I1330">
        <v>20</v>
      </c>
      <c r="J1330" s="21">
        <v>46153</v>
      </c>
      <c r="K1330" s="21">
        <v>46153</v>
      </c>
      <c r="L1330" t="s">
        <v>2708</v>
      </c>
      <c r="M1330" t="s">
        <v>547</v>
      </c>
      <c r="N1330" s="22">
        <v>46153</v>
      </c>
      <c r="O1330" t="s">
        <v>202</v>
      </c>
      <c r="P1330">
        <v>5</v>
      </c>
      <c r="Q1330">
        <v>1.1100000000000001</v>
      </c>
      <c r="R1330">
        <v>0.2</v>
      </c>
      <c r="S1330">
        <v>1</v>
      </c>
      <c r="T1330">
        <v>0.22</v>
      </c>
      <c r="U1330" t="s">
        <v>96</v>
      </c>
      <c r="V1330" t="s">
        <v>97</v>
      </c>
      <c r="W1330" t="s">
        <v>21</v>
      </c>
      <c r="X1330">
        <v>4.5</v>
      </c>
      <c r="Y1330" t="s">
        <v>2629</v>
      </c>
      <c r="Z1330" t="s">
        <v>496</v>
      </c>
      <c r="AA1330">
        <v>97</v>
      </c>
      <c r="AB1330">
        <v>97</v>
      </c>
      <c r="AC1330">
        <v>21.56</v>
      </c>
    </row>
    <row r="1331" spans="2:29" ht="15" customHeight="1" x14ac:dyDescent="0.15">
      <c r="B1331">
        <v>4</v>
      </c>
      <c r="C1331" t="s">
        <v>386</v>
      </c>
      <c r="D1331" t="s">
        <v>2705</v>
      </c>
      <c r="E1331">
        <v>4</v>
      </c>
      <c r="F1331" t="s">
        <v>219</v>
      </c>
      <c r="G1331" t="s">
        <v>218</v>
      </c>
      <c r="H1331" t="s">
        <v>2353</v>
      </c>
      <c r="I1331">
        <v>20</v>
      </c>
      <c r="J1331" s="21">
        <v>46153</v>
      </c>
      <c r="K1331" s="21">
        <v>46153</v>
      </c>
      <c r="L1331" t="s">
        <v>2709</v>
      </c>
      <c r="M1331" t="s">
        <v>241</v>
      </c>
      <c r="N1331" s="22">
        <v>46153</v>
      </c>
      <c r="O1331" t="s">
        <v>202</v>
      </c>
      <c r="P1331">
        <v>5</v>
      </c>
      <c r="Q1331">
        <v>1.1100000000000001</v>
      </c>
      <c r="R1331">
        <v>0.1</v>
      </c>
      <c r="S1331">
        <v>0.5</v>
      </c>
      <c r="T1331">
        <v>0.11</v>
      </c>
      <c r="U1331" t="s">
        <v>96</v>
      </c>
      <c r="V1331" t="s">
        <v>97</v>
      </c>
      <c r="W1331" t="s">
        <v>21</v>
      </c>
      <c r="X1331">
        <v>4.5</v>
      </c>
      <c r="Y1331" t="s">
        <v>2629</v>
      </c>
      <c r="Z1331" t="s">
        <v>496</v>
      </c>
      <c r="AA1331">
        <v>61.3</v>
      </c>
      <c r="AB1331">
        <v>30.65</v>
      </c>
      <c r="AC1331">
        <v>6.81</v>
      </c>
    </row>
    <row r="1332" spans="2:29" ht="15" customHeight="1" x14ac:dyDescent="0.15">
      <c r="B1332">
        <v>4</v>
      </c>
      <c r="C1332" t="s">
        <v>386</v>
      </c>
      <c r="D1332" t="s">
        <v>2705</v>
      </c>
      <c r="E1332">
        <v>5</v>
      </c>
      <c r="F1332" t="s">
        <v>219</v>
      </c>
      <c r="G1332" t="s">
        <v>218</v>
      </c>
      <c r="H1332" t="s">
        <v>686</v>
      </c>
      <c r="I1332">
        <v>20</v>
      </c>
      <c r="J1332" s="21">
        <v>46153</v>
      </c>
      <c r="K1332" s="21">
        <v>46153</v>
      </c>
      <c r="L1332" t="s">
        <v>2710</v>
      </c>
      <c r="M1332" t="s">
        <v>2468</v>
      </c>
      <c r="N1332" s="22">
        <v>46153</v>
      </c>
      <c r="O1332" t="s">
        <v>220</v>
      </c>
      <c r="P1332">
        <v>5</v>
      </c>
      <c r="Q1332">
        <v>1.1100000000000001</v>
      </c>
      <c r="R1332">
        <v>0.15</v>
      </c>
      <c r="S1332">
        <v>0.75</v>
      </c>
      <c r="T1332">
        <v>0.17</v>
      </c>
      <c r="U1332" t="s">
        <v>96</v>
      </c>
      <c r="V1332" t="s">
        <v>97</v>
      </c>
      <c r="W1332" t="s">
        <v>21</v>
      </c>
      <c r="X1332">
        <v>4.5</v>
      </c>
      <c r="Y1332" t="s">
        <v>2629</v>
      </c>
      <c r="Z1332" t="s">
        <v>496</v>
      </c>
      <c r="AA1332">
        <v>80.900000000000006</v>
      </c>
      <c r="AB1332">
        <v>60.68</v>
      </c>
      <c r="AC1332">
        <v>13.48</v>
      </c>
    </row>
    <row r="1333" spans="2:29" ht="15" customHeight="1" x14ac:dyDescent="0.15">
      <c r="B1333">
        <v>4</v>
      </c>
      <c r="C1333" t="s">
        <v>386</v>
      </c>
      <c r="D1333" t="s">
        <v>2711</v>
      </c>
      <c r="E1333">
        <v>1</v>
      </c>
      <c r="F1333" t="s">
        <v>219</v>
      </c>
      <c r="G1333" t="s">
        <v>231</v>
      </c>
      <c r="H1333" t="s">
        <v>231</v>
      </c>
      <c r="I1333">
        <v>20</v>
      </c>
      <c r="J1333" s="21">
        <v>46155</v>
      </c>
      <c r="K1333" s="21">
        <v>46155</v>
      </c>
      <c r="L1333" t="s">
        <v>2712</v>
      </c>
      <c r="M1333" t="s">
        <v>2648</v>
      </c>
      <c r="N1333">
        <v>118</v>
      </c>
      <c r="O1333" t="s">
        <v>220</v>
      </c>
      <c r="P1333">
        <v>4</v>
      </c>
      <c r="Q1333">
        <v>2</v>
      </c>
      <c r="R1333">
        <v>0.15</v>
      </c>
      <c r="S1333">
        <v>0.6</v>
      </c>
      <c r="T1333">
        <v>0.3</v>
      </c>
      <c r="U1333" t="s">
        <v>39</v>
      </c>
      <c r="V1333" t="s">
        <v>40</v>
      </c>
      <c r="W1333" t="s">
        <v>21</v>
      </c>
      <c r="X1333">
        <v>2</v>
      </c>
      <c r="Y1333" t="s">
        <v>679</v>
      </c>
      <c r="Z1333" t="s">
        <v>496</v>
      </c>
      <c r="AA1333">
        <v>16.61</v>
      </c>
      <c r="AB1333">
        <v>9.9700000000000006</v>
      </c>
      <c r="AC1333">
        <v>4.9800000000000004</v>
      </c>
    </row>
    <row r="1334" spans="2:29" ht="15" customHeight="1" x14ac:dyDescent="0.15">
      <c r="B1334">
        <v>4</v>
      </c>
      <c r="C1334" t="s">
        <v>386</v>
      </c>
      <c r="D1334" t="s">
        <v>2711</v>
      </c>
      <c r="E1334">
        <v>2</v>
      </c>
      <c r="F1334" t="s">
        <v>219</v>
      </c>
      <c r="G1334" t="s">
        <v>218</v>
      </c>
      <c r="H1334" t="s">
        <v>2305</v>
      </c>
      <c r="I1334">
        <v>20</v>
      </c>
      <c r="J1334" s="21">
        <v>46155</v>
      </c>
      <c r="K1334" s="21">
        <v>46155</v>
      </c>
      <c r="L1334" t="s">
        <v>2713</v>
      </c>
      <c r="M1334" t="s">
        <v>255</v>
      </c>
      <c r="N1334">
        <v>118</v>
      </c>
      <c r="O1334" t="s">
        <v>202</v>
      </c>
      <c r="P1334">
        <v>4</v>
      </c>
      <c r="Q1334">
        <v>2</v>
      </c>
      <c r="R1334">
        <v>0.4</v>
      </c>
      <c r="S1334">
        <v>1.6</v>
      </c>
      <c r="T1334">
        <v>0.8</v>
      </c>
      <c r="U1334" t="s">
        <v>39</v>
      </c>
      <c r="V1334" t="s">
        <v>40</v>
      </c>
      <c r="W1334" t="s">
        <v>21</v>
      </c>
      <c r="X1334">
        <v>2</v>
      </c>
      <c r="Y1334" t="s">
        <v>679</v>
      </c>
      <c r="Z1334" t="s">
        <v>496</v>
      </c>
      <c r="AA1334">
        <v>37.5</v>
      </c>
      <c r="AB1334">
        <v>60</v>
      </c>
      <c r="AC1334">
        <v>30</v>
      </c>
    </row>
    <row r="1335" spans="2:29" ht="15" customHeight="1" x14ac:dyDescent="0.15">
      <c r="B1335">
        <v>4</v>
      </c>
      <c r="C1335" t="s">
        <v>386</v>
      </c>
      <c r="D1335" t="s">
        <v>2711</v>
      </c>
      <c r="E1335">
        <v>3</v>
      </c>
      <c r="F1335" t="s">
        <v>219</v>
      </c>
      <c r="G1335" t="s">
        <v>218</v>
      </c>
      <c r="H1335" t="s">
        <v>2714</v>
      </c>
      <c r="I1335">
        <v>20</v>
      </c>
      <c r="J1335" s="21">
        <v>46155</v>
      </c>
      <c r="K1335" s="21">
        <v>46155</v>
      </c>
      <c r="L1335" t="s">
        <v>2715</v>
      </c>
      <c r="M1335" t="s">
        <v>2716</v>
      </c>
      <c r="N1335">
        <v>118</v>
      </c>
      <c r="O1335" t="s">
        <v>220</v>
      </c>
      <c r="P1335">
        <v>4</v>
      </c>
      <c r="Q1335">
        <v>2</v>
      </c>
      <c r="R1335">
        <v>0.15</v>
      </c>
      <c r="S1335">
        <v>0.6</v>
      </c>
      <c r="T1335">
        <v>0.3</v>
      </c>
      <c r="U1335" t="s">
        <v>39</v>
      </c>
      <c r="V1335" t="s">
        <v>40</v>
      </c>
      <c r="W1335" t="s">
        <v>21</v>
      </c>
      <c r="X1335">
        <v>2</v>
      </c>
      <c r="Y1335" t="s">
        <v>679</v>
      </c>
      <c r="Z1335" t="s">
        <v>496</v>
      </c>
      <c r="AA1335">
        <v>50</v>
      </c>
      <c r="AB1335">
        <v>30</v>
      </c>
      <c r="AC1335">
        <v>15</v>
      </c>
    </row>
    <row r="1336" spans="2:29" ht="15" customHeight="1" x14ac:dyDescent="0.15">
      <c r="B1336">
        <v>4</v>
      </c>
      <c r="C1336" t="s">
        <v>386</v>
      </c>
      <c r="D1336" t="s">
        <v>2711</v>
      </c>
      <c r="E1336">
        <v>4</v>
      </c>
      <c r="F1336" t="s">
        <v>219</v>
      </c>
      <c r="G1336" t="s">
        <v>239</v>
      </c>
      <c r="H1336" t="s">
        <v>2438</v>
      </c>
      <c r="I1336">
        <v>20</v>
      </c>
      <c r="J1336" s="21">
        <v>46155</v>
      </c>
      <c r="K1336" s="21">
        <v>46155</v>
      </c>
      <c r="L1336" t="s">
        <v>2717</v>
      </c>
      <c r="M1336" t="s">
        <v>2440</v>
      </c>
      <c r="N1336">
        <v>118</v>
      </c>
      <c r="O1336" t="s">
        <v>220</v>
      </c>
      <c r="P1336">
        <v>4</v>
      </c>
      <c r="Q1336">
        <v>2</v>
      </c>
      <c r="R1336">
        <v>0.5</v>
      </c>
      <c r="S1336">
        <v>2</v>
      </c>
      <c r="T1336">
        <v>1</v>
      </c>
      <c r="U1336" t="s">
        <v>39</v>
      </c>
      <c r="V1336" t="s">
        <v>40</v>
      </c>
      <c r="W1336" t="s">
        <v>21</v>
      </c>
      <c r="X1336">
        <v>2</v>
      </c>
      <c r="Y1336" t="s">
        <v>679</v>
      </c>
      <c r="Z1336" t="s">
        <v>496</v>
      </c>
      <c r="AA1336">
        <v>41</v>
      </c>
      <c r="AB1336">
        <v>82</v>
      </c>
      <c r="AC1336">
        <v>41</v>
      </c>
    </row>
    <row r="1337" spans="2:29" ht="15" customHeight="1" x14ac:dyDescent="0.15">
      <c r="B1337">
        <v>4</v>
      </c>
      <c r="C1337" t="s">
        <v>386</v>
      </c>
      <c r="D1337" t="s">
        <v>2711</v>
      </c>
      <c r="E1337">
        <v>5</v>
      </c>
      <c r="F1337" t="s">
        <v>201</v>
      </c>
      <c r="G1337" t="s">
        <v>200</v>
      </c>
      <c r="H1337" t="s">
        <v>1132</v>
      </c>
      <c r="I1337">
        <v>20</v>
      </c>
      <c r="J1337" s="21">
        <v>46155</v>
      </c>
      <c r="K1337" s="21">
        <v>46155</v>
      </c>
      <c r="L1337" t="s">
        <v>2718</v>
      </c>
      <c r="M1337" t="s">
        <v>2463</v>
      </c>
      <c r="N1337">
        <v>118</v>
      </c>
      <c r="O1337" t="s">
        <v>202</v>
      </c>
      <c r="P1337">
        <v>4</v>
      </c>
      <c r="Q1337">
        <v>2</v>
      </c>
      <c r="R1337">
        <v>2</v>
      </c>
      <c r="S1337">
        <v>8</v>
      </c>
      <c r="T1337">
        <v>4</v>
      </c>
      <c r="U1337" t="s">
        <v>39</v>
      </c>
      <c r="V1337" t="s">
        <v>40</v>
      </c>
      <c r="W1337" t="s">
        <v>21</v>
      </c>
      <c r="X1337">
        <v>2</v>
      </c>
      <c r="Y1337" t="s">
        <v>679</v>
      </c>
      <c r="Z1337" t="s">
        <v>496</v>
      </c>
      <c r="AA1337">
        <v>5.0999999999999996</v>
      </c>
      <c r="AB1337">
        <v>40.799999999999997</v>
      </c>
      <c r="AC1337">
        <v>20.399999999999999</v>
      </c>
    </row>
    <row r="1338" spans="2:29" ht="15" customHeight="1" x14ac:dyDescent="0.15">
      <c r="B1338">
        <v>4</v>
      </c>
      <c r="C1338" t="s">
        <v>386</v>
      </c>
      <c r="D1338" t="s">
        <v>2711</v>
      </c>
      <c r="E1338">
        <v>6</v>
      </c>
      <c r="F1338" t="s">
        <v>219</v>
      </c>
      <c r="G1338" t="s">
        <v>218</v>
      </c>
      <c r="H1338" t="s">
        <v>485</v>
      </c>
      <c r="I1338">
        <v>20</v>
      </c>
      <c r="J1338" s="21">
        <v>46155</v>
      </c>
      <c r="K1338" s="21">
        <v>46155</v>
      </c>
      <c r="L1338" t="s">
        <v>2719</v>
      </c>
      <c r="M1338" t="s">
        <v>1316</v>
      </c>
      <c r="N1338">
        <v>118</v>
      </c>
      <c r="O1338" t="s">
        <v>220</v>
      </c>
      <c r="P1338">
        <v>4</v>
      </c>
      <c r="Q1338">
        <v>2</v>
      </c>
      <c r="R1338">
        <v>0.5</v>
      </c>
      <c r="S1338">
        <v>2</v>
      </c>
      <c r="T1338">
        <v>1</v>
      </c>
      <c r="U1338" t="s">
        <v>39</v>
      </c>
      <c r="V1338" t="s">
        <v>40</v>
      </c>
      <c r="W1338" t="s">
        <v>21</v>
      </c>
      <c r="X1338">
        <v>2</v>
      </c>
      <c r="Y1338" t="s">
        <v>679</v>
      </c>
      <c r="Z1338" t="s">
        <v>496</v>
      </c>
      <c r="AA1338">
        <v>92.82</v>
      </c>
      <c r="AB1338">
        <v>185.64</v>
      </c>
      <c r="AC1338">
        <v>92.82</v>
      </c>
    </row>
    <row r="1339" spans="2:29" ht="15" customHeight="1" x14ac:dyDescent="0.15">
      <c r="B1339">
        <v>4</v>
      </c>
      <c r="C1339" t="s">
        <v>386</v>
      </c>
      <c r="D1339" t="s">
        <v>2711</v>
      </c>
      <c r="E1339">
        <v>7</v>
      </c>
      <c r="F1339" t="s">
        <v>219</v>
      </c>
      <c r="G1339" t="s">
        <v>244</v>
      </c>
      <c r="H1339" t="s">
        <v>1605</v>
      </c>
      <c r="I1339">
        <v>20</v>
      </c>
      <c r="J1339" s="21">
        <v>46155</v>
      </c>
      <c r="K1339" s="21">
        <v>46155</v>
      </c>
      <c r="L1339" t="s">
        <v>2720</v>
      </c>
      <c r="M1339" t="s">
        <v>295</v>
      </c>
      <c r="N1339">
        <v>118</v>
      </c>
      <c r="O1339" t="s">
        <v>220</v>
      </c>
      <c r="P1339">
        <v>4</v>
      </c>
      <c r="Q1339">
        <v>2</v>
      </c>
      <c r="R1339">
        <v>0.4</v>
      </c>
      <c r="S1339">
        <v>1.6</v>
      </c>
      <c r="T1339">
        <v>0.8</v>
      </c>
      <c r="U1339" t="s">
        <v>39</v>
      </c>
      <c r="V1339" t="s">
        <v>40</v>
      </c>
      <c r="W1339" t="s">
        <v>21</v>
      </c>
      <c r="X1339">
        <v>2</v>
      </c>
      <c r="Y1339" t="s">
        <v>679</v>
      </c>
      <c r="Z1339" t="s">
        <v>496</v>
      </c>
      <c r="AA1339">
        <v>77.31</v>
      </c>
      <c r="AB1339">
        <v>123.7</v>
      </c>
      <c r="AC1339">
        <v>61.85</v>
      </c>
    </row>
    <row r="1340" spans="2:29" ht="15" customHeight="1" x14ac:dyDescent="0.15">
      <c r="B1340">
        <v>4</v>
      </c>
      <c r="C1340" t="s">
        <v>386</v>
      </c>
      <c r="D1340" t="s">
        <v>2721</v>
      </c>
      <c r="E1340">
        <v>1</v>
      </c>
      <c r="F1340" t="s">
        <v>219</v>
      </c>
      <c r="G1340" t="s">
        <v>231</v>
      </c>
      <c r="H1340" t="s">
        <v>231</v>
      </c>
      <c r="I1340">
        <v>20</v>
      </c>
      <c r="J1340" s="21">
        <v>46155</v>
      </c>
      <c r="K1340" s="21">
        <v>46155</v>
      </c>
      <c r="L1340" t="s">
        <v>2722</v>
      </c>
      <c r="M1340" t="s">
        <v>2648</v>
      </c>
      <c r="N1340">
        <v>41</v>
      </c>
      <c r="O1340" t="s">
        <v>220</v>
      </c>
      <c r="P1340">
        <v>3</v>
      </c>
      <c r="Q1340">
        <v>1.3</v>
      </c>
      <c r="R1340">
        <v>0.15</v>
      </c>
      <c r="S1340">
        <v>0.45</v>
      </c>
      <c r="T1340">
        <v>0.2</v>
      </c>
      <c r="U1340" t="s">
        <v>80</v>
      </c>
      <c r="V1340" t="s">
        <v>81</v>
      </c>
      <c r="W1340" t="s">
        <v>21</v>
      </c>
      <c r="X1340">
        <v>2.2999999999999998</v>
      </c>
      <c r="Y1340" t="s">
        <v>679</v>
      </c>
      <c r="Z1340" t="s">
        <v>496</v>
      </c>
      <c r="AA1340">
        <v>16.61</v>
      </c>
      <c r="AB1340">
        <v>7.47</v>
      </c>
      <c r="AC1340">
        <v>3.25</v>
      </c>
    </row>
    <row r="1341" spans="2:29" ht="15" customHeight="1" x14ac:dyDescent="0.15">
      <c r="B1341">
        <v>4</v>
      </c>
      <c r="C1341" t="s">
        <v>386</v>
      </c>
      <c r="D1341" t="s">
        <v>2721</v>
      </c>
      <c r="E1341">
        <v>2</v>
      </c>
      <c r="F1341" t="s">
        <v>219</v>
      </c>
      <c r="G1341" t="s">
        <v>218</v>
      </c>
      <c r="H1341" t="s">
        <v>400</v>
      </c>
      <c r="I1341">
        <v>20</v>
      </c>
      <c r="J1341" s="21">
        <v>46155</v>
      </c>
      <c r="K1341" s="21">
        <v>46155</v>
      </c>
      <c r="L1341" t="s">
        <v>2723</v>
      </c>
      <c r="M1341" t="s">
        <v>2362</v>
      </c>
      <c r="N1341">
        <v>41</v>
      </c>
      <c r="O1341" t="s">
        <v>220</v>
      </c>
      <c r="P1341">
        <v>3</v>
      </c>
      <c r="Q1341">
        <v>1.3</v>
      </c>
      <c r="R1341">
        <v>0.25</v>
      </c>
      <c r="S1341">
        <v>0.75</v>
      </c>
      <c r="T1341">
        <v>0.33</v>
      </c>
      <c r="U1341" t="s">
        <v>80</v>
      </c>
      <c r="V1341" t="s">
        <v>81</v>
      </c>
      <c r="W1341" t="s">
        <v>21</v>
      </c>
      <c r="X1341">
        <v>2.2999999999999998</v>
      </c>
      <c r="Y1341" t="s">
        <v>679</v>
      </c>
      <c r="Z1341" t="s">
        <v>496</v>
      </c>
      <c r="AA1341">
        <v>52.5</v>
      </c>
      <c r="AB1341">
        <v>39.380000000000003</v>
      </c>
      <c r="AC1341">
        <v>17.12</v>
      </c>
    </row>
    <row r="1342" spans="2:29" ht="15" customHeight="1" x14ac:dyDescent="0.15">
      <c r="B1342">
        <v>4</v>
      </c>
      <c r="C1342" t="s">
        <v>386</v>
      </c>
      <c r="D1342" t="s">
        <v>2721</v>
      </c>
      <c r="E1342">
        <v>3</v>
      </c>
      <c r="F1342" t="s">
        <v>219</v>
      </c>
      <c r="G1342" t="s">
        <v>239</v>
      </c>
      <c r="H1342" t="s">
        <v>1695</v>
      </c>
      <c r="I1342">
        <v>20</v>
      </c>
      <c r="J1342" s="21">
        <v>46155</v>
      </c>
      <c r="K1342" s="21">
        <v>46155</v>
      </c>
      <c r="L1342" t="s">
        <v>2724</v>
      </c>
      <c r="M1342" t="s">
        <v>1697</v>
      </c>
      <c r="N1342">
        <v>41</v>
      </c>
      <c r="O1342" t="s">
        <v>220</v>
      </c>
      <c r="P1342">
        <v>3</v>
      </c>
      <c r="Q1342">
        <v>1.3</v>
      </c>
      <c r="R1342">
        <v>0.5</v>
      </c>
      <c r="S1342">
        <v>1.5</v>
      </c>
      <c r="T1342">
        <v>0.65</v>
      </c>
      <c r="U1342" t="s">
        <v>80</v>
      </c>
      <c r="V1342" t="s">
        <v>81</v>
      </c>
      <c r="W1342" t="s">
        <v>21</v>
      </c>
      <c r="X1342">
        <v>2.2999999999999998</v>
      </c>
      <c r="Y1342" t="s">
        <v>679</v>
      </c>
      <c r="Z1342" t="s">
        <v>496</v>
      </c>
      <c r="AA1342">
        <v>26.7</v>
      </c>
      <c r="AB1342">
        <v>40.049999999999997</v>
      </c>
      <c r="AC1342">
        <v>17.41</v>
      </c>
    </row>
    <row r="1343" spans="2:29" ht="15" customHeight="1" x14ac:dyDescent="0.15">
      <c r="B1343">
        <v>4</v>
      </c>
      <c r="C1343" t="s">
        <v>386</v>
      </c>
      <c r="D1343" t="s">
        <v>2721</v>
      </c>
      <c r="E1343">
        <v>4</v>
      </c>
      <c r="F1343" t="s">
        <v>219</v>
      </c>
      <c r="G1343" t="s">
        <v>239</v>
      </c>
      <c r="H1343" t="s">
        <v>1308</v>
      </c>
      <c r="I1343">
        <v>20</v>
      </c>
      <c r="J1343" s="21">
        <v>46155</v>
      </c>
      <c r="K1343" s="21">
        <v>46155</v>
      </c>
      <c r="L1343" t="s">
        <v>2725</v>
      </c>
      <c r="M1343" t="s">
        <v>1310</v>
      </c>
      <c r="N1343">
        <v>41</v>
      </c>
      <c r="O1343" t="s">
        <v>202</v>
      </c>
      <c r="P1343">
        <v>3</v>
      </c>
      <c r="Q1343">
        <v>1.3</v>
      </c>
      <c r="R1343">
        <v>0.1</v>
      </c>
      <c r="S1343">
        <v>0.3</v>
      </c>
      <c r="T1343">
        <v>0.13</v>
      </c>
      <c r="U1343" t="s">
        <v>80</v>
      </c>
      <c r="V1343" t="s">
        <v>81</v>
      </c>
      <c r="W1343" t="s">
        <v>21</v>
      </c>
      <c r="X1343">
        <v>2.2999999999999998</v>
      </c>
      <c r="Y1343" t="s">
        <v>679</v>
      </c>
      <c r="Z1343" t="s">
        <v>496</v>
      </c>
      <c r="AA1343">
        <v>182.78</v>
      </c>
      <c r="AB1343">
        <v>54.83</v>
      </c>
      <c r="AC1343">
        <v>23.84</v>
      </c>
    </row>
    <row r="1344" spans="2:29" ht="15" customHeight="1" x14ac:dyDescent="0.15">
      <c r="B1344">
        <v>4</v>
      </c>
      <c r="C1344" t="s">
        <v>386</v>
      </c>
      <c r="D1344" t="s">
        <v>2721</v>
      </c>
      <c r="E1344">
        <v>5</v>
      </c>
      <c r="F1344" t="s">
        <v>219</v>
      </c>
      <c r="G1344" t="s">
        <v>218</v>
      </c>
      <c r="H1344" t="s">
        <v>686</v>
      </c>
      <c r="I1344">
        <v>20</v>
      </c>
      <c r="J1344" s="21">
        <v>46155</v>
      </c>
      <c r="K1344" s="21">
        <v>46155</v>
      </c>
      <c r="L1344" t="s">
        <v>2726</v>
      </c>
      <c r="M1344" t="s">
        <v>2468</v>
      </c>
      <c r="N1344">
        <v>41</v>
      </c>
      <c r="O1344" t="s">
        <v>220</v>
      </c>
      <c r="P1344">
        <v>3</v>
      </c>
      <c r="Q1344">
        <v>1.3</v>
      </c>
      <c r="R1344">
        <v>0.15</v>
      </c>
      <c r="S1344">
        <v>0.45</v>
      </c>
      <c r="T1344">
        <v>0.2</v>
      </c>
      <c r="U1344" t="s">
        <v>80</v>
      </c>
      <c r="V1344" t="s">
        <v>81</v>
      </c>
      <c r="W1344" t="s">
        <v>21</v>
      </c>
      <c r="X1344">
        <v>2.2999999999999998</v>
      </c>
      <c r="Y1344" t="s">
        <v>679</v>
      </c>
      <c r="Z1344" t="s">
        <v>496</v>
      </c>
      <c r="AA1344">
        <v>80.900000000000006</v>
      </c>
      <c r="AB1344">
        <v>36.409999999999997</v>
      </c>
      <c r="AC1344">
        <v>15.83</v>
      </c>
    </row>
    <row r="1345" spans="2:29" ht="15" customHeight="1" x14ac:dyDescent="0.15">
      <c r="B1345">
        <v>4</v>
      </c>
      <c r="C1345" t="s">
        <v>386</v>
      </c>
      <c r="D1345" t="s">
        <v>2721</v>
      </c>
      <c r="E1345">
        <v>6</v>
      </c>
      <c r="F1345" t="s">
        <v>219</v>
      </c>
      <c r="G1345" t="s">
        <v>218</v>
      </c>
      <c r="H1345" t="s">
        <v>2305</v>
      </c>
      <c r="I1345">
        <v>20</v>
      </c>
      <c r="J1345" s="21">
        <v>46155</v>
      </c>
      <c r="K1345" s="21">
        <v>46155</v>
      </c>
      <c r="L1345" t="s">
        <v>2727</v>
      </c>
      <c r="M1345" t="s">
        <v>255</v>
      </c>
      <c r="N1345">
        <v>41</v>
      </c>
      <c r="O1345" t="s">
        <v>202</v>
      </c>
      <c r="P1345">
        <v>3</v>
      </c>
      <c r="Q1345">
        <v>1.3</v>
      </c>
      <c r="R1345">
        <v>0.4</v>
      </c>
      <c r="S1345">
        <v>1.2</v>
      </c>
      <c r="T1345">
        <v>0.52</v>
      </c>
      <c r="U1345" t="s">
        <v>80</v>
      </c>
      <c r="V1345" t="s">
        <v>81</v>
      </c>
      <c r="W1345" t="s">
        <v>21</v>
      </c>
      <c r="X1345">
        <v>2.2999999999999998</v>
      </c>
      <c r="Y1345" t="s">
        <v>679</v>
      </c>
      <c r="Z1345" t="s">
        <v>496</v>
      </c>
      <c r="AA1345">
        <v>37.5</v>
      </c>
      <c r="AB1345">
        <v>45</v>
      </c>
      <c r="AC1345">
        <v>19.57</v>
      </c>
    </row>
    <row r="1346" spans="2:29" ht="15" customHeight="1" x14ac:dyDescent="0.15">
      <c r="B1346">
        <v>4</v>
      </c>
      <c r="C1346" t="s">
        <v>386</v>
      </c>
      <c r="D1346" t="s">
        <v>2721</v>
      </c>
      <c r="E1346">
        <v>7</v>
      </c>
      <c r="F1346" t="s">
        <v>219</v>
      </c>
      <c r="G1346" t="s">
        <v>218</v>
      </c>
      <c r="H1346" t="s">
        <v>485</v>
      </c>
      <c r="I1346">
        <v>20</v>
      </c>
      <c r="J1346" s="21">
        <v>46155</v>
      </c>
      <c r="K1346" s="21">
        <v>46155</v>
      </c>
      <c r="L1346" t="s">
        <v>2728</v>
      </c>
      <c r="M1346" t="s">
        <v>1316</v>
      </c>
      <c r="N1346">
        <v>41</v>
      </c>
      <c r="O1346" t="s">
        <v>220</v>
      </c>
      <c r="P1346">
        <v>3</v>
      </c>
      <c r="Q1346">
        <v>1.3</v>
      </c>
      <c r="R1346">
        <v>0.5</v>
      </c>
      <c r="S1346">
        <v>1.5</v>
      </c>
      <c r="T1346">
        <v>0.65</v>
      </c>
      <c r="U1346" t="s">
        <v>80</v>
      </c>
      <c r="V1346" t="s">
        <v>81</v>
      </c>
      <c r="W1346" t="s">
        <v>21</v>
      </c>
      <c r="X1346">
        <v>2.2999999999999998</v>
      </c>
      <c r="Y1346" t="s">
        <v>679</v>
      </c>
      <c r="Z1346" t="s">
        <v>496</v>
      </c>
      <c r="AA1346">
        <v>92.82</v>
      </c>
      <c r="AB1346">
        <v>139.22999999999999</v>
      </c>
      <c r="AC1346">
        <v>60.53</v>
      </c>
    </row>
    <row r="1347" spans="2:29" ht="15" customHeight="1" x14ac:dyDescent="0.15">
      <c r="B1347">
        <v>4</v>
      </c>
      <c r="C1347" t="s">
        <v>386</v>
      </c>
      <c r="D1347" t="s">
        <v>2721</v>
      </c>
      <c r="E1347">
        <v>8</v>
      </c>
      <c r="F1347" t="s">
        <v>219</v>
      </c>
      <c r="G1347" t="s">
        <v>244</v>
      </c>
      <c r="H1347" t="s">
        <v>1605</v>
      </c>
      <c r="I1347">
        <v>20</v>
      </c>
      <c r="J1347" s="21">
        <v>46155</v>
      </c>
      <c r="K1347" s="21">
        <v>46155</v>
      </c>
      <c r="L1347" t="s">
        <v>2729</v>
      </c>
      <c r="M1347" t="s">
        <v>295</v>
      </c>
      <c r="N1347">
        <v>41</v>
      </c>
      <c r="O1347" t="s">
        <v>220</v>
      </c>
      <c r="P1347">
        <v>3</v>
      </c>
      <c r="Q1347">
        <v>1.3</v>
      </c>
      <c r="R1347">
        <v>0.4</v>
      </c>
      <c r="S1347">
        <v>1.2</v>
      </c>
      <c r="T1347">
        <v>0.52</v>
      </c>
      <c r="U1347" t="s">
        <v>80</v>
      </c>
      <c r="V1347" t="s">
        <v>81</v>
      </c>
      <c r="W1347" t="s">
        <v>21</v>
      </c>
      <c r="X1347">
        <v>2.2999999999999998</v>
      </c>
      <c r="Y1347" t="s">
        <v>679</v>
      </c>
      <c r="Z1347" t="s">
        <v>496</v>
      </c>
      <c r="AA1347">
        <v>77.31</v>
      </c>
      <c r="AB1347">
        <v>92.77</v>
      </c>
      <c r="AC1347">
        <v>40.340000000000003</v>
      </c>
    </row>
    <row r="1348" spans="2:29" ht="15" customHeight="1" x14ac:dyDescent="0.15">
      <c r="B1348">
        <v>4</v>
      </c>
      <c r="C1348" t="s">
        <v>386</v>
      </c>
      <c r="D1348" t="s">
        <v>2730</v>
      </c>
      <c r="E1348">
        <v>1</v>
      </c>
      <c r="F1348" t="s">
        <v>219</v>
      </c>
      <c r="G1348" t="s">
        <v>223</v>
      </c>
      <c r="H1348" t="s">
        <v>987</v>
      </c>
      <c r="I1348">
        <v>20</v>
      </c>
      <c r="J1348" s="21">
        <v>46155</v>
      </c>
      <c r="K1348" s="21">
        <v>46155</v>
      </c>
      <c r="L1348" t="s">
        <v>2731</v>
      </c>
      <c r="M1348" t="s">
        <v>222</v>
      </c>
      <c r="N1348">
        <v>41</v>
      </c>
      <c r="O1348" t="s">
        <v>220</v>
      </c>
      <c r="P1348">
        <v>1</v>
      </c>
      <c r="Q1348">
        <v>1</v>
      </c>
      <c r="R1348">
        <v>10</v>
      </c>
      <c r="S1348">
        <v>10</v>
      </c>
      <c r="T1348">
        <v>10</v>
      </c>
      <c r="U1348" t="s">
        <v>68</v>
      </c>
      <c r="V1348" t="s">
        <v>69</v>
      </c>
      <c r="W1348" t="s">
        <v>21</v>
      </c>
      <c r="X1348">
        <v>1</v>
      </c>
      <c r="Y1348" t="s">
        <v>2455</v>
      </c>
      <c r="Z1348" t="s">
        <v>496</v>
      </c>
      <c r="AA1348">
        <v>13.47</v>
      </c>
      <c r="AB1348">
        <v>134.69999999999999</v>
      </c>
      <c r="AC1348">
        <v>134.69999999999999</v>
      </c>
    </row>
    <row r="1349" spans="2:29" ht="15" customHeight="1" x14ac:dyDescent="0.15">
      <c r="B1349">
        <v>4</v>
      </c>
      <c r="C1349" t="s">
        <v>386</v>
      </c>
      <c r="D1349" t="s">
        <v>2730</v>
      </c>
      <c r="E1349">
        <v>2</v>
      </c>
      <c r="F1349" t="s">
        <v>201</v>
      </c>
      <c r="G1349" t="s">
        <v>337</v>
      </c>
      <c r="H1349" t="s">
        <v>475</v>
      </c>
      <c r="I1349">
        <v>20</v>
      </c>
      <c r="J1349" s="21">
        <v>46155</v>
      </c>
      <c r="K1349" s="21">
        <v>46155</v>
      </c>
      <c r="L1349" t="s">
        <v>2732</v>
      </c>
      <c r="M1349" t="s">
        <v>477</v>
      </c>
      <c r="N1349">
        <v>41</v>
      </c>
      <c r="O1349" t="s">
        <v>202</v>
      </c>
      <c r="P1349">
        <v>1</v>
      </c>
      <c r="Q1349">
        <v>1</v>
      </c>
      <c r="R1349">
        <v>25</v>
      </c>
      <c r="S1349">
        <v>25</v>
      </c>
      <c r="T1349">
        <v>25</v>
      </c>
      <c r="U1349" t="s">
        <v>68</v>
      </c>
      <c r="V1349" t="s">
        <v>69</v>
      </c>
      <c r="W1349" t="s">
        <v>21</v>
      </c>
      <c r="X1349">
        <v>1</v>
      </c>
      <c r="Y1349" t="s">
        <v>2455</v>
      </c>
      <c r="Z1349" t="s">
        <v>496</v>
      </c>
      <c r="AA1349">
        <v>4.88</v>
      </c>
      <c r="AB1349">
        <v>122</v>
      </c>
      <c r="AC1349">
        <v>122</v>
      </c>
    </row>
    <row r="1350" spans="2:29" ht="15" customHeight="1" x14ac:dyDescent="0.15">
      <c r="B1350">
        <v>4</v>
      </c>
      <c r="C1350" t="s">
        <v>386</v>
      </c>
      <c r="D1350" t="s">
        <v>2730</v>
      </c>
      <c r="E1350">
        <v>3</v>
      </c>
      <c r="F1350" t="s">
        <v>201</v>
      </c>
      <c r="G1350" t="s">
        <v>337</v>
      </c>
      <c r="H1350" t="s">
        <v>632</v>
      </c>
      <c r="I1350">
        <v>20</v>
      </c>
      <c r="J1350" s="21">
        <v>46155</v>
      </c>
      <c r="K1350" s="21">
        <v>46155</v>
      </c>
      <c r="L1350" t="s">
        <v>2733</v>
      </c>
      <c r="M1350" t="s">
        <v>336</v>
      </c>
      <c r="N1350">
        <v>41</v>
      </c>
      <c r="O1350" t="s">
        <v>202</v>
      </c>
      <c r="P1350">
        <v>1</v>
      </c>
      <c r="Q1350">
        <v>1</v>
      </c>
      <c r="R1350">
        <v>25</v>
      </c>
      <c r="S1350">
        <v>25</v>
      </c>
      <c r="T1350">
        <v>25</v>
      </c>
      <c r="U1350" t="s">
        <v>68</v>
      </c>
      <c r="V1350" t="s">
        <v>69</v>
      </c>
      <c r="W1350" t="s">
        <v>21</v>
      </c>
      <c r="X1350">
        <v>1</v>
      </c>
      <c r="Y1350" t="s">
        <v>2455</v>
      </c>
      <c r="Z1350" t="s">
        <v>496</v>
      </c>
      <c r="AA1350">
        <v>4.8099999999999996</v>
      </c>
      <c r="AB1350">
        <v>120.25</v>
      </c>
      <c r="AC1350">
        <v>120.25</v>
      </c>
    </row>
    <row r="1351" spans="2:29" ht="15" customHeight="1" x14ac:dyDescent="0.15">
      <c r="B1351">
        <v>4</v>
      </c>
      <c r="C1351" t="s">
        <v>386</v>
      </c>
      <c r="D1351" t="s">
        <v>2734</v>
      </c>
      <c r="E1351">
        <v>1</v>
      </c>
      <c r="F1351" t="s">
        <v>219</v>
      </c>
      <c r="G1351" t="s">
        <v>231</v>
      </c>
      <c r="H1351" t="s">
        <v>231</v>
      </c>
      <c r="I1351">
        <v>20</v>
      </c>
      <c r="J1351" s="21">
        <v>46158</v>
      </c>
      <c r="K1351" s="21">
        <v>46160</v>
      </c>
      <c r="L1351" t="s">
        <v>2735</v>
      </c>
      <c r="M1351" t="s">
        <v>2648</v>
      </c>
      <c r="N1351">
        <v>30</v>
      </c>
      <c r="O1351" t="s">
        <v>220</v>
      </c>
      <c r="P1351">
        <v>2</v>
      </c>
      <c r="Q1351">
        <v>1.35</v>
      </c>
      <c r="R1351">
        <v>0.15</v>
      </c>
      <c r="S1351">
        <v>0.26300000000000001</v>
      </c>
      <c r="T1351">
        <v>0.2</v>
      </c>
      <c r="U1351" t="s">
        <v>91</v>
      </c>
      <c r="V1351" t="s">
        <v>92</v>
      </c>
      <c r="W1351" t="s">
        <v>21</v>
      </c>
      <c r="X1351">
        <v>1.3</v>
      </c>
      <c r="Y1351" t="s">
        <v>2629</v>
      </c>
      <c r="Z1351" t="s">
        <v>496</v>
      </c>
      <c r="AA1351">
        <v>16.61</v>
      </c>
      <c r="AB1351">
        <v>4.3600000000000003</v>
      </c>
      <c r="AC1351">
        <v>3.35</v>
      </c>
    </row>
    <row r="1352" spans="2:29" ht="15" customHeight="1" x14ac:dyDescent="0.15">
      <c r="B1352">
        <v>4</v>
      </c>
      <c r="C1352" t="s">
        <v>386</v>
      </c>
      <c r="D1352" t="s">
        <v>2734</v>
      </c>
      <c r="E1352">
        <v>2</v>
      </c>
      <c r="F1352" t="s">
        <v>219</v>
      </c>
      <c r="G1352" t="s">
        <v>218</v>
      </c>
      <c r="H1352" t="s">
        <v>2305</v>
      </c>
      <c r="I1352">
        <v>20</v>
      </c>
      <c r="J1352" s="21">
        <v>46158</v>
      </c>
      <c r="K1352" s="21">
        <v>46160</v>
      </c>
      <c r="L1352" t="s">
        <v>2736</v>
      </c>
      <c r="M1352" t="s">
        <v>255</v>
      </c>
      <c r="N1352">
        <v>30</v>
      </c>
      <c r="O1352" t="s">
        <v>202</v>
      </c>
      <c r="P1352">
        <v>2</v>
      </c>
      <c r="Q1352">
        <v>1.1499999999999999</v>
      </c>
      <c r="R1352">
        <v>0.4</v>
      </c>
      <c r="S1352">
        <v>0.6</v>
      </c>
      <c r="T1352">
        <v>0.46</v>
      </c>
      <c r="U1352" t="s">
        <v>91</v>
      </c>
      <c r="V1352" t="s">
        <v>92</v>
      </c>
      <c r="W1352" t="s">
        <v>21</v>
      </c>
      <c r="X1352">
        <v>1.3</v>
      </c>
      <c r="Y1352" t="s">
        <v>2629</v>
      </c>
      <c r="Z1352" t="s">
        <v>496</v>
      </c>
      <c r="AA1352">
        <v>37.5</v>
      </c>
      <c r="AB1352">
        <v>22.5</v>
      </c>
      <c r="AC1352">
        <v>17.309999999999999</v>
      </c>
    </row>
    <row r="1353" spans="2:29" ht="15" customHeight="1" x14ac:dyDescent="0.15">
      <c r="B1353">
        <v>4</v>
      </c>
      <c r="C1353" t="s">
        <v>386</v>
      </c>
      <c r="D1353" t="s">
        <v>2734</v>
      </c>
      <c r="E1353">
        <v>3</v>
      </c>
      <c r="F1353" t="s">
        <v>219</v>
      </c>
      <c r="G1353" t="s">
        <v>218</v>
      </c>
      <c r="H1353" t="s">
        <v>1501</v>
      </c>
      <c r="I1353">
        <v>20</v>
      </c>
      <c r="J1353" s="21">
        <v>46158</v>
      </c>
      <c r="K1353" s="21">
        <v>46160</v>
      </c>
      <c r="L1353" t="s">
        <v>2737</v>
      </c>
      <c r="M1353" t="s">
        <v>2738</v>
      </c>
      <c r="N1353">
        <v>30</v>
      </c>
      <c r="O1353" t="s">
        <v>202</v>
      </c>
      <c r="P1353">
        <v>2</v>
      </c>
      <c r="Q1353">
        <v>1.1499999999999999</v>
      </c>
      <c r="R1353">
        <v>0.2</v>
      </c>
      <c r="S1353">
        <v>0.3</v>
      </c>
      <c r="T1353">
        <v>0.23</v>
      </c>
      <c r="U1353" t="s">
        <v>91</v>
      </c>
      <c r="V1353" t="s">
        <v>92</v>
      </c>
      <c r="W1353" t="s">
        <v>21</v>
      </c>
      <c r="X1353">
        <v>1.3</v>
      </c>
      <c r="Y1353" t="s">
        <v>2629</v>
      </c>
      <c r="Z1353" t="s">
        <v>496</v>
      </c>
      <c r="AA1353">
        <v>0</v>
      </c>
      <c r="AB1353">
        <v>0</v>
      </c>
      <c r="AC1353">
        <v>0</v>
      </c>
    </row>
    <row r="1354" spans="2:29" ht="15" customHeight="1" x14ac:dyDescent="0.15">
      <c r="B1354">
        <v>4</v>
      </c>
      <c r="C1354" t="s">
        <v>386</v>
      </c>
      <c r="D1354" t="s">
        <v>2734</v>
      </c>
      <c r="E1354">
        <v>4</v>
      </c>
      <c r="F1354" t="s">
        <v>219</v>
      </c>
      <c r="G1354" t="s">
        <v>244</v>
      </c>
      <c r="H1354" t="s">
        <v>545</v>
      </c>
      <c r="I1354">
        <v>20</v>
      </c>
      <c r="J1354" s="21">
        <v>46158</v>
      </c>
      <c r="K1354" s="21">
        <v>46160</v>
      </c>
      <c r="L1354" t="s">
        <v>2739</v>
      </c>
      <c r="M1354" t="s">
        <v>547</v>
      </c>
      <c r="N1354">
        <v>30</v>
      </c>
      <c r="O1354" t="s">
        <v>202</v>
      </c>
      <c r="P1354">
        <v>2</v>
      </c>
      <c r="Q1354">
        <v>1.1499999999999999</v>
      </c>
      <c r="R1354">
        <v>0.2</v>
      </c>
      <c r="S1354">
        <v>0.3</v>
      </c>
      <c r="T1354">
        <v>0.23</v>
      </c>
      <c r="U1354" t="s">
        <v>91</v>
      </c>
      <c r="V1354" t="s">
        <v>92</v>
      </c>
      <c r="W1354" t="s">
        <v>21</v>
      </c>
      <c r="X1354">
        <v>1.3</v>
      </c>
      <c r="Y1354" t="s">
        <v>2629</v>
      </c>
      <c r="Z1354" t="s">
        <v>496</v>
      </c>
      <c r="AA1354">
        <v>97</v>
      </c>
      <c r="AB1354">
        <v>29.1</v>
      </c>
      <c r="AC1354">
        <v>22.38</v>
      </c>
    </row>
    <row r="1355" spans="2:29" ht="15" customHeight="1" x14ac:dyDescent="0.15">
      <c r="B1355">
        <v>4</v>
      </c>
      <c r="C1355" t="s">
        <v>386</v>
      </c>
      <c r="D1355" t="s">
        <v>2734</v>
      </c>
      <c r="E1355">
        <v>5</v>
      </c>
      <c r="F1355" t="s">
        <v>219</v>
      </c>
      <c r="G1355" t="s">
        <v>218</v>
      </c>
      <c r="H1355" t="s">
        <v>911</v>
      </c>
      <c r="I1355">
        <v>20</v>
      </c>
      <c r="J1355" s="21">
        <v>46158</v>
      </c>
      <c r="K1355" s="21">
        <v>46160</v>
      </c>
      <c r="L1355" t="s">
        <v>2740</v>
      </c>
      <c r="M1355" t="s">
        <v>913</v>
      </c>
      <c r="N1355">
        <v>30</v>
      </c>
      <c r="O1355" t="s">
        <v>220</v>
      </c>
      <c r="P1355">
        <v>2</v>
      </c>
      <c r="Q1355">
        <v>1.35</v>
      </c>
      <c r="R1355">
        <v>0.25</v>
      </c>
      <c r="S1355">
        <v>0.438</v>
      </c>
      <c r="T1355">
        <v>0.34</v>
      </c>
      <c r="U1355" t="s">
        <v>91</v>
      </c>
      <c r="V1355" t="s">
        <v>92</v>
      </c>
      <c r="W1355" t="s">
        <v>21</v>
      </c>
      <c r="X1355">
        <v>1.3</v>
      </c>
      <c r="Y1355" t="s">
        <v>2629</v>
      </c>
      <c r="Z1355" t="s">
        <v>496</v>
      </c>
      <c r="AA1355">
        <v>91.24</v>
      </c>
      <c r="AB1355">
        <v>39.92</v>
      </c>
      <c r="AC1355">
        <v>30.71</v>
      </c>
    </row>
    <row r="1356" spans="2:29" ht="15" customHeight="1" x14ac:dyDescent="0.15">
      <c r="B1356">
        <v>4</v>
      </c>
      <c r="C1356" t="s">
        <v>386</v>
      </c>
      <c r="D1356" t="s">
        <v>2734</v>
      </c>
      <c r="E1356">
        <v>6</v>
      </c>
      <c r="F1356" t="s">
        <v>219</v>
      </c>
      <c r="G1356" t="s">
        <v>239</v>
      </c>
      <c r="H1356" t="s">
        <v>520</v>
      </c>
      <c r="I1356">
        <v>20</v>
      </c>
      <c r="J1356" s="21">
        <v>46158</v>
      </c>
      <c r="K1356" s="21">
        <v>46160</v>
      </c>
      <c r="L1356" t="s">
        <v>2741</v>
      </c>
      <c r="M1356" t="s">
        <v>1340</v>
      </c>
      <c r="N1356">
        <v>30</v>
      </c>
      <c r="O1356" t="s">
        <v>202</v>
      </c>
      <c r="P1356">
        <v>2</v>
      </c>
      <c r="Q1356">
        <v>1.1499999999999999</v>
      </c>
      <c r="R1356">
        <v>0.5</v>
      </c>
      <c r="S1356">
        <v>0.75</v>
      </c>
      <c r="T1356">
        <v>0.57999999999999996</v>
      </c>
      <c r="U1356" t="s">
        <v>91</v>
      </c>
      <c r="V1356" t="s">
        <v>92</v>
      </c>
      <c r="W1356" t="s">
        <v>21</v>
      </c>
      <c r="X1356">
        <v>1.3</v>
      </c>
      <c r="Y1356" t="s">
        <v>2629</v>
      </c>
      <c r="Z1356" t="s">
        <v>496</v>
      </c>
      <c r="AA1356">
        <v>66.92</v>
      </c>
      <c r="AB1356">
        <v>50.19</v>
      </c>
      <c r="AC1356">
        <v>38.61</v>
      </c>
    </row>
    <row r="1357" spans="2:29" ht="15" customHeight="1" x14ac:dyDescent="0.15">
      <c r="B1357">
        <v>4</v>
      </c>
      <c r="C1357" t="s">
        <v>386</v>
      </c>
      <c r="D1357" t="s">
        <v>2734</v>
      </c>
      <c r="E1357">
        <v>7</v>
      </c>
      <c r="F1357" t="s">
        <v>219</v>
      </c>
      <c r="G1357" t="s">
        <v>218</v>
      </c>
      <c r="H1357" t="s">
        <v>400</v>
      </c>
      <c r="I1357">
        <v>20</v>
      </c>
      <c r="J1357" s="21">
        <v>46158</v>
      </c>
      <c r="K1357" s="21">
        <v>46160</v>
      </c>
      <c r="L1357" t="s">
        <v>2742</v>
      </c>
      <c r="M1357" t="s">
        <v>2362</v>
      </c>
      <c r="N1357">
        <v>30</v>
      </c>
      <c r="O1357" t="s">
        <v>202</v>
      </c>
      <c r="P1357">
        <v>0</v>
      </c>
      <c r="Q1357">
        <v>0.19</v>
      </c>
      <c r="R1357">
        <v>0.5</v>
      </c>
      <c r="S1357">
        <v>0.125</v>
      </c>
      <c r="T1357">
        <v>0.1</v>
      </c>
      <c r="U1357" t="s">
        <v>91</v>
      </c>
      <c r="V1357" t="s">
        <v>92</v>
      </c>
      <c r="W1357" t="s">
        <v>21</v>
      </c>
      <c r="X1357">
        <v>1.3</v>
      </c>
      <c r="Y1357" t="s">
        <v>2629</v>
      </c>
      <c r="Z1357" t="s">
        <v>496</v>
      </c>
      <c r="AA1357">
        <v>52.5</v>
      </c>
      <c r="AB1357">
        <v>6.56</v>
      </c>
      <c r="AC1357">
        <v>5.05</v>
      </c>
    </row>
    <row r="1358" spans="2:29" ht="15" customHeight="1" x14ac:dyDescent="0.15">
      <c r="B1358">
        <v>4</v>
      </c>
      <c r="C1358" t="s">
        <v>386</v>
      </c>
      <c r="D1358" t="s">
        <v>2734</v>
      </c>
      <c r="E1358">
        <v>8</v>
      </c>
      <c r="F1358" t="s">
        <v>219</v>
      </c>
      <c r="G1358" t="s">
        <v>218</v>
      </c>
      <c r="H1358" t="s">
        <v>686</v>
      </c>
      <c r="I1358">
        <v>20</v>
      </c>
      <c r="J1358" s="21">
        <v>46158</v>
      </c>
      <c r="K1358" s="21">
        <v>46160</v>
      </c>
      <c r="L1358" t="s">
        <v>2743</v>
      </c>
      <c r="M1358" t="s">
        <v>2468</v>
      </c>
      <c r="N1358">
        <v>30</v>
      </c>
      <c r="O1358" t="s">
        <v>220</v>
      </c>
      <c r="P1358">
        <v>2</v>
      </c>
      <c r="Q1358">
        <v>1.35</v>
      </c>
      <c r="R1358">
        <v>0.15</v>
      </c>
      <c r="S1358">
        <v>0.26300000000000001</v>
      </c>
      <c r="T1358">
        <v>0.2</v>
      </c>
      <c r="U1358" t="s">
        <v>91</v>
      </c>
      <c r="V1358" t="s">
        <v>92</v>
      </c>
      <c r="W1358" t="s">
        <v>21</v>
      </c>
      <c r="X1358">
        <v>1.3</v>
      </c>
      <c r="Y1358" t="s">
        <v>2629</v>
      </c>
      <c r="Z1358" t="s">
        <v>496</v>
      </c>
      <c r="AA1358">
        <v>80.900000000000006</v>
      </c>
      <c r="AB1358">
        <v>21.24</v>
      </c>
      <c r="AC1358">
        <v>16.34</v>
      </c>
    </row>
    <row r="1359" spans="2:29" ht="15" customHeight="1" x14ac:dyDescent="0.15">
      <c r="B1359">
        <v>4</v>
      </c>
      <c r="C1359" t="s">
        <v>386</v>
      </c>
      <c r="D1359" t="s">
        <v>2744</v>
      </c>
      <c r="E1359">
        <v>1</v>
      </c>
      <c r="F1359" t="s">
        <v>219</v>
      </c>
      <c r="G1359" t="s">
        <v>231</v>
      </c>
      <c r="H1359" t="s">
        <v>231</v>
      </c>
      <c r="I1359">
        <v>20</v>
      </c>
      <c r="J1359" s="21">
        <v>46158</v>
      </c>
      <c r="K1359" s="21">
        <v>46160</v>
      </c>
      <c r="L1359" t="s">
        <v>2745</v>
      </c>
      <c r="M1359" t="s">
        <v>2648</v>
      </c>
      <c r="N1359">
        <v>46</v>
      </c>
      <c r="O1359" t="s">
        <v>220</v>
      </c>
      <c r="P1359">
        <v>2</v>
      </c>
      <c r="Q1359">
        <v>2</v>
      </c>
      <c r="R1359">
        <v>0.15</v>
      </c>
      <c r="S1359">
        <v>0.3</v>
      </c>
      <c r="T1359">
        <v>0.3</v>
      </c>
      <c r="U1359" t="s">
        <v>68</v>
      </c>
      <c r="V1359" t="s">
        <v>69</v>
      </c>
      <c r="W1359" t="s">
        <v>21</v>
      </c>
      <c r="X1359">
        <v>1</v>
      </c>
      <c r="Y1359" t="s">
        <v>2746</v>
      </c>
      <c r="Z1359" t="s">
        <v>496</v>
      </c>
      <c r="AA1359">
        <v>16.61</v>
      </c>
      <c r="AB1359">
        <v>4.9800000000000004</v>
      </c>
      <c r="AC1359">
        <v>4.9800000000000004</v>
      </c>
    </row>
    <row r="1360" spans="2:29" ht="15" customHeight="1" x14ac:dyDescent="0.15">
      <c r="B1360">
        <v>4</v>
      </c>
      <c r="C1360" t="s">
        <v>386</v>
      </c>
      <c r="D1360" t="s">
        <v>2744</v>
      </c>
      <c r="E1360">
        <v>2</v>
      </c>
      <c r="F1360" t="s">
        <v>219</v>
      </c>
      <c r="G1360" t="s">
        <v>218</v>
      </c>
      <c r="H1360" t="s">
        <v>2305</v>
      </c>
      <c r="I1360">
        <v>20</v>
      </c>
      <c r="J1360" s="21">
        <v>46158</v>
      </c>
      <c r="K1360" s="21">
        <v>46160</v>
      </c>
      <c r="L1360" t="s">
        <v>2747</v>
      </c>
      <c r="M1360" t="s">
        <v>255</v>
      </c>
      <c r="N1360">
        <v>46</v>
      </c>
      <c r="O1360" t="s">
        <v>202</v>
      </c>
      <c r="P1360">
        <v>2</v>
      </c>
      <c r="Q1360">
        <v>2</v>
      </c>
      <c r="R1360">
        <v>0.4</v>
      </c>
      <c r="S1360">
        <v>0.8</v>
      </c>
      <c r="T1360">
        <v>0.8</v>
      </c>
      <c r="U1360" t="s">
        <v>68</v>
      </c>
      <c r="V1360" t="s">
        <v>69</v>
      </c>
      <c r="W1360" t="s">
        <v>21</v>
      </c>
      <c r="X1360">
        <v>1</v>
      </c>
      <c r="Y1360" t="s">
        <v>2746</v>
      </c>
      <c r="Z1360" t="s">
        <v>496</v>
      </c>
      <c r="AA1360">
        <v>37.5</v>
      </c>
      <c r="AB1360">
        <v>30</v>
      </c>
      <c r="AC1360">
        <v>30</v>
      </c>
    </row>
    <row r="1361" spans="2:29" ht="15" customHeight="1" x14ac:dyDescent="0.15">
      <c r="B1361">
        <v>4</v>
      </c>
      <c r="C1361" t="s">
        <v>386</v>
      </c>
      <c r="D1361" t="s">
        <v>2744</v>
      </c>
      <c r="E1361">
        <v>3</v>
      </c>
      <c r="F1361" t="s">
        <v>219</v>
      </c>
      <c r="G1361" t="s">
        <v>218</v>
      </c>
      <c r="H1361" t="s">
        <v>400</v>
      </c>
      <c r="I1361">
        <v>20</v>
      </c>
      <c r="J1361" s="21">
        <v>46158</v>
      </c>
      <c r="K1361" s="21">
        <v>46160</v>
      </c>
      <c r="L1361" t="s">
        <v>2748</v>
      </c>
      <c r="M1361" t="s">
        <v>2362</v>
      </c>
      <c r="N1361">
        <v>46</v>
      </c>
      <c r="O1361" t="s">
        <v>220</v>
      </c>
      <c r="P1361">
        <v>2</v>
      </c>
      <c r="Q1361">
        <v>2</v>
      </c>
      <c r="R1361">
        <v>0.25</v>
      </c>
      <c r="S1361">
        <v>0.5</v>
      </c>
      <c r="T1361">
        <v>0.5</v>
      </c>
      <c r="U1361" t="s">
        <v>68</v>
      </c>
      <c r="V1361" t="s">
        <v>69</v>
      </c>
      <c r="W1361" t="s">
        <v>21</v>
      </c>
      <c r="X1361">
        <v>1</v>
      </c>
      <c r="Y1361" t="s">
        <v>2746</v>
      </c>
      <c r="Z1361" t="s">
        <v>496</v>
      </c>
      <c r="AA1361">
        <v>52.5</v>
      </c>
      <c r="AB1361">
        <v>26.25</v>
      </c>
      <c r="AC1361">
        <v>26.25</v>
      </c>
    </row>
    <row r="1362" spans="2:29" ht="15" customHeight="1" x14ac:dyDescent="0.15">
      <c r="B1362">
        <v>4</v>
      </c>
      <c r="C1362" t="s">
        <v>386</v>
      </c>
      <c r="D1362" t="s">
        <v>2744</v>
      </c>
      <c r="E1362">
        <v>4</v>
      </c>
      <c r="F1362" t="s">
        <v>219</v>
      </c>
      <c r="G1362" t="s">
        <v>244</v>
      </c>
      <c r="H1362" t="s">
        <v>1605</v>
      </c>
      <c r="I1362">
        <v>20</v>
      </c>
      <c r="J1362" s="21">
        <v>46158</v>
      </c>
      <c r="K1362" s="21">
        <v>46160</v>
      </c>
      <c r="L1362" t="s">
        <v>2749</v>
      </c>
      <c r="M1362" t="s">
        <v>295</v>
      </c>
      <c r="N1362">
        <v>46</v>
      </c>
      <c r="O1362" t="s">
        <v>220</v>
      </c>
      <c r="P1362">
        <v>2</v>
      </c>
      <c r="Q1362">
        <v>2</v>
      </c>
      <c r="R1362">
        <v>0.4</v>
      </c>
      <c r="S1362">
        <v>0.8</v>
      </c>
      <c r="T1362">
        <v>0.8</v>
      </c>
      <c r="U1362" t="s">
        <v>68</v>
      </c>
      <c r="V1362" t="s">
        <v>69</v>
      </c>
      <c r="W1362" t="s">
        <v>21</v>
      </c>
      <c r="X1362">
        <v>1</v>
      </c>
      <c r="Y1362" t="s">
        <v>2746</v>
      </c>
      <c r="Z1362" t="s">
        <v>496</v>
      </c>
      <c r="AA1362">
        <v>77.31</v>
      </c>
      <c r="AB1362">
        <v>61.85</v>
      </c>
      <c r="AC1362">
        <v>61.85</v>
      </c>
    </row>
    <row r="1363" spans="2:29" ht="15" customHeight="1" x14ac:dyDescent="0.15">
      <c r="B1363">
        <v>4</v>
      </c>
      <c r="C1363" t="s">
        <v>386</v>
      </c>
      <c r="D1363" t="s">
        <v>2744</v>
      </c>
      <c r="E1363">
        <v>5</v>
      </c>
      <c r="F1363" t="s">
        <v>219</v>
      </c>
      <c r="G1363" t="s">
        <v>218</v>
      </c>
      <c r="H1363" t="s">
        <v>911</v>
      </c>
      <c r="I1363">
        <v>20</v>
      </c>
      <c r="J1363" s="21">
        <v>46158</v>
      </c>
      <c r="K1363" s="21">
        <v>46160</v>
      </c>
      <c r="L1363" t="s">
        <v>2750</v>
      </c>
      <c r="M1363" t="s">
        <v>913</v>
      </c>
      <c r="N1363">
        <v>46</v>
      </c>
      <c r="O1363" t="s">
        <v>220</v>
      </c>
      <c r="P1363">
        <v>2</v>
      </c>
      <c r="Q1363">
        <v>2</v>
      </c>
      <c r="R1363">
        <v>0.25</v>
      </c>
      <c r="S1363">
        <v>0.5</v>
      </c>
      <c r="T1363">
        <v>0.5</v>
      </c>
      <c r="U1363" t="s">
        <v>68</v>
      </c>
      <c r="V1363" t="s">
        <v>69</v>
      </c>
      <c r="W1363" t="s">
        <v>21</v>
      </c>
      <c r="X1363">
        <v>1</v>
      </c>
      <c r="Y1363" t="s">
        <v>2746</v>
      </c>
      <c r="Z1363" t="s">
        <v>496</v>
      </c>
      <c r="AA1363">
        <v>91.24</v>
      </c>
      <c r="AB1363">
        <v>45.62</v>
      </c>
      <c r="AC1363">
        <v>45.62</v>
      </c>
    </row>
    <row r="1364" spans="2:29" ht="15" customHeight="1" x14ac:dyDescent="0.15">
      <c r="B1364">
        <v>4</v>
      </c>
      <c r="C1364" t="s">
        <v>386</v>
      </c>
      <c r="D1364" t="s">
        <v>2744</v>
      </c>
      <c r="E1364">
        <v>6</v>
      </c>
      <c r="F1364" t="s">
        <v>219</v>
      </c>
      <c r="G1364" t="s">
        <v>239</v>
      </c>
      <c r="H1364" t="s">
        <v>520</v>
      </c>
      <c r="I1364">
        <v>20</v>
      </c>
      <c r="J1364" s="21">
        <v>46158</v>
      </c>
      <c r="K1364" s="21">
        <v>46160</v>
      </c>
      <c r="L1364" t="s">
        <v>2751</v>
      </c>
      <c r="M1364" t="s">
        <v>1340</v>
      </c>
      <c r="N1364">
        <v>46</v>
      </c>
      <c r="O1364" t="s">
        <v>202</v>
      </c>
      <c r="P1364">
        <v>2</v>
      </c>
      <c r="Q1364">
        <v>2</v>
      </c>
      <c r="R1364">
        <v>0.5</v>
      </c>
      <c r="S1364">
        <v>1</v>
      </c>
      <c r="T1364">
        <v>1</v>
      </c>
      <c r="U1364" t="s">
        <v>68</v>
      </c>
      <c r="V1364" t="s">
        <v>69</v>
      </c>
      <c r="W1364" t="s">
        <v>21</v>
      </c>
      <c r="X1364">
        <v>1</v>
      </c>
      <c r="Y1364" t="s">
        <v>2746</v>
      </c>
      <c r="Z1364" t="s">
        <v>496</v>
      </c>
      <c r="AA1364">
        <v>66.92</v>
      </c>
      <c r="AB1364">
        <v>66.92</v>
      </c>
      <c r="AC1364">
        <v>66.92</v>
      </c>
    </row>
    <row r="1365" spans="2:29" ht="15" customHeight="1" x14ac:dyDescent="0.15">
      <c r="B1365">
        <v>4</v>
      </c>
      <c r="C1365" t="s">
        <v>386</v>
      </c>
      <c r="D1365" t="s">
        <v>2744</v>
      </c>
      <c r="E1365">
        <v>7</v>
      </c>
      <c r="F1365" t="s">
        <v>219</v>
      </c>
      <c r="G1365" t="s">
        <v>239</v>
      </c>
      <c r="H1365" t="s">
        <v>1695</v>
      </c>
      <c r="I1365">
        <v>20</v>
      </c>
      <c r="J1365" s="21">
        <v>46158</v>
      </c>
      <c r="K1365" s="21">
        <v>46160</v>
      </c>
      <c r="L1365" t="s">
        <v>2752</v>
      </c>
      <c r="M1365" t="s">
        <v>1697</v>
      </c>
      <c r="N1365">
        <v>46</v>
      </c>
      <c r="O1365" t="s">
        <v>220</v>
      </c>
      <c r="P1365">
        <v>2</v>
      </c>
      <c r="Q1365">
        <v>2</v>
      </c>
      <c r="R1365">
        <v>0.5</v>
      </c>
      <c r="S1365">
        <v>1</v>
      </c>
      <c r="T1365">
        <v>1</v>
      </c>
      <c r="U1365" t="s">
        <v>68</v>
      </c>
      <c r="V1365" t="s">
        <v>69</v>
      </c>
      <c r="W1365" t="s">
        <v>21</v>
      </c>
      <c r="X1365">
        <v>1</v>
      </c>
      <c r="Y1365" t="s">
        <v>2746</v>
      </c>
      <c r="Z1365" t="s">
        <v>496</v>
      </c>
      <c r="AA1365">
        <v>26.7</v>
      </c>
      <c r="AB1365">
        <v>26.7</v>
      </c>
      <c r="AC1365">
        <v>26.7</v>
      </c>
    </row>
    <row r="1366" spans="2:29" ht="15" customHeight="1" x14ac:dyDescent="0.15">
      <c r="B1366">
        <v>4</v>
      </c>
      <c r="C1366" t="s">
        <v>386</v>
      </c>
      <c r="D1366" t="s">
        <v>2744</v>
      </c>
      <c r="E1366">
        <v>8</v>
      </c>
      <c r="F1366" t="s">
        <v>219</v>
      </c>
      <c r="G1366" t="s">
        <v>239</v>
      </c>
      <c r="H1366" t="s">
        <v>1308</v>
      </c>
      <c r="I1366">
        <v>20</v>
      </c>
      <c r="J1366" s="21">
        <v>46158</v>
      </c>
      <c r="K1366" s="21">
        <v>46160</v>
      </c>
      <c r="L1366" t="s">
        <v>2753</v>
      </c>
      <c r="M1366" t="s">
        <v>1310</v>
      </c>
      <c r="N1366">
        <v>46</v>
      </c>
      <c r="O1366" t="s">
        <v>202</v>
      </c>
      <c r="P1366">
        <v>2</v>
      </c>
      <c r="Q1366">
        <v>2</v>
      </c>
      <c r="R1366">
        <v>0.1</v>
      </c>
      <c r="S1366">
        <v>0.2</v>
      </c>
      <c r="T1366">
        <v>0.2</v>
      </c>
      <c r="U1366" t="s">
        <v>68</v>
      </c>
      <c r="V1366" t="s">
        <v>69</v>
      </c>
      <c r="W1366" t="s">
        <v>21</v>
      </c>
      <c r="X1366">
        <v>1</v>
      </c>
      <c r="Y1366" t="s">
        <v>2746</v>
      </c>
      <c r="Z1366" t="s">
        <v>496</v>
      </c>
      <c r="AA1366">
        <v>182.78</v>
      </c>
      <c r="AB1366">
        <v>36.56</v>
      </c>
      <c r="AC1366">
        <v>36.56</v>
      </c>
    </row>
    <row r="1367" spans="2:29" ht="15" customHeight="1" x14ac:dyDescent="0.15">
      <c r="B1367">
        <v>4</v>
      </c>
      <c r="C1367" t="s">
        <v>386</v>
      </c>
      <c r="D1367" t="s">
        <v>2744</v>
      </c>
      <c r="E1367">
        <v>9</v>
      </c>
      <c r="F1367" t="s">
        <v>219</v>
      </c>
      <c r="G1367" t="s">
        <v>218</v>
      </c>
      <c r="H1367" t="s">
        <v>686</v>
      </c>
      <c r="I1367">
        <v>20</v>
      </c>
      <c r="J1367" s="21">
        <v>46158</v>
      </c>
      <c r="K1367" s="21">
        <v>46160</v>
      </c>
      <c r="L1367" t="s">
        <v>2754</v>
      </c>
      <c r="M1367" t="s">
        <v>2468</v>
      </c>
      <c r="N1367">
        <v>46</v>
      </c>
      <c r="O1367" t="s">
        <v>220</v>
      </c>
      <c r="P1367">
        <v>2</v>
      </c>
      <c r="Q1367">
        <v>2</v>
      </c>
      <c r="R1367">
        <v>0.15</v>
      </c>
      <c r="S1367">
        <v>0.3</v>
      </c>
      <c r="T1367">
        <v>0.3</v>
      </c>
      <c r="U1367" t="s">
        <v>68</v>
      </c>
      <c r="V1367" t="s">
        <v>69</v>
      </c>
      <c r="W1367" t="s">
        <v>21</v>
      </c>
      <c r="X1367">
        <v>1</v>
      </c>
      <c r="Y1367" t="s">
        <v>2746</v>
      </c>
      <c r="Z1367" t="s">
        <v>496</v>
      </c>
      <c r="AA1367">
        <v>80.900000000000006</v>
      </c>
      <c r="AB1367">
        <v>24.27</v>
      </c>
      <c r="AC1367">
        <v>24.27</v>
      </c>
    </row>
    <row r="1368" spans="2:29" ht="15" customHeight="1" x14ac:dyDescent="0.15">
      <c r="B1368">
        <v>4</v>
      </c>
      <c r="C1368" t="s">
        <v>386</v>
      </c>
      <c r="D1368" t="s">
        <v>2755</v>
      </c>
      <c r="E1368">
        <v>1</v>
      </c>
      <c r="F1368" t="s">
        <v>219</v>
      </c>
      <c r="G1368" t="s">
        <v>231</v>
      </c>
      <c r="H1368" t="s">
        <v>231</v>
      </c>
      <c r="I1368">
        <v>20</v>
      </c>
      <c r="J1368" s="21">
        <v>46158</v>
      </c>
      <c r="K1368" s="21">
        <v>46160</v>
      </c>
      <c r="L1368" t="s">
        <v>2756</v>
      </c>
      <c r="M1368" t="s">
        <v>2648</v>
      </c>
      <c r="N1368">
        <v>30</v>
      </c>
      <c r="O1368" t="s">
        <v>220</v>
      </c>
      <c r="P1368">
        <v>3</v>
      </c>
      <c r="Q1368">
        <v>1.0900000000000001</v>
      </c>
      <c r="R1368">
        <v>0.15</v>
      </c>
      <c r="S1368">
        <v>0.375</v>
      </c>
      <c r="T1368">
        <v>0.16</v>
      </c>
      <c r="U1368" t="s">
        <v>73</v>
      </c>
      <c r="V1368" t="s">
        <v>74</v>
      </c>
      <c r="W1368" t="s">
        <v>75</v>
      </c>
      <c r="X1368">
        <v>2.2999999999999998</v>
      </c>
      <c r="Y1368" t="s">
        <v>2629</v>
      </c>
      <c r="Z1368" t="s">
        <v>496</v>
      </c>
      <c r="AA1368">
        <v>16.61</v>
      </c>
      <c r="AB1368">
        <v>6.23</v>
      </c>
      <c r="AC1368">
        <v>2.71</v>
      </c>
    </row>
    <row r="1369" spans="2:29" ht="15" customHeight="1" x14ac:dyDescent="0.15">
      <c r="B1369">
        <v>4</v>
      </c>
      <c r="C1369" t="s">
        <v>386</v>
      </c>
      <c r="D1369" t="s">
        <v>2755</v>
      </c>
      <c r="E1369">
        <v>2</v>
      </c>
      <c r="F1369" t="s">
        <v>219</v>
      </c>
      <c r="G1369" t="s">
        <v>218</v>
      </c>
      <c r="H1369" t="s">
        <v>2305</v>
      </c>
      <c r="I1369">
        <v>20</v>
      </c>
      <c r="J1369" s="21">
        <v>46158</v>
      </c>
      <c r="K1369" s="21">
        <v>46160</v>
      </c>
      <c r="L1369" t="s">
        <v>2757</v>
      </c>
      <c r="M1369" t="s">
        <v>255</v>
      </c>
      <c r="N1369">
        <v>30</v>
      </c>
      <c r="O1369" t="s">
        <v>202</v>
      </c>
      <c r="P1369">
        <v>3</v>
      </c>
      <c r="Q1369">
        <v>1.0900000000000001</v>
      </c>
      <c r="R1369">
        <v>0.4</v>
      </c>
      <c r="S1369">
        <v>1</v>
      </c>
      <c r="T1369">
        <v>0.43</v>
      </c>
      <c r="U1369" t="s">
        <v>73</v>
      </c>
      <c r="V1369" t="s">
        <v>74</v>
      </c>
      <c r="W1369" t="s">
        <v>75</v>
      </c>
      <c r="X1369">
        <v>2.2999999999999998</v>
      </c>
      <c r="Y1369" t="s">
        <v>2629</v>
      </c>
      <c r="Z1369" t="s">
        <v>496</v>
      </c>
      <c r="AA1369">
        <v>37.5</v>
      </c>
      <c r="AB1369">
        <v>37.5</v>
      </c>
      <c r="AC1369">
        <v>16.3</v>
      </c>
    </row>
    <row r="1370" spans="2:29" ht="15" customHeight="1" x14ac:dyDescent="0.15">
      <c r="B1370">
        <v>4</v>
      </c>
      <c r="C1370" t="s">
        <v>386</v>
      </c>
      <c r="D1370" t="s">
        <v>2755</v>
      </c>
      <c r="E1370">
        <v>3</v>
      </c>
      <c r="F1370" t="s">
        <v>219</v>
      </c>
      <c r="G1370" t="s">
        <v>218</v>
      </c>
      <c r="H1370" t="s">
        <v>1090</v>
      </c>
      <c r="I1370">
        <v>20</v>
      </c>
      <c r="J1370" s="21">
        <v>46158</v>
      </c>
      <c r="K1370" s="21">
        <v>46160</v>
      </c>
      <c r="L1370" t="s">
        <v>2758</v>
      </c>
      <c r="M1370" t="s">
        <v>2371</v>
      </c>
      <c r="N1370">
        <v>30</v>
      </c>
      <c r="O1370" t="s">
        <v>220</v>
      </c>
      <c r="P1370">
        <v>3</v>
      </c>
      <c r="Q1370">
        <v>1.0900000000000001</v>
      </c>
      <c r="R1370">
        <v>1.5</v>
      </c>
      <c r="S1370">
        <v>3.75</v>
      </c>
      <c r="T1370">
        <v>1.63</v>
      </c>
      <c r="U1370" t="s">
        <v>73</v>
      </c>
      <c r="V1370" t="s">
        <v>74</v>
      </c>
      <c r="W1370" t="s">
        <v>75</v>
      </c>
      <c r="X1370">
        <v>2.2999999999999998</v>
      </c>
      <c r="Y1370" t="s">
        <v>2629</v>
      </c>
      <c r="Z1370" t="s">
        <v>496</v>
      </c>
      <c r="AA1370">
        <v>58.29</v>
      </c>
      <c r="AB1370">
        <v>218.59</v>
      </c>
      <c r="AC1370">
        <v>95.04</v>
      </c>
    </row>
    <row r="1371" spans="2:29" ht="15" customHeight="1" x14ac:dyDescent="0.15">
      <c r="B1371">
        <v>4</v>
      </c>
      <c r="C1371" t="s">
        <v>386</v>
      </c>
      <c r="D1371" t="s">
        <v>2755</v>
      </c>
      <c r="E1371">
        <v>4</v>
      </c>
      <c r="F1371" t="s">
        <v>219</v>
      </c>
      <c r="G1371" t="s">
        <v>218</v>
      </c>
      <c r="H1371" t="s">
        <v>911</v>
      </c>
      <c r="I1371">
        <v>20</v>
      </c>
      <c r="J1371" s="21">
        <v>46158</v>
      </c>
      <c r="K1371" s="21">
        <v>46160</v>
      </c>
      <c r="L1371" t="s">
        <v>2759</v>
      </c>
      <c r="M1371" t="s">
        <v>913</v>
      </c>
      <c r="N1371">
        <v>30</v>
      </c>
      <c r="O1371" t="s">
        <v>220</v>
      </c>
      <c r="P1371">
        <v>3</v>
      </c>
      <c r="Q1371">
        <v>1.0900000000000001</v>
      </c>
      <c r="R1371">
        <v>0.25</v>
      </c>
      <c r="S1371">
        <v>0.625</v>
      </c>
      <c r="T1371">
        <v>0.27</v>
      </c>
      <c r="U1371" t="s">
        <v>73</v>
      </c>
      <c r="V1371" t="s">
        <v>74</v>
      </c>
      <c r="W1371" t="s">
        <v>75</v>
      </c>
      <c r="X1371">
        <v>2.2999999999999998</v>
      </c>
      <c r="Y1371" t="s">
        <v>2629</v>
      </c>
      <c r="Z1371" t="s">
        <v>496</v>
      </c>
      <c r="AA1371">
        <v>91.24</v>
      </c>
      <c r="AB1371">
        <v>57.03</v>
      </c>
      <c r="AC1371">
        <v>24.79</v>
      </c>
    </row>
    <row r="1372" spans="2:29" ht="15" customHeight="1" x14ac:dyDescent="0.15">
      <c r="B1372">
        <v>4</v>
      </c>
      <c r="C1372" t="s">
        <v>386</v>
      </c>
      <c r="D1372" t="s">
        <v>2755</v>
      </c>
      <c r="E1372">
        <v>5</v>
      </c>
      <c r="F1372" t="s">
        <v>219</v>
      </c>
      <c r="G1372" t="s">
        <v>218</v>
      </c>
      <c r="H1372" t="s">
        <v>1501</v>
      </c>
      <c r="I1372">
        <v>20</v>
      </c>
      <c r="J1372" s="21">
        <v>46158</v>
      </c>
      <c r="K1372" s="21">
        <v>46160</v>
      </c>
      <c r="L1372" t="s">
        <v>2760</v>
      </c>
      <c r="M1372" t="s">
        <v>2738</v>
      </c>
      <c r="N1372">
        <v>30</v>
      </c>
      <c r="O1372" t="s">
        <v>202</v>
      </c>
      <c r="P1372">
        <v>3</v>
      </c>
      <c r="Q1372">
        <v>1.0900000000000001</v>
      </c>
      <c r="R1372">
        <v>0.2</v>
      </c>
      <c r="S1372">
        <v>0.5</v>
      </c>
      <c r="T1372">
        <v>0.22</v>
      </c>
      <c r="U1372" t="s">
        <v>73</v>
      </c>
      <c r="V1372" t="s">
        <v>74</v>
      </c>
      <c r="W1372" t="s">
        <v>75</v>
      </c>
      <c r="X1372">
        <v>2.2999999999999998</v>
      </c>
      <c r="Y1372" t="s">
        <v>2629</v>
      </c>
      <c r="Z1372" t="s">
        <v>496</v>
      </c>
      <c r="AA1372">
        <v>0</v>
      </c>
      <c r="AB1372">
        <v>0</v>
      </c>
      <c r="AC1372">
        <v>0</v>
      </c>
    </row>
    <row r="1373" spans="2:29" ht="15" customHeight="1" x14ac:dyDescent="0.15">
      <c r="B1373">
        <v>4</v>
      </c>
      <c r="C1373" t="s">
        <v>386</v>
      </c>
      <c r="D1373" t="s">
        <v>2755</v>
      </c>
      <c r="E1373">
        <v>7</v>
      </c>
      <c r="F1373" t="s">
        <v>219</v>
      </c>
      <c r="G1373" t="s">
        <v>239</v>
      </c>
      <c r="H1373" t="s">
        <v>520</v>
      </c>
      <c r="I1373">
        <v>20</v>
      </c>
      <c r="J1373" s="21">
        <v>46158</v>
      </c>
      <c r="K1373" s="21">
        <v>46160</v>
      </c>
      <c r="L1373" t="s">
        <v>2761</v>
      </c>
      <c r="M1373" t="s">
        <v>1340</v>
      </c>
      <c r="N1373">
        <v>30</v>
      </c>
      <c r="O1373" t="s">
        <v>202</v>
      </c>
      <c r="P1373">
        <v>3</v>
      </c>
      <c r="Q1373">
        <v>1.0900000000000001</v>
      </c>
      <c r="R1373">
        <v>0.5</v>
      </c>
      <c r="S1373">
        <v>1.25</v>
      </c>
      <c r="T1373">
        <v>0.54</v>
      </c>
      <c r="U1373" t="s">
        <v>73</v>
      </c>
      <c r="V1373" t="s">
        <v>74</v>
      </c>
      <c r="W1373" t="s">
        <v>75</v>
      </c>
      <c r="X1373">
        <v>2.2999999999999998</v>
      </c>
      <c r="Y1373" t="s">
        <v>2629</v>
      </c>
      <c r="Z1373" t="s">
        <v>496</v>
      </c>
      <c r="AA1373">
        <v>66.92</v>
      </c>
      <c r="AB1373">
        <v>83.65</v>
      </c>
      <c r="AC1373">
        <v>36.369999999999997</v>
      </c>
    </row>
    <row r="1374" spans="2:29" ht="15" customHeight="1" x14ac:dyDescent="0.15">
      <c r="B1374">
        <v>4</v>
      </c>
      <c r="C1374" t="s">
        <v>386</v>
      </c>
      <c r="D1374" t="s">
        <v>2755</v>
      </c>
      <c r="E1374">
        <v>8</v>
      </c>
      <c r="F1374" t="s">
        <v>219</v>
      </c>
      <c r="G1374" t="s">
        <v>218</v>
      </c>
      <c r="H1374" t="s">
        <v>2714</v>
      </c>
      <c r="I1374">
        <v>20</v>
      </c>
      <c r="J1374" s="21">
        <v>46158</v>
      </c>
      <c r="K1374" s="21">
        <v>46160</v>
      </c>
      <c r="L1374" t="s">
        <v>2762</v>
      </c>
      <c r="M1374" t="s">
        <v>2716</v>
      </c>
      <c r="N1374">
        <v>30</v>
      </c>
      <c r="O1374" t="s">
        <v>220</v>
      </c>
      <c r="P1374">
        <v>3</v>
      </c>
      <c r="Q1374">
        <v>1.0900000000000001</v>
      </c>
      <c r="R1374">
        <v>0.2</v>
      </c>
      <c r="S1374">
        <v>0.5</v>
      </c>
      <c r="T1374">
        <v>0.22</v>
      </c>
      <c r="U1374" t="s">
        <v>73</v>
      </c>
      <c r="V1374" t="s">
        <v>74</v>
      </c>
      <c r="W1374" t="s">
        <v>75</v>
      </c>
      <c r="X1374">
        <v>2.2999999999999998</v>
      </c>
      <c r="Y1374" t="s">
        <v>2629</v>
      </c>
      <c r="Z1374" t="s">
        <v>496</v>
      </c>
      <c r="AA1374">
        <v>50</v>
      </c>
      <c r="AB1374">
        <v>25</v>
      </c>
      <c r="AC1374">
        <v>10.87</v>
      </c>
    </row>
    <row r="1375" spans="2:29" ht="15" customHeight="1" x14ac:dyDescent="0.15">
      <c r="B1375">
        <v>4</v>
      </c>
      <c r="C1375" t="s">
        <v>386</v>
      </c>
      <c r="D1375" t="s">
        <v>2763</v>
      </c>
      <c r="E1375">
        <v>1</v>
      </c>
      <c r="F1375" t="s">
        <v>219</v>
      </c>
      <c r="G1375" t="s">
        <v>231</v>
      </c>
      <c r="H1375" t="s">
        <v>231</v>
      </c>
      <c r="I1375">
        <v>21</v>
      </c>
      <c r="J1375" s="21">
        <v>46160</v>
      </c>
      <c r="K1375" s="21">
        <v>46160</v>
      </c>
      <c r="L1375" t="s">
        <v>2764</v>
      </c>
      <c r="M1375" t="s">
        <v>2648</v>
      </c>
      <c r="N1375">
        <v>33</v>
      </c>
      <c r="O1375" t="s">
        <v>220</v>
      </c>
      <c r="P1375">
        <v>2</v>
      </c>
      <c r="Q1375">
        <v>2</v>
      </c>
      <c r="R1375">
        <v>0.15</v>
      </c>
      <c r="S1375">
        <v>0.3</v>
      </c>
      <c r="T1375">
        <v>0.3</v>
      </c>
      <c r="U1375" t="s">
        <v>89</v>
      </c>
      <c r="V1375" t="s">
        <v>90</v>
      </c>
      <c r="W1375" t="s">
        <v>21</v>
      </c>
      <c r="X1375">
        <v>1</v>
      </c>
      <c r="Y1375" t="s">
        <v>2746</v>
      </c>
      <c r="Z1375" t="s">
        <v>496</v>
      </c>
      <c r="AA1375">
        <v>16.61</v>
      </c>
      <c r="AB1375">
        <v>4.9800000000000004</v>
      </c>
      <c r="AC1375">
        <v>4.9800000000000004</v>
      </c>
    </row>
    <row r="1376" spans="2:29" ht="15" customHeight="1" x14ac:dyDescent="0.15">
      <c r="B1376">
        <v>4</v>
      </c>
      <c r="C1376" t="s">
        <v>386</v>
      </c>
      <c r="D1376" t="s">
        <v>2763</v>
      </c>
      <c r="E1376">
        <v>2</v>
      </c>
      <c r="F1376" t="s">
        <v>219</v>
      </c>
      <c r="G1376" t="s">
        <v>244</v>
      </c>
      <c r="H1376" t="s">
        <v>2765</v>
      </c>
      <c r="I1376">
        <v>21</v>
      </c>
      <c r="J1376" s="21">
        <v>46160</v>
      </c>
      <c r="K1376" s="21">
        <v>46160</v>
      </c>
      <c r="L1376" t="s">
        <v>2766</v>
      </c>
      <c r="M1376" t="s">
        <v>2767</v>
      </c>
      <c r="N1376">
        <v>33</v>
      </c>
      <c r="O1376" t="s">
        <v>202</v>
      </c>
      <c r="P1376">
        <v>2</v>
      </c>
      <c r="Q1376">
        <v>2</v>
      </c>
      <c r="R1376">
        <v>0.08</v>
      </c>
      <c r="S1376">
        <v>0.16</v>
      </c>
      <c r="T1376">
        <v>0.16</v>
      </c>
      <c r="U1376" t="s">
        <v>89</v>
      </c>
      <c r="V1376" t="s">
        <v>90</v>
      </c>
      <c r="W1376" t="s">
        <v>21</v>
      </c>
      <c r="X1376">
        <v>1</v>
      </c>
      <c r="Y1376" t="s">
        <v>2746</v>
      </c>
      <c r="Z1376" t="s">
        <v>496</v>
      </c>
      <c r="AA1376">
        <v>99</v>
      </c>
      <c r="AB1376">
        <v>15.84</v>
      </c>
      <c r="AC1376">
        <v>15.84</v>
      </c>
    </row>
    <row r="1377" spans="2:29" ht="15" customHeight="1" x14ac:dyDescent="0.15">
      <c r="B1377">
        <v>4</v>
      </c>
      <c r="C1377" t="s">
        <v>386</v>
      </c>
      <c r="D1377" t="s">
        <v>2763</v>
      </c>
      <c r="E1377">
        <v>3</v>
      </c>
      <c r="F1377" t="s">
        <v>219</v>
      </c>
      <c r="G1377" t="s">
        <v>244</v>
      </c>
      <c r="H1377" t="s">
        <v>545</v>
      </c>
      <c r="I1377">
        <v>21</v>
      </c>
      <c r="J1377" s="21">
        <v>46160</v>
      </c>
      <c r="K1377" s="21">
        <v>46160</v>
      </c>
      <c r="L1377" t="s">
        <v>2768</v>
      </c>
      <c r="M1377" t="s">
        <v>547</v>
      </c>
      <c r="N1377">
        <v>33</v>
      </c>
      <c r="O1377" t="s">
        <v>202</v>
      </c>
      <c r="P1377">
        <v>2</v>
      </c>
      <c r="Q1377">
        <v>2</v>
      </c>
      <c r="R1377">
        <v>0.2</v>
      </c>
      <c r="S1377">
        <v>0.4</v>
      </c>
      <c r="T1377">
        <v>0.4</v>
      </c>
      <c r="U1377" t="s">
        <v>89</v>
      </c>
      <c r="V1377" t="s">
        <v>90</v>
      </c>
      <c r="W1377" t="s">
        <v>21</v>
      </c>
      <c r="X1377">
        <v>1</v>
      </c>
      <c r="Y1377" t="s">
        <v>2746</v>
      </c>
      <c r="Z1377" t="s">
        <v>496</v>
      </c>
      <c r="AA1377">
        <v>97</v>
      </c>
      <c r="AB1377">
        <v>38.799999999999997</v>
      </c>
      <c r="AC1377">
        <v>38.799999999999997</v>
      </c>
    </row>
    <row r="1378" spans="2:29" ht="15" customHeight="1" x14ac:dyDescent="0.15">
      <c r="B1378">
        <v>4</v>
      </c>
      <c r="C1378" t="s">
        <v>386</v>
      </c>
      <c r="D1378" t="s">
        <v>2763</v>
      </c>
      <c r="E1378">
        <v>4</v>
      </c>
      <c r="F1378" t="s">
        <v>219</v>
      </c>
      <c r="G1378" t="s">
        <v>218</v>
      </c>
      <c r="H1378" t="s">
        <v>1501</v>
      </c>
      <c r="I1378">
        <v>21</v>
      </c>
      <c r="J1378" s="21">
        <v>46160</v>
      </c>
      <c r="K1378" s="21">
        <v>46160</v>
      </c>
      <c r="L1378" t="s">
        <v>2769</v>
      </c>
      <c r="M1378" t="s">
        <v>2738</v>
      </c>
      <c r="N1378">
        <v>33</v>
      </c>
      <c r="O1378" t="s">
        <v>202</v>
      </c>
      <c r="P1378">
        <v>2</v>
      </c>
      <c r="Q1378">
        <v>2</v>
      </c>
      <c r="R1378">
        <v>0.2</v>
      </c>
      <c r="S1378">
        <v>0.4</v>
      </c>
      <c r="T1378">
        <v>0.4</v>
      </c>
      <c r="U1378" t="s">
        <v>89</v>
      </c>
      <c r="V1378" t="s">
        <v>90</v>
      </c>
      <c r="W1378" t="s">
        <v>21</v>
      </c>
      <c r="X1378">
        <v>1</v>
      </c>
      <c r="Y1378" t="s">
        <v>2746</v>
      </c>
      <c r="Z1378" t="s">
        <v>496</v>
      </c>
      <c r="AA1378">
        <v>0</v>
      </c>
      <c r="AB1378">
        <v>0</v>
      </c>
      <c r="AC1378">
        <v>0</v>
      </c>
    </row>
    <row r="1379" spans="2:29" ht="15" customHeight="1" x14ac:dyDescent="0.15">
      <c r="B1379">
        <v>4</v>
      </c>
      <c r="C1379" t="s">
        <v>386</v>
      </c>
      <c r="D1379" t="s">
        <v>2763</v>
      </c>
      <c r="E1379">
        <v>5</v>
      </c>
      <c r="F1379" t="s">
        <v>219</v>
      </c>
      <c r="G1379" t="s">
        <v>239</v>
      </c>
      <c r="H1379" t="s">
        <v>520</v>
      </c>
      <c r="I1379">
        <v>21</v>
      </c>
      <c r="J1379" s="21">
        <v>46160</v>
      </c>
      <c r="K1379" s="21">
        <v>46160</v>
      </c>
      <c r="L1379" t="s">
        <v>2770</v>
      </c>
      <c r="M1379" t="s">
        <v>1340</v>
      </c>
      <c r="N1379">
        <v>33</v>
      </c>
      <c r="O1379" t="s">
        <v>202</v>
      </c>
      <c r="P1379">
        <v>2</v>
      </c>
      <c r="Q1379">
        <v>2</v>
      </c>
      <c r="R1379">
        <v>0.5</v>
      </c>
      <c r="S1379">
        <v>1</v>
      </c>
      <c r="T1379">
        <v>1</v>
      </c>
      <c r="U1379" t="s">
        <v>89</v>
      </c>
      <c r="V1379" t="s">
        <v>90</v>
      </c>
      <c r="W1379" t="s">
        <v>21</v>
      </c>
      <c r="X1379">
        <v>1</v>
      </c>
      <c r="Y1379" t="s">
        <v>2746</v>
      </c>
      <c r="Z1379" t="s">
        <v>496</v>
      </c>
      <c r="AA1379">
        <v>66.92</v>
      </c>
      <c r="AB1379">
        <v>66.92</v>
      </c>
      <c r="AC1379">
        <v>66.92</v>
      </c>
    </row>
    <row r="1380" spans="2:29" ht="15" customHeight="1" x14ac:dyDescent="0.15">
      <c r="B1380">
        <v>4</v>
      </c>
      <c r="C1380" t="s">
        <v>386</v>
      </c>
      <c r="D1380" t="s">
        <v>2763</v>
      </c>
      <c r="E1380">
        <v>6</v>
      </c>
      <c r="F1380" t="s">
        <v>219</v>
      </c>
      <c r="G1380" t="s">
        <v>218</v>
      </c>
      <c r="H1380" t="s">
        <v>911</v>
      </c>
      <c r="I1380">
        <v>21</v>
      </c>
      <c r="J1380" s="21">
        <v>46160</v>
      </c>
      <c r="K1380" s="21">
        <v>46160</v>
      </c>
      <c r="L1380" t="s">
        <v>2771</v>
      </c>
      <c r="M1380" t="s">
        <v>913</v>
      </c>
      <c r="N1380">
        <v>33</v>
      </c>
      <c r="O1380" t="s">
        <v>220</v>
      </c>
      <c r="P1380">
        <v>2</v>
      </c>
      <c r="Q1380">
        <v>2</v>
      </c>
      <c r="R1380">
        <v>0.25</v>
      </c>
      <c r="S1380">
        <v>0.5</v>
      </c>
      <c r="T1380">
        <v>0.5</v>
      </c>
      <c r="U1380" t="s">
        <v>89</v>
      </c>
      <c r="V1380" t="s">
        <v>90</v>
      </c>
      <c r="W1380" t="s">
        <v>21</v>
      </c>
      <c r="X1380">
        <v>1</v>
      </c>
      <c r="Y1380" t="s">
        <v>2746</v>
      </c>
      <c r="Z1380" t="s">
        <v>496</v>
      </c>
      <c r="AA1380">
        <v>91.24</v>
      </c>
      <c r="AB1380">
        <v>45.62</v>
      </c>
      <c r="AC1380">
        <v>45.62</v>
      </c>
    </row>
    <row r="1381" spans="2:29" ht="15" customHeight="1" x14ac:dyDescent="0.15">
      <c r="B1381">
        <v>4</v>
      </c>
      <c r="C1381" t="s">
        <v>386</v>
      </c>
      <c r="D1381" t="s">
        <v>2763</v>
      </c>
      <c r="E1381">
        <v>7</v>
      </c>
      <c r="F1381" t="s">
        <v>219</v>
      </c>
      <c r="G1381" t="s">
        <v>218</v>
      </c>
      <c r="H1381" t="s">
        <v>686</v>
      </c>
      <c r="I1381">
        <v>21</v>
      </c>
      <c r="J1381" s="21">
        <v>46160</v>
      </c>
      <c r="K1381" s="21">
        <v>46160</v>
      </c>
      <c r="L1381" t="s">
        <v>2772</v>
      </c>
      <c r="M1381" t="s">
        <v>2468</v>
      </c>
      <c r="N1381">
        <v>33</v>
      </c>
      <c r="O1381" t="s">
        <v>220</v>
      </c>
      <c r="P1381">
        <v>2</v>
      </c>
      <c r="Q1381">
        <v>2</v>
      </c>
      <c r="R1381">
        <v>0.15</v>
      </c>
      <c r="S1381">
        <v>0.3</v>
      </c>
      <c r="T1381">
        <v>0.3</v>
      </c>
      <c r="U1381" t="s">
        <v>89</v>
      </c>
      <c r="V1381" t="s">
        <v>90</v>
      </c>
      <c r="W1381" t="s">
        <v>21</v>
      </c>
      <c r="X1381">
        <v>1</v>
      </c>
      <c r="Y1381" t="s">
        <v>2746</v>
      </c>
      <c r="Z1381" t="s">
        <v>496</v>
      </c>
      <c r="AA1381">
        <v>80.900000000000006</v>
      </c>
      <c r="AB1381">
        <v>24.27</v>
      </c>
      <c r="AC1381">
        <v>24.27</v>
      </c>
    </row>
    <row r="1382" spans="2:29" ht="15" customHeight="1" x14ac:dyDescent="0.15">
      <c r="B1382">
        <v>4</v>
      </c>
      <c r="C1382" t="s">
        <v>386</v>
      </c>
      <c r="D1382" t="s">
        <v>2773</v>
      </c>
      <c r="E1382">
        <v>1</v>
      </c>
      <c r="F1382" t="s">
        <v>219</v>
      </c>
      <c r="G1382" t="s">
        <v>231</v>
      </c>
      <c r="H1382" t="s">
        <v>231</v>
      </c>
      <c r="I1382">
        <v>21</v>
      </c>
      <c r="J1382" s="21">
        <v>46161</v>
      </c>
      <c r="K1382" s="21">
        <v>46161</v>
      </c>
      <c r="L1382" t="s">
        <v>2774</v>
      </c>
      <c r="M1382" t="s">
        <v>2648</v>
      </c>
      <c r="N1382">
        <v>75</v>
      </c>
      <c r="O1382" t="s">
        <v>220</v>
      </c>
      <c r="P1382">
        <v>4</v>
      </c>
      <c r="Q1382">
        <v>2</v>
      </c>
      <c r="R1382">
        <v>0.15</v>
      </c>
      <c r="S1382">
        <v>0.6</v>
      </c>
      <c r="T1382">
        <v>0.3</v>
      </c>
      <c r="U1382" t="s">
        <v>53</v>
      </c>
      <c r="V1382" t="s">
        <v>54</v>
      </c>
      <c r="W1382" t="s">
        <v>21</v>
      </c>
      <c r="X1382">
        <v>2</v>
      </c>
      <c r="Y1382" t="s">
        <v>679</v>
      </c>
      <c r="Z1382" t="s">
        <v>496</v>
      </c>
      <c r="AA1382">
        <v>16.61</v>
      </c>
      <c r="AB1382">
        <v>9.9700000000000006</v>
      </c>
      <c r="AC1382">
        <v>4.9800000000000004</v>
      </c>
    </row>
    <row r="1383" spans="2:29" ht="15" customHeight="1" x14ac:dyDescent="0.15">
      <c r="B1383">
        <v>4</v>
      </c>
      <c r="C1383" t="s">
        <v>386</v>
      </c>
      <c r="D1383" t="s">
        <v>2773</v>
      </c>
      <c r="E1383">
        <v>2</v>
      </c>
      <c r="F1383" t="s">
        <v>219</v>
      </c>
      <c r="G1383" t="s">
        <v>218</v>
      </c>
      <c r="H1383" t="s">
        <v>400</v>
      </c>
      <c r="I1383">
        <v>21</v>
      </c>
      <c r="J1383" s="21">
        <v>46161</v>
      </c>
      <c r="K1383" s="21">
        <v>46161</v>
      </c>
      <c r="L1383" t="s">
        <v>2775</v>
      </c>
      <c r="M1383" t="s">
        <v>2362</v>
      </c>
      <c r="N1383">
        <v>75</v>
      </c>
      <c r="O1383" t="s">
        <v>220</v>
      </c>
      <c r="P1383">
        <v>4</v>
      </c>
      <c r="Q1383">
        <v>2</v>
      </c>
      <c r="R1383">
        <v>0.25</v>
      </c>
      <c r="S1383">
        <v>1</v>
      </c>
      <c r="T1383">
        <v>0.5</v>
      </c>
      <c r="U1383" t="s">
        <v>53</v>
      </c>
      <c r="V1383" t="s">
        <v>54</v>
      </c>
      <c r="W1383" t="s">
        <v>21</v>
      </c>
      <c r="X1383">
        <v>2</v>
      </c>
      <c r="Y1383" t="s">
        <v>679</v>
      </c>
      <c r="Z1383" t="s">
        <v>496</v>
      </c>
      <c r="AA1383">
        <v>52.5</v>
      </c>
      <c r="AB1383">
        <v>52.5</v>
      </c>
      <c r="AC1383">
        <v>26.25</v>
      </c>
    </row>
    <row r="1384" spans="2:29" ht="15" customHeight="1" x14ac:dyDescent="0.15">
      <c r="B1384">
        <v>4</v>
      </c>
      <c r="C1384" t="s">
        <v>386</v>
      </c>
      <c r="D1384" t="s">
        <v>2773</v>
      </c>
      <c r="E1384">
        <v>3</v>
      </c>
      <c r="F1384" t="s">
        <v>219</v>
      </c>
      <c r="G1384" t="s">
        <v>218</v>
      </c>
      <c r="H1384" t="s">
        <v>1422</v>
      </c>
      <c r="I1384">
        <v>21</v>
      </c>
      <c r="J1384" s="21">
        <v>46161</v>
      </c>
      <c r="K1384" s="21">
        <v>46161</v>
      </c>
      <c r="L1384" t="s">
        <v>2776</v>
      </c>
      <c r="M1384" t="s">
        <v>1424</v>
      </c>
      <c r="N1384">
        <v>75</v>
      </c>
      <c r="O1384" t="s">
        <v>220</v>
      </c>
      <c r="P1384">
        <v>4</v>
      </c>
      <c r="Q1384">
        <v>2</v>
      </c>
      <c r="R1384">
        <v>0.15</v>
      </c>
      <c r="S1384">
        <v>0.6</v>
      </c>
      <c r="T1384">
        <v>0.3</v>
      </c>
      <c r="U1384" t="s">
        <v>53</v>
      </c>
      <c r="V1384" t="s">
        <v>54</v>
      </c>
      <c r="W1384" t="s">
        <v>21</v>
      </c>
      <c r="X1384">
        <v>2</v>
      </c>
      <c r="Y1384" t="s">
        <v>679</v>
      </c>
      <c r="Z1384" t="s">
        <v>496</v>
      </c>
      <c r="AA1384">
        <v>489.99</v>
      </c>
      <c r="AB1384">
        <v>293.99</v>
      </c>
      <c r="AC1384">
        <v>147</v>
      </c>
    </row>
    <row r="1385" spans="2:29" ht="15" customHeight="1" x14ac:dyDescent="0.15">
      <c r="B1385">
        <v>4</v>
      </c>
      <c r="C1385" t="s">
        <v>386</v>
      </c>
      <c r="D1385" t="s">
        <v>2773</v>
      </c>
      <c r="E1385">
        <v>4</v>
      </c>
      <c r="F1385" t="s">
        <v>219</v>
      </c>
      <c r="G1385" t="s">
        <v>218</v>
      </c>
      <c r="H1385" t="s">
        <v>911</v>
      </c>
      <c r="I1385">
        <v>21</v>
      </c>
      <c r="J1385" s="21">
        <v>46161</v>
      </c>
      <c r="K1385" s="21">
        <v>46161</v>
      </c>
      <c r="L1385" t="s">
        <v>2777</v>
      </c>
      <c r="M1385" t="s">
        <v>913</v>
      </c>
      <c r="N1385">
        <v>75</v>
      </c>
      <c r="O1385" t="s">
        <v>220</v>
      </c>
      <c r="P1385">
        <v>4</v>
      </c>
      <c r="Q1385">
        <v>2</v>
      </c>
      <c r="R1385">
        <v>0.2</v>
      </c>
      <c r="S1385">
        <v>0.8</v>
      </c>
      <c r="T1385">
        <v>0.4</v>
      </c>
      <c r="U1385" t="s">
        <v>53</v>
      </c>
      <c r="V1385" t="s">
        <v>54</v>
      </c>
      <c r="W1385" t="s">
        <v>21</v>
      </c>
      <c r="X1385">
        <v>2</v>
      </c>
      <c r="Y1385" t="s">
        <v>679</v>
      </c>
      <c r="Z1385" t="s">
        <v>496</v>
      </c>
      <c r="AA1385">
        <v>91.24</v>
      </c>
      <c r="AB1385">
        <v>72.989999999999995</v>
      </c>
      <c r="AC1385">
        <v>36.5</v>
      </c>
    </row>
    <row r="1386" spans="2:29" ht="15" customHeight="1" x14ac:dyDescent="0.15">
      <c r="B1386">
        <v>4</v>
      </c>
      <c r="C1386" t="s">
        <v>386</v>
      </c>
      <c r="D1386" t="s">
        <v>2773</v>
      </c>
      <c r="E1386">
        <v>5</v>
      </c>
      <c r="F1386" t="s">
        <v>219</v>
      </c>
      <c r="G1386" t="s">
        <v>244</v>
      </c>
      <c r="H1386" t="s">
        <v>1605</v>
      </c>
      <c r="I1386">
        <v>21</v>
      </c>
      <c r="J1386" s="21">
        <v>46161</v>
      </c>
      <c r="K1386" s="21">
        <v>46161</v>
      </c>
      <c r="L1386" t="s">
        <v>2778</v>
      </c>
      <c r="M1386" t="s">
        <v>295</v>
      </c>
      <c r="N1386">
        <v>75</v>
      </c>
      <c r="O1386" t="s">
        <v>220</v>
      </c>
      <c r="P1386">
        <v>4</v>
      </c>
      <c r="Q1386">
        <v>2</v>
      </c>
      <c r="R1386">
        <v>0.4</v>
      </c>
      <c r="S1386">
        <v>1.6</v>
      </c>
      <c r="T1386">
        <v>0.8</v>
      </c>
      <c r="U1386" t="s">
        <v>53</v>
      </c>
      <c r="V1386" t="s">
        <v>54</v>
      </c>
      <c r="W1386" t="s">
        <v>21</v>
      </c>
      <c r="X1386">
        <v>2</v>
      </c>
      <c r="Y1386" t="s">
        <v>679</v>
      </c>
      <c r="Z1386" t="s">
        <v>496</v>
      </c>
      <c r="AA1386">
        <v>77.31</v>
      </c>
      <c r="AB1386">
        <v>123.7</v>
      </c>
      <c r="AC1386">
        <v>61.85</v>
      </c>
    </row>
    <row r="1387" spans="2:29" ht="15" customHeight="1" x14ac:dyDescent="0.15">
      <c r="B1387">
        <v>4</v>
      </c>
      <c r="C1387" t="s">
        <v>386</v>
      </c>
      <c r="D1387" t="s">
        <v>2773</v>
      </c>
      <c r="E1387">
        <v>6</v>
      </c>
      <c r="F1387" t="s">
        <v>219</v>
      </c>
      <c r="G1387" t="s">
        <v>218</v>
      </c>
      <c r="H1387" t="s">
        <v>485</v>
      </c>
      <c r="I1387">
        <v>21</v>
      </c>
      <c r="J1387" s="21">
        <v>46161</v>
      </c>
      <c r="K1387" s="21">
        <v>46161</v>
      </c>
      <c r="L1387" t="s">
        <v>2779</v>
      </c>
      <c r="M1387" t="s">
        <v>1316</v>
      </c>
      <c r="N1387">
        <v>75</v>
      </c>
      <c r="O1387" t="s">
        <v>220</v>
      </c>
      <c r="P1387">
        <v>4</v>
      </c>
      <c r="Q1387">
        <v>2</v>
      </c>
      <c r="R1387">
        <v>0.5</v>
      </c>
      <c r="S1387">
        <v>2</v>
      </c>
      <c r="T1387">
        <v>1</v>
      </c>
      <c r="U1387" t="s">
        <v>53</v>
      </c>
      <c r="V1387" t="s">
        <v>54</v>
      </c>
      <c r="W1387" t="s">
        <v>21</v>
      </c>
      <c r="X1387">
        <v>2</v>
      </c>
      <c r="Y1387" t="s">
        <v>679</v>
      </c>
      <c r="Z1387" t="s">
        <v>496</v>
      </c>
      <c r="AA1387">
        <v>92.82</v>
      </c>
      <c r="AB1387">
        <v>185.64</v>
      </c>
      <c r="AC1387">
        <v>92.82</v>
      </c>
    </row>
    <row r="1388" spans="2:29" ht="15" customHeight="1" x14ac:dyDescent="0.15">
      <c r="B1388">
        <v>4</v>
      </c>
      <c r="C1388" t="s">
        <v>386</v>
      </c>
      <c r="D1388" t="s">
        <v>2773</v>
      </c>
      <c r="E1388">
        <v>7</v>
      </c>
      <c r="F1388" t="s">
        <v>219</v>
      </c>
      <c r="G1388" t="s">
        <v>239</v>
      </c>
      <c r="H1388" t="s">
        <v>520</v>
      </c>
      <c r="I1388">
        <v>21</v>
      </c>
      <c r="J1388" s="21">
        <v>46161</v>
      </c>
      <c r="K1388" s="21">
        <v>46161</v>
      </c>
      <c r="L1388" t="s">
        <v>2780</v>
      </c>
      <c r="M1388" t="s">
        <v>1340</v>
      </c>
      <c r="N1388">
        <v>75</v>
      </c>
      <c r="O1388" t="s">
        <v>202</v>
      </c>
      <c r="P1388">
        <v>4</v>
      </c>
      <c r="Q1388">
        <v>2</v>
      </c>
      <c r="R1388">
        <v>1</v>
      </c>
      <c r="S1388">
        <v>4</v>
      </c>
      <c r="T1388">
        <v>2</v>
      </c>
      <c r="U1388" t="s">
        <v>53</v>
      </c>
      <c r="V1388" t="s">
        <v>54</v>
      </c>
      <c r="W1388" t="s">
        <v>21</v>
      </c>
      <c r="X1388">
        <v>2</v>
      </c>
      <c r="Y1388" t="s">
        <v>679</v>
      </c>
      <c r="Z1388" t="s">
        <v>496</v>
      </c>
      <c r="AA1388">
        <v>66.92</v>
      </c>
      <c r="AB1388">
        <v>267.68</v>
      </c>
      <c r="AC1388">
        <v>133.84</v>
      </c>
    </row>
    <row r="1389" spans="2:29" ht="15" customHeight="1" x14ac:dyDescent="0.15">
      <c r="B1389">
        <v>4</v>
      </c>
      <c r="C1389" t="s">
        <v>386</v>
      </c>
      <c r="D1389" t="s">
        <v>2773</v>
      </c>
      <c r="E1389">
        <v>8</v>
      </c>
      <c r="F1389" t="s">
        <v>219</v>
      </c>
      <c r="G1389" t="s">
        <v>239</v>
      </c>
      <c r="H1389" t="s">
        <v>2438</v>
      </c>
      <c r="I1389">
        <v>21</v>
      </c>
      <c r="J1389" s="21">
        <v>46161</v>
      </c>
      <c r="K1389" s="21">
        <v>46161</v>
      </c>
      <c r="L1389" t="s">
        <v>2781</v>
      </c>
      <c r="M1389" t="s">
        <v>2440</v>
      </c>
      <c r="N1389">
        <v>75</v>
      </c>
      <c r="O1389" t="s">
        <v>220</v>
      </c>
      <c r="P1389">
        <v>4</v>
      </c>
      <c r="Q1389">
        <v>2</v>
      </c>
      <c r="R1389">
        <v>0.8</v>
      </c>
      <c r="S1389">
        <v>3.2</v>
      </c>
      <c r="T1389">
        <v>1.6</v>
      </c>
      <c r="U1389" t="s">
        <v>53</v>
      </c>
      <c r="V1389" t="s">
        <v>54</v>
      </c>
      <c r="W1389" t="s">
        <v>21</v>
      </c>
      <c r="X1389">
        <v>2</v>
      </c>
      <c r="Y1389" t="s">
        <v>679</v>
      </c>
      <c r="Z1389" t="s">
        <v>496</v>
      </c>
      <c r="AA1389">
        <v>41</v>
      </c>
      <c r="AB1389">
        <v>131.19999999999999</v>
      </c>
      <c r="AC1389">
        <v>65.599999999999994</v>
      </c>
    </row>
    <row r="1390" spans="2:29" ht="15" customHeight="1" x14ac:dyDescent="0.15">
      <c r="B1390">
        <v>4</v>
      </c>
      <c r="C1390" t="s">
        <v>386</v>
      </c>
      <c r="D1390" t="s">
        <v>2782</v>
      </c>
      <c r="E1390">
        <v>1</v>
      </c>
      <c r="F1390" t="s">
        <v>219</v>
      </c>
      <c r="G1390" t="s">
        <v>231</v>
      </c>
      <c r="H1390" t="s">
        <v>231</v>
      </c>
      <c r="I1390">
        <v>21</v>
      </c>
      <c r="J1390" s="21">
        <v>46163</v>
      </c>
      <c r="K1390" s="21">
        <v>46164</v>
      </c>
      <c r="L1390" t="s">
        <v>2783</v>
      </c>
      <c r="M1390" t="s">
        <v>2648</v>
      </c>
      <c r="N1390">
        <v>8</v>
      </c>
      <c r="O1390" t="s">
        <v>220</v>
      </c>
      <c r="P1390">
        <v>6</v>
      </c>
      <c r="Q1390">
        <v>1.33</v>
      </c>
      <c r="R1390">
        <v>0.15</v>
      </c>
      <c r="S1390">
        <v>0.9</v>
      </c>
      <c r="T1390">
        <v>0.2</v>
      </c>
      <c r="U1390" t="s">
        <v>107</v>
      </c>
      <c r="V1390" t="s">
        <v>108</v>
      </c>
      <c r="W1390" t="s">
        <v>21</v>
      </c>
      <c r="X1390">
        <v>4.5</v>
      </c>
      <c r="Y1390" t="s">
        <v>2629</v>
      </c>
      <c r="Z1390" t="s">
        <v>496</v>
      </c>
      <c r="AA1390">
        <v>16.61</v>
      </c>
      <c r="AB1390">
        <v>14.95</v>
      </c>
      <c r="AC1390">
        <v>3.32</v>
      </c>
    </row>
    <row r="1391" spans="2:29" ht="15" customHeight="1" x14ac:dyDescent="0.15">
      <c r="B1391">
        <v>4</v>
      </c>
      <c r="C1391" t="s">
        <v>386</v>
      </c>
      <c r="D1391" t="s">
        <v>2782</v>
      </c>
      <c r="E1391">
        <v>2</v>
      </c>
      <c r="F1391" t="s">
        <v>219</v>
      </c>
      <c r="G1391" t="s">
        <v>439</v>
      </c>
      <c r="H1391" t="s">
        <v>533</v>
      </c>
      <c r="I1391">
        <v>21</v>
      </c>
      <c r="J1391" s="21">
        <v>46163</v>
      </c>
      <c r="K1391" s="21">
        <v>46164</v>
      </c>
      <c r="L1391" t="s">
        <v>2784</v>
      </c>
      <c r="M1391" t="s">
        <v>535</v>
      </c>
      <c r="N1391">
        <v>8</v>
      </c>
      <c r="O1391" t="s">
        <v>220</v>
      </c>
      <c r="P1391">
        <v>6</v>
      </c>
      <c r="Q1391">
        <v>1.33</v>
      </c>
      <c r="R1391">
        <v>1.5</v>
      </c>
      <c r="S1391">
        <v>9</v>
      </c>
      <c r="T1391">
        <v>2</v>
      </c>
      <c r="U1391" t="s">
        <v>107</v>
      </c>
      <c r="V1391" t="s">
        <v>108</v>
      </c>
      <c r="W1391" t="s">
        <v>21</v>
      </c>
      <c r="X1391">
        <v>4.5</v>
      </c>
      <c r="Y1391" t="s">
        <v>2629</v>
      </c>
      <c r="Z1391" t="s">
        <v>496</v>
      </c>
      <c r="AA1391">
        <v>38.14</v>
      </c>
      <c r="AB1391">
        <v>343.26</v>
      </c>
      <c r="AC1391">
        <v>76.28</v>
      </c>
    </row>
    <row r="1392" spans="2:29" ht="15" customHeight="1" x14ac:dyDescent="0.15">
      <c r="B1392">
        <v>4</v>
      </c>
      <c r="C1392" t="s">
        <v>386</v>
      </c>
      <c r="D1392" t="s">
        <v>2782</v>
      </c>
      <c r="E1392">
        <v>3</v>
      </c>
      <c r="F1392" t="s">
        <v>219</v>
      </c>
      <c r="G1392" t="s">
        <v>218</v>
      </c>
      <c r="H1392" t="s">
        <v>2353</v>
      </c>
      <c r="I1392">
        <v>21</v>
      </c>
      <c r="J1392" s="21">
        <v>46163</v>
      </c>
      <c r="K1392" s="21">
        <v>46164</v>
      </c>
      <c r="L1392" t="s">
        <v>2785</v>
      </c>
      <c r="M1392" t="s">
        <v>241</v>
      </c>
      <c r="N1392">
        <v>8</v>
      </c>
      <c r="O1392" t="s">
        <v>202</v>
      </c>
      <c r="P1392">
        <v>6</v>
      </c>
      <c r="Q1392">
        <v>1.33</v>
      </c>
      <c r="R1392">
        <v>0.1</v>
      </c>
      <c r="S1392">
        <v>0.6</v>
      </c>
      <c r="T1392">
        <v>0.13</v>
      </c>
      <c r="U1392" t="s">
        <v>107</v>
      </c>
      <c r="V1392" t="s">
        <v>108</v>
      </c>
      <c r="W1392" t="s">
        <v>21</v>
      </c>
      <c r="X1392">
        <v>4.5</v>
      </c>
      <c r="Y1392" t="s">
        <v>2629</v>
      </c>
      <c r="Z1392" t="s">
        <v>496</v>
      </c>
      <c r="AA1392">
        <v>61.3</v>
      </c>
      <c r="AB1392">
        <v>36.78</v>
      </c>
      <c r="AC1392">
        <v>8.17</v>
      </c>
    </row>
    <row r="1393" spans="2:29" ht="15" customHeight="1" x14ac:dyDescent="0.15">
      <c r="B1393">
        <v>4</v>
      </c>
      <c r="C1393" t="s">
        <v>386</v>
      </c>
      <c r="D1393" t="s">
        <v>2782</v>
      </c>
      <c r="E1393">
        <v>4</v>
      </c>
      <c r="F1393" t="s">
        <v>219</v>
      </c>
      <c r="G1393" t="s">
        <v>239</v>
      </c>
      <c r="H1393" t="s">
        <v>520</v>
      </c>
      <c r="I1393">
        <v>21</v>
      </c>
      <c r="J1393" s="21">
        <v>46163</v>
      </c>
      <c r="K1393" s="21">
        <v>46164</v>
      </c>
      <c r="L1393" t="s">
        <v>2786</v>
      </c>
      <c r="M1393" t="s">
        <v>1340</v>
      </c>
      <c r="N1393">
        <v>8</v>
      </c>
      <c r="O1393" t="s">
        <v>202</v>
      </c>
      <c r="P1393">
        <v>6</v>
      </c>
      <c r="Q1393">
        <v>1.33</v>
      </c>
      <c r="R1393">
        <v>0.5</v>
      </c>
      <c r="S1393">
        <v>3</v>
      </c>
      <c r="T1393">
        <v>0.67</v>
      </c>
      <c r="U1393" t="s">
        <v>107</v>
      </c>
      <c r="V1393" t="s">
        <v>108</v>
      </c>
      <c r="W1393" t="s">
        <v>21</v>
      </c>
      <c r="X1393">
        <v>4.5</v>
      </c>
      <c r="Y1393" t="s">
        <v>2629</v>
      </c>
      <c r="Z1393" t="s">
        <v>496</v>
      </c>
      <c r="AA1393">
        <v>66.92</v>
      </c>
      <c r="AB1393">
        <v>200.76</v>
      </c>
      <c r="AC1393">
        <v>44.61</v>
      </c>
    </row>
    <row r="1394" spans="2:29" ht="15" customHeight="1" x14ac:dyDescent="0.15">
      <c r="B1394">
        <v>4</v>
      </c>
      <c r="C1394" t="s">
        <v>386</v>
      </c>
      <c r="D1394" t="s">
        <v>2782</v>
      </c>
      <c r="E1394">
        <v>5</v>
      </c>
      <c r="F1394" t="s">
        <v>219</v>
      </c>
      <c r="G1394" t="s">
        <v>218</v>
      </c>
      <c r="H1394" t="s">
        <v>2714</v>
      </c>
      <c r="I1394">
        <v>21</v>
      </c>
      <c r="J1394" s="21">
        <v>46163</v>
      </c>
      <c r="K1394" s="21">
        <v>46164</v>
      </c>
      <c r="L1394" t="s">
        <v>2787</v>
      </c>
      <c r="M1394" t="s">
        <v>2716</v>
      </c>
      <c r="N1394">
        <v>8</v>
      </c>
      <c r="O1394" t="s">
        <v>220</v>
      </c>
      <c r="P1394">
        <v>6</v>
      </c>
      <c r="Q1394">
        <v>1.33</v>
      </c>
      <c r="R1394">
        <v>0.25</v>
      </c>
      <c r="S1394">
        <v>1.5</v>
      </c>
      <c r="T1394">
        <v>0.33</v>
      </c>
      <c r="U1394" t="s">
        <v>107</v>
      </c>
      <c r="V1394" t="s">
        <v>108</v>
      </c>
      <c r="W1394" t="s">
        <v>21</v>
      </c>
      <c r="X1394">
        <v>4.5</v>
      </c>
      <c r="Y1394" t="s">
        <v>2629</v>
      </c>
      <c r="Z1394" t="s">
        <v>496</v>
      </c>
      <c r="AA1394">
        <v>50</v>
      </c>
      <c r="AB1394">
        <v>75</v>
      </c>
      <c r="AC1394">
        <v>16.670000000000002</v>
      </c>
    </row>
    <row r="1395" spans="2:29" ht="15" customHeight="1" x14ac:dyDescent="0.15">
      <c r="B1395">
        <v>4</v>
      </c>
      <c r="C1395" t="s">
        <v>386</v>
      </c>
      <c r="D1395" t="s">
        <v>2788</v>
      </c>
      <c r="E1395">
        <v>1</v>
      </c>
      <c r="F1395" t="s">
        <v>219</v>
      </c>
      <c r="G1395" t="s">
        <v>223</v>
      </c>
      <c r="H1395" t="s">
        <v>987</v>
      </c>
      <c r="I1395">
        <v>21</v>
      </c>
      <c r="J1395" s="21">
        <v>46163</v>
      </c>
      <c r="K1395" s="21">
        <v>46163</v>
      </c>
      <c r="L1395" t="s">
        <v>2789</v>
      </c>
      <c r="M1395" t="s">
        <v>222</v>
      </c>
      <c r="N1395" s="22">
        <v>46163</v>
      </c>
      <c r="O1395" t="s">
        <v>220</v>
      </c>
      <c r="P1395">
        <v>1</v>
      </c>
      <c r="Q1395">
        <v>0.48</v>
      </c>
      <c r="R1395">
        <v>10</v>
      </c>
      <c r="S1395">
        <v>10</v>
      </c>
      <c r="T1395">
        <v>4.76</v>
      </c>
      <c r="U1395" t="s">
        <v>115</v>
      </c>
      <c r="V1395" t="s">
        <v>116</v>
      </c>
      <c r="W1395" t="s">
        <v>21</v>
      </c>
      <c r="X1395">
        <v>2.1</v>
      </c>
      <c r="Y1395" t="s">
        <v>2455</v>
      </c>
      <c r="Z1395" t="s">
        <v>496</v>
      </c>
      <c r="AA1395">
        <v>13.47</v>
      </c>
      <c r="AB1395">
        <v>134.69999999999999</v>
      </c>
      <c r="AC1395">
        <v>64.14</v>
      </c>
    </row>
    <row r="1396" spans="2:29" ht="15" customHeight="1" x14ac:dyDescent="0.15">
      <c r="B1396">
        <v>4</v>
      </c>
      <c r="C1396" t="s">
        <v>386</v>
      </c>
      <c r="D1396" t="s">
        <v>2788</v>
      </c>
      <c r="E1396">
        <v>2</v>
      </c>
      <c r="F1396" t="s">
        <v>219</v>
      </c>
      <c r="G1396" t="s">
        <v>218</v>
      </c>
      <c r="H1396" t="s">
        <v>2253</v>
      </c>
      <c r="I1396">
        <v>21</v>
      </c>
      <c r="J1396" s="21">
        <v>46163</v>
      </c>
      <c r="K1396" s="21">
        <v>46163</v>
      </c>
      <c r="L1396" t="s">
        <v>2790</v>
      </c>
      <c r="M1396" t="s">
        <v>2556</v>
      </c>
      <c r="N1396" s="22">
        <v>46163</v>
      </c>
      <c r="O1396" t="s">
        <v>220</v>
      </c>
      <c r="P1396">
        <v>1</v>
      </c>
      <c r="Q1396">
        <v>0.48</v>
      </c>
      <c r="R1396">
        <v>1.5</v>
      </c>
      <c r="S1396">
        <v>1.5</v>
      </c>
      <c r="T1396">
        <v>0.71</v>
      </c>
      <c r="U1396" t="s">
        <v>115</v>
      </c>
      <c r="V1396" t="s">
        <v>116</v>
      </c>
      <c r="W1396" t="s">
        <v>21</v>
      </c>
      <c r="X1396">
        <v>2.1</v>
      </c>
      <c r="Y1396" t="s">
        <v>2455</v>
      </c>
      <c r="Z1396" t="s">
        <v>496</v>
      </c>
      <c r="AA1396">
        <v>216.83</v>
      </c>
      <c r="AB1396">
        <v>325.24</v>
      </c>
      <c r="AC1396">
        <v>154.88</v>
      </c>
    </row>
    <row r="1397" spans="2:29" ht="15" customHeight="1" x14ac:dyDescent="0.15">
      <c r="B1397">
        <v>4</v>
      </c>
      <c r="C1397" t="s">
        <v>386</v>
      </c>
      <c r="D1397" t="s">
        <v>2788</v>
      </c>
      <c r="E1397">
        <v>3</v>
      </c>
      <c r="F1397" t="s">
        <v>219</v>
      </c>
      <c r="G1397" t="s">
        <v>239</v>
      </c>
      <c r="H1397" t="s">
        <v>520</v>
      </c>
      <c r="I1397">
        <v>21</v>
      </c>
      <c r="J1397" s="21">
        <v>46163</v>
      </c>
      <c r="K1397" s="21">
        <v>46163</v>
      </c>
      <c r="L1397" t="s">
        <v>2791</v>
      </c>
      <c r="M1397" t="s">
        <v>1340</v>
      </c>
      <c r="N1397" s="22">
        <v>46163</v>
      </c>
      <c r="O1397" t="s">
        <v>202</v>
      </c>
      <c r="P1397">
        <v>1</v>
      </c>
      <c r="Q1397">
        <v>0.48</v>
      </c>
      <c r="R1397">
        <v>2</v>
      </c>
      <c r="S1397">
        <v>2</v>
      </c>
      <c r="T1397">
        <v>0.95</v>
      </c>
      <c r="U1397" t="s">
        <v>115</v>
      </c>
      <c r="V1397" t="s">
        <v>116</v>
      </c>
      <c r="W1397" t="s">
        <v>21</v>
      </c>
      <c r="X1397">
        <v>2.1</v>
      </c>
      <c r="Y1397" t="s">
        <v>2455</v>
      </c>
      <c r="Z1397" t="s">
        <v>496</v>
      </c>
      <c r="AA1397">
        <v>66.92</v>
      </c>
      <c r="AB1397">
        <v>133.84</v>
      </c>
      <c r="AC1397">
        <v>63.73</v>
      </c>
    </row>
    <row r="1398" spans="2:29" ht="15" customHeight="1" x14ac:dyDescent="0.15">
      <c r="B1398">
        <v>4</v>
      </c>
      <c r="C1398" t="s">
        <v>386</v>
      </c>
      <c r="D1398" t="s">
        <v>2788</v>
      </c>
      <c r="E1398">
        <v>4</v>
      </c>
      <c r="F1398" t="s">
        <v>201</v>
      </c>
      <c r="G1398" t="s">
        <v>337</v>
      </c>
      <c r="H1398" t="s">
        <v>475</v>
      </c>
      <c r="I1398">
        <v>21</v>
      </c>
      <c r="J1398" s="21">
        <v>46163</v>
      </c>
      <c r="K1398" s="21">
        <v>46163</v>
      </c>
      <c r="L1398" t="s">
        <v>2792</v>
      </c>
      <c r="M1398" t="s">
        <v>2793</v>
      </c>
      <c r="N1398" s="22">
        <v>46163</v>
      </c>
      <c r="O1398" t="s">
        <v>202</v>
      </c>
      <c r="P1398">
        <v>1</v>
      </c>
      <c r="Q1398">
        <v>0.48</v>
      </c>
      <c r="R1398">
        <v>25</v>
      </c>
      <c r="S1398">
        <v>25</v>
      </c>
      <c r="T1398">
        <v>11.9</v>
      </c>
      <c r="U1398" t="s">
        <v>115</v>
      </c>
      <c r="V1398" t="s">
        <v>116</v>
      </c>
      <c r="W1398" t="s">
        <v>21</v>
      </c>
      <c r="X1398">
        <v>2.1</v>
      </c>
      <c r="Y1398" t="s">
        <v>2455</v>
      </c>
      <c r="Z1398" t="s">
        <v>496</v>
      </c>
      <c r="AA1398">
        <v>4.88</v>
      </c>
      <c r="AB1398">
        <v>122</v>
      </c>
      <c r="AC1398">
        <v>58.1</v>
      </c>
    </row>
    <row r="1399" spans="2:29" ht="15" customHeight="1" x14ac:dyDescent="0.15">
      <c r="B1399">
        <v>4</v>
      </c>
      <c r="C1399" t="s">
        <v>386</v>
      </c>
      <c r="D1399" t="s">
        <v>2788</v>
      </c>
      <c r="E1399">
        <v>5</v>
      </c>
      <c r="F1399" t="s">
        <v>201</v>
      </c>
      <c r="G1399" t="s">
        <v>337</v>
      </c>
      <c r="H1399" t="s">
        <v>632</v>
      </c>
      <c r="I1399">
        <v>21</v>
      </c>
      <c r="J1399" s="21">
        <v>46163</v>
      </c>
      <c r="K1399" s="21">
        <v>46163</v>
      </c>
      <c r="L1399" t="s">
        <v>2794</v>
      </c>
      <c r="M1399" t="s">
        <v>336</v>
      </c>
      <c r="N1399" s="22">
        <v>46163</v>
      </c>
      <c r="O1399" t="s">
        <v>202</v>
      </c>
      <c r="P1399">
        <v>1</v>
      </c>
      <c r="Q1399">
        <v>0.48</v>
      </c>
      <c r="R1399">
        <v>25</v>
      </c>
      <c r="S1399">
        <v>25</v>
      </c>
      <c r="T1399">
        <v>11.9</v>
      </c>
      <c r="U1399" t="s">
        <v>115</v>
      </c>
      <c r="V1399" t="s">
        <v>116</v>
      </c>
      <c r="W1399" t="s">
        <v>21</v>
      </c>
      <c r="X1399">
        <v>2.1</v>
      </c>
      <c r="Y1399" t="s">
        <v>2455</v>
      </c>
      <c r="Z1399" t="s">
        <v>496</v>
      </c>
      <c r="AA1399">
        <v>4.8099999999999996</v>
      </c>
      <c r="AB1399">
        <v>120.25</v>
      </c>
      <c r="AC1399">
        <v>57.26</v>
      </c>
    </row>
    <row r="1400" spans="2:29" ht="15" customHeight="1" x14ac:dyDescent="0.15">
      <c r="B1400">
        <v>4</v>
      </c>
      <c r="C1400" t="s">
        <v>386</v>
      </c>
      <c r="D1400" t="s">
        <v>2795</v>
      </c>
      <c r="E1400">
        <v>1</v>
      </c>
      <c r="F1400" t="s">
        <v>219</v>
      </c>
      <c r="G1400" t="s">
        <v>231</v>
      </c>
      <c r="H1400" t="s">
        <v>231</v>
      </c>
      <c r="I1400">
        <v>21</v>
      </c>
      <c r="J1400" s="21">
        <v>46164</v>
      </c>
      <c r="K1400" s="21">
        <v>46164</v>
      </c>
      <c r="L1400" t="s">
        <v>2796</v>
      </c>
      <c r="M1400" t="s">
        <v>2648</v>
      </c>
      <c r="N1400">
        <v>32</v>
      </c>
      <c r="O1400" t="s">
        <v>220</v>
      </c>
      <c r="P1400">
        <v>3</v>
      </c>
      <c r="Q1400">
        <v>1.5</v>
      </c>
      <c r="R1400">
        <v>0.15</v>
      </c>
      <c r="S1400">
        <v>0.45</v>
      </c>
      <c r="T1400">
        <v>0.23</v>
      </c>
      <c r="U1400" t="s">
        <v>84</v>
      </c>
      <c r="V1400" t="s">
        <v>85</v>
      </c>
      <c r="W1400" t="s">
        <v>21</v>
      </c>
      <c r="X1400">
        <v>2</v>
      </c>
      <c r="Y1400" t="s">
        <v>2629</v>
      </c>
      <c r="Z1400" t="s">
        <v>496</v>
      </c>
      <c r="AA1400">
        <v>16.61</v>
      </c>
      <c r="AB1400">
        <v>7.47</v>
      </c>
      <c r="AC1400">
        <v>3.74</v>
      </c>
    </row>
    <row r="1401" spans="2:29" ht="15" customHeight="1" x14ac:dyDescent="0.15">
      <c r="B1401">
        <v>4</v>
      </c>
      <c r="C1401" t="s">
        <v>386</v>
      </c>
      <c r="D1401" t="s">
        <v>2795</v>
      </c>
      <c r="E1401">
        <v>2</v>
      </c>
      <c r="F1401" t="s">
        <v>219</v>
      </c>
      <c r="G1401" t="s">
        <v>218</v>
      </c>
      <c r="H1401" t="s">
        <v>1422</v>
      </c>
      <c r="I1401">
        <v>21</v>
      </c>
      <c r="J1401" s="21">
        <v>46164</v>
      </c>
      <c r="K1401" s="21">
        <v>46164</v>
      </c>
      <c r="L1401" t="s">
        <v>2797</v>
      </c>
      <c r="M1401" t="s">
        <v>1424</v>
      </c>
      <c r="N1401">
        <v>32</v>
      </c>
      <c r="O1401" t="s">
        <v>220</v>
      </c>
      <c r="P1401">
        <v>3</v>
      </c>
      <c r="Q1401">
        <v>1.5</v>
      </c>
      <c r="R1401">
        <v>0.15</v>
      </c>
      <c r="S1401">
        <v>0.45</v>
      </c>
      <c r="T1401">
        <v>0.23</v>
      </c>
      <c r="U1401" t="s">
        <v>84</v>
      </c>
      <c r="V1401" t="s">
        <v>85</v>
      </c>
      <c r="W1401" t="s">
        <v>21</v>
      </c>
      <c r="X1401">
        <v>2</v>
      </c>
      <c r="Y1401" t="s">
        <v>2629</v>
      </c>
      <c r="Z1401" t="s">
        <v>496</v>
      </c>
      <c r="AA1401">
        <v>489.99</v>
      </c>
      <c r="AB1401">
        <v>220.5</v>
      </c>
      <c r="AC1401">
        <v>110.25</v>
      </c>
    </row>
    <row r="1402" spans="2:29" ht="15" customHeight="1" x14ac:dyDescent="0.15">
      <c r="B1402">
        <v>4</v>
      </c>
      <c r="C1402" t="s">
        <v>386</v>
      </c>
      <c r="D1402" t="s">
        <v>2795</v>
      </c>
      <c r="E1402">
        <v>3</v>
      </c>
      <c r="F1402" t="s">
        <v>219</v>
      </c>
      <c r="G1402" t="s">
        <v>218</v>
      </c>
      <c r="H1402" t="s">
        <v>400</v>
      </c>
      <c r="I1402">
        <v>21</v>
      </c>
      <c r="J1402" s="21">
        <v>46164</v>
      </c>
      <c r="K1402" s="21">
        <v>46164</v>
      </c>
      <c r="L1402" t="s">
        <v>2798</v>
      </c>
      <c r="M1402" t="s">
        <v>2362</v>
      </c>
      <c r="N1402">
        <v>32</v>
      </c>
      <c r="O1402" t="s">
        <v>220</v>
      </c>
      <c r="P1402">
        <v>3</v>
      </c>
      <c r="Q1402">
        <v>1.5</v>
      </c>
      <c r="R1402">
        <v>0.25</v>
      </c>
      <c r="S1402">
        <v>0.75</v>
      </c>
      <c r="T1402">
        <v>0.38</v>
      </c>
      <c r="U1402" t="s">
        <v>84</v>
      </c>
      <c r="V1402" t="s">
        <v>85</v>
      </c>
      <c r="W1402" t="s">
        <v>21</v>
      </c>
      <c r="X1402">
        <v>2</v>
      </c>
      <c r="Y1402" t="s">
        <v>2629</v>
      </c>
      <c r="Z1402" t="s">
        <v>496</v>
      </c>
      <c r="AA1402">
        <v>52.5</v>
      </c>
      <c r="AB1402">
        <v>39.380000000000003</v>
      </c>
      <c r="AC1402">
        <v>19.690000000000001</v>
      </c>
    </row>
    <row r="1403" spans="2:29" ht="15" customHeight="1" x14ac:dyDescent="0.15">
      <c r="B1403">
        <v>4</v>
      </c>
      <c r="C1403" t="s">
        <v>386</v>
      </c>
      <c r="D1403" t="s">
        <v>2795</v>
      </c>
      <c r="E1403">
        <v>4</v>
      </c>
      <c r="F1403" t="s">
        <v>219</v>
      </c>
      <c r="G1403" t="s">
        <v>218</v>
      </c>
      <c r="H1403" t="s">
        <v>911</v>
      </c>
      <c r="I1403">
        <v>21</v>
      </c>
      <c r="J1403" s="21">
        <v>46164</v>
      </c>
      <c r="K1403" s="21">
        <v>46164</v>
      </c>
      <c r="L1403" t="s">
        <v>2799</v>
      </c>
      <c r="M1403" t="s">
        <v>913</v>
      </c>
      <c r="N1403">
        <v>32</v>
      </c>
      <c r="O1403" t="s">
        <v>220</v>
      </c>
      <c r="P1403">
        <v>3</v>
      </c>
      <c r="Q1403">
        <v>1.5</v>
      </c>
      <c r="R1403">
        <v>0.2</v>
      </c>
      <c r="S1403">
        <v>0.6</v>
      </c>
      <c r="T1403">
        <v>0.3</v>
      </c>
      <c r="U1403" t="s">
        <v>84</v>
      </c>
      <c r="V1403" t="s">
        <v>85</v>
      </c>
      <c r="W1403" t="s">
        <v>21</v>
      </c>
      <c r="X1403">
        <v>2</v>
      </c>
      <c r="Y1403" t="s">
        <v>2629</v>
      </c>
      <c r="Z1403" t="s">
        <v>496</v>
      </c>
      <c r="AA1403">
        <v>91.24</v>
      </c>
      <c r="AB1403">
        <v>54.74</v>
      </c>
      <c r="AC1403">
        <v>27.37</v>
      </c>
    </row>
    <row r="1404" spans="2:29" ht="15" customHeight="1" x14ac:dyDescent="0.15">
      <c r="B1404">
        <v>4</v>
      </c>
      <c r="C1404" t="s">
        <v>386</v>
      </c>
      <c r="D1404" t="s">
        <v>2795</v>
      </c>
      <c r="E1404">
        <v>5</v>
      </c>
      <c r="F1404" t="s">
        <v>219</v>
      </c>
      <c r="G1404" t="s">
        <v>244</v>
      </c>
      <c r="H1404" t="s">
        <v>545</v>
      </c>
      <c r="I1404">
        <v>21</v>
      </c>
      <c r="J1404" s="21">
        <v>46164</v>
      </c>
      <c r="K1404" s="21">
        <v>46164</v>
      </c>
      <c r="L1404" t="s">
        <v>2800</v>
      </c>
      <c r="M1404" t="s">
        <v>547</v>
      </c>
      <c r="N1404">
        <v>32</v>
      </c>
      <c r="O1404" t="s">
        <v>202</v>
      </c>
      <c r="P1404">
        <v>3</v>
      </c>
      <c r="Q1404">
        <v>1.5</v>
      </c>
      <c r="R1404">
        <v>0.2</v>
      </c>
      <c r="S1404">
        <v>0.6</v>
      </c>
      <c r="T1404">
        <v>0.3</v>
      </c>
      <c r="U1404" t="s">
        <v>84</v>
      </c>
      <c r="V1404" t="s">
        <v>85</v>
      </c>
      <c r="W1404" t="s">
        <v>21</v>
      </c>
      <c r="X1404">
        <v>2</v>
      </c>
      <c r="Y1404" t="s">
        <v>2629</v>
      </c>
      <c r="Z1404" t="s">
        <v>496</v>
      </c>
      <c r="AA1404">
        <v>97</v>
      </c>
      <c r="AB1404">
        <v>58.2</v>
      </c>
      <c r="AC1404">
        <v>29.1</v>
      </c>
    </row>
    <row r="1405" spans="2:29" ht="15" customHeight="1" x14ac:dyDescent="0.15">
      <c r="B1405">
        <v>4</v>
      </c>
      <c r="C1405" t="s">
        <v>386</v>
      </c>
      <c r="D1405" t="s">
        <v>2795</v>
      </c>
      <c r="E1405">
        <v>6</v>
      </c>
      <c r="F1405" t="s">
        <v>219</v>
      </c>
      <c r="G1405" t="s">
        <v>218</v>
      </c>
      <c r="H1405" t="s">
        <v>2305</v>
      </c>
      <c r="I1405">
        <v>21</v>
      </c>
      <c r="J1405" s="21">
        <v>46164</v>
      </c>
      <c r="K1405" s="21">
        <v>46164</v>
      </c>
      <c r="L1405" t="s">
        <v>2801</v>
      </c>
      <c r="M1405" t="s">
        <v>255</v>
      </c>
      <c r="N1405">
        <v>32</v>
      </c>
      <c r="O1405" t="s">
        <v>202</v>
      </c>
      <c r="P1405">
        <v>3</v>
      </c>
      <c r="Q1405">
        <v>1.5</v>
      </c>
      <c r="R1405">
        <v>0.4</v>
      </c>
      <c r="S1405">
        <v>1.2</v>
      </c>
      <c r="T1405">
        <v>0.6</v>
      </c>
      <c r="U1405" t="s">
        <v>84</v>
      </c>
      <c r="V1405" t="s">
        <v>85</v>
      </c>
      <c r="W1405" t="s">
        <v>21</v>
      </c>
      <c r="X1405">
        <v>2</v>
      </c>
      <c r="Y1405" t="s">
        <v>2629</v>
      </c>
      <c r="Z1405" t="s">
        <v>496</v>
      </c>
      <c r="AA1405">
        <v>37.5</v>
      </c>
      <c r="AB1405">
        <v>45</v>
      </c>
      <c r="AC1405">
        <v>22.5</v>
      </c>
    </row>
    <row r="1406" spans="2:29" ht="15" customHeight="1" x14ac:dyDescent="0.15">
      <c r="B1406">
        <v>4</v>
      </c>
      <c r="C1406" t="s">
        <v>386</v>
      </c>
      <c r="D1406" t="s">
        <v>2795</v>
      </c>
      <c r="E1406">
        <v>7</v>
      </c>
      <c r="F1406" t="s">
        <v>219</v>
      </c>
      <c r="G1406" t="s">
        <v>244</v>
      </c>
      <c r="H1406" t="s">
        <v>1605</v>
      </c>
      <c r="I1406">
        <v>21</v>
      </c>
      <c r="J1406" s="21">
        <v>46164</v>
      </c>
      <c r="K1406" s="21">
        <v>46164</v>
      </c>
      <c r="L1406" t="s">
        <v>2802</v>
      </c>
      <c r="M1406" t="s">
        <v>295</v>
      </c>
      <c r="N1406">
        <v>32</v>
      </c>
      <c r="O1406" t="s">
        <v>220</v>
      </c>
      <c r="P1406">
        <v>3</v>
      </c>
      <c r="Q1406">
        <v>1.5</v>
      </c>
      <c r="R1406">
        <v>0.4</v>
      </c>
      <c r="S1406">
        <v>1.2</v>
      </c>
      <c r="T1406">
        <v>0.6</v>
      </c>
      <c r="U1406" t="s">
        <v>84</v>
      </c>
      <c r="V1406" t="s">
        <v>85</v>
      </c>
      <c r="W1406" t="s">
        <v>21</v>
      </c>
      <c r="X1406">
        <v>2</v>
      </c>
      <c r="Y1406" t="s">
        <v>2629</v>
      </c>
      <c r="Z1406" t="s">
        <v>496</v>
      </c>
      <c r="AA1406">
        <v>77.31</v>
      </c>
      <c r="AB1406">
        <v>92.77</v>
      </c>
      <c r="AC1406">
        <v>46.39</v>
      </c>
    </row>
    <row r="1407" spans="2:29" ht="15" customHeight="1" x14ac:dyDescent="0.15">
      <c r="B1407">
        <v>4</v>
      </c>
      <c r="C1407" t="s">
        <v>386</v>
      </c>
      <c r="D1407" t="s">
        <v>2795</v>
      </c>
      <c r="E1407">
        <v>8</v>
      </c>
      <c r="F1407" t="s">
        <v>219</v>
      </c>
      <c r="G1407" t="s">
        <v>239</v>
      </c>
      <c r="H1407" t="s">
        <v>520</v>
      </c>
      <c r="I1407">
        <v>21</v>
      </c>
      <c r="J1407" s="21">
        <v>46164</v>
      </c>
      <c r="K1407" s="21">
        <v>46164</v>
      </c>
      <c r="L1407" t="s">
        <v>2803</v>
      </c>
      <c r="M1407" t="s">
        <v>1340</v>
      </c>
      <c r="N1407">
        <v>32</v>
      </c>
      <c r="O1407">
        <v>0</v>
      </c>
      <c r="P1407">
        <v>3</v>
      </c>
      <c r="Q1407">
        <v>1.5</v>
      </c>
      <c r="R1407">
        <v>0.5</v>
      </c>
      <c r="S1407">
        <v>1.5</v>
      </c>
      <c r="T1407">
        <v>0.75</v>
      </c>
      <c r="U1407" t="s">
        <v>84</v>
      </c>
      <c r="V1407" t="s">
        <v>85</v>
      </c>
      <c r="W1407" t="s">
        <v>21</v>
      </c>
      <c r="X1407">
        <v>2</v>
      </c>
      <c r="Y1407" t="s">
        <v>2629</v>
      </c>
      <c r="Z1407" t="s">
        <v>496</v>
      </c>
      <c r="AA1407">
        <v>66.92</v>
      </c>
      <c r="AB1407">
        <v>100.38</v>
      </c>
      <c r="AC1407">
        <v>50.19</v>
      </c>
    </row>
    <row r="1408" spans="2:29" ht="15" customHeight="1" x14ac:dyDescent="0.15">
      <c r="B1408">
        <v>4</v>
      </c>
      <c r="C1408" t="s">
        <v>386</v>
      </c>
      <c r="D1408" t="s">
        <v>2795</v>
      </c>
      <c r="E1408">
        <v>9</v>
      </c>
      <c r="F1408" t="s">
        <v>219</v>
      </c>
      <c r="G1408" t="s">
        <v>239</v>
      </c>
      <c r="H1408" t="s">
        <v>1695</v>
      </c>
      <c r="I1408">
        <v>21</v>
      </c>
      <c r="J1408" s="21">
        <v>46164</v>
      </c>
      <c r="K1408" s="21">
        <v>46164</v>
      </c>
      <c r="L1408" t="s">
        <v>2804</v>
      </c>
      <c r="M1408" t="s">
        <v>1697</v>
      </c>
      <c r="N1408">
        <v>32</v>
      </c>
      <c r="O1408" t="s">
        <v>220</v>
      </c>
      <c r="P1408">
        <v>3</v>
      </c>
      <c r="Q1408">
        <v>1.5</v>
      </c>
      <c r="R1408">
        <v>0.5</v>
      </c>
      <c r="S1408">
        <v>1.5</v>
      </c>
      <c r="T1408">
        <v>0.75</v>
      </c>
      <c r="U1408" t="s">
        <v>84</v>
      </c>
      <c r="V1408" t="s">
        <v>85</v>
      </c>
      <c r="W1408" t="s">
        <v>21</v>
      </c>
      <c r="X1408">
        <v>2</v>
      </c>
      <c r="Y1408" t="s">
        <v>2629</v>
      </c>
      <c r="Z1408" t="s">
        <v>496</v>
      </c>
      <c r="AA1408">
        <v>26.7</v>
      </c>
      <c r="AB1408">
        <v>40.049999999999997</v>
      </c>
      <c r="AC1408">
        <v>20.03</v>
      </c>
    </row>
    <row r="1409" spans="2:29" ht="15" customHeight="1" x14ac:dyDescent="0.15">
      <c r="B1409">
        <v>4</v>
      </c>
      <c r="C1409" t="s">
        <v>386</v>
      </c>
      <c r="D1409" t="s">
        <v>2805</v>
      </c>
      <c r="E1409">
        <v>1</v>
      </c>
      <c r="F1409" t="s">
        <v>219</v>
      </c>
      <c r="G1409" t="s">
        <v>231</v>
      </c>
      <c r="H1409" t="s">
        <v>231</v>
      </c>
      <c r="I1409">
        <v>21</v>
      </c>
      <c r="J1409" s="21">
        <v>46164</v>
      </c>
      <c r="K1409" s="21">
        <v>46165</v>
      </c>
      <c r="L1409" t="s">
        <v>2806</v>
      </c>
      <c r="M1409" t="s">
        <v>2648</v>
      </c>
      <c r="N1409">
        <v>57</v>
      </c>
      <c r="O1409" t="s">
        <v>220</v>
      </c>
      <c r="P1409">
        <v>2</v>
      </c>
      <c r="Q1409">
        <v>1.25</v>
      </c>
      <c r="R1409">
        <v>0.15</v>
      </c>
      <c r="S1409">
        <v>0.3</v>
      </c>
      <c r="T1409">
        <v>0.19</v>
      </c>
      <c r="U1409" t="s">
        <v>60</v>
      </c>
      <c r="V1409" t="s">
        <v>61</v>
      </c>
      <c r="W1409" t="s">
        <v>21</v>
      </c>
      <c r="X1409">
        <v>1.6</v>
      </c>
      <c r="Y1409" t="s">
        <v>2746</v>
      </c>
      <c r="Z1409" t="s">
        <v>496</v>
      </c>
      <c r="AA1409">
        <v>16.61</v>
      </c>
      <c r="AB1409">
        <v>4.9800000000000004</v>
      </c>
      <c r="AC1409">
        <v>3.11</v>
      </c>
    </row>
    <row r="1410" spans="2:29" ht="15" customHeight="1" x14ac:dyDescent="0.15">
      <c r="B1410">
        <v>4</v>
      </c>
      <c r="C1410" t="s">
        <v>386</v>
      </c>
      <c r="D1410" t="s">
        <v>2805</v>
      </c>
      <c r="E1410">
        <v>2</v>
      </c>
      <c r="F1410" t="s">
        <v>219</v>
      </c>
      <c r="G1410" t="s">
        <v>218</v>
      </c>
      <c r="H1410" t="s">
        <v>2305</v>
      </c>
      <c r="I1410">
        <v>21</v>
      </c>
      <c r="J1410" s="21">
        <v>46164</v>
      </c>
      <c r="K1410" s="21">
        <v>46165</v>
      </c>
      <c r="L1410" t="s">
        <v>2807</v>
      </c>
      <c r="M1410" t="s">
        <v>255</v>
      </c>
      <c r="N1410">
        <v>57</v>
      </c>
      <c r="O1410" t="s">
        <v>202</v>
      </c>
      <c r="P1410">
        <v>2</v>
      </c>
      <c r="Q1410">
        <v>1.25</v>
      </c>
      <c r="R1410">
        <v>0.4</v>
      </c>
      <c r="S1410">
        <v>0.8</v>
      </c>
      <c r="T1410">
        <v>0.5</v>
      </c>
      <c r="U1410" t="s">
        <v>60</v>
      </c>
      <c r="V1410" t="s">
        <v>61</v>
      </c>
      <c r="W1410" t="s">
        <v>21</v>
      </c>
      <c r="X1410">
        <v>1.6</v>
      </c>
      <c r="Y1410" t="s">
        <v>2746</v>
      </c>
      <c r="Z1410" t="s">
        <v>496</v>
      </c>
      <c r="AA1410">
        <v>37.5</v>
      </c>
      <c r="AB1410">
        <v>30</v>
      </c>
      <c r="AC1410">
        <v>18.75</v>
      </c>
    </row>
    <row r="1411" spans="2:29" ht="15" customHeight="1" x14ac:dyDescent="0.15">
      <c r="B1411">
        <v>4</v>
      </c>
      <c r="C1411" t="s">
        <v>386</v>
      </c>
      <c r="D1411" t="s">
        <v>2805</v>
      </c>
      <c r="E1411">
        <v>3</v>
      </c>
      <c r="F1411" t="s">
        <v>219</v>
      </c>
      <c r="G1411" t="s">
        <v>244</v>
      </c>
      <c r="H1411" t="s">
        <v>1605</v>
      </c>
      <c r="I1411">
        <v>21</v>
      </c>
      <c r="J1411" s="21">
        <v>46164</v>
      </c>
      <c r="K1411" s="21">
        <v>46165</v>
      </c>
      <c r="L1411" t="s">
        <v>2808</v>
      </c>
      <c r="M1411" t="s">
        <v>295</v>
      </c>
      <c r="N1411">
        <v>57</v>
      </c>
      <c r="O1411" t="s">
        <v>220</v>
      </c>
      <c r="P1411">
        <v>1</v>
      </c>
      <c r="Q1411">
        <v>0.63</v>
      </c>
      <c r="R1411">
        <v>0.4</v>
      </c>
      <c r="S1411">
        <v>0.4</v>
      </c>
      <c r="T1411">
        <v>0.25</v>
      </c>
      <c r="U1411" t="s">
        <v>60</v>
      </c>
      <c r="V1411" t="s">
        <v>61</v>
      </c>
      <c r="W1411" t="s">
        <v>21</v>
      </c>
      <c r="X1411">
        <v>1.6</v>
      </c>
      <c r="Y1411" t="s">
        <v>2746</v>
      </c>
      <c r="Z1411" t="s">
        <v>496</v>
      </c>
      <c r="AA1411">
        <v>77.31</v>
      </c>
      <c r="AB1411">
        <v>30.92</v>
      </c>
      <c r="AC1411">
        <v>19.329999999999998</v>
      </c>
    </row>
    <row r="1412" spans="2:29" ht="15" customHeight="1" x14ac:dyDescent="0.15">
      <c r="B1412">
        <v>4</v>
      </c>
      <c r="C1412" t="s">
        <v>386</v>
      </c>
      <c r="D1412" t="s">
        <v>2805</v>
      </c>
      <c r="E1412">
        <v>4</v>
      </c>
      <c r="F1412" t="s">
        <v>219</v>
      </c>
      <c r="G1412" t="s">
        <v>244</v>
      </c>
      <c r="H1412" t="s">
        <v>2519</v>
      </c>
      <c r="I1412">
        <v>21</v>
      </c>
      <c r="J1412" s="21">
        <v>46164</v>
      </c>
      <c r="K1412" s="21">
        <v>46165</v>
      </c>
      <c r="L1412" t="s">
        <v>2809</v>
      </c>
      <c r="M1412" t="s">
        <v>2521</v>
      </c>
      <c r="N1412">
        <v>57</v>
      </c>
      <c r="O1412" t="s">
        <v>220</v>
      </c>
      <c r="P1412">
        <v>1</v>
      </c>
      <c r="Q1412">
        <v>0.63</v>
      </c>
      <c r="R1412">
        <v>0.2</v>
      </c>
      <c r="S1412">
        <v>0.2</v>
      </c>
      <c r="T1412">
        <v>0.13</v>
      </c>
      <c r="U1412" t="s">
        <v>60</v>
      </c>
      <c r="V1412" t="s">
        <v>61</v>
      </c>
      <c r="W1412" t="s">
        <v>21</v>
      </c>
      <c r="X1412">
        <v>1.6</v>
      </c>
      <c r="Y1412" t="s">
        <v>2746</v>
      </c>
      <c r="Z1412" t="s">
        <v>496</v>
      </c>
      <c r="AA1412">
        <v>238</v>
      </c>
      <c r="AB1412">
        <v>47.6</v>
      </c>
      <c r="AC1412">
        <v>29.75</v>
      </c>
    </row>
    <row r="1413" spans="2:29" ht="15" customHeight="1" x14ac:dyDescent="0.15">
      <c r="B1413">
        <v>4</v>
      </c>
      <c r="C1413" t="s">
        <v>386</v>
      </c>
      <c r="D1413" t="s">
        <v>2805</v>
      </c>
      <c r="E1413">
        <v>5</v>
      </c>
      <c r="F1413" t="s">
        <v>219</v>
      </c>
      <c r="G1413" t="s">
        <v>244</v>
      </c>
      <c r="H1413" t="s">
        <v>545</v>
      </c>
      <c r="I1413">
        <v>21</v>
      </c>
      <c r="J1413" s="21">
        <v>46164</v>
      </c>
      <c r="K1413" s="21">
        <v>46165</v>
      </c>
      <c r="L1413" t="s">
        <v>2810</v>
      </c>
      <c r="M1413" t="s">
        <v>547</v>
      </c>
      <c r="N1413">
        <v>57</v>
      </c>
      <c r="O1413" t="s">
        <v>202</v>
      </c>
      <c r="P1413">
        <v>2</v>
      </c>
      <c r="Q1413">
        <v>1.25</v>
      </c>
      <c r="R1413">
        <v>0.2</v>
      </c>
      <c r="S1413">
        <v>0.4</v>
      </c>
      <c r="T1413">
        <v>0.25</v>
      </c>
      <c r="U1413" t="s">
        <v>60</v>
      </c>
      <c r="V1413" t="s">
        <v>61</v>
      </c>
      <c r="W1413" t="s">
        <v>21</v>
      </c>
      <c r="X1413">
        <v>1.6</v>
      </c>
      <c r="Y1413" t="s">
        <v>2746</v>
      </c>
      <c r="Z1413" t="s">
        <v>496</v>
      </c>
      <c r="AA1413">
        <v>97</v>
      </c>
      <c r="AB1413">
        <v>38.799999999999997</v>
      </c>
      <c r="AC1413">
        <v>24.25</v>
      </c>
    </row>
    <row r="1414" spans="2:29" ht="15" customHeight="1" x14ac:dyDescent="0.15">
      <c r="B1414">
        <v>4</v>
      </c>
      <c r="C1414" t="s">
        <v>386</v>
      </c>
      <c r="D1414" t="s">
        <v>2805</v>
      </c>
      <c r="E1414">
        <v>6</v>
      </c>
      <c r="F1414" t="s">
        <v>219</v>
      </c>
      <c r="G1414" t="s">
        <v>218</v>
      </c>
      <c r="H1414" t="s">
        <v>400</v>
      </c>
      <c r="I1414">
        <v>21</v>
      </c>
      <c r="J1414" s="21">
        <v>46164</v>
      </c>
      <c r="K1414" s="21">
        <v>46165</v>
      </c>
      <c r="L1414" t="s">
        <v>2811</v>
      </c>
      <c r="M1414" t="s">
        <v>2362</v>
      </c>
      <c r="N1414">
        <v>57</v>
      </c>
      <c r="O1414" t="s">
        <v>220</v>
      </c>
      <c r="P1414">
        <v>2</v>
      </c>
      <c r="Q1414">
        <v>1.25</v>
      </c>
      <c r="R1414">
        <v>0.25</v>
      </c>
      <c r="S1414">
        <v>0.5</v>
      </c>
      <c r="T1414">
        <v>0.31</v>
      </c>
      <c r="U1414" t="s">
        <v>60</v>
      </c>
      <c r="V1414" t="s">
        <v>61</v>
      </c>
      <c r="W1414" t="s">
        <v>21</v>
      </c>
      <c r="X1414">
        <v>1.6</v>
      </c>
      <c r="Y1414" t="s">
        <v>2746</v>
      </c>
      <c r="Z1414" t="s">
        <v>496</v>
      </c>
      <c r="AA1414">
        <v>52.5</v>
      </c>
      <c r="AB1414">
        <v>26.25</v>
      </c>
      <c r="AC1414">
        <v>16.41</v>
      </c>
    </row>
    <row r="1415" spans="2:29" ht="15" customHeight="1" x14ac:dyDescent="0.15">
      <c r="B1415">
        <v>4</v>
      </c>
      <c r="C1415" t="s">
        <v>386</v>
      </c>
      <c r="D1415" t="s">
        <v>2805</v>
      </c>
      <c r="E1415">
        <v>7</v>
      </c>
      <c r="F1415" t="s">
        <v>219</v>
      </c>
      <c r="G1415" t="s">
        <v>218</v>
      </c>
      <c r="H1415" t="s">
        <v>911</v>
      </c>
      <c r="I1415">
        <v>21</v>
      </c>
      <c r="J1415" s="21">
        <v>46164</v>
      </c>
      <c r="K1415" s="21">
        <v>46165</v>
      </c>
      <c r="L1415" t="s">
        <v>2812</v>
      </c>
      <c r="M1415" t="s">
        <v>913</v>
      </c>
      <c r="N1415">
        <v>57</v>
      </c>
      <c r="O1415" t="s">
        <v>220</v>
      </c>
      <c r="P1415">
        <v>2</v>
      </c>
      <c r="Q1415">
        <v>1.25</v>
      </c>
      <c r="R1415">
        <v>0.2</v>
      </c>
      <c r="S1415">
        <v>0.4</v>
      </c>
      <c r="T1415">
        <v>0.25</v>
      </c>
      <c r="U1415" t="s">
        <v>60</v>
      </c>
      <c r="V1415" t="s">
        <v>61</v>
      </c>
      <c r="W1415" t="s">
        <v>21</v>
      </c>
      <c r="X1415">
        <v>1.6</v>
      </c>
      <c r="Y1415" t="s">
        <v>2746</v>
      </c>
      <c r="Z1415" t="s">
        <v>496</v>
      </c>
      <c r="AA1415">
        <v>91.24</v>
      </c>
      <c r="AB1415">
        <v>36.5</v>
      </c>
      <c r="AC1415">
        <v>22.81</v>
      </c>
    </row>
    <row r="1416" spans="2:29" ht="15" customHeight="1" x14ac:dyDescent="0.15">
      <c r="B1416">
        <v>4</v>
      </c>
      <c r="C1416" t="s">
        <v>386</v>
      </c>
      <c r="D1416" t="s">
        <v>2805</v>
      </c>
      <c r="E1416">
        <v>8</v>
      </c>
      <c r="F1416" t="s">
        <v>219</v>
      </c>
      <c r="G1416" t="s">
        <v>218</v>
      </c>
      <c r="H1416" t="s">
        <v>2714</v>
      </c>
      <c r="I1416">
        <v>21</v>
      </c>
      <c r="J1416" s="21">
        <v>46164</v>
      </c>
      <c r="K1416" s="21">
        <v>46165</v>
      </c>
      <c r="L1416" t="s">
        <v>2813</v>
      </c>
      <c r="M1416" t="s">
        <v>2716</v>
      </c>
      <c r="N1416">
        <v>57</v>
      </c>
      <c r="O1416" t="s">
        <v>220</v>
      </c>
      <c r="P1416">
        <v>2</v>
      </c>
      <c r="Q1416">
        <v>1.25</v>
      </c>
      <c r="R1416">
        <v>0.2</v>
      </c>
      <c r="S1416">
        <v>0.4</v>
      </c>
      <c r="T1416">
        <v>0.25</v>
      </c>
      <c r="U1416" t="s">
        <v>60</v>
      </c>
      <c r="V1416" t="s">
        <v>61</v>
      </c>
      <c r="W1416" t="s">
        <v>21</v>
      </c>
      <c r="X1416">
        <v>1.6</v>
      </c>
      <c r="Y1416" t="s">
        <v>2746</v>
      </c>
      <c r="Z1416" t="s">
        <v>496</v>
      </c>
      <c r="AA1416">
        <v>50</v>
      </c>
      <c r="AB1416">
        <v>20</v>
      </c>
      <c r="AC1416">
        <v>12.5</v>
      </c>
    </row>
    <row r="1417" spans="2:29" ht="15" customHeight="1" x14ac:dyDescent="0.15">
      <c r="B1417">
        <v>4</v>
      </c>
      <c r="C1417" t="s">
        <v>386</v>
      </c>
      <c r="D1417" t="s">
        <v>2805</v>
      </c>
      <c r="E1417">
        <v>9</v>
      </c>
      <c r="F1417" t="s">
        <v>219</v>
      </c>
      <c r="G1417" t="s">
        <v>218</v>
      </c>
      <c r="H1417" t="s">
        <v>485</v>
      </c>
      <c r="I1417">
        <v>21</v>
      </c>
      <c r="J1417" s="21">
        <v>46164</v>
      </c>
      <c r="K1417" s="21">
        <v>46165</v>
      </c>
      <c r="L1417" t="s">
        <v>2814</v>
      </c>
      <c r="M1417" t="s">
        <v>1316</v>
      </c>
      <c r="N1417">
        <v>57</v>
      </c>
      <c r="O1417" t="s">
        <v>220</v>
      </c>
      <c r="P1417">
        <v>2</v>
      </c>
      <c r="Q1417">
        <v>1.25</v>
      </c>
      <c r="R1417">
        <v>0.5</v>
      </c>
      <c r="S1417">
        <v>1</v>
      </c>
      <c r="T1417">
        <v>0.63</v>
      </c>
      <c r="U1417" t="s">
        <v>60</v>
      </c>
      <c r="V1417" t="s">
        <v>61</v>
      </c>
      <c r="W1417" t="s">
        <v>21</v>
      </c>
      <c r="X1417">
        <v>1.6</v>
      </c>
      <c r="Y1417" t="s">
        <v>2746</v>
      </c>
      <c r="Z1417" t="s">
        <v>496</v>
      </c>
      <c r="AA1417">
        <v>92.82</v>
      </c>
      <c r="AB1417">
        <v>92.82</v>
      </c>
      <c r="AC1417">
        <v>58.01</v>
      </c>
    </row>
    <row r="1418" spans="2:29" ht="15" customHeight="1" x14ac:dyDescent="0.15">
      <c r="B1418">
        <v>4</v>
      </c>
      <c r="C1418" t="s">
        <v>386</v>
      </c>
      <c r="D1418" t="s">
        <v>2805</v>
      </c>
      <c r="E1418">
        <v>10</v>
      </c>
      <c r="F1418" t="s">
        <v>219</v>
      </c>
      <c r="G1418" t="s">
        <v>239</v>
      </c>
      <c r="H1418" t="s">
        <v>520</v>
      </c>
      <c r="I1418">
        <v>21</v>
      </c>
      <c r="J1418" s="21">
        <v>46164</v>
      </c>
      <c r="K1418" s="21">
        <v>46165</v>
      </c>
      <c r="L1418" t="s">
        <v>2815</v>
      </c>
      <c r="M1418" t="s">
        <v>1340</v>
      </c>
      <c r="N1418">
        <v>57</v>
      </c>
      <c r="O1418" t="s">
        <v>202</v>
      </c>
      <c r="P1418">
        <v>2</v>
      </c>
      <c r="Q1418">
        <v>1.25</v>
      </c>
      <c r="R1418">
        <v>0.5</v>
      </c>
      <c r="S1418">
        <v>1</v>
      </c>
      <c r="T1418">
        <v>0.63</v>
      </c>
      <c r="U1418" t="s">
        <v>60</v>
      </c>
      <c r="V1418" t="s">
        <v>61</v>
      </c>
      <c r="W1418" t="s">
        <v>21</v>
      </c>
      <c r="X1418">
        <v>1.6</v>
      </c>
      <c r="Y1418" t="s">
        <v>2746</v>
      </c>
      <c r="Z1418" t="s">
        <v>496</v>
      </c>
      <c r="AA1418">
        <v>66.92</v>
      </c>
      <c r="AB1418">
        <v>66.92</v>
      </c>
      <c r="AC1418">
        <v>41.83</v>
      </c>
    </row>
    <row r="1419" spans="2:29" ht="15" customHeight="1" x14ac:dyDescent="0.15">
      <c r="B1419">
        <v>4</v>
      </c>
      <c r="C1419" t="s">
        <v>386</v>
      </c>
      <c r="D1419" t="s">
        <v>2816</v>
      </c>
      <c r="E1419">
        <v>1</v>
      </c>
      <c r="F1419" t="s">
        <v>219</v>
      </c>
      <c r="G1419" t="s">
        <v>231</v>
      </c>
      <c r="H1419" t="s">
        <v>231</v>
      </c>
      <c r="I1419">
        <v>21</v>
      </c>
      <c r="J1419" s="21">
        <v>46165</v>
      </c>
      <c r="K1419" s="21">
        <v>46165</v>
      </c>
      <c r="L1419" t="s">
        <v>2817</v>
      </c>
      <c r="M1419" t="s">
        <v>2648</v>
      </c>
      <c r="N1419">
        <v>57</v>
      </c>
      <c r="O1419" t="s">
        <v>220</v>
      </c>
      <c r="P1419">
        <v>1</v>
      </c>
      <c r="Q1419">
        <v>0.63</v>
      </c>
      <c r="R1419">
        <v>0.2</v>
      </c>
      <c r="S1419">
        <v>0.2</v>
      </c>
      <c r="T1419">
        <v>0.13</v>
      </c>
      <c r="U1419" t="s">
        <v>60</v>
      </c>
      <c r="V1419" t="s">
        <v>61</v>
      </c>
      <c r="W1419" t="s">
        <v>21</v>
      </c>
      <c r="X1419">
        <v>1.6</v>
      </c>
      <c r="Y1419" t="s">
        <v>2629</v>
      </c>
      <c r="Z1419" t="s">
        <v>496</v>
      </c>
      <c r="AA1419">
        <v>16.61</v>
      </c>
      <c r="AB1419">
        <v>3.32</v>
      </c>
      <c r="AC1419">
        <v>2.08</v>
      </c>
    </row>
    <row r="1420" spans="2:29" ht="15" customHeight="1" x14ac:dyDescent="0.15">
      <c r="B1420">
        <v>4</v>
      </c>
      <c r="C1420" t="s">
        <v>386</v>
      </c>
      <c r="D1420" t="s">
        <v>2816</v>
      </c>
      <c r="E1420">
        <v>2</v>
      </c>
      <c r="F1420" t="s">
        <v>219</v>
      </c>
      <c r="G1420" t="s">
        <v>439</v>
      </c>
      <c r="H1420" t="s">
        <v>1946</v>
      </c>
      <c r="I1420">
        <v>21</v>
      </c>
      <c r="J1420" s="21">
        <v>46165</v>
      </c>
      <c r="K1420" s="21">
        <v>46165</v>
      </c>
      <c r="L1420" t="s">
        <v>2818</v>
      </c>
      <c r="M1420" t="s">
        <v>1948</v>
      </c>
      <c r="N1420">
        <v>57</v>
      </c>
      <c r="O1420" t="s">
        <v>220</v>
      </c>
      <c r="P1420">
        <v>1</v>
      </c>
      <c r="Q1420">
        <v>0.63</v>
      </c>
      <c r="R1420">
        <v>0.75</v>
      </c>
      <c r="S1420">
        <v>0.75</v>
      </c>
      <c r="T1420">
        <v>0.47</v>
      </c>
      <c r="U1420" t="s">
        <v>60</v>
      </c>
      <c r="V1420" t="s">
        <v>61</v>
      </c>
      <c r="W1420" t="s">
        <v>21</v>
      </c>
      <c r="X1420">
        <v>1.6</v>
      </c>
      <c r="Y1420" t="s">
        <v>2629</v>
      </c>
      <c r="Z1420" t="s">
        <v>496</v>
      </c>
      <c r="AA1420">
        <v>190.68</v>
      </c>
      <c r="AB1420">
        <v>143.01</v>
      </c>
      <c r="AC1420">
        <v>89.38</v>
      </c>
    </row>
    <row r="1421" spans="2:29" ht="15" customHeight="1" x14ac:dyDescent="0.15">
      <c r="B1421">
        <v>4</v>
      </c>
      <c r="C1421" t="s">
        <v>386</v>
      </c>
      <c r="D1421" t="s">
        <v>2819</v>
      </c>
      <c r="E1421">
        <v>1</v>
      </c>
      <c r="F1421" t="s">
        <v>219</v>
      </c>
      <c r="G1421" t="s">
        <v>231</v>
      </c>
      <c r="H1421" t="s">
        <v>231</v>
      </c>
      <c r="I1421">
        <v>21</v>
      </c>
      <c r="J1421" s="21">
        <v>46165</v>
      </c>
      <c r="K1421" s="21">
        <v>46165</v>
      </c>
      <c r="L1421" t="s">
        <v>2820</v>
      </c>
      <c r="M1421" t="s">
        <v>2648</v>
      </c>
      <c r="N1421">
        <v>168</v>
      </c>
      <c r="O1421" t="s">
        <v>220</v>
      </c>
      <c r="P1421">
        <v>3</v>
      </c>
      <c r="Q1421">
        <v>0.75</v>
      </c>
      <c r="R1421">
        <v>0.15</v>
      </c>
      <c r="S1421">
        <v>0.45</v>
      </c>
      <c r="T1421">
        <v>0.11</v>
      </c>
      <c r="U1421" t="s">
        <v>19</v>
      </c>
      <c r="V1421" t="s">
        <v>20</v>
      </c>
      <c r="W1421" t="s">
        <v>21</v>
      </c>
      <c r="X1421">
        <v>4</v>
      </c>
      <c r="Y1421" t="s">
        <v>2746</v>
      </c>
      <c r="Z1421" t="s">
        <v>496</v>
      </c>
      <c r="AA1421">
        <v>16.61</v>
      </c>
      <c r="AB1421">
        <v>7.47</v>
      </c>
      <c r="AC1421">
        <v>1.87</v>
      </c>
    </row>
    <row r="1422" spans="2:29" ht="15" customHeight="1" x14ac:dyDescent="0.15">
      <c r="B1422">
        <v>4</v>
      </c>
      <c r="C1422" t="s">
        <v>386</v>
      </c>
      <c r="D1422" t="s">
        <v>2819</v>
      </c>
      <c r="E1422">
        <v>2</v>
      </c>
      <c r="F1422" t="s">
        <v>219</v>
      </c>
      <c r="G1422" t="s">
        <v>218</v>
      </c>
      <c r="H1422" t="s">
        <v>2305</v>
      </c>
      <c r="I1422">
        <v>21</v>
      </c>
      <c r="J1422" s="21">
        <v>46165</v>
      </c>
      <c r="K1422" s="21">
        <v>46165</v>
      </c>
      <c r="L1422" t="s">
        <v>2821</v>
      </c>
      <c r="M1422" t="s">
        <v>255</v>
      </c>
      <c r="N1422">
        <v>168</v>
      </c>
      <c r="O1422" t="s">
        <v>202</v>
      </c>
      <c r="P1422">
        <v>3</v>
      </c>
      <c r="Q1422">
        <v>0.75</v>
      </c>
      <c r="R1422">
        <v>0.4</v>
      </c>
      <c r="S1422">
        <v>1.2</v>
      </c>
      <c r="T1422">
        <v>0.3</v>
      </c>
      <c r="U1422" t="s">
        <v>19</v>
      </c>
      <c r="V1422" t="s">
        <v>20</v>
      </c>
      <c r="W1422" t="s">
        <v>21</v>
      </c>
      <c r="X1422">
        <v>4</v>
      </c>
      <c r="Y1422" t="s">
        <v>2746</v>
      </c>
      <c r="Z1422" t="s">
        <v>496</v>
      </c>
      <c r="AA1422">
        <v>37.5</v>
      </c>
      <c r="AB1422">
        <v>45</v>
      </c>
      <c r="AC1422">
        <v>11.25</v>
      </c>
    </row>
    <row r="1423" spans="2:29" ht="15" customHeight="1" x14ac:dyDescent="0.15">
      <c r="B1423">
        <v>4</v>
      </c>
      <c r="C1423" t="s">
        <v>386</v>
      </c>
      <c r="D1423" t="s">
        <v>2819</v>
      </c>
      <c r="E1423">
        <v>3</v>
      </c>
      <c r="F1423" t="s">
        <v>219</v>
      </c>
      <c r="G1423" t="s">
        <v>239</v>
      </c>
      <c r="H1423" t="s">
        <v>520</v>
      </c>
      <c r="I1423">
        <v>21</v>
      </c>
      <c r="J1423" s="21">
        <v>46165</v>
      </c>
      <c r="K1423" s="21">
        <v>46165</v>
      </c>
      <c r="L1423" t="s">
        <v>2822</v>
      </c>
      <c r="M1423" t="s">
        <v>1340</v>
      </c>
      <c r="N1423">
        <v>168</v>
      </c>
      <c r="O1423" t="s">
        <v>202</v>
      </c>
      <c r="P1423">
        <v>3</v>
      </c>
      <c r="Q1423">
        <v>0.75</v>
      </c>
      <c r="R1423">
        <v>0.5</v>
      </c>
      <c r="S1423">
        <v>1.5</v>
      </c>
      <c r="T1423">
        <v>0.38</v>
      </c>
      <c r="U1423" t="s">
        <v>19</v>
      </c>
      <c r="V1423" t="s">
        <v>20</v>
      </c>
      <c r="W1423" t="s">
        <v>21</v>
      </c>
      <c r="X1423">
        <v>4</v>
      </c>
      <c r="Y1423" t="s">
        <v>2746</v>
      </c>
      <c r="Z1423" t="s">
        <v>496</v>
      </c>
      <c r="AA1423">
        <v>66.92</v>
      </c>
      <c r="AB1423">
        <v>100.38</v>
      </c>
      <c r="AC1423">
        <v>25.1</v>
      </c>
    </row>
    <row r="1424" spans="2:29" ht="15" customHeight="1" x14ac:dyDescent="0.15">
      <c r="B1424">
        <v>4</v>
      </c>
      <c r="C1424" t="s">
        <v>386</v>
      </c>
      <c r="D1424" t="s">
        <v>2819</v>
      </c>
      <c r="E1424">
        <v>4</v>
      </c>
      <c r="F1424" t="s">
        <v>219</v>
      </c>
      <c r="G1424" t="s">
        <v>244</v>
      </c>
      <c r="H1424" t="s">
        <v>1605</v>
      </c>
      <c r="I1424">
        <v>21</v>
      </c>
      <c r="J1424" s="21">
        <v>46165</v>
      </c>
      <c r="K1424" s="21">
        <v>46165</v>
      </c>
      <c r="L1424" t="s">
        <v>2823</v>
      </c>
      <c r="M1424" t="s">
        <v>295</v>
      </c>
      <c r="N1424">
        <v>168</v>
      </c>
      <c r="O1424" t="s">
        <v>220</v>
      </c>
      <c r="P1424">
        <v>3</v>
      </c>
      <c r="Q1424">
        <v>0.75</v>
      </c>
      <c r="R1424">
        <v>0.4</v>
      </c>
      <c r="S1424">
        <v>1.2</v>
      </c>
      <c r="T1424">
        <v>0.3</v>
      </c>
      <c r="U1424" t="s">
        <v>19</v>
      </c>
      <c r="V1424" t="s">
        <v>20</v>
      </c>
      <c r="W1424" t="s">
        <v>21</v>
      </c>
      <c r="X1424">
        <v>4</v>
      </c>
      <c r="Y1424" t="s">
        <v>2746</v>
      </c>
      <c r="Z1424" t="s">
        <v>496</v>
      </c>
      <c r="AA1424">
        <v>77.31</v>
      </c>
      <c r="AB1424">
        <v>92.77</v>
      </c>
      <c r="AC1424">
        <v>23.19</v>
      </c>
    </row>
    <row r="1425" spans="2:29" ht="15" customHeight="1" x14ac:dyDescent="0.15">
      <c r="B1425">
        <v>4</v>
      </c>
      <c r="C1425" t="s">
        <v>386</v>
      </c>
      <c r="D1425" t="s">
        <v>2819</v>
      </c>
      <c r="E1425">
        <v>5</v>
      </c>
      <c r="F1425" t="s">
        <v>201</v>
      </c>
      <c r="G1425" t="s">
        <v>200</v>
      </c>
      <c r="H1425" t="s">
        <v>1132</v>
      </c>
      <c r="I1425">
        <v>21</v>
      </c>
      <c r="J1425" s="21">
        <v>46165</v>
      </c>
      <c r="K1425" s="21">
        <v>46165</v>
      </c>
      <c r="L1425" t="s">
        <v>2824</v>
      </c>
      <c r="M1425" t="s">
        <v>2463</v>
      </c>
      <c r="N1425">
        <v>168</v>
      </c>
      <c r="O1425" t="s">
        <v>202</v>
      </c>
      <c r="P1425">
        <v>3</v>
      </c>
      <c r="Q1425">
        <v>0.75</v>
      </c>
      <c r="R1425">
        <v>2</v>
      </c>
      <c r="S1425">
        <v>6</v>
      </c>
      <c r="T1425">
        <v>1.5</v>
      </c>
      <c r="U1425" t="s">
        <v>19</v>
      </c>
      <c r="V1425" t="s">
        <v>20</v>
      </c>
      <c r="W1425" t="s">
        <v>21</v>
      </c>
      <c r="X1425">
        <v>4</v>
      </c>
      <c r="Y1425" t="s">
        <v>2746</v>
      </c>
      <c r="Z1425" t="s">
        <v>496</v>
      </c>
      <c r="AA1425">
        <v>5.0999999999999996</v>
      </c>
      <c r="AB1425">
        <v>30.6</v>
      </c>
      <c r="AC1425">
        <v>7.65</v>
      </c>
    </row>
    <row r="1426" spans="2:29" ht="15" customHeight="1" x14ac:dyDescent="0.15">
      <c r="B1426">
        <v>4</v>
      </c>
      <c r="C1426" t="s">
        <v>386</v>
      </c>
      <c r="D1426" t="s">
        <v>2819</v>
      </c>
      <c r="E1426">
        <v>6</v>
      </c>
      <c r="F1426" t="s">
        <v>219</v>
      </c>
      <c r="G1426" t="s">
        <v>218</v>
      </c>
      <c r="H1426" t="s">
        <v>2714</v>
      </c>
      <c r="I1426">
        <v>21</v>
      </c>
      <c r="J1426" s="21">
        <v>46165</v>
      </c>
      <c r="K1426" s="21">
        <v>46165</v>
      </c>
      <c r="L1426" t="s">
        <v>2825</v>
      </c>
      <c r="M1426" t="s">
        <v>2716</v>
      </c>
      <c r="N1426">
        <v>168</v>
      </c>
      <c r="O1426" t="s">
        <v>220</v>
      </c>
      <c r="P1426">
        <v>3</v>
      </c>
      <c r="Q1426">
        <v>0.75</v>
      </c>
      <c r="R1426">
        <v>0.2</v>
      </c>
      <c r="S1426">
        <v>0.6</v>
      </c>
      <c r="T1426">
        <v>0.15</v>
      </c>
      <c r="U1426" t="s">
        <v>19</v>
      </c>
      <c r="V1426" t="s">
        <v>20</v>
      </c>
      <c r="W1426" t="s">
        <v>21</v>
      </c>
      <c r="X1426">
        <v>4</v>
      </c>
      <c r="Y1426" t="s">
        <v>2746</v>
      </c>
      <c r="Z1426" t="s">
        <v>496</v>
      </c>
      <c r="AA1426">
        <v>50</v>
      </c>
      <c r="AB1426">
        <v>30</v>
      </c>
      <c r="AC1426">
        <v>7.5</v>
      </c>
    </row>
    <row r="1427" spans="2:29" ht="15" customHeight="1" x14ac:dyDescent="0.15">
      <c r="B1427">
        <v>4</v>
      </c>
      <c r="C1427" t="s">
        <v>386</v>
      </c>
      <c r="D1427" t="s">
        <v>2826</v>
      </c>
      <c r="E1427">
        <v>1</v>
      </c>
      <c r="F1427" t="s">
        <v>219</v>
      </c>
      <c r="G1427" t="s">
        <v>223</v>
      </c>
      <c r="H1427" t="s">
        <v>987</v>
      </c>
      <c r="I1427">
        <v>22</v>
      </c>
      <c r="J1427" s="21">
        <v>46169</v>
      </c>
      <c r="K1427" s="21">
        <v>46169</v>
      </c>
      <c r="L1427" t="s">
        <v>2827</v>
      </c>
      <c r="M1427" t="s">
        <v>222</v>
      </c>
      <c r="N1427" s="22">
        <v>46169</v>
      </c>
      <c r="O1427" t="s">
        <v>220</v>
      </c>
      <c r="P1427">
        <v>1</v>
      </c>
      <c r="Q1427">
        <v>1</v>
      </c>
      <c r="R1427">
        <v>20</v>
      </c>
      <c r="S1427">
        <v>20</v>
      </c>
      <c r="T1427">
        <v>20</v>
      </c>
      <c r="U1427" t="s">
        <v>139</v>
      </c>
      <c r="V1427" t="s">
        <v>140</v>
      </c>
      <c r="W1427" t="s">
        <v>75</v>
      </c>
      <c r="X1427">
        <v>1</v>
      </c>
      <c r="Y1427" t="s">
        <v>2455</v>
      </c>
      <c r="Z1427" t="s">
        <v>496</v>
      </c>
      <c r="AA1427">
        <v>13.47</v>
      </c>
      <c r="AB1427">
        <v>269.39999999999998</v>
      </c>
      <c r="AC1427">
        <v>269.39999999999998</v>
      </c>
    </row>
    <row r="1428" spans="2:29" ht="15" customHeight="1" x14ac:dyDescent="0.15">
      <c r="B1428">
        <v>4</v>
      </c>
      <c r="C1428" t="s">
        <v>386</v>
      </c>
      <c r="D1428" t="s">
        <v>2826</v>
      </c>
      <c r="E1428">
        <v>2</v>
      </c>
      <c r="F1428" t="s">
        <v>219</v>
      </c>
      <c r="G1428" t="s">
        <v>239</v>
      </c>
      <c r="H1428" t="s">
        <v>520</v>
      </c>
      <c r="I1428">
        <v>22</v>
      </c>
      <c r="J1428" s="21">
        <v>46169</v>
      </c>
      <c r="K1428" s="21">
        <v>46169</v>
      </c>
      <c r="L1428" t="s">
        <v>2828</v>
      </c>
      <c r="M1428" t="s">
        <v>1340</v>
      </c>
      <c r="N1428" s="22">
        <v>46169</v>
      </c>
      <c r="O1428" t="s">
        <v>202</v>
      </c>
      <c r="P1428">
        <v>1</v>
      </c>
      <c r="Q1428">
        <v>1</v>
      </c>
      <c r="R1428">
        <v>1</v>
      </c>
      <c r="S1428">
        <v>1</v>
      </c>
      <c r="T1428">
        <v>1</v>
      </c>
      <c r="U1428" t="s">
        <v>139</v>
      </c>
      <c r="V1428" t="s">
        <v>140</v>
      </c>
      <c r="W1428" t="s">
        <v>75</v>
      </c>
      <c r="X1428">
        <v>1</v>
      </c>
      <c r="Y1428" t="s">
        <v>2455</v>
      </c>
      <c r="Z1428" t="s">
        <v>496</v>
      </c>
      <c r="AA1428">
        <v>66.92</v>
      </c>
      <c r="AB1428">
        <v>66.92</v>
      </c>
      <c r="AC1428">
        <v>66.92</v>
      </c>
    </row>
    <row r="1429" spans="2:29" ht="15" customHeight="1" x14ac:dyDescent="0.15">
      <c r="B1429">
        <v>4</v>
      </c>
      <c r="C1429" t="s">
        <v>386</v>
      </c>
      <c r="D1429" t="s">
        <v>2826</v>
      </c>
      <c r="E1429">
        <v>3</v>
      </c>
      <c r="F1429" t="s">
        <v>219</v>
      </c>
      <c r="G1429" t="s">
        <v>218</v>
      </c>
      <c r="H1429" t="s">
        <v>2253</v>
      </c>
      <c r="I1429">
        <v>22</v>
      </c>
      <c r="J1429" s="21">
        <v>46169</v>
      </c>
      <c r="K1429" s="21">
        <v>46169</v>
      </c>
      <c r="L1429" t="s">
        <v>2829</v>
      </c>
      <c r="M1429" t="s">
        <v>2556</v>
      </c>
      <c r="N1429" s="22">
        <v>46169</v>
      </c>
      <c r="O1429" t="s">
        <v>220</v>
      </c>
      <c r="P1429">
        <v>1</v>
      </c>
      <c r="Q1429">
        <v>1</v>
      </c>
      <c r="R1429">
        <v>1.5</v>
      </c>
      <c r="S1429">
        <v>1.5</v>
      </c>
      <c r="T1429">
        <v>1.5</v>
      </c>
      <c r="U1429" t="s">
        <v>139</v>
      </c>
      <c r="V1429" t="s">
        <v>140</v>
      </c>
      <c r="W1429" t="s">
        <v>75</v>
      </c>
      <c r="X1429">
        <v>1</v>
      </c>
      <c r="Y1429" t="s">
        <v>2455</v>
      </c>
      <c r="Z1429" t="s">
        <v>496</v>
      </c>
      <c r="AA1429">
        <v>216.83</v>
      </c>
      <c r="AB1429">
        <v>325.24</v>
      </c>
      <c r="AC1429">
        <v>325.24</v>
      </c>
    </row>
    <row r="1430" spans="2:29" ht="15" customHeight="1" x14ac:dyDescent="0.15">
      <c r="B1430">
        <v>4</v>
      </c>
      <c r="C1430" t="s">
        <v>386</v>
      </c>
      <c r="D1430" t="s">
        <v>2826</v>
      </c>
      <c r="E1430">
        <v>4</v>
      </c>
      <c r="F1430" t="s">
        <v>219</v>
      </c>
      <c r="G1430" t="s">
        <v>244</v>
      </c>
      <c r="H1430" t="s">
        <v>545</v>
      </c>
      <c r="I1430">
        <v>22</v>
      </c>
      <c r="J1430" s="21">
        <v>46169</v>
      </c>
      <c r="K1430" s="21">
        <v>46169</v>
      </c>
      <c r="L1430" t="s">
        <v>2830</v>
      </c>
      <c r="M1430" t="s">
        <v>547</v>
      </c>
      <c r="N1430" s="22">
        <v>46169</v>
      </c>
      <c r="O1430" t="s">
        <v>202</v>
      </c>
      <c r="P1430">
        <v>1</v>
      </c>
      <c r="Q1430">
        <v>1</v>
      </c>
      <c r="R1430">
        <v>0.4</v>
      </c>
      <c r="S1430">
        <v>0.4</v>
      </c>
      <c r="T1430">
        <v>0.4</v>
      </c>
      <c r="U1430" t="s">
        <v>139</v>
      </c>
      <c r="V1430" t="s">
        <v>140</v>
      </c>
      <c r="W1430" t="s">
        <v>75</v>
      </c>
      <c r="X1430">
        <v>1</v>
      </c>
      <c r="Y1430" t="s">
        <v>2455</v>
      </c>
      <c r="Z1430" t="s">
        <v>496</v>
      </c>
      <c r="AA1430">
        <v>97</v>
      </c>
      <c r="AB1430">
        <v>38.799999999999997</v>
      </c>
      <c r="AC1430">
        <v>38.799999999999997</v>
      </c>
    </row>
    <row r="1431" spans="2:29" ht="15" customHeight="1" x14ac:dyDescent="0.15">
      <c r="B1431">
        <v>4</v>
      </c>
      <c r="C1431" t="s">
        <v>386</v>
      </c>
      <c r="D1431" t="s">
        <v>2831</v>
      </c>
      <c r="E1431">
        <v>1</v>
      </c>
      <c r="F1431" t="s">
        <v>219</v>
      </c>
      <c r="G1431" t="s">
        <v>231</v>
      </c>
      <c r="H1431" t="s">
        <v>231</v>
      </c>
      <c r="I1431">
        <v>22</v>
      </c>
      <c r="J1431" s="21">
        <v>46169</v>
      </c>
      <c r="K1431" s="21">
        <v>46169</v>
      </c>
      <c r="L1431" t="s">
        <v>2832</v>
      </c>
      <c r="M1431" t="s">
        <v>2648</v>
      </c>
      <c r="N1431" s="22">
        <v>46169</v>
      </c>
      <c r="O1431" t="s">
        <v>220</v>
      </c>
      <c r="P1431">
        <v>2</v>
      </c>
      <c r="Q1431">
        <v>2</v>
      </c>
      <c r="R1431">
        <v>0.15</v>
      </c>
      <c r="S1431">
        <v>0.3</v>
      </c>
      <c r="T1431">
        <v>0.3</v>
      </c>
      <c r="U1431" t="s">
        <v>139</v>
      </c>
      <c r="V1431" t="s">
        <v>140</v>
      </c>
      <c r="W1431" t="s">
        <v>75</v>
      </c>
      <c r="X1431">
        <v>1</v>
      </c>
      <c r="Y1431" t="s">
        <v>2746</v>
      </c>
      <c r="Z1431" t="s">
        <v>496</v>
      </c>
      <c r="AA1431">
        <v>16.61</v>
      </c>
      <c r="AB1431">
        <v>4.9800000000000004</v>
      </c>
      <c r="AC1431">
        <v>4.9800000000000004</v>
      </c>
    </row>
    <row r="1432" spans="2:29" ht="15" customHeight="1" x14ac:dyDescent="0.15">
      <c r="B1432">
        <v>4</v>
      </c>
      <c r="C1432" t="s">
        <v>386</v>
      </c>
      <c r="D1432" t="s">
        <v>2831</v>
      </c>
      <c r="E1432">
        <v>2</v>
      </c>
      <c r="F1432" t="s">
        <v>219</v>
      </c>
      <c r="G1432" t="s">
        <v>218</v>
      </c>
      <c r="H1432" t="s">
        <v>2714</v>
      </c>
      <c r="I1432">
        <v>22</v>
      </c>
      <c r="J1432" s="21">
        <v>46169</v>
      </c>
      <c r="K1432" s="21">
        <v>46169</v>
      </c>
      <c r="L1432" t="s">
        <v>2833</v>
      </c>
      <c r="M1432" t="s">
        <v>2716</v>
      </c>
      <c r="N1432" s="22">
        <v>46169</v>
      </c>
      <c r="O1432" t="s">
        <v>220</v>
      </c>
      <c r="P1432">
        <v>2</v>
      </c>
      <c r="Q1432">
        <v>2</v>
      </c>
      <c r="R1432">
        <v>0.3</v>
      </c>
      <c r="S1432">
        <v>0.6</v>
      </c>
      <c r="T1432">
        <v>0.6</v>
      </c>
      <c r="U1432" t="s">
        <v>139</v>
      </c>
      <c r="V1432" t="s">
        <v>140</v>
      </c>
      <c r="W1432" t="s">
        <v>75</v>
      </c>
      <c r="X1432">
        <v>1</v>
      </c>
      <c r="Y1432" t="s">
        <v>2746</v>
      </c>
      <c r="Z1432" t="s">
        <v>496</v>
      </c>
      <c r="AA1432">
        <v>50</v>
      </c>
      <c r="AB1432">
        <v>30</v>
      </c>
      <c r="AC1432">
        <v>30</v>
      </c>
    </row>
    <row r="1433" spans="2:29" ht="15" customHeight="1" x14ac:dyDescent="0.15">
      <c r="B1433">
        <v>4</v>
      </c>
      <c r="C1433" t="s">
        <v>386</v>
      </c>
      <c r="D1433" t="s">
        <v>2831</v>
      </c>
      <c r="E1433">
        <v>3</v>
      </c>
      <c r="F1433" t="s">
        <v>219</v>
      </c>
      <c r="G1433" t="s">
        <v>244</v>
      </c>
      <c r="H1433" t="s">
        <v>388</v>
      </c>
      <c r="I1433">
        <v>22</v>
      </c>
      <c r="J1433" s="21">
        <v>46169</v>
      </c>
      <c r="K1433" s="21">
        <v>46169</v>
      </c>
      <c r="L1433" t="s">
        <v>2834</v>
      </c>
      <c r="M1433" t="s">
        <v>2835</v>
      </c>
      <c r="N1433" s="22">
        <v>46169</v>
      </c>
      <c r="O1433" t="s">
        <v>220</v>
      </c>
      <c r="P1433">
        <v>2</v>
      </c>
      <c r="Q1433">
        <v>2</v>
      </c>
      <c r="R1433">
        <v>0.5</v>
      </c>
      <c r="S1433">
        <v>1</v>
      </c>
      <c r="T1433">
        <v>1</v>
      </c>
      <c r="U1433" t="s">
        <v>139</v>
      </c>
      <c r="V1433" t="s">
        <v>140</v>
      </c>
      <c r="W1433" t="s">
        <v>75</v>
      </c>
      <c r="X1433">
        <v>1</v>
      </c>
      <c r="Y1433" t="s">
        <v>2746</v>
      </c>
      <c r="Z1433" t="s">
        <v>496</v>
      </c>
      <c r="AA1433">
        <v>17.7</v>
      </c>
      <c r="AB1433">
        <v>17.7</v>
      </c>
      <c r="AC1433">
        <v>17.7</v>
      </c>
    </row>
    <row r="1434" spans="2:29" ht="15" customHeight="1" x14ac:dyDescent="0.15">
      <c r="B1434">
        <v>4</v>
      </c>
      <c r="C1434" t="s">
        <v>386</v>
      </c>
      <c r="D1434" t="s">
        <v>2836</v>
      </c>
      <c r="E1434">
        <v>1</v>
      </c>
      <c r="F1434" t="s">
        <v>219</v>
      </c>
      <c r="G1434" t="s">
        <v>231</v>
      </c>
      <c r="H1434" t="s">
        <v>231</v>
      </c>
      <c r="I1434">
        <v>22</v>
      </c>
      <c r="J1434" s="21">
        <v>46169</v>
      </c>
      <c r="K1434" s="21">
        <v>46169</v>
      </c>
      <c r="L1434" t="s">
        <v>2837</v>
      </c>
      <c r="M1434" t="s">
        <v>2648</v>
      </c>
      <c r="N1434" s="22">
        <v>46169</v>
      </c>
      <c r="O1434" t="s">
        <v>220</v>
      </c>
      <c r="P1434">
        <v>3</v>
      </c>
      <c r="Q1434">
        <v>1.43</v>
      </c>
      <c r="R1434">
        <v>0.15</v>
      </c>
      <c r="S1434">
        <v>0.45</v>
      </c>
      <c r="T1434">
        <v>0.21</v>
      </c>
      <c r="U1434" t="s">
        <v>115</v>
      </c>
      <c r="V1434" t="s">
        <v>116</v>
      </c>
      <c r="W1434" t="s">
        <v>21</v>
      </c>
      <c r="X1434">
        <v>2.1</v>
      </c>
      <c r="Y1434" t="s">
        <v>2746</v>
      </c>
      <c r="Z1434" t="s">
        <v>496</v>
      </c>
      <c r="AA1434">
        <v>16.61</v>
      </c>
      <c r="AB1434">
        <v>7.47</v>
      </c>
      <c r="AC1434">
        <v>3.56</v>
      </c>
    </row>
    <row r="1435" spans="2:29" ht="15" customHeight="1" x14ac:dyDescent="0.15">
      <c r="B1435">
        <v>4</v>
      </c>
      <c r="C1435" t="s">
        <v>386</v>
      </c>
      <c r="D1435" t="s">
        <v>2836</v>
      </c>
      <c r="E1435">
        <v>2</v>
      </c>
      <c r="F1435" t="s">
        <v>219</v>
      </c>
      <c r="G1435" t="s">
        <v>439</v>
      </c>
      <c r="H1435" t="s">
        <v>533</v>
      </c>
      <c r="I1435">
        <v>22</v>
      </c>
      <c r="J1435" s="21">
        <v>46169</v>
      </c>
      <c r="K1435" s="21">
        <v>46169</v>
      </c>
      <c r="L1435" t="s">
        <v>2838</v>
      </c>
      <c r="M1435" t="s">
        <v>535</v>
      </c>
      <c r="N1435" s="22">
        <v>46169</v>
      </c>
      <c r="O1435" t="s">
        <v>220</v>
      </c>
      <c r="P1435">
        <v>3</v>
      </c>
      <c r="Q1435">
        <v>1.43</v>
      </c>
      <c r="R1435">
        <v>1.5</v>
      </c>
      <c r="S1435">
        <v>4.5</v>
      </c>
      <c r="T1435">
        <v>2.14</v>
      </c>
      <c r="U1435" t="s">
        <v>115</v>
      </c>
      <c r="V1435" t="s">
        <v>116</v>
      </c>
      <c r="W1435" t="s">
        <v>21</v>
      </c>
      <c r="X1435">
        <v>2.1</v>
      </c>
      <c r="Y1435" t="s">
        <v>2746</v>
      </c>
      <c r="Z1435" t="s">
        <v>496</v>
      </c>
      <c r="AA1435">
        <v>38.14</v>
      </c>
      <c r="AB1435">
        <v>171.63</v>
      </c>
      <c r="AC1435">
        <v>81.73</v>
      </c>
    </row>
    <row r="1436" spans="2:29" ht="15" customHeight="1" x14ac:dyDescent="0.15">
      <c r="B1436">
        <v>4</v>
      </c>
      <c r="C1436" t="s">
        <v>386</v>
      </c>
      <c r="D1436" t="s">
        <v>2836</v>
      </c>
      <c r="E1436">
        <v>3</v>
      </c>
      <c r="F1436" t="s">
        <v>219</v>
      </c>
      <c r="G1436" t="s">
        <v>218</v>
      </c>
      <c r="H1436" t="s">
        <v>2714</v>
      </c>
      <c r="I1436">
        <v>22</v>
      </c>
      <c r="J1436" s="21">
        <v>46169</v>
      </c>
      <c r="K1436" s="21">
        <v>46169</v>
      </c>
      <c r="L1436" t="s">
        <v>2839</v>
      </c>
      <c r="M1436" t="s">
        <v>2716</v>
      </c>
      <c r="N1436" s="22">
        <v>46169</v>
      </c>
      <c r="O1436" t="s">
        <v>220</v>
      </c>
      <c r="P1436">
        <v>3</v>
      </c>
      <c r="Q1436">
        <v>1.43</v>
      </c>
      <c r="R1436">
        <v>0.25</v>
      </c>
      <c r="S1436">
        <v>0.75</v>
      </c>
      <c r="T1436">
        <v>0.36</v>
      </c>
      <c r="U1436" t="s">
        <v>115</v>
      </c>
      <c r="V1436" t="s">
        <v>116</v>
      </c>
      <c r="W1436" t="s">
        <v>21</v>
      </c>
      <c r="X1436">
        <v>2.1</v>
      </c>
      <c r="Y1436" t="s">
        <v>2746</v>
      </c>
      <c r="Z1436" t="s">
        <v>496</v>
      </c>
      <c r="AA1436">
        <v>50</v>
      </c>
      <c r="AB1436">
        <v>37.5</v>
      </c>
      <c r="AC1436">
        <v>17.86</v>
      </c>
    </row>
    <row r="1437" spans="2:29" ht="15" customHeight="1" x14ac:dyDescent="0.15">
      <c r="B1437">
        <v>4</v>
      </c>
      <c r="C1437" t="s">
        <v>386</v>
      </c>
      <c r="D1437" t="s">
        <v>2836</v>
      </c>
      <c r="E1437">
        <v>4</v>
      </c>
      <c r="F1437" t="s">
        <v>219</v>
      </c>
      <c r="G1437" t="s">
        <v>239</v>
      </c>
      <c r="H1437" t="s">
        <v>520</v>
      </c>
      <c r="I1437">
        <v>22</v>
      </c>
      <c r="J1437" s="21">
        <v>46169</v>
      </c>
      <c r="K1437" s="21">
        <v>46169</v>
      </c>
      <c r="L1437" t="s">
        <v>2840</v>
      </c>
      <c r="M1437" t="s">
        <v>1340</v>
      </c>
      <c r="N1437" s="22">
        <v>46169</v>
      </c>
      <c r="O1437" t="s">
        <v>202</v>
      </c>
      <c r="P1437">
        <v>3</v>
      </c>
      <c r="Q1437">
        <v>1.43</v>
      </c>
      <c r="R1437">
        <v>0.5</v>
      </c>
      <c r="S1437">
        <v>1.5</v>
      </c>
      <c r="T1437">
        <v>0.71</v>
      </c>
      <c r="U1437" t="s">
        <v>115</v>
      </c>
      <c r="V1437" t="s">
        <v>116</v>
      </c>
      <c r="W1437" t="s">
        <v>21</v>
      </c>
      <c r="X1437">
        <v>2.1</v>
      </c>
      <c r="Y1437" t="s">
        <v>2746</v>
      </c>
      <c r="Z1437" t="s">
        <v>496</v>
      </c>
      <c r="AA1437">
        <v>66.92</v>
      </c>
      <c r="AB1437">
        <v>100.38</v>
      </c>
      <c r="AC1437">
        <v>47.8</v>
      </c>
    </row>
    <row r="1438" spans="2:29" ht="15" customHeight="1" x14ac:dyDescent="0.15">
      <c r="B1438">
        <v>4</v>
      </c>
      <c r="C1438" t="s">
        <v>386</v>
      </c>
      <c r="D1438" t="s">
        <v>2836</v>
      </c>
      <c r="E1438">
        <v>5</v>
      </c>
      <c r="F1438" t="s">
        <v>219</v>
      </c>
      <c r="G1438" t="s">
        <v>218</v>
      </c>
      <c r="H1438" t="s">
        <v>400</v>
      </c>
      <c r="I1438">
        <v>22</v>
      </c>
      <c r="J1438" s="21">
        <v>46169</v>
      </c>
      <c r="K1438" s="21">
        <v>46169</v>
      </c>
      <c r="L1438" t="s">
        <v>2841</v>
      </c>
      <c r="M1438" t="s">
        <v>2362</v>
      </c>
      <c r="N1438" s="22">
        <v>46169</v>
      </c>
      <c r="O1438" t="s">
        <v>220</v>
      </c>
      <c r="P1438">
        <v>3</v>
      </c>
      <c r="Q1438">
        <v>1.43</v>
      </c>
      <c r="R1438">
        <v>0.25</v>
      </c>
      <c r="S1438">
        <v>0.75</v>
      </c>
      <c r="T1438">
        <v>0.36</v>
      </c>
      <c r="U1438" t="s">
        <v>115</v>
      </c>
      <c r="V1438" t="s">
        <v>116</v>
      </c>
      <c r="W1438" t="s">
        <v>21</v>
      </c>
      <c r="X1438">
        <v>2.1</v>
      </c>
      <c r="Y1438" t="s">
        <v>2746</v>
      </c>
      <c r="Z1438" t="s">
        <v>496</v>
      </c>
      <c r="AA1438">
        <v>52.5</v>
      </c>
      <c r="AB1438">
        <v>39.380000000000003</v>
      </c>
      <c r="AC1438">
        <v>18.75</v>
      </c>
    </row>
    <row r="1439" spans="2:29" ht="15" customHeight="1" x14ac:dyDescent="0.15">
      <c r="B1439">
        <v>4</v>
      </c>
      <c r="C1439" t="s">
        <v>386</v>
      </c>
      <c r="D1439" t="s">
        <v>2842</v>
      </c>
      <c r="E1439">
        <v>1</v>
      </c>
      <c r="F1439" t="s">
        <v>219</v>
      </c>
      <c r="G1439" t="s">
        <v>231</v>
      </c>
      <c r="H1439" t="s">
        <v>231</v>
      </c>
      <c r="I1439">
        <v>22</v>
      </c>
      <c r="J1439" s="21">
        <v>46169</v>
      </c>
      <c r="K1439" s="21">
        <v>46171</v>
      </c>
      <c r="L1439" t="s">
        <v>2843</v>
      </c>
      <c r="M1439" t="s">
        <v>2648</v>
      </c>
      <c r="N1439" s="22">
        <v>46171</v>
      </c>
      <c r="O1439" t="s">
        <v>220</v>
      </c>
      <c r="P1439">
        <v>6</v>
      </c>
      <c r="Q1439">
        <v>1.33</v>
      </c>
      <c r="R1439">
        <v>0.15</v>
      </c>
      <c r="S1439">
        <v>0.9</v>
      </c>
      <c r="T1439">
        <v>0.2</v>
      </c>
      <c r="U1439" t="s">
        <v>96</v>
      </c>
      <c r="V1439" t="s">
        <v>97</v>
      </c>
      <c r="W1439" t="s">
        <v>21</v>
      </c>
      <c r="X1439">
        <v>4.5</v>
      </c>
      <c r="Y1439" t="s">
        <v>2746</v>
      </c>
      <c r="Z1439" t="s">
        <v>496</v>
      </c>
      <c r="AA1439">
        <v>16.61</v>
      </c>
      <c r="AB1439">
        <v>14.95</v>
      </c>
      <c r="AC1439">
        <v>3.32</v>
      </c>
    </row>
    <row r="1440" spans="2:29" ht="15" customHeight="1" x14ac:dyDescent="0.15">
      <c r="B1440">
        <v>4</v>
      </c>
      <c r="C1440" t="s">
        <v>386</v>
      </c>
      <c r="D1440" t="s">
        <v>2842</v>
      </c>
      <c r="E1440">
        <v>2</v>
      </c>
      <c r="F1440" t="s">
        <v>219</v>
      </c>
      <c r="G1440" t="s">
        <v>218</v>
      </c>
      <c r="H1440" t="s">
        <v>2305</v>
      </c>
      <c r="I1440">
        <v>22</v>
      </c>
      <c r="J1440" s="21">
        <v>46169</v>
      </c>
      <c r="K1440" s="21">
        <v>46171</v>
      </c>
      <c r="L1440" t="s">
        <v>2844</v>
      </c>
      <c r="M1440" t="s">
        <v>255</v>
      </c>
      <c r="N1440" s="22">
        <v>46171</v>
      </c>
      <c r="O1440" t="s">
        <v>202</v>
      </c>
      <c r="P1440">
        <v>6</v>
      </c>
      <c r="Q1440">
        <v>1.33</v>
      </c>
      <c r="R1440">
        <v>0.4</v>
      </c>
      <c r="S1440">
        <v>2.4</v>
      </c>
      <c r="T1440">
        <v>0.53</v>
      </c>
      <c r="U1440" t="s">
        <v>96</v>
      </c>
      <c r="V1440" t="s">
        <v>97</v>
      </c>
      <c r="W1440" t="s">
        <v>21</v>
      </c>
      <c r="X1440">
        <v>4.5</v>
      </c>
      <c r="Y1440" t="s">
        <v>2746</v>
      </c>
      <c r="Z1440" t="s">
        <v>496</v>
      </c>
      <c r="AA1440">
        <v>37.5</v>
      </c>
      <c r="AB1440">
        <v>90</v>
      </c>
      <c r="AC1440">
        <v>20</v>
      </c>
    </row>
    <row r="1441" spans="2:29" ht="15" customHeight="1" x14ac:dyDescent="0.15">
      <c r="B1441">
        <v>4</v>
      </c>
      <c r="C1441" t="s">
        <v>386</v>
      </c>
      <c r="D1441" t="s">
        <v>2842</v>
      </c>
      <c r="E1441">
        <v>3</v>
      </c>
      <c r="F1441" t="s">
        <v>219</v>
      </c>
      <c r="G1441" t="s">
        <v>244</v>
      </c>
      <c r="H1441" t="s">
        <v>545</v>
      </c>
      <c r="I1441">
        <v>22</v>
      </c>
      <c r="J1441" s="21">
        <v>46169</v>
      </c>
      <c r="K1441" s="21">
        <v>46171</v>
      </c>
      <c r="L1441" t="s">
        <v>2845</v>
      </c>
      <c r="M1441" t="s">
        <v>547</v>
      </c>
      <c r="N1441" s="22">
        <v>46171</v>
      </c>
      <c r="O1441" t="s">
        <v>202</v>
      </c>
      <c r="P1441">
        <v>6</v>
      </c>
      <c r="Q1441">
        <v>1.33</v>
      </c>
      <c r="R1441">
        <v>0.2</v>
      </c>
      <c r="S1441">
        <v>1.2</v>
      </c>
      <c r="T1441">
        <v>0.27</v>
      </c>
      <c r="U1441" t="s">
        <v>96</v>
      </c>
      <c r="V1441" t="s">
        <v>97</v>
      </c>
      <c r="W1441" t="s">
        <v>21</v>
      </c>
      <c r="X1441">
        <v>4.5</v>
      </c>
      <c r="Y1441" t="s">
        <v>2746</v>
      </c>
      <c r="Z1441" t="s">
        <v>496</v>
      </c>
      <c r="AA1441">
        <v>97</v>
      </c>
      <c r="AB1441">
        <v>116.4</v>
      </c>
      <c r="AC1441">
        <v>25.87</v>
      </c>
    </row>
    <row r="1442" spans="2:29" ht="15" customHeight="1" x14ac:dyDescent="0.15">
      <c r="B1442">
        <v>4</v>
      </c>
      <c r="C1442" t="s">
        <v>386</v>
      </c>
      <c r="D1442" t="s">
        <v>2842</v>
      </c>
      <c r="E1442">
        <v>4</v>
      </c>
      <c r="F1442" t="s">
        <v>219</v>
      </c>
      <c r="G1442" t="s">
        <v>218</v>
      </c>
      <c r="H1442" t="s">
        <v>1090</v>
      </c>
      <c r="I1442">
        <v>22</v>
      </c>
      <c r="J1442" s="21">
        <v>46169</v>
      </c>
      <c r="K1442" s="21">
        <v>46171</v>
      </c>
      <c r="L1442" t="s">
        <v>2846</v>
      </c>
      <c r="M1442" t="s">
        <v>2371</v>
      </c>
      <c r="N1442" s="22">
        <v>46171</v>
      </c>
      <c r="O1442" t="s">
        <v>220</v>
      </c>
      <c r="P1442">
        <v>1</v>
      </c>
      <c r="Q1442">
        <v>0.22</v>
      </c>
      <c r="R1442">
        <v>1.5</v>
      </c>
      <c r="S1442">
        <v>1.5</v>
      </c>
      <c r="T1442">
        <v>0.33</v>
      </c>
      <c r="U1442" t="s">
        <v>96</v>
      </c>
      <c r="V1442" t="s">
        <v>97</v>
      </c>
      <c r="W1442" t="s">
        <v>21</v>
      </c>
      <c r="X1442">
        <v>4.5</v>
      </c>
      <c r="Y1442" t="s">
        <v>2746</v>
      </c>
      <c r="Z1442" t="s">
        <v>496</v>
      </c>
      <c r="AA1442">
        <v>58.29</v>
      </c>
      <c r="AB1442">
        <v>87.44</v>
      </c>
      <c r="AC1442">
        <v>19.43</v>
      </c>
    </row>
    <row r="1443" spans="2:29" ht="15" customHeight="1" x14ac:dyDescent="0.15">
      <c r="B1443">
        <v>4</v>
      </c>
      <c r="C1443" t="s">
        <v>386</v>
      </c>
      <c r="D1443" t="s">
        <v>2842</v>
      </c>
      <c r="E1443">
        <v>5</v>
      </c>
      <c r="F1443" t="s">
        <v>219</v>
      </c>
      <c r="G1443" t="s">
        <v>239</v>
      </c>
      <c r="H1443" t="s">
        <v>520</v>
      </c>
      <c r="I1443">
        <v>22</v>
      </c>
      <c r="J1443" s="21">
        <v>46169</v>
      </c>
      <c r="K1443" s="21">
        <v>46171</v>
      </c>
      <c r="L1443" t="s">
        <v>2847</v>
      </c>
      <c r="M1443" t="s">
        <v>1340</v>
      </c>
      <c r="N1443" s="22">
        <v>46171</v>
      </c>
      <c r="O1443" t="s">
        <v>202</v>
      </c>
      <c r="P1443">
        <v>6</v>
      </c>
      <c r="Q1443">
        <v>1.33</v>
      </c>
      <c r="R1443">
        <v>0.5</v>
      </c>
      <c r="S1443">
        <v>3</v>
      </c>
      <c r="T1443">
        <v>0.67</v>
      </c>
      <c r="U1443" t="s">
        <v>96</v>
      </c>
      <c r="V1443" t="s">
        <v>97</v>
      </c>
      <c r="W1443" t="s">
        <v>21</v>
      </c>
      <c r="X1443">
        <v>4.5</v>
      </c>
      <c r="Y1443" t="s">
        <v>2746</v>
      </c>
      <c r="Z1443" t="s">
        <v>496</v>
      </c>
      <c r="AA1443">
        <v>66.92</v>
      </c>
      <c r="AB1443">
        <v>200.76</v>
      </c>
      <c r="AC1443">
        <v>44.61</v>
      </c>
    </row>
    <row r="1444" spans="2:29" ht="15" customHeight="1" x14ac:dyDescent="0.15">
      <c r="B1444">
        <v>4</v>
      </c>
      <c r="C1444" t="s">
        <v>386</v>
      </c>
      <c r="D1444" t="s">
        <v>2842</v>
      </c>
      <c r="E1444">
        <v>6</v>
      </c>
      <c r="F1444" t="s">
        <v>219</v>
      </c>
      <c r="G1444" t="s">
        <v>218</v>
      </c>
      <c r="H1444" t="s">
        <v>686</v>
      </c>
      <c r="I1444">
        <v>22</v>
      </c>
      <c r="J1444" s="21">
        <v>46169</v>
      </c>
      <c r="K1444" s="21">
        <v>46171</v>
      </c>
      <c r="L1444" t="s">
        <v>2848</v>
      </c>
      <c r="M1444" t="s">
        <v>2468</v>
      </c>
      <c r="N1444" s="22">
        <v>46171</v>
      </c>
      <c r="O1444" t="s">
        <v>220</v>
      </c>
      <c r="P1444">
        <v>6</v>
      </c>
      <c r="Q1444">
        <v>1.33</v>
      </c>
      <c r="R1444">
        <v>0.15</v>
      </c>
      <c r="S1444">
        <v>0.9</v>
      </c>
      <c r="T1444">
        <v>0.2</v>
      </c>
      <c r="U1444" t="s">
        <v>96</v>
      </c>
      <c r="V1444" t="s">
        <v>97</v>
      </c>
      <c r="W1444" t="s">
        <v>21</v>
      </c>
      <c r="X1444">
        <v>4.5</v>
      </c>
      <c r="Y1444" t="s">
        <v>2746</v>
      </c>
      <c r="Z1444" t="s">
        <v>496</v>
      </c>
      <c r="AA1444">
        <v>80.900000000000006</v>
      </c>
      <c r="AB1444">
        <v>72.81</v>
      </c>
      <c r="AC1444">
        <v>16.18</v>
      </c>
    </row>
    <row r="1445" spans="2:29" ht="15" customHeight="1" x14ac:dyDescent="0.15">
      <c r="B1445">
        <v>4</v>
      </c>
      <c r="C1445" t="s">
        <v>386</v>
      </c>
      <c r="D1445" t="s">
        <v>2849</v>
      </c>
      <c r="E1445">
        <v>1</v>
      </c>
      <c r="F1445" t="s">
        <v>201</v>
      </c>
      <c r="G1445" t="s">
        <v>337</v>
      </c>
      <c r="H1445" t="s">
        <v>475</v>
      </c>
      <c r="I1445">
        <v>22</v>
      </c>
      <c r="J1445" s="21">
        <v>46170</v>
      </c>
      <c r="K1445" s="21">
        <v>46170</v>
      </c>
      <c r="L1445" t="s">
        <v>2850</v>
      </c>
      <c r="M1445" t="s">
        <v>2793</v>
      </c>
      <c r="N1445">
        <v>56</v>
      </c>
      <c r="O1445" t="s">
        <v>202</v>
      </c>
      <c r="P1445">
        <v>1</v>
      </c>
      <c r="Q1445">
        <v>1</v>
      </c>
      <c r="R1445">
        <v>50</v>
      </c>
      <c r="S1445">
        <v>50</v>
      </c>
      <c r="T1445">
        <v>50</v>
      </c>
      <c r="U1445" t="s">
        <v>68</v>
      </c>
      <c r="V1445" t="s">
        <v>69</v>
      </c>
      <c r="W1445" t="s">
        <v>21</v>
      </c>
      <c r="X1445">
        <v>1</v>
      </c>
      <c r="Y1445" t="s">
        <v>2455</v>
      </c>
      <c r="Z1445" t="s">
        <v>496</v>
      </c>
      <c r="AA1445">
        <v>4.88</v>
      </c>
      <c r="AB1445">
        <v>244</v>
      </c>
      <c r="AC1445">
        <v>244</v>
      </c>
    </row>
    <row r="1446" spans="2:29" ht="15" customHeight="1" x14ac:dyDescent="0.15">
      <c r="B1446">
        <v>4</v>
      </c>
      <c r="C1446" t="s">
        <v>386</v>
      </c>
      <c r="D1446" t="s">
        <v>2849</v>
      </c>
      <c r="E1446">
        <v>2</v>
      </c>
      <c r="F1446" t="s">
        <v>201</v>
      </c>
      <c r="G1446" t="s">
        <v>337</v>
      </c>
      <c r="H1446" t="s">
        <v>632</v>
      </c>
      <c r="I1446">
        <v>22</v>
      </c>
      <c r="J1446" s="21">
        <v>46170</v>
      </c>
      <c r="K1446" s="21">
        <v>46170</v>
      </c>
      <c r="L1446" t="s">
        <v>2851</v>
      </c>
      <c r="M1446" t="s">
        <v>2852</v>
      </c>
      <c r="N1446">
        <v>56</v>
      </c>
      <c r="O1446" t="s">
        <v>202</v>
      </c>
      <c r="P1446">
        <v>1</v>
      </c>
      <c r="Q1446">
        <v>1</v>
      </c>
      <c r="R1446">
        <v>25</v>
      </c>
      <c r="S1446">
        <v>25</v>
      </c>
      <c r="T1446">
        <v>25</v>
      </c>
      <c r="U1446" t="s">
        <v>68</v>
      </c>
      <c r="V1446" t="s">
        <v>69</v>
      </c>
      <c r="W1446" t="s">
        <v>21</v>
      </c>
      <c r="X1446">
        <v>1</v>
      </c>
      <c r="Y1446" t="s">
        <v>2455</v>
      </c>
      <c r="Z1446" t="s">
        <v>496</v>
      </c>
      <c r="AA1446">
        <v>4.8099999999999996</v>
      </c>
      <c r="AB1446">
        <v>120.25</v>
      </c>
      <c r="AC1446">
        <v>120.25</v>
      </c>
    </row>
    <row r="1447" spans="2:29" ht="15" customHeight="1" x14ac:dyDescent="0.15">
      <c r="B1447">
        <v>4</v>
      </c>
      <c r="C1447" t="s">
        <v>386</v>
      </c>
      <c r="D1447" t="s">
        <v>2849</v>
      </c>
      <c r="E1447">
        <v>3</v>
      </c>
      <c r="F1447" t="s">
        <v>201</v>
      </c>
      <c r="G1447" t="s">
        <v>337</v>
      </c>
      <c r="H1447" t="s">
        <v>1128</v>
      </c>
      <c r="I1447">
        <v>22</v>
      </c>
      <c r="J1447" s="21">
        <v>46170</v>
      </c>
      <c r="K1447" s="21">
        <v>46170</v>
      </c>
      <c r="L1447" t="s">
        <v>2853</v>
      </c>
      <c r="M1447" t="s">
        <v>2854</v>
      </c>
      <c r="N1447">
        <v>56</v>
      </c>
      <c r="O1447" t="s">
        <v>202</v>
      </c>
      <c r="P1447">
        <v>1</v>
      </c>
      <c r="Q1447">
        <v>1</v>
      </c>
      <c r="R1447">
        <v>0.4</v>
      </c>
      <c r="S1447">
        <v>0.4</v>
      </c>
      <c r="T1447">
        <v>0.4</v>
      </c>
      <c r="U1447" t="s">
        <v>68</v>
      </c>
      <c r="V1447" t="s">
        <v>69</v>
      </c>
      <c r="W1447" t="s">
        <v>21</v>
      </c>
      <c r="X1447">
        <v>1</v>
      </c>
      <c r="Y1447" t="s">
        <v>2455</v>
      </c>
      <c r="Z1447" t="s">
        <v>496</v>
      </c>
      <c r="AA1447">
        <v>5.61</v>
      </c>
      <c r="AB1447">
        <v>2.2400000000000002</v>
      </c>
      <c r="AC1447">
        <v>2.2400000000000002</v>
      </c>
    </row>
    <row r="1448" spans="2:29" ht="15" customHeight="1" x14ac:dyDescent="0.15">
      <c r="B1448">
        <v>4</v>
      </c>
      <c r="C1448" t="s">
        <v>386</v>
      </c>
      <c r="D1448" t="s">
        <v>2849</v>
      </c>
      <c r="E1448">
        <v>4</v>
      </c>
      <c r="F1448" t="s">
        <v>219</v>
      </c>
      <c r="G1448" t="s">
        <v>239</v>
      </c>
      <c r="H1448" t="s">
        <v>520</v>
      </c>
      <c r="I1448">
        <v>22</v>
      </c>
      <c r="J1448" s="21">
        <v>46170</v>
      </c>
      <c r="K1448" s="21">
        <v>46170</v>
      </c>
      <c r="L1448" t="s">
        <v>2855</v>
      </c>
      <c r="M1448" t="s">
        <v>1340</v>
      </c>
      <c r="N1448">
        <v>56</v>
      </c>
      <c r="O1448" t="s">
        <v>202</v>
      </c>
      <c r="P1448">
        <v>1</v>
      </c>
      <c r="Q1448">
        <v>1</v>
      </c>
      <c r="R1448">
        <v>4</v>
      </c>
      <c r="S1448">
        <v>4</v>
      </c>
      <c r="T1448">
        <v>4</v>
      </c>
      <c r="U1448" t="s">
        <v>68</v>
      </c>
      <c r="V1448" t="s">
        <v>69</v>
      </c>
      <c r="W1448" t="s">
        <v>21</v>
      </c>
      <c r="X1448">
        <v>1</v>
      </c>
      <c r="Y1448" t="s">
        <v>2455</v>
      </c>
      <c r="Z1448" t="s">
        <v>496</v>
      </c>
      <c r="AA1448">
        <v>66.92</v>
      </c>
      <c r="AB1448">
        <v>267.68</v>
      </c>
      <c r="AC1448">
        <v>267.68</v>
      </c>
    </row>
    <row r="1449" spans="2:29" ht="15" customHeight="1" x14ac:dyDescent="0.15">
      <c r="B1449">
        <v>4</v>
      </c>
      <c r="C1449" t="s">
        <v>386</v>
      </c>
      <c r="D1449" t="s">
        <v>2849</v>
      </c>
      <c r="E1449">
        <v>5</v>
      </c>
      <c r="F1449" t="s">
        <v>219</v>
      </c>
      <c r="G1449" t="s">
        <v>223</v>
      </c>
      <c r="H1449" t="s">
        <v>987</v>
      </c>
      <c r="I1449">
        <v>22</v>
      </c>
      <c r="J1449" s="21">
        <v>46170</v>
      </c>
      <c r="K1449" s="21">
        <v>46170</v>
      </c>
      <c r="L1449" t="s">
        <v>2856</v>
      </c>
      <c r="M1449" t="s">
        <v>222</v>
      </c>
      <c r="N1449">
        <v>56</v>
      </c>
      <c r="O1449" t="s">
        <v>220</v>
      </c>
      <c r="P1449">
        <v>1</v>
      </c>
      <c r="Q1449">
        <v>1</v>
      </c>
      <c r="R1449">
        <v>20</v>
      </c>
      <c r="S1449">
        <v>20</v>
      </c>
      <c r="T1449">
        <v>20</v>
      </c>
      <c r="U1449" t="s">
        <v>68</v>
      </c>
      <c r="V1449" t="s">
        <v>69</v>
      </c>
      <c r="W1449" t="s">
        <v>21</v>
      </c>
      <c r="X1449">
        <v>1</v>
      </c>
      <c r="Y1449" t="s">
        <v>2455</v>
      </c>
      <c r="Z1449" t="s">
        <v>496</v>
      </c>
      <c r="AA1449">
        <v>13.47</v>
      </c>
      <c r="AB1449">
        <v>269.39999999999998</v>
      </c>
      <c r="AC1449">
        <v>269.39999999999998</v>
      </c>
    </row>
    <row r="1450" spans="2:29" ht="15" customHeight="1" x14ac:dyDescent="0.15">
      <c r="B1450">
        <v>4</v>
      </c>
      <c r="C1450" t="s">
        <v>386</v>
      </c>
      <c r="D1450" t="s">
        <v>2857</v>
      </c>
      <c r="E1450">
        <v>1</v>
      </c>
      <c r="F1450" t="s">
        <v>219</v>
      </c>
      <c r="G1450" t="s">
        <v>231</v>
      </c>
      <c r="H1450" t="s">
        <v>231</v>
      </c>
      <c r="I1450">
        <v>22</v>
      </c>
      <c r="J1450" s="21">
        <v>46170</v>
      </c>
      <c r="K1450" s="21">
        <v>46170</v>
      </c>
      <c r="L1450" t="s">
        <v>2858</v>
      </c>
      <c r="M1450" t="s">
        <v>2648</v>
      </c>
      <c r="N1450">
        <v>133</v>
      </c>
      <c r="O1450" t="s">
        <v>220</v>
      </c>
      <c r="P1450">
        <v>1</v>
      </c>
      <c r="Q1450">
        <v>0.5</v>
      </c>
      <c r="R1450">
        <v>0.15</v>
      </c>
      <c r="S1450">
        <v>0.15</v>
      </c>
      <c r="T1450">
        <v>0.08</v>
      </c>
      <c r="U1450" t="s">
        <v>39</v>
      </c>
      <c r="V1450" t="s">
        <v>40</v>
      </c>
      <c r="W1450" t="s">
        <v>21</v>
      </c>
      <c r="X1450">
        <v>2</v>
      </c>
      <c r="Y1450" t="s">
        <v>2629</v>
      </c>
      <c r="Z1450" t="s">
        <v>496</v>
      </c>
      <c r="AA1450">
        <v>16.61</v>
      </c>
      <c r="AB1450">
        <v>2.4900000000000002</v>
      </c>
      <c r="AC1450">
        <v>1.25</v>
      </c>
    </row>
    <row r="1451" spans="2:29" ht="15" customHeight="1" x14ac:dyDescent="0.15">
      <c r="B1451">
        <v>4</v>
      </c>
      <c r="C1451" t="s">
        <v>386</v>
      </c>
      <c r="D1451" t="s">
        <v>2857</v>
      </c>
      <c r="E1451">
        <v>2</v>
      </c>
      <c r="F1451" t="s">
        <v>219</v>
      </c>
      <c r="G1451" t="s">
        <v>439</v>
      </c>
      <c r="H1451" t="s">
        <v>1946</v>
      </c>
      <c r="I1451">
        <v>22</v>
      </c>
      <c r="J1451" s="21">
        <v>46170</v>
      </c>
      <c r="K1451" s="21">
        <v>46170</v>
      </c>
      <c r="L1451" t="s">
        <v>2859</v>
      </c>
      <c r="M1451" t="s">
        <v>1948</v>
      </c>
      <c r="N1451">
        <v>133</v>
      </c>
      <c r="O1451" t="s">
        <v>220</v>
      </c>
      <c r="P1451">
        <v>1</v>
      </c>
      <c r="Q1451">
        <v>0.5</v>
      </c>
      <c r="R1451">
        <v>0.75</v>
      </c>
      <c r="S1451">
        <v>0.75</v>
      </c>
      <c r="T1451">
        <v>0.38</v>
      </c>
      <c r="U1451" t="s">
        <v>39</v>
      </c>
      <c r="V1451" t="s">
        <v>40</v>
      </c>
      <c r="W1451" t="s">
        <v>21</v>
      </c>
      <c r="X1451">
        <v>2</v>
      </c>
      <c r="Y1451" t="s">
        <v>2629</v>
      </c>
      <c r="Z1451" t="s">
        <v>496</v>
      </c>
      <c r="AA1451">
        <v>190.68</v>
      </c>
      <c r="AB1451">
        <v>143.01</v>
      </c>
      <c r="AC1451">
        <v>71.510000000000005</v>
      </c>
    </row>
    <row r="1452" spans="2:29" ht="15" customHeight="1" x14ac:dyDescent="0.15">
      <c r="B1452">
        <v>4</v>
      </c>
      <c r="C1452" t="s">
        <v>386</v>
      </c>
      <c r="D1452" t="s">
        <v>2860</v>
      </c>
      <c r="E1452">
        <v>1</v>
      </c>
      <c r="F1452" t="s">
        <v>219</v>
      </c>
      <c r="G1452" t="s">
        <v>223</v>
      </c>
      <c r="H1452" t="s">
        <v>987</v>
      </c>
      <c r="I1452">
        <v>24</v>
      </c>
      <c r="J1452" s="21">
        <v>46181</v>
      </c>
      <c r="K1452" s="21">
        <v>46181</v>
      </c>
      <c r="L1452" t="s">
        <v>2861</v>
      </c>
      <c r="M1452" t="s">
        <v>222</v>
      </c>
      <c r="N1452">
        <v>49</v>
      </c>
      <c r="O1452" t="s">
        <v>220</v>
      </c>
      <c r="P1452">
        <v>1</v>
      </c>
      <c r="Q1452">
        <v>0.5</v>
      </c>
      <c r="R1452">
        <v>20</v>
      </c>
      <c r="S1452">
        <v>20</v>
      </c>
      <c r="T1452">
        <v>10</v>
      </c>
      <c r="U1452" t="s">
        <v>84</v>
      </c>
      <c r="V1452" t="s">
        <v>85</v>
      </c>
      <c r="W1452" t="s">
        <v>21</v>
      </c>
      <c r="X1452">
        <v>2</v>
      </c>
      <c r="Y1452" t="s">
        <v>2455</v>
      </c>
      <c r="Z1452" t="s">
        <v>496</v>
      </c>
      <c r="AA1452">
        <v>13.47</v>
      </c>
      <c r="AB1452">
        <v>269.39999999999998</v>
      </c>
      <c r="AC1452">
        <v>134.69999999999999</v>
      </c>
    </row>
    <row r="1453" spans="2:29" ht="15" customHeight="1" x14ac:dyDescent="0.15">
      <c r="B1453">
        <v>4</v>
      </c>
      <c r="C1453" t="s">
        <v>386</v>
      </c>
      <c r="D1453" t="s">
        <v>2860</v>
      </c>
      <c r="E1453">
        <v>2</v>
      </c>
      <c r="F1453" t="s">
        <v>219</v>
      </c>
      <c r="G1453" t="s">
        <v>239</v>
      </c>
      <c r="H1453" t="s">
        <v>520</v>
      </c>
      <c r="I1453">
        <v>24</v>
      </c>
      <c r="J1453" s="21">
        <v>46181</v>
      </c>
      <c r="K1453" s="21">
        <v>46181</v>
      </c>
      <c r="L1453" t="s">
        <v>2862</v>
      </c>
      <c r="M1453" t="s">
        <v>1340</v>
      </c>
      <c r="N1453">
        <v>49</v>
      </c>
      <c r="O1453" t="s">
        <v>202</v>
      </c>
      <c r="P1453">
        <v>1</v>
      </c>
      <c r="Q1453">
        <v>0.5</v>
      </c>
      <c r="R1453">
        <v>4</v>
      </c>
      <c r="S1453">
        <v>4</v>
      </c>
      <c r="T1453">
        <v>2</v>
      </c>
      <c r="U1453" t="s">
        <v>84</v>
      </c>
      <c r="V1453" t="s">
        <v>85</v>
      </c>
      <c r="W1453" t="s">
        <v>21</v>
      </c>
      <c r="X1453">
        <v>2</v>
      </c>
      <c r="Y1453" t="s">
        <v>2455</v>
      </c>
      <c r="Z1453" t="s">
        <v>496</v>
      </c>
      <c r="AA1453">
        <v>66.92</v>
      </c>
      <c r="AB1453">
        <v>267.68</v>
      </c>
      <c r="AC1453">
        <v>133.84</v>
      </c>
    </row>
    <row r="1454" spans="2:29" ht="15" customHeight="1" x14ac:dyDescent="0.15">
      <c r="B1454">
        <v>4</v>
      </c>
      <c r="C1454" t="s">
        <v>386</v>
      </c>
      <c r="D1454" t="s">
        <v>2860</v>
      </c>
      <c r="E1454">
        <v>3</v>
      </c>
      <c r="F1454" t="s">
        <v>201</v>
      </c>
      <c r="G1454" t="s">
        <v>337</v>
      </c>
      <c r="H1454" t="s">
        <v>1132</v>
      </c>
      <c r="I1454">
        <v>24</v>
      </c>
      <c r="J1454" s="21">
        <v>46181</v>
      </c>
      <c r="K1454" s="21">
        <v>46181</v>
      </c>
      <c r="L1454" t="s">
        <v>2863</v>
      </c>
      <c r="M1454" t="s">
        <v>357</v>
      </c>
      <c r="N1454">
        <v>49</v>
      </c>
      <c r="O1454" t="s">
        <v>220</v>
      </c>
      <c r="P1454">
        <v>1</v>
      </c>
      <c r="Q1454">
        <v>0.5</v>
      </c>
      <c r="R1454">
        <v>25</v>
      </c>
      <c r="S1454">
        <v>25</v>
      </c>
      <c r="T1454">
        <v>12.5</v>
      </c>
      <c r="U1454" t="s">
        <v>84</v>
      </c>
      <c r="V1454" t="s">
        <v>85</v>
      </c>
      <c r="W1454" t="s">
        <v>21</v>
      </c>
      <c r="X1454">
        <v>2</v>
      </c>
      <c r="Y1454" t="s">
        <v>2455</v>
      </c>
      <c r="Z1454" t="s">
        <v>496</v>
      </c>
      <c r="AA1454">
        <v>1.33</v>
      </c>
      <c r="AB1454">
        <v>33.299999999999997</v>
      </c>
      <c r="AC1454">
        <v>16.649999999999999</v>
      </c>
    </row>
    <row r="1455" spans="2:29" ht="15" customHeight="1" x14ac:dyDescent="0.15">
      <c r="B1455">
        <v>4</v>
      </c>
      <c r="C1455" t="s">
        <v>386</v>
      </c>
      <c r="D1455" t="s">
        <v>2864</v>
      </c>
      <c r="E1455">
        <v>1</v>
      </c>
      <c r="F1455" t="s">
        <v>219</v>
      </c>
      <c r="G1455" t="s">
        <v>231</v>
      </c>
      <c r="H1455" t="s">
        <v>231</v>
      </c>
      <c r="I1455">
        <v>24</v>
      </c>
      <c r="J1455" s="21">
        <v>46182</v>
      </c>
      <c r="K1455" s="21">
        <v>46182</v>
      </c>
      <c r="L1455" t="s">
        <v>2865</v>
      </c>
      <c r="M1455" t="s">
        <v>2648</v>
      </c>
      <c r="N1455" s="22">
        <v>46182</v>
      </c>
      <c r="O1455" t="s">
        <v>220</v>
      </c>
      <c r="P1455">
        <v>9</v>
      </c>
      <c r="Q1455">
        <v>1.96</v>
      </c>
      <c r="R1455">
        <v>0.15</v>
      </c>
      <c r="S1455">
        <v>1.35</v>
      </c>
      <c r="T1455">
        <v>0.28999999999999998</v>
      </c>
      <c r="U1455" t="s">
        <v>122</v>
      </c>
      <c r="V1455" t="s">
        <v>123</v>
      </c>
      <c r="W1455" t="s">
        <v>75</v>
      </c>
      <c r="X1455">
        <v>4.5999999999999996</v>
      </c>
      <c r="Y1455" t="s">
        <v>2866</v>
      </c>
      <c r="Z1455" t="s">
        <v>496</v>
      </c>
      <c r="AA1455">
        <v>16.61</v>
      </c>
      <c r="AB1455">
        <v>22.42</v>
      </c>
      <c r="AC1455">
        <v>4.87</v>
      </c>
    </row>
    <row r="1456" spans="2:29" ht="15" customHeight="1" x14ac:dyDescent="0.15">
      <c r="B1456">
        <v>4</v>
      </c>
      <c r="C1456" t="s">
        <v>386</v>
      </c>
      <c r="D1456" t="s">
        <v>2864</v>
      </c>
      <c r="E1456">
        <v>2</v>
      </c>
      <c r="F1456" t="s">
        <v>219</v>
      </c>
      <c r="G1456" t="s">
        <v>239</v>
      </c>
      <c r="H1456" t="s">
        <v>520</v>
      </c>
      <c r="I1456">
        <v>24</v>
      </c>
      <c r="J1456" s="21">
        <v>46182</v>
      </c>
      <c r="K1456" s="21">
        <v>46182</v>
      </c>
      <c r="L1456" t="s">
        <v>2867</v>
      </c>
      <c r="M1456" t="s">
        <v>1340</v>
      </c>
      <c r="N1456" s="22">
        <v>46182</v>
      </c>
      <c r="O1456" t="s">
        <v>202</v>
      </c>
      <c r="P1456">
        <v>9</v>
      </c>
      <c r="Q1456">
        <v>1.96</v>
      </c>
      <c r="R1456">
        <v>0.5</v>
      </c>
      <c r="S1456">
        <v>4.5</v>
      </c>
      <c r="T1456">
        <v>0.98</v>
      </c>
      <c r="U1456" t="s">
        <v>122</v>
      </c>
      <c r="V1456" t="s">
        <v>123</v>
      </c>
      <c r="W1456" t="s">
        <v>75</v>
      </c>
      <c r="X1456">
        <v>4.5999999999999996</v>
      </c>
      <c r="Y1456" t="s">
        <v>2866</v>
      </c>
      <c r="Z1456" t="s">
        <v>496</v>
      </c>
      <c r="AA1456">
        <v>66.92</v>
      </c>
      <c r="AB1456">
        <v>301.14</v>
      </c>
      <c r="AC1456">
        <v>65.47</v>
      </c>
    </row>
    <row r="1457" spans="2:29" ht="15" customHeight="1" x14ac:dyDescent="0.15">
      <c r="B1457">
        <v>4</v>
      </c>
      <c r="C1457" t="s">
        <v>386</v>
      </c>
      <c r="D1457" t="s">
        <v>2864</v>
      </c>
      <c r="E1457">
        <v>3</v>
      </c>
      <c r="F1457" t="s">
        <v>219</v>
      </c>
      <c r="G1457" t="s">
        <v>218</v>
      </c>
      <c r="H1457" t="s">
        <v>2253</v>
      </c>
      <c r="I1457">
        <v>24</v>
      </c>
      <c r="J1457" s="21">
        <v>46182</v>
      </c>
      <c r="K1457" s="21">
        <v>46182</v>
      </c>
      <c r="L1457" t="s">
        <v>2868</v>
      </c>
      <c r="M1457" t="s">
        <v>2556</v>
      </c>
      <c r="N1457" s="22">
        <v>46182</v>
      </c>
      <c r="O1457" t="s">
        <v>220</v>
      </c>
      <c r="P1457">
        <v>9</v>
      </c>
      <c r="Q1457">
        <v>1.96</v>
      </c>
      <c r="R1457">
        <v>0.75</v>
      </c>
      <c r="S1457">
        <v>6.75</v>
      </c>
      <c r="T1457">
        <v>1.47</v>
      </c>
      <c r="U1457" t="s">
        <v>122</v>
      </c>
      <c r="V1457" t="s">
        <v>123</v>
      </c>
      <c r="W1457" t="s">
        <v>75</v>
      </c>
      <c r="X1457">
        <v>4.5999999999999996</v>
      </c>
      <c r="Y1457" t="s">
        <v>2866</v>
      </c>
      <c r="Z1457" t="s">
        <v>496</v>
      </c>
      <c r="AA1457">
        <v>216.83</v>
      </c>
      <c r="AB1457" s="22">
        <v>1463.57</v>
      </c>
      <c r="AC1457">
        <v>318.17</v>
      </c>
    </row>
    <row r="1458" spans="2:29" ht="15" customHeight="1" x14ac:dyDescent="0.15">
      <c r="B1458">
        <v>4</v>
      </c>
      <c r="C1458" t="s">
        <v>386</v>
      </c>
      <c r="D1458" t="s">
        <v>2864</v>
      </c>
      <c r="E1458">
        <v>4</v>
      </c>
      <c r="F1458" t="s">
        <v>219</v>
      </c>
      <c r="G1458" t="s">
        <v>239</v>
      </c>
      <c r="H1458" t="s">
        <v>602</v>
      </c>
      <c r="I1458">
        <v>24</v>
      </c>
      <c r="J1458" s="21">
        <v>46182</v>
      </c>
      <c r="K1458" s="21">
        <v>46182</v>
      </c>
      <c r="L1458" t="s">
        <v>2869</v>
      </c>
      <c r="M1458" t="s">
        <v>258</v>
      </c>
      <c r="N1458" s="22">
        <v>46182</v>
      </c>
      <c r="O1458" t="s">
        <v>220</v>
      </c>
      <c r="P1458">
        <v>9</v>
      </c>
      <c r="Q1458">
        <v>1.96</v>
      </c>
      <c r="R1458">
        <v>0.2</v>
      </c>
      <c r="S1458">
        <v>1.8</v>
      </c>
      <c r="T1458">
        <v>0.39</v>
      </c>
      <c r="U1458" t="s">
        <v>122</v>
      </c>
      <c r="V1458" t="s">
        <v>123</v>
      </c>
      <c r="W1458" t="s">
        <v>75</v>
      </c>
      <c r="X1458">
        <v>4.5999999999999996</v>
      </c>
      <c r="Y1458" t="s">
        <v>2866</v>
      </c>
      <c r="Z1458" t="s">
        <v>496</v>
      </c>
      <c r="AA1458">
        <v>180</v>
      </c>
      <c r="AB1458">
        <v>324</v>
      </c>
      <c r="AC1458">
        <v>70.430000000000007</v>
      </c>
    </row>
    <row r="1459" spans="2:29" ht="15" customHeight="1" x14ac:dyDescent="0.15">
      <c r="B1459">
        <v>4</v>
      </c>
      <c r="C1459" t="s">
        <v>386</v>
      </c>
      <c r="D1459" t="s">
        <v>2864</v>
      </c>
      <c r="E1459">
        <v>5</v>
      </c>
      <c r="F1459" t="s">
        <v>219</v>
      </c>
      <c r="G1459" t="s">
        <v>223</v>
      </c>
      <c r="H1459" t="s">
        <v>987</v>
      </c>
      <c r="I1459">
        <v>24</v>
      </c>
      <c r="J1459" s="21">
        <v>46182</v>
      </c>
      <c r="K1459" s="21">
        <v>46182</v>
      </c>
      <c r="L1459" t="s">
        <v>2870</v>
      </c>
      <c r="M1459" t="s">
        <v>222</v>
      </c>
      <c r="N1459" s="22">
        <v>46182</v>
      </c>
      <c r="O1459" t="s">
        <v>220</v>
      </c>
      <c r="P1459">
        <v>9</v>
      </c>
      <c r="Q1459">
        <v>1.96</v>
      </c>
      <c r="R1459">
        <v>5</v>
      </c>
      <c r="S1459">
        <v>45</v>
      </c>
      <c r="T1459">
        <v>9.7799999999999994</v>
      </c>
      <c r="U1459" t="s">
        <v>122</v>
      </c>
      <c r="V1459" t="s">
        <v>123</v>
      </c>
      <c r="W1459" t="s">
        <v>75</v>
      </c>
      <c r="X1459">
        <v>4.5999999999999996</v>
      </c>
      <c r="Y1459" t="s">
        <v>2866</v>
      </c>
      <c r="Z1459" t="s">
        <v>496</v>
      </c>
      <c r="AA1459">
        <v>13.47</v>
      </c>
      <c r="AB1459">
        <v>606.15</v>
      </c>
      <c r="AC1459">
        <v>131.77000000000001</v>
      </c>
    </row>
    <row r="1460" spans="2:29" ht="15" customHeight="1" x14ac:dyDescent="0.15">
      <c r="B1460">
        <v>4</v>
      </c>
      <c r="C1460" t="s">
        <v>386</v>
      </c>
      <c r="D1460" t="s">
        <v>2871</v>
      </c>
      <c r="E1460">
        <v>1</v>
      </c>
      <c r="F1460" t="s">
        <v>219</v>
      </c>
      <c r="G1460" t="s">
        <v>231</v>
      </c>
      <c r="H1460" t="s">
        <v>231</v>
      </c>
      <c r="I1460">
        <v>24</v>
      </c>
      <c r="J1460" s="21">
        <v>46182</v>
      </c>
      <c r="K1460" s="21">
        <v>46182</v>
      </c>
      <c r="L1460" t="s">
        <v>2872</v>
      </c>
      <c r="M1460" t="s">
        <v>2648</v>
      </c>
      <c r="N1460">
        <v>68</v>
      </c>
      <c r="O1460" t="s">
        <v>220</v>
      </c>
      <c r="P1460">
        <v>2</v>
      </c>
      <c r="Q1460">
        <v>2</v>
      </c>
      <c r="R1460">
        <v>0.15</v>
      </c>
      <c r="S1460">
        <v>0.3</v>
      </c>
      <c r="T1460">
        <v>0.3</v>
      </c>
      <c r="U1460" t="s">
        <v>68</v>
      </c>
      <c r="V1460" t="s">
        <v>69</v>
      </c>
      <c r="W1460" t="s">
        <v>21</v>
      </c>
      <c r="X1460">
        <v>1</v>
      </c>
      <c r="Y1460" t="s">
        <v>2746</v>
      </c>
      <c r="Z1460" t="s">
        <v>496</v>
      </c>
      <c r="AA1460">
        <v>16.61</v>
      </c>
      <c r="AB1460">
        <v>4.9800000000000004</v>
      </c>
      <c r="AC1460">
        <v>4.9800000000000004</v>
      </c>
    </row>
    <row r="1461" spans="2:29" ht="15" customHeight="1" x14ac:dyDescent="0.15">
      <c r="B1461">
        <v>4</v>
      </c>
      <c r="C1461" t="s">
        <v>386</v>
      </c>
      <c r="D1461" t="s">
        <v>2871</v>
      </c>
      <c r="E1461">
        <v>2</v>
      </c>
      <c r="F1461" t="s">
        <v>219</v>
      </c>
      <c r="G1461" t="s">
        <v>244</v>
      </c>
      <c r="H1461" t="s">
        <v>388</v>
      </c>
      <c r="I1461">
        <v>24</v>
      </c>
      <c r="J1461" s="21">
        <v>46182</v>
      </c>
      <c r="K1461" s="21">
        <v>46182</v>
      </c>
      <c r="L1461" t="s">
        <v>2873</v>
      </c>
      <c r="M1461" t="s">
        <v>2835</v>
      </c>
      <c r="N1461">
        <v>68</v>
      </c>
      <c r="O1461" t="s">
        <v>220</v>
      </c>
      <c r="P1461">
        <v>2</v>
      </c>
      <c r="Q1461">
        <v>2</v>
      </c>
      <c r="R1461">
        <v>0.5</v>
      </c>
      <c r="S1461">
        <v>1</v>
      </c>
      <c r="T1461">
        <v>1</v>
      </c>
      <c r="U1461" t="s">
        <v>68</v>
      </c>
      <c r="V1461" t="s">
        <v>69</v>
      </c>
      <c r="W1461" t="s">
        <v>21</v>
      </c>
      <c r="X1461">
        <v>1</v>
      </c>
      <c r="Y1461" t="s">
        <v>2746</v>
      </c>
      <c r="Z1461" t="s">
        <v>496</v>
      </c>
      <c r="AA1461">
        <v>17.7</v>
      </c>
      <c r="AB1461">
        <v>17.7</v>
      </c>
      <c r="AC1461">
        <v>17.7</v>
      </c>
    </row>
    <row r="1462" spans="2:29" ht="15" customHeight="1" x14ac:dyDescent="0.15">
      <c r="B1462">
        <v>4</v>
      </c>
      <c r="C1462" t="s">
        <v>386</v>
      </c>
      <c r="D1462" t="s">
        <v>2871</v>
      </c>
      <c r="E1462">
        <v>3</v>
      </c>
      <c r="F1462" t="s">
        <v>219</v>
      </c>
      <c r="G1462" t="s">
        <v>239</v>
      </c>
      <c r="H1462" t="s">
        <v>602</v>
      </c>
      <c r="I1462">
        <v>24</v>
      </c>
      <c r="J1462" s="21">
        <v>46182</v>
      </c>
      <c r="K1462" s="21">
        <v>46182</v>
      </c>
      <c r="L1462" t="s">
        <v>2874</v>
      </c>
      <c r="M1462" t="s">
        <v>258</v>
      </c>
      <c r="N1462">
        <v>68</v>
      </c>
      <c r="O1462" t="s">
        <v>220</v>
      </c>
      <c r="P1462">
        <v>2</v>
      </c>
      <c r="Q1462">
        <v>2</v>
      </c>
      <c r="R1462">
        <v>0.5</v>
      </c>
      <c r="S1462">
        <v>1</v>
      </c>
      <c r="T1462">
        <v>1</v>
      </c>
      <c r="U1462" t="s">
        <v>68</v>
      </c>
      <c r="V1462" t="s">
        <v>69</v>
      </c>
      <c r="W1462" t="s">
        <v>21</v>
      </c>
      <c r="X1462">
        <v>1</v>
      </c>
      <c r="Y1462" t="s">
        <v>2746</v>
      </c>
      <c r="Z1462" t="s">
        <v>496</v>
      </c>
      <c r="AA1462">
        <v>180</v>
      </c>
      <c r="AB1462">
        <v>180</v>
      </c>
      <c r="AC1462">
        <v>180</v>
      </c>
    </row>
    <row r="1463" spans="2:29" ht="15" customHeight="1" x14ac:dyDescent="0.15">
      <c r="B1463">
        <v>4</v>
      </c>
      <c r="C1463" t="s">
        <v>386</v>
      </c>
      <c r="D1463" t="s">
        <v>2871</v>
      </c>
      <c r="E1463">
        <v>4</v>
      </c>
      <c r="F1463" t="s">
        <v>219</v>
      </c>
      <c r="G1463" t="s">
        <v>239</v>
      </c>
      <c r="H1463" t="s">
        <v>2438</v>
      </c>
      <c r="I1463">
        <v>24</v>
      </c>
      <c r="J1463" s="21">
        <v>46182</v>
      </c>
      <c r="K1463" s="21">
        <v>46182</v>
      </c>
      <c r="L1463" t="s">
        <v>2875</v>
      </c>
      <c r="M1463" t="s">
        <v>2440</v>
      </c>
      <c r="N1463">
        <v>68</v>
      </c>
      <c r="O1463" t="s">
        <v>220</v>
      </c>
      <c r="P1463">
        <v>2</v>
      </c>
      <c r="Q1463">
        <v>2</v>
      </c>
      <c r="R1463">
        <v>1</v>
      </c>
      <c r="S1463">
        <v>2</v>
      </c>
      <c r="T1463">
        <v>2</v>
      </c>
      <c r="U1463" t="s">
        <v>68</v>
      </c>
      <c r="V1463" t="s">
        <v>69</v>
      </c>
      <c r="W1463" t="s">
        <v>21</v>
      </c>
      <c r="X1463">
        <v>1</v>
      </c>
      <c r="Y1463" t="s">
        <v>2746</v>
      </c>
      <c r="Z1463" t="s">
        <v>496</v>
      </c>
      <c r="AA1463">
        <v>41</v>
      </c>
      <c r="AB1463">
        <v>82</v>
      </c>
      <c r="AC1463">
        <v>82</v>
      </c>
    </row>
    <row r="1464" spans="2:29" ht="15" customHeight="1" x14ac:dyDescent="0.15">
      <c r="B1464">
        <v>4</v>
      </c>
      <c r="C1464" t="s">
        <v>386</v>
      </c>
      <c r="D1464" t="s">
        <v>2871</v>
      </c>
      <c r="E1464">
        <v>5</v>
      </c>
      <c r="F1464" t="s">
        <v>219</v>
      </c>
      <c r="G1464" t="s">
        <v>218</v>
      </c>
      <c r="H1464" t="s">
        <v>1422</v>
      </c>
      <c r="I1464">
        <v>24</v>
      </c>
      <c r="J1464" s="21">
        <v>46182</v>
      </c>
      <c r="K1464" s="21">
        <v>46182</v>
      </c>
      <c r="L1464" t="s">
        <v>2876</v>
      </c>
      <c r="M1464" t="s">
        <v>1424</v>
      </c>
      <c r="N1464">
        <v>68</v>
      </c>
      <c r="O1464" t="s">
        <v>220</v>
      </c>
      <c r="P1464">
        <v>2</v>
      </c>
      <c r="Q1464">
        <v>2</v>
      </c>
      <c r="R1464">
        <v>0.12</v>
      </c>
      <c r="S1464">
        <v>0.24</v>
      </c>
      <c r="T1464">
        <v>0.24</v>
      </c>
      <c r="U1464" t="s">
        <v>68</v>
      </c>
      <c r="V1464" t="s">
        <v>69</v>
      </c>
      <c r="W1464" t="s">
        <v>21</v>
      </c>
      <c r="X1464">
        <v>1</v>
      </c>
      <c r="Y1464" t="s">
        <v>2746</v>
      </c>
      <c r="Z1464" t="s">
        <v>496</v>
      </c>
      <c r="AA1464">
        <v>489.99</v>
      </c>
      <c r="AB1464">
        <v>117.6</v>
      </c>
      <c r="AC1464">
        <v>117.6</v>
      </c>
    </row>
    <row r="1465" spans="2:29" ht="15" customHeight="1" x14ac:dyDescent="0.15">
      <c r="B1465">
        <v>4</v>
      </c>
      <c r="C1465" t="s">
        <v>386</v>
      </c>
      <c r="D1465" t="s">
        <v>2871</v>
      </c>
      <c r="E1465">
        <v>6</v>
      </c>
      <c r="F1465" t="s">
        <v>219</v>
      </c>
      <c r="G1465" t="s">
        <v>218</v>
      </c>
      <c r="H1465" t="s">
        <v>1501</v>
      </c>
      <c r="I1465">
        <v>24</v>
      </c>
      <c r="J1465" s="21">
        <v>46182</v>
      </c>
      <c r="K1465" s="21">
        <v>46182</v>
      </c>
      <c r="L1465" t="s">
        <v>2877</v>
      </c>
      <c r="M1465" t="s">
        <v>2738</v>
      </c>
      <c r="N1465">
        <v>68</v>
      </c>
      <c r="O1465" t="s">
        <v>202</v>
      </c>
      <c r="P1465">
        <v>2</v>
      </c>
      <c r="Q1465">
        <v>2</v>
      </c>
      <c r="R1465">
        <v>0.2</v>
      </c>
      <c r="S1465">
        <v>0.4</v>
      </c>
      <c r="T1465">
        <v>0.4</v>
      </c>
      <c r="U1465" t="s">
        <v>68</v>
      </c>
      <c r="V1465" t="s">
        <v>69</v>
      </c>
      <c r="W1465" t="s">
        <v>21</v>
      </c>
      <c r="X1465">
        <v>1</v>
      </c>
      <c r="Y1465" t="s">
        <v>2746</v>
      </c>
      <c r="Z1465" t="s">
        <v>496</v>
      </c>
      <c r="AA1465">
        <v>0</v>
      </c>
      <c r="AB1465">
        <v>0</v>
      </c>
      <c r="AC1465">
        <v>0</v>
      </c>
    </row>
    <row r="1466" spans="2:29" ht="15" customHeight="1" x14ac:dyDescent="0.15">
      <c r="B1466">
        <v>4</v>
      </c>
      <c r="C1466" t="s">
        <v>386</v>
      </c>
      <c r="D1466" t="s">
        <v>2878</v>
      </c>
      <c r="E1466">
        <v>1</v>
      </c>
      <c r="F1466" t="s">
        <v>219</v>
      </c>
      <c r="G1466" t="s">
        <v>231</v>
      </c>
      <c r="H1466" t="s">
        <v>231</v>
      </c>
      <c r="I1466">
        <v>24</v>
      </c>
      <c r="J1466" s="21">
        <v>46183</v>
      </c>
      <c r="K1466" s="21">
        <v>46183</v>
      </c>
      <c r="L1466" t="s">
        <v>2879</v>
      </c>
      <c r="M1466" t="s">
        <v>2648</v>
      </c>
      <c r="N1466">
        <v>51</v>
      </c>
      <c r="O1466" t="s">
        <v>220</v>
      </c>
      <c r="P1466">
        <v>1</v>
      </c>
      <c r="Q1466">
        <v>0.5</v>
      </c>
      <c r="R1466">
        <v>0.15</v>
      </c>
      <c r="S1466">
        <v>0.15</v>
      </c>
      <c r="T1466">
        <v>0.08</v>
      </c>
      <c r="U1466" t="s">
        <v>84</v>
      </c>
      <c r="V1466" t="s">
        <v>85</v>
      </c>
      <c r="W1466" t="s">
        <v>21</v>
      </c>
      <c r="X1466">
        <v>2</v>
      </c>
      <c r="Y1466" t="s">
        <v>2629</v>
      </c>
      <c r="Z1466" t="s">
        <v>496</v>
      </c>
      <c r="AA1466">
        <v>16.61</v>
      </c>
      <c r="AB1466">
        <v>2.4900000000000002</v>
      </c>
      <c r="AC1466">
        <v>1.25</v>
      </c>
    </row>
    <row r="1467" spans="2:29" ht="15" customHeight="1" x14ac:dyDescent="0.15">
      <c r="B1467">
        <v>4</v>
      </c>
      <c r="C1467" t="s">
        <v>386</v>
      </c>
      <c r="D1467" t="s">
        <v>2878</v>
      </c>
      <c r="E1467">
        <v>2</v>
      </c>
      <c r="F1467" t="s">
        <v>219</v>
      </c>
      <c r="G1467" t="s">
        <v>239</v>
      </c>
      <c r="H1467" t="s">
        <v>520</v>
      </c>
      <c r="I1467">
        <v>24</v>
      </c>
      <c r="J1467" s="21">
        <v>46183</v>
      </c>
      <c r="K1467" s="21">
        <v>46183</v>
      </c>
      <c r="L1467" t="s">
        <v>2880</v>
      </c>
      <c r="M1467" t="s">
        <v>1340</v>
      </c>
      <c r="N1467">
        <v>51</v>
      </c>
      <c r="O1467" t="s">
        <v>202</v>
      </c>
      <c r="P1467">
        <v>1</v>
      </c>
      <c r="Q1467">
        <v>0.5</v>
      </c>
      <c r="R1467">
        <v>0.5</v>
      </c>
      <c r="S1467">
        <v>0.5</v>
      </c>
      <c r="T1467">
        <v>0.25</v>
      </c>
      <c r="U1467" t="s">
        <v>84</v>
      </c>
      <c r="V1467" t="s">
        <v>85</v>
      </c>
      <c r="W1467" t="s">
        <v>21</v>
      </c>
      <c r="X1467">
        <v>2</v>
      </c>
      <c r="Y1467" t="s">
        <v>2629</v>
      </c>
      <c r="Z1467" t="s">
        <v>496</v>
      </c>
      <c r="AA1467">
        <v>66.92</v>
      </c>
      <c r="AB1467">
        <v>33.46</v>
      </c>
      <c r="AC1467">
        <v>16.73</v>
      </c>
    </row>
    <row r="1468" spans="2:29" ht="15" customHeight="1" x14ac:dyDescent="0.15">
      <c r="B1468">
        <v>4</v>
      </c>
      <c r="C1468" t="s">
        <v>386</v>
      </c>
      <c r="D1468" t="s">
        <v>2878</v>
      </c>
      <c r="E1468">
        <v>3</v>
      </c>
      <c r="F1468" t="s">
        <v>219</v>
      </c>
      <c r="G1468" t="s">
        <v>239</v>
      </c>
      <c r="H1468" t="s">
        <v>1066</v>
      </c>
      <c r="I1468">
        <v>24</v>
      </c>
      <c r="J1468" s="21">
        <v>46183</v>
      </c>
      <c r="K1468" s="21">
        <v>46183</v>
      </c>
      <c r="L1468" t="s">
        <v>2881</v>
      </c>
      <c r="M1468" t="s">
        <v>1068</v>
      </c>
      <c r="N1468">
        <v>51</v>
      </c>
      <c r="O1468" t="s">
        <v>220</v>
      </c>
      <c r="P1468">
        <v>1</v>
      </c>
      <c r="Q1468">
        <v>0.5</v>
      </c>
      <c r="R1468">
        <v>0.5</v>
      </c>
      <c r="S1468">
        <v>0.5</v>
      </c>
      <c r="T1468">
        <v>0.25</v>
      </c>
      <c r="U1468" t="s">
        <v>84</v>
      </c>
      <c r="V1468" t="s">
        <v>85</v>
      </c>
      <c r="W1468" t="s">
        <v>21</v>
      </c>
      <c r="X1468">
        <v>2</v>
      </c>
      <c r="Y1468" t="s">
        <v>2629</v>
      </c>
      <c r="Z1468" t="s">
        <v>496</v>
      </c>
      <c r="AA1468">
        <v>138.68</v>
      </c>
      <c r="AB1468">
        <v>69.34</v>
      </c>
      <c r="AC1468">
        <v>34.67</v>
      </c>
    </row>
    <row r="1469" spans="2:29" ht="15" customHeight="1" x14ac:dyDescent="0.15">
      <c r="B1469">
        <v>4</v>
      </c>
      <c r="C1469" t="s">
        <v>386</v>
      </c>
      <c r="D1469" t="s">
        <v>2878</v>
      </c>
      <c r="E1469">
        <v>4</v>
      </c>
      <c r="F1469" t="s">
        <v>219</v>
      </c>
      <c r="G1469" t="s">
        <v>239</v>
      </c>
      <c r="H1469" t="s">
        <v>602</v>
      </c>
      <c r="I1469">
        <v>24</v>
      </c>
      <c r="J1469" s="21">
        <v>46183</v>
      </c>
      <c r="K1469" s="21">
        <v>46183</v>
      </c>
      <c r="L1469" t="s">
        <v>2882</v>
      </c>
      <c r="M1469" t="s">
        <v>258</v>
      </c>
      <c r="N1469">
        <v>51</v>
      </c>
      <c r="O1469" t="s">
        <v>220</v>
      </c>
      <c r="P1469">
        <v>1</v>
      </c>
      <c r="Q1469">
        <v>0.5</v>
      </c>
      <c r="R1469">
        <v>0.5</v>
      </c>
      <c r="S1469">
        <v>0.5</v>
      </c>
      <c r="T1469">
        <v>0.25</v>
      </c>
      <c r="U1469" t="s">
        <v>84</v>
      </c>
      <c r="V1469" t="s">
        <v>85</v>
      </c>
      <c r="W1469" t="s">
        <v>21</v>
      </c>
      <c r="X1469">
        <v>2</v>
      </c>
      <c r="Y1469" t="s">
        <v>2629</v>
      </c>
      <c r="Z1469" t="s">
        <v>496</v>
      </c>
      <c r="AA1469">
        <v>180</v>
      </c>
      <c r="AB1469">
        <v>90</v>
      </c>
      <c r="AC1469">
        <v>45</v>
      </c>
    </row>
    <row r="1470" spans="2:29" ht="15" customHeight="1" x14ac:dyDescent="0.15">
      <c r="B1470">
        <v>4</v>
      </c>
      <c r="C1470" t="s">
        <v>386</v>
      </c>
      <c r="D1470" t="s">
        <v>2878</v>
      </c>
      <c r="E1470">
        <v>5</v>
      </c>
      <c r="F1470" t="s">
        <v>219</v>
      </c>
      <c r="G1470" t="s">
        <v>239</v>
      </c>
      <c r="H1470" t="s">
        <v>2883</v>
      </c>
      <c r="I1470">
        <v>24</v>
      </c>
      <c r="J1470" s="21">
        <v>46183</v>
      </c>
      <c r="K1470" s="21">
        <v>46183</v>
      </c>
      <c r="L1470" t="s">
        <v>2884</v>
      </c>
      <c r="M1470" t="s">
        <v>2885</v>
      </c>
      <c r="N1470">
        <v>51</v>
      </c>
      <c r="O1470" t="s">
        <v>2886</v>
      </c>
      <c r="P1470">
        <v>1</v>
      </c>
      <c r="Q1470">
        <v>0.5</v>
      </c>
      <c r="R1470">
        <v>1</v>
      </c>
      <c r="S1470">
        <v>1</v>
      </c>
      <c r="T1470">
        <v>0.5</v>
      </c>
      <c r="U1470" t="s">
        <v>84</v>
      </c>
      <c r="V1470" t="s">
        <v>85</v>
      </c>
      <c r="W1470" t="s">
        <v>21</v>
      </c>
      <c r="X1470">
        <v>2</v>
      </c>
      <c r="Y1470" t="s">
        <v>2629</v>
      </c>
      <c r="Z1470" t="s">
        <v>496</v>
      </c>
      <c r="AB1470">
        <v>0</v>
      </c>
      <c r="AC1470">
        <v>0</v>
      </c>
    </row>
    <row r="1471" spans="2:29" ht="15" customHeight="1" x14ac:dyDescent="0.15">
      <c r="B1471">
        <v>4</v>
      </c>
      <c r="C1471" t="s">
        <v>386</v>
      </c>
      <c r="D1471" t="s">
        <v>2878</v>
      </c>
      <c r="E1471">
        <v>6</v>
      </c>
      <c r="F1471" t="s">
        <v>219</v>
      </c>
      <c r="G1471" t="s">
        <v>218</v>
      </c>
      <c r="H1471" t="s">
        <v>2887</v>
      </c>
      <c r="I1471">
        <v>24</v>
      </c>
      <c r="J1471" s="21">
        <v>46183</v>
      </c>
      <c r="K1471" s="21">
        <v>46183</v>
      </c>
      <c r="L1471" t="s">
        <v>2888</v>
      </c>
      <c r="M1471" t="s">
        <v>2889</v>
      </c>
      <c r="N1471">
        <v>51</v>
      </c>
      <c r="O1471" t="s">
        <v>220</v>
      </c>
      <c r="P1471">
        <v>1</v>
      </c>
      <c r="Q1471">
        <v>0.5</v>
      </c>
      <c r="R1471">
        <v>0.25</v>
      </c>
      <c r="S1471">
        <v>0.25</v>
      </c>
      <c r="T1471">
        <v>0.13</v>
      </c>
      <c r="U1471" t="s">
        <v>84</v>
      </c>
      <c r="V1471" t="s">
        <v>85</v>
      </c>
      <c r="W1471" t="s">
        <v>21</v>
      </c>
      <c r="X1471">
        <v>2</v>
      </c>
      <c r="Y1471" t="s">
        <v>2629</v>
      </c>
      <c r="Z1471" t="s">
        <v>496</v>
      </c>
      <c r="AA1471">
        <v>0</v>
      </c>
      <c r="AB1471">
        <v>0</v>
      </c>
      <c r="AC1471">
        <v>0</v>
      </c>
    </row>
    <row r="1472" spans="2:29" ht="15" customHeight="1" x14ac:dyDescent="0.15">
      <c r="B1472">
        <v>4</v>
      </c>
      <c r="C1472" t="s">
        <v>386</v>
      </c>
      <c r="D1472" t="s">
        <v>2890</v>
      </c>
      <c r="E1472">
        <v>1</v>
      </c>
      <c r="F1472" t="s">
        <v>219</v>
      </c>
      <c r="G1472" t="s">
        <v>231</v>
      </c>
      <c r="H1472" t="s">
        <v>231</v>
      </c>
      <c r="I1472">
        <v>24</v>
      </c>
      <c r="J1472" s="21">
        <v>46183</v>
      </c>
      <c r="K1472" s="21">
        <v>46184</v>
      </c>
      <c r="L1472" t="s">
        <v>2891</v>
      </c>
      <c r="M1472" t="s">
        <v>2648</v>
      </c>
      <c r="N1472">
        <v>76</v>
      </c>
      <c r="O1472" t="s">
        <v>220</v>
      </c>
      <c r="P1472">
        <v>3</v>
      </c>
      <c r="Q1472">
        <v>1.88</v>
      </c>
      <c r="R1472">
        <v>0.15</v>
      </c>
      <c r="S1472">
        <v>0.45</v>
      </c>
      <c r="T1472">
        <v>0.28000000000000003</v>
      </c>
      <c r="U1472" t="s">
        <v>60</v>
      </c>
      <c r="V1472" t="s">
        <v>61</v>
      </c>
      <c r="W1472" t="s">
        <v>21</v>
      </c>
      <c r="X1472">
        <v>1.6</v>
      </c>
      <c r="Y1472" t="s">
        <v>679</v>
      </c>
      <c r="Z1472" t="s">
        <v>496</v>
      </c>
      <c r="AA1472">
        <v>16.61</v>
      </c>
      <c r="AB1472">
        <v>7.47</v>
      </c>
      <c r="AC1472">
        <v>4.67</v>
      </c>
    </row>
    <row r="1473" spans="2:29" ht="15" customHeight="1" x14ac:dyDescent="0.15">
      <c r="B1473">
        <v>4</v>
      </c>
      <c r="C1473" t="s">
        <v>386</v>
      </c>
      <c r="D1473" t="s">
        <v>2890</v>
      </c>
      <c r="E1473">
        <v>2</v>
      </c>
      <c r="F1473" t="s">
        <v>219</v>
      </c>
      <c r="G1473" t="s">
        <v>244</v>
      </c>
      <c r="H1473" t="s">
        <v>545</v>
      </c>
      <c r="I1473">
        <v>24</v>
      </c>
      <c r="J1473" s="21">
        <v>46183</v>
      </c>
      <c r="K1473" s="21">
        <v>46184</v>
      </c>
      <c r="L1473" t="s">
        <v>2892</v>
      </c>
      <c r="M1473" t="s">
        <v>547</v>
      </c>
      <c r="N1473">
        <v>76</v>
      </c>
      <c r="O1473" t="s">
        <v>202</v>
      </c>
      <c r="P1473">
        <v>3</v>
      </c>
      <c r="Q1473">
        <v>1.88</v>
      </c>
      <c r="R1473">
        <v>0.2</v>
      </c>
      <c r="S1473">
        <v>0.6</v>
      </c>
      <c r="T1473">
        <v>0.38</v>
      </c>
      <c r="U1473" t="s">
        <v>60</v>
      </c>
      <c r="V1473" t="s">
        <v>61</v>
      </c>
      <c r="W1473" t="s">
        <v>21</v>
      </c>
      <c r="X1473">
        <v>1.6</v>
      </c>
      <c r="Y1473" t="s">
        <v>679</v>
      </c>
      <c r="Z1473" t="s">
        <v>496</v>
      </c>
      <c r="AA1473">
        <v>97</v>
      </c>
      <c r="AB1473">
        <v>58.2</v>
      </c>
      <c r="AC1473">
        <v>36.380000000000003</v>
      </c>
    </row>
    <row r="1474" spans="2:29" ht="15" customHeight="1" x14ac:dyDescent="0.15">
      <c r="B1474">
        <v>4</v>
      </c>
      <c r="C1474" t="s">
        <v>386</v>
      </c>
      <c r="D1474" t="s">
        <v>2890</v>
      </c>
      <c r="E1474">
        <v>3</v>
      </c>
      <c r="F1474" t="s">
        <v>219</v>
      </c>
      <c r="G1474" t="s">
        <v>218</v>
      </c>
      <c r="H1474" t="s">
        <v>1501</v>
      </c>
      <c r="I1474">
        <v>24</v>
      </c>
      <c r="J1474" s="21">
        <v>46183</v>
      </c>
      <c r="K1474" s="21">
        <v>46184</v>
      </c>
      <c r="L1474" t="s">
        <v>2893</v>
      </c>
      <c r="M1474" t="s">
        <v>2738</v>
      </c>
      <c r="N1474">
        <v>76</v>
      </c>
      <c r="O1474" t="s">
        <v>202</v>
      </c>
      <c r="P1474">
        <v>3</v>
      </c>
      <c r="Q1474">
        <v>1.88</v>
      </c>
      <c r="R1474">
        <v>0.2</v>
      </c>
      <c r="S1474">
        <v>0.6</v>
      </c>
      <c r="T1474">
        <v>0.38</v>
      </c>
      <c r="U1474" t="s">
        <v>60</v>
      </c>
      <c r="V1474" t="s">
        <v>61</v>
      </c>
      <c r="W1474" t="s">
        <v>21</v>
      </c>
      <c r="X1474">
        <v>1.6</v>
      </c>
      <c r="Y1474" t="s">
        <v>679</v>
      </c>
      <c r="Z1474" t="s">
        <v>496</v>
      </c>
      <c r="AA1474">
        <v>0</v>
      </c>
      <c r="AB1474">
        <v>0</v>
      </c>
      <c r="AC1474">
        <v>0</v>
      </c>
    </row>
    <row r="1475" spans="2:29" ht="15" customHeight="1" x14ac:dyDescent="0.15">
      <c r="B1475">
        <v>4</v>
      </c>
      <c r="C1475" t="s">
        <v>386</v>
      </c>
      <c r="D1475" t="s">
        <v>2890</v>
      </c>
      <c r="E1475">
        <v>4</v>
      </c>
      <c r="F1475" t="s">
        <v>219</v>
      </c>
      <c r="G1475" t="s">
        <v>218</v>
      </c>
      <c r="H1475" t="s">
        <v>1422</v>
      </c>
      <c r="I1475">
        <v>24</v>
      </c>
      <c r="J1475" s="21">
        <v>46183</v>
      </c>
      <c r="K1475" s="21">
        <v>46184</v>
      </c>
      <c r="L1475" t="s">
        <v>2894</v>
      </c>
      <c r="M1475" t="s">
        <v>1424</v>
      </c>
      <c r="N1475">
        <v>76</v>
      </c>
      <c r="O1475" t="s">
        <v>220</v>
      </c>
      <c r="P1475">
        <v>3</v>
      </c>
      <c r="Q1475">
        <v>1.88</v>
      </c>
      <c r="R1475">
        <v>0.15</v>
      </c>
      <c r="S1475">
        <v>0.45</v>
      </c>
      <c r="T1475">
        <v>0.28000000000000003</v>
      </c>
      <c r="U1475" t="s">
        <v>60</v>
      </c>
      <c r="V1475" t="s">
        <v>61</v>
      </c>
      <c r="W1475" t="s">
        <v>21</v>
      </c>
      <c r="X1475">
        <v>1.6</v>
      </c>
      <c r="Y1475" t="s">
        <v>679</v>
      </c>
      <c r="Z1475" t="s">
        <v>496</v>
      </c>
      <c r="AA1475">
        <v>489.99</v>
      </c>
      <c r="AB1475">
        <v>220.5</v>
      </c>
      <c r="AC1475">
        <v>137.81</v>
      </c>
    </row>
    <row r="1476" spans="2:29" ht="15" customHeight="1" x14ac:dyDescent="0.15">
      <c r="B1476">
        <v>4</v>
      </c>
      <c r="C1476" t="s">
        <v>386</v>
      </c>
      <c r="D1476" t="s">
        <v>2890</v>
      </c>
      <c r="E1476">
        <v>5</v>
      </c>
      <c r="F1476" t="s">
        <v>219</v>
      </c>
      <c r="G1476" t="s">
        <v>244</v>
      </c>
      <c r="H1476" t="s">
        <v>591</v>
      </c>
      <c r="I1476">
        <v>24</v>
      </c>
      <c r="J1476" s="21">
        <v>46183</v>
      </c>
      <c r="K1476" s="21">
        <v>46184</v>
      </c>
      <c r="L1476" t="s">
        <v>2895</v>
      </c>
      <c r="M1476" t="s">
        <v>593</v>
      </c>
      <c r="N1476">
        <v>76</v>
      </c>
      <c r="O1476" t="s">
        <v>220</v>
      </c>
      <c r="P1476">
        <v>3</v>
      </c>
      <c r="Q1476">
        <v>1.88</v>
      </c>
      <c r="R1476">
        <v>1</v>
      </c>
      <c r="S1476">
        <v>3</v>
      </c>
      <c r="T1476">
        <v>1.88</v>
      </c>
      <c r="U1476" t="s">
        <v>60</v>
      </c>
      <c r="V1476" t="s">
        <v>61</v>
      </c>
      <c r="W1476" t="s">
        <v>21</v>
      </c>
      <c r="X1476">
        <v>1.6</v>
      </c>
      <c r="Y1476" t="s">
        <v>679</v>
      </c>
      <c r="Z1476" t="s">
        <v>496</v>
      </c>
      <c r="AA1476">
        <v>37.58</v>
      </c>
      <c r="AB1476">
        <v>112.73</v>
      </c>
      <c r="AC1476">
        <v>70.45</v>
      </c>
    </row>
    <row r="1477" spans="2:29" ht="15" customHeight="1" x14ac:dyDescent="0.15">
      <c r="B1477">
        <v>4</v>
      </c>
      <c r="C1477" t="s">
        <v>386</v>
      </c>
      <c r="D1477" t="s">
        <v>2890</v>
      </c>
      <c r="E1477">
        <v>6</v>
      </c>
      <c r="F1477" t="s">
        <v>219</v>
      </c>
      <c r="G1477" t="s">
        <v>239</v>
      </c>
      <c r="H1477" t="s">
        <v>602</v>
      </c>
      <c r="I1477">
        <v>24</v>
      </c>
      <c r="J1477" s="21">
        <v>46183</v>
      </c>
      <c r="K1477" s="21">
        <v>46184</v>
      </c>
      <c r="L1477" t="s">
        <v>2896</v>
      </c>
      <c r="M1477" t="s">
        <v>258</v>
      </c>
      <c r="N1477">
        <v>76</v>
      </c>
      <c r="O1477" t="s">
        <v>220</v>
      </c>
      <c r="P1477">
        <v>3</v>
      </c>
      <c r="Q1477">
        <v>1.88</v>
      </c>
      <c r="R1477">
        <v>0.5</v>
      </c>
      <c r="S1477">
        <v>1.5</v>
      </c>
      <c r="T1477">
        <v>0.94</v>
      </c>
      <c r="U1477" t="s">
        <v>60</v>
      </c>
      <c r="V1477" t="s">
        <v>61</v>
      </c>
      <c r="W1477" t="s">
        <v>21</v>
      </c>
      <c r="X1477">
        <v>1.6</v>
      </c>
      <c r="Y1477" t="s">
        <v>679</v>
      </c>
      <c r="Z1477" t="s">
        <v>496</v>
      </c>
      <c r="AA1477">
        <v>180</v>
      </c>
      <c r="AB1477">
        <v>270</v>
      </c>
      <c r="AC1477">
        <v>168.75</v>
      </c>
    </row>
    <row r="1478" spans="2:29" ht="15" customHeight="1" x14ac:dyDescent="0.15">
      <c r="B1478">
        <v>4</v>
      </c>
      <c r="C1478" t="s">
        <v>386</v>
      </c>
      <c r="D1478" t="s">
        <v>2890</v>
      </c>
      <c r="E1478">
        <v>7</v>
      </c>
      <c r="F1478" t="s">
        <v>219</v>
      </c>
      <c r="G1478" t="s">
        <v>239</v>
      </c>
      <c r="H1478" t="s">
        <v>520</v>
      </c>
      <c r="I1478">
        <v>24</v>
      </c>
      <c r="J1478" s="21">
        <v>46183</v>
      </c>
      <c r="K1478" s="21">
        <v>46184</v>
      </c>
      <c r="L1478" t="s">
        <v>2897</v>
      </c>
      <c r="M1478" t="s">
        <v>1340</v>
      </c>
      <c r="N1478">
        <v>76</v>
      </c>
      <c r="O1478" t="s">
        <v>202</v>
      </c>
      <c r="P1478">
        <v>3</v>
      </c>
      <c r="Q1478">
        <v>1.88</v>
      </c>
      <c r="R1478">
        <v>0.5</v>
      </c>
      <c r="S1478">
        <v>1.5</v>
      </c>
      <c r="T1478">
        <v>0.94</v>
      </c>
      <c r="U1478" t="s">
        <v>60</v>
      </c>
      <c r="V1478" t="s">
        <v>61</v>
      </c>
      <c r="W1478" t="s">
        <v>21</v>
      </c>
      <c r="X1478">
        <v>1.6</v>
      </c>
      <c r="Y1478" t="s">
        <v>679</v>
      </c>
      <c r="Z1478" t="s">
        <v>496</v>
      </c>
      <c r="AA1478">
        <v>66.92</v>
      </c>
      <c r="AB1478">
        <v>100.38</v>
      </c>
      <c r="AC1478">
        <v>62.74</v>
      </c>
    </row>
    <row r="1479" spans="2:29" ht="15" customHeight="1" x14ac:dyDescent="0.15">
      <c r="B1479">
        <v>4</v>
      </c>
      <c r="C1479" t="s">
        <v>386</v>
      </c>
      <c r="D1479" t="s">
        <v>2898</v>
      </c>
      <c r="E1479">
        <v>1</v>
      </c>
      <c r="F1479" t="s">
        <v>219</v>
      </c>
      <c r="G1479" t="s">
        <v>231</v>
      </c>
      <c r="H1479" t="s">
        <v>231</v>
      </c>
      <c r="I1479">
        <v>24</v>
      </c>
      <c r="J1479" s="21">
        <v>46183</v>
      </c>
      <c r="K1479" s="21">
        <v>46185</v>
      </c>
      <c r="L1479" t="s">
        <v>2899</v>
      </c>
      <c r="M1479" t="s">
        <v>2648</v>
      </c>
      <c r="N1479">
        <v>55</v>
      </c>
      <c r="O1479" t="s">
        <v>220</v>
      </c>
      <c r="P1479">
        <v>2</v>
      </c>
      <c r="Q1479">
        <v>1.54</v>
      </c>
      <c r="R1479">
        <v>0.15</v>
      </c>
      <c r="S1479">
        <v>0.3</v>
      </c>
      <c r="T1479">
        <v>0.23</v>
      </c>
      <c r="U1479" t="s">
        <v>91</v>
      </c>
      <c r="V1479" t="s">
        <v>92</v>
      </c>
      <c r="W1479" t="s">
        <v>21</v>
      </c>
      <c r="X1479">
        <v>1.3</v>
      </c>
      <c r="Y1479" t="s">
        <v>679</v>
      </c>
      <c r="Z1479" t="s">
        <v>496</v>
      </c>
      <c r="AA1479">
        <v>16.61</v>
      </c>
      <c r="AB1479">
        <v>4.9800000000000004</v>
      </c>
      <c r="AC1479">
        <v>3.83</v>
      </c>
    </row>
    <row r="1480" spans="2:29" ht="15" customHeight="1" x14ac:dyDescent="0.15">
      <c r="B1480">
        <v>4</v>
      </c>
      <c r="C1480" t="s">
        <v>386</v>
      </c>
      <c r="D1480" t="s">
        <v>2898</v>
      </c>
      <c r="E1480">
        <v>2</v>
      </c>
      <c r="F1480" t="s">
        <v>219</v>
      </c>
      <c r="G1480" t="s">
        <v>244</v>
      </c>
      <c r="H1480" t="s">
        <v>545</v>
      </c>
      <c r="I1480">
        <v>24</v>
      </c>
      <c r="J1480" s="21">
        <v>46183</v>
      </c>
      <c r="K1480" s="21">
        <v>46185</v>
      </c>
      <c r="L1480" t="s">
        <v>2900</v>
      </c>
      <c r="M1480" t="s">
        <v>547</v>
      </c>
      <c r="N1480">
        <v>55</v>
      </c>
      <c r="O1480" t="s">
        <v>202</v>
      </c>
      <c r="P1480">
        <v>2</v>
      </c>
      <c r="Q1480">
        <v>1.54</v>
      </c>
      <c r="R1480">
        <v>0.2</v>
      </c>
      <c r="S1480">
        <v>0.4</v>
      </c>
      <c r="T1480">
        <v>0.31</v>
      </c>
      <c r="U1480" t="s">
        <v>91</v>
      </c>
      <c r="V1480" t="s">
        <v>92</v>
      </c>
      <c r="W1480" t="s">
        <v>21</v>
      </c>
      <c r="X1480">
        <v>1.3</v>
      </c>
      <c r="Y1480" t="s">
        <v>679</v>
      </c>
      <c r="Z1480" t="s">
        <v>496</v>
      </c>
      <c r="AA1480">
        <v>97</v>
      </c>
      <c r="AB1480">
        <v>38.799999999999997</v>
      </c>
      <c r="AC1480">
        <v>29.85</v>
      </c>
    </row>
    <row r="1481" spans="2:29" ht="15" customHeight="1" x14ac:dyDescent="0.15">
      <c r="B1481">
        <v>4</v>
      </c>
      <c r="C1481" t="s">
        <v>386</v>
      </c>
      <c r="D1481" t="s">
        <v>2898</v>
      </c>
      <c r="E1481">
        <v>3</v>
      </c>
      <c r="F1481" t="s">
        <v>219</v>
      </c>
      <c r="G1481" t="s">
        <v>218</v>
      </c>
      <c r="H1481" t="s">
        <v>1501</v>
      </c>
      <c r="I1481">
        <v>24</v>
      </c>
      <c r="J1481" s="21">
        <v>46183</v>
      </c>
      <c r="K1481" s="21">
        <v>46185</v>
      </c>
      <c r="L1481" t="s">
        <v>2901</v>
      </c>
      <c r="M1481" t="s">
        <v>2738</v>
      </c>
      <c r="N1481">
        <v>55</v>
      </c>
      <c r="O1481" t="s">
        <v>202</v>
      </c>
      <c r="P1481">
        <v>2</v>
      </c>
      <c r="Q1481">
        <v>1.54</v>
      </c>
      <c r="R1481">
        <v>0.2</v>
      </c>
      <c r="S1481">
        <v>0.4</v>
      </c>
      <c r="T1481">
        <v>0.31</v>
      </c>
      <c r="U1481" t="s">
        <v>91</v>
      </c>
      <c r="V1481" t="s">
        <v>92</v>
      </c>
      <c r="W1481" t="s">
        <v>21</v>
      </c>
      <c r="X1481">
        <v>1.3</v>
      </c>
      <c r="Y1481" t="s">
        <v>679</v>
      </c>
      <c r="Z1481" t="s">
        <v>496</v>
      </c>
      <c r="AA1481">
        <v>0</v>
      </c>
      <c r="AB1481">
        <v>0</v>
      </c>
      <c r="AC1481">
        <v>0</v>
      </c>
    </row>
    <row r="1482" spans="2:29" ht="15" customHeight="1" x14ac:dyDescent="0.15">
      <c r="B1482">
        <v>4</v>
      </c>
      <c r="C1482" t="s">
        <v>386</v>
      </c>
      <c r="D1482" t="s">
        <v>2898</v>
      </c>
      <c r="E1482">
        <v>4</v>
      </c>
      <c r="F1482" t="s">
        <v>219</v>
      </c>
      <c r="G1482" t="s">
        <v>218</v>
      </c>
      <c r="H1482" t="s">
        <v>1422</v>
      </c>
      <c r="I1482">
        <v>24</v>
      </c>
      <c r="J1482" s="21">
        <v>46183</v>
      </c>
      <c r="K1482" s="21">
        <v>46185</v>
      </c>
      <c r="L1482" t="s">
        <v>2902</v>
      </c>
      <c r="M1482" t="s">
        <v>1424</v>
      </c>
      <c r="N1482">
        <v>55</v>
      </c>
      <c r="O1482" t="s">
        <v>220</v>
      </c>
      <c r="P1482">
        <v>2</v>
      </c>
      <c r="Q1482">
        <v>1.54</v>
      </c>
      <c r="R1482">
        <v>0.15</v>
      </c>
      <c r="S1482">
        <v>0.3</v>
      </c>
      <c r="T1482">
        <v>0.23</v>
      </c>
      <c r="U1482" t="s">
        <v>91</v>
      </c>
      <c r="V1482" t="s">
        <v>92</v>
      </c>
      <c r="W1482" t="s">
        <v>21</v>
      </c>
      <c r="X1482">
        <v>1.3</v>
      </c>
      <c r="Y1482" t="s">
        <v>679</v>
      </c>
      <c r="Z1482" t="s">
        <v>496</v>
      </c>
      <c r="AA1482">
        <v>489.99</v>
      </c>
      <c r="AB1482">
        <v>147</v>
      </c>
      <c r="AC1482">
        <v>113.07</v>
      </c>
    </row>
    <row r="1483" spans="2:29" ht="15" customHeight="1" x14ac:dyDescent="0.15">
      <c r="B1483">
        <v>4</v>
      </c>
      <c r="C1483" t="s">
        <v>386</v>
      </c>
      <c r="D1483" t="s">
        <v>2898</v>
      </c>
      <c r="E1483">
        <v>5</v>
      </c>
      <c r="F1483" t="s">
        <v>219</v>
      </c>
      <c r="G1483" t="s">
        <v>244</v>
      </c>
      <c r="H1483" t="s">
        <v>591</v>
      </c>
      <c r="I1483">
        <v>24</v>
      </c>
      <c r="J1483" s="21">
        <v>46183</v>
      </c>
      <c r="K1483" s="21">
        <v>46185</v>
      </c>
      <c r="L1483" t="s">
        <v>2903</v>
      </c>
      <c r="M1483" t="s">
        <v>593</v>
      </c>
      <c r="N1483">
        <v>55</v>
      </c>
      <c r="O1483" t="s">
        <v>220</v>
      </c>
      <c r="P1483">
        <v>2</v>
      </c>
      <c r="Q1483">
        <v>1.54</v>
      </c>
      <c r="R1483">
        <v>1</v>
      </c>
      <c r="S1483">
        <v>2</v>
      </c>
      <c r="T1483">
        <v>1.54</v>
      </c>
      <c r="U1483" t="s">
        <v>91</v>
      </c>
      <c r="V1483" t="s">
        <v>92</v>
      </c>
      <c r="W1483" t="s">
        <v>21</v>
      </c>
      <c r="X1483">
        <v>1.3</v>
      </c>
      <c r="Y1483" t="s">
        <v>679</v>
      </c>
      <c r="Z1483" t="s">
        <v>496</v>
      </c>
      <c r="AA1483">
        <v>37.58</v>
      </c>
      <c r="AB1483">
        <v>75.150000000000006</v>
      </c>
      <c r="AC1483">
        <v>57.81</v>
      </c>
    </row>
    <row r="1484" spans="2:29" ht="15" customHeight="1" x14ac:dyDescent="0.15">
      <c r="B1484">
        <v>4</v>
      </c>
      <c r="C1484" t="s">
        <v>386</v>
      </c>
      <c r="D1484" t="s">
        <v>2898</v>
      </c>
      <c r="E1484">
        <v>6</v>
      </c>
      <c r="F1484" t="s">
        <v>219</v>
      </c>
      <c r="G1484" t="s">
        <v>239</v>
      </c>
      <c r="H1484" t="s">
        <v>602</v>
      </c>
      <c r="I1484">
        <v>24</v>
      </c>
      <c r="J1484" s="21">
        <v>46183</v>
      </c>
      <c r="K1484" s="21">
        <v>46185</v>
      </c>
      <c r="L1484" t="s">
        <v>2904</v>
      </c>
      <c r="M1484" t="s">
        <v>258</v>
      </c>
      <c r="N1484">
        <v>55</v>
      </c>
      <c r="O1484" t="s">
        <v>220</v>
      </c>
      <c r="P1484">
        <v>2</v>
      </c>
      <c r="Q1484">
        <v>1.54</v>
      </c>
      <c r="R1484">
        <v>0.5</v>
      </c>
      <c r="S1484">
        <v>1</v>
      </c>
      <c r="T1484">
        <v>0.77</v>
      </c>
      <c r="U1484" t="s">
        <v>91</v>
      </c>
      <c r="V1484" t="s">
        <v>92</v>
      </c>
      <c r="W1484" t="s">
        <v>21</v>
      </c>
      <c r="X1484">
        <v>1.3</v>
      </c>
      <c r="Y1484" t="s">
        <v>679</v>
      </c>
      <c r="Z1484" t="s">
        <v>496</v>
      </c>
      <c r="AA1484">
        <v>180</v>
      </c>
      <c r="AB1484">
        <v>180</v>
      </c>
      <c r="AC1484">
        <v>138.46</v>
      </c>
    </row>
    <row r="1485" spans="2:29" ht="15" customHeight="1" x14ac:dyDescent="0.15">
      <c r="B1485">
        <v>4</v>
      </c>
      <c r="C1485" t="s">
        <v>386</v>
      </c>
      <c r="D1485" t="s">
        <v>2898</v>
      </c>
      <c r="E1485">
        <v>7</v>
      </c>
      <c r="F1485" t="s">
        <v>219</v>
      </c>
      <c r="G1485" t="s">
        <v>239</v>
      </c>
      <c r="H1485" t="s">
        <v>520</v>
      </c>
      <c r="I1485">
        <v>24</v>
      </c>
      <c r="J1485" s="21">
        <v>46183</v>
      </c>
      <c r="K1485" s="21">
        <v>46185</v>
      </c>
      <c r="L1485" t="s">
        <v>2905</v>
      </c>
      <c r="M1485" t="s">
        <v>1340</v>
      </c>
      <c r="N1485">
        <v>55</v>
      </c>
      <c r="O1485" t="s">
        <v>202</v>
      </c>
      <c r="P1485">
        <v>2</v>
      </c>
      <c r="Q1485">
        <v>1.54</v>
      </c>
      <c r="R1485">
        <v>0.5</v>
      </c>
      <c r="S1485">
        <v>1</v>
      </c>
      <c r="T1485">
        <v>0.77</v>
      </c>
      <c r="U1485" t="s">
        <v>91</v>
      </c>
      <c r="V1485" t="s">
        <v>92</v>
      </c>
      <c r="W1485" t="s">
        <v>21</v>
      </c>
      <c r="X1485">
        <v>1.3</v>
      </c>
      <c r="Y1485" t="s">
        <v>679</v>
      </c>
      <c r="Z1485" t="s">
        <v>496</v>
      </c>
      <c r="AA1485">
        <v>66.92</v>
      </c>
      <c r="AB1485">
        <v>66.92</v>
      </c>
      <c r="AC1485">
        <v>51.48</v>
      </c>
    </row>
    <row r="1486" spans="2:29" ht="15" customHeight="1" x14ac:dyDescent="0.15">
      <c r="B1486">
        <v>4</v>
      </c>
      <c r="C1486" t="s">
        <v>386</v>
      </c>
      <c r="D1486" t="s">
        <v>2906</v>
      </c>
      <c r="E1486">
        <v>1</v>
      </c>
      <c r="F1486" t="s">
        <v>219</v>
      </c>
      <c r="G1486" t="s">
        <v>231</v>
      </c>
      <c r="H1486" t="s">
        <v>231</v>
      </c>
      <c r="I1486">
        <v>24</v>
      </c>
      <c r="J1486" s="21">
        <v>46183</v>
      </c>
      <c r="K1486" s="21">
        <v>46184</v>
      </c>
      <c r="L1486" t="s">
        <v>2907</v>
      </c>
      <c r="M1486" t="s">
        <v>2648</v>
      </c>
      <c r="N1486" s="22">
        <v>46184</v>
      </c>
      <c r="O1486" t="s">
        <v>220</v>
      </c>
      <c r="P1486">
        <v>6</v>
      </c>
      <c r="Q1486">
        <v>1.3</v>
      </c>
      <c r="R1486">
        <v>0.15</v>
      </c>
      <c r="S1486">
        <v>0.9</v>
      </c>
      <c r="T1486">
        <v>0.2</v>
      </c>
      <c r="U1486" t="s">
        <v>122</v>
      </c>
      <c r="V1486" t="s">
        <v>123</v>
      </c>
      <c r="W1486" t="s">
        <v>75</v>
      </c>
      <c r="X1486">
        <v>4.5999999999999996</v>
      </c>
      <c r="Y1486" t="s">
        <v>2629</v>
      </c>
      <c r="Z1486" t="s">
        <v>496</v>
      </c>
      <c r="AA1486">
        <v>16.61</v>
      </c>
      <c r="AB1486">
        <v>14.95</v>
      </c>
      <c r="AC1486">
        <v>3.25</v>
      </c>
    </row>
    <row r="1487" spans="2:29" ht="15" customHeight="1" x14ac:dyDescent="0.15">
      <c r="B1487">
        <v>4</v>
      </c>
      <c r="C1487" t="s">
        <v>386</v>
      </c>
      <c r="D1487" t="s">
        <v>2906</v>
      </c>
      <c r="E1487">
        <v>2</v>
      </c>
      <c r="F1487" t="s">
        <v>219</v>
      </c>
      <c r="G1487" t="s">
        <v>439</v>
      </c>
      <c r="H1487" t="s">
        <v>533</v>
      </c>
      <c r="I1487">
        <v>24</v>
      </c>
      <c r="J1487" s="21">
        <v>46183</v>
      </c>
      <c r="K1487" s="21">
        <v>46184</v>
      </c>
      <c r="L1487" t="s">
        <v>2908</v>
      </c>
      <c r="M1487" t="s">
        <v>535</v>
      </c>
      <c r="N1487" s="22">
        <v>46184</v>
      </c>
      <c r="O1487" t="s">
        <v>220</v>
      </c>
      <c r="P1487">
        <v>6</v>
      </c>
      <c r="Q1487">
        <v>1.3</v>
      </c>
      <c r="R1487">
        <v>1.43</v>
      </c>
      <c r="S1487">
        <v>8.58</v>
      </c>
      <c r="T1487">
        <v>1.87</v>
      </c>
      <c r="U1487" t="s">
        <v>122</v>
      </c>
      <c r="V1487" t="s">
        <v>123</v>
      </c>
      <c r="W1487" t="s">
        <v>75</v>
      </c>
      <c r="X1487">
        <v>4.5999999999999996</v>
      </c>
      <c r="Y1487" t="s">
        <v>2629</v>
      </c>
      <c r="Z1487" t="s">
        <v>496</v>
      </c>
      <c r="AA1487">
        <v>38.14</v>
      </c>
      <c r="AB1487">
        <v>327.24</v>
      </c>
      <c r="AC1487">
        <v>71.14</v>
      </c>
    </row>
    <row r="1488" spans="2:29" ht="15" customHeight="1" x14ac:dyDescent="0.15">
      <c r="B1488">
        <v>4</v>
      </c>
      <c r="C1488" t="s">
        <v>386</v>
      </c>
      <c r="D1488" t="s">
        <v>2906</v>
      </c>
      <c r="E1488">
        <v>4</v>
      </c>
      <c r="F1488" t="s">
        <v>219</v>
      </c>
      <c r="G1488" t="s">
        <v>218</v>
      </c>
      <c r="H1488" t="s">
        <v>2714</v>
      </c>
      <c r="I1488">
        <v>24</v>
      </c>
      <c r="J1488" s="21">
        <v>46183</v>
      </c>
      <c r="K1488" s="21">
        <v>46184</v>
      </c>
      <c r="L1488" t="s">
        <v>2909</v>
      </c>
      <c r="M1488" t="s">
        <v>2716</v>
      </c>
      <c r="N1488" s="22">
        <v>46184</v>
      </c>
      <c r="O1488" t="s">
        <v>220</v>
      </c>
      <c r="P1488">
        <v>6</v>
      </c>
      <c r="Q1488">
        <v>1.3</v>
      </c>
      <c r="R1488">
        <v>0.25</v>
      </c>
      <c r="S1488">
        <v>1.5</v>
      </c>
      <c r="T1488">
        <v>0.33</v>
      </c>
      <c r="U1488" t="s">
        <v>122</v>
      </c>
      <c r="V1488" t="s">
        <v>123</v>
      </c>
      <c r="W1488" t="s">
        <v>75</v>
      </c>
      <c r="X1488">
        <v>4.5999999999999996</v>
      </c>
      <c r="Y1488" t="s">
        <v>2629</v>
      </c>
      <c r="Z1488" t="s">
        <v>496</v>
      </c>
      <c r="AA1488">
        <v>50</v>
      </c>
      <c r="AB1488">
        <v>75</v>
      </c>
      <c r="AC1488">
        <v>16.3</v>
      </c>
    </row>
    <row r="1489" spans="2:29" ht="15" customHeight="1" x14ac:dyDescent="0.15">
      <c r="B1489">
        <v>4</v>
      </c>
      <c r="C1489" t="s">
        <v>386</v>
      </c>
      <c r="D1489" t="s">
        <v>2910</v>
      </c>
      <c r="E1489">
        <v>1</v>
      </c>
      <c r="F1489" t="s">
        <v>219</v>
      </c>
      <c r="G1489" t="s">
        <v>231</v>
      </c>
      <c r="H1489" t="s">
        <v>231</v>
      </c>
      <c r="I1489">
        <v>24</v>
      </c>
      <c r="J1489" s="21">
        <v>46185</v>
      </c>
      <c r="K1489" s="21">
        <v>46188</v>
      </c>
      <c r="L1489" t="s">
        <v>2911</v>
      </c>
      <c r="M1489" t="s">
        <v>2648</v>
      </c>
      <c r="N1489">
        <v>56</v>
      </c>
      <c r="O1489" t="s">
        <v>220</v>
      </c>
      <c r="P1489">
        <v>3</v>
      </c>
      <c r="Q1489">
        <v>1.5</v>
      </c>
      <c r="R1489">
        <v>0.15</v>
      </c>
      <c r="S1489">
        <v>0.45</v>
      </c>
      <c r="T1489">
        <v>0.23</v>
      </c>
      <c r="U1489" t="s">
        <v>84</v>
      </c>
      <c r="V1489" t="s">
        <v>85</v>
      </c>
      <c r="W1489" t="s">
        <v>21</v>
      </c>
      <c r="X1489">
        <v>2</v>
      </c>
      <c r="Y1489" t="s">
        <v>679</v>
      </c>
      <c r="Z1489" t="s">
        <v>496</v>
      </c>
      <c r="AA1489">
        <v>16.61</v>
      </c>
      <c r="AB1489">
        <v>7.47</v>
      </c>
      <c r="AC1489">
        <v>3.74</v>
      </c>
    </row>
    <row r="1490" spans="2:29" ht="15" customHeight="1" x14ac:dyDescent="0.15">
      <c r="B1490">
        <v>4</v>
      </c>
      <c r="C1490" t="s">
        <v>386</v>
      </c>
      <c r="D1490" t="s">
        <v>2910</v>
      </c>
      <c r="E1490">
        <v>2</v>
      </c>
      <c r="F1490" t="s">
        <v>219</v>
      </c>
      <c r="G1490" t="s">
        <v>218</v>
      </c>
      <c r="H1490" t="s">
        <v>2305</v>
      </c>
      <c r="I1490">
        <v>24</v>
      </c>
      <c r="J1490" s="21">
        <v>46185</v>
      </c>
      <c r="K1490" s="21">
        <v>46188</v>
      </c>
      <c r="L1490" t="s">
        <v>2912</v>
      </c>
      <c r="M1490" t="s">
        <v>255</v>
      </c>
      <c r="N1490">
        <v>56</v>
      </c>
      <c r="O1490" t="s">
        <v>202</v>
      </c>
      <c r="P1490">
        <v>3</v>
      </c>
      <c r="Q1490">
        <v>1.5</v>
      </c>
      <c r="R1490">
        <v>0.4</v>
      </c>
      <c r="S1490">
        <v>1.2</v>
      </c>
      <c r="T1490">
        <v>0.6</v>
      </c>
      <c r="U1490" t="s">
        <v>84</v>
      </c>
      <c r="V1490" t="s">
        <v>85</v>
      </c>
      <c r="W1490" t="s">
        <v>21</v>
      </c>
      <c r="X1490">
        <v>2</v>
      </c>
      <c r="Y1490" t="s">
        <v>679</v>
      </c>
      <c r="Z1490" t="s">
        <v>496</v>
      </c>
      <c r="AA1490">
        <v>37.5</v>
      </c>
      <c r="AB1490">
        <v>45</v>
      </c>
      <c r="AC1490">
        <v>22.5</v>
      </c>
    </row>
    <row r="1491" spans="2:29" ht="15" customHeight="1" x14ac:dyDescent="0.15">
      <c r="B1491">
        <v>4</v>
      </c>
      <c r="C1491" t="s">
        <v>386</v>
      </c>
      <c r="D1491" t="s">
        <v>2910</v>
      </c>
      <c r="E1491">
        <v>3</v>
      </c>
      <c r="F1491" t="s">
        <v>219</v>
      </c>
      <c r="G1491" t="s">
        <v>218</v>
      </c>
      <c r="H1491" t="s">
        <v>485</v>
      </c>
      <c r="I1491">
        <v>24</v>
      </c>
      <c r="J1491" s="21">
        <v>46185</v>
      </c>
      <c r="K1491" s="21">
        <v>46188</v>
      </c>
      <c r="L1491" t="s">
        <v>2913</v>
      </c>
      <c r="M1491" t="s">
        <v>1316</v>
      </c>
      <c r="N1491">
        <v>56</v>
      </c>
      <c r="O1491" t="s">
        <v>220</v>
      </c>
      <c r="P1491">
        <v>3</v>
      </c>
      <c r="Q1491">
        <v>1.5</v>
      </c>
      <c r="R1491">
        <v>0.5</v>
      </c>
      <c r="S1491">
        <v>1.5</v>
      </c>
      <c r="T1491">
        <v>0.75</v>
      </c>
      <c r="U1491" t="s">
        <v>84</v>
      </c>
      <c r="V1491" t="s">
        <v>85</v>
      </c>
      <c r="W1491" t="s">
        <v>21</v>
      </c>
      <c r="X1491">
        <v>2</v>
      </c>
      <c r="Y1491" t="s">
        <v>679</v>
      </c>
      <c r="Z1491" t="s">
        <v>496</v>
      </c>
      <c r="AA1491">
        <v>92.82</v>
      </c>
      <c r="AB1491">
        <v>139.22999999999999</v>
      </c>
      <c r="AC1491">
        <v>69.62</v>
      </c>
    </row>
    <row r="1492" spans="2:29" ht="15" customHeight="1" x14ac:dyDescent="0.15">
      <c r="B1492">
        <v>4</v>
      </c>
      <c r="C1492" t="s">
        <v>386</v>
      </c>
      <c r="D1492" t="s">
        <v>2910</v>
      </c>
      <c r="E1492">
        <v>4</v>
      </c>
      <c r="F1492" t="s">
        <v>219</v>
      </c>
      <c r="G1492" t="s">
        <v>239</v>
      </c>
      <c r="H1492" t="s">
        <v>1752</v>
      </c>
      <c r="I1492">
        <v>24</v>
      </c>
      <c r="J1492" s="21">
        <v>46185</v>
      </c>
      <c r="K1492" s="21">
        <v>46188</v>
      </c>
      <c r="L1492" t="s">
        <v>2914</v>
      </c>
      <c r="M1492" t="s">
        <v>1754</v>
      </c>
      <c r="N1492">
        <v>56</v>
      </c>
      <c r="O1492" t="s">
        <v>220</v>
      </c>
      <c r="P1492">
        <v>3</v>
      </c>
      <c r="Q1492">
        <v>1.5</v>
      </c>
      <c r="R1492">
        <v>1.4999999999999999E-2</v>
      </c>
      <c r="S1492">
        <v>4.4999999999999998E-2</v>
      </c>
      <c r="T1492">
        <v>0.02</v>
      </c>
      <c r="U1492" t="s">
        <v>84</v>
      </c>
      <c r="V1492" t="s">
        <v>85</v>
      </c>
      <c r="W1492" t="s">
        <v>21</v>
      </c>
      <c r="X1492">
        <v>2</v>
      </c>
      <c r="Y1492" t="s">
        <v>679</v>
      </c>
      <c r="Z1492" t="s">
        <v>496</v>
      </c>
      <c r="AA1492">
        <v>0</v>
      </c>
      <c r="AB1492">
        <v>0</v>
      </c>
      <c r="AC1492">
        <v>0</v>
      </c>
    </row>
    <row r="1493" spans="2:29" ht="15" customHeight="1" x14ac:dyDescent="0.15">
      <c r="B1493">
        <v>4</v>
      </c>
      <c r="C1493" t="s">
        <v>386</v>
      </c>
      <c r="D1493" t="s">
        <v>2910</v>
      </c>
      <c r="E1493">
        <v>5</v>
      </c>
      <c r="F1493" t="s">
        <v>219</v>
      </c>
      <c r="G1493" t="s">
        <v>244</v>
      </c>
      <c r="H1493" t="s">
        <v>511</v>
      </c>
      <c r="I1493">
        <v>24</v>
      </c>
      <c r="J1493" s="21">
        <v>46185</v>
      </c>
      <c r="K1493" s="21">
        <v>46188</v>
      </c>
      <c r="L1493" t="s">
        <v>2915</v>
      </c>
      <c r="M1493" t="s">
        <v>1243</v>
      </c>
      <c r="N1493">
        <v>56</v>
      </c>
      <c r="O1493" t="s">
        <v>220</v>
      </c>
      <c r="P1493">
        <v>3</v>
      </c>
      <c r="Q1493">
        <v>1.5</v>
      </c>
      <c r="R1493">
        <v>0.2</v>
      </c>
      <c r="S1493">
        <v>0.6</v>
      </c>
      <c r="T1493">
        <v>0.3</v>
      </c>
      <c r="U1493" t="s">
        <v>84</v>
      </c>
      <c r="V1493" t="s">
        <v>85</v>
      </c>
      <c r="W1493" t="s">
        <v>21</v>
      </c>
      <c r="X1493">
        <v>2</v>
      </c>
      <c r="Y1493" t="s">
        <v>679</v>
      </c>
      <c r="Z1493" t="s">
        <v>496</v>
      </c>
      <c r="AA1493">
        <v>269</v>
      </c>
      <c r="AB1493">
        <v>161.4</v>
      </c>
      <c r="AC1493">
        <v>80.7</v>
      </c>
    </row>
    <row r="1494" spans="2:29" ht="15" customHeight="1" x14ac:dyDescent="0.15">
      <c r="B1494">
        <v>4</v>
      </c>
      <c r="C1494" t="s">
        <v>386</v>
      </c>
      <c r="D1494" t="s">
        <v>2910</v>
      </c>
      <c r="E1494">
        <v>6</v>
      </c>
      <c r="F1494" t="s">
        <v>219</v>
      </c>
      <c r="G1494" t="s">
        <v>244</v>
      </c>
      <c r="H1494" t="s">
        <v>571</v>
      </c>
      <c r="I1494">
        <v>24</v>
      </c>
      <c r="J1494" s="21">
        <v>46185</v>
      </c>
      <c r="K1494" s="21">
        <v>46188</v>
      </c>
      <c r="L1494" t="s">
        <v>2916</v>
      </c>
      <c r="M1494" t="s">
        <v>2443</v>
      </c>
      <c r="N1494">
        <v>56</v>
      </c>
      <c r="O1494" t="s">
        <v>220</v>
      </c>
      <c r="P1494">
        <v>1</v>
      </c>
      <c r="Q1494">
        <v>0.5</v>
      </c>
      <c r="R1494">
        <v>0.5</v>
      </c>
      <c r="S1494">
        <v>0.5</v>
      </c>
      <c r="T1494">
        <v>0.25</v>
      </c>
      <c r="U1494" t="s">
        <v>84</v>
      </c>
      <c r="V1494" t="s">
        <v>85</v>
      </c>
      <c r="W1494" t="s">
        <v>21</v>
      </c>
      <c r="X1494">
        <v>2</v>
      </c>
      <c r="Y1494" t="s">
        <v>679</v>
      </c>
      <c r="Z1494" t="s">
        <v>496</v>
      </c>
      <c r="AA1494">
        <v>59.5</v>
      </c>
      <c r="AB1494">
        <v>29.75</v>
      </c>
      <c r="AC1494">
        <v>14.88</v>
      </c>
    </row>
    <row r="1495" spans="2:29" ht="15" customHeight="1" x14ac:dyDescent="0.15">
      <c r="B1495">
        <v>4</v>
      </c>
      <c r="C1495" t="s">
        <v>386</v>
      </c>
      <c r="D1495" t="s">
        <v>2910</v>
      </c>
      <c r="E1495">
        <v>7</v>
      </c>
      <c r="F1495" t="s">
        <v>219</v>
      </c>
      <c r="G1495" t="s">
        <v>244</v>
      </c>
      <c r="H1495" t="s">
        <v>571</v>
      </c>
      <c r="I1495">
        <v>24</v>
      </c>
      <c r="J1495" s="21">
        <v>46185</v>
      </c>
      <c r="K1495" s="21">
        <v>46188</v>
      </c>
      <c r="L1495" t="s">
        <v>2917</v>
      </c>
      <c r="M1495" t="s">
        <v>573</v>
      </c>
      <c r="N1495">
        <v>56</v>
      </c>
      <c r="O1495" t="s">
        <v>220</v>
      </c>
      <c r="P1495">
        <v>1</v>
      </c>
      <c r="Q1495">
        <v>0.5</v>
      </c>
      <c r="R1495">
        <v>0.1</v>
      </c>
      <c r="S1495">
        <v>0.1</v>
      </c>
      <c r="T1495">
        <v>0.05</v>
      </c>
      <c r="U1495" t="s">
        <v>84</v>
      </c>
      <c r="V1495" t="s">
        <v>85</v>
      </c>
      <c r="W1495" t="s">
        <v>21</v>
      </c>
      <c r="X1495">
        <v>2</v>
      </c>
      <c r="Y1495" t="s">
        <v>679</v>
      </c>
      <c r="Z1495" t="s">
        <v>496</v>
      </c>
      <c r="AA1495">
        <v>73.98</v>
      </c>
      <c r="AB1495">
        <v>7.4</v>
      </c>
      <c r="AC1495">
        <v>3.7</v>
      </c>
    </row>
    <row r="1496" spans="2:29" ht="15" customHeight="1" x14ac:dyDescent="0.15">
      <c r="B1496">
        <v>4</v>
      </c>
      <c r="C1496" t="s">
        <v>386</v>
      </c>
      <c r="D1496" t="s">
        <v>2910</v>
      </c>
      <c r="E1496">
        <v>8</v>
      </c>
      <c r="F1496" t="s">
        <v>219</v>
      </c>
      <c r="G1496" t="s">
        <v>244</v>
      </c>
      <c r="H1496" t="s">
        <v>1605</v>
      </c>
      <c r="I1496">
        <v>24</v>
      </c>
      <c r="J1496" s="21">
        <v>46185</v>
      </c>
      <c r="K1496" s="21">
        <v>46188</v>
      </c>
      <c r="L1496" t="s">
        <v>2918</v>
      </c>
      <c r="M1496" t="s">
        <v>295</v>
      </c>
      <c r="N1496">
        <v>56</v>
      </c>
      <c r="O1496" t="s">
        <v>220</v>
      </c>
      <c r="P1496">
        <v>1</v>
      </c>
      <c r="Q1496">
        <v>0.5</v>
      </c>
      <c r="R1496">
        <v>0.3</v>
      </c>
      <c r="S1496">
        <v>0.3</v>
      </c>
      <c r="T1496">
        <v>0.15</v>
      </c>
      <c r="U1496" t="s">
        <v>84</v>
      </c>
      <c r="V1496" t="s">
        <v>85</v>
      </c>
      <c r="W1496" t="s">
        <v>21</v>
      </c>
      <c r="X1496">
        <v>2</v>
      </c>
      <c r="Y1496" t="s">
        <v>679</v>
      </c>
      <c r="Z1496" t="s">
        <v>496</v>
      </c>
      <c r="AA1496">
        <v>77.31</v>
      </c>
      <c r="AB1496">
        <v>23.19</v>
      </c>
      <c r="AC1496">
        <v>11.6</v>
      </c>
    </row>
    <row r="1497" spans="2:29" ht="15" customHeight="1" x14ac:dyDescent="0.15">
      <c r="B1497">
        <v>4</v>
      </c>
      <c r="C1497" t="s">
        <v>386</v>
      </c>
      <c r="D1497" t="s">
        <v>2910</v>
      </c>
      <c r="E1497">
        <v>9</v>
      </c>
      <c r="F1497" t="s">
        <v>219</v>
      </c>
      <c r="G1497" t="s">
        <v>244</v>
      </c>
      <c r="H1497" t="s">
        <v>409</v>
      </c>
      <c r="I1497">
        <v>24</v>
      </c>
      <c r="J1497" s="21">
        <v>46185</v>
      </c>
      <c r="K1497" s="21">
        <v>46188</v>
      </c>
      <c r="L1497" t="s">
        <v>2919</v>
      </c>
      <c r="M1497" t="s">
        <v>411</v>
      </c>
      <c r="N1497">
        <v>56</v>
      </c>
      <c r="O1497" t="s">
        <v>220</v>
      </c>
      <c r="P1497">
        <v>1</v>
      </c>
      <c r="Q1497">
        <v>0.5</v>
      </c>
      <c r="R1497">
        <v>0.1</v>
      </c>
      <c r="S1497">
        <v>0.1</v>
      </c>
      <c r="T1497">
        <v>0.05</v>
      </c>
      <c r="U1497" t="s">
        <v>84</v>
      </c>
      <c r="V1497" t="s">
        <v>85</v>
      </c>
      <c r="W1497" t="s">
        <v>21</v>
      </c>
      <c r="X1497">
        <v>2</v>
      </c>
      <c r="Y1497" t="s">
        <v>679</v>
      </c>
      <c r="Z1497" t="s">
        <v>496</v>
      </c>
      <c r="AA1497">
        <v>39.9</v>
      </c>
      <c r="AB1497">
        <v>3.99</v>
      </c>
      <c r="AC1497">
        <v>2</v>
      </c>
    </row>
    <row r="1498" spans="2:29" ht="15" customHeight="1" x14ac:dyDescent="0.15">
      <c r="B1498">
        <v>4</v>
      </c>
      <c r="C1498" t="s">
        <v>386</v>
      </c>
      <c r="D1498" t="s">
        <v>2910</v>
      </c>
      <c r="E1498">
        <v>10</v>
      </c>
      <c r="F1498" t="s">
        <v>219</v>
      </c>
      <c r="G1498" t="s">
        <v>244</v>
      </c>
      <c r="H1498" t="s">
        <v>2920</v>
      </c>
      <c r="I1498">
        <v>24</v>
      </c>
      <c r="J1498" s="21">
        <v>46185</v>
      </c>
      <c r="K1498" s="21">
        <v>46188</v>
      </c>
      <c r="L1498" t="s">
        <v>2921</v>
      </c>
      <c r="M1498" t="s">
        <v>2922</v>
      </c>
      <c r="N1498">
        <v>56</v>
      </c>
      <c r="O1498" t="s">
        <v>202</v>
      </c>
      <c r="P1498">
        <v>1</v>
      </c>
      <c r="Q1498">
        <v>0.5</v>
      </c>
      <c r="R1498">
        <v>0.5</v>
      </c>
      <c r="S1498">
        <v>0.5</v>
      </c>
      <c r="T1498">
        <v>0.25</v>
      </c>
      <c r="U1498" t="s">
        <v>84</v>
      </c>
      <c r="V1498" t="s">
        <v>85</v>
      </c>
      <c r="W1498" t="s">
        <v>21</v>
      </c>
      <c r="X1498">
        <v>2</v>
      </c>
      <c r="Y1498" t="s">
        <v>679</v>
      </c>
      <c r="Z1498" t="s">
        <v>496</v>
      </c>
      <c r="AA1498">
        <v>118</v>
      </c>
      <c r="AB1498">
        <v>59</v>
      </c>
      <c r="AC1498">
        <v>29.5</v>
      </c>
    </row>
    <row r="1499" spans="2:29" ht="15" customHeight="1" x14ac:dyDescent="0.15">
      <c r="B1499">
        <v>4</v>
      </c>
      <c r="C1499" t="s">
        <v>386</v>
      </c>
      <c r="D1499" t="s">
        <v>2910</v>
      </c>
      <c r="E1499">
        <v>11</v>
      </c>
      <c r="F1499" t="s">
        <v>219</v>
      </c>
      <c r="G1499" t="s">
        <v>239</v>
      </c>
      <c r="H1499" t="s">
        <v>517</v>
      </c>
      <c r="I1499">
        <v>24</v>
      </c>
      <c r="J1499" s="21">
        <v>46185</v>
      </c>
      <c r="K1499" s="21">
        <v>46188</v>
      </c>
      <c r="L1499" t="s">
        <v>2923</v>
      </c>
      <c r="M1499" t="s">
        <v>614</v>
      </c>
      <c r="N1499">
        <v>56</v>
      </c>
      <c r="O1499" t="s">
        <v>202</v>
      </c>
      <c r="P1499">
        <v>3</v>
      </c>
      <c r="Q1499">
        <v>1.5</v>
      </c>
      <c r="R1499">
        <v>0.5</v>
      </c>
      <c r="S1499">
        <v>1.5</v>
      </c>
      <c r="T1499">
        <v>0.75</v>
      </c>
      <c r="U1499" t="s">
        <v>84</v>
      </c>
      <c r="V1499" t="s">
        <v>85</v>
      </c>
      <c r="W1499" t="s">
        <v>21</v>
      </c>
      <c r="X1499">
        <v>2</v>
      </c>
      <c r="Y1499" t="s">
        <v>679</v>
      </c>
      <c r="Z1499" t="s">
        <v>496</v>
      </c>
      <c r="AA1499">
        <v>65</v>
      </c>
      <c r="AB1499">
        <v>97.5</v>
      </c>
      <c r="AC1499">
        <v>48.75</v>
      </c>
    </row>
    <row r="1500" spans="2:29" ht="15" customHeight="1" x14ac:dyDescent="0.15">
      <c r="B1500">
        <v>4</v>
      </c>
      <c r="C1500" t="s">
        <v>386</v>
      </c>
      <c r="D1500" t="s">
        <v>2910</v>
      </c>
      <c r="E1500">
        <v>12</v>
      </c>
      <c r="F1500" t="s">
        <v>219</v>
      </c>
      <c r="G1500" t="s">
        <v>218</v>
      </c>
      <c r="H1500" t="s">
        <v>400</v>
      </c>
      <c r="I1500">
        <v>24</v>
      </c>
      <c r="J1500" s="21">
        <v>46185</v>
      </c>
      <c r="K1500" s="21">
        <v>46188</v>
      </c>
      <c r="L1500" t="s">
        <v>2924</v>
      </c>
      <c r="M1500" t="s">
        <v>2362</v>
      </c>
      <c r="N1500">
        <v>56</v>
      </c>
      <c r="O1500" t="s">
        <v>220</v>
      </c>
      <c r="P1500">
        <v>3</v>
      </c>
      <c r="Q1500">
        <v>1.5</v>
      </c>
      <c r="R1500">
        <v>0.25</v>
      </c>
      <c r="S1500">
        <v>0.75</v>
      </c>
      <c r="T1500">
        <v>0.38</v>
      </c>
      <c r="U1500" t="s">
        <v>84</v>
      </c>
      <c r="V1500" t="s">
        <v>85</v>
      </c>
      <c r="W1500" t="s">
        <v>21</v>
      </c>
      <c r="X1500">
        <v>2</v>
      </c>
      <c r="Y1500" t="s">
        <v>679</v>
      </c>
      <c r="Z1500" t="s">
        <v>496</v>
      </c>
      <c r="AA1500">
        <v>52.5</v>
      </c>
      <c r="AB1500">
        <v>39.380000000000003</v>
      </c>
      <c r="AC1500">
        <v>19.690000000000001</v>
      </c>
    </row>
    <row r="1501" spans="2:29" ht="15" customHeight="1" x14ac:dyDescent="0.15">
      <c r="B1501">
        <v>4</v>
      </c>
      <c r="C1501" t="s">
        <v>386</v>
      </c>
      <c r="D1501" t="s">
        <v>2910</v>
      </c>
      <c r="E1501">
        <v>13</v>
      </c>
      <c r="F1501" t="s">
        <v>219</v>
      </c>
      <c r="G1501" t="s">
        <v>218</v>
      </c>
      <c r="H1501" t="s">
        <v>1422</v>
      </c>
      <c r="I1501">
        <v>24</v>
      </c>
      <c r="J1501" s="21">
        <v>46185</v>
      </c>
      <c r="K1501" s="21">
        <v>46188</v>
      </c>
      <c r="L1501" t="s">
        <v>2925</v>
      </c>
      <c r="M1501" t="s">
        <v>1424</v>
      </c>
      <c r="N1501">
        <v>56</v>
      </c>
      <c r="O1501" t="s">
        <v>220</v>
      </c>
      <c r="P1501">
        <v>3</v>
      </c>
      <c r="Q1501">
        <v>1.5</v>
      </c>
      <c r="R1501">
        <v>0.15</v>
      </c>
      <c r="S1501">
        <v>0.45</v>
      </c>
      <c r="T1501">
        <v>0.23</v>
      </c>
      <c r="U1501" t="s">
        <v>84</v>
      </c>
      <c r="V1501" t="s">
        <v>85</v>
      </c>
      <c r="W1501" t="s">
        <v>21</v>
      </c>
      <c r="X1501">
        <v>2</v>
      </c>
      <c r="Y1501" t="s">
        <v>679</v>
      </c>
      <c r="Z1501" t="s">
        <v>496</v>
      </c>
      <c r="AA1501">
        <v>489.99</v>
      </c>
      <c r="AB1501">
        <v>220.5</v>
      </c>
      <c r="AC1501">
        <v>110.25</v>
      </c>
    </row>
    <row r="1502" spans="2:29" ht="15" customHeight="1" x14ac:dyDescent="0.15">
      <c r="B1502">
        <v>4</v>
      </c>
      <c r="C1502" t="s">
        <v>386</v>
      </c>
      <c r="D1502" t="s">
        <v>2926</v>
      </c>
      <c r="E1502">
        <v>1</v>
      </c>
      <c r="F1502" t="s">
        <v>219</v>
      </c>
      <c r="G1502" t="s">
        <v>231</v>
      </c>
      <c r="H1502" t="s">
        <v>231</v>
      </c>
      <c r="I1502">
        <v>24</v>
      </c>
      <c r="J1502" s="21">
        <v>46185</v>
      </c>
      <c r="K1502" s="21">
        <v>46185</v>
      </c>
      <c r="L1502" t="s">
        <v>2927</v>
      </c>
      <c r="M1502" t="s">
        <v>2648</v>
      </c>
      <c r="N1502">
        <v>71</v>
      </c>
      <c r="O1502" t="s">
        <v>220</v>
      </c>
      <c r="P1502">
        <v>2</v>
      </c>
      <c r="Q1502">
        <v>0.65</v>
      </c>
      <c r="R1502">
        <v>0.15</v>
      </c>
      <c r="S1502">
        <v>0.22500000000000001</v>
      </c>
      <c r="T1502">
        <v>0.1</v>
      </c>
      <c r="U1502" t="s">
        <v>80</v>
      </c>
      <c r="V1502" t="s">
        <v>81</v>
      </c>
      <c r="W1502" t="s">
        <v>21</v>
      </c>
      <c r="X1502">
        <v>2.2999999999999998</v>
      </c>
      <c r="Y1502" t="s">
        <v>2629</v>
      </c>
      <c r="Z1502" t="s">
        <v>496</v>
      </c>
      <c r="AA1502">
        <v>16.61</v>
      </c>
      <c r="AB1502">
        <v>3.74</v>
      </c>
      <c r="AC1502">
        <v>1.62</v>
      </c>
    </row>
    <row r="1503" spans="2:29" ht="15" customHeight="1" x14ac:dyDescent="0.15">
      <c r="B1503">
        <v>4</v>
      </c>
      <c r="C1503" t="s">
        <v>386</v>
      </c>
      <c r="D1503" t="s">
        <v>2926</v>
      </c>
      <c r="E1503">
        <v>2</v>
      </c>
      <c r="F1503" t="s">
        <v>219</v>
      </c>
      <c r="G1503" t="s">
        <v>439</v>
      </c>
      <c r="H1503" t="s">
        <v>2928</v>
      </c>
      <c r="I1503">
        <v>24</v>
      </c>
      <c r="J1503" s="21">
        <v>46185</v>
      </c>
      <c r="K1503" s="21">
        <v>46185</v>
      </c>
      <c r="L1503" t="s">
        <v>2929</v>
      </c>
      <c r="M1503" t="s">
        <v>2930</v>
      </c>
      <c r="N1503">
        <v>71</v>
      </c>
      <c r="O1503" t="s">
        <v>220</v>
      </c>
      <c r="P1503">
        <v>2</v>
      </c>
      <c r="Q1503">
        <v>0.65</v>
      </c>
      <c r="R1503">
        <v>2</v>
      </c>
      <c r="S1503">
        <v>3</v>
      </c>
      <c r="T1503">
        <v>1.3</v>
      </c>
      <c r="U1503" t="s">
        <v>80</v>
      </c>
      <c r="V1503" t="s">
        <v>81</v>
      </c>
      <c r="W1503" t="s">
        <v>21</v>
      </c>
      <c r="X1503">
        <v>2.2999999999999998</v>
      </c>
      <c r="Y1503" t="s">
        <v>2594</v>
      </c>
      <c r="Z1503" t="s">
        <v>496</v>
      </c>
      <c r="AA1503">
        <v>50</v>
      </c>
      <c r="AB1503">
        <v>150</v>
      </c>
      <c r="AC1503">
        <v>65.22</v>
      </c>
    </row>
    <row r="1504" spans="2:29" ht="15" customHeight="1" x14ac:dyDescent="0.15">
      <c r="B1504">
        <v>4</v>
      </c>
      <c r="C1504" t="s">
        <v>386</v>
      </c>
      <c r="D1504" t="s">
        <v>2931</v>
      </c>
      <c r="E1504">
        <v>1</v>
      </c>
      <c r="F1504" t="s">
        <v>219</v>
      </c>
      <c r="G1504" t="s">
        <v>231</v>
      </c>
      <c r="H1504" t="s">
        <v>231</v>
      </c>
      <c r="I1504">
        <v>24</v>
      </c>
      <c r="J1504" s="21">
        <v>46186</v>
      </c>
      <c r="K1504" s="21">
        <v>46186</v>
      </c>
      <c r="L1504" t="s">
        <v>2932</v>
      </c>
      <c r="M1504" t="s">
        <v>2648</v>
      </c>
      <c r="N1504">
        <v>46</v>
      </c>
      <c r="O1504" t="s">
        <v>220</v>
      </c>
      <c r="P1504">
        <v>9</v>
      </c>
      <c r="Q1504">
        <v>1.23</v>
      </c>
      <c r="R1504">
        <v>0.15</v>
      </c>
      <c r="S1504">
        <v>1.35</v>
      </c>
      <c r="T1504">
        <v>0.18</v>
      </c>
      <c r="U1504" t="s">
        <v>101</v>
      </c>
      <c r="V1504" t="s">
        <v>102</v>
      </c>
      <c r="W1504" t="s">
        <v>75</v>
      </c>
      <c r="X1504">
        <v>7.3</v>
      </c>
      <c r="Y1504" t="s">
        <v>2629</v>
      </c>
      <c r="Z1504" t="s">
        <v>496</v>
      </c>
      <c r="AA1504">
        <v>16.61</v>
      </c>
      <c r="AB1504">
        <v>22.42</v>
      </c>
      <c r="AC1504">
        <v>3.07</v>
      </c>
    </row>
    <row r="1505" spans="2:29" ht="15" customHeight="1" x14ac:dyDescent="0.15">
      <c r="B1505">
        <v>4</v>
      </c>
      <c r="C1505" t="s">
        <v>386</v>
      </c>
      <c r="D1505" t="s">
        <v>2931</v>
      </c>
      <c r="E1505">
        <v>2</v>
      </c>
      <c r="I1505">
        <v>24</v>
      </c>
      <c r="J1505" s="21">
        <v>46186</v>
      </c>
      <c r="K1505" s="21">
        <v>46186</v>
      </c>
      <c r="L1505" t="s">
        <v>2933</v>
      </c>
      <c r="M1505" t="s">
        <v>2934</v>
      </c>
      <c r="N1505">
        <v>46</v>
      </c>
      <c r="O1505" t="s">
        <v>220</v>
      </c>
      <c r="P1505">
        <v>9</v>
      </c>
      <c r="Q1505">
        <v>1.23</v>
      </c>
      <c r="R1505">
        <v>0.5</v>
      </c>
      <c r="S1505">
        <v>4.5</v>
      </c>
      <c r="T1505">
        <v>0.62</v>
      </c>
      <c r="U1505" t="s">
        <v>101</v>
      </c>
      <c r="V1505" t="s">
        <v>102</v>
      </c>
      <c r="W1505" t="s">
        <v>75</v>
      </c>
      <c r="X1505">
        <v>7.3</v>
      </c>
      <c r="Y1505" t="s">
        <v>2629</v>
      </c>
      <c r="Z1505" t="s">
        <v>496</v>
      </c>
    </row>
    <row r="1506" spans="2:29" ht="15" customHeight="1" x14ac:dyDescent="0.15">
      <c r="B1506">
        <v>4</v>
      </c>
      <c r="C1506" t="s">
        <v>386</v>
      </c>
      <c r="D1506" t="s">
        <v>2931</v>
      </c>
      <c r="E1506">
        <v>3</v>
      </c>
      <c r="F1506" t="s">
        <v>219</v>
      </c>
      <c r="G1506" t="s">
        <v>239</v>
      </c>
      <c r="H1506" t="s">
        <v>520</v>
      </c>
      <c r="I1506">
        <v>24</v>
      </c>
      <c r="J1506" s="21">
        <v>46186</v>
      </c>
      <c r="K1506" s="21">
        <v>46186</v>
      </c>
      <c r="L1506" t="s">
        <v>2935</v>
      </c>
      <c r="M1506" t="s">
        <v>1340</v>
      </c>
      <c r="N1506">
        <v>46</v>
      </c>
      <c r="O1506" t="s">
        <v>202</v>
      </c>
      <c r="P1506">
        <v>9</v>
      </c>
      <c r="Q1506">
        <v>1.23</v>
      </c>
      <c r="R1506">
        <v>0.5</v>
      </c>
      <c r="S1506">
        <v>4.5</v>
      </c>
      <c r="T1506">
        <v>0.62</v>
      </c>
      <c r="U1506" t="s">
        <v>101</v>
      </c>
      <c r="V1506" t="s">
        <v>102</v>
      </c>
      <c r="W1506" t="s">
        <v>75</v>
      </c>
      <c r="X1506">
        <v>7.3</v>
      </c>
      <c r="Y1506" t="s">
        <v>2629</v>
      </c>
      <c r="Z1506" t="s">
        <v>496</v>
      </c>
      <c r="AA1506">
        <v>66.92</v>
      </c>
      <c r="AB1506">
        <v>301.14</v>
      </c>
      <c r="AC1506">
        <v>41.25</v>
      </c>
    </row>
    <row r="1507" spans="2:29" ht="15" customHeight="1" x14ac:dyDescent="0.15">
      <c r="B1507">
        <v>4</v>
      </c>
      <c r="C1507" t="s">
        <v>386</v>
      </c>
      <c r="D1507" t="s">
        <v>2931</v>
      </c>
      <c r="E1507">
        <v>4</v>
      </c>
      <c r="F1507" t="s">
        <v>219</v>
      </c>
      <c r="G1507" t="s">
        <v>218</v>
      </c>
      <c r="H1507" t="s">
        <v>1501</v>
      </c>
      <c r="I1507">
        <v>24</v>
      </c>
      <c r="J1507" s="21">
        <v>46186</v>
      </c>
      <c r="K1507" s="21">
        <v>46186</v>
      </c>
      <c r="L1507" t="s">
        <v>2936</v>
      </c>
      <c r="M1507" t="s">
        <v>2738</v>
      </c>
      <c r="N1507">
        <v>46</v>
      </c>
      <c r="O1507" t="s">
        <v>220</v>
      </c>
      <c r="P1507">
        <v>9</v>
      </c>
      <c r="Q1507">
        <v>1.23</v>
      </c>
      <c r="R1507">
        <v>0.2</v>
      </c>
      <c r="S1507">
        <v>1.8</v>
      </c>
      <c r="T1507">
        <v>0.25</v>
      </c>
      <c r="U1507" t="s">
        <v>101</v>
      </c>
      <c r="V1507" t="s">
        <v>102</v>
      </c>
      <c r="W1507" t="s">
        <v>75</v>
      </c>
      <c r="X1507">
        <v>7.3</v>
      </c>
      <c r="Y1507" t="s">
        <v>2629</v>
      </c>
      <c r="Z1507" t="s">
        <v>496</v>
      </c>
      <c r="AA1507">
        <v>0</v>
      </c>
      <c r="AB1507">
        <v>0</v>
      </c>
      <c r="AC1507">
        <v>0</v>
      </c>
    </row>
    <row r="1508" spans="2:29" ht="15" customHeight="1" x14ac:dyDescent="0.15">
      <c r="B1508">
        <v>4</v>
      </c>
      <c r="C1508" t="s">
        <v>386</v>
      </c>
      <c r="D1508" t="s">
        <v>2931</v>
      </c>
      <c r="E1508">
        <v>5</v>
      </c>
      <c r="F1508" t="s">
        <v>219</v>
      </c>
      <c r="G1508" t="s">
        <v>239</v>
      </c>
      <c r="H1508" t="s">
        <v>602</v>
      </c>
      <c r="I1508">
        <v>24</v>
      </c>
      <c r="J1508" s="21">
        <v>46186</v>
      </c>
      <c r="K1508" s="21">
        <v>46186</v>
      </c>
      <c r="L1508" t="s">
        <v>2937</v>
      </c>
      <c r="M1508" t="s">
        <v>258</v>
      </c>
      <c r="N1508">
        <v>46</v>
      </c>
      <c r="O1508" t="s">
        <v>220</v>
      </c>
      <c r="P1508">
        <v>9</v>
      </c>
      <c r="Q1508">
        <v>1.23</v>
      </c>
      <c r="R1508">
        <v>0.5</v>
      </c>
      <c r="S1508">
        <v>4.5</v>
      </c>
      <c r="T1508">
        <v>0.62</v>
      </c>
      <c r="U1508" t="s">
        <v>101</v>
      </c>
      <c r="V1508" t="s">
        <v>102</v>
      </c>
      <c r="W1508" t="s">
        <v>75</v>
      </c>
      <c r="X1508">
        <v>7.3</v>
      </c>
      <c r="Y1508" t="s">
        <v>2629</v>
      </c>
      <c r="Z1508" t="s">
        <v>496</v>
      </c>
      <c r="AA1508">
        <v>180</v>
      </c>
      <c r="AB1508">
        <v>810</v>
      </c>
      <c r="AC1508">
        <v>110.96</v>
      </c>
    </row>
    <row r="1509" spans="2:29" ht="15" customHeight="1" x14ac:dyDescent="0.15">
      <c r="B1509">
        <v>4</v>
      </c>
      <c r="C1509" t="s">
        <v>386</v>
      </c>
      <c r="D1509" t="s">
        <v>2931</v>
      </c>
      <c r="E1509">
        <v>6</v>
      </c>
      <c r="F1509" t="s">
        <v>219</v>
      </c>
      <c r="G1509" t="s">
        <v>218</v>
      </c>
      <c r="H1509" t="s">
        <v>485</v>
      </c>
      <c r="I1509">
        <v>24</v>
      </c>
      <c r="J1509" s="21">
        <v>46186</v>
      </c>
      <c r="K1509" s="21">
        <v>46186</v>
      </c>
      <c r="L1509" t="s">
        <v>2938</v>
      </c>
      <c r="M1509" t="s">
        <v>1316</v>
      </c>
      <c r="N1509">
        <v>46</v>
      </c>
      <c r="O1509" t="s">
        <v>220</v>
      </c>
      <c r="P1509">
        <v>5</v>
      </c>
      <c r="Q1509">
        <v>0.68</v>
      </c>
      <c r="R1509">
        <v>0.5</v>
      </c>
      <c r="S1509">
        <v>2.5</v>
      </c>
      <c r="T1509">
        <v>0.34</v>
      </c>
      <c r="U1509" t="s">
        <v>101</v>
      </c>
      <c r="V1509" t="s">
        <v>102</v>
      </c>
      <c r="W1509" t="s">
        <v>75</v>
      </c>
      <c r="X1509">
        <v>7.3</v>
      </c>
      <c r="Y1509" t="s">
        <v>2629</v>
      </c>
      <c r="Z1509" t="s">
        <v>496</v>
      </c>
      <c r="AA1509">
        <v>92.82</v>
      </c>
      <c r="AB1509">
        <v>232.05</v>
      </c>
      <c r="AC1509">
        <v>31.79</v>
      </c>
    </row>
    <row r="1510" spans="2:29" ht="15" customHeight="1" x14ac:dyDescent="0.15">
      <c r="B1510">
        <v>4</v>
      </c>
      <c r="C1510" t="s">
        <v>386</v>
      </c>
      <c r="D1510" t="s">
        <v>2931</v>
      </c>
      <c r="E1510">
        <v>7</v>
      </c>
      <c r="F1510" t="s">
        <v>219</v>
      </c>
      <c r="G1510" t="s">
        <v>218</v>
      </c>
      <c r="H1510" t="s">
        <v>2887</v>
      </c>
      <c r="I1510">
        <v>24</v>
      </c>
      <c r="J1510" s="21">
        <v>46186</v>
      </c>
      <c r="K1510" s="21">
        <v>46186</v>
      </c>
      <c r="L1510" t="s">
        <v>2939</v>
      </c>
      <c r="M1510" t="s">
        <v>2889</v>
      </c>
      <c r="N1510">
        <v>46</v>
      </c>
      <c r="O1510" t="s">
        <v>220</v>
      </c>
      <c r="P1510">
        <v>4</v>
      </c>
      <c r="Q1510">
        <v>0.55000000000000004</v>
      </c>
      <c r="R1510">
        <v>0.25</v>
      </c>
      <c r="S1510">
        <v>1</v>
      </c>
      <c r="T1510">
        <v>0.14000000000000001</v>
      </c>
      <c r="U1510" t="s">
        <v>101</v>
      </c>
      <c r="V1510" t="s">
        <v>102</v>
      </c>
      <c r="W1510" t="s">
        <v>75</v>
      </c>
      <c r="X1510">
        <v>7.3</v>
      </c>
      <c r="Y1510" t="s">
        <v>2629</v>
      </c>
      <c r="Z1510" t="s">
        <v>496</v>
      </c>
      <c r="AA1510">
        <v>0</v>
      </c>
      <c r="AB1510">
        <v>0</v>
      </c>
      <c r="AC1510">
        <v>0</v>
      </c>
    </row>
    <row r="1511" spans="2:29" ht="15" customHeight="1" x14ac:dyDescent="0.15">
      <c r="B1511">
        <v>4</v>
      </c>
      <c r="C1511" t="s">
        <v>386</v>
      </c>
      <c r="D1511" t="s">
        <v>2931</v>
      </c>
      <c r="E1511">
        <v>8</v>
      </c>
      <c r="F1511" t="s">
        <v>219</v>
      </c>
      <c r="G1511" t="s">
        <v>218</v>
      </c>
      <c r="H1511" t="s">
        <v>2714</v>
      </c>
      <c r="I1511">
        <v>24</v>
      </c>
      <c r="J1511" s="21">
        <v>46186</v>
      </c>
      <c r="K1511" s="21">
        <v>46186</v>
      </c>
      <c r="L1511" t="s">
        <v>2940</v>
      </c>
      <c r="M1511" t="s">
        <v>2716</v>
      </c>
      <c r="N1511">
        <v>46</v>
      </c>
      <c r="O1511" t="s">
        <v>220</v>
      </c>
      <c r="P1511">
        <v>9</v>
      </c>
      <c r="Q1511">
        <v>1.23</v>
      </c>
      <c r="R1511">
        <v>0.2</v>
      </c>
      <c r="S1511">
        <v>1.8</v>
      </c>
      <c r="T1511">
        <v>0.25</v>
      </c>
      <c r="U1511" t="s">
        <v>101</v>
      </c>
      <c r="V1511" t="s">
        <v>102</v>
      </c>
      <c r="W1511" t="s">
        <v>75</v>
      </c>
      <c r="X1511">
        <v>7.3</v>
      </c>
      <c r="Y1511" t="s">
        <v>2629</v>
      </c>
      <c r="Z1511" t="s">
        <v>496</v>
      </c>
      <c r="AA1511">
        <v>50</v>
      </c>
      <c r="AB1511">
        <v>90</v>
      </c>
      <c r="AC1511">
        <v>12.33</v>
      </c>
    </row>
    <row r="1512" spans="2:29" ht="15" customHeight="1" x14ac:dyDescent="0.15">
      <c r="B1512">
        <v>4</v>
      </c>
      <c r="C1512" t="s">
        <v>386</v>
      </c>
      <c r="D1512" t="s">
        <v>2931</v>
      </c>
      <c r="E1512">
        <v>9</v>
      </c>
      <c r="F1512" t="s">
        <v>219</v>
      </c>
      <c r="G1512" t="s">
        <v>244</v>
      </c>
      <c r="H1512" t="s">
        <v>388</v>
      </c>
      <c r="I1512">
        <v>24</v>
      </c>
      <c r="J1512" s="21">
        <v>46186</v>
      </c>
      <c r="K1512" s="21">
        <v>46186</v>
      </c>
      <c r="L1512" t="s">
        <v>2941</v>
      </c>
      <c r="M1512" t="s">
        <v>2835</v>
      </c>
      <c r="N1512">
        <v>46</v>
      </c>
      <c r="O1512" t="s">
        <v>220</v>
      </c>
      <c r="P1512">
        <v>9</v>
      </c>
      <c r="Q1512">
        <v>1.23</v>
      </c>
      <c r="R1512">
        <v>0.5</v>
      </c>
      <c r="S1512">
        <v>4.5</v>
      </c>
      <c r="T1512">
        <v>0.62</v>
      </c>
      <c r="U1512" t="s">
        <v>101</v>
      </c>
      <c r="V1512" t="s">
        <v>102</v>
      </c>
      <c r="W1512" t="s">
        <v>75</v>
      </c>
      <c r="X1512">
        <v>7.3</v>
      </c>
      <c r="Y1512" t="s">
        <v>2629</v>
      </c>
      <c r="Z1512" t="s">
        <v>496</v>
      </c>
      <c r="AA1512">
        <v>17.7</v>
      </c>
      <c r="AB1512">
        <v>79.650000000000006</v>
      </c>
      <c r="AC1512">
        <v>10.91</v>
      </c>
    </row>
    <row r="1513" spans="2:29" ht="15" customHeight="1" x14ac:dyDescent="0.15">
      <c r="B1513">
        <v>4</v>
      </c>
      <c r="C1513" t="s">
        <v>386</v>
      </c>
      <c r="D1513" t="s">
        <v>2942</v>
      </c>
      <c r="E1513">
        <v>1</v>
      </c>
      <c r="F1513" t="s">
        <v>219</v>
      </c>
      <c r="G1513" t="s">
        <v>231</v>
      </c>
      <c r="H1513" t="s">
        <v>231</v>
      </c>
      <c r="I1513">
        <v>25</v>
      </c>
      <c r="J1513" s="21">
        <v>46189</v>
      </c>
      <c r="K1513" s="21">
        <v>46190</v>
      </c>
      <c r="L1513" t="s">
        <v>2943</v>
      </c>
      <c r="M1513" t="s">
        <v>2648</v>
      </c>
      <c r="N1513" s="22">
        <v>46190</v>
      </c>
      <c r="O1513" t="s">
        <v>220</v>
      </c>
      <c r="P1513">
        <v>7</v>
      </c>
      <c r="Q1513">
        <v>1.56</v>
      </c>
      <c r="R1513">
        <v>0.15</v>
      </c>
      <c r="S1513">
        <v>1.05</v>
      </c>
      <c r="T1513">
        <v>0.23</v>
      </c>
      <c r="U1513" t="s">
        <v>96</v>
      </c>
      <c r="V1513" t="s">
        <v>97</v>
      </c>
      <c r="W1513" t="s">
        <v>21</v>
      </c>
      <c r="X1513">
        <v>4.5</v>
      </c>
      <c r="Y1513" t="s">
        <v>679</v>
      </c>
      <c r="Z1513" t="s">
        <v>496</v>
      </c>
      <c r="AA1513">
        <v>16.61</v>
      </c>
      <c r="AB1513">
        <v>17.440000000000001</v>
      </c>
      <c r="AC1513">
        <v>3.88</v>
      </c>
    </row>
    <row r="1514" spans="2:29" ht="15" customHeight="1" x14ac:dyDescent="0.15">
      <c r="B1514">
        <v>4</v>
      </c>
      <c r="C1514" t="s">
        <v>386</v>
      </c>
      <c r="D1514" t="s">
        <v>2942</v>
      </c>
      <c r="E1514">
        <v>2</v>
      </c>
      <c r="F1514" t="s">
        <v>219</v>
      </c>
      <c r="G1514" t="s">
        <v>244</v>
      </c>
      <c r="H1514" t="s">
        <v>511</v>
      </c>
      <c r="I1514">
        <v>25</v>
      </c>
      <c r="J1514" s="21">
        <v>46189</v>
      </c>
      <c r="K1514" s="21">
        <v>46190</v>
      </c>
      <c r="L1514" t="s">
        <v>2944</v>
      </c>
      <c r="M1514" t="s">
        <v>1243</v>
      </c>
      <c r="N1514" s="22">
        <v>46190</v>
      </c>
      <c r="O1514" t="s">
        <v>202</v>
      </c>
      <c r="P1514">
        <v>7</v>
      </c>
      <c r="Q1514">
        <v>1.56</v>
      </c>
      <c r="R1514">
        <v>0.23</v>
      </c>
      <c r="S1514">
        <v>1.61</v>
      </c>
      <c r="T1514">
        <v>0.36</v>
      </c>
      <c r="U1514" t="s">
        <v>96</v>
      </c>
      <c r="V1514" t="s">
        <v>97</v>
      </c>
      <c r="W1514" t="s">
        <v>21</v>
      </c>
      <c r="X1514">
        <v>4.5</v>
      </c>
      <c r="Y1514" t="s">
        <v>679</v>
      </c>
      <c r="Z1514" t="s">
        <v>496</v>
      </c>
      <c r="AA1514">
        <v>269</v>
      </c>
      <c r="AB1514">
        <v>433.09</v>
      </c>
      <c r="AC1514">
        <v>96.24</v>
      </c>
    </row>
    <row r="1515" spans="2:29" ht="15" customHeight="1" x14ac:dyDescent="0.15">
      <c r="B1515">
        <v>4</v>
      </c>
      <c r="C1515" t="s">
        <v>386</v>
      </c>
      <c r="D1515" t="s">
        <v>2942</v>
      </c>
      <c r="E1515">
        <v>3</v>
      </c>
      <c r="F1515" t="s">
        <v>219</v>
      </c>
      <c r="G1515" t="s">
        <v>218</v>
      </c>
      <c r="H1515" t="s">
        <v>2353</v>
      </c>
      <c r="I1515">
        <v>25</v>
      </c>
      <c r="J1515" s="21">
        <v>46189</v>
      </c>
      <c r="K1515" s="21">
        <v>46190</v>
      </c>
      <c r="L1515" t="s">
        <v>2945</v>
      </c>
      <c r="M1515" t="s">
        <v>2946</v>
      </c>
      <c r="N1515" s="22">
        <v>46190</v>
      </c>
      <c r="O1515" t="s">
        <v>202</v>
      </c>
      <c r="P1515">
        <v>3</v>
      </c>
      <c r="Q1515">
        <v>0.67</v>
      </c>
      <c r="R1515">
        <v>0.1</v>
      </c>
      <c r="S1515">
        <v>0.3</v>
      </c>
      <c r="T1515">
        <v>7.0000000000000007E-2</v>
      </c>
      <c r="U1515" t="s">
        <v>96</v>
      </c>
      <c r="V1515" t="s">
        <v>97</v>
      </c>
      <c r="W1515" t="s">
        <v>21</v>
      </c>
      <c r="X1515">
        <v>4.5</v>
      </c>
      <c r="Y1515" t="s">
        <v>679</v>
      </c>
      <c r="Z1515" t="s">
        <v>496</v>
      </c>
      <c r="AA1515">
        <v>61.3</v>
      </c>
      <c r="AB1515">
        <v>18.39</v>
      </c>
      <c r="AC1515">
        <v>4.09</v>
      </c>
    </row>
    <row r="1516" spans="2:29" ht="15" customHeight="1" x14ac:dyDescent="0.15">
      <c r="B1516">
        <v>4</v>
      </c>
      <c r="C1516" t="s">
        <v>386</v>
      </c>
      <c r="D1516" t="s">
        <v>2942</v>
      </c>
      <c r="E1516">
        <v>4</v>
      </c>
      <c r="F1516" t="s">
        <v>219</v>
      </c>
      <c r="G1516" t="s">
        <v>218</v>
      </c>
      <c r="H1516" t="s">
        <v>1422</v>
      </c>
      <c r="I1516">
        <v>25</v>
      </c>
      <c r="J1516" s="21">
        <v>46189</v>
      </c>
      <c r="K1516" s="21">
        <v>46190</v>
      </c>
      <c r="L1516" t="s">
        <v>2947</v>
      </c>
      <c r="M1516" t="s">
        <v>2416</v>
      </c>
      <c r="N1516" s="22">
        <v>46190</v>
      </c>
      <c r="O1516" t="s">
        <v>220</v>
      </c>
      <c r="P1516">
        <v>4</v>
      </c>
      <c r="Q1516">
        <v>0.89</v>
      </c>
      <c r="R1516">
        <v>0.15</v>
      </c>
      <c r="S1516">
        <v>0.6</v>
      </c>
      <c r="T1516">
        <v>0.13</v>
      </c>
      <c r="U1516" t="s">
        <v>96</v>
      </c>
      <c r="V1516" t="s">
        <v>97</v>
      </c>
      <c r="W1516" t="s">
        <v>21</v>
      </c>
      <c r="X1516">
        <v>4.5</v>
      </c>
      <c r="Y1516" t="s">
        <v>679</v>
      </c>
      <c r="Z1516" t="s">
        <v>496</v>
      </c>
      <c r="AA1516">
        <v>489.99</v>
      </c>
      <c r="AB1516">
        <v>293.99</v>
      </c>
      <c r="AC1516">
        <v>65.33</v>
      </c>
    </row>
    <row r="1517" spans="2:29" ht="15" customHeight="1" x14ac:dyDescent="0.15">
      <c r="B1517">
        <v>4</v>
      </c>
      <c r="C1517" t="s">
        <v>386</v>
      </c>
      <c r="D1517" t="s">
        <v>2942</v>
      </c>
      <c r="E1517">
        <v>5</v>
      </c>
      <c r="F1517" t="s">
        <v>219</v>
      </c>
      <c r="G1517" t="s">
        <v>218</v>
      </c>
      <c r="H1517" t="s">
        <v>2714</v>
      </c>
      <c r="I1517">
        <v>25</v>
      </c>
      <c r="J1517" s="21">
        <v>46189</v>
      </c>
      <c r="K1517" s="21">
        <v>46190</v>
      </c>
      <c r="L1517" t="s">
        <v>2948</v>
      </c>
      <c r="M1517" t="s">
        <v>2716</v>
      </c>
      <c r="N1517" s="22">
        <v>46190</v>
      </c>
      <c r="O1517" t="s">
        <v>220</v>
      </c>
      <c r="P1517">
        <v>7</v>
      </c>
      <c r="Q1517">
        <v>1.56</v>
      </c>
      <c r="R1517">
        <v>0.2</v>
      </c>
      <c r="S1517">
        <v>1.4</v>
      </c>
      <c r="T1517">
        <v>0.31</v>
      </c>
      <c r="U1517" t="s">
        <v>96</v>
      </c>
      <c r="V1517" t="s">
        <v>97</v>
      </c>
      <c r="W1517" t="s">
        <v>21</v>
      </c>
      <c r="X1517">
        <v>4.5</v>
      </c>
      <c r="Y1517" t="s">
        <v>679</v>
      </c>
      <c r="Z1517" t="s">
        <v>496</v>
      </c>
      <c r="AA1517">
        <v>50</v>
      </c>
      <c r="AB1517">
        <v>70</v>
      </c>
      <c r="AC1517">
        <v>15.56</v>
      </c>
    </row>
    <row r="1518" spans="2:29" ht="15" customHeight="1" x14ac:dyDescent="0.15">
      <c r="B1518">
        <v>4</v>
      </c>
      <c r="C1518" t="s">
        <v>386</v>
      </c>
      <c r="D1518" t="s">
        <v>2942</v>
      </c>
      <c r="E1518">
        <v>6</v>
      </c>
      <c r="F1518" t="s">
        <v>219</v>
      </c>
      <c r="G1518" t="s">
        <v>218</v>
      </c>
      <c r="H1518" t="s">
        <v>911</v>
      </c>
      <c r="I1518">
        <v>25</v>
      </c>
      <c r="J1518" s="21">
        <v>46189</v>
      </c>
      <c r="K1518" s="21">
        <v>46190</v>
      </c>
      <c r="L1518" t="s">
        <v>2949</v>
      </c>
      <c r="M1518" t="s">
        <v>913</v>
      </c>
      <c r="N1518" s="22">
        <v>46190</v>
      </c>
      <c r="O1518" t="s">
        <v>220</v>
      </c>
      <c r="P1518">
        <v>7</v>
      </c>
      <c r="Q1518">
        <v>1.56</v>
      </c>
      <c r="R1518">
        <v>0.2</v>
      </c>
      <c r="S1518">
        <v>1.4</v>
      </c>
      <c r="T1518">
        <v>0.31</v>
      </c>
      <c r="U1518" t="s">
        <v>96</v>
      </c>
      <c r="V1518" t="s">
        <v>97</v>
      </c>
      <c r="W1518" t="s">
        <v>21</v>
      </c>
      <c r="X1518">
        <v>4.5</v>
      </c>
      <c r="Y1518" t="s">
        <v>679</v>
      </c>
      <c r="Z1518" t="s">
        <v>496</v>
      </c>
      <c r="AA1518">
        <v>91.24</v>
      </c>
      <c r="AB1518">
        <v>127.74</v>
      </c>
      <c r="AC1518">
        <v>28.39</v>
      </c>
    </row>
    <row r="1519" spans="2:29" ht="15" customHeight="1" x14ac:dyDescent="0.15">
      <c r="B1519">
        <v>4</v>
      </c>
      <c r="C1519" t="s">
        <v>386</v>
      </c>
      <c r="D1519" t="s">
        <v>2942</v>
      </c>
      <c r="E1519">
        <v>7</v>
      </c>
      <c r="F1519" t="s">
        <v>219</v>
      </c>
      <c r="G1519" t="s">
        <v>239</v>
      </c>
      <c r="H1519" t="s">
        <v>1752</v>
      </c>
      <c r="I1519">
        <v>25</v>
      </c>
      <c r="J1519" s="21">
        <v>46189</v>
      </c>
      <c r="K1519" s="21">
        <v>46190</v>
      </c>
      <c r="L1519" t="s">
        <v>2950</v>
      </c>
      <c r="M1519" t="s">
        <v>1754</v>
      </c>
      <c r="N1519" s="22">
        <v>46190</v>
      </c>
      <c r="O1519" t="s">
        <v>220</v>
      </c>
      <c r="P1519">
        <v>7</v>
      </c>
      <c r="Q1519">
        <v>1.56</v>
      </c>
      <c r="R1519">
        <v>1.4999999999999999E-2</v>
      </c>
      <c r="S1519">
        <v>0.105</v>
      </c>
      <c r="T1519">
        <v>0.02</v>
      </c>
      <c r="U1519" t="s">
        <v>96</v>
      </c>
      <c r="V1519" t="s">
        <v>97</v>
      </c>
      <c r="W1519" t="s">
        <v>21</v>
      </c>
      <c r="X1519">
        <v>4.5</v>
      </c>
      <c r="Y1519" t="s">
        <v>679</v>
      </c>
      <c r="Z1519" t="s">
        <v>496</v>
      </c>
      <c r="AA1519">
        <v>0</v>
      </c>
      <c r="AB1519">
        <v>0</v>
      </c>
      <c r="AC1519">
        <v>0</v>
      </c>
    </row>
    <row r="1520" spans="2:29" ht="15" customHeight="1" x14ac:dyDescent="0.15">
      <c r="B1520">
        <v>4</v>
      </c>
      <c r="C1520" t="s">
        <v>386</v>
      </c>
      <c r="D1520" t="s">
        <v>2942</v>
      </c>
      <c r="E1520">
        <v>8</v>
      </c>
      <c r="F1520" t="s">
        <v>219</v>
      </c>
      <c r="G1520" t="s">
        <v>239</v>
      </c>
      <c r="H1520" t="s">
        <v>520</v>
      </c>
      <c r="I1520">
        <v>25</v>
      </c>
      <c r="J1520" s="21">
        <v>46189</v>
      </c>
      <c r="K1520" s="21">
        <v>46190</v>
      </c>
      <c r="L1520" t="s">
        <v>2951</v>
      </c>
      <c r="M1520" t="s">
        <v>1340</v>
      </c>
      <c r="N1520" s="22">
        <v>46190</v>
      </c>
      <c r="O1520" t="s">
        <v>202</v>
      </c>
      <c r="P1520">
        <v>7</v>
      </c>
      <c r="Q1520">
        <v>1.56</v>
      </c>
      <c r="R1520">
        <v>0.57999999999999996</v>
      </c>
      <c r="S1520">
        <v>4.0599999999999996</v>
      </c>
      <c r="T1520">
        <v>0.9</v>
      </c>
      <c r="U1520" t="s">
        <v>96</v>
      </c>
      <c r="V1520" t="s">
        <v>97</v>
      </c>
      <c r="W1520" t="s">
        <v>21</v>
      </c>
      <c r="X1520">
        <v>4.5</v>
      </c>
      <c r="Y1520" t="s">
        <v>679</v>
      </c>
      <c r="Z1520" t="s">
        <v>496</v>
      </c>
      <c r="AA1520">
        <v>66.92</v>
      </c>
      <c r="AB1520">
        <v>271.7</v>
      </c>
      <c r="AC1520">
        <v>60.38</v>
      </c>
    </row>
    <row r="1521" spans="2:29" ht="15" customHeight="1" x14ac:dyDescent="0.15">
      <c r="B1521">
        <v>4</v>
      </c>
      <c r="C1521" t="s">
        <v>386</v>
      </c>
      <c r="D1521" t="s">
        <v>2952</v>
      </c>
      <c r="E1521">
        <v>1</v>
      </c>
      <c r="F1521" t="s">
        <v>219</v>
      </c>
      <c r="G1521" t="s">
        <v>231</v>
      </c>
      <c r="H1521" t="s">
        <v>231</v>
      </c>
      <c r="I1521">
        <v>25</v>
      </c>
      <c r="J1521" s="21">
        <v>46189</v>
      </c>
      <c r="K1521" s="21">
        <v>46191</v>
      </c>
      <c r="L1521" t="s">
        <v>2953</v>
      </c>
      <c r="M1521" t="s">
        <v>2648</v>
      </c>
      <c r="N1521">
        <v>64</v>
      </c>
      <c r="O1521" t="s">
        <v>220</v>
      </c>
      <c r="P1521">
        <v>2</v>
      </c>
      <c r="Q1521">
        <v>2</v>
      </c>
      <c r="R1521">
        <v>0.15</v>
      </c>
      <c r="S1521">
        <v>0.3</v>
      </c>
      <c r="T1521">
        <v>0.3</v>
      </c>
      <c r="U1521" t="s">
        <v>89</v>
      </c>
      <c r="V1521" t="s">
        <v>90</v>
      </c>
      <c r="W1521" t="s">
        <v>21</v>
      </c>
      <c r="X1521">
        <v>1</v>
      </c>
      <c r="Y1521" t="s">
        <v>679</v>
      </c>
      <c r="Z1521" t="s">
        <v>496</v>
      </c>
      <c r="AA1521">
        <v>16.61</v>
      </c>
      <c r="AB1521">
        <v>4.9800000000000004</v>
      </c>
      <c r="AC1521">
        <v>4.9800000000000004</v>
      </c>
    </row>
    <row r="1522" spans="2:29" ht="15" customHeight="1" x14ac:dyDescent="0.15">
      <c r="B1522">
        <v>4</v>
      </c>
      <c r="C1522" t="s">
        <v>386</v>
      </c>
      <c r="D1522" t="s">
        <v>2952</v>
      </c>
      <c r="E1522">
        <v>2</v>
      </c>
      <c r="F1522" t="s">
        <v>219</v>
      </c>
      <c r="G1522" t="s">
        <v>218</v>
      </c>
      <c r="H1522" t="s">
        <v>2305</v>
      </c>
      <c r="I1522">
        <v>25</v>
      </c>
      <c r="J1522" s="21">
        <v>46189</v>
      </c>
      <c r="K1522" s="21">
        <v>46191</v>
      </c>
      <c r="L1522" t="s">
        <v>2954</v>
      </c>
      <c r="M1522" t="s">
        <v>255</v>
      </c>
      <c r="N1522">
        <v>64</v>
      </c>
      <c r="O1522" t="s">
        <v>202</v>
      </c>
      <c r="P1522">
        <v>2</v>
      </c>
      <c r="Q1522">
        <v>2</v>
      </c>
      <c r="R1522">
        <v>0.4</v>
      </c>
      <c r="S1522">
        <v>0.8</v>
      </c>
      <c r="T1522">
        <v>0.8</v>
      </c>
      <c r="U1522" t="s">
        <v>89</v>
      </c>
      <c r="V1522" t="s">
        <v>90</v>
      </c>
      <c r="W1522" t="s">
        <v>21</v>
      </c>
      <c r="X1522">
        <v>1</v>
      </c>
      <c r="Y1522" t="s">
        <v>679</v>
      </c>
      <c r="Z1522" t="s">
        <v>496</v>
      </c>
      <c r="AA1522">
        <v>37.5</v>
      </c>
      <c r="AB1522">
        <v>30</v>
      </c>
      <c r="AC1522">
        <v>30</v>
      </c>
    </row>
    <row r="1523" spans="2:29" ht="15" customHeight="1" x14ac:dyDescent="0.15">
      <c r="B1523">
        <v>4</v>
      </c>
      <c r="C1523" t="s">
        <v>386</v>
      </c>
      <c r="D1523" t="s">
        <v>2952</v>
      </c>
      <c r="E1523">
        <v>3</v>
      </c>
      <c r="F1523" t="s">
        <v>219</v>
      </c>
      <c r="G1523" t="s">
        <v>218</v>
      </c>
      <c r="H1523" t="s">
        <v>400</v>
      </c>
      <c r="I1523">
        <v>25</v>
      </c>
      <c r="J1523" s="21">
        <v>46189</v>
      </c>
      <c r="K1523" s="21">
        <v>46191</v>
      </c>
      <c r="L1523" t="s">
        <v>2955</v>
      </c>
      <c r="M1523" t="s">
        <v>2362</v>
      </c>
      <c r="N1523">
        <v>64</v>
      </c>
      <c r="O1523" t="s">
        <v>220</v>
      </c>
      <c r="P1523">
        <v>2</v>
      </c>
      <c r="Q1523">
        <v>2</v>
      </c>
      <c r="R1523">
        <v>0.25</v>
      </c>
      <c r="S1523">
        <v>0.5</v>
      </c>
      <c r="T1523">
        <v>0.5</v>
      </c>
      <c r="U1523" t="s">
        <v>89</v>
      </c>
      <c r="V1523" t="s">
        <v>90</v>
      </c>
      <c r="W1523" t="s">
        <v>21</v>
      </c>
      <c r="X1523">
        <v>1</v>
      </c>
      <c r="Y1523" t="s">
        <v>679</v>
      </c>
      <c r="Z1523" t="s">
        <v>496</v>
      </c>
      <c r="AA1523">
        <v>52.5</v>
      </c>
      <c r="AB1523">
        <v>26.25</v>
      </c>
      <c r="AC1523">
        <v>26.25</v>
      </c>
    </row>
    <row r="1524" spans="2:29" ht="15" customHeight="1" x14ac:dyDescent="0.15">
      <c r="B1524">
        <v>4</v>
      </c>
      <c r="C1524" t="s">
        <v>386</v>
      </c>
      <c r="D1524" t="s">
        <v>2952</v>
      </c>
      <c r="E1524">
        <v>4</v>
      </c>
      <c r="F1524" t="s">
        <v>219</v>
      </c>
      <c r="G1524" t="s">
        <v>244</v>
      </c>
      <c r="H1524" t="s">
        <v>1605</v>
      </c>
      <c r="I1524">
        <v>25</v>
      </c>
      <c r="J1524" s="21">
        <v>46189</v>
      </c>
      <c r="K1524" s="21">
        <v>46191</v>
      </c>
      <c r="L1524" t="s">
        <v>2956</v>
      </c>
      <c r="M1524" t="s">
        <v>295</v>
      </c>
      <c r="N1524">
        <v>64</v>
      </c>
      <c r="O1524" t="s">
        <v>220</v>
      </c>
      <c r="P1524">
        <v>2</v>
      </c>
      <c r="Q1524">
        <v>2</v>
      </c>
      <c r="R1524">
        <v>0.5</v>
      </c>
      <c r="S1524">
        <v>1</v>
      </c>
      <c r="T1524">
        <v>1</v>
      </c>
      <c r="U1524" t="s">
        <v>89</v>
      </c>
      <c r="V1524" t="s">
        <v>90</v>
      </c>
      <c r="W1524" t="s">
        <v>21</v>
      </c>
      <c r="X1524">
        <v>1</v>
      </c>
      <c r="Y1524" t="s">
        <v>679</v>
      </c>
      <c r="Z1524" t="s">
        <v>496</v>
      </c>
      <c r="AA1524">
        <v>77.31</v>
      </c>
      <c r="AB1524">
        <v>77.31</v>
      </c>
      <c r="AC1524">
        <v>77.31</v>
      </c>
    </row>
    <row r="1525" spans="2:29" ht="15" customHeight="1" x14ac:dyDescent="0.15">
      <c r="B1525">
        <v>4</v>
      </c>
      <c r="C1525" t="s">
        <v>386</v>
      </c>
      <c r="D1525" t="s">
        <v>2952</v>
      </c>
      <c r="E1525">
        <v>5</v>
      </c>
      <c r="F1525" t="s">
        <v>219</v>
      </c>
      <c r="G1525" t="s">
        <v>218</v>
      </c>
      <c r="H1525" t="s">
        <v>686</v>
      </c>
      <c r="I1525">
        <v>25</v>
      </c>
      <c r="J1525" s="21">
        <v>46189</v>
      </c>
      <c r="K1525" s="21">
        <v>46191</v>
      </c>
      <c r="L1525" t="s">
        <v>2957</v>
      </c>
      <c r="M1525" t="s">
        <v>2468</v>
      </c>
      <c r="N1525">
        <v>64</v>
      </c>
      <c r="O1525" t="s">
        <v>220</v>
      </c>
      <c r="P1525">
        <v>2</v>
      </c>
      <c r="Q1525">
        <v>2</v>
      </c>
      <c r="R1525">
        <v>0.2</v>
      </c>
      <c r="S1525">
        <v>0.4</v>
      </c>
      <c r="T1525">
        <v>0.4</v>
      </c>
      <c r="U1525" t="s">
        <v>89</v>
      </c>
      <c r="V1525" t="s">
        <v>90</v>
      </c>
      <c r="W1525" t="s">
        <v>21</v>
      </c>
      <c r="X1525">
        <v>1</v>
      </c>
      <c r="Y1525" t="s">
        <v>679</v>
      </c>
      <c r="Z1525" t="s">
        <v>496</v>
      </c>
      <c r="AA1525">
        <v>80.900000000000006</v>
      </c>
      <c r="AB1525">
        <v>32.36</v>
      </c>
      <c r="AC1525">
        <v>32.36</v>
      </c>
    </row>
    <row r="1526" spans="2:29" ht="15" customHeight="1" x14ac:dyDescent="0.15">
      <c r="B1526">
        <v>4</v>
      </c>
      <c r="C1526" t="s">
        <v>386</v>
      </c>
      <c r="D1526" t="s">
        <v>2952</v>
      </c>
      <c r="E1526">
        <v>6</v>
      </c>
      <c r="F1526" t="s">
        <v>219</v>
      </c>
      <c r="G1526" t="s">
        <v>239</v>
      </c>
      <c r="H1526" t="s">
        <v>1066</v>
      </c>
      <c r="I1526">
        <v>25</v>
      </c>
      <c r="J1526" s="21">
        <v>46189</v>
      </c>
      <c r="K1526" s="21">
        <v>46191</v>
      </c>
      <c r="L1526" t="s">
        <v>2958</v>
      </c>
      <c r="M1526" t="s">
        <v>1068</v>
      </c>
      <c r="N1526">
        <v>64</v>
      </c>
      <c r="O1526" t="s">
        <v>220</v>
      </c>
      <c r="P1526">
        <v>2</v>
      </c>
      <c r="Q1526">
        <v>2</v>
      </c>
      <c r="R1526">
        <v>0.5</v>
      </c>
      <c r="S1526">
        <v>1</v>
      </c>
      <c r="T1526">
        <v>1</v>
      </c>
      <c r="U1526" t="s">
        <v>89</v>
      </c>
      <c r="V1526" t="s">
        <v>90</v>
      </c>
      <c r="W1526" t="s">
        <v>21</v>
      </c>
      <c r="X1526">
        <v>1</v>
      </c>
      <c r="Y1526" t="s">
        <v>679</v>
      </c>
      <c r="Z1526" t="s">
        <v>496</v>
      </c>
      <c r="AA1526">
        <v>138.68</v>
      </c>
      <c r="AB1526">
        <v>138.68</v>
      </c>
      <c r="AC1526">
        <v>138.68</v>
      </c>
    </row>
    <row r="1527" spans="2:29" ht="15" customHeight="1" x14ac:dyDescent="0.15">
      <c r="B1527">
        <v>4</v>
      </c>
      <c r="C1527" t="s">
        <v>386</v>
      </c>
      <c r="D1527" t="s">
        <v>2952</v>
      </c>
      <c r="E1527">
        <v>7</v>
      </c>
      <c r="F1527" t="s">
        <v>219</v>
      </c>
      <c r="G1527" t="s">
        <v>239</v>
      </c>
      <c r="H1527" t="s">
        <v>2438</v>
      </c>
      <c r="I1527">
        <v>25</v>
      </c>
      <c r="J1527" s="21">
        <v>46189</v>
      </c>
      <c r="K1527" s="21">
        <v>46191</v>
      </c>
      <c r="L1527" t="s">
        <v>2959</v>
      </c>
      <c r="M1527" t="s">
        <v>2440</v>
      </c>
      <c r="N1527">
        <v>64</v>
      </c>
      <c r="O1527" t="s">
        <v>220</v>
      </c>
      <c r="P1527">
        <v>2</v>
      </c>
      <c r="Q1527">
        <v>2</v>
      </c>
      <c r="R1527">
        <v>1</v>
      </c>
      <c r="S1527">
        <v>2</v>
      </c>
      <c r="T1527">
        <v>2</v>
      </c>
      <c r="U1527" t="s">
        <v>89</v>
      </c>
      <c r="V1527" t="s">
        <v>90</v>
      </c>
      <c r="W1527" t="s">
        <v>21</v>
      </c>
      <c r="X1527">
        <v>1</v>
      </c>
      <c r="Y1527" t="s">
        <v>679</v>
      </c>
      <c r="Z1527" t="s">
        <v>496</v>
      </c>
      <c r="AA1527">
        <v>41</v>
      </c>
      <c r="AB1527">
        <v>82</v>
      </c>
      <c r="AC1527">
        <v>82</v>
      </c>
    </row>
    <row r="1528" spans="2:29" ht="15" customHeight="1" x14ac:dyDescent="0.15">
      <c r="B1528">
        <v>4</v>
      </c>
      <c r="C1528" t="s">
        <v>386</v>
      </c>
      <c r="D1528" t="s">
        <v>2952</v>
      </c>
      <c r="E1528">
        <v>8</v>
      </c>
      <c r="F1528" t="s">
        <v>219</v>
      </c>
      <c r="G1528" t="s">
        <v>239</v>
      </c>
      <c r="H1528" t="s">
        <v>520</v>
      </c>
      <c r="I1528">
        <v>25</v>
      </c>
      <c r="J1528" s="21">
        <v>46189</v>
      </c>
      <c r="K1528" s="21">
        <v>46191</v>
      </c>
      <c r="L1528" t="s">
        <v>2960</v>
      </c>
      <c r="M1528" t="s">
        <v>1340</v>
      </c>
      <c r="N1528">
        <v>64</v>
      </c>
      <c r="O1528" t="s">
        <v>220</v>
      </c>
      <c r="P1528">
        <v>2</v>
      </c>
      <c r="Q1528">
        <v>2</v>
      </c>
      <c r="R1528">
        <v>0.5</v>
      </c>
      <c r="S1528">
        <v>1</v>
      </c>
      <c r="T1528">
        <v>1</v>
      </c>
      <c r="U1528" t="s">
        <v>89</v>
      </c>
      <c r="V1528" t="s">
        <v>90</v>
      </c>
      <c r="W1528" t="s">
        <v>21</v>
      </c>
      <c r="X1528">
        <v>1</v>
      </c>
      <c r="Y1528" t="s">
        <v>679</v>
      </c>
      <c r="Z1528" t="s">
        <v>496</v>
      </c>
      <c r="AA1528">
        <v>66.92</v>
      </c>
      <c r="AB1528">
        <v>66.92</v>
      </c>
      <c r="AC1528">
        <v>66.92</v>
      </c>
    </row>
    <row r="1529" spans="2:29" ht="15" customHeight="1" x14ac:dyDescent="0.15">
      <c r="B1529">
        <v>4</v>
      </c>
      <c r="C1529" t="s">
        <v>386</v>
      </c>
      <c r="D1529" t="s">
        <v>2952</v>
      </c>
      <c r="E1529">
        <v>9</v>
      </c>
      <c r="F1529" t="s">
        <v>219</v>
      </c>
      <c r="G1529" t="s">
        <v>218</v>
      </c>
      <c r="H1529" t="s">
        <v>1175</v>
      </c>
      <c r="I1529">
        <v>25</v>
      </c>
      <c r="J1529" s="21">
        <v>46189</v>
      </c>
      <c r="K1529" s="21">
        <v>46191</v>
      </c>
      <c r="L1529" t="s">
        <v>2961</v>
      </c>
      <c r="M1529" t="s">
        <v>1177</v>
      </c>
      <c r="N1529">
        <v>64</v>
      </c>
      <c r="O1529" t="s">
        <v>220</v>
      </c>
      <c r="P1529">
        <v>2</v>
      </c>
      <c r="Q1529">
        <v>2</v>
      </c>
      <c r="R1529">
        <v>0.05</v>
      </c>
      <c r="S1529">
        <v>0.1</v>
      </c>
      <c r="T1529">
        <v>0.1</v>
      </c>
      <c r="U1529" t="s">
        <v>89</v>
      </c>
      <c r="V1529" t="s">
        <v>90</v>
      </c>
      <c r="W1529" t="s">
        <v>21</v>
      </c>
      <c r="X1529">
        <v>1</v>
      </c>
      <c r="Y1529" t="s">
        <v>679</v>
      </c>
      <c r="Z1529" t="s">
        <v>496</v>
      </c>
      <c r="AA1529">
        <v>177</v>
      </c>
      <c r="AB1529">
        <v>17.7</v>
      </c>
      <c r="AC1529">
        <v>17.7</v>
      </c>
    </row>
    <row r="1530" spans="2:29" ht="15" customHeight="1" x14ac:dyDescent="0.15">
      <c r="B1530">
        <v>4</v>
      </c>
      <c r="C1530" t="s">
        <v>386</v>
      </c>
      <c r="D1530" t="s">
        <v>2962</v>
      </c>
      <c r="E1530">
        <v>1</v>
      </c>
      <c r="F1530" t="s">
        <v>219</v>
      </c>
      <c r="G1530" t="s">
        <v>231</v>
      </c>
      <c r="H1530" t="s">
        <v>231</v>
      </c>
      <c r="I1530">
        <v>25</v>
      </c>
      <c r="J1530" s="21">
        <v>46189</v>
      </c>
      <c r="K1530" s="21">
        <v>46193</v>
      </c>
      <c r="L1530" t="s">
        <v>2963</v>
      </c>
      <c r="M1530" t="s">
        <v>2648</v>
      </c>
      <c r="N1530">
        <v>79</v>
      </c>
      <c r="O1530" t="s">
        <v>220</v>
      </c>
      <c r="P1530">
        <v>4</v>
      </c>
      <c r="Q1530">
        <v>1.74</v>
      </c>
      <c r="R1530">
        <v>0.15</v>
      </c>
      <c r="S1530">
        <v>0.6</v>
      </c>
      <c r="T1530">
        <v>0.26</v>
      </c>
      <c r="U1530" t="s">
        <v>80</v>
      </c>
      <c r="V1530" t="s">
        <v>81</v>
      </c>
      <c r="W1530" t="s">
        <v>21</v>
      </c>
      <c r="X1530">
        <v>2.2999999999999998</v>
      </c>
      <c r="Y1530" t="s">
        <v>679</v>
      </c>
      <c r="Z1530" t="s">
        <v>496</v>
      </c>
      <c r="AA1530">
        <v>16.61</v>
      </c>
      <c r="AB1530">
        <v>9.9700000000000006</v>
      </c>
      <c r="AC1530">
        <v>4.33</v>
      </c>
    </row>
    <row r="1531" spans="2:29" ht="15" customHeight="1" x14ac:dyDescent="0.15">
      <c r="B1531">
        <v>4</v>
      </c>
      <c r="C1531" t="s">
        <v>386</v>
      </c>
      <c r="D1531" t="s">
        <v>2962</v>
      </c>
      <c r="E1531">
        <v>2</v>
      </c>
      <c r="F1531" t="s">
        <v>219</v>
      </c>
      <c r="G1531" t="s">
        <v>244</v>
      </c>
      <c r="H1531" t="s">
        <v>511</v>
      </c>
      <c r="I1531">
        <v>25</v>
      </c>
      <c r="J1531" s="21">
        <v>46189</v>
      </c>
      <c r="K1531" s="21">
        <v>46193</v>
      </c>
      <c r="L1531" t="s">
        <v>2964</v>
      </c>
      <c r="M1531" t="s">
        <v>1243</v>
      </c>
      <c r="N1531">
        <v>79</v>
      </c>
      <c r="O1531" t="s">
        <v>202</v>
      </c>
      <c r="P1531">
        <v>4</v>
      </c>
      <c r="Q1531">
        <v>1.74</v>
      </c>
      <c r="R1531">
        <v>0.2</v>
      </c>
      <c r="S1531">
        <v>0.8</v>
      </c>
      <c r="T1531">
        <v>0.35</v>
      </c>
      <c r="U1531" t="s">
        <v>80</v>
      </c>
      <c r="V1531" t="s">
        <v>81</v>
      </c>
      <c r="W1531" t="s">
        <v>21</v>
      </c>
      <c r="X1531">
        <v>2.2999999999999998</v>
      </c>
      <c r="Y1531" t="s">
        <v>679</v>
      </c>
      <c r="Z1531" t="s">
        <v>496</v>
      </c>
      <c r="AA1531">
        <v>269</v>
      </c>
      <c r="AB1531">
        <v>215.2</v>
      </c>
      <c r="AC1531">
        <v>93.57</v>
      </c>
    </row>
    <row r="1532" spans="2:29" ht="15" customHeight="1" x14ac:dyDescent="0.15">
      <c r="B1532">
        <v>4</v>
      </c>
      <c r="C1532" t="s">
        <v>386</v>
      </c>
      <c r="D1532" t="s">
        <v>2962</v>
      </c>
      <c r="E1532">
        <v>3</v>
      </c>
      <c r="F1532" t="s">
        <v>219</v>
      </c>
      <c r="G1532" t="s">
        <v>218</v>
      </c>
      <c r="H1532" t="s">
        <v>2305</v>
      </c>
      <c r="I1532">
        <v>25</v>
      </c>
      <c r="J1532" s="21">
        <v>46189</v>
      </c>
      <c r="K1532" s="21">
        <v>46193</v>
      </c>
      <c r="L1532" t="s">
        <v>2965</v>
      </c>
      <c r="M1532" t="s">
        <v>255</v>
      </c>
      <c r="N1532">
        <v>79</v>
      </c>
      <c r="O1532" t="s">
        <v>202</v>
      </c>
      <c r="P1532">
        <v>4</v>
      </c>
      <c r="Q1532">
        <v>1.74</v>
      </c>
      <c r="R1532">
        <v>0.4</v>
      </c>
      <c r="S1532">
        <v>1.6</v>
      </c>
      <c r="T1532">
        <v>0.7</v>
      </c>
      <c r="U1532" t="s">
        <v>80</v>
      </c>
      <c r="V1532" t="s">
        <v>81</v>
      </c>
      <c r="W1532" t="s">
        <v>21</v>
      </c>
      <c r="X1532">
        <v>2.2999999999999998</v>
      </c>
      <c r="Y1532" t="s">
        <v>679</v>
      </c>
      <c r="Z1532" t="s">
        <v>496</v>
      </c>
      <c r="AA1532">
        <v>37.5</v>
      </c>
      <c r="AB1532">
        <v>60</v>
      </c>
      <c r="AC1532">
        <v>26.09</v>
      </c>
    </row>
    <row r="1533" spans="2:29" ht="15" customHeight="1" x14ac:dyDescent="0.15">
      <c r="B1533">
        <v>4</v>
      </c>
      <c r="C1533" t="s">
        <v>386</v>
      </c>
      <c r="D1533" t="s">
        <v>2962</v>
      </c>
      <c r="E1533">
        <v>4</v>
      </c>
      <c r="F1533" t="s">
        <v>219</v>
      </c>
      <c r="G1533" t="s">
        <v>244</v>
      </c>
      <c r="H1533" t="s">
        <v>1605</v>
      </c>
      <c r="I1533">
        <v>25</v>
      </c>
      <c r="J1533" s="21">
        <v>46189</v>
      </c>
      <c r="K1533" s="21">
        <v>46193</v>
      </c>
      <c r="L1533" t="s">
        <v>2966</v>
      </c>
      <c r="M1533" t="s">
        <v>295</v>
      </c>
      <c r="N1533">
        <v>79</v>
      </c>
      <c r="O1533" t="s">
        <v>220</v>
      </c>
      <c r="P1533">
        <v>4</v>
      </c>
      <c r="Q1533">
        <v>1.74</v>
      </c>
      <c r="R1533">
        <v>0.5</v>
      </c>
      <c r="S1533">
        <v>2</v>
      </c>
      <c r="T1533">
        <v>0.87</v>
      </c>
      <c r="U1533" t="s">
        <v>80</v>
      </c>
      <c r="V1533" t="s">
        <v>81</v>
      </c>
      <c r="W1533" t="s">
        <v>21</v>
      </c>
      <c r="X1533">
        <v>2.2999999999999998</v>
      </c>
      <c r="Y1533" t="s">
        <v>679</v>
      </c>
      <c r="Z1533" t="s">
        <v>496</v>
      </c>
      <c r="AA1533">
        <v>77.31</v>
      </c>
      <c r="AB1533">
        <v>154.62</v>
      </c>
      <c r="AC1533">
        <v>67.23</v>
      </c>
    </row>
    <row r="1534" spans="2:29" ht="15" customHeight="1" x14ac:dyDescent="0.15">
      <c r="B1534">
        <v>4</v>
      </c>
      <c r="C1534" t="s">
        <v>386</v>
      </c>
      <c r="D1534" t="s">
        <v>2962</v>
      </c>
      <c r="E1534">
        <v>5</v>
      </c>
      <c r="F1534" t="s">
        <v>219</v>
      </c>
      <c r="G1534" t="s">
        <v>218</v>
      </c>
      <c r="H1534" t="s">
        <v>911</v>
      </c>
      <c r="I1534">
        <v>25</v>
      </c>
      <c r="J1534" s="21">
        <v>46189</v>
      </c>
      <c r="K1534" s="21">
        <v>46193</v>
      </c>
      <c r="L1534" t="s">
        <v>2967</v>
      </c>
      <c r="M1534" t="s">
        <v>913</v>
      </c>
      <c r="N1534">
        <v>79</v>
      </c>
      <c r="O1534" t="s">
        <v>220</v>
      </c>
      <c r="P1534">
        <v>4</v>
      </c>
      <c r="Q1534">
        <v>1.74</v>
      </c>
      <c r="R1534">
        <v>0.2</v>
      </c>
      <c r="S1534">
        <v>0.8</v>
      </c>
      <c r="T1534">
        <v>0.35</v>
      </c>
      <c r="U1534" t="s">
        <v>80</v>
      </c>
      <c r="V1534" t="s">
        <v>81</v>
      </c>
      <c r="W1534" t="s">
        <v>21</v>
      </c>
      <c r="X1534">
        <v>2.2999999999999998</v>
      </c>
      <c r="Y1534" t="s">
        <v>679</v>
      </c>
      <c r="Z1534" t="s">
        <v>496</v>
      </c>
      <c r="AA1534">
        <v>91.24</v>
      </c>
      <c r="AB1534">
        <v>72.989999999999995</v>
      </c>
      <c r="AC1534">
        <v>31.74</v>
      </c>
    </row>
    <row r="1535" spans="2:29" ht="15" customHeight="1" x14ac:dyDescent="0.15">
      <c r="B1535">
        <v>4</v>
      </c>
      <c r="C1535" t="s">
        <v>386</v>
      </c>
      <c r="D1535" t="s">
        <v>2962</v>
      </c>
      <c r="E1535">
        <v>6</v>
      </c>
      <c r="F1535" t="s">
        <v>219</v>
      </c>
      <c r="G1535" t="s">
        <v>239</v>
      </c>
      <c r="H1535" t="s">
        <v>1066</v>
      </c>
      <c r="I1535">
        <v>25</v>
      </c>
      <c r="J1535" s="21">
        <v>46189</v>
      </c>
      <c r="K1535" s="21">
        <v>46193</v>
      </c>
      <c r="L1535" t="s">
        <v>2968</v>
      </c>
      <c r="M1535" t="s">
        <v>1068</v>
      </c>
      <c r="N1535">
        <v>79</v>
      </c>
      <c r="O1535" t="s">
        <v>220</v>
      </c>
      <c r="P1535">
        <v>4</v>
      </c>
      <c r="Q1535">
        <v>1.74</v>
      </c>
      <c r="R1535">
        <v>0.5</v>
      </c>
      <c r="S1535">
        <v>2</v>
      </c>
      <c r="T1535">
        <v>0.87</v>
      </c>
      <c r="U1535" t="s">
        <v>80</v>
      </c>
      <c r="V1535" t="s">
        <v>81</v>
      </c>
      <c r="W1535" t="s">
        <v>21</v>
      </c>
      <c r="X1535">
        <v>2.2999999999999998</v>
      </c>
      <c r="Y1535" t="s">
        <v>679</v>
      </c>
      <c r="Z1535" t="s">
        <v>496</v>
      </c>
      <c r="AA1535">
        <v>138.68</v>
      </c>
      <c r="AB1535">
        <v>277.36</v>
      </c>
      <c r="AC1535">
        <v>120.59</v>
      </c>
    </row>
    <row r="1536" spans="2:29" ht="15" customHeight="1" x14ac:dyDescent="0.15">
      <c r="B1536">
        <v>4</v>
      </c>
      <c r="C1536" t="s">
        <v>386</v>
      </c>
      <c r="D1536" t="s">
        <v>2962</v>
      </c>
      <c r="E1536">
        <v>7</v>
      </c>
      <c r="F1536" t="s">
        <v>219</v>
      </c>
      <c r="G1536" t="s">
        <v>218</v>
      </c>
      <c r="H1536" t="s">
        <v>686</v>
      </c>
      <c r="I1536">
        <v>25</v>
      </c>
      <c r="J1536" s="21">
        <v>46189</v>
      </c>
      <c r="K1536" s="21">
        <v>46193</v>
      </c>
      <c r="L1536" t="s">
        <v>2969</v>
      </c>
      <c r="M1536" t="s">
        <v>2468</v>
      </c>
      <c r="N1536">
        <v>79</v>
      </c>
      <c r="O1536" t="s">
        <v>220</v>
      </c>
      <c r="P1536">
        <v>4</v>
      </c>
      <c r="Q1536">
        <v>1.74</v>
      </c>
      <c r="R1536">
        <v>0.2</v>
      </c>
      <c r="S1536">
        <v>0.8</v>
      </c>
      <c r="T1536">
        <v>0.35</v>
      </c>
      <c r="U1536" t="s">
        <v>80</v>
      </c>
      <c r="V1536" t="s">
        <v>81</v>
      </c>
      <c r="W1536" t="s">
        <v>21</v>
      </c>
      <c r="X1536">
        <v>2.2999999999999998</v>
      </c>
      <c r="Y1536" t="s">
        <v>679</v>
      </c>
      <c r="Z1536" t="s">
        <v>496</v>
      </c>
      <c r="AA1536">
        <v>80.900000000000006</v>
      </c>
      <c r="AB1536">
        <v>64.72</v>
      </c>
      <c r="AC1536">
        <v>28.14</v>
      </c>
    </row>
    <row r="1537" spans="2:29" ht="15" customHeight="1" x14ac:dyDescent="0.15">
      <c r="B1537">
        <v>4</v>
      </c>
      <c r="C1537" t="s">
        <v>386</v>
      </c>
      <c r="D1537" t="s">
        <v>2970</v>
      </c>
      <c r="E1537">
        <v>1</v>
      </c>
      <c r="F1537" t="s">
        <v>219</v>
      </c>
      <c r="G1537" t="s">
        <v>231</v>
      </c>
      <c r="H1537" t="s">
        <v>231</v>
      </c>
      <c r="I1537">
        <v>25</v>
      </c>
      <c r="J1537" s="21">
        <v>46189</v>
      </c>
      <c r="K1537" s="21">
        <v>46193</v>
      </c>
      <c r="L1537" t="s">
        <v>2971</v>
      </c>
      <c r="M1537" t="s">
        <v>2648</v>
      </c>
      <c r="N1537">
        <v>37</v>
      </c>
      <c r="O1537" t="s">
        <v>220</v>
      </c>
      <c r="P1537">
        <v>7</v>
      </c>
      <c r="Q1537">
        <v>1.56</v>
      </c>
      <c r="R1537">
        <v>0.15</v>
      </c>
      <c r="S1537">
        <v>1.05</v>
      </c>
      <c r="T1537">
        <v>0.23</v>
      </c>
      <c r="U1537" t="s">
        <v>107</v>
      </c>
      <c r="V1537" t="s">
        <v>108</v>
      </c>
      <c r="W1537" t="s">
        <v>21</v>
      </c>
      <c r="X1537">
        <v>4.5</v>
      </c>
      <c r="Y1537" t="s">
        <v>2629</v>
      </c>
      <c r="Z1537" t="s">
        <v>496</v>
      </c>
      <c r="AA1537">
        <v>16.61</v>
      </c>
      <c r="AB1537">
        <v>17.440000000000001</v>
      </c>
      <c r="AC1537">
        <v>3.88</v>
      </c>
    </row>
    <row r="1538" spans="2:29" ht="15" customHeight="1" x14ac:dyDescent="0.15">
      <c r="B1538">
        <v>4</v>
      </c>
      <c r="C1538" t="s">
        <v>386</v>
      </c>
      <c r="D1538" t="s">
        <v>2970</v>
      </c>
      <c r="E1538">
        <v>2</v>
      </c>
      <c r="F1538" t="s">
        <v>219</v>
      </c>
      <c r="G1538" t="s">
        <v>244</v>
      </c>
      <c r="H1538" t="s">
        <v>545</v>
      </c>
      <c r="I1538">
        <v>25</v>
      </c>
      <c r="J1538" s="21">
        <v>46189</v>
      </c>
      <c r="K1538" s="21">
        <v>46193</v>
      </c>
      <c r="L1538" t="s">
        <v>2972</v>
      </c>
      <c r="M1538" t="s">
        <v>547</v>
      </c>
      <c r="N1538">
        <v>37</v>
      </c>
      <c r="O1538" t="s">
        <v>202</v>
      </c>
      <c r="P1538">
        <v>7</v>
      </c>
      <c r="Q1538">
        <v>1.56</v>
      </c>
      <c r="R1538">
        <v>0.2</v>
      </c>
      <c r="S1538">
        <v>1.4</v>
      </c>
      <c r="T1538">
        <v>0.31</v>
      </c>
      <c r="U1538" t="s">
        <v>107</v>
      </c>
      <c r="V1538" t="s">
        <v>108</v>
      </c>
      <c r="W1538" t="s">
        <v>21</v>
      </c>
      <c r="X1538">
        <v>4.5</v>
      </c>
      <c r="Y1538" t="s">
        <v>2629</v>
      </c>
      <c r="Z1538" t="s">
        <v>496</v>
      </c>
      <c r="AA1538">
        <v>97</v>
      </c>
      <c r="AB1538">
        <v>135.80000000000001</v>
      </c>
      <c r="AC1538">
        <v>30.18</v>
      </c>
    </row>
    <row r="1539" spans="2:29" ht="15" customHeight="1" x14ac:dyDescent="0.15">
      <c r="B1539">
        <v>4</v>
      </c>
      <c r="C1539" t="s">
        <v>386</v>
      </c>
      <c r="D1539" t="s">
        <v>2970</v>
      </c>
      <c r="E1539">
        <v>3</v>
      </c>
      <c r="F1539" t="s">
        <v>219</v>
      </c>
      <c r="G1539" t="s">
        <v>218</v>
      </c>
      <c r="H1539" t="s">
        <v>1501</v>
      </c>
      <c r="I1539">
        <v>25</v>
      </c>
      <c r="J1539" s="21">
        <v>46189</v>
      </c>
      <c r="K1539" s="21">
        <v>46193</v>
      </c>
      <c r="L1539" t="s">
        <v>2973</v>
      </c>
      <c r="M1539" t="s">
        <v>2738</v>
      </c>
      <c r="N1539">
        <v>37</v>
      </c>
      <c r="O1539" t="s">
        <v>202</v>
      </c>
      <c r="P1539">
        <v>7</v>
      </c>
      <c r="Q1539">
        <v>1.56</v>
      </c>
      <c r="R1539">
        <v>0.1</v>
      </c>
      <c r="S1539">
        <v>0.7</v>
      </c>
      <c r="T1539">
        <v>0.16</v>
      </c>
      <c r="U1539" t="s">
        <v>107</v>
      </c>
      <c r="V1539" t="s">
        <v>108</v>
      </c>
      <c r="W1539" t="s">
        <v>21</v>
      </c>
      <c r="X1539">
        <v>4.5</v>
      </c>
      <c r="Y1539" t="s">
        <v>2629</v>
      </c>
      <c r="Z1539" t="s">
        <v>496</v>
      </c>
      <c r="AA1539">
        <v>0</v>
      </c>
      <c r="AB1539">
        <v>0</v>
      </c>
      <c r="AC1539">
        <v>0</v>
      </c>
    </row>
    <row r="1540" spans="2:29" ht="15" customHeight="1" x14ac:dyDescent="0.15">
      <c r="B1540">
        <v>4</v>
      </c>
      <c r="C1540" t="s">
        <v>386</v>
      </c>
      <c r="D1540" t="s">
        <v>2970</v>
      </c>
      <c r="E1540">
        <v>4</v>
      </c>
      <c r="F1540" t="s">
        <v>219</v>
      </c>
      <c r="G1540" t="s">
        <v>218</v>
      </c>
      <c r="H1540" t="s">
        <v>485</v>
      </c>
      <c r="I1540">
        <v>25</v>
      </c>
      <c r="J1540" s="21">
        <v>46189</v>
      </c>
      <c r="K1540" s="21">
        <v>46193</v>
      </c>
      <c r="L1540" t="s">
        <v>2974</v>
      </c>
      <c r="M1540" t="s">
        <v>1316</v>
      </c>
      <c r="N1540">
        <v>37</v>
      </c>
      <c r="O1540" t="s">
        <v>220</v>
      </c>
      <c r="P1540">
        <v>6</v>
      </c>
      <c r="Q1540">
        <v>1.33</v>
      </c>
      <c r="R1540">
        <v>0.5</v>
      </c>
      <c r="S1540">
        <v>3</v>
      </c>
      <c r="T1540">
        <v>0.67</v>
      </c>
      <c r="U1540" t="s">
        <v>107</v>
      </c>
      <c r="V1540" t="s">
        <v>108</v>
      </c>
      <c r="W1540" t="s">
        <v>21</v>
      </c>
      <c r="X1540">
        <v>4.5</v>
      </c>
      <c r="Y1540" t="s">
        <v>2629</v>
      </c>
      <c r="Z1540" t="s">
        <v>496</v>
      </c>
      <c r="AA1540">
        <v>92.82</v>
      </c>
      <c r="AB1540">
        <v>278.45999999999998</v>
      </c>
      <c r="AC1540">
        <v>61.88</v>
      </c>
    </row>
    <row r="1541" spans="2:29" ht="15" customHeight="1" x14ac:dyDescent="0.15">
      <c r="B1541">
        <v>4</v>
      </c>
      <c r="C1541" t="s">
        <v>386</v>
      </c>
      <c r="D1541" t="s">
        <v>2970</v>
      </c>
      <c r="E1541">
        <v>5</v>
      </c>
      <c r="I1541">
        <v>25</v>
      </c>
      <c r="J1541" s="21">
        <v>46189</v>
      </c>
      <c r="K1541" s="21">
        <v>46193</v>
      </c>
      <c r="L1541" t="s">
        <v>2975</v>
      </c>
      <c r="M1541" t="s">
        <v>2934</v>
      </c>
      <c r="N1541">
        <v>37</v>
      </c>
      <c r="O1541" t="s">
        <v>220</v>
      </c>
      <c r="P1541">
        <v>7</v>
      </c>
      <c r="Q1541">
        <v>1.56</v>
      </c>
      <c r="R1541">
        <v>0.5</v>
      </c>
      <c r="S1541">
        <v>3.5</v>
      </c>
      <c r="T1541">
        <v>0.78</v>
      </c>
      <c r="U1541" t="s">
        <v>107</v>
      </c>
      <c r="V1541" t="s">
        <v>108</v>
      </c>
      <c r="W1541" t="s">
        <v>21</v>
      </c>
      <c r="X1541">
        <v>4.5</v>
      </c>
      <c r="Y1541" t="s">
        <v>2629</v>
      </c>
      <c r="Z1541" t="s">
        <v>496</v>
      </c>
    </row>
    <row r="1542" spans="2:29" ht="15" customHeight="1" x14ac:dyDescent="0.15">
      <c r="B1542">
        <v>4</v>
      </c>
      <c r="C1542" t="s">
        <v>386</v>
      </c>
      <c r="D1542" t="s">
        <v>2970</v>
      </c>
      <c r="E1542">
        <v>6</v>
      </c>
      <c r="F1542" t="s">
        <v>219</v>
      </c>
      <c r="G1542" t="s">
        <v>218</v>
      </c>
      <c r="H1542" t="s">
        <v>686</v>
      </c>
      <c r="I1542">
        <v>25</v>
      </c>
      <c r="J1542" s="21">
        <v>46189</v>
      </c>
      <c r="K1542" s="21">
        <v>46193</v>
      </c>
      <c r="L1542" t="s">
        <v>2976</v>
      </c>
      <c r="M1542" t="s">
        <v>2468</v>
      </c>
      <c r="N1542">
        <v>37</v>
      </c>
      <c r="O1542" t="s">
        <v>220</v>
      </c>
      <c r="P1542">
        <v>7</v>
      </c>
      <c r="Q1542">
        <v>1.56</v>
      </c>
      <c r="R1542">
        <v>0.2</v>
      </c>
      <c r="S1542">
        <v>1.4</v>
      </c>
      <c r="T1542">
        <v>0.31</v>
      </c>
      <c r="U1542" t="s">
        <v>107</v>
      </c>
      <c r="V1542" t="s">
        <v>108</v>
      </c>
      <c r="W1542" t="s">
        <v>21</v>
      </c>
      <c r="X1542">
        <v>4.5</v>
      </c>
      <c r="Y1542" t="s">
        <v>2629</v>
      </c>
      <c r="Z1542" t="s">
        <v>496</v>
      </c>
      <c r="AA1542">
        <v>80.900000000000006</v>
      </c>
      <c r="AB1542">
        <v>113.26</v>
      </c>
      <c r="AC1542">
        <v>25.17</v>
      </c>
    </row>
    <row r="1543" spans="2:29" ht="15" customHeight="1" x14ac:dyDescent="0.15">
      <c r="B1543">
        <v>4</v>
      </c>
      <c r="C1543" t="s">
        <v>386</v>
      </c>
      <c r="D1543" t="s">
        <v>2970</v>
      </c>
      <c r="E1543">
        <v>7</v>
      </c>
      <c r="F1543" t="s">
        <v>219</v>
      </c>
      <c r="G1543" t="s">
        <v>218</v>
      </c>
      <c r="H1543" t="s">
        <v>1090</v>
      </c>
      <c r="I1543">
        <v>25</v>
      </c>
      <c r="J1543" s="21">
        <v>46189</v>
      </c>
      <c r="K1543" s="21">
        <v>46193</v>
      </c>
      <c r="L1543" t="s">
        <v>2977</v>
      </c>
      <c r="M1543" t="s">
        <v>2371</v>
      </c>
      <c r="N1543">
        <v>37</v>
      </c>
      <c r="O1543" t="s">
        <v>220</v>
      </c>
      <c r="P1543">
        <v>1</v>
      </c>
      <c r="Q1543">
        <v>0.22</v>
      </c>
      <c r="R1543">
        <v>1</v>
      </c>
      <c r="S1543">
        <v>1</v>
      </c>
      <c r="T1543">
        <v>0.22</v>
      </c>
      <c r="U1543" t="s">
        <v>107</v>
      </c>
      <c r="V1543" t="s">
        <v>108</v>
      </c>
      <c r="W1543" t="s">
        <v>21</v>
      </c>
      <c r="X1543">
        <v>4.5</v>
      </c>
      <c r="Y1543" t="s">
        <v>2629</v>
      </c>
      <c r="Z1543" t="s">
        <v>496</v>
      </c>
      <c r="AA1543">
        <v>58.29</v>
      </c>
      <c r="AB1543">
        <v>58.29</v>
      </c>
      <c r="AC1543">
        <v>12.95</v>
      </c>
    </row>
    <row r="1544" spans="2:29" ht="15" customHeight="1" x14ac:dyDescent="0.15">
      <c r="B1544">
        <v>4</v>
      </c>
      <c r="C1544" t="s">
        <v>386</v>
      </c>
      <c r="D1544" t="s">
        <v>2978</v>
      </c>
      <c r="E1544">
        <v>1</v>
      </c>
      <c r="F1544" t="s">
        <v>219</v>
      </c>
      <c r="G1544" t="s">
        <v>231</v>
      </c>
      <c r="H1544" t="s">
        <v>231</v>
      </c>
      <c r="I1544">
        <v>26</v>
      </c>
      <c r="J1544" s="21">
        <v>46196</v>
      </c>
      <c r="K1544" s="21">
        <v>46196</v>
      </c>
      <c r="L1544" t="s">
        <v>2979</v>
      </c>
      <c r="M1544" t="s">
        <v>2648</v>
      </c>
      <c r="N1544">
        <v>66</v>
      </c>
      <c r="O1544" t="s">
        <v>220</v>
      </c>
      <c r="P1544">
        <v>4</v>
      </c>
      <c r="Q1544">
        <v>1.74</v>
      </c>
      <c r="R1544">
        <v>0.15</v>
      </c>
      <c r="S1544">
        <v>0.6</v>
      </c>
      <c r="T1544">
        <v>0.26</v>
      </c>
      <c r="U1544" t="s">
        <v>73</v>
      </c>
      <c r="V1544" t="s">
        <v>74</v>
      </c>
      <c r="W1544" t="s">
        <v>75</v>
      </c>
      <c r="X1544">
        <v>2.2999999999999998</v>
      </c>
      <c r="Y1544" t="s">
        <v>679</v>
      </c>
      <c r="Z1544" t="s">
        <v>496</v>
      </c>
      <c r="AA1544">
        <v>16.61</v>
      </c>
      <c r="AB1544">
        <v>9.9700000000000006</v>
      </c>
      <c r="AC1544">
        <v>4.33</v>
      </c>
    </row>
    <row r="1545" spans="2:29" ht="15" customHeight="1" x14ac:dyDescent="0.15">
      <c r="B1545">
        <v>4</v>
      </c>
      <c r="C1545" t="s">
        <v>386</v>
      </c>
      <c r="D1545" t="s">
        <v>2978</v>
      </c>
      <c r="E1545">
        <v>2</v>
      </c>
      <c r="F1545" t="s">
        <v>219</v>
      </c>
      <c r="G1545" t="s">
        <v>218</v>
      </c>
      <c r="H1545" t="s">
        <v>2305</v>
      </c>
      <c r="I1545">
        <v>26</v>
      </c>
      <c r="J1545" s="21">
        <v>46196</v>
      </c>
      <c r="K1545" s="21">
        <v>46196</v>
      </c>
      <c r="L1545" t="s">
        <v>2980</v>
      </c>
      <c r="M1545" t="s">
        <v>255</v>
      </c>
      <c r="N1545">
        <v>66</v>
      </c>
      <c r="O1545" t="s">
        <v>202</v>
      </c>
      <c r="P1545">
        <v>4</v>
      </c>
      <c r="Q1545">
        <v>1.74</v>
      </c>
      <c r="R1545">
        <v>0.4</v>
      </c>
      <c r="S1545">
        <v>1.6</v>
      </c>
      <c r="T1545">
        <v>0.7</v>
      </c>
      <c r="U1545" t="s">
        <v>73</v>
      </c>
      <c r="V1545" t="s">
        <v>74</v>
      </c>
      <c r="W1545" t="s">
        <v>75</v>
      </c>
      <c r="X1545">
        <v>2.2999999999999998</v>
      </c>
      <c r="Y1545" t="s">
        <v>679</v>
      </c>
      <c r="Z1545" t="s">
        <v>496</v>
      </c>
      <c r="AA1545">
        <v>37.5</v>
      </c>
      <c r="AB1545">
        <v>60</v>
      </c>
      <c r="AC1545">
        <v>26.09</v>
      </c>
    </row>
    <row r="1546" spans="2:29" ht="15" customHeight="1" x14ac:dyDescent="0.15">
      <c r="B1546">
        <v>4</v>
      </c>
      <c r="C1546" t="s">
        <v>386</v>
      </c>
      <c r="D1546" t="s">
        <v>2978</v>
      </c>
      <c r="E1546">
        <v>3</v>
      </c>
      <c r="F1546" t="s">
        <v>219</v>
      </c>
      <c r="G1546" t="s">
        <v>244</v>
      </c>
      <c r="H1546" t="s">
        <v>1605</v>
      </c>
      <c r="I1546">
        <v>26</v>
      </c>
      <c r="J1546" s="21">
        <v>46196</v>
      </c>
      <c r="K1546" s="21">
        <v>46196</v>
      </c>
      <c r="L1546" t="s">
        <v>2981</v>
      </c>
      <c r="M1546" t="s">
        <v>295</v>
      </c>
      <c r="N1546">
        <v>66</v>
      </c>
      <c r="O1546" t="s">
        <v>220</v>
      </c>
      <c r="P1546">
        <v>4</v>
      </c>
      <c r="Q1546">
        <v>1.74</v>
      </c>
      <c r="R1546">
        <v>0.5</v>
      </c>
      <c r="S1546">
        <v>2</v>
      </c>
      <c r="T1546">
        <v>0.87</v>
      </c>
      <c r="U1546" t="s">
        <v>73</v>
      </c>
      <c r="V1546" t="s">
        <v>74</v>
      </c>
      <c r="W1546" t="s">
        <v>75</v>
      </c>
      <c r="X1546">
        <v>2.2999999999999998</v>
      </c>
      <c r="Y1546" t="s">
        <v>679</v>
      </c>
      <c r="Z1546" t="s">
        <v>496</v>
      </c>
      <c r="AA1546">
        <v>77.31</v>
      </c>
      <c r="AB1546">
        <v>154.62</v>
      </c>
      <c r="AC1546">
        <v>67.23</v>
      </c>
    </row>
    <row r="1547" spans="2:29" ht="15" customHeight="1" x14ac:dyDescent="0.15">
      <c r="B1547">
        <v>4</v>
      </c>
      <c r="C1547" t="s">
        <v>386</v>
      </c>
      <c r="D1547" t="s">
        <v>2978</v>
      </c>
      <c r="E1547">
        <v>4</v>
      </c>
      <c r="F1547" t="s">
        <v>219</v>
      </c>
      <c r="G1547" t="s">
        <v>239</v>
      </c>
      <c r="H1547" t="s">
        <v>2438</v>
      </c>
      <c r="I1547">
        <v>26</v>
      </c>
      <c r="J1547" s="21">
        <v>46196</v>
      </c>
      <c r="K1547" s="21">
        <v>46196</v>
      </c>
      <c r="L1547" t="s">
        <v>2982</v>
      </c>
      <c r="M1547" t="s">
        <v>2440</v>
      </c>
      <c r="N1547">
        <v>66</v>
      </c>
      <c r="O1547" t="s">
        <v>220</v>
      </c>
      <c r="P1547">
        <v>4</v>
      </c>
      <c r="Q1547">
        <v>1.74</v>
      </c>
      <c r="R1547">
        <v>1</v>
      </c>
      <c r="S1547">
        <v>4</v>
      </c>
      <c r="T1547">
        <v>1.74</v>
      </c>
      <c r="U1547" t="s">
        <v>73</v>
      </c>
      <c r="V1547" t="s">
        <v>74</v>
      </c>
      <c r="W1547" t="s">
        <v>75</v>
      </c>
      <c r="X1547">
        <v>2.2999999999999998</v>
      </c>
      <c r="Y1547" t="s">
        <v>679</v>
      </c>
      <c r="Z1547" t="s">
        <v>496</v>
      </c>
      <c r="AA1547">
        <v>41</v>
      </c>
      <c r="AB1547">
        <v>164</v>
      </c>
      <c r="AC1547">
        <v>71.3</v>
      </c>
    </row>
    <row r="1548" spans="2:29" ht="15" customHeight="1" x14ac:dyDescent="0.15">
      <c r="B1548">
        <v>4</v>
      </c>
      <c r="C1548" t="s">
        <v>386</v>
      </c>
      <c r="D1548" t="s">
        <v>2978</v>
      </c>
      <c r="E1548">
        <v>5</v>
      </c>
      <c r="F1548" t="s">
        <v>219</v>
      </c>
      <c r="G1548" t="s">
        <v>218</v>
      </c>
      <c r="H1548" t="s">
        <v>911</v>
      </c>
      <c r="I1548">
        <v>26</v>
      </c>
      <c r="J1548" s="21">
        <v>46196</v>
      </c>
      <c r="K1548" s="21">
        <v>46196</v>
      </c>
      <c r="L1548" t="s">
        <v>2983</v>
      </c>
      <c r="M1548" t="s">
        <v>913</v>
      </c>
      <c r="N1548">
        <v>66</v>
      </c>
      <c r="O1548" t="s">
        <v>220</v>
      </c>
      <c r="P1548">
        <v>4</v>
      </c>
      <c r="Q1548">
        <v>1.74</v>
      </c>
      <c r="R1548">
        <v>0.2</v>
      </c>
      <c r="S1548">
        <v>0.8</v>
      </c>
      <c r="T1548">
        <v>0.35</v>
      </c>
      <c r="U1548" t="s">
        <v>73</v>
      </c>
      <c r="V1548" t="s">
        <v>74</v>
      </c>
      <c r="W1548" t="s">
        <v>75</v>
      </c>
      <c r="X1548">
        <v>2.2999999999999998</v>
      </c>
      <c r="Y1548" t="s">
        <v>679</v>
      </c>
      <c r="Z1548" t="s">
        <v>496</v>
      </c>
      <c r="AA1548">
        <v>91.24</v>
      </c>
      <c r="AB1548">
        <v>72.989999999999995</v>
      </c>
      <c r="AC1548">
        <v>31.74</v>
      </c>
    </row>
    <row r="1549" spans="2:29" ht="15" customHeight="1" x14ac:dyDescent="0.15">
      <c r="B1549">
        <v>4</v>
      </c>
      <c r="C1549" t="s">
        <v>386</v>
      </c>
      <c r="D1549" t="s">
        <v>2978</v>
      </c>
      <c r="E1549">
        <v>6</v>
      </c>
      <c r="F1549" t="s">
        <v>219</v>
      </c>
      <c r="G1549" t="s">
        <v>244</v>
      </c>
      <c r="H1549" t="s">
        <v>591</v>
      </c>
      <c r="I1549">
        <v>26</v>
      </c>
      <c r="J1549" s="21">
        <v>46196</v>
      </c>
      <c r="K1549" s="21">
        <v>46196</v>
      </c>
      <c r="L1549" t="s">
        <v>2984</v>
      </c>
      <c r="M1549" t="s">
        <v>593</v>
      </c>
      <c r="N1549">
        <v>66</v>
      </c>
      <c r="O1549" t="s">
        <v>220</v>
      </c>
      <c r="P1549">
        <v>4</v>
      </c>
      <c r="Q1549">
        <v>1.74</v>
      </c>
      <c r="R1549">
        <v>0.5</v>
      </c>
      <c r="S1549">
        <v>2</v>
      </c>
      <c r="T1549">
        <v>0.87</v>
      </c>
      <c r="U1549" t="s">
        <v>73</v>
      </c>
      <c r="V1549" t="s">
        <v>74</v>
      </c>
      <c r="W1549" t="s">
        <v>75</v>
      </c>
      <c r="X1549">
        <v>2.2999999999999998</v>
      </c>
      <c r="Y1549" t="s">
        <v>679</v>
      </c>
      <c r="Z1549" t="s">
        <v>496</v>
      </c>
      <c r="AA1549">
        <v>37.58</v>
      </c>
      <c r="AB1549">
        <v>75.150000000000006</v>
      </c>
      <c r="AC1549">
        <v>32.67</v>
      </c>
    </row>
    <row r="1550" spans="2:29" ht="15" customHeight="1" x14ac:dyDescent="0.15">
      <c r="B1550">
        <v>4</v>
      </c>
      <c r="C1550" t="s">
        <v>386</v>
      </c>
      <c r="D1550" t="s">
        <v>2978</v>
      </c>
      <c r="E1550">
        <v>7</v>
      </c>
      <c r="F1550" t="s">
        <v>219</v>
      </c>
      <c r="G1550" t="s">
        <v>218</v>
      </c>
      <c r="H1550" t="s">
        <v>686</v>
      </c>
      <c r="I1550">
        <v>26</v>
      </c>
      <c r="J1550" s="21">
        <v>46196</v>
      </c>
      <c r="K1550" s="21">
        <v>46196</v>
      </c>
      <c r="L1550" t="s">
        <v>2985</v>
      </c>
      <c r="M1550" t="s">
        <v>2468</v>
      </c>
      <c r="N1550">
        <v>66</v>
      </c>
      <c r="O1550" t="s">
        <v>220</v>
      </c>
      <c r="P1550">
        <v>4</v>
      </c>
      <c r="Q1550">
        <v>1.74</v>
      </c>
      <c r="R1550">
        <v>0.2</v>
      </c>
      <c r="S1550">
        <v>0.8</v>
      </c>
      <c r="T1550">
        <v>0.35</v>
      </c>
      <c r="U1550" t="s">
        <v>73</v>
      </c>
      <c r="V1550" t="s">
        <v>74</v>
      </c>
      <c r="W1550" t="s">
        <v>75</v>
      </c>
      <c r="X1550">
        <v>2.2999999999999998</v>
      </c>
      <c r="Y1550" t="s">
        <v>679</v>
      </c>
      <c r="Z1550" t="s">
        <v>496</v>
      </c>
      <c r="AA1550">
        <v>80.900000000000006</v>
      </c>
      <c r="AB1550">
        <v>64.72</v>
      </c>
      <c r="AC1550">
        <v>28.14</v>
      </c>
    </row>
    <row r="1551" spans="2:29" ht="15" customHeight="1" x14ac:dyDescent="0.15">
      <c r="B1551">
        <v>4</v>
      </c>
      <c r="C1551" t="s">
        <v>386</v>
      </c>
      <c r="D1551" t="s">
        <v>2986</v>
      </c>
      <c r="E1551">
        <v>1</v>
      </c>
      <c r="F1551" t="s">
        <v>219</v>
      </c>
      <c r="G1551" t="s">
        <v>231</v>
      </c>
      <c r="H1551" t="s">
        <v>231</v>
      </c>
      <c r="I1551">
        <v>26</v>
      </c>
      <c r="J1551" s="21">
        <v>46196</v>
      </c>
      <c r="K1551" s="21">
        <v>46197</v>
      </c>
      <c r="L1551" t="s">
        <v>2987</v>
      </c>
      <c r="M1551" t="s">
        <v>2648</v>
      </c>
      <c r="N1551">
        <v>125</v>
      </c>
      <c r="O1551" t="s">
        <v>220</v>
      </c>
      <c r="P1551">
        <v>4</v>
      </c>
      <c r="Q1551">
        <v>2</v>
      </c>
      <c r="R1551">
        <v>0.15</v>
      </c>
      <c r="S1551">
        <v>0.6</v>
      </c>
      <c r="T1551">
        <v>0.3</v>
      </c>
      <c r="U1551" t="s">
        <v>47</v>
      </c>
      <c r="V1551" t="s">
        <v>48</v>
      </c>
      <c r="W1551" t="s">
        <v>21</v>
      </c>
      <c r="X1551">
        <v>2</v>
      </c>
      <c r="Y1551" t="s">
        <v>679</v>
      </c>
      <c r="Z1551" t="s">
        <v>496</v>
      </c>
      <c r="AA1551">
        <v>16.61</v>
      </c>
      <c r="AB1551">
        <v>9.9700000000000006</v>
      </c>
      <c r="AC1551">
        <v>4.9800000000000004</v>
      </c>
    </row>
    <row r="1552" spans="2:29" ht="15" customHeight="1" x14ac:dyDescent="0.15">
      <c r="B1552">
        <v>4</v>
      </c>
      <c r="C1552" t="s">
        <v>386</v>
      </c>
      <c r="D1552" t="s">
        <v>2986</v>
      </c>
      <c r="E1552">
        <v>2</v>
      </c>
      <c r="F1552" t="s">
        <v>219</v>
      </c>
      <c r="G1552" t="s">
        <v>244</v>
      </c>
      <c r="H1552" t="s">
        <v>1605</v>
      </c>
      <c r="I1552">
        <v>26</v>
      </c>
      <c r="J1552" s="21">
        <v>46196</v>
      </c>
      <c r="K1552" s="21">
        <v>46197</v>
      </c>
      <c r="L1552" t="s">
        <v>2988</v>
      </c>
      <c r="M1552" t="s">
        <v>295</v>
      </c>
      <c r="N1552">
        <v>125</v>
      </c>
      <c r="O1552" t="s">
        <v>220</v>
      </c>
      <c r="P1552">
        <v>4</v>
      </c>
      <c r="Q1552">
        <v>2</v>
      </c>
      <c r="R1552">
        <v>0.5</v>
      </c>
      <c r="S1552">
        <v>2</v>
      </c>
      <c r="T1552">
        <v>1</v>
      </c>
      <c r="U1552" t="s">
        <v>47</v>
      </c>
      <c r="V1552" t="s">
        <v>48</v>
      </c>
      <c r="W1552" t="s">
        <v>21</v>
      </c>
      <c r="X1552">
        <v>2</v>
      </c>
      <c r="Y1552" t="s">
        <v>679</v>
      </c>
      <c r="Z1552" t="s">
        <v>496</v>
      </c>
      <c r="AA1552">
        <v>77.31</v>
      </c>
      <c r="AB1552">
        <v>154.62</v>
      </c>
      <c r="AC1552">
        <v>77.31</v>
      </c>
    </row>
    <row r="1553" spans="2:29" ht="15" customHeight="1" x14ac:dyDescent="0.15">
      <c r="B1553">
        <v>4</v>
      </c>
      <c r="C1553" t="s">
        <v>386</v>
      </c>
      <c r="D1553" t="s">
        <v>2986</v>
      </c>
      <c r="E1553">
        <v>3</v>
      </c>
      <c r="F1553" t="s">
        <v>219</v>
      </c>
      <c r="G1553" t="s">
        <v>218</v>
      </c>
      <c r="H1553" t="s">
        <v>911</v>
      </c>
      <c r="I1553">
        <v>26</v>
      </c>
      <c r="J1553" s="21">
        <v>46196</v>
      </c>
      <c r="K1553" s="21">
        <v>46197</v>
      </c>
      <c r="L1553" t="s">
        <v>2989</v>
      </c>
      <c r="M1553" t="s">
        <v>913</v>
      </c>
      <c r="N1553">
        <v>125</v>
      </c>
      <c r="O1553" t="s">
        <v>220</v>
      </c>
      <c r="P1553">
        <v>4</v>
      </c>
      <c r="Q1553">
        <v>2</v>
      </c>
      <c r="R1553">
        <v>0.2</v>
      </c>
      <c r="S1553">
        <v>0.8</v>
      </c>
      <c r="T1553">
        <v>0.4</v>
      </c>
      <c r="U1553" t="s">
        <v>47</v>
      </c>
      <c r="V1553" t="s">
        <v>48</v>
      </c>
      <c r="W1553" t="s">
        <v>21</v>
      </c>
      <c r="X1553">
        <v>2</v>
      </c>
      <c r="Y1553" t="s">
        <v>679</v>
      </c>
      <c r="Z1553" t="s">
        <v>496</v>
      </c>
      <c r="AA1553">
        <v>91.24</v>
      </c>
      <c r="AB1553">
        <v>72.989999999999995</v>
      </c>
      <c r="AC1553">
        <v>36.5</v>
      </c>
    </row>
    <row r="1554" spans="2:29" ht="15" customHeight="1" x14ac:dyDescent="0.15">
      <c r="B1554">
        <v>4</v>
      </c>
      <c r="C1554" t="s">
        <v>386</v>
      </c>
      <c r="D1554" t="s">
        <v>2986</v>
      </c>
      <c r="E1554">
        <v>4</v>
      </c>
      <c r="F1554" t="s">
        <v>219</v>
      </c>
      <c r="G1554" t="s">
        <v>239</v>
      </c>
      <c r="H1554" t="s">
        <v>485</v>
      </c>
      <c r="I1554">
        <v>26</v>
      </c>
      <c r="J1554" s="21">
        <v>46196</v>
      </c>
      <c r="K1554" s="21">
        <v>46197</v>
      </c>
      <c r="L1554" t="s">
        <v>2990</v>
      </c>
      <c r="M1554" t="s">
        <v>2452</v>
      </c>
      <c r="N1554">
        <v>125</v>
      </c>
      <c r="O1554" t="s">
        <v>220</v>
      </c>
      <c r="P1554">
        <v>4</v>
      </c>
      <c r="Q1554">
        <v>2</v>
      </c>
      <c r="R1554">
        <v>1</v>
      </c>
      <c r="S1554">
        <v>4</v>
      </c>
      <c r="T1554">
        <v>2</v>
      </c>
      <c r="U1554" t="s">
        <v>47</v>
      </c>
      <c r="V1554" t="s">
        <v>48</v>
      </c>
      <c r="W1554" t="s">
        <v>21</v>
      </c>
      <c r="X1554">
        <v>2</v>
      </c>
      <c r="Y1554" t="s">
        <v>679</v>
      </c>
      <c r="Z1554" t="s">
        <v>496</v>
      </c>
      <c r="AA1554">
        <v>70.12</v>
      </c>
      <c r="AB1554">
        <v>280.48</v>
      </c>
      <c r="AC1554">
        <v>140.24</v>
      </c>
    </row>
    <row r="1555" spans="2:29" ht="15" customHeight="1" x14ac:dyDescent="0.15">
      <c r="B1555">
        <v>4</v>
      </c>
      <c r="C1555" t="s">
        <v>386</v>
      </c>
      <c r="D1555" t="s">
        <v>2986</v>
      </c>
      <c r="E1555">
        <v>5</v>
      </c>
      <c r="F1555" t="s">
        <v>219</v>
      </c>
      <c r="G1555" t="s">
        <v>218</v>
      </c>
      <c r="H1555" t="s">
        <v>686</v>
      </c>
      <c r="I1555">
        <v>26</v>
      </c>
      <c r="J1555" s="21">
        <v>46196</v>
      </c>
      <c r="K1555" s="21">
        <v>46197</v>
      </c>
      <c r="L1555" t="s">
        <v>2991</v>
      </c>
      <c r="M1555" t="s">
        <v>2468</v>
      </c>
      <c r="N1555">
        <v>125</v>
      </c>
      <c r="O1555" t="s">
        <v>220</v>
      </c>
      <c r="P1555">
        <v>4</v>
      </c>
      <c r="Q1555">
        <v>2</v>
      </c>
      <c r="R1555">
        <v>0.2</v>
      </c>
      <c r="S1555">
        <v>0.8</v>
      </c>
      <c r="T1555">
        <v>0.4</v>
      </c>
      <c r="U1555" t="s">
        <v>47</v>
      </c>
      <c r="V1555" t="s">
        <v>48</v>
      </c>
      <c r="W1555" t="s">
        <v>21</v>
      </c>
      <c r="X1555">
        <v>2</v>
      </c>
      <c r="Y1555" t="s">
        <v>679</v>
      </c>
      <c r="Z1555" t="s">
        <v>496</v>
      </c>
      <c r="AA1555">
        <v>80.900000000000006</v>
      </c>
      <c r="AB1555">
        <v>64.72</v>
      </c>
      <c r="AC1555">
        <v>32.36</v>
      </c>
    </row>
    <row r="1556" spans="2:29" ht="15" customHeight="1" x14ac:dyDescent="0.15">
      <c r="B1556">
        <v>4</v>
      </c>
      <c r="C1556" t="s">
        <v>386</v>
      </c>
      <c r="D1556" t="s">
        <v>2986</v>
      </c>
      <c r="E1556">
        <v>6</v>
      </c>
      <c r="F1556" t="s">
        <v>219</v>
      </c>
      <c r="G1556" t="s">
        <v>239</v>
      </c>
      <c r="H1556" t="s">
        <v>2438</v>
      </c>
      <c r="I1556">
        <v>26</v>
      </c>
      <c r="J1556" s="21">
        <v>46196</v>
      </c>
      <c r="K1556" s="21">
        <v>46197</v>
      </c>
      <c r="L1556" t="s">
        <v>2992</v>
      </c>
      <c r="M1556" t="s">
        <v>2440</v>
      </c>
      <c r="N1556">
        <v>125</v>
      </c>
      <c r="O1556" t="s">
        <v>220</v>
      </c>
      <c r="P1556">
        <v>4</v>
      </c>
      <c r="Q1556">
        <v>2</v>
      </c>
      <c r="R1556">
        <v>1</v>
      </c>
      <c r="S1556">
        <v>4</v>
      </c>
      <c r="T1556">
        <v>2</v>
      </c>
      <c r="U1556" t="s">
        <v>47</v>
      </c>
      <c r="V1556" t="s">
        <v>48</v>
      </c>
      <c r="W1556" t="s">
        <v>21</v>
      </c>
      <c r="X1556">
        <v>2</v>
      </c>
      <c r="Y1556" t="s">
        <v>679</v>
      </c>
      <c r="Z1556" t="s">
        <v>496</v>
      </c>
      <c r="AA1556">
        <v>41</v>
      </c>
      <c r="AB1556">
        <v>164</v>
      </c>
      <c r="AC1556">
        <v>82</v>
      </c>
    </row>
    <row r="1557" spans="2:29" ht="15" customHeight="1" x14ac:dyDescent="0.15">
      <c r="B1557">
        <v>4</v>
      </c>
      <c r="C1557" t="s">
        <v>386</v>
      </c>
      <c r="D1557" t="s">
        <v>2986</v>
      </c>
      <c r="E1557">
        <v>7</v>
      </c>
      <c r="F1557" t="s">
        <v>219</v>
      </c>
      <c r="G1557" t="s">
        <v>239</v>
      </c>
      <c r="H1557" t="s">
        <v>520</v>
      </c>
      <c r="I1557">
        <v>26</v>
      </c>
      <c r="J1557" s="21">
        <v>46196</v>
      </c>
      <c r="K1557" s="21">
        <v>46197</v>
      </c>
      <c r="L1557" t="s">
        <v>2993</v>
      </c>
      <c r="M1557" t="s">
        <v>1340</v>
      </c>
      <c r="N1557">
        <v>125</v>
      </c>
      <c r="O1557" t="s">
        <v>202</v>
      </c>
      <c r="P1557">
        <v>4</v>
      </c>
      <c r="Q1557">
        <v>2</v>
      </c>
      <c r="R1557">
        <v>0.5</v>
      </c>
      <c r="S1557">
        <v>2</v>
      </c>
      <c r="T1557">
        <v>1</v>
      </c>
      <c r="U1557" t="s">
        <v>47</v>
      </c>
      <c r="V1557" t="s">
        <v>48</v>
      </c>
      <c r="W1557" t="s">
        <v>21</v>
      </c>
      <c r="X1557">
        <v>2</v>
      </c>
      <c r="Y1557" t="s">
        <v>679</v>
      </c>
      <c r="Z1557" t="s">
        <v>496</v>
      </c>
      <c r="AA1557">
        <v>66.92</v>
      </c>
      <c r="AB1557">
        <v>133.84</v>
      </c>
      <c r="AC1557">
        <v>66.92</v>
      </c>
    </row>
    <row r="1558" spans="2:29" ht="15" customHeight="1" x14ac:dyDescent="0.15">
      <c r="B1558">
        <v>4</v>
      </c>
      <c r="C1558" t="s">
        <v>386</v>
      </c>
      <c r="D1558" t="s">
        <v>2986</v>
      </c>
      <c r="E1558">
        <v>8</v>
      </c>
      <c r="F1558" t="s">
        <v>219</v>
      </c>
      <c r="G1558" t="s">
        <v>218</v>
      </c>
      <c r="H1558" t="s">
        <v>2464</v>
      </c>
      <c r="I1558">
        <v>26</v>
      </c>
      <c r="J1558" s="21">
        <v>46196</v>
      </c>
      <c r="K1558" s="21">
        <v>46197</v>
      </c>
      <c r="L1558" t="s">
        <v>2994</v>
      </c>
      <c r="M1558" t="s">
        <v>2466</v>
      </c>
      <c r="N1558">
        <v>125</v>
      </c>
      <c r="O1558" t="s">
        <v>220</v>
      </c>
      <c r="P1558">
        <v>4</v>
      </c>
      <c r="Q1558">
        <v>2</v>
      </c>
      <c r="R1558">
        <v>0.5</v>
      </c>
      <c r="S1558">
        <v>2</v>
      </c>
      <c r="T1558">
        <v>1</v>
      </c>
      <c r="U1558" t="s">
        <v>47</v>
      </c>
      <c r="V1558" t="s">
        <v>48</v>
      </c>
      <c r="W1558" t="s">
        <v>21</v>
      </c>
      <c r="X1558">
        <v>2</v>
      </c>
      <c r="Y1558" t="s">
        <v>679</v>
      </c>
      <c r="Z1558" t="s">
        <v>496</v>
      </c>
      <c r="AA1558">
        <v>46</v>
      </c>
      <c r="AB1558">
        <v>92</v>
      </c>
      <c r="AC1558">
        <v>46</v>
      </c>
    </row>
    <row r="1559" spans="2:29" ht="15" customHeight="1" x14ac:dyDescent="0.15">
      <c r="B1559">
        <v>4</v>
      </c>
      <c r="C1559" t="s">
        <v>386</v>
      </c>
      <c r="D1559" t="s">
        <v>2995</v>
      </c>
      <c r="E1559">
        <v>1</v>
      </c>
      <c r="F1559" t="s">
        <v>219</v>
      </c>
      <c r="G1559" t="s">
        <v>231</v>
      </c>
      <c r="H1559" t="s">
        <v>231</v>
      </c>
      <c r="I1559">
        <v>26</v>
      </c>
      <c r="J1559" s="21">
        <v>46197</v>
      </c>
      <c r="K1559" s="21">
        <v>46197</v>
      </c>
      <c r="L1559" t="s">
        <v>2996</v>
      </c>
      <c r="M1559" t="s">
        <v>2648</v>
      </c>
      <c r="N1559" s="22">
        <v>46197</v>
      </c>
      <c r="O1559" t="s">
        <v>220</v>
      </c>
      <c r="P1559">
        <v>2</v>
      </c>
      <c r="Q1559">
        <v>2</v>
      </c>
      <c r="R1559">
        <v>0.15</v>
      </c>
      <c r="S1559">
        <v>0.3</v>
      </c>
      <c r="T1559">
        <v>0.3</v>
      </c>
      <c r="U1559" t="s">
        <v>139</v>
      </c>
      <c r="V1559" t="s">
        <v>140</v>
      </c>
      <c r="W1559" t="s">
        <v>75</v>
      </c>
      <c r="X1559">
        <v>1</v>
      </c>
      <c r="Y1559" t="s">
        <v>2629</v>
      </c>
      <c r="Z1559" t="s">
        <v>496</v>
      </c>
      <c r="AA1559">
        <v>16.61</v>
      </c>
      <c r="AB1559">
        <v>4.9800000000000004</v>
      </c>
      <c r="AC1559">
        <v>4.9800000000000004</v>
      </c>
    </row>
    <row r="1560" spans="2:29" ht="15" customHeight="1" x14ac:dyDescent="0.15">
      <c r="B1560">
        <v>4</v>
      </c>
      <c r="C1560" t="s">
        <v>386</v>
      </c>
      <c r="D1560" t="s">
        <v>2995</v>
      </c>
      <c r="E1560">
        <v>2</v>
      </c>
      <c r="F1560" t="s">
        <v>219</v>
      </c>
      <c r="G1560" t="s">
        <v>218</v>
      </c>
      <c r="H1560" t="s">
        <v>911</v>
      </c>
      <c r="I1560">
        <v>26</v>
      </c>
      <c r="J1560" s="21">
        <v>46197</v>
      </c>
      <c r="K1560" s="21">
        <v>46197</v>
      </c>
      <c r="L1560" t="s">
        <v>2997</v>
      </c>
      <c r="M1560" t="s">
        <v>913</v>
      </c>
      <c r="N1560" s="22">
        <v>46197</v>
      </c>
      <c r="O1560" t="s">
        <v>220</v>
      </c>
      <c r="P1560">
        <v>2</v>
      </c>
      <c r="Q1560">
        <v>2</v>
      </c>
      <c r="R1560">
        <v>0.2</v>
      </c>
      <c r="S1560">
        <v>0.4</v>
      </c>
      <c r="T1560">
        <v>0.4</v>
      </c>
      <c r="U1560" t="s">
        <v>139</v>
      </c>
      <c r="V1560" t="s">
        <v>140</v>
      </c>
      <c r="W1560" t="s">
        <v>75</v>
      </c>
      <c r="X1560">
        <v>1</v>
      </c>
      <c r="Y1560" t="s">
        <v>2629</v>
      </c>
      <c r="Z1560" t="s">
        <v>496</v>
      </c>
      <c r="AA1560">
        <v>91.24</v>
      </c>
      <c r="AB1560">
        <v>36.5</v>
      </c>
      <c r="AC1560">
        <v>36.5</v>
      </c>
    </row>
    <row r="1561" spans="2:29" ht="15" customHeight="1" x14ac:dyDescent="0.15">
      <c r="B1561">
        <v>4</v>
      </c>
      <c r="C1561" t="s">
        <v>386</v>
      </c>
      <c r="D1561" t="s">
        <v>2995</v>
      </c>
      <c r="E1561">
        <v>3</v>
      </c>
      <c r="F1561" t="s">
        <v>219</v>
      </c>
      <c r="G1561" t="s">
        <v>218</v>
      </c>
      <c r="H1561" t="s">
        <v>686</v>
      </c>
      <c r="I1561">
        <v>26</v>
      </c>
      <c r="J1561" s="21">
        <v>46197</v>
      </c>
      <c r="K1561" s="21">
        <v>46197</v>
      </c>
      <c r="L1561" t="s">
        <v>2998</v>
      </c>
      <c r="M1561" t="s">
        <v>2468</v>
      </c>
      <c r="N1561" s="22">
        <v>46197</v>
      </c>
      <c r="O1561" t="s">
        <v>220</v>
      </c>
      <c r="P1561">
        <v>0</v>
      </c>
      <c r="Q1561">
        <v>0</v>
      </c>
      <c r="R1561">
        <v>0.2</v>
      </c>
      <c r="S1561">
        <v>0</v>
      </c>
      <c r="T1561">
        <v>0</v>
      </c>
      <c r="U1561" t="s">
        <v>139</v>
      </c>
      <c r="V1561" t="s">
        <v>140</v>
      </c>
      <c r="W1561" t="s">
        <v>75</v>
      </c>
      <c r="X1561">
        <v>1</v>
      </c>
      <c r="Y1561" t="s">
        <v>2629</v>
      </c>
      <c r="Z1561" t="s">
        <v>496</v>
      </c>
      <c r="AA1561">
        <v>80.900000000000006</v>
      </c>
      <c r="AB1561">
        <v>0</v>
      </c>
      <c r="AC1561">
        <v>0</v>
      </c>
    </row>
    <row r="1562" spans="2:29" ht="15" customHeight="1" x14ac:dyDescent="0.15">
      <c r="B1562">
        <v>4</v>
      </c>
      <c r="C1562" t="s">
        <v>386</v>
      </c>
      <c r="D1562" t="s">
        <v>2995</v>
      </c>
      <c r="E1562">
        <v>4</v>
      </c>
      <c r="F1562" t="s">
        <v>219</v>
      </c>
      <c r="G1562" t="s">
        <v>244</v>
      </c>
      <c r="H1562" t="s">
        <v>511</v>
      </c>
      <c r="I1562">
        <v>26</v>
      </c>
      <c r="J1562" s="21">
        <v>46197</v>
      </c>
      <c r="K1562" s="21">
        <v>46197</v>
      </c>
      <c r="L1562" t="s">
        <v>2999</v>
      </c>
      <c r="M1562" t="s">
        <v>1243</v>
      </c>
      <c r="N1562" s="22">
        <v>46197</v>
      </c>
      <c r="O1562" t="s">
        <v>202</v>
      </c>
      <c r="P1562">
        <v>1</v>
      </c>
      <c r="Q1562">
        <v>1</v>
      </c>
      <c r="R1562">
        <v>0.2</v>
      </c>
      <c r="S1562">
        <v>0.2</v>
      </c>
      <c r="T1562">
        <v>0.2</v>
      </c>
      <c r="U1562" t="s">
        <v>139</v>
      </c>
      <c r="V1562" t="s">
        <v>140</v>
      </c>
      <c r="W1562" t="s">
        <v>75</v>
      </c>
      <c r="X1562">
        <v>1</v>
      </c>
      <c r="Y1562" t="s">
        <v>2629</v>
      </c>
      <c r="Z1562" t="s">
        <v>496</v>
      </c>
      <c r="AA1562">
        <v>269</v>
      </c>
      <c r="AB1562">
        <v>53.8</v>
      </c>
      <c r="AC1562">
        <v>53.8</v>
      </c>
    </row>
    <row r="1563" spans="2:29" ht="15" customHeight="1" x14ac:dyDescent="0.15">
      <c r="B1563">
        <v>4</v>
      </c>
      <c r="C1563" t="s">
        <v>386</v>
      </c>
      <c r="D1563" t="s">
        <v>2995</v>
      </c>
      <c r="E1563">
        <v>5</v>
      </c>
      <c r="F1563" t="s">
        <v>219</v>
      </c>
      <c r="G1563" s="8" t="s">
        <v>223</v>
      </c>
      <c r="H1563" t="s">
        <v>2608</v>
      </c>
      <c r="I1563">
        <v>26</v>
      </c>
      <c r="J1563" s="21">
        <v>46197</v>
      </c>
      <c r="K1563" s="21">
        <v>46197</v>
      </c>
      <c r="L1563" t="s">
        <v>3000</v>
      </c>
      <c r="M1563" t="s">
        <v>3001</v>
      </c>
      <c r="N1563" s="22">
        <v>46197</v>
      </c>
      <c r="O1563" t="s">
        <v>220</v>
      </c>
      <c r="P1563">
        <v>2</v>
      </c>
      <c r="Q1563">
        <v>2</v>
      </c>
      <c r="R1563">
        <v>7</v>
      </c>
      <c r="S1563">
        <v>14</v>
      </c>
      <c r="T1563">
        <v>14</v>
      </c>
      <c r="U1563" t="s">
        <v>139</v>
      </c>
      <c r="V1563" t="s">
        <v>140</v>
      </c>
      <c r="W1563" t="s">
        <v>75</v>
      </c>
      <c r="X1563">
        <v>1</v>
      </c>
      <c r="Y1563" t="s">
        <v>2629</v>
      </c>
      <c r="Z1563" t="s">
        <v>496</v>
      </c>
      <c r="AA1563">
        <v>3</v>
      </c>
      <c r="AB1563">
        <v>42</v>
      </c>
      <c r="AC1563">
        <v>42</v>
      </c>
    </row>
    <row r="1564" spans="2:29" ht="15" customHeight="1" x14ac:dyDescent="0.15">
      <c r="B1564">
        <v>4</v>
      </c>
      <c r="C1564" t="s">
        <v>386</v>
      </c>
      <c r="D1564" t="s">
        <v>3002</v>
      </c>
      <c r="E1564">
        <v>1</v>
      </c>
      <c r="F1564" t="s">
        <v>219</v>
      </c>
      <c r="G1564" t="s">
        <v>231</v>
      </c>
      <c r="H1564" t="s">
        <v>231</v>
      </c>
      <c r="I1564">
        <v>25</v>
      </c>
      <c r="J1564" s="21">
        <v>46192</v>
      </c>
      <c r="K1564" s="21">
        <v>46192</v>
      </c>
      <c r="L1564" t="s">
        <v>3003</v>
      </c>
      <c r="M1564" t="s">
        <v>2648</v>
      </c>
      <c r="N1564" s="22">
        <v>46192</v>
      </c>
      <c r="O1564" t="s">
        <v>220</v>
      </c>
      <c r="P1564">
        <v>6</v>
      </c>
      <c r="Q1564">
        <v>1.3</v>
      </c>
      <c r="R1564">
        <v>0.15</v>
      </c>
      <c r="S1564">
        <v>0.9</v>
      </c>
      <c r="T1564">
        <v>0.2</v>
      </c>
      <c r="U1564" t="s">
        <v>122</v>
      </c>
      <c r="V1564" t="s">
        <v>123</v>
      </c>
      <c r="W1564" t="s">
        <v>75</v>
      </c>
      <c r="X1564">
        <v>4.5999999999999996</v>
      </c>
      <c r="Y1564" t="s">
        <v>2629</v>
      </c>
      <c r="Z1564" t="s">
        <v>496</v>
      </c>
      <c r="AA1564">
        <v>16.61</v>
      </c>
      <c r="AB1564">
        <v>14.95</v>
      </c>
      <c r="AC1564">
        <v>3.25</v>
      </c>
    </row>
    <row r="1565" spans="2:29" ht="15" customHeight="1" x14ac:dyDescent="0.15">
      <c r="B1565">
        <v>4</v>
      </c>
      <c r="C1565" t="s">
        <v>386</v>
      </c>
      <c r="D1565" t="s">
        <v>3002</v>
      </c>
      <c r="E1565">
        <v>2</v>
      </c>
      <c r="F1565" t="s">
        <v>219</v>
      </c>
      <c r="G1565" t="s">
        <v>218</v>
      </c>
      <c r="H1565" t="s">
        <v>2305</v>
      </c>
      <c r="I1565">
        <v>25</v>
      </c>
      <c r="J1565" s="21">
        <v>46192</v>
      </c>
      <c r="K1565" s="21">
        <v>46192</v>
      </c>
      <c r="L1565" t="s">
        <v>3004</v>
      </c>
      <c r="M1565" t="s">
        <v>255</v>
      </c>
      <c r="N1565" s="22">
        <v>46192</v>
      </c>
      <c r="O1565" t="s">
        <v>202</v>
      </c>
      <c r="P1565">
        <v>6</v>
      </c>
      <c r="Q1565">
        <v>1.3</v>
      </c>
      <c r="R1565">
        <v>0.4</v>
      </c>
      <c r="S1565">
        <v>2.4</v>
      </c>
      <c r="T1565">
        <v>0.52</v>
      </c>
      <c r="U1565" t="s">
        <v>122</v>
      </c>
      <c r="V1565" t="s">
        <v>123</v>
      </c>
      <c r="W1565" t="s">
        <v>75</v>
      </c>
      <c r="X1565">
        <v>4.5999999999999996</v>
      </c>
      <c r="Y1565" t="s">
        <v>2629</v>
      </c>
      <c r="Z1565" t="s">
        <v>496</v>
      </c>
      <c r="AA1565">
        <v>37.5</v>
      </c>
      <c r="AB1565">
        <v>90</v>
      </c>
      <c r="AC1565">
        <v>19.57</v>
      </c>
    </row>
    <row r="1566" spans="2:29" ht="15" customHeight="1" x14ac:dyDescent="0.15">
      <c r="B1566">
        <v>4</v>
      </c>
      <c r="C1566" t="s">
        <v>386</v>
      </c>
      <c r="D1566" t="s">
        <v>3002</v>
      </c>
      <c r="E1566">
        <v>3</v>
      </c>
      <c r="F1566" t="s">
        <v>219</v>
      </c>
      <c r="G1566" t="s">
        <v>239</v>
      </c>
      <c r="H1566" t="s">
        <v>520</v>
      </c>
      <c r="I1566">
        <v>25</v>
      </c>
      <c r="J1566" s="21">
        <v>46192</v>
      </c>
      <c r="K1566" s="21">
        <v>46192</v>
      </c>
      <c r="L1566" t="s">
        <v>3005</v>
      </c>
      <c r="M1566" t="s">
        <v>1340</v>
      </c>
      <c r="N1566" s="22">
        <v>46192</v>
      </c>
      <c r="O1566" t="s">
        <v>202</v>
      </c>
      <c r="P1566">
        <v>6</v>
      </c>
      <c r="Q1566">
        <v>1.3</v>
      </c>
      <c r="R1566">
        <v>0.5</v>
      </c>
      <c r="S1566">
        <v>3</v>
      </c>
      <c r="T1566">
        <v>0.65</v>
      </c>
      <c r="U1566" t="s">
        <v>122</v>
      </c>
      <c r="V1566" t="s">
        <v>123</v>
      </c>
      <c r="W1566" t="s">
        <v>75</v>
      </c>
      <c r="X1566">
        <v>4.5999999999999996</v>
      </c>
      <c r="Y1566" t="s">
        <v>2629</v>
      </c>
      <c r="Z1566" t="s">
        <v>496</v>
      </c>
      <c r="AA1566">
        <v>66.92</v>
      </c>
      <c r="AB1566">
        <v>200.76</v>
      </c>
      <c r="AC1566">
        <v>43.64</v>
      </c>
    </row>
    <row r="1567" spans="2:29" ht="15" customHeight="1" x14ac:dyDescent="0.15">
      <c r="B1567">
        <v>4</v>
      </c>
      <c r="C1567" t="s">
        <v>386</v>
      </c>
      <c r="D1567" t="s">
        <v>3002</v>
      </c>
      <c r="E1567">
        <v>4</v>
      </c>
      <c r="I1567">
        <v>25</v>
      </c>
      <c r="J1567" s="21">
        <v>46192</v>
      </c>
      <c r="K1567" s="21">
        <v>46192</v>
      </c>
      <c r="L1567" t="s">
        <v>3006</v>
      </c>
      <c r="M1567" t="s">
        <v>2934</v>
      </c>
      <c r="N1567" s="22">
        <v>46192</v>
      </c>
      <c r="O1567" t="s">
        <v>220</v>
      </c>
      <c r="P1567">
        <v>6</v>
      </c>
      <c r="Q1567">
        <v>1.3</v>
      </c>
      <c r="R1567">
        <v>0.5</v>
      </c>
      <c r="S1567">
        <v>3</v>
      </c>
      <c r="T1567">
        <v>0.65</v>
      </c>
      <c r="U1567" t="s">
        <v>122</v>
      </c>
      <c r="V1567" t="s">
        <v>123</v>
      </c>
      <c r="W1567" t="s">
        <v>75</v>
      </c>
      <c r="X1567">
        <v>4.5999999999999996</v>
      </c>
      <c r="Y1567" t="s">
        <v>2629</v>
      </c>
      <c r="Z1567" t="s">
        <v>496</v>
      </c>
    </row>
    <row r="1568" spans="2:29" ht="15" customHeight="1" x14ac:dyDescent="0.15">
      <c r="B1568">
        <v>4</v>
      </c>
      <c r="C1568" t="s">
        <v>386</v>
      </c>
      <c r="D1568" t="s">
        <v>3002</v>
      </c>
      <c r="E1568">
        <v>5</v>
      </c>
      <c r="F1568" t="s">
        <v>219</v>
      </c>
      <c r="G1568" t="s">
        <v>218</v>
      </c>
      <c r="H1568" t="s">
        <v>686</v>
      </c>
      <c r="I1568">
        <v>25</v>
      </c>
      <c r="J1568" s="21">
        <v>46192</v>
      </c>
      <c r="K1568" s="21">
        <v>46192</v>
      </c>
      <c r="L1568" t="s">
        <v>3007</v>
      </c>
      <c r="M1568" t="s">
        <v>2468</v>
      </c>
      <c r="N1568" s="22">
        <v>46192</v>
      </c>
      <c r="O1568" t="s">
        <v>220</v>
      </c>
      <c r="P1568">
        <v>6</v>
      </c>
      <c r="Q1568">
        <v>1.3</v>
      </c>
      <c r="R1568">
        <v>0.2</v>
      </c>
      <c r="S1568">
        <v>1.2</v>
      </c>
      <c r="T1568">
        <v>0.26</v>
      </c>
      <c r="U1568" t="s">
        <v>122</v>
      </c>
      <c r="V1568" t="s">
        <v>123</v>
      </c>
      <c r="W1568" t="s">
        <v>75</v>
      </c>
      <c r="X1568">
        <v>4.5999999999999996</v>
      </c>
      <c r="Y1568" t="s">
        <v>2629</v>
      </c>
      <c r="Z1568" t="s">
        <v>496</v>
      </c>
      <c r="AA1568">
        <v>80.900000000000006</v>
      </c>
      <c r="AB1568">
        <v>97.08</v>
      </c>
      <c r="AC1568">
        <v>21.1</v>
      </c>
    </row>
    <row r="1569" spans="2:29" ht="15" customHeight="1" x14ac:dyDescent="0.15">
      <c r="B1569">
        <v>4</v>
      </c>
      <c r="C1569" t="s">
        <v>386</v>
      </c>
      <c r="D1569" t="s">
        <v>3008</v>
      </c>
      <c r="E1569">
        <v>1</v>
      </c>
      <c r="F1569" t="s">
        <v>219</v>
      </c>
      <c r="G1569" t="s">
        <v>223</v>
      </c>
      <c r="H1569" t="s">
        <v>987</v>
      </c>
      <c r="I1569">
        <v>26</v>
      </c>
      <c r="J1569" s="21">
        <v>46198</v>
      </c>
      <c r="K1569" s="21">
        <v>46198</v>
      </c>
      <c r="L1569" t="s">
        <v>3009</v>
      </c>
      <c r="M1569" t="s">
        <v>222</v>
      </c>
      <c r="N1569" s="22">
        <v>46198</v>
      </c>
      <c r="O1569" t="s">
        <v>220</v>
      </c>
      <c r="P1569">
        <v>6</v>
      </c>
      <c r="Q1569">
        <v>3</v>
      </c>
      <c r="R1569">
        <v>3.34</v>
      </c>
      <c r="S1569">
        <v>20.04</v>
      </c>
      <c r="T1569">
        <v>10.02</v>
      </c>
      <c r="U1569" t="s">
        <v>143</v>
      </c>
      <c r="V1569" t="s">
        <v>144</v>
      </c>
      <c r="W1569" t="s">
        <v>21</v>
      </c>
      <c r="X1569">
        <v>2</v>
      </c>
      <c r="Y1569" t="s">
        <v>2629</v>
      </c>
      <c r="Z1569" t="s">
        <v>496</v>
      </c>
      <c r="AA1569">
        <v>13.47</v>
      </c>
      <c r="AB1569">
        <v>269.94</v>
      </c>
      <c r="AC1569">
        <v>134.97</v>
      </c>
    </row>
    <row r="1570" spans="2:29" ht="15" customHeight="1" x14ac:dyDescent="0.15">
      <c r="B1570">
        <v>4</v>
      </c>
      <c r="C1570" t="s">
        <v>386</v>
      </c>
      <c r="D1570" t="s">
        <v>3008</v>
      </c>
      <c r="E1570">
        <v>2</v>
      </c>
      <c r="F1570" t="s">
        <v>219</v>
      </c>
      <c r="G1570" t="s">
        <v>239</v>
      </c>
      <c r="H1570" t="s">
        <v>520</v>
      </c>
      <c r="I1570">
        <v>26</v>
      </c>
      <c r="J1570" s="21">
        <v>46198</v>
      </c>
      <c r="K1570" s="21">
        <v>46198</v>
      </c>
      <c r="L1570" t="s">
        <v>3010</v>
      </c>
      <c r="M1570" t="s">
        <v>1340</v>
      </c>
      <c r="N1570" s="22">
        <v>46198</v>
      </c>
      <c r="O1570" t="s">
        <v>202</v>
      </c>
      <c r="P1570">
        <v>6</v>
      </c>
      <c r="Q1570">
        <v>3</v>
      </c>
      <c r="R1570">
        <v>0.5</v>
      </c>
      <c r="S1570">
        <v>3</v>
      </c>
      <c r="T1570">
        <v>1.5</v>
      </c>
      <c r="U1570" t="s">
        <v>143</v>
      </c>
      <c r="V1570" t="s">
        <v>144</v>
      </c>
      <c r="W1570" t="s">
        <v>21</v>
      </c>
      <c r="X1570">
        <v>2</v>
      </c>
      <c r="Y1570" t="s">
        <v>2629</v>
      </c>
      <c r="Z1570" t="s">
        <v>496</v>
      </c>
      <c r="AA1570">
        <v>66.92</v>
      </c>
      <c r="AB1570">
        <v>200.76</v>
      </c>
      <c r="AC1570">
        <v>100.38</v>
      </c>
    </row>
    <row r="1571" spans="2:29" ht="15" customHeight="1" x14ac:dyDescent="0.15">
      <c r="B1571">
        <v>4</v>
      </c>
      <c r="C1571" t="s">
        <v>386</v>
      </c>
      <c r="D1571" t="s">
        <v>3008</v>
      </c>
      <c r="E1571">
        <v>3</v>
      </c>
      <c r="F1571" t="s">
        <v>219</v>
      </c>
      <c r="G1571" t="s">
        <v>218</v>
      </c>
      <c r="H1571" t="s">
        <v>2253</v>
      </c>
      <c r="I1571">
        <v>26</v>
      </c>
      <c r="J1571" s="21">
        <v>46198</v>
      </c>
      <c r="K1571" s="21">
        <v>46198</v>
      </c>
      <c r="L1571" t="s">
        <v>3011</v>
      </c>
      <c r="M1571" t="s">
        <v>3012</v>
      </c>
      <c r="N1571" s="22">
        <v>46198</v>
      </c>
      <c r="O1571" t="s">
        <v>220</v>
      </c>
      <c r="P1571">
        <v>6</v>
      </c>
      <c r="Q1571">
        <v>3</v>
      </c>
      <c r="R1571">
        <v>0.5</v>
      </c>
      <c r="S1571">
        <v>3</v>
      </c>
      <c r="T1571">
        <v>1.5</v>
      </c>
      <c r="U1571" t="s">
        <v>143</v>
      </c>
      <c r="V1571" t="s">
        <v>144</v>
      </c>
      <c r="W1571" t="s">
        <v>21</v>
      </c>
      <c r="X1571">
        <v>2</v>
      </c>
      <c r="Y1571" t="s">
        <v>2629</v>
      </c>
      <c r="Z1571" t="s">
        <v>496</v>
      </c>
      <c r="AA1571">
        <v>216.83</v>
      </c>
      <c r="AB1571">
        <v>650.48</v>
      </c>
      <c r="AC1571">
        <v>325.24</v>
      </c>
    </row>
    <row r="1572" spans="2:29" ht="15" customHeight="1" x14ac:dyDescent="0.15">
      <c r="B1572">
        <v>4</v>
      </c>
      <c r="C1572" t="s">
        <v>386</v>
      </c>
      <c r="D1572" t="s">
        <v>3008</v>
      </c>
      <c r="E1572">
        <v>4</v>
      </c>
      <c r="F1572" t="s">
        <v>219</v>
      </c>
      <c r="G1572" t="s">
        <v>218</v>
      </c>
      <c r="H1572" t="s">
        <v>1099</v>
      </c>
      <c r="I1572">
        <v>26</v>
      </c>
      <c r="J1572" s="21">
        <v>46198</v>
      </c>
      <c r="K1572" s="21">
        <v>46198</v>
      </c>
      <c r="L1572" t="s">
        <v>3013</v>
      </c>
      <c r="M1572" t="s">
        <v>1101</v>
      </c>
      <c r="N1572" s="22">
        <v>46198</v>
      </c>
      <c r="O1572" t="s">
        <v>220</v>
      </c>
      <c r="P1572">
        <v>4</v>
      </c>
      <c r="Q1572">
        <v>2</v>
      </c>
      <c r="R1572">
        <v>0.5</v>
      </c>
      <c r="S1572">
        <v>2</v>
      </c>
      <c r="T1572">
        <v>1</v>
      </c>
      <c r="U1572" t="s">
        <v>143</v>
      </c>
      <c r="V1572" t="s">
        <v>144</v>
      </c>
      <c r="W1572" t="s">
        <v>21</v>
      </c>
      <c r="X1572">
        <v>2</v>
      </c>
      <c r="Y1572" t="s">
        <v>2629</v>
      </c>
      <c r="Z1572" t="s">
        <v>496</v>
      </c>
      <c r="AA1572">
        <v>50.23</v>
      </c>
      <c r="AB1572">
        <v>100.46</v>
      </c>
      <c r="AC1572">
        <v>50.23</v>
      </c>
    </row>
    <row r="1573" spans="2:29" ht="15" customHeight="1" x14ac:dyDescent="0.15">
      <c r="B1573">
        <v>4</v>
      </c>
      <c r="C1573" t="s">
        <v>386</v>
      </c>
      <c r="D1573" t="s">
        <v>3014</v>
      </c>
      <c r="E1573">
        <v>1</v>
      </c>
      <c r="F1573" t="s">
        <v>219</v>
      </c>
      <c r="G1573" t="s">
        <v>231</v>
      </c>
      <c r="H1573" t="s">
        <v>231</v>
      </c>
      <c r="I1573">
        <v>26</v>
      </c>
      <c r="J1573" s="21">
        <v>46198</v>
      </c>
      <c r="K1573" s="21">
        <v>46198</v>
      </c>
      <c r="L1573" t="s">
        <v>3015</v>
      </c>
      <c r="M1573" t="s">
        <v>2648</v>
      </c>
      <c r="N1573" s="22">
        <v>46198</v>
      </c>
      <c r="O1573" t="s">
        <v>220</v>
      </c>
      <c r="P1573">
        <v>3</v>
      </c>
      <c r="Q1573">
        <v>3</v>
      </c>
      <c r="R1573">
        <v>0.15</v>
      </c>
      <c r="S1573">
        <v>0.45</v>
      </c>
      <c r="T1573">
        <v>0.45</v>
      </c>
      <c r="U1573" t="s">
        <v>141</v>
      </c>
      <c r="V1573" t="s">
        <v>142</v>
      </c>
      <c r="W1573" t="s">
        <v>75</v>
      </c>
      <c r="X1573">
        <v>1</v>
      </c>
      <c r="Y1573" t="s">
        <v>679</v>
      </c>
      <c r="Z1573" t="s">
        <v>496</v>
      </c>
      <c r="AA1573">
        <v>16.61</v>
      </c>
      <c r="AB1573">
        <v>7.47</v>
      </c>
      <c r="AC1573">
        <v>7.47</v>
      </c>
    </row>
    <row r="1574" spans="2:29" ht="15" customHeight="1" x14ac:dyDescent="0.15">
      <c r="B1574">
        <v>4</v>
      </c>
      <c r="C1574" t="s">
        <v>386</v>
      </c>
      <c r="D1574" t="s">
        <v>3014</v>
      </c>
      <c r="E1574">
        <v>2</v>
      </c>
      <c r="F1574" t="s">
        <v>219</v>
      </c>
      <c r="G1574" t="s">
        <v>244</v>
      </c>
      <c r="H1574" t="s">
        <v>388</v>
      </c>
      <c r="I1574">
        <v>26</v>
      </c>
      <c r="J1574" s="21">
        <v>46198</v>
      </c>
      <c r="K1574" s="21">
        <v>46198</v>
      </c>
      <c r="L1574" t="s">
        <v>3016</v>
      </c>
      <c r="M1574" t="s">
        <v>2835</v>
      </c>
      <c r="N1574" s="22">
        <v>46198</v>
      </c>
      <c r="O1574" t="s">
        <v>220</v>
      </c>
      <c r="P1574">
        <v>3</v>
      </c>
      <c r="Q1574">
        <v>3</v>
      </c>
      <c r="R1574">
        <v>0.5</v>
      </c>
      <c r="S1574">
        <v>1.5</v>
      </c>
      <c r="T1574">
        <v>1.5</v>
      </c>
      <c r="U1574" t="s">
        <v>141</v>
      </c>
      <c r="V1574" t="s">
        <v>142</v>
      </c>
      <c r="W1574" t="s">
        <v>75</v>
      </c>
      <c r="X1574">
        <v>1</v>
      </c>
      <c r="Y1574" t="s">
        <v>679</v>
      </c>
      <c r="Z1574" t="s">
        <v>496</v>
      </c>
      <c r="AA1574">
        <v>17.7</v>
      </c>
      <c r="AB1574">
        <v>26.55</v>
      </c>
      <c r="AC1574">
        <v>26.55</v>
      </c>
    </row>
    <row r="1575" spans="2:29" ht="15" customHeight="1" x14ac:dyDescent="0.15">
      <c r="B1575">
        <v>4</v>
      </c>
      <c r="C1575" t="s">
        <v>386</v>
      </c>
      <c r="D1575" t="s">
        <v>3014</v>
      </c>
      <c r="E1575">
        <v>3</v>
      </c>
      <c r="F1575" t="s">
        <v>219</v>
      </c>
      <c r="G1575" t="s">
        <v>218</v>
      </c>
      <c r="H1575" t="s">
        <v>686</v>
      </c>
      <c r="I1575">
        <v>26</v>
      </c>
      <c r="J1575" s="21">
        <v>46198</v>
      </c>
      <c r="K1575" s="21">
        <v>46198</v>
      </c>
      <c r="L1575" t="s">
        <v>3017</v>
      </c>
      <c r="M1575" t="s">
        <v>2468</v>
      </c>
      <c r="N1575" s="22">
        <v>46198</v>
      </c>
      <c r="O1575" t="s">
        <v>220</v>
      </c>
      <c r="P1575">
        <v>3</v>
      </c>
      <c r="Q1575">
        <v>3</v>
      </c>
      <c r="R1575">
        <v>0.2</v>
      </c>
      <c r="S1575">
        <v>0.6</v>
      </c>
      <c r="T1575">
        <v>0.6</v>
      </c>
      <c r="U1575" t="s">
        <v>141</v>
      </c>
      <c r="V1575" t="s">
        <v>142</v>
      </c>
      <c r="W1575" t="s">
        <v>75</v>
      </c>
      <c r="X1575">
        <v>1</v>
      </c>
      <c r="Y1575" t="s">
        <v>679</v>
      </c>
      <c r="Z1575" t="s">
        <v>496</v>
      </c>
      <c r="AA1575">
        <v>80.900000000000006</v>
      </c>
      <c r="AB1575">
        <v>48.54</v>
      </c>
      <c r="AC1575">
        <v>48.54</v>
      </c>
    </row>
    <row r="1576" spans="2:29" ht="15" customHeight="1" x14ac:dyDescent="0.15">
      <c r="B1576">
        <v>4</v>
      </c>
      <c r="C1576" t="s">
        <v>386</v>
      </c>
      <c r="D1576" t="s">
        <v>3018</v>
      </c>
      <c r="E1576">
        <v>1</v>
      </c>
      <c r="F1576" t="s">
        <v>219</v>
      </c>
      <c r="G1576" t="s">
        <v>231</v>
      </c>
      <c r="H1576" t="s">
        <v>231</v>
      </c>
      <c r="I1576">
        <v>26</v>
      </c>
      <c r="J1576" s="21">
        <v>46198</v>
      </c>
      <c r="K1576" s="21">
        <v>46198</v>
      </c>
      <c r="L1576" t="s">
        <v>3019</v>
      </c>
      <c r="M1576" t="s">
        <v>2648</v>
      </c>
      <c r="N1576" s="22">
        <v>46198</v>
      </c>
      <c r="O1576" t="s">
        <v>220</v>
      </c>
      <c r="P1576">
        <v>1</v>
      </c>
      <c r="Q1576">
        <v>1</v>
      </c>
      <c r="R1576">
        <v>0.15</v>
      </c>
      <c r="S1576">
        <v>0.15</v>
      </c>
      <c r="T1576">
        <v>0.15</v>
      </c>
      <c r="U1576" t="s">
        <v>135</v>
      </c>
      <c r="V1576" t="s">
        <v>136</v>
      </c>
      <c r="W1576" t="s">
        <v>21</v>
      </c>
      <c r="X1576">
        <v>1</v>
      </c>
      <c r="Y1576" t="s">
        <v>679</v>
      </c>
      <c r="Z1576" t="s">
        <v>496</v>
      </c>
      <c r="AA1576">
        <v>16.61</v>
      </c>
      <c r="AB1576">
        <v>2.4900000000000002</v>
      </c>
      <c r="AC1576">
        <v>2.4900000000000002</v>
      </c>
    </row>
    <row r="1577" spans="2:29" ht="15" customHeight="1" x14ac:dyDescent="0.15">
      <c r="B1577">
        <v>4</v>
      </c>
      <c r="C1577" t="s">
        <v>386</v>
      </c>
      <c r="D1577" t="s">
        <v>3018</v>
      </c>
      <c r="E1577">
        <v>2</v>
      </c>
      <c r="F1577" t="s">
        <v>219</v>
      </c>
      <c r="G1577" t="s">
        <v>244</v>
      </c>
      <c r="H1577" t="s">
        <v>388</v>
      </c>
      <c r="I1577">
        <v>26</v>
      </c>
      <c r="J1577" s="21">
        <v>46198</v>
      </c>
      <c r="K1577" s="21">
        <v>46198</v>
      </c>
      <c r="L1577" t="s">
        <v>3020</v>
      </c>
      <c r="M1577" t="s">
        <v>2835</v>
      </c>
      <c r="N1577" s="22">
        <v>46198</v>
      </c>
      <c r="O1577" t="s">
        <v>220</v>
      </c>
      <c r="P1577">
        <v>1</v>
      </c>
      <c r="Q1577">
        <v>1</v>
      </c>
      <c r="R1577">
        <v>0.5</v>
      </c>
      <c r="S1577">
        <v>0.5</v>
      </c>
      <c r="T1577">
        <v>0.5</v>
      </c>
      <c r="U1577" t="s">
        <v>135</v>
      </c>
      <c r="V1577" t="s">
        <v>136</v>
      </c>
      <c r="W1577" t="s">
        <v>21</v>
      </c>
      <c r="X1577">
        <v>1</v>
      </c>
      <c r="Y1577" t="s">
        <v>679</v>
      </c>
      <c r="Z1577" t="s">
        <v>496</v>
      </c>
      <c r="AA1577">
        <v>17.7</v>
      </c>
      <c r="AB1577">
        <v>8.85</v>
      </c>
      <c r="AC1577">
        <v>8.85</v>
      </c>
    </row>
    <row r="1578" spans="2:29" ht="15" customHeight="1" x14ac:dyDescent="0.15">
      <c r="B1578">
        <v>4</v>
      </c>
      <c r="C1578" t="s">
        <v>386</v>
      </c>
      <c r="D1578" t="s">
        <v>3018</v>
      </c>
      <c r="E1578">
        <v>3</v>
      </c>
      <c r="F1578" t="s">
        <v>219</v>
      </c>
      <c r="G1578" t="s">
        <v>218</v>
      </c>
      <c r="H1578" t="s">
        <v>686</v>
      </c>
      <c r="I1578">
        <v>26</v>
      </c>
      <c r="J1578" s="21">
        <v>46198</v>
      </c>
      <c r="K1578" s="21">
        <v>46198</v>
      </c>
      <c r="L1578" t="s">
        <v>3021</v>
      </c>
      <c r="M1578" t="s">
        <v>2468</v>
      </c>
      <c r="N1578" s="22">
        <v>46198</v>
      </c>
      <c r="O1578" t="s">
        <v>220</v>
      </c>
      <c r="P1578">
        <v>1</v>
      </c>
      <c r="Q1578">
        <v>1</v>
      </c>
      <c r="R1578">
        <v>0.2</v>
      </c>
      <c r="S1578">
        <v>0.2</v>
      </c>
      <c r="T1578">
        <v>0.2</v>
      </c>
      <c r="U1578" t="s">
        <v>135</v>
      </c>
      <c r="V1578" t="s">
        <v>136</v>
      </c>
      <c r="W1578" t="s">
        <v>21</v>
      </c>
      <c r="X1578">
        <v>1</v>
      </c>
      <c r="Y1578" t="s">
        <v>679</v>
      </c>
      <c r="Z1578" t="s">
        <v>496</v>
      </c>
      <c r="AA1578">
        <v>80.900000000000006</v>
      </c>
      <c r="AB1578">
        <v>16.18</v>
      </c>
      <c r="AC1578">
        <v>16.18</v>
      </c>
    </row>
    <row r="1579" spans="2:29" ht="15" customHeight="1" x14ac:dyDescent="0.15">
      <c r="B1579">
        <v>4</v>
      </c>
      <c r="C1579" t="s">
        <v>386</v>
      </c>
      <c r="D1579" t="s">
        <v>3022</v>
      </c>
      <c r="E1579">
        <v>1</v>
      </c>
      <c r="F1579" t="s">
        <v>219</v>
      </c>
      <c r="G1579" s="8" t="s">
        <v>223</v>
      </c>
      <c r="H1579" t="s">
        <v>2608</v>
      </c>
      <c r="I1579">
        <v>26</v>
      </c>
      <c r="J1579" s="21">
        <v>46199</v>
      </c>
      <c r="K1579" s="21">
        <v>46199</v>
      </c>
      <c r="L1579" t="s">
        <v>3023</v>
      </c>
      <c r="M1579" t="s">
        <v>3001</v>
      </c>
      <c r="N1579" s="22">
        <v>46199</v>
      </c>
      <c r="O1579" t="s">
        <v>220</v>
      </c>
      <c r="P1579">
        <v>6</v>
      </c>
      <c r="Q1579">
        <v>1.33</v>
      </c>
      <c r="R1579">
        <v>5</v>
      </c>
      <c r="S1579">
        <v>30</v>
      </c>
      <c r="T1579">
        <v>6.67</v>
      </c>
      <c r="U1579" t="s">
        <v>96</v>
      </c>
      <c r="V1579" t="s">
        <v>97</v>
      </c>
      <c r="W1579" t="s">
        <v>21</v>
      </c>
      <c r="X1579">
        <v>4.5</v>
      </c>
      <c r="Y1579" t="s">
        <v>2629</v>
      </c>
      <c r="Z1579" t="s">
        <v>496</v>
      </c>
      <c r="AA1579">
        <v>3</v>
      </c>
      <c r="AB1579">
        <v>90</v>
      </c>
      <c r="AC1579">
        <v>20</v>
      </c>
    </row>
    <row r="1580" spans="2:29" ht="15" customHeight="1" x14ac:dyDescent="0.15">
      <c r="B1580">
        <v>4</v>
      </c>
      <c r="C1580" t="s">
        <v>386</v>
      </c>
      <c r="D1580" t="s">
        <v>3024</v>
      </c>
      <c r="E1580">
        <v>1</v>
      </c>
      <c r="F1580" t="s">
        <v>219</v>
      </c>
      <c r="G1580" s="8" t="s">
        <v>223</v>
      </c>
      <c r="H1580" t="s">
        <v>2608</v>
      </c>
      <c r="I1580">
        <v>26</v>
      </c>
      <c r="J1580" s="21">
        <v>46199</v>
      </c>
      <c r="K1580" s="21">
        <v>46200</v>
      </c>
      <c r="L1580" t="s">
        <v>3025</v>
      </c>
      <c r="M1580" t="s">
        <v>3001</v>
      </c>
      <c r="N1580">
        <v>68</v>
      </c>
      <c r="O1580" t="s">
        <v>220</v>
      </c>
      <c r="P1580">
        <v>3</v>
      </c>
      <c r="Q1580">
        <v>1.25</v>
      </c>
      <c r="R1580">
        <v>5</v>
      </c>
      <c r="S1580">
        <v>12.5</v>
      </c>
      <c r="T1580">
        <v>6.25</v>
      </c>
      <c r="U1580" t="s">
        <v>84</v>
      </c>
      <c r="V1580" t="s">
        <v>85</v>
      </c>
      <c r="W1580" t="s">
        <v>21</v>
      </c>
      <c r="X1580">
        <v>2</v>
      </c>
      <c r="Y1580" t="s">
        <v>2629</v>
      </c>
      <c r="Z1580" t="s">
        <v>496</v>
      </c>
      <c r="AA1580">
        <v>3</v>
      </c>
      <c r="AB1580">
        <v>37.5</v>
      </c>
      <c r="AC1580">
        <v>18.75</v>
      </c>
    </row>
    <row r="1581" spans="2:29" ht="15" customHeight="1" x14ac:dyDescent="0.15">
      <c r="B1581">
        <v>4</v>
      </c>
      <c r="C1581" t="s">
        <v>386</v>
      </c>
      <c r="D1581" t="s">
        <v>3024</v>
      </c>
      <c r="E1581">
        <v>2</v>
      </c>
      <c r="F1581" t="s">
        <v>219</v>
      </c>
      <c r="G1581" t="s">
        <v>244</v>
      </c>
      <c r="H1581" t="s">
        <v>3026</v>
      </c>
      <c r="I1581">
        <v>26</v>
      </c>
      <c r="J1581" s="21">
        <v>46199</v>
      </c>
      <c r="K1581" s="21">
        <v>46200</v>
      </c>
      <c r="L1581" t="s">
        <v>3027</v>
      </c>
      <c r="M1581" t="s">
        <v>243</v>
      </c>
      <c r="N1581">
        <v>68</v>
      </c>
      <c r="O1581" t="s">
        <v>220</v>
      </c>
      <c r="P1581">
        <v>3</v>
      </c>
      <c r="Q1581">
        <v>1.25</v>
      </c>
      <c r="R1581">
        <v>0.25</v>
      </c>
      <c r="S1581">
        <v>0.625</v>
      </c>
      <c r="T1581">
        <v>0.31</v>
      </c>
      <c r="U1581" t="s">
        <v>84</v>
      </c>
      <c r="V1581" t="s">
        <v>85</v>
      </c>
      <c r="W1581" t="s">
        <v>21</v>
      </c>
      <c r="X1581">
        <v>2</v>
      </c>
      <c r="Y1581" t="s">
        <v>2629</v>
      </c>
      <c r="Z1581">
        <v>175</v>
      </c>
      <c r="AA1581">
        <v>109.38</v>
      </c>
      <c r="AB1581">
        <v>54.25</v>
      </c>
      <c r="AC1581">
        <v>0</v>
      </c>
    </row>
    <row r="1582" spans="2:29" ht="15" customHeight="1" x14ac:dyDescent="0.15">
      <c r="B1582">
        <v>4</v>
      </c>
      <c r="C1582" t="s">
        <v>386</v>
      </c>
      <c r="D1582" t="s">
        <v>3028</v>
      </c>
      <c r="E1582">
        <v>1</v>
      </c>
      <c r="F1582" t="s">
        <v>219</v>
      </c>
      <c r="G1582" t="s">
        <v>223</v>
      </c>
      <c r="H1582" t="s">
        <v>987</v>
      </c>
      <c r="I1582">
        <v>26</v>
      </c>
      <c r="J1582" s="21">
        <v>46199</v>
      </c>
      <c r="K1582" s="21">
        <v>46199</v>
      </c>
      <c r="L1582" t="s">
        <v>3029</v>
      </c>
      <c r="M1582" t="s">
        <v>222</v>
      </c>
      <c r="N1582" s="22">
        <v>46199</v>
      </c>
      <c r="O1582" t="s">
        <v>220</v>
      </c>
      <c r="P1582">
        <v>2</v>
      </c>
      <c r="Q1582">
        <v>0.95</v>
      </c>
      <c r="R1582">
        <v>5</v>
      </c>
      <c r="S1582">
        <v>10</v>
      </c>
      <c r="T1582">
        <v>4.76</v>
      </c>
      <c r="U1582" t="s">
        <v>115</v>
      </c>
      <c r="V1582" t="s">
        <v>116</v>
      </c>
      <c r="W1582" t="s">
        <v>21</v>
      </c>
      <c r="X1582">
        <v>2.1</v>
      </c>
      <c r="Y1582" t="s">
        <v>2629</v>
      </c>
      <c r="Z1582" t="s">
        <v>496</v>
      </c>
      <c r="AA1582">
        <v>13.47</v>
      </c>
      <c r="AB1582">
        <v>134.69999999999999</v>
      </c>
      <c r="AC1582">
        <v>64.14</v>
      </c>
    </row>
    <row r="1583" spans="2:29" ht="15" customHeight="1" x14ac:dyDescent="0.15">
      <c r="B1583">
        <v>4</v>
      </c>
      <c r="C1583" t="s">
        <v>386</v>
      </c>
      <c r="D1583" t="s">
        <v>3028</v>
      </c>
      <c r="E1583">
        <v>2</v>
      </c>
      <c r="F1583" t="s">
        <v>219</v>
      </c>
      <c r="G1583" t="s">
        <v>218</v>
      </c>
      <c r="H1583" t="s">
        <v>2253</v>
      </c>
      <c r="I1583">
        <v>26</v>
      </c>
      <c r="J1583" s="21">
        <v>46199</v>
      </c>
      <c r="K1583" s="21">
        <v>46199</v>
      </c>
      <c r="L1583" t="s">
        <v>3030</v>
      </c>
      <c r="M1583" t="s">
        <v>3012</v>
      </c>
      <c r="N1583" s="22">
        <v>46199</v>
      </c>
      <c r="O1583" t="s">
        <v>220</v>
      </c>
      <c r="P1583">
        <v>2</v>
      </c>
      <c r="Q1583">
        <v>0.95</v>
      </c>
      <c r="R1583">
        <v>0.5</v>
      </c>
      <c r="S1583">
        <v>1</v>
      </c>
      <c r="T1583">
        <v>0.48</v>
      </c>
      <c r="U1583" t="s">
        <v>115</v>
      </c>
      <c r="V1583" t="s">
        <v>116</v>
      </c>
      <c r="W1583" t="s">
        <v>21</v>
      </c>
      <c r="X1583">
        <v>2.1</v>
      </c>
      <c r="Y1583" t="s">
        <v>2629</v>
      </c>
      <c r="Z1583" t="s">
        <v>496</v>
      </c>
      <c r="AA1583">
        <v>216.83</v>
      </c>
      <c r="AB1583">
        <v>216.83</v>
      </c>
      <c r="AC1583">
        <v>103.25</v>
      </c>
    </row>
    <row r="1584" spans="2:29" ht="15" customHeight="1" x14ac:dyDescent="0.15">
      <c r="B1584">
        <v>4</v>
      </c>
      <c r="C1584" t="s">
        <v>386</v>
      </c>
      <c r="D1584" t="s">
        <v>3028</v>
      </c>
      <c r="E1584">
        <v>3</v>
      </c>
      <c r="F1584" t="s">
        <v>219</v>
      </c>
      <c r="G1584" t="s">
        <v>239</v>
      </c>
      <c r="H1584" t="s">
        <v>1066</v>
      </c>
      <c r="I1584">
        <v>26</v>
      </c>
      <c r="J1584" s="21">
        <v>46199</v>
      </c>
      <c r="K1584" s="21">
        <v>46199</v>
      </c>
      <c r="L1584" t="s">
        <v>3031</v>
      </c>
      <c r="M1584" t="s">
        <v>1068</v>
      </c>
      <c r="N1584" s="22">
        <v>46199</v>
      </c>
      <c r="O1584" t="s">
        <v>220</v>
      </c>
      <c r="P1584">
        <v>2</v>
      </c>
      <c r="Q1584">
        <v>0.95</v>
      </c>
      <c r="R1584">
        <v>0.5</v>
      </c>
      <c r="S1584">
        <v>1</v>
      </c>
      <c r="T1584">
        <v>0.48</v>
      </c>
      <c r="U1584" t="s">
        <v>115</v>
      </c>
      <c r="V1584" t="s">
        <v>116</v>
      </c>
      <c r="W1584" t="s">
        <v>21</v>
      </c>
      <c r="X1584">
        <v>2.1</v>
      </c>
      <c r="Y1584" t="s">
        <v>2629</v>
      </c>
      <c r="Z1584" t="s">
        <v>496</v>
      </c>
      <c r="AA1584">
        <v>138.68</v>
      </c>
      <c r="AB1584">
        <v>138.68</v>
      </c>
      <c r="AC1584">
        <v>66.040000000000006</v>
      </c>
    </row>
    <row r="1585" spans="2:29" ht="15" customHeight="1" x14ac:dyDescent="0.15">
      <c r="B1585">
        <v>4</v>
      </c>
      <c r="C1585" t="s">
        <v>386</v>
      </c>
      <c r="D1585" t="s">
        <v>3028</v>
      </c>
      <c r="E1585">
        <v>4</v>
      </c>
      <c r="F1585" t="s">
        <v>219</v>
      </c>
      <c r="G1585" t="s">
        <v>231</v>
      </c>
      <c r="H1585" t="s">
        <v>231</v>
      </c>
      <c r="I1585">
        <v>26</v>
      </c>
      <c r="J1585" s="21">
        <v>46199</v>
      </c>
      <c r="K1585" s="21">
        <v>46199</v>
      </c>
      <c r="L1585" t="s">
        <v>3032</v>
      </c>
      <c r="M1585" t="s">
        <v>2648</v>
      </c>
      <c r="N1585" s="22">
        <v>46199</v>
      </c>
      <c r="O1585" t="s">
        <v>220</v>
      </c>
      <c r="P1585">
        <v>2</v>
      </c>
      <c r="Q1585">
        <v>0.95</v>
      </c>
      <c r="R1585">
        <v>0.15</v>
      </c>
      <c r="S1585">
        <v>0.3</v>
      </c>
      <c r="T1585">
        <v>0.14000000000000001</v>
      </c>
      <c r="U1585" t="s">
        <v>115</v>
      </c>
      <c r="V1585" t="s">
        <v>116</v>
      </c>
      <c r="W1585" t="s">
        <v>21</v>
      </c>
      <c r="X1585">
        <v>2.1</v>
      </c>
      <c r="Y1585" t="s">
        <v>2629</v>
      </c>
      <c r="Z1585" t="s">
        <v>496</v>
      </c>
      <c r="AA1585">
        <v>16.61</v>
      </c>
      <c r="AB1585">
        <v>4.9800000000000004</v>
      </c>
      <c r="AC1585">
        <v>2.37</v>
      </c>
    </row>
    <row r="1586" spans="2:29" ht="15" customHeight="1" x14ac:dyDescent="0.15">
      <c r="B1586">
        <v>4</v>
      </c>
      <c r="C1586" t="s">
        <v>386</v>
      </c>
      <c r="D1586" t="s">
        <v>3033</v>
      </c>
      <c r="E1586">
        <v>1</v>
      </c>
      <c r="F1586" t="s">
        <v>219</v>
      </c>
      <c r="G1586" t="s">
        <v>231</v>
      </c>
      <c r="H1586" t="s">
        <v>231</v>
      </c>
      <c r="I1586">
        <v>26</v>
      </c>
      <c r="J1586" s="21">
        <v>46200</v>
      </c>
      <c r="K1586" s="21">
        <v>46200</v>
      </c>
      <c r="L1586" t="s">
        <v>3034</v>
      </c>
      <c r="M1586" t="s">
        <v>2648</v>
      </c>
      <c r="N1586" s="22">
        <v>46200</v>
      </c>
      <c r="O1586" t="s">
        <v>220</v>
      </c>
      <c r="P1586">
        <v>1</v>
      </c>
      <c r="Q1586">
        <v>1</v>
      </c>
      <c r="R1586">
        <v>0.15</v>
      </c>
      <c r="S1586">
        <v>0.15</v>
      </c>
      <c r="T1586">
        <v>0.15</v>
      </c>
      <c r="U1586" t="s">
        <v>141</v>
      </c>
      <c r="V1586" t="s">
        <v>142</v>
      </c>
      <c r="W1586" t="s">
        <v>75</v>
      </c>
      <c r="X1586">
        <v>1</v>
      </c>
      <c r="Y1586" t="s">
        <v>2629</v>
      </c>
      <c r="Z1586" t="s">
        <v>496</v>
      </c>
      <c r="AA1586">
        <v>16.61</v>
      </c>
      <c r="AB1586">
        <v>2.4900000000000002</v>
      </c>
      <c r="AC1586">
        <v>2.4900000000000002</v>
      </c>
    </row>
    <row r="1587" spans="2:29" ht="15" customHeight="1" x14ac:dyDescent="0.15">
      <c r="B1587">
        <v>4</v>
      </c>
      <c r="C1587" t="s">
        <v>386</v>
      </c>
      <c r="D1587" t="s">
        <v>3033</v>
      </c>
      <c r="E1587">
        <v>2</v>
      </c>
      <c r="F1587" t="s">
        <v>219</v>
      </c>
      <c r="G1587" t="s">
        <v>244</v>
      </c>
      <c r="H1587" t="s">
        <v>3026</v>
      </c>
      <c r="I1587">
        <v>26</v>
      </c>
      <c r="J1587" s="21">
        <v>46200</v>
      </c>
      <c r="K1587" s="21">
        <v>46200</v>
      </c>
      <c r="L1587" t="s">
        <v>3035</v>
      </c>
      <c r="M1587" t="s">
        <v>243</v>
      </c>
      <c r="N1587" s="22">
        <v>46200</v>
      </c>
      <c r="O1587" t="s">
        <v>220</v>
      </c>
      <c r="P1587">
        <v>1</v>
      </c>
      <c r="Q1587">
        <v>1</v>
      </c>
      <c r="R1587">
        <v>0.25</v>
      </c>
      <c r="S1587">
        <v>0.25</v>
      </c>
      <c r="T1587">
        <v>0.25</v>
      </c>
      <c r="U1587" t="s">
        <v>141</v>
      </c>
      <c r="V1587" t="s">
        <v>142</v>
      </c>
      <c r="W1587" t="s">
        <v>75</v>
      </c>
      <c r="X1587">
        <v>1</v>
      </c>
      <c r="Y1587" t="s">
        <v>2629</v>
      </c>
      <c r="Z1587">
        <v>175</v>
      </c>
      <c r="AA1587">
        <v>43.75</v>
      </c>
      <c r="AB1587">
        <v>43.75</v>
      </c>
      <c r="AC1587">
        <v>0</v>
      </c>
    </row>
    <row r="1588" spans="2:29" ht="15" customHeight="1" x14ac:dyDescent="0.15">
      <c r="B1588">
        <v>4</v>
      </c>
      <c r="C1588" t="s">
        <v>386</v>
      </c>
      <c r="D1588" t="s">
        <v>3033</v>
      </c>
      <c r="E1588">
        <v>3</v>
      </c>
      <c r="F1588" t="s">
        <v>219</v>
      </c>
      <c r="G1588" t="s">
        <v>239</v>
      </c>
      <c r="H1588" t="s">
        <v>1695</v>
      </c>
      <c r="I1588">
        <v>26</v>
      </c>
      <c r="J1588" s="21">
        <v>46200</v>
      </c>
      <c r="K1588" s="21">
        <v>46200</v>
      </c>
      <c r="L1588" t="s">
        <v>3036</v>
      </c>
      <c r="M1588" t="s">
        <v>1697</v>
      </c>
      <c r="N1588" s="22">
        <v>46200</v>
      </c>
      <c r="O1588" t="s">
        <v>220</v>
      </c>
      <c r="P1588">
        <v>1</v>
      </c>
      <c r="Q1588">
        <v>1</v>
      </c>
      <c r="R1588">
        <v>0.5</v>
      </c>
      <c r="S1588">
        <v>0.5</v>
      </c>
      <c r="T1588">
        <v>0.5</v>
      </c>
      <c r="U1588" t="s">
        <v>141</v>
      </c>
      <c r="V1588" t="s">
        <v>142</v>
      </c>
      <c r="W1588" t="s">
        <v>75</v>
      </c>
      <c r="X1588">
        <v>1</v>
      </c>
      <c r="Y1588" t="s">
        <v>2629</v>
      </c>
      <c r="Z1588" t="s">
        <v>496</v>
      </c>
      <c r="AA1588">
        <v>26.7</v>
      </c>
      <c r="AB1588">
        <v>13.35</v>
      </c>
      <c r="AC1588">
        <v>13.35</v>
      </c>
    </row>
    <row r="1589" spans="2:29" ht="15" customHeight="1" x14ac:dyDescent="0.15">
      <c r="B1589">
        <v>4</v>
      </c>
      <c r="C1589" t="s">
        <v>386</v>
      </c>
      <c r="D1589" t="s">
        <v>3033</v>
      </c>
      <c r="E1589">
        <v>4</v>
      </c>
      <c r="F1589" t="s">
        <v>219</v>
      </c>
      <c r="G1589" t="s">
        <v>239</v>
      </c>
      <c r="H1589" t="s">
        <v>520</v>
      </c>
      <c r="I1589">
        <v>26</v>
      </c>
      <c r="J1589" s="21">
        <v>46200</v>
      </c>
      <c r="K1589" s="21">
        <v>46200</v>
      </c>
      <c r="L1589" t="s">
        <v>3037</v>
      </c>
      <c r="M1589" t="s">
        <v>1340</v>
      </c>
      <c r="N1589" s="22">
        <v>46200</v>
      </c>
      <c r="O1589" t="s">
        <v>202</v>
      </c>
      <c r="P1589">
        <v>1</v>
      </c>
      <c r="Q1589">
        <v>1</v>
      </c>
      <c r="R1589">
        <v>0.5</v>
      </c>
      <c r="S1589">
        <v>0.5</v>
      </c>
      <c r="T1589">
        <v>0.5</v>
      </c>
      <c r="U1589" t="s">
        <v>141</v>
      </c>
      <c r="V1589" t="s">
        <v>142</v>
      </c>
      <c r="W1589" t="s">
        <v>75</v>
      </c>
      <c r="X1589">
        <v>1</v>
      </c>
      <c r="Y1589" t="s">
        <v>2629</v>
      </c>
      <c r="Z1589" t="s">
        <v>496</v>
      </c>
      <c r="AA1589">
        <v>66.92</v>
      </c>
      <c r="AB1589">
        <v>33.46</v>
      </c>
      <c r="AC1589">
        <v>33.46</v>
      </c>
    </row>
    <row r="1590" spans="2:29" ht="15" customHeight="1" x14ac:dyDescent="0.15">
      <c r="B1590">
        <v>4</v>
      </c>
      <c r="C1590" t="s">
        <v>386</v>
      </c>
      <c r="D1590" t="s">
        <v>3033</v>
      </c>
      <c r="E1590">
        <v>5</v>
      </c>
      <c r="F1590" t="s">
        <v>219</v>
      </c>
      <c r="G1590" t="s">
        <v>239</v>
      </c>
      <c r="H1590" t="s">
        <v>517</v>
      </c>
      <c r="I1590">
        <v>26</v>
      </c>
      <c r="J1590" s="21">
        <v>46200</v>
      </c>
      <c r="K1590" s="21">
        <v>46200</v>
      </c>
      <c r="L1590" t="s">
        <v>3038</v>
      </c>
      <c r="M1590" t="s">
        <v>614</v>
      </c>
      <c r="N1590" s="22">
        <v>46200</v>
      </c>
      <c r="O1590" t="s">
        <v>202</v>
      </c>
      <c r="P1590">
        <v>1</v>
      </c>
      <c r="Q1590">
        <v>1</v>
      </c>
      <c r="R1590">
        <v>0.5</v>
      </c>
      <c r="S1590">
        <v>0.5</v>
      </c>
      <c r="T1590">
        <v>0.5</v>
      </c>
      <c r="U1590" t="s">
        <v>141</v>
      </c>
      <c r="V1590" t="s">
        <v>142</v>
      </c>
      <c r="W1590" t="s">
        <v>75</v>
      </c>
      <c r="X1590">
        <v>1</v>
      </c>
      <c r="Y1590" t="s">
        <v>2629</v>
      </c>
      <c r="Z1590" t="s">
        <v>496</v>
      </c>
      <c r="AA1590">
        <v>65</v>
      </c>
      <c r="AB1590">
        <v>32.5</v>
      </c>
      <c r="AC1590">
        <v>32.5</v>
      </c>
    </row>
    <row r="1591" spans="2:29" ht="15" customHeight="1" x14ac:dyDescent="0.15">
      <c r="B1591">
        <v>4</v>
      </c>
      <c r="C1591" t="s">
        <v>386</v>
      </c>
      <c r="D1591" t="s">
        <v>3033</v>
      </c>
      <c r="E1591">
        <v>6</v>
      </c>
      <c r="F1591" t="s">
        <v>219</v>
      </c>
      <c r="G1591" t="s">
        <v>218</v>
      </c>
      <c r="H1591" t="s">
        <v>2714</v>
      </c>
      <c r="I1591">
        <v>26</v>
      </c>
      <c r="J1591" s="21">
        <v>46200</v>
      </c>
      <c r="K1591" s="21">
        <v>46200</v>
      </c>
      <c r="L1591" t="s">
        <v>3039</v>
      </c>
      <c r="M1591" t="s">
        <v>2716</v>
      </c>
      <c r="N1591" s="22">
        <v>46200</v>
      </c>
      <c r="O1591" t="s">
        <v>220</v>
      </c>
      <c r="P1591">
        <v>1</v>
      </c>
      <c r="Q1591">
        <v>1</v>
      </c>
      <c r="R1591">
        <v>0.2</v>
      </c>
      <c r="S1591">
        <v>0.2</v>
      </c>
      <c r="T1591">
        <v>0.2</v>
      </c>
      <c r="U1591" t="s">
        <v>141</v>
      </c>
      <c r="V1591" t="s">
        <v>142</v>
      </c>
      <c r="W1591" t="s">
        <v>75</v>
      </c>
      <c r="X1591">
        <v>1</v>
      </c>
      <c r="Y1591" t="s">
        <v>2629</v>
      </c>
      <c r="Z1591" t="s">
        <v>496</v>
      </c>
      <c r="AA1591">
        <v>50</v>
      </c>
      <c r="AB1591">
        <v>10</v>
      </c>
      <c r="AC1591">
        <v>10</v>
      </c>
    </row>
    <row r="1592" spans="2:29" ht="15" customHeight="1" x14ac:dyDescent="0.15">
      <c r="B1592">
        <v>4</v>
      </c>
      <c r="C1592" t="s">
        <v>386</v>
      </c>
      <c r="D1592" t="s">
        <v>3040</v>
      </c>
      <c r="E1592">
        <v>1</v>
      </c>
      <c r="F1592" t="s">
        <v>219</v>
      </c>
      <c r="G1592" t="s">
        <v>218</v>
      </c>
      <c r="H1592" t="s">
        <v>2253</v>
      </c>
      <c r="I1592">
        <v>26</v>
      </c>
      <c r="J1592" s="21">
        <v>46200</v>
      </c>
      <c r="K1592" s="21">
        <v>46200</v>
      </c>
      <c r="L1592" t="s">
        <v>3041</v>
      </c>
      <c r="M1592" t="s">
        <v>3012</v>
      </c>
      <c r="N1592" s="22">
        <v>46200</v>
      </c>
      <c r="O1592" t="s">
        <v>220</v>
      </c>
      <c r="P1592">
        <v>1</v>
      </c>
      <c r="Q1592">
        <v>1</v>
      </c>
      <c r="R1592">
        <v>1</v>
      </c>
      <c r="S1592">
        <v>1</v>
      </c>
      <c r="T1592">
        <v>1</v>
      </c>
      <c r="U1592" t="s">
        <v>141</v>
      </c>
      <c r="V1592" t="s">
        <v>142</v>
      </c>
      <c r="W1592" t="s">
        <v>75</v>
      </c>
      <c r="X1592">
        <v>1</v>
      </c>
      <c r="Y1592" t="s">
        <v>2455</v>
      </c>
      <c r="Z1592" t="s">
        <v>496</v>
      </c>
      <c r="AA1592">
        <v>216.83</v>
      </c>
      <c r="AB1592">
        <v>216.83</v>
      </c>
      <c r="AC1592">
        <v>216.83</v>
      </c>
    </row>
    <row r="1593" spans="2:29" ht="15" customHeight="1" x14ac:dyDescent="0.15">
      <c r="B1593">
        <v>4</v>
      </c>
      <c r="C1593" t="s">
        <v>386</v>
      </c>
      <c r="D1593" t="s">
        <v>3040</v>
      </c>
      <c r="E1593">
        <v>2</v>
      </c>
      <c r="F1593" t="s">
        <v>219</v>
      </c>
      <c r="G1593" t="s">
        <v>223</v>
      </c>
      <c r="H1593" t="s">
        <v>987</v>
      </c>
      <c r="I1593">
        <v>26</v>
      </c>
      <c r="J1593" s="21">
        <v>46200</v>
      </c>
      <c r="K1593" s="21">
        <v>46200</v>
      </c>
      <c r="L1593" t="s">
        <v>3042</v>
      </c>
      <c r="M1593" t="s">
        <v>222</v>
      </c>
      <c r="N1593" s="22">
        <v>46200</v>
      </c>
      <c r="O1593" t="s">
        <v>220</v>
      </c>
      <c r="P1593">
        <v>1</v>
      </c>
      <c r="Q1593">
        <v>1</v>
      </c>
      <c r="R1593">
        <v>10</v>
      </c>
      <c r="S1593">
        <v>10</v>
      </c>
      <c r="T1593">
        <v>10</v>
      </c>
      <c r="U1593" t="s">
        <v>141</v>
      </c>
      <c r="V1593" t="s">
        <v>142</v>
      </c>
      <c r="W1593" t="s">
        <v>75</v>
      </c>
      <c r="X1593">
        <v>1</v>
      </c>
      <c r="Y1593" t="s">
        <v>2455</v>
      </c>
      <c r="Z1593" t="s">
        <v>496</v>
      </c>
      <c r="AA1593">
        <v>13.47</v>
      </c>
      <c r="AB1593">
        <v>134.69999999999999</v>
      </c>
      <c r="AC1593">
        <v>134.69999999999999</v>
      </c>
    </row>
    <row r="1594" spans="2:29" ht="15" customHeight="1" x14ac:dyDescent="0.15">
      <c r="B1594">
        <v>4</v>
      </c>
      <c r="C1594" t="s">
        <v>386</v>
      </c>
      <c r="D1594" t="s">
        <v>3040</v>
      </c>
      <c r="E1594">
        <v>3</v>
      </c>
      <c r="F1594" t="s">
        <v>219</v>
      </c>
      <c r="G1594" t="s">
        <v>239</v>
      </c>
      <c r="H1594" t="s">
        <v>520</v>
      </c>
      <c r="I1594">
        <v>26</v>
      </c>
      <c r="J1594" s="21">
        <v>46200</v>
      </c>
      <c r="K1594" s="21">
        <v>46200</v>
      </c>
      <c r="L1594" t="s">
        <v>3043</v>
      </c>
      <c r="M1594" t="s">
        <v>1340</v>
      </c>
      <c r="N1594" s="22">
        <v>46200</v>
      </c>
      <c r="O1594" t="s">
        <v>202</v>
      </c>
      <c r="P1594">
        <v>1</v>
      </c>
      <c r="Q1594">
        <v>1</v>
      </c>
      <c r="R1594">
        <v>2</v>
      </c>
      <c r="S1594">
        <v>2</v>
      </c>
      <c r="T1594">
        <v>2</v>
      </c>
      <c r="U1594" t="s">
        <v>141</v>
      </c>
      <c r="V1594" t="s">
        <v>142</v>
      </c>
      <c r="W1594" t="s">
        <v>75</v>
      </c>
      <c r="X1594">
        <v>1</v>
      </c>
      <c r="Y1594" t="s">
        <v>2455</v>
      </c>
      <c r="Z1594" t="s">
        <v>496</v>
      </c>
      <c r="AA1594">
        <v>66.92</v>
      </c>
      <c r="AB1594">
        <v>133.84</v>
      </c>
      <c r="AC1594">
        <v>133.84</v>
      </c>
    </row>
    <row r="1595" spans="2:29" ht="15" customHeight="1" x14ac:dyDescent="0.15">
      <c r="B1595">
        <v>4</v>
      </c>
      <c r="C1595" t="s">
        <v>386</v>
      </c>
      <c r="D1595" t="s">
        <v>3040</v>
      </c>
      <c r="E1595">
        <v>4</v>
      </c>
      <c r="F1595" t="s">
        <v>201</v>
      </c>
      <c r="G1595" t="s">
        <v>337</v>
      </c>
      <c r="H1595" t="s">
        <v>475</v>
      </c>
      <c r="I1595">
        <v>26</v>
      </c>
      <c r="J1595" s="21">
        <v>46200</v>
      </c>
      <c r="K1595" s="21">
        <v>46200</v>
      </c>
      <c r="L1595" t="s">
        <v>3044</v>
      </c>
      <c r="M1595" t="s">
        <v>2793</v>
      </c>
      <c r="N1595" s="22">
        <v>46200</v>
      </c>
      <c r="O1595" t="s">
        <v>202</v>
      </c>
      <c r="P1595">
        <v>1</v>
      </c>
      <c r="Q1595">
        <v>1</v>
      </c>
      <c r="R1595">
        <v>25</v>
      </c>
      <c r="S1595">
        <v>25</v>
      </c>
      <c r="T1595">
        <v>25</v>
      </c>
      <c r="U1595" t="s">
        <v>141</v>
      </c>
      <c r="V1595" t="s">
        <v>142</v>
      </c>
      <c r="W1595" t="s">
        <v>75</v>
      </c>
      <c r="X1595">
        <v>1</v>
      </c>
      <c r="Y1595" t="s">
        <v>2455</v>
      </c>
      <c r="Z1595" t="s">
        <v>496</v>
      </c>
      <c r="AA1595">
        <v>4.88</v>
      </c>
      <c r="AB1595">
        <v>122</v>
      </c>
      <c r="AC1595">
        <v>122</v>
      </c>
    </row>
    <row r="1596" spans="2:29" ht="15" customHeight="1" x14ac:dyDescent="0.15">
      <c r="B1596">
        <v>4</v>
      </c>
      <c r="C1596" t="s">
        <v>386</v>
      </c>
      <c r="D1596" t="s">
        <v>3040</v>
      </c>
      <c r="E1596">
        <v>5</v>
      </c>
      <c r="F1596" t="s">
        <v>201</v>
      </c>
      <c r="G1596" t="s">
        <v>337</v>
      </c>
      <c r="H1596" t="s">
        <v>632</v>
      </c>
      <c r="I1596">
        <v>26</v>
      </c>
      <c r="J1596" s="21">
        <v>46200</v>
      </c>
      <c r="K1596" s="21">
        <v>46200</v>
      </c>
      <c r="L1596" t="s">
        <v>3045</v>
      </c>
      <c r="M1596" t="s">
        <v>2852</v>
      </c>
      <c r="N1596" s="22">
        <v>46200</v>
      </c>
      <c r="O1596" t="s">
        <v>202</v>
      </c>
      <c r="P1596">
        <v>1</v>
      </c>
      <c r="Q1596">
        <v>1</v>
      </c>
      <c r="R1596">
        <v>25</v>
      </c>
      <c r="S1596">
        <v>25</v>
      </c>
      <c r="T1596">
        <v>25</v>
      </c>
      <c r="U1596" t="s">
        <v>141</v>
      </c>
      <c r="V1596" t="s">
        <v>142</v>
      </c>
      <c r="W1596" t="s">
        <v>75</v>
      </c>
      <c r="X1596">
        <v>1</v>
      </c>
      <c r="Y1596" t="s">
        <v>2455</v>
      </c>
      <c r="Z1596" t="s">
        <v>496</v>
      </c>
      <c r="AA1596">
        <v>4.8099999999999996</v>
      </c>
      <c r="AB1596">
        <v>120.25</v>
      </c>
      <c r="AC1596">
        <v>120.25</v>
      </c>
    </row>
    <row r="1597" spans="2:29" ht="15" customHeight="1" x14ac:dyDescent="0.15">
      <c r="B1597">
        <v>4</v>
      </c>
      <c r="C1597" t="s">
        <v>386</v>
      </c>
      <c r="D1597" t="s">
        <v>3046</v>
      </c>
      <c r="E1597">
        <v>1</v>
      </c>
      <c r="F1597" t="s">
        <v>219</v>
      </c>
      <c r="G1597" t="s">
        <v>218</v>
      </c>
      <c r="H1597" t="s">
        <v>2253</v>
      </c>
      <c r="I1597">
        <v>26</v>
      </c>
      <c r="J1597" s="21">
        <v>46200</v>
      </c>
      <c r="K1597" s="21">
        <v>46200</v>
      </c>
      <c r="L1597" t="s">
        <v>3047</v>
      </c>
      <c r="M1597" t="s">
        <v>3012</v>
      </c>
      <c r="N1597" s="22">
        <v>46200</v>
      </c>
      <c r="O1597" t="s">
        <v>220</v>
      </c>
      <c r="P1597">
        <v>1</v>
      </c>
      <c r="Q1597">
        <v>0.5</v>
      </c>
      <c r="R1597">
        <v>1</v>
      </c>
      <c r="S1597">
        <v>0.5</v>
      </c>
      <c r="T1597">
        <v>0.5</v>
      </c>
      <c r="U1597" t="s">
        <v>135</v>
      </c>
      <c r="V1597" t="s">
        <v>136</v>
      </c>
      <c r="W1597" t="s">
        <v>21</v>
      </c>
      <c r="X1597">
        <v>1</v>
      </c>
      <c r="Y1597" t="s">
        <v>2455</v>
      </c>
      <c r="Z1597" t="s">
        <v>496</v>
      </c>
      <c r="AA1597">
        <v>216.83</v>
      </c>
      <c r="AB1597">
        <v>108.41</v>
      </c>
      <c r="AC1597">
        <v>108.41</v>
      </c>
    </row>
    <row r="1598" spans="2:29" ht="15" customHeight="1" x14ac:dyDescent="0.15">
      <c r="B1598">
        <v>4</v>
      </c>
      <c r="C1598" t="s">
        <v>386</v>
      </c>
      <c r="D1598" t="s">
        <v>3046</v>
      </c>
      <c r="E1598">
        <v>2</v>
      </c>
      <c r="F1598" t="s">
        <v>219</v>
      </c>
      <c r="G1598" t="s">
        <v>218</v>
      </c>
      <c r="H1598" t="s">
        <v>485</v>
      </c>
      <c r="I1598">
        <v>26</v>
      </c>
      <c r="J1598" s="21">
        <v>46200</v>
      </c>
      <c r="K1598" s="21">
        <v>46200</v>
      </c>
      <c r="L1598" t="s">
        <v>3048</v>
      </c>
      <c r="M1598" t="s">
        <v>1316</v>
      </c>
      <c r="N1598" s="22">
        <v>46200</v>
      </c>
      <c r="O1598" t="s">
        <v>220</v>
      </c>
      <c r="P1598">
        <v>1</v>
      </c>
      <c r="Q1598">
        <v>0.5</v>
      </c>
      <c r="R1598">
        <v>1</v>
      </c>
      <c r="S1598">
        <v>0.5</v>
      </c>
      <c r="T1598">
        <v>0.5</v>
      </c>
      <c r="U1598" t="s">
        <v>135</v>
      </c>
      <c r="V1598" t="s">
        <v>136</v>
      </c>
      <c r="W1598" t="s">
        <v>21</v>
      </c>
      <c r="X1598">
        <v>1</v>
      </c>
      <c r="Y1598" t="s">
        <v>2455</v>
      </c>
      <c r="Z1598" t="s">
        <v>496</v>
      </c>
      <c r="AA1598">
        <v>92.82</v>
      </c>
      <c r="AB1598">
        <v>46.41</v>
      </c>
      <c r="AC1598">
        <v>46.41</v>
      </c>
    </row>
    <row r="1599" spans="2:29" ht="15" customHeight="1" x14ac:dyDescent="0.15">
      <c r="B1599">
        <v>4</v>
      </c>
      <c r="C1599" t="s">
        <v>386</v>
      </c>
      <c r="D1599" t="s">
        <v>3046</v>
      </c>
      <c r="E1599">
        <v>3</v>
      </c>
      <c r="F1599" t="s">
        <v>219</v>
      </c>
      <c r="G1599" t="s">
        <v>239</v>
      </c>
      <c r="H1599" t="s">
        <v>520</v>
      </c>
      <c r="I1599">
        <v>26</v>
      </c>
      <c r="J1599" s="21">
        <v>46200</v>
      </c>
      <c r="K1599" s="21">
        <v>46200</v>
      </c>
      <c r="L1599" t="s">
        <v>3049</v>
      </c>
      <c r="M1599" t="s">
        <v>1340</v>
      </c>
      <c r="N1599" s="22">
        <v>46200</v>
      </c>
      <c r="O1599" t="s">
        <v>202</v>
      </c>
      <c r="P1599">
        <v>1</v>
      </c>
      <c r="Q1599">
        <v>0.5</v>
      </c>
      <c r="R1599">
        <v>4</v>
      </c>
      <c r="S1599">
        <v>2</v>
      </c>
      <c r="T1599">
        <v>2</v>
      </c>
      <c r="U1599" t="s">
        <v>135</v>
      </c>
      <c r="V1599" t="s">
        <v>136</v>
      </c>
      <c r="W1599" t="s">
        <v>21</v>
      </c>
      <c r="X1599">
        <v>1</v>
      </c>
      <c r="Y1599" t="s">
        <v>2455</v>
      </c>
      <c r="Z1599" t="s">
        <v>496</v>
      </c>
      <c r="AA1599">
        <v>66.92</v>
      </c>
      <c r="AB1599">
        <v>133.84</v>
      </c>
      <c r="AC1599">
        <v>133.84</v>
      </c>
    </row>
    <row r="1600" spans="2:29" ht="15" customHeight="1" x14ac:dyDescent="0.15">
      <c r="B1600">
        <v>4</v>
      </c>
      <c r="C1600" t="s">
        <v>386</v>
      </c>
      <c r="D1600" t="s">
        <v>3046</v>
      </c>
      <c r="E1600">
        <v>4</v>
      </c>
      <c r="F1600" t="s">
        <v>201</v>
      </c>
      <c r="G1600" t="s">
        <v>337</v>
      </c>
      <c r="H1600" t="s">
        <v>475</v>
      </c>
      <c r="I1600">
        <v>26</v>
      </c>
      <c r="J1600" s="21">
        <v>46200</v>
      </c>
      <c r="K1600" s="21">
        <v>46200</v>
      </c>
      <c r="L1600" t="s">
        <v>3050</v>
      </c>
      <c r="M1600" t="s">
        <v>2793</v>
      </c>
      <c r="N1600" s="22">
        <v>46200</v>
      </c>
      <c r="O1600" t="s">
        <v>202</v>
      </c>
      <c r="P1600">
        <v>1</v>
      </c>
      <c r="Q1600">
        <v>0.5</v>
      </c>
      <c r="R1600">
        <v>50</v>
      </c>
      <c r="S1600">
        <v>25</v>
      </c>
      <c r="T1600">
        <v>25</v>
      </c>
      <c r="U1600" t="s">
        <v>135</v>
      </c>
      <c r="V1600" t="s">
        <v>136</v>
      </c>
      <c r="W1600" t="s">
        <v>21</v>
      </c>
      <c r="X1600">
        <v>1</v>
      </c>
      <c r="Y1600" t="s">
        <v>2455</v>
      </c>
      <c r="Z1600" t="s">
        <v>496</v>
      </c>
      <c r="AA1600">
        <v>4.88</v>
      </c>
      <c r="AB1600">
        <v>122</v>
      </c>
      <c r="AC1600">
        <v>122</v>
      </c>
    </row>
    <row r="1601" spans="2:29" ht="15" customHeight="1" x14ac:dyDescent="0.15">
      <c r="B1601">
        <v>4</v>
      </c>
      <c r="C1601" t="s">
        <v>386</v>
      </c>
      <c r="D1601" t="s">
        <v>3046</v>
      </c>
      <c r="E1601">
        <v>5</v>
      </c>
      <c r="F1601" t="s">
        <v>201</v>
      </c>
      <c r="G1601" t="s">
        <v>337</v>
      </c>
      <c r="H1601" t="s">
        <v>632</v>
      </c>
      <c r="I1601">
        <v>26</v>
      </c>
      <c r="J1601" s="21">
        <v>46200</v>
      </c>
      <c r="K1601" s="21">
        <v>46200</v>
      </c>
      <c r="L1601" t="s">
        <v>3051</v>
      </c>
      <c r="M1601" t="s">
        <v>336</v>
      </c>
      <c r="N1601" s="22">
        <v>46200</v>
      </c>
      <c r="O1601" t="s">
        <v>202</v>
      </c>
      <c r="P1601">
        <v>1</v>
      </c>
      <c r="Q1601">
        <v>0.5</v>
      </c>
      <c r="R1601">
        <v>50</v>
      </c>
      <c r="S1601">
        <v>25</v>
      </c>
      <c r="T1601">
        <v>25</v>
      </c>
      <c r="U1601" t="s">
        <v>135</v>
      </c>
      <c r="V1601" t="s">
        <v>136</v>
      </c>
      <c r="W1601" t="s">
        <v>21</v>
      </c>
      <c r="X1601">
        <v>1</v>
      </c>
      <c r="Y1601" t="s">
        <v>2455</v>
      </c>
      <c r="Z1601" t="s">
        <v>496</v>
      </c>
      <c r="AA1601">
        <v>4.8099999999999996</v>
      </c>
      <c r="AB1601">
        <v>120.25</v>
      </c>
      <c r="AC1601">
        <v>120.25</v>
      </c>
    </row>
    <row r="1602" spans="2:29" ht="15" customHeight="1" x14ac:dyDescent="0.15">
      <c r="B1602">
        <v>4</v>
      </c>
      <c r="C1602" t="s">
        <v>386</v>
      </c>
      <c r="D1602" t="s">
        <v>3052</v>
      </c>
      <c r="E1602">
        <v>1</v>
      </c>
      <c r="F1602" t="s">
        <v>219</v>
      </c>
      <c r="G1602" t="s">
        <v>231</v>
      </c>
      <c r="H1602" t="s">
        <v>231</v>
      </c>
      <c r="I1602">
        <v>27</v>
      </c>
      <c r="J1602" s="21">
        <v>46203</v>
      </c>
      <c r="K1602" s="21">
        <v>46203</v>
      </c>
      <c r="L1602" t="s">
        <v>3053</v>
      </c>
      <c r="M1602" t="s">
        <v>2648</v>
      </c>
      <c r="N1602" s="22">
        <v>46203</v>
      </c>
      <c r="O1602" t="s">
        <v>220</v>
      </c>
      <c r="P1602">
        <v>1</v>
      </c>
      <c r="Q1602">
        <v>1</v>
      </c>
      <c r="R1602">
        <v>0.15</v>
      </c>
      <c r="S1602">
        <v>0.15</v>
      </c>
      <c r="T1602">
        <v>0.15</v>
      </c>
      <c r="U1602" t="s">
        <v>436</v>
      </c>
      <c r="V1602" t="s">
        <v>437</v>
      </c>
      <c r="W1602" t="s">
        <v>437</v>
      </c>
      <c r="X1602">
        <v>1</v>
      </c>
      <c r="Y1602" t="s">
        <v>2629</v>
      </c>
      <c r="Z1602" t="s">
        <v>496</v>
      </c>
      <c r="AA1602">
        <v>16.61</v>
      </c>
      <c r="AB1602">
        <v>2.4900000000000002</v>
      </c>
      <c r="AC1602">
        <v>2.4900000000000002</v>
      </c>
    </row>
    <row r="1603" spans="2:29" ht="15" customHeight="1" x14ac:dyDescent="0.15">
      <c r="B1603">
        <v>4</v>
      </c>
      <c r="C1603" t="s">
        <v>386</v>
      </c>
      <c r="D1603" t="s">
        <v>3052</v>
      </c>
      <c r="E1603">
        <v>2</v>
      </c>
      <c r="I1603">
        <v>27</v>
      </c>
      <c r="J1603" s="21">
        <v>46203</v>
      </c>
      <c r="K1603" s="21">
        <v>46203</v>
      </c>
      <c r="L1603" t="s">
        <v>3054</v>
      </c>
      <c r="M1603" t="s">
        <v>3055</v>
      </c>
      <c r="N1603" s="22">
        <v>46203</v>
      </c>
      <c r="O1603" t="s">
        <v>220</v>
      </c>
      <c r="P1603">
        <v>1</v>
      </c>
      <c r="Q1603">
        <v>1</v>
      </c>
      <c r="R1603">
        <v>3</v>
      </c>
      <c r="S1603">
        <v>3</v>
      </c>
      <c r="T1603">
        <v>3</v>
      </c>
      <c r="U1603" t="s">
        <v>436</v>
      </c>
      <c r="V1603" t="s">
        <v>437</v>
      </c>
      <c r="W1603" t="s">
        <v>437</v>
      </c>
      <c r="X1603">
        <v>1</v>
      </c>
      <c r="Y1603" t="s">
        <v>2629</v>
      </c>
      <c r="Z1603" t="s">
        <v>496</v>
      </c>
    </row>
    <row r="1604" spans="2:29" ht="15" customHeight="1" x14ac:dyDescent="0.15">
      <c r="B1604">
        <v>4</v>
      </c>
      <c r="C1604" t="s">
        <v>386</v>
      </c>
      <c r="D1604" t="s">
        <v>3056</v>
      </c>
      <c r="E1604">
        <v>1</v>
      </c>
      <c r="F1604" t="s">
        <v>219</v>
      </c>
      <c r="G1604" t="s">
        <v>231</v>
      </c>
      <c r="H1604" t="s">
        <v>231</v>
      </c>
      <c r="I1604">
        <v>27</v>
      </c>
      <c r="J1604" s="21">
        <v>46204</v>
      </c>
      <c r="K1604" s="21">
        <v>46204</v>
      </c>
      <c r="L1604" t="s">
        <v>3057</v>
      </c>
      <c r="M1604" t="s">
        <v>2648</v>
      </c>
      <c r="N1604" s="22">
        <v>46204</v>
      </c>
      <c r="O1604" t="s">
        <v>220</v>
      </c>
      <c r="P1604">
        <v>1</v>
      </c>
      <c r="Q1604">
        <v>1.3</v>
      </c>
      <c r="R1604">
        <v>0.15</v>
      </c>
      <c r="S1604">
        <v>0.19500000000000001</v>
      </c>
      <c r="T1604">
        <v>0.2</v>
      </c>
      <c r="U1604" t="s">
        <v>141</v>
      </c>
      <c r="V1604" t="s">
        <v>142</v>
      </c>
      <c r="W1604" t="s">
        <v>75</v>
      </c>
      <c r="X1604">
        <v>1</v>
      </c>
      <c r="Y1604" t="s">
        <v>2629</v>
      </c>
      <c r="Z1604" t="s">
        <v>496</v>
      </c>
      <c r="AA1604">
        <v>16.61</v>
      </c>
      <c r="AB1604">
        <v>3.24</v>
      </c>
      <c r="AC1604">
        <v>3.24</v>
      </c>
    </row>
    <row r="1605" spans="2:29" ht="15" customHeight="1" x14ac:dyDescent="0.15">
      <c r="B1605">
        <v>4</v>
      </c>
      <c r="C1605" t="s">
        <v>386</v>
      </c>
      <c r="D1605" t="s">
        <v>3056</v>
      </c>
      <c r="E1605">
        <v>2</v>
      </c>
      <c r="F1605" t="s">
        <v>219</v>
      </c>
      <c r="G1605" t="s">
        <v>439</v>
      </c>
      <c r="H1605" t="s">
        <v>533</v>
      </c>
      <c r="I1605">
        <v>27</v>
      </c>
      <c r="J1605" s="21">
        <v>46204</v>
      </c>
      <c r="K1605" s="21">
        <v>46204</v>
      </c>
      <c r="L1605" t="s">
        <v>3058</v>
      </c>
      <c r="M1605" t="s">
        <v>535</v>
      </c>
      <c r="N1605" s="22">
        <v>46204</v>
      </c>
      <c r="O1605" t="s">
        <v>220</v>
      </c>
      <c r="P1605">
        <v>1</v>
      </c>
      <c r="Q1605">
        <v>1.3</v>
      </c>
      <c r="R1605">
        <v>1.5</v>
      </c>
      <c r="S1605">
        <v>1.95</v>
      </c>
      <c r="T1605">
        <v>1.95</v>
      </c>
      <c r="U1605" t="s">
        <v>141</v>
      </c>
      <c r="V1605" t="s">
        <v>142</v>
      </c>
      <c r="W1605" t="s">
        <v>75</v>
      </c>
      <c r="X1605">
        <v>1</v>
      </c>
      <c r="Y1605" t="s">
        <v>2629</v>
      </c>
      <c r="Z1605" t="s">
        <v>496</v>
      </c>
      <c r="AA1605">
        <v>38.14</v>
      </c>
      <c r="AB1605">
        <v>74.37</v>
      </c>
      <c r="AC1605">
        <v>74.37</v>
      </c>
    </row>
    <row r="1606" spans="2:29" ht="15" customHeight="1" x14ac:dyDescent="0.15">
      <c r="B1606">
        <v>4</v>
      </c>
      <c r="C1606" t="s">
        <v>386</v>
      </c>
      <c r="D1606" t="s">
        <v>3056</v>
      </c>
      <c r="E1606">
        <v>3</v>
      </c>
      <c r="F1606" t="s">
        <v>219</v>
      </c>
      <c r="G1606" t="s">
        <v>218</v>
      </c>
      <c r="H1606" t="s">
        <v>2714</v>
      </c>
      <c r="I1606">
        <v>27</v>
      </c>
      <c r="J1606" s="21">
        <v>46204</v>
      </c>
      <c r="K1606" s="21">
        <v>46204</v>
      </c>
      <c r="L1606" t="s">
        <v>3059</v>
      </c>
      <c r="M1606" t="s">
        <v>2716</v>
      </c>
      <c r="N1606" s="22">
        <v>46204</v>
      </c>
      <c r="O1606" t="s">
        <v>220</v>
      </c>
      <c r="P1606">
        <v>1</v>
      </c>
      <c r="Q1606">
        <v>1.3</v>
      </c>
      <c r="R1606">
        <v>0.25</v>
      </c>
      <c r="S1606">
        <v>0.32500000000000001</v>
      </c>
      <c r="T1606">
        <v>0.33</v>
      </c>
      <c r="U1606" t="s">
        <v>141</v>
      </c>
      <c r="V1606" t="s">
        <v>142</v>
      </c>
      <c r="W1606" t="s">
        <v>75</v>
      </c>
      <c r="X1606">
        <v>1</v>
      </c>
      <c r="Y1606" t="s">
        <v>2629</v>
      </c>
      <c r="Z1606" t="s">
        <v>496</v>
      </c>
      <c r="AA1606">
        <v>50</v>
      </c>
      <c r="AB1606">
        <v>16.25</v>
      </c>
      <c r="AC1606">
        <v>16.25</v>
      </c>
    </row>
    <row r="1607" spans="2:29" ht="15" customHeight="1" x14ac:dyDescent="0.15">
      <c r="B1607">
        <v>4</v>
      </c>
      <c r="C1607" t="s">
        <v>386</v>
      </c>
      <c r="D1607" t="s">
        <v>3060</v>
      </c>
      <c r="E1607">
        <v>1</v>
      </c>
      <c r="F1607" t="s">
        <v>219</v>
      </c>
      <c r="G1607" t="s">
        <v>231</v>
      </c>
      <c r="H1607" t="s">
        <v>231</v>
      </c>
      <c r="I1607">
        <v>27</v>
      </c>
      <c r="J1607" s="21">
        <v>46204</v>
      </c>
      <c r="K1607" s="21">
        <v>46204</v>
      </c>
      <c r="L1607" t="s">
        <v>3061</v>
      </c>
      <c r="M1607" t="s">
        <v>2648</v>
      </c>
      <c r="N1607" s="22">
        <v>46204</v>
      </c>
      <c r="O1607" t="s">
        <v>220</v>
      </c>
      <c r="P1607">
        <v>3</v>
      </c>
      <c r="Q1607">
        <v>1.35</v>
      </c>
      <c r="R1607">
        <v>0.15</v>
      </c>
      <c r="S1607">
        <v>0.40500000000000003</v>
      </c>
      <c r="T1607">
        <v>0.2</v>
      </c>
      <c r="U1607" t="s">
        <v>143</v>
      </c>
      <c r="V1607" t="s">
        <v>144</v>
      </c>
      <c r="W1607" t="s">
        <v>21</v>
      </c>
      <c r="X1607">
        <v>2</v>
      </c>
      <c r="Y1607" t="s">
        <v>2629</v>
      </c>
      <c r="Z1607" t="s">
        <v>496</v>
      </c>
      <c r="AA1607">
        <v>16.61</v>
      </c>
      <c r="AB1607">
        <v>6.73</v>
      </c>
      <c r="AC1607">
        <v>3.36</v>
      </c>
    </row>
    <row r="1608" spans="2:29" ht="15" customHeight="1" x14ac:dyDescent="0.15">
      <c r="B1608">
        <v>4</v>
      </c>
      <c r="C1608" t="s">
        <v>386</v>
      </c>
      <c r="D1608" t="s">
        <v>3060</v>
      </c>
      <c r="E1608">
        <v>2</v>
      </c>
      <c r="F1608" t="s">
        <v>219</v>
      </c>
      <c r="G1608" t="s">
        <v>439</v>
      </c>
      <c r="H1608" t="s">
        <v>533</v>
      </c>
      <c r="I1608">
        <v>27</v>
      </c>
      <c r="J1608" s="21">
        <v>46204</v>
      </c>
      <c r="K1608" s="21">
        <v>46204</v>
      </c>
      <c r="L1608" t="s">
        <v>3062</v>
      </c>
      <c r="M1608" t="s">
        <v>535</v>
      </c>
      <c r="N1608" s="22">
        <v>46204</v>
      </c>
      <c r="O1608" t="s">
        <v>220</v>
      </c>
      <c r="P1608">
        <v>3</v>
      </c>
      <c r="Q1608">
        <v>1.35</v>
      </c>
      <c r="R1608">
        <v>1.5</v>
      </c>
      <c r="S1608">
        <v>4.05</v>
      </c>
      <c r="T1608">
        <v>2.0299999999999998</v>
      </c>
      <c r="U1608" t="s">
        <v>143</v>
      </c>
      <c r="V1608" t="s">
        <v>144</v>
      </c>
      <c r="W1608" t="s">
        <v>21</v>
      </c>
      <c r="X1608">
        <v>2</v>
      </c>
      <c r="Y1608" t="s">
        <v>2629</v>
      </c>
      <c r="Z1608" t="s">
        <v>496</v>
      </c>
      <c r="AA1608">
        <v>38.14</v>
      </c>
      <c r="AB1608">
        <v>154.47</v>
      </c>
      <c r="AC1608">
        <v>77.23</v>
      </c>
    </row>
    <row r="1609" spans="2:29" ht="15" customHeight="1" x14ac:dyDescent="0.15">
      <c r="B1609">
        <v>4</v>
      </c>
      <c r="C1609" t="s">
        <v>386</v>
      </c>
      <c r="D1609" t="s">
        <v>3060</v>
      </c>
      <c r="E1609">
        <v>3</v>
      </c>
      <c r="F1609" t="s">
        <v>219</v>
      </c>
      <c r="G1609" t="s">
        <v>218</v>
      </c>
      <c r="H1609" t="s">
        <v>2714</v>
      </c>
      <c r="I1609">
        <v>27</v>
      </c>
      <c r="J1609" s="21">
        <v>46204</v>
      </c>
      <c r="K1609" s="21">
        <v>46204</v>
      </c>
      <c r="L1609" t="s">
        <v>3063</v>
      </c>
      <c r="M1609" t="s">
        <v>2716</v>
      </c>
      <c r="N1609" s="22">
        <v>46204</v>
      </c>
      <c r="O1609" t="s">
        <v>220</v>
      </c>
      <c r="P1609">
        <v>3</v>
      </c>
      <c r="Q1609">
        <v>1.35</v>
      </c>
      <c r="R1609">
        <v>0.25</v>
      </c>
      <c r="S1609">
        <v>0.67500000000000004</v>
      </c>
      <c r="T1609">
        <v>0.34</v>
      </c>
      <c r="U1609" t="s">
        <v>143</v>
      </c>
      <c r="V1609" t="s">
        <v>144</v>
      </c>
      <c r="W1609" t="s">
        <v>21</v>
      </c>
      <c r="X1609">
        <v>2</v>
      </c>
      <c r="Y1609" t="s">
        <v>2629</v>
      </c>
      <c r="Z1609" t="s">
        <v>496</v>
      </c>
      <c r="AA1609">
        <v>50</v>
      </c>
      <c r="AB1609">
        <v>33.75</v>
      </c>
      <c r="AC1609">
        <v>16.88</v>
      </c>
    </row>
    <row r="1610" spans="2:29" ht="15" customHeight="1" x14ac:dyDescent="0.15">
      <c r="B1610">
        <v>4</v>
      </c>
      <c r="C1610" t="s">
        <v>386</v>
      </c>
      <c r="D1610" t="s">
        <v>3064</v>
      </c>
      <c r="E1610">
        <v>1</v>
      </c>
      <c r="F1610" t="s">
        <v>219</v>
      </c>
      <c r="G1610" t="s">
        <v>231</v>
      </c>
      <c r="H1610" t="s">
        <v>231</v>
      </c>
      <c r="I1610">
        <v>27</v>
      </c>
      <c r="J1610" s="21">
        <v>46204</v>
      </c>
      <c r="K1610" s="21">
        <v>46204</v>
      </c>
      <c r="L1610" t="s">
        <v>3065</v>
      </c>
      <c r="M1610" t="s">
        <v>2648</v>
      </c>
      <c r="N1610" s="22">
        <v>46204</v>
      </c>
      <c r="O1610" t="s">
        <v>220</v>
      </c>
      <c r="P1610">
        <v>3</v>
      </c>
      <c r="Q1610">
        <v>3</v>
      </c>
      <c r="R1610">
        <v>0.15</v>
      </c>
      <c r="S1610">
        <v>0.45</v>
      </c>
      <c r="T1610">
        <v>0.45</v>
      </c>
      <c r="U1610" t="s">
        <v>436</v>
      </c>
      <c r="V1610" t="s">
        <v>437</v>
      </c>
      <c r="W1610" t="s">
        <v>437</v>
      </c>
      <c r="X1610">
        <v>1</v>
      </c>
      <c r="Y1610" t="s">
        <v>2198</v>
      </c>
      <c r="Z1610" t="s">
        <v>496</v>
      </c>
      <c r="AA1610">
        <v>16.61</v>
      </c>
      <c r="AB1610">
        <v>7.47</v>
      </c>
      <c r="AC1610">
        <v>7.47</v>
      </c>
    </row>
    <row r="1611" spans="2:29" ht="15" customHeight="1" x14ac:dyDescent="0.15">
      <c r="B1611">
        <v>4</v>
      </c>
      <c r="C1611" t="s">
        <v>386</v>
      </c>
      <c r="D1611" t="s">
        <v>3064</v>
      </c>
      <c r="E1611">
        <v>2</v>
      </c>
      <c r="F1611" t="s">
        <v>219</v>
      </c>
      <c r="G1611" t="s">
        <v>439</v>
      </c>
      <c r="H1611" t="s">
        <v>2928</v>
      </c>
      <c r="I1611">
        <v>27</v>
      </c>
      <c r="J1611" s="21">
        <v>46204</v>
      </c>
      <c r="K1611" s="21">
        <v>46204</v>
      </c>
      <c r="L1611" t="s">
        <v>3066</v>
      </c>
      <c r="M1611" t="s">
        <v>2930</v>
      </c>
      <c r="N1611" s="22">
        <v>46204</v>
      </c>
      <c r="O1611" t="s">
        <v>220</v>
      </c>
      <c r="P1611">
        <v>3</v>
      </c>
      <c r="Q1611">
        <v>3</v>
      </c>
      <c r="R1611">
        <v>1.5</v>
      </c>
      <c r="S1611">
        <v>4.5</v>
      </c>
      <c r="T1611">
        <v>4.5</v>
      </c>
      <c r="U1611" t="s">
        <v>436</v>
      </c>
      <c r="V1611" t="s">
        <v>437</v>
      </c>
      <c r="W1611" t="s">
        <v>437</v>
      </c>
      <c r="X1611">
        <v>1</v>
      </c>
      <c r="Y1611" t="s">
        <v>2198</v>
      </c>
      <c r="Z1611" t="s">
        <v>496</v>
      </c>
      <c r="AA1611">
        <v>50</v>
      </c>
      <c r="AB1611">
        <v>225</v>
      </c>
      <c r="AC1611">
        <v>225</v>
      </c>
    </row>
    <row r="1612" spans="2:29" ht="15" customHeight="1" x14ac:dyDescent="0.15">
      <c r="B1612">
        <v>4</v>
      </c>
      <c r="C1612" t="s">
        <v>386</v>
      </c>
      <c r="D1612" t="s">
        <v>3067</v>
      </c>
      <c r="E1612">
        <v>1</v>
      </c>
      <c r="F1612" t="s">
        <v>219</v>
      </c>
      <c r="G1612" t="s">
        <v>231</v>
      </c>
      <c r="H1612" t="s">
        <v>231</v>
      </c>
      <c r="I1612">
        <v>27</v>
      </c>
      <c r="J1612" s="21">
        <v>46204</v>
      </c>
      <c r="K1612" s="21">
        <v>46204</v>
      </c>
      <c r="L1612" t="s">
        <v>3068</v>
      </c>
      <c r="M1612" t="s">
        <v>2648</v>
      </c>
      <c r="N1612">
        <v>167</v>
      </c>
      <c r="O1612" t="s">
        <v>220</v>
      </c>
      <c r="P1612">
        <v>2</v>
      </c>
      <c r="Q1612">
        <v>0.75</v>
      </c>
      <c r="R1612">
        <v>0.2</v>
      </c>
      <c r="S1612">
        <v>0.3</v>
      </c>
      <c r="T1612">
        <v>0.15</v>
      </c>
      <c r="U1612" t="s">
        <v>39</v>
      </c>
      <c r="V1612" t="s">
        <v>40</v>
      </c>
      <c r="W1612" t="s">
        <v>21</v>
      </c>
      <c r="X1612">
        <v>2</v>
      </c>
      <c r="Y1612" t="s">
        <v>3069</v>
      </c>
      <c r="Z1612" t="s">
        <v>496</v>
      </c>
      <c r="AA1612">
        <v>16.61</v>
      </c>
      <c r="AB1612">
        <v>4.9800000000000004</v>
      </c>
      <c r="AC1612">
        <v>2.4900000000000002</v>
      </c>
    </row>
    <row r="1613" spans="2:29" ht="15" customHeight="1" x14ac:dyDescent="0.15">
      <c r="B1613">
        <v>4</v>
      </c>
      <c r="C1613" t="s">
        <v>386</v>
      </c>
      <c r="D1613" t="s">
        <v>3067</v>
      </c>
      <c r="E1613">
        <v>2</v>
      </c>
      <c r="F1613" t="s">
        <v>219</v>
      </c>
      <c r="G1613" t="s">
        <v>239</v>
      </c>
      <c r="H1613" t="s">
        <v>2438</v>
      </c>
      <c r="I1613">
        <v>27</v>
      </c>
      <c r="J1613" s="21">
        <v>46204</v>
      </c>
      <c r="K1613" s="21">
        <v>46204</v>
      </c>
      <c r="L1613" t="s">
        <v>3070</v>
      </c>
      <c r="M1613" t="s">
        <v>2440</v>
      </c>
      <c r="N1613">
        <v>167</v>
      </c>
      <c r="O1613" t="s">
        <v>220</v>
      </c>
      <c r="P1613">
        <v>2</v>
      </c>
      <c r="Q1613">
        <v>0.75</v>
      </c>
      <c r="R1613">
        <v>1.35</v>
      </c>
      <c r="S1613">
        <v>2.0249999999999999</v>
      </c>
      <c r="T1613">
        <v>1.01</v>
      </c>
      <c r="U1613" t="s">
        <v>39</v>
      </c>
      <c r="V1613" t="s">
        <v>40</v>
      </c>
      <c r="W1613" t="s">
        <v>21</v>
      </c>
      <c r="X1613">
        <v>2</v>
      </c>
      <c r="Y1613" t="s">
        <v>3069</v>
      </c>
      <c r="Z1613" t="s">
        <v>496</v>
      </c>
      <c r="AA1613">
        <v>41</v>
      </c>
      <c r="AB1613">
        <v>83.03</v>
      </c>
      <c r="AC1613">
        <v>41.51</v>
      </c>
    </row>
    <row r="1614" spans="2:29" ht="15" customHeight="1" x14ac:dyDescent="0.15">
      <c r="B1614">
        <v>4</v>
      </c>
      <c r="C1614" t="s">
        <v>386</v>
      </c>
      <c r="D1614" t="s">
        <v>3067</v>
      </c>
      <c r="E1614">
        <v>3</v>
      </c>
      <c r="F1614" t="s">
        <v>201</v>
      </c>
      <c r="G1614" t="s">
        <v>200</v>
      </c>
      <c r="H1614" t="s">
        <v>1132</v>
      </c>
      <c r="I1614">
        <v>27</v>
      </c>
      <c r="J1614" s="21">
        <v>46204</v>
      </c>
      <c r="K1614" s="21">
        <v>46204</v>
      </c>
      <c r="L1614" t="s">
        <v>3071</v>
      </c>
      <c r="M1614" t="s">
        <v>2463</v>
      </c>
      <c r="N1614">
        <v>167</v>
      </c>
      <c r="O1614" t="s">
        <v>202</v>
      </c>
      <c r="P1614">
        <v>2</v>
      </c>
      <c r="Q1614">
        <v>0.75</v>
      </c>
      <c r="R1614">
        <v>4</v>
      </c>
      <c r="S1614">
        <v>6</v>
      </c>
      <c r="T1614">
        <v>3</v>
      </c>
      <c r="U1614" t="s">
        <v>39</v>
      </c>
      <c r="V1614" t="s">
        <v>40</v>
      </c>
      <c r="W1614" t="s">
        <v>21</v>
      </c>
      <c r="X1614">
        <v>2</v>
      </c>
      <c r="Y1614" t="s">
        <v>3069</v>
      </c>
      <c r="Z1614" t="s">
        <v>496</v>
      </c>
      <c r="AA1614">
        <v>5.0999999999999996</v>
      </c>
      <c r="AB1614">
        <v>30.6</v>
      </c>
      <c r="AC1614">
        <v>15.3</v>
      </c>
    </row>
    <row r="1615" spans="2:29" ht="15" customHeight="1" x14ac:dyDescent="0.15">
      <c r="B1615">
        <v>4</v>
      </c>
      <c r="C1615" t="s">
        <v>386</v>
      </c>
      <c r="D1615" t="s">
        <v>3067</v>
      </c>
      <c r="E1615">
        <v>4</v>
      </c>
      <c r="F1615" t="s">
        <v>219</v>
      </c>
      <c r="G1615" t="s">
        <v>239</v>
      </c>
      <c r="H1615" t="s">
        <v>520</v>
      </c>
      <c r="I1615">
        <v>27</v>
      </c>
      <c r="J1615" s="21">
        <v>46204</v>
      </c>
      <c r="K1615" s="21">
        <v>46204</v>
      </c>
      <c r="L1615" t="s">
        <v>3072</v>
      </c>
      <c r="M1615" t="s">
        <v>1340</v>
      </c>
      <c r="N1615">
        <v>167</v>
      </c>
      <c r="O1615" t="s">
        <v>202</v>
      </c>
      <c r="P1615">
        <v>2</v>
      </c>
      <c r="Q1615">
        <v>0.75</v>
      </c>
      <c r="R1615">
        <v>0.75</v>
      </c>
      <c r="S1615">
        <v>1.125</v>
      </c>
      <c r="T1615">
        <v>0.56000000000000005</v>
      </c>
      <c r="U1615" t="s">
        <v>39</v>
      </c>
      <c r="V1615" t="s">
        <v>40</v>
      </c>
      <c r="W1615" t="s">
        <v>21</v>
      </c>
      <c r="X1615">
        <v>2</v>
      </c>
      <c r="Y1615" t="s">
        <v>3069</v>
      </c>
      <c r="Z1615" t="s">
        <v>496</v>
      </c>
      <c r="AA1615">
        <v>66.92</v>
      </c>
      <c r="AB1615">
        <v>75.290000000000006</v>
      </c>
      <c r="AC1615">
        <v>37.64</v>
      </c>
    </row>
    <row r="1616" spans="2:29" ht="15" customHeight="1" x14ac:dyDescent="0.15">
      <c r="B1616">
        <v>4</v>
      </c>
      <c r="C1616" t="s">
        <v>386</v>
      </c>
      <c r="D1616" t="s">
        <v>3067</v>
      </c>
      <c r="E1616">
        <v>5</v>
      </c>
      <c r="F1616" t="s">
        <v>219</v>
      </c>
      <c r="G1616" t="s">
        <v>218</v>
      </c>
      <c r="H1616" t="s">
        <v>686</v>
      </c>
      <c r="I1616">
        <v>27</v>
      </c>
      <c r="J1616" s="21">
        <v>46204</v>
      </c>
      <c r="K1616" s="21">
        <v>46204</v>
      </c>
      <c r="L1616" t="s">
        <v>3073</v>
      </c>
      <c r="M1616" t="s">
        <v>2468</v>
      </c>
      <c r="N1616">
        <v>167</v>
      </c>
      <c r="O1616" t="s">
        <v>220</v>
      </c>
      <c r="P1616">
        <v>2</v>
      </c>
      <c r="Q1616">
        <v>0.75</v>
      </c>
      <c r="R1616">
        <v>0.3</v>
      </c>
      <c r="S1616">
        <v>0.45</v>
      </c>
      <c r="T1616">
        <v>0.23</v>
      </c>
      <c r="U1616" t="s">
        <v>39</v>
      </c>
      <c r="V1616" t="s">
        <v>40</v>
      </c>
      <c r="W1616" t="s">
        <v>21</v>
      </c>
      <c r="X1616">
        <v>2</v>
      </c>
      <c r="Y1616" t="s">
        <v>3069</v>
      </c>
      <c r="Z1616" t="s">
        <v>496</v>
      </c>
      <c r="AA1616">
        <v>80.900000000000006</v>
      </c>
      <c r="AB1616">
        <v>36.409999999999997</v>
      </c>
      <c r="AC1616">
        <v>18.2</v>
      </c>
    </row>
    <row r="1617" spans="2:29" ht="15" customHeight="1" x14ac:dyDescent="0.15">
      <c r="B1617">
        <v>4</v>
      </c>
      <c r="C1617" t="s">
        <v>386</v>
      </c>
      <c r="D1617" t="s">
        <v>3074</v>
      </c>
      <c r="E1617">
        <v>1</v>
      </c>
      <c r="F1617" t="s">
        <v>219</v>
      </c>
      <c r="G1617" t="s">
        <v>231</v>
      </c>
      <c r="H1617" t="s">
        <v>231</v>
      </c>
      <c r="I1617">
        <v>27</v>
      </c>
      <c r="J1617" s="21">
        <v>46205</v>
      </c>
      <c r="K1617" s="21">
        <v>46205</v>
      </c>
      <c r="L1617" t="s">
        <v>3075</v>
      </c>
      <c r="M1617" t="s">
        <v>2648</v>
      </c>
      <c r="N1617" s="22">
        <v>46205</v>
      </c>
      <c r="O1617" t="s">
        <v>220</v>
      </c>
      <c r="P1617">
        <v>6</v>
      </c>
      <c r="Q1617">
        <v>1.3</v>
      </c>
      <c r="R1617">
        <v>0.15</v>
      </c>
      <c r="S1617">
        <v>0.9</v>
      </c>
      <c r="T1617">
        <v>0.2</v>
      </c>
      <c r="U1617" t="s">
        <v>122</v>
      </c>
      <c r="V1617" t="s">
        <v>123</v>
      </c>
      <c r="W1617" t="s">
        <v>75</v>
      </c>
      <c r="X1617">
        <v>4.5999999999999996</v>
      </c>
      <c r="Y1617" t="s">
        <v>2629</v>
      </c>
      <c r="Z1617" t="s">
        <v>496</v>
      </c>
      <c r="AA1617">
        <v>16.61</v>
      </c>
      <c r="AB1617">
        <v>14.95</v>
      </c>
      <c r="AC1617">
        <v>3.25</v>
      </c>
    </row>
    <row r="1618" spans="2:29" ht="15" customHeight="1" x14ac:dyDescent="0.15">
      <c r="B1618">
        <v>4</v>
      </c>
      <c r="C1618" t="s">
        <v>386</v>
      </c>
      <c r="D1618" t="s">
        <v>3074</v>
      </c>
      <c r="E1618">
        <v>2</v>
      </c>
      <c r="F1618" t="s">
        <v>219</v>
      </c>
      <c r="G1618" t="s">
        <v>218</v>
      </c>
      <c r="H1618" t="s">
        <v>686</v>
      </c>
      <c r="I1618">
        <v>27</v>
      </c>
      <c r="J1618" s="21">
        <v>46205</v>
      </c>
      <c r="K1618" s="21">
        <v>46205</v>
      </c>
      <c r="L1618" t="s">
        <v>3076</v>
      </c>
      <c r="M1618" t="s">
        <v>2468</v>
      </c>
      <c r="N1618" s="22">
        <v>46205</v>
      </c>
      <c r="O1618" t="s">
        <v>220</v>
      </c>
      <c r="P1618">
        <v>6</v>
      </c>
      <c r="Q1618">
        <v>1.3</v>
      </c>
      <c r="R1618">
        <v>0.2</v>
      </c>
      <c r="S1618">
        <v>1.2</v>
      </c>
      <c r="T1618">
        <v>0.26</v>
      </c>
      <c r="U1618" t="s">
        <v>122</v>
      </c>
      <c r="V1618" t="s">
        <v>123</v>
      </c>
      <c r="W1618" t="s">
        <v>75</v>
      </c>
      <c r="X1618">
        <v>4.5999999999999996</v>
      </c>
      <c r="Y1618" t="s">
        <v>2629</v>
      </c>
      <c r="Z1618" t="s">
        <v>496</v>
      </c>
      <c r="AA1618">
        <v>80.900000000000006</v>
      </c>
      <c r="AB1618">
        <v>97.08</v>
      </c>
      <c r="AC1618">
        <v>21.1</v>
      </c>
    </row>
    <row r="1619" spans="2:29" ht="15" customHeight="1" x14ac:dyDescent="0.15">
      <c r="B1619">
        <v>4</v>
      </c>
      <c r="C1619" t="s">
        <v>386</v>
      </c>
      <c r="D1619" t="s">
        <v>3074</v>
      </c>
      <c r="E1619">
        <v>1</v>
      </c>
      <c r="F1619" t="s">
        <v>219</v>
      </c>
      <c r="G1619" t="s">
        <v>239</v>
      </c>
      <c r="H1619" t="s">
        <v>520</v>
      </c>
      <c r="I1619">
        <v>27</v>
      </c>
      <c r="J1619" s="21">
        <v>46205</v>
      </c>
      <c r="K1619" s="21">
        <v>46205</v>
      </c>
      <c r="L1619" t="s">
        <v>3075</v>
      </c>
      <c r="M1619" t="s">
        <v>1340</v>
      </c>
      <c r="N1619" s="22">
        <v>46205</v>
      </c>
      <c r="O1619" t="s">
        <v>202</v>
      </c>
      <c r="P1619">
        <v>6</v>
      </c>
      <c r="Q1619">
        <v>1.3</v>
      </c>
      <c r="R1619">
        <v>0.5</v>
      </c>
      <c r="S1619">
        <v>3</v>
      </c>
      <c r="T1619">
        <v>0.65</v>
      </c>
      <c r="U1619" t="s">
        <v>122</v>
      </c>
      <c r="V1619" t="s">
        <v>123</v>
      </c>
      <c r="W1619" t="s">
        <v>75</v>
      </c>
      <c r="X1619">
        <v>4.5999999999999996</v>
      </c>
      <c r="Y1619" t="s">
        <v>2629</v>
      </c>
      <c r="Z1619" t="s">
        <v>496</v>
      </c>
      <c r="AA1619">
        <v>66.92</v>
      </c>
      <c r="AB1619">
        <v>200.76</v>
      </c>
      <c r="AC1619">
        <v>43.64</v>
      </c>
    </row>
    <row r="1620" spans="2:29" ht="15" customHeight="1" x14ac:dyDescent="0.15">
      <c r="B1620">
        <v>4</v>
      </c>
      <c r="C1620" t="s">
        <v>386</v>
      </c>
      <c r="D1620" t="s">
        <v>3074</v>
      </c>
      <c r="E1620">
        <v>2</v>
      </c>
      <c r="F1620" t="s">
        <v>219</v>
      </c>
      <c r="G1620" t="s">
        <v>244</v>
      </c>
      <c r="H1620" t="s">
        <v>591</v>
      </c>
      <c r="I1620">
        <v>27</v>
      </c>
      <c r="J1620" s="21">
        <v>46205</v>
      </c>
      <c r="K1620" s="21">
        <v>46205</v>
      </c>
      <c r="L1620" t="s">
        <v>3076</v>
      </c>
      <c r="M1620" t="s">
        <v>593</v>
      </c>
      <c r="N1620" s="22">
        <v>46205</v>
      </c>
      <c r="O1620" t="s">
        <v>220</v>
      </c>
      <c r="P1620">
        <v>6</v>
      </c>
      <c r="Q1620">
        <v>1.3</v>
      </c>
      <c r="R1620">
        <v>0.85</v>
      </c>
      <c r="S1620">
        <v>5.0999999999999996</v>
      </c>
      <c r="T1620">
        <v>1.1100000000000001</v>
      </c>
      <c r="U1620" t="s">
        <v>122</v>
      </c>
      <c r="V1620" t="s">
        <v>123</v>
      </c>
      <c r="W1620" t="s">
        <v>75</v>
      </c>
      <c r="X1620">
        <v>4.5999999999999996</v>
      </c>
      <c r="Y1620" t="s">
        <v>2629</v>
      </c>
      <c r="Z1620" t="s">
        <v>496</v>
      </c>
      <c r="AA1620">
        <v>37.58</v>
      </c>
      <c r="AB1620">
        <v>191.63</v>
      </c>
      <c r="AC1620">
        <v>41.66</v>
      </c>
    </row>
    <row r="1621" spans="2:29" ht="15" customHeight="1" x14ac:dyDescent="0.15">
      <c r="B1621">
        <v>4</v>
      </c>
      <c r="C1621" t="s">
        <v>386</v>
      </c>
      <c r="D1621" t="s">
        <v>3074</v>
      </c>
      <c r="E1621">
        <v>3</v>
      </c>
      <c r="F1621" t="s">
        <v>219</v>
      </c>
      <c r="G1621" t="s">
        <v>244</v>
      </c>
      <c r="H1621" t="s">
        <v>511</v>
      </c>
      <c r="I1621">
        <v>27</v>
      </c>
      <c r="J1621" s="21">
        <v>46205</v>
      </c>
      <c r="K1621" s="21">
        <v>46205</v>
      </c>
      <c r="L1621" t="s">
        <v>3077</v>
      </c>
      <c r="M1621" t="s">
        <v>1243</v>
      </c>
      <c r="N1621" s="22">
        <v>46205</v>
      </c>
      <c r="O1621" t="s">
        <v>202</v>
      </c>
      <c r="P1621">
        <v>2</v>
      </c>
      <c r="Q1621">
        <v>0.43</v>
      </c>
      <c r="R1621">
        <v>0.2</v>
      </c>
      <c r="S1621">
        <v>0.4</v>
      </c>
      <c r="T1621">
        <v>0.09</v>
      </c>
      <c r="U1621" t="s">
        <v>122</v>
      </c>
      <c r="V1621" t="s">
        <v>123</v>
      </c>
      <c r="W1621" t="s">
        <v>75</v>
      </c>
      <c r="X1621">
        <v>4.5999999999999996</v>
      </c>
      <c r="Y1621" t="s">
        <v>2629</v>
      </c>
      <c r="Z1621" t="s">
        <v>496</v>
      </c>
      <c r="AA1621">
        <v>269</v>
      </c>
      <c r="AB1621">
        <v>107.6</v>
      </c>
      <c r="AC1621">
        <v>23.39</v>
      </c>
    </row>
    <row r="1622" spans="2:29" ht="15" customHeight="1" x14ac:dyDescent="0.15">
      <c r="B1622">
        <v>4</v>
      </c>
      <c r="C1622" t="s">
        <v>386</v>
      </c>
      <c r="D1622" t="s">
        <v>3074</v>
      </c>
      <c r="E1622">
        <v>4</v>
      </c>
      <c r="F1622" t="s">
        <v>219</v>
      </c>
      <c r="G1622" t="s">
        <v>244</v>
      </c>
      <c r="H1622" t="s">
        <v>1605</v>
      </c>
      <c r="I1622">
        <v>27</v>
      </c>
      <c r="J1622" s="21">
        <v>46205</v>
      </c>
      <c r="K1622" s="21">
        <v>46205</v>
      </c>
      <c r="L1622" t="s">
        <v>3078</v>
      </c>
      <c r="M1622" t="s">
        <v>295</v>
      </c>
      <c r="N1622" s="22">
        <v>46205</v>
      </c>
      <c r="O1622" t="s">
        <v>220</v>
      </c>
      <c r="P1622">
        <v>3</v>
      </c>
      <c r="Q1622">
        <v>0.65</v>
      </c>
      <c r="R1622">
        <v>0.35</v>
      </c>
      <c r="S1622">
        <v>1.05</v>
      </c>
      <c r="T1622">
        <v>0.23</v>
      </c>
      <c r="U1622" t="s">
        <v>122</v>
      </c>
      <c r="V1622" t="s">
        <v>123</v>
      </c>
      <c r="W1622" t="s">
        <v>75</v>
      </c>
      <c r="X1622">
        <v>4.5999999999999996</v>
      </c>
      <c r="Y1622" t="s">
        <v>2629</v>
      </c>
      <c r="Z1622" t="s">
        <v>496</v>
      </c>
      <c r="AA1622">
        <v>77.31</v>
      </c>
      <c r="AB1622">
        <v>81.180000000000007</v>
      </c>
      <c r="AC1622">
        <v>17.649999999999999</v>
      </c>
    </row>
    <row r="1623" spans="2:29" ht="15" customHeight="1" x14ac:dyDescent="0.15">
      <c r="B1623">
        <v>4</v>
      </c>
      <c r="C1623" t="s">
        <v>386</v>
      </c>
      <c r="D1623" t="s">
        <v>3074</v>
      </c>
      <c r="E1623">
        <v>5</v>
      </c>
      <c r="F1623" t="s">
        <v>219</v>
      </c>
      <c r="G1623" t="s">
        <v>244</v>
      </c>
      <c r="H1623" t="s">
        <v>3026</v>
      </c>
      <c r="I1623">
        <v>27</v>
      </c>
      <c r="J1623" s="21">
        <v>46205</v>
      </c>
      <c r="K1623" s="21">
        <v>46205</v>
      </c>
      <c r="L1623" t="s">
        <v>3079</v>
      </c>
      <c r="M1623" t="s">
        <v>243</v>
      </c>
      <c r="N1623" s="22">
        <v>46205</v>
      </c>
      <c r="O1623" t="s">
        <v>220</v>
      </c>
      <c r="P1623">
        <v>1</v>
      </c>
      <c r="Q1623">
        <v>0.22</v>
      </c>
      <c r="R1623">
        <v>0.2</v>
      </c>
      <c r="S1623">
        <v>0.2</v>
      </c>
      <c r="T1623">
        <v>0.04</v>
      </c>
      <c r="U1623" t="s">
        <v>122</v>
      </c>
      <c r="V1623" t="s">
        <v>123</v>
      </c>
      <c r="W1623" t="s">
        <v>75</v>
      </c>
      <c r="X1623">
        <v>4.5999999999999996</v>
      </c>
      <c r="Y1623" t="s">
        <v>2629</v>
      </c>
      <c r="Z1623">
        <v>175</v>
      </c>
      <c r="AA1623">
        <v>35</v>
      </c>
      <c r="AB1623">
        <v>7</v>
      </c>
      <c r="AC1623">
        <v>0</v>
      </c>
    </row>
    <row r="1624" spans="2:29" ht="15" customHeight="1" x14ac:dyDescent="0.15">
      <c r="B1624">
        <v>4</v>
      </c>
      <c r="C1624" t="s">
        <v>386</v>
      </c>
      <c r="D1624" t="s">
        <v>3080</v>
      </c>
      <c r="E1624">
        <v>1</v>
      </c>
      <c r="F1624" t="s">
        <v>219</v>
      </c>
      <c r="G1624" t="s">
        <v>231</v>
      </c>
      <c r="H1624" t="s">
        <v>231</v>
      </c>
      <c r="I1624">
        <v>27</v>
      </c>
      <c r="J1624" s="21">
        <v>46206</v>
      </c>
      <c r="K1624" s="21">
        <v>46206</v>
      </c>
      <c r="L1624" t="s">
        <v>3081</v>
      </c>
      <c r="M1624" t="s">
        <v>2648</v>
      </c>
      <c r="N1624">
        <v>134</v>
      </c>
      <c r="O1624" t="s">
        <v>220</v>
      </c>
      <c r="P1624">
        <v>3</v>
      </c>
      <c r="Q1624">
        <v>1.5</v>
      </c>
      <c r="R1624">
        <v>0.2</v>
      </c>
      <c r="S1624">
        <v>0.6</v>
      </c>
      <c r="T1624">
        <v>0.3</v>
      </c>
      <c r="U1624" t="s">
        <v>47</v>
      </c>
      <c r="V1624" t="s">
        <v>48</v>
      </c>
      <c r="W1624" t="s">
        <v>21</v>
      </c>
      <c r="X1624">
        <v>2</v>
      </c>
      <c r="Y1624" t="s">
        <v>3069</v>
      </c>
      <c r="Z1624" t="s">
        <v>496</v>
      </c>
      <c r="AA1624">
        <v>16.61</v>
      </c>
      <c r="AB1624">
        <v>9.9700000000000006</v>
      </c>
      <c r="AC1624">
        <v>4.9800000000000004</v>
      </c>
    </row>
    <row r="1625" spans="2:29" ht="15" customHeight="1" x14ac:dyDescent="0.15">
      <c r="B1625">
        <v>4</v>
      </c>
      <c r="C1625" t="s">
        <v>386</v>
      </c>
      <c r="D1625" t="s">
        <v>3080</v>
      </c>
      <c r="E1625">
        <v>2</v>
      </c>
      <c r="F1625" t="s">
        <v>219</v>
      </c>
      <c r="G1625" t="s">
        <v>239</v>
      </c>
      <c r="H1625" t="s">
        <v>3082</v>
      </c>
      <c r="I1625">
        <v>27</v>
      </c>
      <c r="J1625" s="21">
        <v>46206</v>
      </c>
      <c r="K1625" s="21">
        <v>46206</v>
      </c>
      <c r="L1625" t="s">
        <v>3083</v>
      </c>
      <c r="M1625" t="s">
        <v>3084</v>
      </c>
      <c r="N1625">
        <v>134</v>
      </c>
      <c r="O1625" t="s">
        <v>202</v>
      </c>
      <c r="P1625">
        <v>3</v>
      </c>
      <c r="Q1625">
        <v>1.5</v>
      </c>
      <c r="R1625">
        <v>3</v>
      </c>
      <c r="S1625">
        <v>9</v>
      </c>
      <c r="T1625">
        <v>4.5</v>
      </c>
      <c r="U1625" t="s">
        <v>47</v>
      </c>
      <c r="V1625" t="s">
        <v>48</v>
      </c>
      <c r="W1625" t="s">
        <v>21</v>
      </c>
      <c r="X1625">
        <v>2</v>
      </c>
      <c r="Y1625" t="s">
        <v>3069</v>
      </c>
      <c r="Z1625" t="s">
        <v>496</v>
      </c>
      <c r="AB1625">
        <v>0</v>
      </c>
      <c r="AC1625">
        <v>0</v>
      </c>
    </row>
    <row r="1626" spans="2:29" ht="15" customHeight="1" x14ac:dyDescent="0.15">
      <c r="B1626">
        <v>4</v>
      </c>
      <c r="C1626" t="s">
        <v>386</v>
      </c>
      <c r="D1626" t="s">
        <v>3080</v>
      </c>
      <c r="E1626">
        <v>3</v>
      </c>
      <c r="F1626" t="s">
        <v>219</v>
      </c>
      <c r="G1626" t="s">
        <v>239</v>
      </c>
      <c r="H1626" t="s">
        <v>520</v>
      </c>
      <c r="I1626">
        <v>27</v>
      </c>
      <c r="J1626" s="21">
        <v>46206</v>
      </c>
      <c r="K1626" s="21">
        <v>46206</v>
      </c>
      <c r="L1626" t="s">
        <v>3085</v>
      </c>
      <c r="M1626" t="s">
        <v>1340</v>
      </c>
      <c r="N1626">
        <v>134</v>
      </c>
      <c r="O1626" t="s">
        <v>202</v>
      </c>
      <c r="P1626">
        <v>3</v>
      </c>
      <c r="Q1626">
        <v>1.5</v>
      </c>
      <c r="R1626">
        <v>0.5</v>
      </c>
      <c r="S1626">
        <v>1.5</v>
      </c>
      <c r="T1626">
        <v>0.75</v>
      </c>
      <c r="U1626" t="s">
        <v>47</v>
      </c>
      <c r="V1626" t="s">
        <v>48</v>
      </c>
      <c r="W1626" t="s">
        <v>21</v>
      </c>
      <c r="X1626">
        <v>2</v>
      </c>
      <c r="Y1626" t="s">
        <v>3069</v>
      </c>
      <c r="Z1626" t="s">
        <v>496</v>
      </c>
      <c r="AA1626">
        <v>66.92</v>
      </c>
      <c r="AB1626">
        <v>100.38</v>
      </c>
      <c r="AC1626">
        <v>50.19</v>
      </c>
    </row>
    <row r="1627" spans="2:29" ht="15" customHeight="1" x14ac:dyDescent="0.15">
      <c r="B1627">
        <v>4</v>
      </c>
      <c r="C1627" t="s">
        <v>386</v>
      </c>
      <c r="D1627" t="s">
        <v>3080</v>
      </c>
      <c r="E1627">
        <v>4</v>
      </c>
      <c r="F1627" t="s">
        <v>219</v>
      </c>
      <c r="G1627" t="s">
        <v>218</v>
      </c>
      <c r="H1627" t="s">
        <v>686</v>
      </c>
      <c r="I1627">
        <v>27</v>
      </c>
      <c r="J1627" s="21">
        <v>46206</v>
      </c>
      <c r="K1627" s="21">
        <v>46206</v>
      </c>
      <c r="L1627" t="s">
        <v>3086</v>
      </c>
      <c r="M1627" t="s">
        <v>2468</v>
      </c>
      <c r="N1627">
        <v>134</v>
      </c>
      <c r="O1627" t="s">
        <v>220</v>
      </c>
      <c r="P1627">
        <v>3</v>
      </c>
      <c r="Q1627">
        <v>1.5</v>
      </c>
      <c r="R1627">
        <v>0.2</v>
      </c>
      <c r="S1627">
        <v>0.6</v>
      </c>
      <c r="T1627">
        <v>0.3</v>
      </c>
      <c r="U1627" t="s">
        <v>47</v>
      </c>
      <c r="V1627" t="s">
        <v>48</v>
      </c>
      <c r="W1627" t="s">
        <v>21</v>
      </c>
      <c r="X1627">
        <v>2</v>
      </c>
      <c r="Y1627" t="s">
        <v>3069</v>
      </c>
      <c r="Z1627" t="s">
        <v>496</v>
      </c>
      <c r="AA1627">
        <v>80.900000000000006</v>
      </c>
      <c r="AB1627">
        <v>48.54</v>
      </c>
      <c r="AC1627">
        <v>24.27</v>
      </c>
    </row>
    <row r="1628" spans="2:29" ht="15" customHeight="1" x14ac:dyDescent="0.15">
      <c r="B1628">
        <v>4</v>
      </c>
      <c r="C1628" t="s">
        <v>386</v>
      </c>
      <c r="D1628" t="s">
        <v>3087</v>
      </c>
      <c r="E1628">
        <v>1</v>
      </c>
      <c r="F1628" t="s">
        <v>219</v>
      </c>
      <c r="G1628" t="s">
        <v>223</v>
      </c>
      <c r="H1628" t="s">
        <v>987</v>
      </c>
      <c r="I1628">
        <v>27</v>
      </c>
      <c r="J1628" s="21">
        <v>46207</v>
      </c>
      <c r="K1628" s="21">
        <v>46207</v>
      </c>
      <c r="L1628" t="s">
        <v>3088</v>
      </c>
      <c r="M1628" t="s">
        <v>222</v>
      </c>
      <c r="N1628">
        <v>77</v>
      </c>
      <c r="O1628" t="s">
        <v>220</v>
      </c>
      <c r="P1628">
        <v>1</v>
      </c>
      <c r="Q1628">
        <v>0.77</v>
      </c>
      <c r="R1628">
        <v>10</v>
      </c>
      <c r="S1628">
        <v>10</v>
      </c>
      <c r="T1628">
        <v>7.69</v>
      </c>
      <c r="U1628" t="s">
        <v>91</v>
      </c>
      <c r="V1628" t="s">
        <v>92</v>
      </c>
      <c r="W1628" t="s">
        <v>21</v>
      </c>
      <c r="X1628">
        <v>1.3</v>
      </c>
      <c r="Y1628" t="s">
        <v>2455</v>
      </c>
      <c r="Z1628" t="s">
        <v>496</v>
      </c>
      <c r="AA1628">
        <v>13.47</v>
      </c>
      <c r="AB1628">
        <v>134.69999999999999</v>
      </c>
      <c r="AC1628">
        <v>103.62</v>
      </c>
    </row>
    <row r="1629" spans="2:29" ht="15" customHeight="1" x14ac:dyDescent="0.15">
      <c r="B1629">
        <v>4</v>
      </c>
      <c r="C1629" t="s">
        <v>386</v>
      </c>
      <c r="D1629" t="s">
        <v>3087</v>
      </c>
      <c r="E1629">
        <v>2</v>
      </c>
      <c r="F1629" t="s">
        <v>201</v>
      </c>
      <c r="G1629" t="s">
        <v>337</v>
      </c>
      <c r="H1629" t="s">
        <v>475</v>
      </c>
      <c r="I1629">
        <v>27</v>
      </c>
      <c r="J1629" s="21">
        <v>46207</v>
      </c>
      <c r="K1629" s="21">
        <v>46207</v>
      </c>
      <c r="L1629" t="s">
        <v>3089</v>
      </c>
      <c r="M1629" t="s">
        <v>2793</v>
      </c>
      <c r="N1629">
        <v>77</v>
      </c>
      <c r="O1629" t="s">
        <v>202</v>
      </c>
      <c r="P1629">
        <v>1</v>
      </c>
      <c r="Q1629">
        <v>0.77</v>
      </c>
      <c r="R1629">
        <v>25</v>
      </c>
      <c r="S1629">
        <v>25</v>
      </c>
      <c r="T1629">
        <v>19.23</v>
      </c>
      <c r="U1629" t="s">
        <v>91</v>
      </c>
      <c r="V1629" t="s">
        <v>92</v>
      </c>
      <c r="W1629" t="s">
        <v>21</v>
      </c>
      <c r="X1629">
        <v>1.3</v>
      </c>
      <c r="Y1629" t="s">
        <v>2455</v>
      </c>
      <c r="Z1629" t="s">
        <v>496</v>
      </c>
      <c r="AA1629">
        <v>4.88</v>
      </c>
      <c r="AB1629">
        <v>122</v>
      </c>
      <c r="AC1629">
        <v>93.85</v>
      </c>
    </row>
    <row r="1630" spans="2:29" ht="15" customHeight="1" x14ac:dyDescent="0.15">
      <c r="B1630">
        <v>4</v>
      </c>
      <c r="C1630" t="s">
        <v>386</v>
      </c>
      <c r="D1630" t="s">
        <v>3087</v>
      </c>
      <c r="E1630">
        <v>3</v>
      </c>
      <c r="F1630" t="s">
        <v>201</v>
      </c>
      <c r="G1630" t="s">
        <v>337</v>
      </c>
      <c r="H1630" t="s">
        <v>632</v>
      </c>
      <c r="I1630">
        <v>27</v>
      </c>
      <c r="J1630" s="21">
        <v>46207</v>
      </c>
      <c r="K1630" s="21">
        <v>46207</v>
      </c>
      <c r="L1630" t="s">
        <v>3090</v>
      </c>
      <c r="M1630" t="s">
        <v>336</v>
      </c>
      <c r="N1630">
        <v>77</v>
      </c>
      <c r="O1630" t="s">
        <v>202</v>
      </c>
      <c r="P1630">
        <v>1</v>
      </c>
      <c r="Q1630">
        <v>0.77</v>
      </c>
      <c r="R1630">
        <v>25</v>
      </c>
      <c r="S1630">
        <v>25</v>
      </c>
      <c r="T1630">
        <v>19.23</v>
      </c>
      <c r="U1630" t="s">
        <v>91</v>
      </c>
      <c r="V1630" t="s">
        <v>92</v>
      </c>
      <c r="W1630" t="s">
        <v>21</v>
      </c>
      <c r="X1630">
        <v>1.3</v>
      </c>
      <c r="Y1630" t="s">
        <v>2455</v>
      </c>
      <c r="Z1630" t="s">
        <v>496</v>
      </c>
      <c r="AA1630">
        <v>4.8099999999999996</v>
      </c>
      <c r="AB1630">
        <v>120.25</v>
      </c>
      <c r="AC1630">
        <v>92.5</v>
      </c>
    </row>
    <row r="1631" spans="2:29" ht="15" customHeight="1" x14ac:dyDescent="0.15">
      <c r="B1631">
        <v>4</v>
      </c>
      <c r="C1631" t="s">
        <v>386</v>
      </c>
      <c r="D1631" t="s">
        <v>3091</v>
      </c>
      <c r="E1631">
        <v>1</v>
      </c>
      <c r="F1631" t="s">
        <v>219</v>
      </c>
      <c r="G1631" t="s">
        <v>231</v>
      </c>
      <c r="H1631" t="s">
        <v>231</v>
      </c>
      <c r="I1631">
        <v>27</v>
      </c>
      <c r="J1631" s="21">
        <v>46207</v>
      </c>
      <c r="K1631" s="21">
        <v>46207</v>
      </c>
      <c r="L1631" t="s">
        <v>3092</v>
      </c>
      <c r="M1631" t="s">
        <v>2648</v>
      </c>
      <c r="N1631">
        <v>121</v>
      </c>
      <c r="O1631" t="s">
        <v>220</v>
      </c>
      <c r="P1631">
        <v>2</v>
      </c>
      <c r="Q1631">
        <v>1</v>
      </c>
      <c r="R1631">
        <v>0.25</v>
      </c>
      <c r="S1631">
        <v>0.5</v>
      </c>
      <c r="T1631">
        <v>0.25</v>
      </c>
      <c r="U1631" t="s">
        <v>53</v>
      </c>
      <c r="V1631" t="s">
        <v>54</v>
      </c>
      <c r="W1631" t="s">
        <v>21</v>
      </c>
      <c r="X1631">
        <v>2</v>
      </c>
      <c r="Y1631" t="s">
        <v>3069</v>
      </c>
      <c r="Z1631" t="s">
        <v>496</v>
      </c>
      <c r="AA1631">
        <v>16.61</v>
      </c>
      <c r="AB1631">
        <v>8.31</v>
      </c>
      <c r="AC1631">
        <v>4.1500000000000004</v>
      </c>
    </row>
    <row r="1632" spans="2:29" ht="15" customHeight="1" x14ac:dyDescent="0.15">
      <c r="B1632">
        <v>4</v>
      </c>
      <c r="C1632" t="s">
        <v>386</v>
      </c>
      <c r="D1632" t="s">
        <v>3091</v>
      </c>
      <c r="E1632">
        <v>2</v>
      </c>
      <c r="F1632" t="s">
        <v>219</v>
      </c>
      <c r="G1632" t="s">
        <v>239</v>
      </c>
      <c r="H1632" t="s">
        <v>517</v>
      </c>
      <c r="I1632">
        <v>27</v>
      </c>
      <c r="J1632" s="21">
        <v>46207</v>
      </c>
      <c r="K1632" s="21">
        <v>46207</v>
      </c>
      <c r="L1632" t="s">
        <v>3093</v>
      </c>
      <c r="M1632" t="s">
        <v>614</v>
      </c>
      <c r="N1632">
        <v>121</v>
      </c>
      <c r="O1632" t="s">
        <v>202</v>
      </c>
      <c r="P1632">
        <v>2</v>
      </c>
      <c r="Q1632">
        <v>1</v>
      </c>
      <c r="R1632">
        <v>0.75</v>
      </c>
      <c r="S1632">
        <v>1.5</v>
      </c>
      <c r="T1632">
        <v>0.75</v>
      </c>
      <c r="U1632" t="s">
        <v>53</v>
      </c>
      <c r="V1632" t="s">
        <v>54</v>
      </c>
      <c r="W1632" t="s">
        <v>21</v>
      </c>
      <c r="X1632">
        <v>2</v>
      </c>
      <c r="Y1632" t="s">
        <v>3069</v>
      </c>
      <c r="Z1632" t="s">
        <v>496</v>
      </c>
      <c r="AA1632">
        <v>65</v>
      </c>
      <c r="AB1632">
        <v>97.5</v>
      </c>
      <c r="AC1632">
        <v>48.75</v>
      </c>
    </row>
    <row r="1633" spans="2:29" ht="15" customHeight="1" x14ac:dyDescent="0.15">
      <c r="B1633">
        <v>4</v>
      </c>
      <c r="C1633" t="s">
        <v>386</v>
      </c>
      <c r="D1633" t="s">
        <v>3091</v>
      </c>
      <c r="E1633">
        <v>3</v>
      </c>
      <c r="F1633" t="s">
        <v>219</v>
      </c>
      <c r="G1633" t="s">
        <v>239</v>
      </c>
      <c r="H1633" t="s">
        <v>3082</v>
      </c>
      <c r="I1633">
        <v>27</v>
      </c>
      <c r="J1633" s="21">
        <v>46207</v>
      </c>
      <c r="K1633" s="21">
        <v>46207</v>
      </c>
      <c r="L1633" t="s">
        <v>3094</v>
      </c>
      <c r="M1633" t="s">
        <v>3084</v>
      </c>
      <c r="N1633">
        <v>121</v>
      </c>
      <c r="O1633" t="s">
        <v>202</v>
      </c>
      <c r="P1633">
        <v>2</v>
      </c>
      <c r="Q1633">
        <v>1</v>
      </c>
      <c r="R1633">
        <v>4.5</v>
      </c>
      <c r="S1633">
        <v>9</v>
      </c>
      <c r="T1633">
        <v>4.5</v>
      </c>
      <c r="U1633" t="s">
        <v>53</v>
      </c>
      <c r="V1633" t="s">
        <v>54</v>
      </c>
      <c r="W1633" t="s">
        <v>21</v>
      </c>
      <c r="X1633">
        <v>2</v>
      </c>
      <c r="Y1633" t="s">
        <v>3069</v>
      </c>
      <c r="Z1633" t="s">
        <v>496</v>
      </c>
      <c r="AB1633">
        <v>0</v>
      </c>
      <c r="AC1633">
        <v>0</v>
      </c>
    </row>
    <row r="1634" spans="2:29" ht="15" customHeight="1" x14ac:dyDescent="0.15">
      <c r="B1634">
        <v>4</v>
      </c>
      <c r="C1634" t="s">
        <v>386</v>
      </c>
      <c r="D1634" t="s">
        <v>3091</v>
      </c>
      <c r="E1634">
        <v>4</v>
      </c>
      <c r="F1634" t="s">
        <v>219</v>
      </c>
      <c r="G1634" t="s">
        <v>218</v>
      </c>
      <c r="H1634" t="s">
        <v>686</v>
      </c>
      <c r="I1634">
        <v>27</v>
      </c>
      <c r="J1634" s="21">
        <v>46207</v>
      </c>
      <c r="K1634" s="21">
        <v>46207</v>
      </c>
      <c r="L1634" t="s">
        <v>3095</v>
      </c>
      <c r="M1634" t="s">
        <v>2468</v>
      </c>
      <c r="N1634">
        <v>121</v>
      </c>
      <c r="O1634" t="s">
        <v>220</v>
      </c>
      <c r="P1634">
        <v>2</v>
      </c>
      <c r="Q1634">
        <v>1</v>
      </c>
      <c r="R1634">
        <v>0.3</v>
      </c>
      <c r="S1634">
        <v>0.6</v>
      </c>
      <c r="T1634">
        <v>0.3</v>
      </c>
      <c r="U1634" t="s">
        <v>53</v>
      </c>
      <c r="V1634" t="s">
        <v>54</v>
      </c>
      <c r="W1634" t="s">
        <v>21</v>
      </c>
      <c r="X1634">
        <v>2</v>
      </c>
      <c r="Y1634" t="s">
        <v>3069</v>
      </c>
      <c r="Z1634" t="s">
        <v>496</v>
      </c>
      <c r="AA1634">
        <v>80.900000000000006</v>
      </c>
      <c r="AB1634">
        <v>48.54</v>
      </c>
      <c r="AC1634">
        <v>24.27</v>
      </c>
    </row>
    <row r="1635" spans="2:29" ht="15" customHeight="1" x14ac:dyDescent="0.15">
      <c r="B1635">
        <v>4</v>
      </c>
      <c r="C1635" t="s">
        <v>386</v>
      </c>
      <c r="D1635" t="s">
        <v>3096</v>
      </c>
      <c r="E1635">
        <v>1</v>
      </c>
      <c r="F1635" t="s">
        <v>219</v>
      </c>
      <c r="G1635" t="s">
        <v>231</v>
      </c>
      <c r="H1635" t="s">
        <v>231</v>
      </c>
      <c r="I1635">
        <v>27</v>
      </c>
      <c r="J1635" s="21">
        <v>46207</v>
      </c>
      <c r="K1635" s="21">
        <v>46207</v>
      </c>
      <c r="L1635" t="s">
        <v>3097</v>
      </c>
      <c r="M1635" t="s">
        <v>2648</v>
      </c>
      <c r="N1635">
        <v>99</v>
      </c>
      <c r="O1635" t="s">
        <v>220</v>
      </c>
      <c r="P1635">
        <v>2</v>
      </c>
      <c r="Q1635">
        <v>1.25</v>
      </c>
      <c r="R1635">
        <v>0.15</v>
      </c>
      <c r="S1635">
        <v>0.3</v>
      </c>
      <c r="T1635">
        <v>0.19</v>
      </c>
      <c r="U1635" t="s">
        <v>60</v>
      </c>
      <c r="V1635" t="s">
        <v>61</v>
      </c>
      <c r="W1635" t="s">
        <v>21</v>
      </c>
      <c r="X1635">
        <v>1.6</v>
      </c>
      <c r="Y1635" t="s">
        <v>3069</v>
      </c>
      <c r="Z1635" t="s">
        <v>496</v>
      </c>
      <c r="AA1635">
        <v>16.61</v>
      </c>
      <c r="AB1635">
        <v>4.9800000000000004</v>
      </c>
      <c r="AC1635">
        <v>3.11</v>
      </c>
    </row>
    <row r="1636" spans="2:29" ht="15" customHeight="1" x14ac:dyDescent="0.15">
      <c r="B1636">
        <v>4</v>
      </c>
      <c r="C1636" t="s">
        <v>386</v>
      </c>
      <c r="D1636" t="s">
        <v>3096</v>
      </c>
      <c r="E1636">
        <v>2</v>
      </c>
      <c r="F1636" t="s">
        <v>219</v>
      </c>
      <c r="G1636" t="s">
        <v>239</v>
      </c>
      <c r="H1636" t="s">
        <v>517</v>
      </c>
      <c r="I1636">
        <v>27</v>
      </c>
      <c r="J1636" s="21">
        <v>46207</v>
      </c>
      <c r="K1636" s="21">
        <v>46207</v>
      </c>
      <c r="L1636" t="s">
        <v>3098</v>
      </c>
      <c r="M1636" t="s">
        <v>614</v>
      </c>
      <c r="N1636">
        <v>99</v>
      </c>
      <c r="O1636" t="s">
        <v>202</v>
      </c>
      <c r="P1636">
        <v>2</v>
      </c>
      <c r="Q1636">
        <v>1.25</v>
      </c>
      <c r="R1636">
        <v>1</v>
      </c>
      <c r="S1636">
        <v>2</v>
      </c>
      <c r="T1636">
        <v>1.25</v>
      </c>
      <c r="U1636" t="s">
        <v>60</v>
      </c>
      <c r="V1636" t="s">
        <v>61</v>
      </c>
      <c r="W1636" t="s">
        <v>21</v>
      </c>
      <c r="X1636">
        <v>1.6</v>
      </c>
      <c r="Y1636" t="s">
        <v>3069</v>
      </c>
      <c r="Z1636" t="s">
        <v>496</v>
      </c>
      <c r="AA1636">
        <v>65</v>
      </c>
      <c r="AB1636">
        <v>130</v>
      </c>
      <c r="AC1636">
        <v>81.25</v>
      </c>
    </row>
    <row r="1637" spans="2:29" ht="15" customHeight="1" x14ac:dyDescent="0.15">
      <c r="B1637">
        <v>4</v>
      </c>
      <c r="C1637" t="s">
        <v>386</v>
      </c>
      <c r="D1637" t="s">
        <v>3096</v>
      </c>
      <c r="E1637">
        <v>3</v>
      </c>
      <c r="F1637" t="s">
        <v>219</v>
      </c>
      <c r="G1637" t="s">
        <v>239</v>
      </c>
      <c r="H1637" t="s">
        <v>520</v>
      </c>
      <c r="I1637">
        <v>27</v>
      </c>
      <c r="J1637" s="21">
        <v>46207</v>
      </c>
      <c r="K1637" s="21">
        <v>46207</v>
      </c>
      <c r="L1637" t="s">
        <v>3099</v>
      </c>
      <c r="M1637" t="s">
        <v>1340</v>
      </c>
      <c r="N1637">
        <v>99</v>
      </c>
      <c r="O1637" t="s">
        <v>202</v>
      </c>
      <c r="P1637">
        <v>2</v>
      </c>
      <c r="Q1637">
        <v>1.25</v>
      </c>
      <c r="R1637">
        <v>1</v>
      </c>
      <c r="S1637">
        <v>2</v>
      </c>
      <c r="T1637">
        <v>1.25</v>
      </c>
      <c r="U1637" t="s">
        <v>60</v>
      </c>
      <c r="V1637" t="s">
        <v>61</v>
      </c>
      <c r="W1637" t="s">
        <v>21</v>
      </c>
      <c r="X1637">
        <v>1.6</v>
      </c>
      <c r="Y1637" t="s">
        <v>3069</v>
      </c>
      <c r="Z1637" t="s">
        <v>496</v>
      </c>
      <c r="AA1637">
        <v>66.92</v>
      </c>
      <c r="AB1637">
        <v>133.84</v>
      </c>
      <c r="AC1637">
        <v>83.65</v>
      </c>
    </row>
    <row r="1638" spans="2:29" ht="15" customHeight="1" x14ac:dyDescent="0.15">
      <c r="B1638">
        <v>4</v>
      </c>
      <c r="C1638" t="s">
        <v>386</v>
      </c>
      <c r="D1638" t="s">
        <v>3096</v>
      </c>
      <c r="E1638">
        <v>4</v>
      </c>
      <c r="F1638" t="s">
        <v>219</v>
      </c>
      <c r="G1638" t="s">
        <v>239</v>
      </c>
      <c r="H1638" t="s">
        <v>1066</v>
      </c>
      <c r="I1638">
        <v>27</v>
      </c>
      <c r="J1638" s="21">
        <v>46207</v>
      </c>
      <c r="K1638" s="21">
        <v>46207</v>
      </c>
      <c r="L1638" t="s">
        <v>3100</v>
      </c>
      <c r="M1638" t="s">
        <v>1068</v>
      </c>
      <c r="N1638">
        <v>99</v>
      </c>
      <c r="O1638" t="s">
        <v>220</v>
      </c>
      <c r="P1638">
        <v>2</v>
      </c>
      <c r="Q1638">
        <v>1.25</v>
      </c>
      <c r="R1638">
        <v>0.5</v>
      </c>
      <c r="S1638">
        <v>1</v>
      </c>
      <c r="T1638">
        <v>0.63</v>
      </c>
      <c r="U1638" t="s">
        <v>60</v>
      </c>
      <c r="V1638" t="s">
        <v>61</v>
      </c>
      <c r="W1638" t="s">
        <v>21</v>
      </c>
      <c r="X1638">
        <v>1.6</v>
      </c>
      <c r="Y1638" t="s">
        <v>3069</v>
      </c>
      <c r="Z1638" t="s">
        <v>496</v>
      </c>
      <c r="AA1638">
        <v>138.68</v>
      </c>
      <c r="AB1638">
        <v>138.68</v>
      </c>
      <c r="AC1638">
        <v>86.68</v>
      </c>
    </row>
    <row r="1639" spans="2:29" ht="15" customHeight="1" x14ac:dyDescent="0.15">
      <c r="B1639">
        <v>4</v>
      </c>
      <c r="C1639" t="s">
        <v>386</v>
      </c>
      <c r="D1639" t="s">
        <v>3096</v>
      </c>
      <c r="E1639">
        <v>5</v>
      </c>
      <c r="F1639" t="s">
        <v>219</v>
      </c>
      <c r="G1639" t="s">
        <v>218</v>
      </c>
      <c r="H1639" t="s">
        <v>686</v>
      </c>
      <c r="I1639">
        <v>27</v>
      </c>
      <c r="J1639" s="21">
        <v>46207</v>
      </c>
      <c r="K1639" s="21">
        <v>46207</v>
      </c>
      <c r="L1639" t="s">
        <v>3101</v>
      </c>
      <c r="M1639" t="s">
        <v>2468</v>
      </c>
      <c r="N1639">
        <v>99</v>
      </c>
      <c r="O1639" t="s">
        <v>220</v>
      </c>
      <c r="P1639">
        <v>2</v>
      </c>
      <c r="Q1639">
        <v>1.25</v>
      </c>
      <c r="R1639">
        <v>0.2</v>
      </c>
      <c r="S1639">
        <v>0.4</v>
      </c>
      <c r="T1639">
        <v>0.25</v>
      </c>
      <c r="U1639" t="s">
        <v>60</v>
      </c>
      <c r="V1639" t="s">
        <v>61</v>
      </c>
      <c r="W1639" t="s">
        <v>21</v>
      </c>
      <c r="X1639">
        <v>1.6</v>
      </c>
      <c r="Y1639" t="s">
        <v>3069</v>
      </c>
      <c r="Z1639" t="s">
        <v>496</v>
      </c>
      <c r="AA1639">
        <v>80.900000000000006</v>
      </c>
      <c r="AB1639">
        <v>32.36</v>
      </c>
      <c r="AC1639">
        <v>20.23</v>
      </c>
    </row>
    <row r="1640" spans="2:29" ht="15" customHeight="1" x14ac:dyDescent="0.15">
      <c r="B1640">
        <v>4</v>
      </c>
      <c r="C1640" t="s">
        <v>386</v>
      </c>
      <c r="D1640" t="s">
        <v>3102</v>
      </c>
      <c r="E1640">
        <v>1</v>
      </c>
      <c r="F1640" t="s">
        <v>219</v>
      </c>
      <c r="G1640" t="s">
        <v>231</v>
      </c>
      <c r="H1640" t="s">
        <v>231</v>
      </c>
      <c r="I1640">
        <v>28</v>
      </c>
      <c r="J1640" s="21">
        <v>46212</v>
      </c>
      <c r="K1640" s="21">
        <v>46212</v>
      </c>
      <c r="L1640" t="s">
        <v>3103</v>
      </c>
      <c r="M1640" t="s">
        <v>2648</v>
      </c>
      <c r="N1640">
        <v>56</v>
      </c>
      <c r="O1640" t="s">
        <v>220</v>
      </c>
      <c r="P1640">
        <v>2</v>
      </c>
      <c r="Q1640">
        <v>0.44</v>
      </c>
      <c r="R1640">
        <v>0.2</v>
      </c>
      <c r="S1640">
        <v>0.4</v>
      </c>
      <c r="T1640">
        <v>0.09</v>
      </c>
      <c r="U1640" t="s">
        <v>107</v>
      </c>
      <c r="V1640" t="s">
        <v>108</v>
      </c>
      <c r="W1640" t="s">
        <v>21</v>
      </c>
      <c r="X1640">
        <v>4.5</v>
      </c>
      <c r="Y1640" t="s">
        <v>2629</v>
      </c>
      <c r="Z1640" t="s">
        <v>496</v>
      </c>
      <c r="AA1640">
        <v>16.61</v>
      </c>
      <c r="AB1640">
        <v>6.64</v>
      </c>
      <c r="AC1640">
        <v>1.48</v>
      </c>
    </row>
    <row r="1641" spans="2:29" ht="15" customHeight="1" x14ac:dyDescent="0.15">
      <c r="B1641">
        <v>4</v>
      </c>
      <c r="C1641" t="s">
        <v>386</v>
      </c>
      <c r="D1641" t="s">
        <v>3102</v>
      </c>
      <c r="E1641">
        <v>2</v>
      </c>
      <c r="F1641" t="s">
        <v>219</v>
      </c>
      <c r="G1641" t="s">
        <v>439</v>
      </c>
      <c r="H1641" t="s">
        <v>1946</v>
      </c>
      <c r="I1641">
        <v>28</v>
      </c>
      <c r="J1641" s="21">
        <v>46212</v>
      </c>
      <c r="K1641" s="21">
        <v>46212</v>
      </c>
      <c r="L1641" t="s">
        <v>3104</v>
      </c>
      <c r="M1641" t="s">
        <v>1948</v>
      </c>
      <c r="N1641">
        <v>56</v>
      </c>
      <c r="O1641" t="s">
        <v>220</v>
      </c>
      <c r="P1641">
        <v>2</v>
      </c>
      <c r="Q1641">
        <v>0.44</v>
      </c>
      <c r="R1641">
        <v>1</v>
      </c>
      <c r="S1641">
        <v>2</v>
      </c>
      <c r="T1641">
        <v>0.44</v>
      </c>
      <c r="U1641" t="s">
        <v>107</v>
      </c>
      <c r="V1641" t="s">
        <v>108</v>
      </c>
      <c r="W1641" t="s">
        <v>21</v>
      </c>
      <c r="X1641">
        <v>4.5</v>
      </c>
      <c r="Y1641" t="s">
        <v>2629</v>
      </c>
      <c r="Z1641" t="s">
        <v>496</v>
      </c>
      <c r="AA1641">
        <v>190.68</v>
      </c>
      <c r="AB1641">
        <v>381.36</v>
      </c>
      <c r="AC1641">
        <v>84.75</v>
      </c>
    </row>
    <row r="1642" spans="2:29" ht="15" customHeight="1" x14ac:dyDescent="0.15">
      <c r="B1642" s="8">
        <v>4</v>
      </c>
      <c r="C1642" s="8" t="s">
        <v>386</v>
      </c>
      <c r="D1642" s="8" t="s">
        <v>3105</v>
      </c>
      <c r="E1642" s="8">
        <v>1</v>
      </c>
      <c r="F1642" s="8" t="s">
        <v>201</v>
      </c>
      <c r="G1642" s="8" t="s">
        <v>200</v>
      </c>
      <c r="H1642" s="8"/>
      <c r="I1642" s="8">
        <v>28</v>
      </c>
      <c r="J1642" s="23">
        <v>46214</v>
      </c>
      <c r="K1642" s="23">
        <v>46200</v>
      </c>
      <c r="L1642" s="8" t="s">
        <v>3106</v>
      </c>
      <c r="M1642" s="8" t="s">
        <v>3107</v>
      </c>
      <c r="N1642" s="24">
        <v>46200</v>
      </c>
      <c r="O1642" s="8" t="s">
        <v>202</v>
      </c>
      <c r="P1642" s="8">
        <v>5</v>
      </c>
      <c r="Q1642" s="8">
        <v>1</v>
      </c>
      <c r="R1642" s="8">
        <v>282.60000000000002</v>
      </c>
      <c r="S1642" s="8">
        <v>1299.96</v>
      </c>
      <c r="T1642" s="8">
        <v>282.60000000000002</v>
      </c>
      <c r="U1642" s="8" t="s">
        <v>122</v>
      </c>
      <c r="V1642" s="8" t="s">
        <v>123</v>
      </c>
      <c r="W1642" s="8" t="s">
        <v>75</v>
      </c>
      <c r="X1642" s="8">
        <v>4.5999999999999996</v>
      </c>
      <c r="Y1642" s="8" t="s">
        <v>3108</v>
      </c>
      <c r="Z1642" s="8" t="s">
        <v>496</v>
      </c>
      <c r="AA1642" s="8">
        <v>3.9</v>
      </c>
      <c r="AB1642" s="24">
        <v>5069.84</v>
      </c>
      <c r="AC1642" s="24">
        <v>1102.1400000000001</v>
      </c>
    </row>
    <row r="1643" spans="2:29" ht="15" customHeight="1" x14ac:dyDescent="0.15">
      <c r="B1643" s="8">
        <v>4</v>
      </c>
      <c r="C1643" s="8" t="s">
        <v>386</v>
      </c>
      <c r="D1643" s="8" t="s">
        <v>3109</v>
      </c>
      <c r="E1643" s="8">
        <v>1</v>
      </c>
      <c r="F1643" s="8" t="s">
        <v>201</v>
      </c>
      <c r="G1643" s="8" t="s">
        <v>337</v>
      </c>
      <c r="H1643" s="8" t="s">
        <v>632</v>
      </c>
      <c r="I1643" s="8">
        <v>28</v>
      </c>
      <c r="J1643" s="23">
        <v>46214</v>
      </c>
      <c r="K1643" s="23">
        <v>46171</v>
      </c>
      <c r="L1643" s="8" t="s">
        <v>3110</v>
      </c>
      <c r="M1643" s="8" t="s">
        <v>336</v>
      </c>
      <c r="N1643" s="24">
        <v>46171</v>
      </c>
      <c r="O1643" s="8" t="s">
        <v>202</v>
      </c>
      <c r="P1643" s="8">
        <v>1</v>
      </c>
      <c r="Q1643" s="8">
        <v>1</v>
      </c>
      <c r="R1643" s="8">
        <v>25</v>
      </c>
      <c r="S1643" s="8">
        <v>25</v>
      </c>
      <c r="T1643" s="8">
        <v>25</v>
      </c>
      <c r="U1643" s="8" t="s">
        <v>139</v>
      </c>
      <c r="V1643" s="8" t="s">
        <v>140</v>
      </c>
      <c r="W1643" s="8" t="s">
        <v>75</v>
      </c>
      <c r="X1643" s="8">
        <v>1</v>
      </c>
      <c r="Y1643" s="8" t="s">
        <v>2455</v>
      </c>
      <c r="Z1643" s="8" t="s">
        <v>496</v>
      </c>
      <c r="AA1643" s="8">
        <v>4.8099999999999996</v>
      </c>
      <c r="AB1643" s="8">
        <v>120.25</v>
      </c>
      <c r="AC1643" s="8">
        <v>120.25</v>
      </c>
    </row>
    <row r="1644" spans="2:29" ht="15" customHeight="1" x14ac:dyDescent="0.15">
      <c r="B1644" s="8">
        <v>4</v>
      </c>
      <c r="C1644" s="8" t="s">
        <v>386</v>
      </c>
      <c r="D1644" s="8" t="s">
        <v>3109</v>
      </c>
      <c r="E1644" s="8">
        <v>2</v>
      </c>
      <c r="F1644" s="8" t="s">
        <v>201</v>
      </c>
      <c r="G1644" s="8" t="s">
        <v>337</v>
      </c>
      <c r="H1644" s="8" t="s">
        <v>475</v>
      </c>
      <c r="I1644" s="8">
        <v>28</v>
      </c>
      <c r="J1644" s="23">
        <v>46214</v>
      </c>
      <c r="K1644" s="23">
        <v>46171</v>
      </c>
      <c r="L1644" s="8" t="s">
        <v>3111</v>
      </c>
      <c r="M1644" s="8" t="s">
        <v>2793</v>
      </c>
      <c r="N1644" s="24">
        <v>46171</v>
      </c>
      <c r="O1644" s="8" t="s">
        <v>202</v>
      </c>
      <c r="P1644" s="8">
        <v>1</v>
      </c>
      <c r="Q1644" s="8">
        <v>1</v>
      </c>
      <c r="R1644" s="8">
        <v>25</v>
      </c>
      <c r="S1644" s="8">
        <v>25</v>
      </c>
      <c r="T1644" s="8">
        <v>25</v>
      </c>
      <c r="U1644" s="8" t="s">
        <v>139</v>
      </c>
      <c r="V1644" s="8" t="s">
        <v>140</v>
      </c>
      <c r="W1644" s="8" t="s">
        <v>75</v>
      </c>
      <c r="X1644" s="8">
        <v>1</v>
      </c>
      <c r="Y1644" s="8" t="s">
        <v>2455</v>
      </c>
      <c r="Z1644" s="8" t="s">
        <v>496</v>
      </c>
      <c r="AA1644" s="8">
        <v>4.88</v>
      </c>
      <c r="AB1644" s="8">
        <v>122</v>
      </c>
      <c r="AC1644" s="8">
        <v>122</v>
      </c>
    </row>
    <row r="1645" spans="2:29" ht="15" customHeight="1" x14ac:dyDescent="0.15">
      <c r="B1645" s="8">
        <v>4</v>
      </c>
      <c r="C1645" s="8" t="s">
        <v>386</v>
      </c>
      <c r="D1645" s="8" t="s">
        <v>3112</v>
      </c>
      <c r="E1645" s="8">
        <v>1</v>
      </c>
      <c r="F1645" s="8" t="s">
        <v>219</v>
      </c>
      <c r="G1645" s="8" t="s">
        <v>231</v>
      </c>
      <c r="H1645" s="8" t="s">
        <v>231</v>
      </c>
      <c r="I1645" s="8">
        <v>28</v>
      </c>
      <c r="J1645" s="23">
        <v>46214</v>
      </c>
      <c r="K1645" s="23">
        <v>46214</v>
      </c>
      <c r="L1645" s="8" t="s">
        <v>3113</v>
      </c>
      <c r="M1645" s="8" t="s">
        <v>2648</v>
      </c>
      <c r="N1645" s="24">
        <v>46214</v>
      </c>
      <c r="O1645" s="8" t="s">
        <v>220</v>
      </c>
      <c r="P1645" s="8">
        <v>1</v>
      </c>
      <c r="Q1645" s="8">
        <v>1</v>
      </c>
      <c r="R1645" s="8">
        <v>0.15</v>
      </c>
      <c r="S1645" s="8">
        <v>0.15</v>
      </c>
      <c r="T1645" s="8">
        <v>0.15</v>
      </c>
      <c r="U1645" s="8" t="s">
        <v>139</v>
      </c>
      <c r="V1645" s="8" t="s">
        <v>140</v>
      </c>
      <c r="W1645" s="8" t="s">
        <v>75</v>
      </c>
      <c r="X1645" s="8">
        <v>1</v>
      </c>
      <c r="Y1645" s="8" t="s">
        <v>2629</v>
      </c>
      <c r="Z1645" s="8" t="s">
        <v>496</v>
      </c>
      <c r="AA1645" s="8">
        <v>16.61</v>
      </c>
      <c r="AB1645" s="8">
        <v>2.4900000000000002</v>
      </c>
      <c r="AC1645" s="8">
        <v>2.4900000000000002</v>
      </c>
    </row>
    <row r="1646" spans="2:29" ht="15" customHeight="1" x14ac:dyDescent="0.15">
      <c r="B1646" s="8">
        <v>4</v>
      </c>
      <c r="C1646" s="8" t="s">
        <v>386</v>
      </c>
      <c r="D1646" s="8" t="s">
        <v>3112</v>
      </c>
      <c r="E1646" s="8">
        <v>2</v>
      </c>
      <c r="F1646" s="8" t="s">
        <v>219</v>
      </c>
      <c r="G1646" s="8" t="s">
        <v>218</v>
      </c>
      <c r="H1646" s="8" t="s">
        <v>397</v>
      </c>
      <c r="I1646" s="8">
        <v>28</v>
      </c>
      <c r="J1646" s="23">
        <v>46214</v>
      </c>
      <c r="K1646" s="23">
        <v>46214</v>
      </c>
      <c r="L1646" s="8" t="s">
        <v>3114</v>
      </c>
      <c r="M1646" s="8" t="s">
        <v>3115</v>
      </c>
      <c r="N1646" s="24">
        <v>46214</v>
      </c>
      <c r="O1646" s="8" t="s">
        <v>220</v>
      </c>
      <c r="P1646" s="8">
        <v>1</v>
      </c>
      <c r="Q1646" s="8">
        <v>1</v>
      </c>
      <c r="R1646" s="8">
        <v>0.2</v>
      </c>
      <c r="S1646" s="8">
        <v>0.2</v>
      </c>
      <c r="T1646" s="8">
        <v>0.2</v>
      </c>
      <c r="U1646" s="8" t="s">
        <v>139</v>
      </c>
      <c r="V1646" s="8" t="s">
        <v>140</v>
      </c>
      <c r="W1646" s="8" t="s">
        <v>75</v>
      </c>
      <c r="X1646" s="8">
        <v>1</v>
      </c>
      <c r="Y1646" s="8" t="s">
        <v>2629</v>
      </c>
      <c r="Z1646" s="8" t="s">
        <v>496</v>
      </c>
      <c r="AA1646" s="8">
        <v>686.05</v>
      </c>
      <c r="AB1646" s="8">
        <v>137.21</v>
      </c>
      <c r="AC1646" s="8">
        <v>137.21</v>
      </c>
    </row>
    <row r="1647" spans="2:29" ht="15" customHeight="1" x14ac:dyDescent="0.15">
      <c r="B1647" s="8">
        <v>4</v>
      </c>
      <c r="C1647" s="8" t="s">
        <v>386</v>
      </c>
      <c r="D1647" s="8" t="s">
        <v>3112</v>
      </c>
      <c r="E1647" s="8">
        <v>3</v>
      </c>
      <c r="F1647" s="8" t="s">
        <v>219</v>
      </c>
      <c r="G1647" s="8" t="s">
        <v>244</v>
      </c>
      <c r="H1647" s="8" t="s">
        <v>511</v>
      </c>
      <c r="I1647" s="8">
        <v>28</v>
      </c>
      <c r="J1647" s="23">
        <v>46214</v>
      </c>
      <c r="K1647" s="23">
        <v>46214</v>
      </c>
      <c r="L1647" s="8" t="s">
        <v>3116</v>
      </c>
      <c r="M1647" s="8" t="s">
        <v>1243</v>
      </c>
      <c r="N1647" s="24">
        <v>46214</v>
      </c>
      <c r="O1647" s="8" t="s">
        <v>202</v>
      </c>
      <c r="P1647" s="8">
        <v>1</v>
      </c>
      <c r="Q1647" s="8">
        <v>1</v>
      </c>
      <c r="R1647" s="8">
        <v>0.2</v>
      </c>
      <c r="S1647" s="8">
        <v>0.2</v>
      </c>
      <c r="T1647" s="8">
        <v>0.2</v>
      </c>
      <c r="U1647" s="8" t="s">
        <v>139</v>
      </c>
      <c r="V1647" s="8" t="s">
        <v>140</v>
      </c>
      <c r="W1647" s="8" t="s">
        <v>75</v>
      </c>
      <c r="X1647" s="8">
        <v>1</v>
      </c>
      <c r="Y1647" s="8" t="s">
        <v>2629</v>
      </c>
      <c r="Z1647" s="8" t="s">
        <v>496</v>
      </c>
      <c r="AA1647" s="8">
        <v>269</v>
      </c>
      <c r="AB1647" s="8">
        <v>53.8</v>
      </c>
      <c r="AC1647" s="8">
        <v>53.8</v>
      </c>
    </row>
    <row r="1648" spans="2:29" ht="15" customHeight="1" x14ac:dyDescent="0.15">
      <c r="B1648" s="8">
        <v>4</v>
      </c>
      <c r="C1648" s="8" t="s">
        <v>386</v>
      </c>
      <c r="D1648" s="8" t="s">
        <v>3112</v>
      </c>
      <c r="E1648" s="8">
        <v>4</v>
      </c>
      <c r="F1648" s="8" t="s">
        <v>219</v>
      </c>
      <c r="G1648" s="8" t="s">
        <v>239</v>
      </c>
      <c r="H1648" s="8" t="s">
        <v>520</v>
      </c>
      <c r="I1648" s="8">
        <v>28</v>
      </c>
      <c r="J1648" s="23">
        <v>46214</v>
      </c>
      <c r="K1648" s="23">
        <v>46214</v>
      </c>
      <c r="L1648" s="8" t="s">
        <v>3117</v>
      </c>
      <c r="M1648" s="8" t="s">
        <v>1340</v>
      </c>
      <c r="N1648" s="24">
        <v>46214</v>
      </c>
      <c r="O1648" s="8" t="s">
        <v>202</v>
      </c>
      <c r="P1648" s="8">
        <v>1</v>
      </c>
      <c r="Q1648" s="8">
        <v>1</v>
      </c>
      <c r="R1648" s="8">
        <v>0.5</v>
      </c>
      <c r="S1648" s="8">
        <v>0.5</v>
      </c>
      <c r="T1648" s="8">
        <v>0.5</v>
      </c>
      <c r="U1648" s="8" t="s">
        <v>139</v>
      </c>
      <c r="V1648" s="8" t="s">
        <v>140</v>
      </c>
      <c r="W1648" s="8" t="s">
        <v>75</v>
      </c>
      <c r="X1648" s="8">
        <v>1</v>
      </c>
      <c r="Y1648" s="8" t="s">
        <v>2629</v>
      </c>
      <c r="Z1648" s="8" t="s">
        <v>496</v>
      </c>
      <c r="AA1648" s="8">
        <v>66.92</v>
      </c>
      <c r="AB1648" s="8">
        <v>33.46</v>
      </c>
      <c r="AC1648" s="8">
        <v>33.46</v>
      </c>
    </row>
    <row r="1649" spans="2:29" ht="15" customHeight="1" x14ac:dyDescent="0.15">
      <c r="B1649" s="8">
        <v>4</v>
      </c>
      <c r="C1649" s="8" t="s">
        <v>386</v>
      </c>
      <c r="D1649" s="8" t="s">
        <v>3112</v>
      </c>
      <c r="E1649" s="8">
        <v>5</v>
      </c>
      <c r="F1649" s="8" t="s">
        <v>219</v>
      </c>
      <c r="G1649" s="8" t="s">
        <v>218</v>
      </c>
      <c r="H1649" s="8" t="s">
        <v>686</v>
      </c>
      <c r="I1649" s="8">
        <v>28</v>
      </c>
      <c r="J1649" s="23">
        <v>46214</v>
      </c>
      <c r="K1649" s="23">
        <v>46214</v>
      </c>
      <c r="L1649" s="8" t="s">
        <v>3118</v>
      </c>
      <c r="M1649" s="8" t="s">
        <v>2468</v>
      </c>
      <c r="N1649" s="24">
        <v>46214</v>
      </c>
      <c r="O1649" s="8" t="s">
        <v>220</v>
      </c>
      <c r="P1649" s="8">
        <v>1</v>
      </c>
      <c r="Q1649" s="8">
        <v>1</v>
      </c>
      <c r="R1649" s="8">
        <v>0.2</v>
      </c>
      <c r="S1649" s="8">
        <v>0.2</v>
      </c>
      <c r="T1649" s="8">
        <v>0.2</v>
      </c>
      <c r="U1649" s="8" t="s">
        <v>139</v>
      </c>
      <c r="V1649" s="8" t="s">
        <v>140</v>
      </c>
      <c r="W1649" s="8" t="s">
        <v>75</v>
      </c>
      <c r="X1649" s="8">
        <v>1</v>
      </c>
      <c r="Y1649" s="8" t="s">
        <v>2629</v>
      </c>
      <c r="Z1649" s="8" t="s">
        <v>496</v>
      </c>
      <c r="AA1649" s="8">
        <v>80.900000000000006</v>
      </c>
      <c r="AB1649" s="8">
        <v>16.18</v>
      </c>
      <c r="AC1649" s="8">
        <v>16.18</v>
      </c>
    </row>
    <row r="1650" spans="2:29" ht="15" customHeight="1" x14ac:dyDescent="0.15">
      <c r="J1650" s="21"/>
      <c r="K1650" s="21"/>
      <c r="N1650" s="22"/>
    </row>
    <row r="1651" spans="2:29" ht="15" customHeight="1" x14ac:dyDescent="0.15">
      <c r="J1651" s="21"/>
      <c r="K1651" s="21"/>
      <c r="N1651" s="22"/>
    </row>
    <row r="1652" spans="2:29" ht="15" customHeight="1" x14ac:dyDescent="0.15">
      <c r="J1652" s="21"/>
      <c r="K1652" s="21"/>
      <c r="N1652" s="22"/>
    </row>
    <row r="1653" spans="2:29" ht="15" customHeight="1" x14ac:dyDescent="0.15">
      <c r="J1653" s="21"/>
      <c r="K1653" s="21"/>
      <c r="N1653" s="22"/>
    </row>
    <row r="1654" spans="2:29" ht="15" customHeight="1" x14ac:dyDescent="0.15">
      <c r="J1654" s="21"/>
      <c r="K1654" s="21"/>
      <c r="N1654" s="22"/>
    </row>
    <row r="1655" spans="2:29" ht="15" customHeight="1" x14ac:dyDescent="0.15">
      <c r="B1655">
        <v>4</v>
      </c>
      <c r="C1655" t="s">
        <v>386</v>
      </c>
      <c r="D1655" t="s">
        <v>3119</v>
      </c>
      <c r="E1655">
        <v>1</v>
      </c>
      <c r="F1655" t="s">
        <v>219</v>
      </c>
      <c r="G1655" t="s">
        <v>231</v>
      </c>
      <c r="H1655" t="s">
        <v>231</v>
      </c>
      <c r="I1655">
        <v>29</v>
      </c>
      <c r="J1655" s="21">
        <v>46219</v>
      </c>
      <c r="K1655" s="21">
        <v>46219</v>
      </c>
      <c r="L1655" t="s">
        <v>3120</v>
      </c>
      <c r="M1655" t="s">
        <v>2648</v>
      </c>
      <c r="N1655">
        <v>105</v>
      </c>
      <c r="O1655" t="s">
        <v>220</v>
      </c>
      <c r="P1655">
        <v>3</v>
      </c>
      <c r="Q1655">
        <v>1.48</v>
      </c>
      <c r="R1655">
        <v>0.17</v>
      </c>
      <c r="S1655">
        <v>0.57799999999999996</v>
      </c>
      <c r="T1655">
        <v>0.25</v>
      </c>
      <c r="U1655" t="s">
        <v>80</v>
      </c>
      <c r="V1655" t="s">
        <v>81</v>
      </c>
      <c r="W1655" t="s">
        <v>21</v>
      </c>
      <c r="X1655">
        <v>2.2999999999999998</v>
      </c>
      <c r="Y1655" t="s">
        <v>3069</v>
      </c>
      <c r="Z1655" t="s">
        <v>496</v>
      </c>
      <c r="AA1655">
        <v>16.61</v>
      </c>
      <c r="AB1655">
        <v>9.6</v>
      </c>
      <c r="AC1655">
        <v>4.17</v>
      </c>
    </row>
    <row r="1656" spans="2:29" ht="15" customHeight="1" x14ac:dyDescent="0.15">
      <c r="B1656">
        <v>4</v>
      </c>
      <c r="C1656" t="s">
        <v>386</v>
      </c>
      <c r="D1656" t="s">
        <v>3119</v>
      </c>
      <c r="E1656">
        <v>2</v>
      </c>
      <c r="F1656" t="s">
        <v>219</v>
      </c>
      <c r="G1656" t="s">
        <v>244</v>
      </c>
      <c r="H1656" t="s">
        <v>1605</v>
      </c>
      <c r="I1656">
        <v>29</v>
      </c>
      <c r="J1656" s="21">
        <v>46219</v>
      </c>
      <c r="K1656" s="21">
        <v>46219</v>
      </c>
      <c r="L1656" t="s">
        <v>3121</v>
      </c>
      <c r="M1656" t="s">
        <v>295</v>
      </c>
      <c r="N1656">
        <v>105</v>
      </c>
      <c r="O1656" t="s">
        <v>220</v>
      </c>
      <c r="P1656">
        <v>3</v>
      </c>
      <c r="Q1656">
        <v>1.48</v>
      </c>
      <c r="R1656">
        <v>0.5</v>
      </c>
      <c r="S1656">
        <v>1.7</v>
      </c>
      <c r="T1656">
        <v>0.74</v>
      </c>
      <c r="U1656" t="s">
        <v>80</v>
      </c>
      <c r="V1656" t="s">
        <v>81</v>
      </c>
      <c r="W1656" t="s">
        <v>21</v>
      </c>
      <c r="X1656">
        <v>2.2999999999999998</v>
      </c>
      <c r="Y1656" t="s">
        <v>3069</v>
      </c>
      <c r="Z1656" t="s">
        <v>496</v>
      </c>
      <c r="AA1656">
        <v>77.31</v>
      </c>
      <c r="AB1656">
        <v>131.43</v>
      </c>
      <c r="AC1656">
        <v>57.14</v>
      </c>
    </row>
    <row r="1657" spans="2:29" ht="15" customHeight="1" x14ac:dyDescent="0.15">
      <c r="B1657">
        <v>4</v>
      </c>
      <c r="C1657" t="s">
        <v>386</v>
      </c>
      <c r="D1657" t="s">
        <v>3119</v>
      </c>
      <c r="E1657">
        <v>3</v>
      </c>
      <c r="F1657" t="s">
        <v>219</v>
      </c>
      <c r="G1657" t="s">
        <v>218</v>
      </c>
      <c r="H1657" t="s">
        <v>2353</v>
      </c>
      <c r="I1657">
        <v>29</v>
      </c>
      <c r="J1657" s="21">
        <v>46219</v>
      </c>
      <c r="K1657" s="21">
        <v>46219</v>
      </c>
      <c r="L1657" t="s">
        <v>3122</v>
      </c>
      <c r="M1657" t="s">
        <v>2946</v>
      </c>
      <c r="N1657">
        <v>105</v>
      </c>
      <c r="O1657" t="s">
        <v>202</v>
      </c>
      <c r="P1657">
        <v>3</v>
      </c>
      <c r="Q1657">
        <v>1.48</v>
      </c>
      <c r="R1657">
        <v>0.21</v>
      </c>
      <c r="S1657">
        <v>0.71399999999999997</v>
      </c>
      <c r="T1657">
        <v>0.31</v>
      </c>
      <c r="U1657" t="s">
        <v>80</v>
      </c>
      <c r="V1657" t="s">
        <v>81</v>
      </c>
      <c r="W1657" t="s">
        <v>21</v>
      </c>
      <c r="X1657">
        <v>2.2999999999999998</v>
      </c>
      <c r="Y1657" t="s">
        <v>3069</v>
      </c>
      <c r="Z1657" t="s">
        <v>496</v>
      </c>
      <c r="AA1657">
        <v>61.3</v>
      </c>
      <c r="AB1657">
        <v>43.77</v>
      </c>
      <c r="AC1657">
        <v>19.03</v>
      </c>
    </row>
    <row r="1658" spans="2:29" ht="15" customHeight="1" x14ac:dyDescent="0.15">
      <c r="B1658">
        <v>4</v>
      </c>
      <c r="C1658" t="s">
        <v>386</v>
      </c>
      <c r="D1658" t="s">
        <v>3119</v>
      </c>
      <c r="E1658">
        <v>4</v>
      </c>
      <c r="F1658" t="s">
        <v>219</v>
      </c>
      <c r="G1658" t="s">
        <v>239</v>
      </c>
      <c r="H1658" t="s">
        <v>3082</v>
      </c>
      <c r="I1658">
        <v>29</v>
      </c>
      <c r="J1658" s="21">
        <v>46219</v>
      </c>
      <c r="K1658" s="21">
        <v>46219</v>
      </c>
      <c r="L1658" t="s">
        <v>3123</v>
      </c>
      <c r="M1658" t="s">
        <v>3084</v>
      </c>
      <c r="N1658">
        <v>105</v>
      </c>
      <c r="O1658" t="s">
        <v>202</v>
      </c>
      <c r="P1658">
        <v>3</v>
      </c>
      <c r="Q1658">
        <v>1.48</v>
      </c>
      <c r="R1658">
        <v>2.95</v>
      </c>
      <c r="S1658">
        <v>10.029999999999999</v>
      </c>
      <c r="T1658">
        <v>4.3600000000000003</v>
      </c>
      <c r="U1658" t="s">
        <v>80</v>
      </c>
      <c r="V1658" t="s">
        <v>81</v>
      </c>
      <c r="W1658" t="s">
        <v>21</v>
      </c>
      <c r="X1658">
        <v>2.2999999999999998</v>
      </c>
      <c r="Y1658" t="s">
        <v>3069</v>
      </c>
      <c r="Z1658" t="s">
        <v>496</v>
      </c>
      <c r="AB1658">
        <v>0</v>
      </c>
      <c r="AC1658">
        <v>0</v>
      </c>
    </row>
    <row r="1659" spans="2:29" ht="15" customHeight="1" x14ac:dyDescent="0.15">
      <c r="B1659">
        <v>4</v>
      </c>
      <c r="C1659" t="s">
        <v>386</v>
      </c>
      <c r="D1659" t="s">
        <v>3119</v>
      </c>
      <c r="E1659">
        <v>5</v>
      </c>
      <c r="F1659" t="s">
        <v>219</v>
      </c>
      <c r="G1659" t="s">
        <v>239</v>
      </c>
      <c r="H1659" t="s">
        <v>517</v>
      </c>
      <c r="I1659">
        <v>29</v>
      </c>
      <c r="J1659" s="21">
        <v>46219</v>
      </c>
      <c r="K1659" s="21">
        <v>46219</v>
      </c>
      <c r="L1659" t="s">
        <v>3124</v>
      </c>
      <c r="M1659" t="s">
        <v>614</v>
      </c>
      <c r="N1659">
        <v>105</v>
      </c>
      <c r="O1659" t="s">
        <v>202</v>
      </c>
      <c r="P1659">
        <v>3</v>
      </c>
      <c r="Q1659">
        <v>1.48</v>
      </c>
      <c r="R1659">
        <v>0.5</v>
      </c>
      <c r="S1659">
        <v>1.7</v>
      </c>
      <c r="T1659">
        <v>0.74</v>
      </c>
      <c r="U1659" t="s">
        <v>80</v>
      </c>
      <c r="V1659" t="s">
        <v>81</v>
      </c>
      <c r="W1659" t="s">
        <v>21</v>
      </c>
      <c r="X1659">
        <v>2.2999999999999998</v>
      </c>
      <c r="Y1659" t="s">
        <v>3069</v>
      </c>
      <c r="Z1659" t="s">
        <v>496</v>
      </c>
      <c r="AA1659">
        <v>65</v>
      </c>
      <c r="AB1659">
        <v>110.5</v>
      </c>
      <c r="AC1659">
        <v>48.04</v>
      </c>
    </row>
    <row r="1660" spans="2:29" ht="15" customHeight="1" x14ac:dyDescent="0.15">
      <c r="B1660">
        <v>4</v>
      </c>
      <c r="C1660" t="s">
        <v>386</v>
      </c>
      <c r="D1660" t="s">
        <v>3119</v>
      </c>
      <c r="E1660">
        <v>6</v>
      </c>
      <c r="F1660" t="s">
        <v>219</v>
      </c>
      <c r="G1660" t="s">
        <v>218</v>
      </c>
      <c r="H1660" t="s">
        <v>686</v>
      </c>
      <c r="I1660">
        <v>29</v>
      </c>
      <c r="J1660" s="21">
        <v>46219</v>
      </c>
      <c r="K1660" s="21">
        <v>46219</v>
      </c>
      <c r="L1660" t="s">
        <v>3125</v>
      </c>
      <c r="M1660" t="s">
        <v>2468</v>
      </c>
      <c r="N1660">
        <v>105</v>
      </c>
      <c r="O1660" t="s">
        <v>220</v>
      </c>
      <c r="P1660">
        <v>3</v>
      </c>
      <c r="Q1660">
        <v>1.48</v>
      </c>
      <c r="R1660">
        <v>0.2</v>
      </c>
      <c r="S1660">
        <v>0.68</v>
      </c>
      <c r="T1660">
        <v>0.3</v>
      </c>
      <c r="U1660" t="s">
        <v>80</v>
      </c>
      <c r="V1660" t="s">
        <v>81</v>
      </c>
      <c r="W1660" t="s">
        <v>21</v>
      </c>
      <c r="X1660">
        <v>2.2999999999999998</v>
      </c>
      <c r="Y1660" t="s">
        <v>3069</v>
      </c>
      <c r="Z1660" t="s">
        <v>496</v>
      </c>
      <c r="AA1660">
        <v>80.900000000000006</v>
      </c>
      <c r="AB1660">
        <v>55.01</v>
      </c>
      <c r="AC1660">
        <v>23.92</v>
      </c>
    </row>
    <row r="1661" spans="2:29" ht="15" customHeight="1" x14ac:dyDescent="0.15">
      <c r="B1661">
        <v>4</v>
      </c>
      <c r="C1661" t="s">
        <v>386</v>
      </c>
      <c r="D1661" t="s">
        <v>3126</v>
      </c>
      <c r="E1661">
        <v>1</v>
      </c>
      <c r="F1661" t="s">
        <v>219</v>
      </c>
      <c r="G1661" t="s">
        <v>231</v>
      </c>
      <c r="H1661" t="s">
        <v>231</v>
      </c>
      <c r="I1661">
        <v>29</v>
      </c>
      <c r="J1661" s="21">
        <v>46219</v>
      </c>
      <c r="K1661" s="21">
        <v>46219</v>
      </c>
      <c r="L1661" t="s">
        <v>3127</v>
      </c>
      <c r="M1661" t="s">
        <v>2648</v>
      </c>
      <c r="N1661">
        <v>105</v>
      </c>
      <c r="O1661" t="s">
        <v>220</v>
      </c>
      <c r="P1661">
        <v>2</v>
      </c>
      <c r="Q1661">
        <v>1.5</v>
      </c>
      <c r="R1661">
        <v>0.15</v>
      </c>
      <c r="S1661">
        <v>0.22500000000000001</v>
      </c>
      <c r="T1661">
        <v>0.23</v>
      </c>
      <c r="U1661" t="s">
        <v>68</v>
      </c>
      <c r="V1661" t="s">
        <v>69</v>
      </c>
      <c r="W1661" t="s">
        <v>21</v>
      </c>
      <c r="X1661">
        <v>1</v>
      </c>
      <c r="Y1661" t="s">
        <v>2198</v>
      </c>
      <c r="Z1661" t="s">
        <v>496</v>
      </c>
      <c r="AA1661">
        <v>16.61</v>
      </c>
      <c r="AB1661">
        <v>3.74</v>
      </c>
      <c r="AC1661">
        <v>3.74</v>
      </c>
    </row>
    <row r="1662" spans="2:29" ht="15" customHeight="1" x14ac:dyDescent="0.15">
      <c r="B1662">
        <v>4</v>
      </c>
      <c r="C1662" t="s">
        <v>386</v>
      </c>
      <c r="D1662" t="s">
        <v>3126</v>
      </c>
      <c r="E1662">
        <v>2</v>
      </c>
      <c r="F1662" t="s">
        <v>219</v>
      </c>
      <c r="G1662" t="s">
        <v>218</v>
      </c>
      <c r="H1662" t="s">
        <v>2353</v>
      </c>
      <c r="I1662">
        <v>29</v>
      </c>
      <c r="J1662" s="21">
        <v>46219</v>
      </c>
      <c r="K1662" s="21">
        <v>46219</v>
      </c>
      <c r="L1662" t="s">
        <v>3128</v>
      </c>
      <c r="M1662" t="s">
        <v>2946</v>
      </c>
      <c r="N1662">
        <v>105</v>
      </c>
      <c r="O1662" t="s">
        <v>202</v>
      </c>
      <c r="P1662">
        <v>2</v>
      </c>
      <c r="Q1662">
        <v>1.5</v>
      </c>
      <c r="R1662">
        <v>0.2</v>
      </c>
      <c r="S1662">
        <v>0.3</v>
      </c>
      <c r="T1662">
        <v>0.3</v>
      </c>
      <c r="U1662" t="s">
        <v>68</v>
      </c>
      <c r="V1662" t="s">
        <v>69</v>
      </c>
      <c r="W1662" t="s">
        <v>21</v>
      </c>
      <c r="X1662">
        <v>1</v>
      </c>
      <c r="Y1662" t="s">
        <v>2198</v>
      </c>
      <c r="Z1662" t="s">
        <v>496</v>
      </c>
      <c r="AA1662">
        <v>61.3</v>
      </c>
      <c r="AB1662">
        <v>18.39</v>
      </c>
      <c r="AC1662">
        <v>18.39</v>
      </c>
    </row>
    <row r="1663" spans="2:29" ht="15" customHeight="1" x14ac:dyDescent="0.15">
      <c r="B1663">
        <v>4</v>
      </c>
      <c r="C1663" t="s">
        <v>386</v>
      </c>
      <c r="D1663" t="s">
        <v>3126</v>
      </c>
      <c r="E1663">
        <v>3</v>
      </c>
      <c r="F1663" t="s">
        <v>219</v>
      </c>
      <c r="G1663" t="s">
        <v>244</v>
      </c>
      <c r="H1663" t="s">
        <v>1605</v>
      </c>
      <c r="I1663">
        <v>29</v>
      </c>
      <c r="J1663" s="21">
        <v>46219</v>
      </c>
      <c r="K1663" s="21">
        <v>46219</v>
      </c>
      <c r="L1663" t="s">
        <v>3129</v>
      </c>
      <c r="M1663" t="s">
        <v>295</v>
      </c>
      <c r="N1663">
        <v>105</v>
      </c>
      <c r="O1663" t="s">
        <v>220</v>
      </c>
      <c r="P1663">
        <v>2</v>
      </c>
      <c r="Q1663">
        <v>1.5</v>
      </c>
      <c r="R1663">
        <v>0.5</v>
      </c>
      <c r="S1663">
        <v>0.75</v>
      </c>
      <c r="T1663">
        <v>0.75</v>
      </c>
      <c r="U1663" t="s">
        <v>68</v>
      </c>
      <c r="V1663" t="s">
        <v>69</v>
      </c>
      <c r="W1663" t="s">
        <v>21</v>
      </c>
      <c r="X1663">
        <v>1</v>
      </c>
      <c r="Y1663" t="s">
        <v>2198</v>
      </c>
      <c r="Z1663" t="s">
        <v>496</v>
      </c>
      <c r="AA1663">
        <v>77.31</v>
      </c>
      <c r="AB1663">
        <v>57.98</v>
      </c>
      <c r="AC1663">
        <v>57.98</v>
      </c>
    </row>
    <row r="1664" spans="2:29" ht="15" customHeight="1" x14ac:dyDescent="0.15">
      <c r="B1664">
        <v>4</v>
      </c>
      <c r="C1664" t="s">
        <v>386</v>
      </c>
      <c r="D1664" t="s">
        <v>3126</v>
      </c>
      <c r="E1664">
        <v>4</v>
      </c>
      <c r="F1664" t="s">
        <v>219</v>
      </c>
      <c r="G1664" t="s">
        <v>218</v>
      </c>
      <c r="H1664" t="s">
        <v>2305</v>
      </c>
      <c r="I1664">
        <v>29</v>
      </c>
      <c r="J1664" s="21">
        <v>46219</v>
      </c>
      <c r="K1664" s="21">
        <v>46219</v>
      </c>
      <c r="L1664" t="s">
        <v>3130</v>
      </c>
      <c r="M1664" t="s">
        <v>255</v>
      </c>
      <c r="N1664">
        <v>105</v>
      </c>
      <c r="O1664" t="s">
        <v>202</v>
      </c>
      <c r="P1664">
        <v>2</v>
      </c>
      <c r="Q1664">
        <v>1.5</v>
      </c>
      <c r="R1664">
        <v>0.5</v>
      </c>
      <c r="S1664">
        <v>0.75</v>
      </c>
      <c r="T1664">
        <v>0.75</v>
      </c>
      <c r="U1664" t="s">
        <v>68</v>
      </c>
      <c r="V1664" t="s">
        <v>69</v>
      </c>
      <c r="W1664" t="s">
        <v>21</v>
      </c>
      <c r="X1664">
        <v>1</v>
      </c>
      <c r="Y1664" t="s">
        <v>2198</v>
      </c>
      <c r="Z1664" t="s">
        <v>496</v>
      </c>
      <c r="AA1664">
        <v>37.5</v>
      </c>
      <c r="AB1664">
        <v>28.13</v>
      </c>
      <c r="AC1664">
        <v>28.13</v>
      </c>
    </row>
    <row r="1665" spans="2:29" ht="15" customHeight="1" x14ac:dyDescent="0.15">
      <c r="B1665">
        <v>4</v>
      </c>
      <c r="C1665" t="s">
        <v>386</v>
      </c>
      <c r="D1665" t="s">
        <v>3126</v>
      </c>
      <c r="E1665">
        <v>5</v>
      </c>
      <c r="F1665" t="s">
        <v>219</v>
      </c>
      <c r="G1665" t="s">
        <v>218</v>
      </c>
      <c r="H1665" t="s">
        <v>686</v>
      </c>
      <c r="I1665">
        <v>29</v>
      </c>
      <c r="J1665" s="21">
        <v>46219</v>
      </c>
      <c r="K1665" s="21">
        <v>46219</v>
      </c>
      <c r="L1665" t="s">
        <v>3131</v>
      </c>
      <c r="M1665" t="s">
        <v>2468</v>
      </c>
      <c r="N1665">
        <v>105</v>
      </c>
      <c r="O1665" t="s">
        <v>220</v>
      </c>
      <c r="P1665">
        <v>2</v>
      </c>
      <c r="Q1665">
        <v>1.5</v>
      </c>
      <c r="R1665">
        <v>0.2</v>
      </c>
      <c r="S1665">
        <v>0.3</v>
      </c>
      <c r="T1665">
        <v>0.3</v>
      </c>
      <c r="U1665" t="s">
        <v>68</v>
      </c>
      <c r="V1665" t="s">
        <v>69</v>
      </c>
      <c r="W1665" t="s">
        <v>21</v>
      </c>
      <c r="X1665">
        <v>1</v>
      </c>
      <c r="Y1665" t="s">
        <v>2198</v>
      </c>
      <c r="Z1665" t="s">
        <v>496</v>
      </c>
      <c r="AA1665">
        <v>80.900000000000006</v>
      </c>
      <c r="AB1665">
        <v>24.27</v>
      </c>
      <c r="AC1665">
        <v>24.27</v>
      </c>
    </row>
    <row r="1666" spans="2:29" ht="15" customHeight="1" x14ac:dyDescent="0.15">
      <c r="B1666">
        <v>4</v>
      </c>
      <c r="C1666" t="s">
        <v>386</v>
      </c>
      <c r="D1666" t="s">
        <v>3132</v>
      </c>
      <c r="E1666">
        <v>1</v>
      </c>
      <c r="F1666" t="s">
        <v>219</v>
      </c>
      <c r="G1666" t="s">
        <v>231</v>
      </c>
      <c r="H1666" t="s">
        <v>231</v>
      </c>
      <c r="I1666">
        <v>29</v>
      </c>
      <c r="J1666" s="21">
        <v>46219</v>
      </c>
      <c r="K1666" s="21">
        <v>46219</v>
      </c>
      <c r="L1666" t="s">
        <v>3133</v>
      </c>
      <c r="M1666" t="s">
        <v>2648</v>
      </c>
      <c r="N1666">
        <v>89</v>
      </c>
      <c r="O1666" t="s">
        <v>220</v>
      </c>
      <c r="P1666">
        <v>2</v>
      </c>
      <c r="Q1666">
        <v>1.1499999999999999</v>
      </c>
      <c r="R1666">
        <v>0.15</v>
      </c>
      <c r="S1666">
        <v>0.22500000000000001</v>
      </c>
      <c r="T1666">
        <v>0.17</v>
      </c>
      <c r="U1666" t="s">
        <v>91</v>
      </c>
      <c r="V1666" t="s">
        <v>92</v>
      </c>
      <c r="W1666" t="s">
        <v>21</v>
      </c>
      <c r="X1666">
        <v>1.3</v>
      </c>
      <c r="Y1666" t="s">
        <v>2198</v>
      </c>
      <c r="Z1666" t="s">
        <v>496</v>
      </c>
      <c r="AA1666">
        <v>16.61</v>
      </c>
      <c r="AB1666">
        <v>3.74</v>
      </c>
      <c r="AC1666">
        <v>2.87</v>
      </c>
    </row>
    <row r="1667" spans="2:29" ht="15" customHeight="1" x14ac:dyDescent="0.15">
      <c r="B1667">
        <v>4</v>
      </c>
      <c r="C1667" t="s">
        <v>386</v>
      </c>
      <c r="D1667" t="s">
        <v>3132</v>
      </c>
      <c r="E1667">
        <v>2</v>
      </c>
      <c r="F1667" t="s">
        <v>219</v>
      </c>
      <c r="G1667" t="s">
        <v>218</v>
      </c>
      <c r="H1667" t="s">
        <v>2353</v>
      </c>
      <c r="I1667">
        <v>29</v>
      </c>
      <c r="J1667" s="21">
        <v>46219</v>
      </c>
      <c r="K1667" s="21">
        <v>46219</v>
      </c>
      <c r="L1667" t="s">
        <v>3134</v>
      </c>
      <c r="M1667" t="s">
        <v>2946</v>
      </c>
      <c r="N1667">
        <v>89</v>
      </c>
      <c r="O1667" t="s">
        <v>202</v>
      </c>
      <c r="P1667">
        <v>2</v>
      </c>
      <c r="Q1667">
        <v>1.1499999999999999</v>
      </c>
      <c r="R1667">
        <v>0.2</v>
      </c>
      <c r="S1667">
        <v>0.3</v>
      </c>
      <c r="T1667">
        <v>0.23</v>
      </c>
      <c r="U1667" t="s">
        <v>91</v>
      </c>
      <c r="V1667" t="s">
        <v>92</v>
      </c>
      <c r="W1667" t="s">
        <v>21</v>
      </c>
      <c r="X1667">
        <v>1.3</v>
      </c>
      <c r="Y1667" t="s">
        <v>2198</v>
      </c>
      <c r="Z1667" t="s">
        <v>496</v>
      </c>
      <c r="AA1667">
        <v>61.3</v>
      </c>
      <c r="AB1667">
        <v>18.39</v>
      </c>
      <c r="AC1667">
        <v>14.15</v>
      </c>
    </row>
    <row r="1668" spans="2:29" ht="15" customHeight="1" x14ac:dyDescent="0.15">
      <c r="B1668">
        <v>4</v>
      </c>
      <c r="C1668" t="s">
        <v>386</v>
      </c>
      <c r="D1668" t="s">
        <v>3132</v>
      </c>
      <c r="E1668">
        <v>3</v>
      </c>
      <c r="F1668" t="s">
        <v>219</v>
      </c>
      <c r="G1668" t="s">
        <v>218</v>
      </c>
      <c r="H1668" t="s">
        <v>2305</v>
      </c>
      <c r="I1668">
        <v>29</v>
      </c>
      <c r="J1668" s="21">
        <v>46219</v>
      </c>
      <c r="K1668" s="21">
        <v>46219</v>
      </c>
      <c r="L1668" t="s">
        <v>3135</v>
      </c>
      <c r="M1668" t="s">
        <v>255</v>
      </c>
      <c r="N1668">
        <v>89</v>
      </c>
      <c r="O1668" t="s">
        <v>202</v>
      </c>
      <c r="P1668">
        <v>2</v>
      </c>
      <c r="Q1668">
        <v>1.1499999999999999</v>
      </c>
      <c r="R1668">
        <v>0.5</v>
      </c>
      <c r="S1668">
        <v>0.75</v>
      </c>
      <c r="T1668">
        <v>0.57999999999999996</v>
      </c>
      <c r="U1668" t="s">
        <v>91</v>
      </c>
      <c r="V1668" t="s">
        <v>92</v>
      </c>
      <c r="W1668" t="s">
        <v>21</v>
      </c>
      <c r="X1668">
        <v>1.3</v>
      </c>
      <c r="Y1668" t="s">
        <v>2198</v>
      </c>
      <c r="Z1668" t="s">
        <v>496</v>
      </c>
      <c r="AA1668">
        <v>37.5</v>
      </c>
      <c r="AB1668">
        <v>28.13</v>
      </c>
      <c r="AC1668">
        <v>21.63</v>
      </c>
    </row>
    <row r="1669" spans="2:29" ht="15" customHeight="1" x14ac:dyDescent="0.15">
      <c r="B1669">
        <v>4</v>
      </c>
      <c r="C1669" t="s">
        <v>386</v>
      </c>
      <c r="D1669" t="s">
        <v>3132</v>
      </c>
      <c r="E1669">
        <v>4</v>
      </c>
      <c r="F1669" t="s">
        <v>219</v>
      </c>
      <c r="G1669" t="s">
        <v>244</v>
      </c>
      <c r="H1669" t="s">
        <v>1605</v>
      </c>
      <c r="I1669">
        <v>29</v>
      </c>
      <c r="J1669" s="21">
        <v>46219</v>
      </c>
      <c r="K1669" s="21">
        <v>46219</v>
      </c>
      <c r="L1669" t="s">
        <v>3136</v>
      </c>
      <c r="M1669" t="s">
        <v>295</v>
      </c>
      <c r="N1669">
        <v>89</v>
      </c>
      <c r="O1669" t="s">
        <v>220</v>
      </c>
      <c r="P1669">
        <v>2</v>
      </c>
      <c r="Q1669">
        <v>1.1499999999999999</v>
      </c>
      <c r="R1669">
        <v>0.5</v>
      </c>
      <c r="S1669">
        <v>0.75</v>
      </c>
      <c r="T1669">
        <v>0.57999999999999996</v>
      </c>
      <c r="U1669" t="s">
        <v>91</v>
      </c>
      <c r="V1669" t="s">
        <v>92</v>
      </c>
      <c r="W1669" t="s">
        <v>21</v>
      </c>
      <c r="X1669">
        <v>1.3</v>
      </c>
      <c r="Y1669" t="s">
        <v>2198</v>
      </c>
      <c r="Z1669" t="s">
        <v>496</v>
      </c>
      <c r="AA1669">
        <v>77.31</v>
      </c>
      <c r="AB1669">
        <v>57.98</v>
      </c>
      <c r="AC1669">
        <v>44.6</v>
      </c>
    </row>
    <row r="1670" spans="2:29" ht="15" customHeight="1" x14ac:dyDescent="0.15">
      <c r="B1670">
        <v>4</v>
      </c>
      <c r="C1670" t="s">
        <v>386</v>
      </c>
      <c r="D1670" t="s">
        <v>3132</v>
      </c>
      <c r="E1670">
        <v>5</v>
      </c>
      <c r="F1670" t="s">
        <v>219</v>
      </c>
      <c r="G1670" t="s">
        <v>218</v>
      </c>
      <c r="H1670" t="s">
        <v>686</v>
      </c>
      <c r="I1670">
        <v>29</v>
      </c>
      <c r="J1670" s="21">
        <v>46219</v>
      </c>
      <c r="K1670" s="21">
        <v>46219</v>
      </c>
      <c r="L1670" t="s">
        <v>3137</v>
      </c>
      <c r="M1670" t="s">
        <v>2468</v>
      </c>
      <c r="N1670">
        <v>89</v>
      </c>
      <c r="O1670" t="s">
        <v>220</v>
      </c>
      <c r="P1670">
        <v>2</v>
      </c>
      <c r="Q1670">
        <v>1.1499999999999999</v>
      </c>
      <c r="R1670">
        <v>0.2</v>
      </c>
      <c r="S1670">
        <v>0.3</v>
      </c>
      <c r="T1670">
        <v>0.23</v>
      </c>
      <c r="U1670" t="s">
        <v>91</v>
      </c>
      <c r="V1670" t="s">
        <v>92</v>
      </c>
      <c r="W1670" t="s">
        <v>21</v>
      </c>
      <c r="X1670">
        <v>1.3</v>
      </c>
      <c r="Y1670" t="s">
        <v>2198</v>
      </c>
      <c r="Z1670" t="s">
        <v>496</v>
      </c>
      <c r="AA1670">
        <v>80.900000000000006</v>
      </c>
      <c r="AB1670">
        <v>24.27</v>
      </c>
      <c r="AC1670">
        <v>18.670000000000002</v>
      </c>
    </row>
    <row r="1671" spans="2:29" ht="15" customHeight="1" x14ac:dyDescent="0.15">
      <c r="B1671">
        <v>4</v>
      </c>
      <c r="C1671" t="s">
        <v>386</v>
      </c>
      <c r="D1671" t="s">
        <v>3138</v>
      </c>
      <c r="E1671">
        <v>1</v>
      </c>
      <c r="F1671" t="s">
        <v>219</v>
      </c>
      <c r="G1671" t="s">
        <v>231</v>
      </c>
      <c r="H1671" t="s">
        <v>231</v>
      </c>
      <c r="I1671">
        <v>29</v>
      </c>
      <c r="J1671" s="21">
        <v>46219</v>
      </c>
      <c r="K1671" s="21">
        <v>46220</v>
      </c>
      <c r="L1671" t="s">
        <v>3139</v>
      </c>
      <c r="M1671" t="s">
        <v>2648</v>
      </c>
      <c r="N1671" s="22">
        <v>46220</v>
      </c>
      <c r="O1671" t="s">
        <v>220</v>
      </c>
      <c r="P1671">
        <v>2</v>
      </c>
      <c r="Q1671">
        <v>0.95</v>
      </c>
      <c r="R1671">
        <v>0.2</v>
      </c>
      <c r="S1671">
        <v>0.4</v>
      </c>
      <c r="T1671">
        <v>0.19</v>
      </c>
      <c r="U1671" t="s">
        <v>115</v>
      </c>
      <c r="V1671" t="s">
        <v>116</v>
      </c>
      <c r="W1671" t="s">
        <v>21</v>
      </c>
      <c r="X1671">
        <v>2.1</v>
      </c>
      <c r="Y1671" t="s">
        <v>3069</v>
      </c>
      <c r="Z1671" t="s">
        <v>496</v>
      </c>
      <c r="AA1671">
        <v>16.61</v>
      </c>
      <c r="AB1671">
        <v>6.64</v>
      </c>
      <c r="AC1671">
        <v>3.16</v>
      </c>
    </row>
    <row r="1672" spans="2:29" ht="15" customHeight="1" x14ac:dyDescent="0.15">
      <c r="B1672">
        <v>4</v>
      </c>
      <c r="C1672" t="s">
        <v>386</v>
      </c>
      <c r="D1672" t="s">
        <v>3138</v>
      </c>
      <c r="E1672">
        <v>2</v>
      </c>
      <c r="F1672" t="s">
        <v>219</v>
      </c>
      <c r="G1672" t="s">
        <v>239</v>
      </c>
      <c r="H1672" t="s">
        <v>517</v>
      </c>
      <c r="I1672">
        <v>29</v>
      </c>
      <c r="J1672" s="21">
        <v>46219</v>
      </c>
      <c r="K1672" s="21">
        <v>46220</v>
      </c>
      <c r="L1672" t="s">
        <v>3140</v>
      </c>
      <c r="M1672" t="s">
        <v>614</v>
      </c>
      <c r="N1672" s="22">
        <v>46220</v>
      </c>
      <c r="O1672" t="s">
        <v>202</v>
      </c>
      <c r="P1672">
        <v>2</v>
      </c>
      <c r="Q1672">
        <v>0.95</v>
      </c>
      <c r="R1672">
        <v>0.5</v>
      </c>
      <c r="S1672">
        <v>1</v>
      </c>
      <c r="T1672">
        <v>0.48</v>
      </c>
      <c r="U1672" t="s">
        <v>115</v>
      </c>
      <c r="V1672" t="s">
        <v>116</v>
      </c>
      <c r="W1672" t="s">
        <v>21</v>
      </c>
      <c r="X1672">
        <v>2.1</v>
      </c>
      <c r="Y1672" t="s">
        <v>3069</v>
      </c>
      <c r="Z1672" t="s">
        <v>496</v>
      </c>
      <c r="AA1672">
        <v>65</v>
      </c>
      <c r="AB1672">
        <v>65</v>
      </c>
      <c r="AC1672">
        <v>30.95</v>
      </c>
    </row>
    <row r="1673" spans="2:29" ht="15" customHeight="1" x14ac:dyDescent="0.15">
      <c r="B1673">
        <v>4</v>
      </c>
      <c r="C1673" t="s">
        <v>386</v>
      </c>
      <c r="D1673" t="s">
        <v>3138</v>
      </c>
      <c r="E1673">
        <v>3</v>
      </c>
      <c r="F1673" t="s">
        <v>219</v>
      </c>
      <c r="G1673" t="s">
        <v>244</v>
      </c>
      <c r="H1673" t="s">
        <v>591</v>
      </c>
      <c r="I1673">
        <v>29</v>
      </c>
      <c r="J1673" s="21">
        <v>46219</v>
      </c>
      <c r="K1673" s="21">
        <v>46220</v>
      </c>
      <c r="L1673" t="s">
        <v>3141</v>
      </c>
      <c r="M1673" t="s">
        <v>593</v>
      </c>
      <c r="N1673" s="22">
        <v>46220</v>
      </c>
      <c r="O1673" t="s">
        <v>220</v>
      </c>
      <c r="P1673">
        <v>2</v>
      </c>
      <c r="Q1673">
        <v>0.95</v>
      </c>
      <c r="R1673">
        <v>2</v>
      </c>
      <c r="S1673">
        <v>4</v>
      </c>
      <c r="T1673">
        <v>1.9</v>
      </c>
      <c r="U1673" t="s">
        <v>115</v>
      </c>
      <c r="V1673" t="s">
        <v>116</v>
      </c>
      <c r="W1673" t="s">
        <v>21</v>
      </c>
      <c r="X1673">
        <v>2.1</v>
      </c>
      <c r="Y1673" t="s">
        <v>3069</v>
      </c>
      <c r="Z1673" t="s">
        <v>496</v>
      </c>
      <c r="AA1673">
        <v>37.58</v>
      </c>
      <c r="AB1673">
        <v>150.30000000000001</v>
      </c>
      <c r="AC1673">
        <v>71.569999999999993</v>
      </c>
    </row>
    <row r="1674" spans="2:29" ht="15" customHeight="1" x14ac:dyDescent="0.15">
      <c r="B1674">
        <v>4</v>
      </c>
      <c r="C1674" t="s">
        <v>386</v>
      </c>
      <c r="D1674" t="s">
        <v>3138</v>
      </c>
      <c r="E1674">
        <v>4</v>
      </c>
      <c r="F1674" t="s">
        <v>219</v>
      </c>
      <c r="G1674" t="s">
        <v>239</v>
      </c>
      <c r="H1674" t="s">
        <v>520</v>
      </c>
      <c r="I1674">
        <v>29</v>
      </c>
      <c r="J1674" s="21">
        <v>46219</v>
      </c>
      <c r="K1674" s="21">
        <v>46220</v>
      </c>
      <c r="L1674" t="s">
        <v>3142</v>
      </c>
      <c r="M1674" t="s">
        <v>1340</v>
      </c>
      <c r="N1674" s="22">
        <v>46220</v>
      </c>
      <c r="O1674" t="s">
        <v>220</v>
      </c>
      <c r="P1674">
        <v>2</v>
      </c>
      <c r="Q1674">
        <v>0.95</v>
      </c>
      <c r="R1674">
        <v>0.5</v>
      </c>
      <c r="S1674">
        <v>1</v>
      </c>
      <c r="T1674">
        <v>0.48</v>
      </c>
      <c r="U1674" t="s">
        <v>115</v>
      </c>
      <c r="V1674" t="s">
        <v>116</v>
      </c>
      <c r="W1674" t="s">
        <v>21</v>
      </c>
      <c r="X1674">
        <v>2.1</v>
      </c>
      <c r="Y1674" t="s">
        <v>3069</v>
      </c>
      <c r="Z1674" t="s">
        <v>496</v>
      </c>
      <c r="AA1674">
        <v>66.92</v>
      </c>
      <c r="AB1674">
        <v>66.92</v>
      </c>
      <c r="AC1674">
        <v>31.87</v>
      </c>
    </row>
    <row r="1675" spans="2:29" ht="15" customHeight="1" x14ac:dyDescent="0.15">
      <c r="B1675">
        <v>4</v>
      </c>
      <c r="C1675" t="s">
        <v>386</v>
      </c>
      <c r="D1675" t="s">
        <v>3138</v>
      </c>
      <c r="E1675">
        <v>5</v>
      </c>
      <c r="F1675" t="s">
        <v>219</v>
      </c>
      <c r="G1675" t="s">
        <v>239</v>
      </c>
      <c r="H1675" t="s">
        <v>602</v>
      </c>
      <c r="I1675">
        <v>29</v>
      </c>
      <c r="J1675" s="21">
        <v>46219</v>
      </c>
      <c r="K1675" s="21">
        <v>46220</v>
      </c>
      <c r="L1675" t="s">
        <v>3143</v>
      </c>
      <c r="M1675" t="s">
        <v>258</v>
      </c>
      <c r="N1675" s="22">
        <v>46220</v>
      </c>
      <c r="O1675" t="s">
        <v>220</v>
      </c>
      <c r="P1675">
        <v>2</v>
      </c>
      <c r="Q1675">
        <v>0.95</v>
      </c>
      <c r="R1675">
        <v>0.5</v>
      </c>
      <c r="S1675">
        <v>1</v>
      </c>
      <c r="T1675">
        <v>0.48</v>
      </c>
      <c r="U1675" t="s">
        <v>115</v>
      </c>
      <c r="V1675" t="s">
        <v>116</v>
      </c>
      <c r="W1675" t="s">
        <v>21</v>
      </c>
      <c r="X1675">
        <v>2.1</v>
      </c>
      <c r="Y1675" t="s">
        <v>3069</v>
      </c>
      <c r="Z1675" t="s">
        <v>496</v>
      </c>
      <c r="AA1675">
        <v>180</v>
      </c>
      <c r="AB1675">
        <v>180</v>
      </c>
      <c r="AC1675">
        <v>85.71</v>
      </c>
    </row>
    <row r="1676" spans="2:29" ht="15" customHeight="1" x14ac:dyDescent="0.15">
      <c r="B1676">
        <v>4</v>
      </c>
      <c r="C1676" t="s">
        <v>386</v>
      </c>
      <c r="D1676" t="s">
        <v>3144</v>
      </c>
      <c r="E1676">
        <v>1</v>
      </c>
      <c r="F1676" t="s">
        <v>219</v>
      </c>
      <c r="G1676" t="s">
        <v>231</v>
      </c>
      <c r="H1676" t="s">
        <v>231</v>
      </c>
      <c r="I1676">
        <v>29</v>
      </c>
      <c r="J1676" s="21">
        <v>46219</v>
      </c>
      <c r="K1676" s="21">
        <v>46220</v>
      </c>
      <c r="L1676" t="s">
        <v>3145</v>
      </c>
      <c r="M1676" t="s">
        <v>2648</v>
      </c>
      <c r="N1676">
        <v>88</v>
      </c>
      <c r="O1676" t="s">
        <v>220</v>
      </c>
      <c r="P1676">
        <v>2</v>
      </c>
      <c r="Q1676">
        <v>1</v>
      </c>
      <c r="R1676">
        <v>0.2</v>
      </c>
      <c r="S1676">
        <v>0.4</v>
      </c>
      <c r="T1676">
        <v>0.2</v>
      </c>
      <c r="U1676" t="s">
        <v>84</v>
      </c>
      <c r="V1676" t="s">
        <v>85</v>
      </c>
      <c r="W1676" t="s">
        <v>21</v>
      </c>
      <c r="X1676">
        <v>2</v>
      </c>
      <c r="Y1676" t="s">
        <v>3069</v>
      </c>
      <c r="Z1676" t="s">
        <v>496</v>
      </c>
      <c r="AA1676">
        <v>16.61</v>
      </c>
      <c r="AB1676">
        <v>6.64</v>
      </c>
      <c r="AC1676">
        <v>3.32</v>
      </c>
    </row>
    <row r="1677" spans="2:29" ht="15" customHeight="1" x14ac:dyDescent="0.15">
      <c r="B1677">
        <v>4</v>
      </c>
      <c r="C1677" t="s">
        <v>386</v>
      </c>
      <c r="D1677" t="s">
        <v>3144</v>
      </c>
      <c r="E1677">
        <v>2</v>
      </c>
      <c r="F1677" t="s">
        <v>219</v>
      </c>
      <c r="G1677" t="s">
        <v>239</v>
      </c>
      <c r="H1677" t="s">
        <v>3082</v>
      </c>
      <c r="I1677">
        <v>29</v>
      </c>
      <c r="J1677" s="21">
        <v>46219</v>
      </c>
      <c r="K1677" s="21">
        <v>46220</v>
      </c>
      <c r="L1677" t="s">
        <v>3146</v>
      </c>
      <c r="M1677" t="s">
        <v>3084</v>
      </c>
      <c r="N1677">
        <v>88</v>
      </c>
      <c r="O1677" t="s">
        <v>202</v>
      </c>
      <c r="P1677">
        <v>2</v>
      </c>
      <c r="Q1677">
        <v>1</v>
      </c>
      <c r="R1677">
        <v>3</v>
      </c>
      <c r="S1677">
        <v>6</v>
      </c>
      <c r="T1677">
        <v>3</v>
      </c>
      <c r="U1677" t="s">
        <v>84</v>
      </c>
      <c r="V1677" t="s">
        <v>85</v>
      </c>
      <c r="W1677" t="s">
        <v>21</v>
      </c>
      <c r="X1677">
        <v>2</v>
      </c>
      <c r="Y1677" t="s">
        <v>3069</v>
      </c>
      <c r="Z1677" t="s">
        <v>496</v>
      </c>
      <c r="AB1677">
        <v>0</v>
      </c>
      <c r="AC1677">
        <v>0</v>
      </c>
    </row>
    <row r="1678" spans="2:29" ht="15" customHeight="1" x14ac:dyDescent="0.15">
      <c r="B1678">
        <v>4</v>
      </c>
      <c r="C1678" t="s">
        <v>386</v>
      </c>
      <c r="D1678" t="s">
        <v>3144</v>
      </c>
      <c r="E1678">
        <v>3</v>
      </c>
      <c r="F1678" t="s">
        <v>219</v>
      </c>
      <c r="G1678" t="s">
        <v>239</v>
      </c>
      <c r="H1678" t="s">
        <v>456</v>
      </c>
      <c r="I1678">
        <v>29</v>
      </c>
      <c r="J1678" s="21">
        <v>46219</v>
      </c>
      <c r="K1678" s="21">
        <v>46220</v>
      </c>
      <c r="L1678" t="s">
        <v>3147</v>
      </c>
      <c r="M1678" t="s">
        <v>458</v>
      </c>
      <c r="N1678">
        <v>88</v>
      </c>
      <c r="O1678" t="s">
        <v>220</v>
      </c>
      <c r="P1678">
        <v>2</v>
      </c>
      <c r="Q1678">
        <v>1</v>
      </c>
      <c r="R1678">
        <v>1</v>
      </c>
      <c r="S1678">
        <v>2</v>
      </c>
      <c r="T1678">
        <v>1</v>
      </c>
      <c r="U1678" t="s">
        <v>84</v>
      </c>
      <c r="V1678" t="s">
        <v>85</v>
      </c>
      <c r="W1678" t="s">
        <v>21</v>
      </c>
      <c r="X1678">
        <v>2</v>
      </c>
      <c r="Y1678" t="s">
        <v>3069</v>
      </c>
      <c r="Z1678" t="s">
        <v>496</v>
      </c>
      <c r="AA1678">
        <v>49.99</v>
      </c>
      <c r="AB1678">
        <v>99.98</v>
      </c>
      <c r="AC1678">
        <v>49.99</v>
      </c>
    </row>
    <row r="1679" spans="2:29" ht="15" customHeight="1" x14ac:dyDescent="0.15">
      <c r="B1679">
        <v>4</v>
      </c>
      <c r="C1679" t="s">
        <v>386</v>
      </c>
      <c r="D1679" t="s">
        <v>3144</v>
      </c>
      <c r="E1679">
        <v>4</v>
      </c>
      <c r="F1679" t="s">
        <v>219</v>
      </c>
      <c r="G1679" t="s">
        <v>244</v>
      </c>
      <c r="H1679" t="s">
        <v>591</v>
      </c>
      <c r="I1679">
        <v>29</v>
      </c>
      <c r="J1679" s="21">
        <v>46219</v>
      </c>
      <c r="K1679" s="21">
        <v>46220</v>
      </c>
      <c r="L1679" t="s">
        <v>3148</v>
      </c>
      <c r="M1679" t="s">
        <v>593</v>
      </c>
      <c r="N1679">
        <v>88</v>
      </c>
      <c r="O1679" t="s">
        <v>220</v>
      </c>
      <c r="P1679">
        <v>2</v>
      </c>
      <c r="Q1679">
        <v>1</v>
      </c>
      <c r="R1679">
        <v>2</v>
      </c>
      <c r="S1679">
        <v>4</v>
      </c>
      <c r="T1679">
        <v>2</v>
      </c>
      <c r="U1679" t="s">
        <v>84</v>
      </c>
      <c r="V1679" t="s">
        <v>85</v>
      </c>
      <c r="W1679" t="s">
        <v>21</v>
      </c>
      <c r="X1679">
        <v>2</v>
      </c>
      <c r="Y1679" t="s">
        <v>3069</v>
      </c>
      <c r="Z1679" t="s">
        <v>496</v>
      </c>
      <c r="AA1679">
        <v>37.58</v>
      </c>
      <c r="AB1679">
        <v>150.30000000000001</v>
      </c>
      <c r="AC1679">
        <v>75.150000000000006</v>
      </c>
    </row>
    <row r="1680" spans="2:29" ht="15" customHeight="1" x14ac:dyDescent="0.15">
      <c r="B1680">
        <v>4</v>
      </c>
      <c r="C1680" t="s">
        <v>386</v>
      </c>
      <c r="D1680" t="s">
        <v>3149</v>
      </c>
      <c r="E1680">
        <v>1</v>
      </c>
      <c r="F1680" t="s">
        <v>219</v>
      </c>
      <c r="G1680" t="s">
        <v>223</v>
      </c>
      <c r="H1680" t="s">
        <v>2608</v>
      </c>
      <c r="I1680">
        <v>29</v>
      </c>
      <c r="J1680" s="21">
        <v>46219</v>
      </c>
      <c r="K1680" s="21">
        <v>46220</v>
      </c>
      <c r="L1680" t="s">
        <v>3150</v>
      </c>
      <c r="M1680" t="s">
        <v>3001</v>
      </c>
      <c r="N1680">
        <v>90</v>
      </c>
      <c r="O1680" t="s">
        <v>220</v>
      </c>
      <c r="P1680">
        <v>1</v>
      </c>
      <c r="Q1680">
        <v>0.43</v>
      </c>
      <c r="R1680">
        <v>28</v>
      </c>
      <c r="S1680">
        <v>28</v>
      </c>
      <c r="T1680">
        <v>12.17</v>
      </c>
      <c r="U1680" t="s">
        <v>73</v>
      </c>
      <c r="V1680" t="s">
        <v>74</v>
      </c>
      <c r="W1680" t="s">
        <v>75</v>
      </c>
      <c r="X1680">
        <v>2.2999999999999998</v>
      </c>
      <c r="Y1680" t="s">
        <v>3069</v>
      </c>
      <c r="Z1680" t="s">
        <v>496</v>
      </c>
      <c r="AA1680">
        <v>3</v>
      </c>
      <c r="AB1680">
        <v>84</v>
      </c>
      <c r="AC1680">
        <v>36.520000000000003</v>
      </c>
    </row>
    <row r="1681" spans="2:29" ht="15" customHeight="1" x14ac:dyDescent="0.15">
      <c r="B1681" s="8">
        <v>4</v>
      </c>
      <c r="C1681" s="8" t="s">
        <v>386</v>
      </c>
      <c r="D1681" s="8" t="s">
        <v>3151</v>
      </c>
      <c r="E1681" s="8">
        <v>1</v>
      </c>
      <c r="F1681" s="8" t="s">
        <v>219</v>
      </c>
      <c r="G1681" s="8" t="s">
        <v>231</v>
      </c>
      <c r="H1681" s="8" t="s">
        <v>231</v>
      </c>
      <c r="I1681" s="8">
        <v>29</v>
      </c>
      <c r="J1681" s="23">
        <v>46220</v>
      </c>
      <c r="K1681" s="23">
        <v>46221</v>
      </c>
      <c r="L1681" s="8" t="s">
        <v>3152</v>
      </c>
      <c r="M1681" s="8" t="s">
        <v>2648</v>
      </c>
      <c r="N1681" s="8">
        <v>46</v>
      </c>
      <c r="O1681" s="8" t="s">
        <v>220</v>
      </c>
      <c r="P1681" s="8">
        <v>5</v>
      </c>
      <c r="Q1681" s="8">
        <v>1</v>
      </c>
      <c r="R1681" s="8">
        <v>0.15</v>
      </c>
      <c r="S1681" s="8">
        <v>0.69</v>
      </c>
      <c r="T1681" s="8">
        <v>0.15</v>
      </c>
      <c r="U1681" s="8" t="s">
        <v>122</v>
      </c>
      <c r="V1681" s="8" t="s">
        <v>123</v>
      </c>
      <c r="W1681" s="8" t="s">
        <v>75</v>
      </c>
      <c r="X1681" s="8">
        <v>4.5999999999999996</v>
      </c>
      <c r="Y1681" s="8" t="s">
        <v>2629</v>
      </c>
      <c r="Z1681" s="8" t="s">
        <v>496</v>
      </c>
      <c r="AA1681" s="8">
        <v>16.61</v>
      </c>
      <c r="AB1681" s="8">
        <v>11.46</v>
      </c>
      <c r="AC1681" s="8">
        <v>2.4900000000000002</v>
      </c>
    </row>
    <row r="1682" spans="2:29" ht="15" customHeight="1" x14ac:dyDescent="0.15">
      <c r="B1682" s="8">
        <v>4</v>
      </c>
      <c r="C1682" s="8" t="s">
        <v>386</v>
      </c>
      <c r="D1682" s="8" t="s">
        <v>3151</v>
      </c>
      <c r="E1682" s="8">
        <v>2</v>
      </c>
      <c r="F1682" s="8" t="s">
        <v>219</v>
      </c>
      <c r="G1682" s="8" t="s">
        <v>239</v>
      </c>
      <c r="H1682" s="8" t="s">
        <v>517</v>
      </c>
      <c r="I1682" s="8">
        <v>29</v>
      </c>
      <c r="J1682" s="23">
        <v>46220</v>
      </c>
      <c r="K1682" s="23">
        <v>46221</v>
      </c>
      <c r="L1682" s="8" t="s">
        <v>3153</v>
      </c>
      <c r="M1682" s="8" t="s">
        <v>614</v>
      </c>
      <c r="N1682" s="8">
        <v>46</v>
      </c>
      <c r="O1682" s="8" t="s">
        <v>202</v>
      </c>
      <c r="P1682" s="8">
        <v>5</v>
      </c>
      <c r="Q1682" s="8">
        <v>1</v>
      </c>
      <c r="R1682" s="8">
        <v>0.5</v>
      </c>
      <c r="S1682" s="8">
        <v>2.2999999999999998</v>
      </c>
      <c r="T1682" s="8">
        <v>0.5</v>
      </c>
      <c r="U1682" s="8" t="s">
        <v>122</v>
      </c>
      <c r="V1682" s="8" t="s">
        <v>123</v>
      </c>
      <c r="W1682" s="8" t="s">
        <v>75</v>
      </c>
      <c r="X1682" s="8">
        <v>4.5999999999999996</v>
      </c>
      <c r="Y1682" s="8" t="s">
        <v>2629</v>
      </c>
      <c r="Z1682" s="8" t="s">
        <v>496</v>
      </c>
      <c r="AA1682" s="8">
        <v>65</v>
      </c>
      <c r="AB1682" s="8">
        <v>149.5</v>
      </c>
      <c r="AC1682" s="8">
        <v>32.5</v>
      </c>
    </row>
    <row r="1683" spans="2:29" ht="15" customHeight="1" x14ac:dyDescent="0.15">
      <c r="B1683" s="8">
        <v>4</v>
      </c>
      <c r="C1683" s="8" t="s">
        <v>386</v>
      </c>
      <c r="D1683" s="8" t="s">
        <v>3151</v>
      </c>
      <c r="E1683" s="8">
        <v>3</v>
      </c>
      <c r="F1683" s="8" t="s">
        <v>219</v>
      </c>
      <c r="G1683" s="8" t="s">
        <v>239</v>
      </c>
      <c r="H1683" s="8" t="s">
        <v>456</v>
      </c>
      <c r="I1683" s="8">
        <v>29</v>
      </c>
      <c r="J1683" s="23">
        <v>46220</v>
      </c>
      <c r="K1683" s="23">
        <v>46221</v>
      </c>
      <c r="L1683" s="8" t="s">
        <v>3154</v>
      </c>
      <c r="M1683" s="8" t="s">
        <v>458</v>
      </c>
      <c r="N1683" s="8">
        <v>46</v>
      </c>
      <c r="O1683" s="8" t="s">
        <v>220</v>
      </c>
      <c r="P1683" s="8">
        <v>5</v>
      </c>
      <c r="Q1683" s="8">
        <v>1</v>
      </c>
      <c r="R1683" s="8">
        <v>1</v>
      </c>
      <c r="S1683" s="8">
        <v>4.5999999999999996</v>
      </c>
      <c r="T1683" s="8">
        <v>1</v>
      </c>
      <c r="U1683" s="8" t="s">
        <v>122</v>
      </c>
      <c r="V1683" s="8" t="s">
        <v>123</v>
      </c>
      <c r="W1683" s="8" t="s">
        <v>75</v>
      </c>
      <c r="X1683" s="8">
        <v>4.5999999999999996</v>
      </c>
      <c r="Y1683" s="8" t="s">
        <v>2629</v>
      </c>
      <c r="Z1683" s="8" t="s">
        <v>496</v>
      </c>
      <c r="AA1683" s="8">
        <v>49.99</v>
      </c>
      <c r="AB1683" s="8">
        <v>229.95</v>
      </c>
      <c r="AC1683" s="8">
        <v>49.99</v>
      </c>
    </row>
    <row r="1684" spans="2:29" ht="15" customHeight="1" x14ac:dyDescent="0.15">
      <c r="B1684" s="8">
        <v>4</v>
      </c>
      <c r="C1684" s="8" t="s">
        <v>386</v>
      </c>
      <c r="D1684" s="8" t="s">
        <v>3151</v>
      </c>
      <c r="E1684" s="8">
        <v>4</v>
      </c>
      <c r="F1684" s="8" t="s">
        <v>219</v>
      </c>
      <c r="G1684" s="8" t="s">
        <v>239</v>
      </c>
      <c r="H1684" s="8" t="s">
        <v>602</v>
      </c>
      <c r="I1684" s="8">
        <v>29</v>
      </c>
      <c r="J1684" s="23">
        <v>46220</v>
      </c>
      <c r="K1684" s="23">
        <v>46221</v>
      </c>
      <c r="L1684" s="8" t="s">
        <v>3155</v>
      </c>
      <c r="M1684" s="8" t="s">
        <v>258</v>
      </c>
      <c r="N1684" s="8">
        <v>46</v>
      </c>
      <c r="O1684" s="8" t="s">
        <v>220</v>
      </c>
      <c r="P1684" s="8">
        <v>5</v>
      </c>
      <c r="Q1684" s="8">
        <v>1</v>
      </c>
      <c r="R1684" s="8">
        <v>0.5</v>
      </c>
      <c r="S1684" s="8">
        <v>2.2999999999999998</v>
      </c>
      <c r="T1684" s="8">
        <v>0.5</v>
      </c>
      <c r="U1684" s="8" t="s">
        <v>122</v>
      </c>
      <c r="V1684" s="8" t="s">
        <v>123</v>
      </c>
      <c r="W1684" s="8" t="s">
        <v>75</v>
      </c>
      <c r="X1684" s="8">
        <v>4.5999999999999996</v>
      </c>
      <c r="Y1684" s="8" t="s">
        <v>2629</v>
      </c>
      <c r="Z1684" s="8" t="s">
        <v>496</v>
      </c>
      <c r="AA1684" s="8">
        <v>180</v>
      </c>
      <c r="AB1684" s="8">
        <v>414</v>
      </c>
      <c r="AC1684" s="8">
        <v>90</v>
      </c>
    </row>
    <row r="1685" spans="2:29" ht="15" customHeight="1" x14ac:dyDescent="0.15">
      <c r="B1685" s="8">
        <v>4</v>
      </c>
      <c r="C1685" s="8" t="s">
        <v>386</v>
      </c>
      <c r="D1685" s="8" t="s">
        <v>3151</v>
      </c>
      <c r="E1685" s="8">
        <v>5</v>
      </c>
      <c r="F1685" s="8" t="s">
        <v>219</v>
      </c>
      <c r="G1685" s="8" t="s">
        <v>218</v>
      </c>
      <c r="H1685" s="8" t="s">
        <v>2353</v>
      </c>
      <c r="I1685" s="8">
        <v>29</v>
      </c>
      <c r="J1685" s="23">
        <v>46220</v>
      </c>
      <c r="K1685" s="23">
        <v>46221</v>
      </c>
      <c r="L1685" s="8" t="s">
        <v>3156</v>
      </c>
      <c r="M1685" s="8" t="s">
        <v>2946</v>
      </c>
      <c r="N1685" s="8">
        <v>46</v>
      </c>
      <c r="O1685" s="8" t="s">
        <v>202</v>
      </c>
      <c r="P1685" s="8">
        <v>5</v>
      </c>
      <c r="Q1685" s="8">
        <v>1</v>
      </c>
      <c r="R1685" s="8">
        <v>0.2</v>
      </c>
      <c r="S1685" s="8">
        <v>0.92</v>
      </c>
      <c r="T1685" s="8">
        <v>0.2</v>
      </c>
      <c r="U1685" s="8" t="s">
        <v>122</v>
      </c>
      <c r="V1685" s="8" t="s">
        <v>123</v>
      </c>
      <c r="W1685" s="8" t="s">
        <v>75</v>
      </c>
      <c r="X1685" s="8">
        <v>4.5999999999999996</v>
      </c>
      <c r="Y1685" s="8" t="s">
        <v>2629</v>
      </c>
      <c r="Z1685" s="8" t="s">
        <v>496</v>
      </c>
      <c r="AA1685" s="8">
        <v>61.3</v>
      </c>
      <c r="AB1685" s="8">
        <v>56.4</v>
      </c>
      <c r="AC1685" s="8">
        <v>12.26</v>
      </c>
    </row>
    <row r="1686" spans="2:29" ht="15" customHeight="1" x14ac:dyDescent="0.15">
      <c r="B1686" s="8">
        <v>4</v>
      </c>
      <c r="C1686" s="8" t="s">
        <v>386</v>
      </c>
      <c r="D1686" s="8" t="s">
        <v>3151</v>
      </c>
      <c r="E1686" s="8">
        <v>6</v>
      </c>
      <c r="F1686" s="8" t="s">
        <v>219</v>
      </c>
      <c r="G1686" s="8" t="s">
        <v>218</v>
      </c>
      <c r="H1686" s="8" t="s">
        <v>686</v>
      </c>
      <c r="I1686" s="8">
        <v>29</v>
      </c>
      <c r="J1686" s="23">
        <v>46220</v>
      </c>
      <c r="K1686" s="23">
        <v>46221</v>
      </c>
      <c r="L1686" s="8" t="s">
        <v>3157</v>
      </c>
      <c r="M1686" s="8" t="s">
        <v>2468</v>
      </c>
      <c r="N1686" s="8">
        <v>46</v>
      </c>
      <c r="O1686" s="8" t="s">
        <v>220</v>
      </c>
      <c r="P1686" s="8">
        <v>5</v>
      </c>
      <c r="Q1686" s="8">
        <v>1</v>
      </c>
      <c r="R1686" s="8">
        <v>0.2</v>
      </c>
      <c r="S1686" s="8">
        <v>0.92</v>
      </c>
      <c r="T1686" s="8">
        <v>0.2</v>
      </c>
      <c r="U1686" s="8" t="s">
        <v>122</v>
      </c>
      <c r="V1686" s="8" t="s">
        <v>123</v>
      </c>
      <c r="W1686" s="8" t="s">
        <v>75</v>
      </c>
      <c r="X1686" s="8">
        <v>4.5999999999999996</v>
      </c>
      <c r="Y1686" s="8" t="s">
        <v>2629</v>
      </c>
      <c r="Z1686" s="8" t="s">
        <v>496</v>
      </c>
      <c r="AA1686" s="8">
        <v>80.900000000000006</v>
      </c>
      <c r="AB1686" s="8">
        <v>74.430000000000007</v>
      </c>
      <c r="AC1686" s="8">
        <v>16.18</v>
      </c>
    </row>
    <row r="1687" spans="2:29" ht="15" customHeight="1" x14ac:dyDescent="0.15">
      <c r="B1687" s="8">
        <v>4</v>
      </c>
      <c r="C1687" s="8" t="s">
        <v>386</v>
      </c>
      <c r="D1687" s="8" t="s">
        <v>3158</v>
      </c>
      <c r="E1687" s="8">
        <v>1</v>
      </c>
      <c r="F1687" s="8" t="s">
        <v>219</v>
      </c>
      <c r="G1687" s="8" t="s">
        <v>223</v>
      </c>
      <c r="H1687" s="8" t="s">
        <v>2608</v>
      </c>
      <c r="I1687" s="8">
        <v>29</v>
      </c>
      <c r="J1687" s="23">
        <v>46220</v>
      </c>
      <c r="K1687" s="23">
        <v>46221</v>
      </c>
      <c r="L1687" s="8" t="s">
        <v>3159</v>
      </c>
      <c r="M1687" s="8" t="s">
        <v>3001</v>
      </c>
      <c r="N1687" s="8">
        <v>78</v>
      </c>
      <c r="O1687" s="8" t="s">
        <v>220</v>
      </c>
      <c r="P1687" s="8">
        <v>5</v>
      </c>
      <c r="Q1687" s="8">
        <v>1</v>
      </c>
      <c r="R1687" s="8">
        <v>12</v>
      </c>
      <c r="S1687" s="8">
        <v>54</v>
      </c>
      <c r="T1687" s="8">
        <v>12</v>
      </c>
      <c r="U1687" s="8" t="s">
        <v>96</v>
      </c>
      <c r="V1687" s="8" t="s">
        <v>97</v>
      </c>
      <c r="W1687" s="8" t="s">
        <v>21</v>
      </c>
      <c r="X1687" s="8">
        <v>4.5</v>
      </c>
      <c r="Y1687" s="8" t="s">
        <v>3069</v>
      </c>
      <c r="Z1687" s="8" t="s">
        <v>496</v>
      </c>
      <c r="AA1687" s="8">
        <v>3</v>
      </c>
      <c r="AB1687" s="8">
        <v>162</v>
      </c>
      <c r="AC1687" s="8">
        <v>36</v>
      </c>
    </row>
    <row r="1688" spans="2:29" ht="15" customHeight="1" x14ac:dyDescent="0.15">
      <c r="B1688" s="8">
        <v>4</v>
      </c>
      <c r="C1688" s="8" t="s">
        <v>386</v>
      </c>
      <c r="D1688" s="8" t="s">
        <v>3160</v>
      </c>
      <c r="E1688" s="8">
        <v>1</v>
      </c>
      <c r="F1688" s="8" t="s">
        <v>219</v>
      </c>
      <c r="G1688" s="8" t="s">
        <v>223</v>
      </c>
      <c r="H1688" s="8" t="s">
        <v>2608</v>
      </c>
      <c r="I1688" s="8">
        <v>29</v>
      </c>
      <c r="J1688" s="23">
        <v>46220</v>
      </c>
      <c r="K1688" s="23">
        <v>46221</v>
      </c>
      <c r="L1688" s="8" t="s">
        <v>3161</v>
      </c>
      <c r="M1688" s="8" t="s">
        <v>3001</v>
      </c>
      <c r="N1688" s="8">
        <v>89</v>
      </c>
      <c r="O1688" s="8" t="s">
        <v>220</v>
      </c>
      <c r="P1688" s="8">
        <v>2</v>
      </c>
      <c r="Q1688" s="8">
        <v>1</v>
      </c>
      <c r="R1688" s="8">
        <v>12</v>
      </c>
      <c r="S1688" s="8">
        <v>24</v>
      </c>
      <c r="T1688" s="8">
        <v>12</v>
      </c>
      <c r="U1688" s="8" t="s">
        <v>84</v>
      </c>
      <c r="V1688" s="8" t="s">
        <v>85</v>
      </c>
      <c r="W1688" s="8" t="s">
        <v>21</v>
      </c>
      <c r="X1688" s="8">
        <v>2</v>
      </c>
      <c r="Y1688" s="8" t="s">
        <v>3069</v>
      </c>
      <c r="Z1688" s="8" t="s">
        <v>496</v>
      </c>
      <c r="AA1688" s="8">
        <v>3</v>
      </c>
      <c r="AB1688" s="8">
        <v>72</v>
      </c>
      <c r="AC1688" s="8">
        <v>36</v>
      </c>
    </row>
    <row r="1689" spans="2:29" ht="15" customHeight="1" x14ac:dyDescent="0.15">
      <c r="B1689" s="8">
        <v>4</v>
      </c>
      <c r="C1689" s="8" t="s">
        <v>386</v>
      </c>
      <c r="D1689" s="8" t="s">
        <v>3162</v>
      </c>
      <c r="E1689" s="8">
        <v>1</v>
      </c>
      <c r="F1689" s="8" t="s">
        <v>219</v>
      </c>
      <c r="G1689" s="8" t="s">
        <v>223</v>
      </c>
      <c r="H1689" s="8" t="s">
        <v>2608</v>
      </c>
      <c r="I1689" s="8">
        <v>29</v>
      </c>
      <c r="J1689" s="23">
        <v>46218</v>
      </c>
      <c r="K1689" s="23">
        <v>46218</v>
      </c>
      <c r="L1689" s="8" t="s">
        <v>3163</v>
      </c>
      <c r="M1689" s="8" t="s">
        <v>3001</v>
      </c>
      <c r="N1689" s="8">
        <v>78</v>
      </c>
      <c r="O1689" s="8" t="s">
        <v>220</v>
      </c>
      <c r="P1689" s="8">
        <v>8</v>
      </c>
      <c r="Q1689" s="8">
        <v>1.03</v>
      </c>
      <c r="R1689" s="8">
        <v>12</v>
      </c>
      <c r="S1689" s="8">
        <v>90</v>
      </c>
      <c r="T1689" s="8">
        <v>12.33</v>
      </c>
      <c r="U1689" s="8" t="s">
        <v>101</v>
      </c>
      <c r="V1689" s="8" t="s">
        <v>102</v>
      </c>
      <c r="W1689" s="8" t="s">
        <v>75</v>
      </c>
      <c r="X1689" s="8">
        <v>7.3</v>
      </c>
      <c r="Y1689" s="8" t="s">
        <v>3069</v>
      </c>
      <c r="Z1689" s="8" t="s">
        <v>496</v>
      </c>
      <c r="AA1689" s="8">
        <v>3</v>
      </c>
      <c r="AB1689" s="8">
        <v>270</v>
      </c>
      <c r="AC1689" s="8">
        <v>36.99</v>
      </c>
    </row>
    <row r="1690" spans="2:29" ht="15" customHeight="1" x14ac:dyDescent="0.15">
      <c r="B1690">
        <v>4</v>
      </c>
      <c r="C1690" t="s">
        <v>386</v>
      </c>
      <c r="D1690" t="s">
        <v>3164</v>
      </c>
      <c r="E1690">
        <v>1</v>
      </c>
      <c r="F1690" t="s">
        <v>219</v>
      </c>
      <c r="G1690" t="s">
        <v>231</v>
      </c>
      <c r="H1690" t="s">
        <v>231</v>
      </c>
      <c r="I1690">
        <v>30</v>
      </c>
      <c r="J1690" s="21">
        <v>46222</v>
      </c>
      <c r="K1690" s="21">
        <v>46223</v>
      </c>
      <c r="L1690" t="s">
        <v>3165</v>
      </c>
      <c r="M1690" t="s">
        <v>2648</v>
      </c>
      <c r="N1690">
        <v>4</v>
      </c>
      <c r="O1690" t="s">
        <v>220</v>
      </c>
      <c r="P1690">
        <v>2</v>
      </c>
      <c r="Q1690">
        <v>0.25</v>
      </c>
      <c r="R1690">
        <v>0.15</v>
      </c>
      <c r="S1690">
        <v>0.3</v>
      </c>
      <c r="T1690">
        <v>0.04</v>
      </c>
      <c r="U1690" t="s">
        <v>3166</v>
      </c>
      <c r="V1690" t="s">
        <v>154</v>
      </c>
      <c r="W1690" t="s">
        <v>21</v>
      </c>
      <c r="X1690">
        <v>8</v>
      </c>
      <c r="Y1690" t="s">
        <v>2629</v>
      </c>
      <c r="Z1690" t="s">
        <v>496</v>
      </c>
      <c r="AA1690">
        <v>16.61</v>
      </c>
      <c r="AB1690">
        <v>4.9800000000000004</v>
      </c>
      <c r="AC1690">
        <v>0.62</v>
      </c>
    </row>
    <row r="1691" spans="2:29" ht="15" customHeight="1" x14ac:dyDescent="0.15">
      <c r="B1691">
        <v>4</v>
      </c>
      <c r="C1691" t="s">
        <v>386</v>
      </c>
      <c r="D1691" t="s">
        <v>3164</v>
      </c>
      <c r="E1691">
        <v>2</v>
      </c>
      <c r="F1691" t="s">
        <v>219</v>
      </c>
      <c r="G1691" t="s">
        <v>439</v>
      </c>
      <c r="H1691" t="s">
        <v>533</v>
      </c>
      <c r="I1691">
        <v>30</v>
      </c>
      <c r="J1691" s="21">
        <v>46222</v>
      </c>
      <c r="K1691" s="21">
        <v>46223</v>
      </c>
      <c r="L1691" t="s">
        <v>3167</v>
      </c>
      <c r="M1691" t="s">
        <v>535</v>
      </c>
      <c r="N1691">
        <v>4</v>
      </c>
      <c r="O1691" t="s">
        <v>220</v>
      </c>
      <c r="P1691">
        <v>2</v>
      </c>
      <c r="Q1691">
        <v>0.25</v>
      </c>
      <c r="R1691">
        <v>1.5</v>
      </c>
      <c r="S1691">
        <v>3</v>
      </c>
      <c r="T1691">
        <v>0.38</v>
      </c>
      <c r="U1691" t="s">
        <v>3166</v>
      </c>
      <c r="V1691" t="s">
        <v>154</v>
      </c>
      <c r="W1691" t="s">
        <v>21</v>
      </c>
      <c r="X1691">
        <v>8</v>
      </c>
      <c r="Y1691" t="s">
        <v>2629</v>
      </c>
      <c r="Z1691" t="s">
        <v>496</v>
      </c>
      <c r="AA1691">
        <v>38.14</v>
      </c>
      <c r="AB1691">
        <v>114.42</v>
      </c>
      <c r="AC1691">
        <v>14.3</v>
      </c>
    </row>
    <row r="1692" spans="2:29" ht="15" customHeight="1" x14ac:dyDescent="0.15">
      <c r="B1692">
        <v>4</v>
      </c>
      <c r="C1692" t="s">
        <v>386</v>
      </c>
      <c r="D1692" t="s">
        <v>3168</v>
      </c>
      <c r="E1692">
        <v>1</v>
      </c>
      <c r="F1692" t="s">
        <v>219</v>
      </c>
      <c r="G1692" t="s">
        <v>231</v>
      </c>
      <c r="H1692" t="s">
        <v>231</v>
      </c>
      <c r="I1692">
        <v>30</v>
      </c>
      <c r="J1692" s="21">
        <v>46222</v>
      </c>
      <c r="K1692" s="21">
        <v>46227</v>
      </c>
      <c r="L1692" t="s">
        <v>3169</v>
      </c>
      <c r="M1692" t="s">
        <v>230</v>
      </c>
      <c r="N1692">
        <v>28</v>
      </c>
      <c r="O1692" t="s">
        <v>220</v>
      </c>
      <c r="P1692">
        <v>1</v>
      </c>
      <c r="Q1692">
        <v>1</v>
      </c>
      <c r="R1692">
        <v>0.03</v>
      </c>
      <c r="S1692">
        <v>0.03</v>
      </c>
      <c r="T1692">
        <v>0.03</v>
      </c>
      <c r="U1692" t="s">
        <v>135</v>
      </c>
      <c r="V1692" t="s">
        <v>136</v>
      </c>
      <c r="W1692" t="s">
        <v>21</v>
      </c>
      <c r="X1692">
        <v>1</v>
      </c>
      <c r="Y1692" t="s">
        <v>2629</v>
      </c>
      <c r="Z1692" t="s">
        <v>496</v>
      </c>
      <c r="AB1692">
        <v>0</v>
      </c>
      <c r="AC1692">
        <v>0</v>
      </c>
    </row>
    <row r="1693" spans="2:29" ht="15" customHeight="1" x14ac:dyDescent="0.15">
      <c r="B1693">
        <v>4</v>
      </c>
      <c r="C1693" t="s">
        <v>386</v>
      </c>
      <c r="D1693" t="s">
        <v>3168</v>
      </c>
      <c r="E1693">
        <v>2</v>
      </c>
      <c r="F1693" t="s">
        <v>219</v>
      </c>
      <c r="G1693" t="s">
        <v>239</v>
      </c>
      <c r="H1693" t="s">
        <v>456</v>
      </c>
      <c r="I1693">
        <v>30</v>
      </c>
      <c r="J1693" s="21">
        <v>46222</v>
      </c>
      <c r="K1693" s="21">
        <v>46227</v>
      </c>
      <c r="L1693" t="s">
        <v>3170</v>
      </c>
      <c r="M1693" t="s">
        <v>458</v>
      </c>
      <c r="N1693">
        <v>28</v>
      </c>
      <c r="O1693" t="s">
        <v>220</v>
      </c>
      <c r="P1693">
        <v>1</v>
      </c>
      <c r="Q1693">
        <v>1</v>
      </c>
      <c r="R1693">
        <v>1</v>
      </c>
      <c r="S1693">
        <v>1</v>
      </c>
      <c r="T1693">
        <v>1</v>
      </c>
      <c r="U1693" t="s">
        <v>135</v>
      </c>
      <c r="V1693" t="s">
        <v>136</v>
      </c>
      <c r="W1693" t="s">
        <v>21</v>
      </c>
      <c r="X1693">
        <v>1</v>
      </c>
      <c r="Y1693" t="s">
        <v>2629</v>
      </c>
      <c r="Z1693" t="s">
        <v>496</v>
      </c>
      <c r="AA1693">
        <v>49.99</v>
      </c>
      <c r="AB1693">
        <v>49.99</v>
      </c>
      <c r="AC1693">
        <v>49.99</v>
      </c>
    </row>
    <row r="1694" spans="2:29" ht="15" customHeight="1" x14ac:dyDescent="0.15">
      <c r="B1694">
        <v>4</v>
      </c>
      <c r="C1694" t="s">
        <v>386</v>
      </c>
      <c r="D1694" t="s">
        <v>3168</v>
      </c>
      <c r="E1694">
        <v>3</v>
      </c>
      <c r="F1694" t="s">
        <v>219</v>
      </c>
      <c r="G1694" t="s">
        <v>244</v>
      </c>
      <c r="H1694" t="s">
        <v>591</v>
      </c>
      <c r="I1694">
        <v>30</v>
      </c>
      <c r="J1694" s="21">
        <v>46222</v>
      </c>
      <c r="K1694" s="21">
        <v>46227</v>
      </c>
      <c r="L1694" t="s">
        <v>3171</v>
      </c>
      <c r="M1694" t="s">
        <v>593</v>
      </c>
      <c r="N1694">
        <v>28</v>
      </c>
      <c r="O1694" t="s">
        <v>220</v>
      </c>
      <c r="P1694">
        <v>1</v>
      </c>
      <c r="Q1694">
        <v>1</v>
      </c>
      <c r="R1694">
        <v>1</v>
      </c>
      <c r="S1694">
        <v>1</v>
      </c>
      <c r="T1694">
        <v>1</v>
      </c>
      <c r="U1694" t="s">
        <v>135</v>
      </c>
      <c r="V1694" t="s">
        <v>136</v>
      </c>
      <c r="W1694" t="s">
        <v>21</v>
      </c>
      <c r="X1694">
        <v>1</v>
      </c>
      <c r="Y1694" t="s">
        <v>2629</v>
      </c>
      <c r="Z1694" t="s">
        <v>496</v>
      </c>
      <c r="AA1694">
        <v>37.58</v>
      </c>
      <c r="AB1694">
        <v>37.58</v>
      </c>
      <c r="AC1694">
        <v>37.58</v>
      </c>
    </row>
    <row r="1695" spans="2:29" ht="15" customHeight="1" x14ac:dyDescent="0.15">
      <c r="B1695">
        <v>4</v>
      </c>
      <c r="C1695" t="s">
        <v>386</v>
      </c>
      <c r="D1695" t="s">
        <v>3168</v>
      </c>
      <c r="E1695">
        <v>4</v>
      </c>
      <c r="F1695" t="s">
        <v>219</v>
      </c>
      <c r="G1695" t="s">
        <v>218</v>
      </c>
      <c r="H1695" t="s">
        <v>2305</v>
      </c>
      <c r="I1695">
        <v>30</v>
      </c>
      <c r="J1695" s="21">
        <v>46222</v>
      </c>
      <c r="K1695" s="21">
        <v>46227</v>
      </c>
      <c r="L1695" t="s">
        <v>3172</v>
      </c>
      <c r="M1695" t="s">
        <v>255</v>
      </c>
      <c r="N1695">
        <v>28</v>
      </c>
      <c r="O1695" t="s">
        <v>220</v>
      </c>
      <c r="P1695">
        <v>1</v>
      </c>
      <c r="Q1695">
        <v>1</v>
      </c>
      <c r="R1695">
        <v>0.5</v>
      </c>
      <c r="S1695">
        <v>0.5</v>
      </c>
      <c r="T1695">
        <v>0.5</v>
      </c>
      <c r="U1695" t="s">
        <v>135</v>
      </c>
      <c r="V1695" t="s">
        <v>136</v>
      </c>
      <c r="W1695" t="s">
        <v>21</v>
      </c>
      <c r="X1695">
        <v>1</v>
      </c>
      <c r="Y1695" t="s">
        <v>2629</v>
      </c>
      <c r="Z1695" t="s">
        <v>496</v>
      </c>
      <c r="AA1695">
        <v>37.5</v>
      </c>
      <c r="AB1695">
        <v>18.75</v>
      </c>
      <c r="AC1695">
        <v>18.75</v>
      </c>
    </row>
    <row r="1696" spans="2:29" ht="15" customHeight="1" x14ac:dyDescent="0.15">
      <c r="B1696">
        <v>4</v>
      </c>
      <c r="C1696" t="s">
        <v>386</v>
      </c>
      <c r="D1696" t="s">
        <v>3168</v>
      </c>
      <c r="E1696">
        <v>5</v>
      </c>
      <c r="F1696" t="s">
        <v>219</v>
      </c>
      <c r="G1696" t="s">
        <v>218</v>
      </c>
      <c r="H1696" t="s">
        <v>3173</v>
      </c>
      <c r="I1696">
        <v>30</v>
      </c>
      <c r="J1696" s="21">
        <v>46222</v>
      </c>
      <c r="K1696" s="21">
        <v>46227</v>
      </c>
      <c r="L1696" t="s">
        <v>3174</v>
      </c>
      <c r="M1696" t="s">
        <v>3175</v>
      </c>
      <c r="N1696">
        <v>28</v>
      </c>
      <c r="O1696" t="s">
        <v>202</v>
      </c>
      <c r="P1696">
        <v>1</v>
      </c>
      <c r="Q1696">
        <v>1</v>
      </c>
      <c r="R1696">
        <v>0.3</v>
      </c>
      <c r="S1696">
        <v>0.3</v>
      </c>
      <c r="T1696">
        <v>0.3</v>
      </c>
      <c r="U1696" t="s">
        <v>135</v>
      </c>
      <c r="V1696" t="s">
        <v>136</v>
      </c>
      <c r="W1696" t="s">
        <v>21</v>
      </c>
      <c r="X1696">
        <v>1</v>
      </c>
      <c r="Y1696" t="s">
        <v>2629</v>
      </c>
      <c r="Z1696" t="s">
        <v>496</v>
      </c>
      <c r="AB1696">
        <v>0</v>
      </c>
      <c r="AC1696">
        <v>0</v>
      </c>
    </row>
    <row r="1697" spans="2:29" ht="15" customHeight="1" x14ac:dyDescent="0.15">
      <c r="B1697">
        <v>4</v>
      </c>
      <c r="C1697" t="s">
        <v>386</v>
      </c>
      <c r="D1697" t="s">
        <v>3168</v>
      </c>
      <c r="E1697">
        <v>6</v>
      </c>
      <c r="F1697" t="s">
        <v>219</v>
      </c>
      <c r="G1697" t="s">
        <v>218</v>
      </c>
      <c r="H1697" t="s">
        <v>686</v>
      </c>
      <c r="I1697">
        <v>30</v>
      </c>
      <c r="J1697" s="21">
        <v>46222</v>
      </c>
      <c r="K1697" s="21">
        <v>46227</v>
      </c>
      <c r="L1697" t="s">
        <v>3176</v>
      </c>
      <c r="M1697" t="s">
        <v>2468</v>
      </c>
      <c r="N1697">
        <v>28</v>
      </c>
      <c r="O1697" t="s">
        <v>202</v>
      </c>
      <c r="P1697">
        <v>1</v>
      </c>
      <c r="Q1697">
        <v>1</v>
      </c>
      <c r="R1697">
        <v>0.2</v>
      </c>
      <c r="S1697">
        <v>0.2</v>
      </c>
      <c r="T1697">
        <v>0.2</v>
      </c>
      <c r="U1697" t="s">
        <v>135</v>
      </c>
      <c r="V1697" t="s">
        <v>136</v>
      </c>
      <c r="W1697" t="s">
        <v>21</v>
      </c>
      <c r="X1697">
        <v>1</v>
      </c>
      <c r="Y1697" t="s">
        <v>2629</v>
      </c>
      <c r="Z1697" t="s">
        <v>496</v>
      </c>
      <c r="AA1697">
        <v>80.900000000000006</v>
      </c>
      <c r="AB1697">
        <v>16.18</v>
      </c>
      <c r="AC1697">
        <v>16.18</v>
      </c>
    </row>
    <row r="1698" spans="2:29" ht="15" customHeight="1" x14ac:dyDescent="0.15">
      <c r="B1698">
        <v>4</v>
      </c>
      <c r="C1698" t="s">
        <v>386</v>
      </c>
      <c r="D1698" t="s">
        <v>3177</v>
      </c>
      <c r="E1698">
        <v>1</v>
      </c>
      <c r="F1698" t="s">
        <v>219</v>
      </c>
      <c r="G1698" t="s">
        <v>231</v>
      </c>
      <c r="H1698" t="s">
        <v>231</v>
      </c>
      <c r="I1698">
        <v>30</v>
      </c>
      <c r="J1698" s="21">
        <v>46222</v>
      </c>
      <c r="K1698" s="21">
        <v>46227</v>
      </c>
      <c r="L1698" t="s">
        <v>3178</v>
      </c>
      <c r="M1698" t="s">
        <v>230</v>
      </c>
      <c r="N1698">
        <v>100</v>
      </c>
      <c r="O1698" t="s">
        <v>220</v>
      </c>
      <c r="P1698">
        <v>2</v>
      </c>
      <c r="Q1698">
        <v>1.5</v>
      </c>
      <c r="R1698">
        <v>0.03</v>
      </c>
      <c r="S1698">
        <v>4.4999999999999998E-2</v>
      </c>
      <c r="T1698">
        <v>0.05</v>
      </c>
      <c r="U1698" t="s">
        <v>89</v>
      </c>
      <c r="V1698" t="s">
        <v>90</v>
      </c>
      <c r="W1698" t="s">
        <v>21</v>
      </c>
      <c r="X1698">
        <v>1</v>
      </c>
      <c r="Y1698" t="s">
        <v>2746</v>
      </c>
      <c r="Z1698" t="s">
        <v>496</v>
      </c>
      <c r="AB1698">
        <v>0</v>
      </c>
      <c r="AC1698">
        <v>0</v>
      </c>
    </row>
    <row r="1699" spans="2:29" ht="15" customHeight="1" x14ac:dyDescent="0.15">
      <c r="B1699">
        <v>4</v>
      </c>
      <c r="C1699" t="s">
        <v>386</v>
      </c>
      <c r="D1699" t="s">
        <v>3177</v>
      </c>
      <c r="E1699">
        <v>2</v>
      </c>
      <c r="F1699" t="s">
        <v>219</v>
      </c>
      <c r="G1699" t="s">
        <v>218</v>
      </c>
      <c r="H1699" t="s">
        <v>2305</v>
      </c>
      <c r="I1699">
        <v>30</v>
      </c>
      <c r="J1699" s="21">
        <v>46222</v>
      </c>
      <c r="K1699" s="21">
        <v>46227</v>
      </c>
      <c r="L1699" t="s">
        <v>3179</v>
      </c>
      <c r="M1699" t="s">
        <v>255</v>
      </c>
      <c r="N1699">
        <v>100</v>
      </c>
      <c r="O1699" t="s">
        <v>202</v>
      </c>
      <c r="P1699">
        <v>2</v>
      </c>
      <c r="Q1699">
        <v>1.5</v>
      </c>
      <c r="R1699">
        <v>0.5</v>
      </c>
      <c r="S1699">
        <v>0.75</v>
      </c>
      <c r="T1699">
        <v>0.75</v>
      </c>
      <c r="U1699" t="s">
        <v>89</v>
      </c>
      <c r="V1699" t="s">
        <v>90</v>
      </c>
      <c r="W1699" t="s">
        <v>21</v>
      </c>
      <c r="X1699">
        <v>1</v>
      </c>
      <c r="Y1699" t="s">
        <v>2746</v>
      </c>
      <c r="Z1699" t="s">
        <v>496</v>
      </c>
      <c r="AA1699">
        <v>37.5</v>
      </c>
      <c r="AB1699">
        <v>28.13</v>
      </c>
      <c r="AC1699">
        <v>28.13</v>
      </c>
    </row>
    <row r="1700" spans="2:29" ht="15" customHeight="1" x14ac:dyDescent="0.15">
      <c r="B1700">
        <v>4</v>
      </c>
      <c r="C1700" t="s">
        <v>386</v>
      </c>
      <c r="D1700" t="s">
        <v>3177</v>
      </c>
      <c r="E1700">
        <v>3</v>
      </c>
      <c r="F1700" t="s">
        <v>219</v>
      </c>
      <c r="G1700" t="s">
        <v>239</v>
      </c>
      <c r="H1700" t="s">
        <v>3082</v>
      </c>
      <c r="I1700">
        <v>30</v>
      </c>
      <c r="J1700" s="21">
        <v>46222</v>
      </c>
      <c r="K1700" s="21">
        <v>46227</v>
      </c>
      <c r="L1700" t="s">
        <v>3180</v>
      </c>
      <c r="M1700" t="s">
        <v>3084</v>
      </c>
      <c r="N1700">
        <v>100</v>
      </c>
      <c r="O1700" t="s">
        <v>202</v>
      </c>
      <c r="P1700">
        <v>2</v>
      </c>
      <c r="Q1700">
        <v>1.5</v>
      </c>
      <c r="R1700">
        <v>3</v>
      </c>
      <c r="S1700">
        <v>4.5</v>
      </c>
      <c r="T1700">
        <v>4.5</v>
      </c>
      <c r="U1700" t="s">
        <v>89</v>
      </c>
      <c r="V1700" t="s">
        <v>90</v>
      </c>
      <c r="W1700" t="s">
        <v>21</v>
      </c>
      <c r="X1700">
        <v>1</v>
      </c>
      <c r="Y1700" t="s">
        <v>2746</v>
      </c>
      <c r="Z1700" t="s">
        <v>496</v>
      </c>
      <c r="AB1700">
        <v>0</v>
      </c>
      <c r="AC1700">
        <v>0</v>
      </c>
    </row>
    <row r="1701" spans="2:29" ht="15" customHeight="1" x14ac:dyDescent="0.15">
      <c r="B1701">
        <v>4</v>
      </c>
      <c r="C1701" t="s">
        <v>386</v>
      </c>
      <c r="D1701" t="s">
        <v>3177</v>
      </c>
      <c r="E1701">
        <v>4</v>
      </c>
      <c r="F1701" t="s">
        <v>219</v>
      </c>
      <c r="G1701" t="s">
        <v>244</v>
      </c>
      <c r="H1701" t="s">
        <v>1605</v>
      </c>
      <c r="I1701">
        <v>30</v>
      </c>
      <c r="J1701" s="21">
        <v>46222</v>
      </c>
      <c r="K1701" s="21">
        <v>46227</v>
      </c>
      <c r="L1701" t="s">
        <v>3181</v>
      </c>
      <c r="M1701" t="s">
        <v>295</v>
      </c>
      <c r="N1701">
        <v>100</v>
      </c>
      <c r="O1701" t="s">
        <v>220</v>
      </c>
      <c r="P1701">
        <v>2</v>
      </c>
      <c r="Q1701">
        <v>1.5</v>
      </c>
      <c r="R1701">
        <v>1</v>
      </c>
      <c r="S1701">
        <v>1.5</v>
      </c>
      <c r="T1701">
        <v>1.5</v>
      </c>
      <c r="U1701" t="s">
        <v>89</v>
      </c>
      <c r="V1701" t="s">
        <v>90</v>
      </c>
      <c r="W1701" t="s">
        <v>21</v>
      </c>
      <c r="X1701">
        <v>1</v>
      </c>
      <c r="Y1701" t="s">
        <v>2746</v>
      </c>
      <c r="Z1701" t="s">
        <v>496</v>
      </c>
      <c r="AA1701">
        <v>77.31</v>
      </c>
      <c r="AB1701">
        <v>115.97</v>
      </c>
      <c r="AC1701">
        <v>115.97</v>
      </c>
    </row>
    <row r="1702" spans="2:29" ht="15" customHeight="1" x14ac:dyDescent="0.15">
      <c r="B1702">
        <v>4</v>
      </c>
      <c r="C1702" t="s">
        <v>386</v>
      </c>
      <c r="D1702" t="s">
        <v>3177</v>
      </c>
      <c r="E1702">
        <v>5</v>
      </c>
      <c r="F1702" t="s">
        <v>219</v>
      </c>
      <c r="G1702" t="s">
        <v>239</v>
      </c>
      <c r="H1702" t="s">
        <v>456</v>
      </c>
      <c r="I1702">
        <v>30</v>
      </c>
      <c r="J1702" s="21">
        <v>46222</v>
      </c>
      <c r="K1702" s="21">
        <v>46227</v>
      </c>
      <c r="L1702" t="s">
        <v>3182</v>
      </c>
      <c r="M1702" t="s">
        <v>458</v>
      </c>
      <c r="N1702">
        <v>100</v>
      </c>
      <c r="O1702" t="s">
        <v>220</v>
      </c>
      <c r="P1702">
        <v>2</v>
      </c>
      <c r="Q1702">
        <v>1.5</v>
      </c>
      <c r="R1702">
        <v>1</v>
      </c>
      <c r="S1702">
        <v>1.5</v>
      </c>
      <c r="T1702">
        <v>1.5</v>
      </c>
      <c r="U1702" t="s">
        <v>89</v>
      </c>
      <c r="V1702" t="s">
        <v>90</v>
      </c>
      <c r="W1702" t="s">
        <v>21</v>
      </c>
      <c r="X1702">
        <v>1</v>
      </c>
      <c r="Y1702" t="s">
        <v>2746</v>
      </c>
      <c r="Z1702" t="s">
        <v>496</v>
      </c>
      <c r="AA1702">
        <v>49.99</v>
      </c>
      <c r="AB1702">
        <v>74.989999999999995</v>
      </c>
      <c r="AC1702">
        <v>74.989999999999995</v>
      </c>
    </row>
    <row r="1703" spans="2:29" ht="15" customHeight="1" x14ac:dyDescent="0.15">
      <c r="B1703">
        <v>4</v>
      </c>
      <c r="C1703" t="s">
        <v>386</v>
      </c>
      <c r="D1703" t="s">
        <v>3177</v>
      </c>
      <c r="E1703">
        <v>6</v>
      </c>
      <c r="F1703" t="s">
        <v>219</v>
      </c>
      <c r="G1703" t="s">
        <v>239</v>
      </c>
      <c r="H1703" t="s">
        <v>485</v>
      </c>
      <c r="I1703">
        <v>30</v>
      </c>
      <c r="J1703" s="21">
        <v>46222</v>
      </c>
      <c r="K1703" s="21">
        <v>46227</v>
      </c>
      <c r="L1703" t="s">
        <v>3183</v>
      </c>
      <c r="M1703" t="s">
        <v>3184</v>
      </c>
      <c r="N1703">
        <v>100</v>
      </c>
      <c r="O1703" t="s">
        <v>202</v>
      </c>
      <c r="P1703">
        <v>2</v>
      </c>
      <c r="Q1703">
        <v>1.5</v>
      </c>
      <c r="R1703">
        <v>1</v>
      </c>
      <c r="S1703">
        <v>1.5</v>
      </c>
      <c r="T1703">
        <v>1.5</v>
      </c>
      <c r="U1703" t="s">
        <v>89</v>
      </c>
      <c r="V1703" t="s">
        <v>90</v>
      </c>
      <c r="W1703" t="s">
        <v>21</v>
      </c>
      <c r="X1703">
        <v>1</v>
      </c>
      <c r="Y1703" t="s">
        <v>2746</v>
      </c>
      <c r="Z1703" t="s">
        <v>496</v>
      </c>
      <c r="AA1703">
        <v>70.12</v>
      </c>
      <c r="AB1703">
        <v>105.18</v>
      </c>
      <c r="AC1703">
        <v>105.18</v>
      </c>
    </row>
    <row r="1704" spans="2:29" ht="15" customHeight="1" x14ac:dyDescent="0.15">
      <c r="B1704">
        <v>4</v>
      </c>
      <c r="C1704" t="s">
        <v>386</v>
      </c>
      <c r="D1704" t="s">
        <v>3177</v>
      </c>
      <c r="E1704">
        <v>7</v>
      </c>
      <c r="F1704" t="s">
        <v>219</v>
      </c>
      <c r="G1704" t="s">
        <v>239</v>
      </c>
      <c r="H1704" t="s">
        <v>2438</v>
      </c>
      <c r="I1704">
        <v>30</v>
      </c>
      <c r="J1704" s="21">
        <v>46222</v>
      </c>
      <c r="K1704" s="21">
        <v>46227</v>
      </c>
      <c r="L1704" t="s">
        <v>3185</v>
      </c>
      <c r="M1704" t="s">
        <v>2440</v>
      </c>
      <c r="N1704">
        <v>100</v>
      </c>
      <c r="O1704" t="s">
        <v>220</v>
      </c>
      <c r="P1704">
        <v>2</v>
      </c>
      <c r="Q1704">
        <v>1.5</v>
      </c>
      <c r="R1704">
        <v>1</v>
      </c>
      <c r="S1704">
        <v>1.5</v>
      </c>
      <c r="T1704">
        <v>1.5</v>
      </c>
      <c r="U1704" t="s">
        <v>89</v>
      </c>
      <c r="V1704" t="s">
        <v>90</v>
      </c>
      <c r="W1704" t="s">
        <v>21</v>
      </c>
      <c r="X1704">
        <v>1</v>
      </c>
      <c r="Y1704" t="s">
        <v>2746</v>
      </c>
      <c r="Z1704" t="s">
        <v>496</v>
      </c>
      <c r="AA1704">
        <v>41</v>
      </c>
      <c r="AB1704">
        <v>61.5</v>
      </c>
      <c r="AC1704">
        <v>61.5</v>
      </c>
    </row>
    <row r="1705" spans="2:29" ht="15" customHeight="1" x14ac:dyDescent="0.15">
      <c r="B1705">
        <v>4</v>
      </c>
      <c r="C1705" t="s">
        <v>386</v>
      </c>
      <c r="D1705" t="s">
        <v>3177</v>
      </c>
      <c r="E1705">
        <v>8</v>
      </c>
      <c r="F1705" t="s">
        <v>219</v>
      </c>
      <c r="G1705" t="s">
        <v>218</v>
      </c>
      <c r="H1705" t="s">
        <v>3173</v>
      </c>
      <c r="I1705">
        <v>30</v>
      </c>
      <c r="J1705" s="21">
        <v>46222</v>
      </c>
      <c r="K1705" s="21">
        <v>46227</v>
      </c>
      <c r="L1705" t="s">
        <v>3186</v>
      </c>
      <c r="M1705" t="s">
        <v>3175</v>
      </c>
      <c r="N1705">
        <v>100</v>
      </c>
      <c r="O1705" t="s">
        <v>220</v>
      </c>
      <c r="P1705">
        <v>2</v>
      </c>
      <c r="Q1705">
        <v>1.5</v>
      </c>
      <c r="R1705">
        <v>0.253</v>
      </c>
      <c r="S1705">
        <v>0.38</v>
      </c>
      <c r="T1705">
        <v>0.38</v>
      </c>
      <c r="U1705" t="s">
        <v>89</v>
      </c>
      <c r="V1705" t="s">
        <v>90</v>
      </c>
      <c r="W1705" t="s">
        <v>21</v>
      </c>
      <c r="X1705">
        <v>1</v>
      </c>
      <c r="Y1705" t="s">
        <v>2746</v>
      </c>
      <c r="Z1705" t="s">
        <v>496</v>
      </c>
      <c r="AB1705">
        <v>0</v>
      </c>
      <c r="AC1705">
        <v>0</v>
      </c>
    </row>
    <row r="1706" spans="2:29" ht="15" customHeight="1" x14ac:dyDescent="0.15">
      <c r="B1706">
        <v>4</v>
      </c>
      <c r="C1706" t="s">
        <v>386</v>
      </c>
      <c r="D1706" t="s">
        <v>3187</v>
      </c>
      <c r="E1706">
        <v>1</v>
      </c>
      <c r="F1706" t="s">
        <v>219</v>
      </c>
      <c r="G1706" t="s">
        <v>231</v>
      </c>
      <c r="H1706" t="s">
        <v>231</v>
      </c>
      <c r="I1706">
        <v>30</v>
      </c>
      <c r="J1706" s="21">
        <v>46222</v>
      </c>
      <c r="K1706" s="21">
        <v>46225</v>
      </c>
      <c r="L1706" t="s">
        <v>3188</v>
      </c>
      <c r="M1706" t="s">
        <v>2648</v>
      </c>
      <c r="N1706">
        <v>34</v>
      </c>
      <c r="O1706" t="s">
        <v>220</v>
      </c>
      <c r="P1706">
        <v>2</v>
      </c>
      <c r="Q1706">
        <v>1</v>
      </c>
      <c r="R1706">
        <v>0.15</v>
      </c>
      <c r="S1706">
        <v>0.3</v>
      </c>
      <c r="T1706">
        <v>0.15</v>
      </c>
      <c r="U1706" t="s">
        <v>143</v>
      </c>
      <c r="V1706" t="s">
        <v>144</v>
      </c>
      <c r="W1706" t="s">
        <v>21</v>
      </c>
      <c r="X1706">
        <v>2</v>
      </c>
      <c r="Y1706" t="s">
        <v>3069</v>
      </c>
      <c r="AA1706">
        <v>16.61</v>
      </c>
      <c r="AB1706">
        <v>4.9800000000000004</v>
      </c>
      <c r="AC1706">
        <v>2.4900000000000002</v>
      </c>
    </row>
    <row r="1707" spans="2:29" ht="15" customHeight="1" x14ac:dyDescent="0.15">
      <c r="B1707">
        <v>4</v>
      </c>
      <c r="C1707" t="s">
        <v>386</v>
      </c>
      <c r="D1707" t="s">
        <v>3187</v>
      </c>
      <c r="E1707">
        <v>2</v>
      </c>
      <c r="F1707" t="s">
        <v>219</v>
      </c>
      <c r="G1707" t="s">
        <v>218</v>
      </c>
      <c r="H1707" t="s">
        <v>1501</v>
      </c>
      <c r="I1707">
        <v>30</v>
      </c>
      <c r="J1707" s="21">
        <v>46222</v>
      </c>
      <c r="K1707" s="21">
        <v>46225</v>
      </c>
      <c r="L1707" t="s">
        <v>3189</v>
      </c>
      <c r="M1707" t="s">
        <v>2738</v>
      </c>
      <c r="N1707">
        <v>34</v>
      </c>
      <c r="O1707" t="s">
        <v>202</v>
      </c>
      <c r="P1707">
        <v>2</v>
      </c>
      <c r="Q1707">
        <v>1</v>
      </c>
      <c r="R1707">
        <v>0.2</v>
      </c>
      <c r="S1707">
        <v>0.4</v>
      </c>
      <c r="T1707">
        <v>0.2</v>
      </c>
      <c r="U1707" t="s">
        <v>143</v>
      </c>
      <c r="V1707" t="s">
        <v>144</v>
      </c>
      <c r="W1707" t="s">
        <v>21</v>
      </c>
      <c r="X1707">
        <v>2</v>
      </c>
      <c r="Y1707" t="s">
        <v>3069</v>
      </c>
      <c r="AA1707">
        <v>0</v>
      </c>
      <c r="AB1707">
        <v>0</v>
      </c>
      <c r="AC1707">
        <v>0</v>
      </c>
    </row>
    <row r="1708" spans="2:29" ht="15" customHeight="1" x14ac:dyDescent="0.15">
      <c r="B1708">
        <v>4</v>
      </c>
      <c r="C1708" t="s">
        <v>386</v>
      </c>
      <c r="D1708" t="s">
        <v>3187</v>
      </c>
      <c r="E1708">
        <v>3</v>
      </c>
      <c r="F1708" t="s">
        <v>219</v>
      </c>
      <c r="G1708" t="s">
        <v>244</v>
      </c>
      <c r="H1708" t="s">
        <v>591</v>
      </c>
      <c r="I1708">
        <v>30</v>
      </c>
      <c r="J1708" s="21">
        <v>46222</v>
      </c>
      <c r="K1708" s="21">
        <v>46225</v>
      </c>
      <c r="L1708" t="s">
        <v>3190</v>
      </c>
      <c r="M1708" t="s">
        <v>593</v>
      </c>
      <c r="N1708">
        <v>34</v>
      </c>
      <c r="O1708" t="s">
        <v>220</v>
      </c>
      <c r="P1708">
        <v>2</v>
      </c>
      <c r="Q1708">
        <v>1</v>
      </c>
      <c r="R1708">
        <v>2</v>
      </c>
      <c r="S1708">
        <v>4</v>
      </c>
      <c r="T1708">
        <v>2</v>
      </c>
      <c r="U1708" t="s">
        <v>143</v>
      </c>
      <c r="V1708" t="s">
        <v>144</v>
      </c>
      <c r="W1708" t="s">
        <v>21</v>
      </c>
      <c r="X1708">
        <v>2</v>
      </c>
      <c r="Y1708" t="s">
        <v>3069</v>
      </c>
      <c r="AA1708">
        <v>37.58</v>
      </c>
      <c r="AB1708">
        <v>150.30000000000001</v>
      </c>
      <c r="AC1708">
        <v>75.150000000000006</v>
      </c>
    </row>
    <row r="1709" spans="2:29" ht="15" customHeight="1" x14ac:dyDescent="0.15">
      <c r="B1709">
        <v>4</v>
      </c>
      <c r="C1709" t="s">
        <v>386</v>
      </c>
      <c r="D1709" t="s">
        <v>3187</v>
      </c>
      <c r="E1709">
        <v>4</v>
      </c>
      <c r="F1709" t="s">
        <v>219</v>
      </c>
      <c r="G1709" t="s">
        <v>218</v>
      </c>
      <c r="H1709" t="s">
        <v>2353</v>
      </c>
      <c r="I1709">
        <v>30</v>
      </c>
      <c r="J1709" s="21">
        <v>46222</v>
      </c>
      <c r="K1709" s="21">
        <v>46225</v>
      </c>
      <c r="L1709" t="s">
        <v>3191</v>
      </c>
      <c r="M1709" t="s">
        <v>2946</v>
      </c>
      <c r="N1709">
        <v>34</v>
      </c>
      <c r="O1709" t="s">
        <v>202</v>
      </c>
      <c r="P1709">
        <v>2</v>
      </c>
      <c r="Q1709">
        <v>1</v>
      </c>
      <c r="R1709">
        <v>0.2</v>
      </c>
      <c r="S1709">
        <v>0.4</v>
      </c>
      <c r="T1709">
        <v>0.2</v>
      </c>
      <c r="U1709" t="s">
        <v>143</v>
      </c>
      <c r="V1709" t="s">
        <v>144</v>
      </c>
      <c r="W1709" t="s">
        <v>21</v>
      </c>
      <c r="X1709">
        <v>2</v>
      </c>
      <c r="Y1709" t="s">
        <v>3069</v>
      </c>
      <c r="AA1709">
        <v>61.3</v>
      </c>
      <c r="AB1709">
        <v>24.52</v>
      </c>
      <c r="AC1709">
        <v>12.26</v>
      </c>
    </row>
    <row r="1710" spans="2:29" ht="15" customHeight="1" x14ac:dyDescent="0.15">
      <c r="B1710">
        <v>4</v>
      </c>
      <c r="C1710" t="s">
        <v>386</v>
      </c>
      <c r="D1710" t="s">
        <v>3187</v>
      </c>
      <c r="E1710">
        <v>5</v>
      </c>
      <c r="F1710" t="s">
        <v>219</v>
      </c>
      <c r="G1710" t="s">
        <v>218</v>
      </c>
      <c r="H1710" t="s">
        <v>911</v>
      </c>
      <c r="I1710">
        <v>30</v>
      </c>
      <c r="J1710" s="21">
        <v>46222</v>
      </c>
      <c r="K1710" s="21">
        <v>46225</v>
      </c>
      <c r="L1710" t="s">
        <v>3192</v>
      </c>
      <c r="M1710" t="s">
        <v>2396</v>
      </c>
      <c r="N1710">
        <v>34</v>
      </c>
      <c r="O1710" t="s">
        <v>202</v>
      </c>
      <c r="P1710">
        <v>2</v>
      </c>
      <c r="Q1710">
        <v>1</v>
      </c>
      <c r="R1710">
        <v>0.25</v>
      </c>
      <c r="S1710">
        <v>0.5</v>
      </c>
      <c r="T1710">
        <v>0.25</v>
      </c>
      <c r="U1710" t="s">
        <v>143</v>
      </c>
      <c r="V1710" t="s">
        <v>144</v>
      </c>
      <c r="W1710" t="s">
        <v>21</v>
      </c>
      <c r="X1710">
        <v>2</v>
      </c>
      <c r="Y1710" t="s">
        <v>3069</v>
      </c>
      <c r="AA1710">
        <v>91.24</v>
      </c>
      <c r="AB1710">
        <v>45.62</v>
      </c>
      <c r="AC1710">
        <v>22.81</v>
      </c>
    </row>
    <row r="1711" spans="2:29" ht="15" customHeight="1" x14ac:dyDescent="0.15">
      <c r="B1711">
        <v>4</v>
      </c>
      <c r="C1711" t="s">
        <v>386</v>
      </c>
      <c r="D1711" t="s">
        <v>3187</v>
      </c>
      <c r="E1711">
        <v>6</v>
      </c>
      <c r="F1711" t="s">
        <v>219</v>
      </c>
      <c r="G1711" t="s">
        <v>244</v>
      </c>
      <c r="H1711" t="s">
        <v>1605</v>
      </c>
      <c r="I1711">
        <v>30</v>
      </c>
      <c r="J1711" s="21">
        <v>46222</v>
      </c>
      <c r="K1711" s="21">
        <v>46225</v>
      </c>
      <c r="L1711" t="s">
        <v>3193</v>
      </c>
      <c r="M1711" t="s">
        <v>295</v>
      </c>
      <c r="N1711">
        <v>34</v>
      </c>
      <c r="O1711" t="s">
        <v>220</v>
      </c>
      <c r="P1711">
        <v>2</v>
      </c>
      <c r="Q1711">
        <v>1</v>
      </c>
      <c r="R1711">
        <v>0.5</v>
      </c>
      <c r="S1711">
        <v>1</v>
      </c>
      <c r="T1711">
        <v>0.5</v>
      </c>
      <c r="U1711" t="s">
        <v>143</v>
      </c>
      <c r="V1711" t="s">
        <v>144</v>
      </c>
      <c r="W1711" t="s">
        <v>21</v>
      </c>
      <c r="X1711">
        <v>2</v>
      </c>
      <c r="Y1711" t="s">
        <v>3069</v>
      </c>
      <c r="AA1711">
        <v>77.31</v>
      </c>
      <c r="AB1711">
        <v>77.31</v>
      </c>
      <c r="AC1711">
        <v>38.659999999999997</v>
      </c>
    </row>
    <row r="1712" spans="2:29" ht="15" customHeight="1" x14ac:dyDescent="0.15">
      <c r="B1712">
        <v>4</v>
      </c>
      <c r="C1712" t="s">
        <v>386</v>
      </c>
      <c r="D1712" t="s">
        <v>3187</v>
      </c>
      <c r="E1712">
        <v>7</v>
      </c>
      <c r="F1712" t="s">
        <v>219</v>
      </c>
      <c r="G1712" t="s">
        <v>218</v>
      </c>
      <c r="H1712" t="s">
        <v>686</v>
      </c>
      <c r="I1712">
        <v>30</v>
      </c>
      <c r="J1712" s="21">
        <v>46222</v>
      </c>
      <c r="K1712" s="21">
        <v>46225</v>
      </c>
      <c r="L1712" t="s">
        <v>3194</v>
      </c>
      <c r="M1712" t="s">
        <v>2468</v>
      </c>
      <c r="N1712">
        <v>34</v>
      </c>
      <c r="O1712" t="s">
        <v>220</v>
      </c>
      <c r="P1712">
        <v>2</v>
      </c>
      <c r="Q1712">
        <v>1</v>
      </c>
      <c r="R1712">
        <v>0.2</v>
      </c>
      <c r="S1712">
        <v>0.4</v>
      </c>
      <c r="T1712">
        <v>0.2</v>
      </c>
      <c r="U1712" t="s">
        <v>143</v>
      </c>
      <c r="V1712" t="s">
        <v>144</v>
      </c>
      <c r="W1712" t="s">
        <v>21</v>
      </c>
      <c r="X1712">
        <v>2</v>
      </c>
      <c r="Y1712" t="s">
        <v>3069</v>
      </c>
      <c r="AA1712">
        <v>80.900000000000006</v>
      </c>
      <c r="AB1712">
        <v>32.36</v>
      </c>
      <c r="AC1712">
        <v>16.18</v>
      </c>
    </row>
    <row r="1713" spans="2:29" ht="15" customHeight="1" x14ac:dyDescent="0.15">
      <c r="B1713">
        <v>4</v>
      </c>
      <c r="C1713" t="s">
        <v>386</v>
      </c>
      <c r="D1713" t="s">
        <v>3195</v>
      </c>
      <c r="E1713">
        <v>1</v>
      </c>
      <c r="F1713" t="s">
        <v>219</v>
      </c>
      <c r="G1713" t="s">
        <v>231</v>
      </c>
      <c r="H1713" t="s">
        <v>231</v>
      </c>
      <c r="I1713">
        <v>30</v>
      </c>
      <c r="J1713" s="21">
        <v>46222</v>
      </c>
      <c r="K1713" s="21">
        <v>46224</v>
      </c>
      <c r="L1713" t="s">
        <v>3196</v>
      </c>
      <c r="M1713" t="s">
        <v>2648</v>
      </c>
      <c r="N1713">
        <v>116</v>
      </c>
      <c r="O1713" t="s">
        <v>220</v>
      </c>
      <c r="P1713">
        <v>3</v>
      </c>
      <c r="Q1713">
        <v>1.88</v>
      </c>
      <c r="R1713">
        <v>0.15</v>
      </c>
      <c r="S1713">
        <v>0.45</v>
      </c>
      <c r="T1713">
        <v>0.28000000000000003</v>
      </c>
      <c r="U1713" t="s">
        <v>60</v>
      </c>
      <c r="V1713" t="s">
        <v>61</v>
      </c>
      <c r="W1713" t="s">
        <v>21</v>
      </c>
      <c r="X1713">
        <v>1.6</v>
      </c>
      <c r="Y1713" t="s">
        <v>3069</v>
      </c>
      <c r="AA1713">
        <v>16.61</v>
      </c>
      <c r="AB1713">
        <v>7.47</v>
      </c>
      <c r="AC1713">
        <v>4.67</v>
      </c>
    </row>
    <row r="1714" spans="2:29" ht="15" customHeight="1" x14ac:dyDescent="0.15">
      <c r="B1714">
        <v>4</v>
      </c>
      <c r="C1714" t="s">
        <v>386</v>
      </c>
      <c r="D1714" t="s">
        <v>3195</v>
      </c>
      <c r="E1714">
        <v>2</v>
      </c>
      <c r="F1714" t="s">
        <v>219</v>
      </c>
      <c r="G1714" t="s">
        <v>218</v>
      </c>
      <c r="H1714" t="s">
        <v>2353</v>
      </c>
      <c r="I1714">
        <v>30</v>
      </c>
      <c r="J1714" s="21">
        <v>46222</v>
      </c>
      <c r="K1714" s="21">
        <v>46224</v>
      </c>
      <c r="L1714" t="s">
        <v>3197</v>
      </c>
      <c r="M1714" t="s">
        <v>2946</v>
      </c>
      <c r="N1714">
        <v>116</v>
      </c>
      <c r="O1714" t="s">
        <v>202</v>
      </c>
      <c r="P1714">
        <v>3</v>
      </c>
      <c r="Q1714">
        <v>1.88</v>
      </c>
      <c r="R1714">
        <v>0.2</v>
      </c>
      <c r="S1714">
        <v>0.6</v>
      </c>
      <c r="T1714">
        <v>0.38</v>
      </c>
      <c r="U1714" t="s">
        <v>60</v>
      </c>
      <c r="V1714" t="s">
        <v>61</v>
      </c>
      <c r="W1714" t="s">
        <v>21</v>
      </c>
      <c r="X1714">
        <v>1.6</v>
      </c>
      <c r="Y1714" t="s">
        <v>3069</v>
      </c>
      <c r="AA1714">
        <v>61.3</v>
      </c>
      <c r="AB1714">
        <v>36.78</v>
      </c>
      <c r="AC1714">
        <v>22.99</v>
      </c>
    </row>
    <row r="1715" spans="2:29" ht="15" customHeight="1" x14ac:dyDescent="0.15">
      <c r="B1715">
        <v>4</v>
      </c>
      <c r="C1715" t="s">
        <v>386</v>
      </c>
      <c r="D1715" t="s">
        <v>3195</v>
      </c>
      <c r="E1715">
        <v>3</v>
      </c>
      <c r="F1715" t="s">
        <v>219</v>
      </c>
      <c r="G1715" t="s">
        <v>239</v>
      </c>
      <c r="H1715" t="s">
        <v>3082</v>
      </c>
      <c r="I1715">
        <v>30</v>
      </c>
      <c r="J1715" s="21">
        <v>46222</v>
      </c>
      <c r="K1715" s="21">
        <v>46224</v>
      </c>
      <c r="L1715" t="s">
        <v>3198</v>
      </c>
      <c r="M1715" t="s">
        <v>3084</v>
      </c>
      <c r="N1715">
        <v>116</v>
      </c>
      <c r="O1715" t="s">
        <v>202</v>
      </c>
      <c r="P1715">
        <v>3</v>
      </c>
      <c r="Q1715">
        <v>1.88</v>
      </c>
      <c r="R1715">
        <v>3</v>
      </c>
      <c r="S1715">
        <v>9</v>
      </c>
      <c r="T1715">
        <v>5.63</v>
      </c>
      <c r="U1715" t="s">
        <v>60</v>
      </c>
      <c r="V1715" t="s">
        <v>61</v>
      </c>
      <c r="W1715" t="s">
        <v>21</v>
      </c>
      <c r="X1715">
        <v>1.6</v>
      </c>
      <c r="Y1715" t="s">
        <v>3069</v>
      </c>
      <c r="AB1715">
        <v>0</v>
      </c>
      <c r="AC1715">
        <v>0</v>
      </c>
    </row>
    <row r="1716" spans="2:29" ht="15" customHeight="1" x14ac:dyDescent="0.15">
      <c r="B1716">
        <v>4</v>
      </c>
      <c r="C1716" t="s">
        <v>386</v>
      </c>
      <c r="D1716" t="s">
        <v>3195</v>
      </c>
      <c r="E1716">
        <v>4</v>
      </c>
      <c r="F1716" t="s">
        <v>219</v>
      </c>
      <c r="G1716" t="s">
        <v>244</v>
      </c>
      <c r="H1716" t="s">
        <v>1605</v>
      </c>
      <c r="I1716">
        <v>30</v>
      </c>
      <c r="J1716" s="21">
        <v>46222</v>
      </c>
      <c r="K1716" s="21">
        <v>46224</v>
      </c>
      <c r="L1716" t="s">
        <v>3199</v>
      </c>
      <c r="M1716" t="s">
        <v>295</v>
      </c>
      <c r="N1716">
        <v>116</v>
      </c>
      <c r="O1716" t="s">
        <v>220</v>
      </c>
      <c r="P1716">
        <v>3</v>
      </c>
      <c r="Q1716">
        <v>1.88</v>
      </c>
      <c r="R1716">
        <v>0.5</v>
      </c>
      <c r="S1716">
        <v>1.5</v>
      </c>
      <c r="T1716">
        <v>0.94</v>
      </c>
      <c r="U1716" t="s">
        <v>60</v>
      </c>
      <c r="V1716" t="s">
        <v>61</v>
      </c>
      <c r="W1716" t="s">
        <v>21</v>
      </c>
      <c r="X1716">
        <v>1.6</v>
      </c>
      <c r="Y1716" t="s">
        <v>3069</v>
      </c>
      <c r="AA1716">
        <v>77.31</v>
      </c>
      <c r="AB1716">
        <v>115.97</v>
      </c>
      <c r="AC1716">
        <v>72.48</v>
      </c>
    </row>
    <row r="1717" spans="2:29" ht="15" customHeight="1" x14ac:dyDescent="0.15">
      <c r="B1717">
        <v>4</v>
      </c>
      <c r="C1717" t="s">
        <v>386</v>
      </c>
      <c r="D1717" t="s">
        <v>3195</v>
      </c>
      <c r="E1717">
        <v>5</v>
      </c>
      <c r="F1717" t="s">
        <v>219</v>
      </c>
      <c r="G1717" t="s">
        <v>218</v>
      </c>
      <c r="H1717" t="s">
        <v>686</v>
      </c>
      <c r="I1717">
        <v>30</v>
      </c>
      <c r="J1717" s="21">
        <v>46222</v>
      </c>
      <c r="K1717" s="21">
        <v>46224</v>
      </c>
      <c r="L1717" t="s">
        <v>3200</v>
      </c>
      <c r="M1717" t="s">
        <v>2468</v>
      </c>
      <c r="N1717">
        <v>116</v>
      </c>
      <c r="O1717" t="s">
        <v>220</v>
      </c>
      <c r="P1717">
        <v>3</v>
      </c>
      <c r="Q1717">
        <v>1.88</v>
      </c>
      <c r="R1717">
        <v>0.2</v>
      </c>
      <c r="S1717">
        <v>0.6</v>
      </c>
      <c r="T1717">
        <v>0.38</v>
      </c>
      <c r="U1717" t="s">
        <v>60</v>
      </c>
      <c r="V1717" t="s">
        <v>61</v>
      </c>
      <c r="W1717" t="s">
        <v>21</v>
      </c>
      <c r="X1717">
        <v>1.6</v>
      </c>
      <c r="Y1717" t="s">
        <v>3069</v>
      </c>
      <c r="AA1717">
        <v>80.900000000000006</v>
      </c>
      <c r="AB1717">
        <v>48.54</v>
      </c>
      <c r="AC1717">
        <v>30.34</v>
      </c>
    </row>
    <row r="1718" spans="2:29" ht="15" customHeight="1" x14ac:dyDescent="0.15">
      <c r="B1718">
        <v>4</v>
      </c>
      <c r="C1718" t="s">
        <v>386</v>
      </c>
      <c r="D1718" t="s">
        <v>3201</v>
      </c>
      <c r="E1718">
        <v>1</v>
      </c>
      <c r="F1718" t="s">
        <v>219</v>
      </c>
      <c r="G1718" t="s">
        <v>231</v>
      </c>
      <c r="H1718" t="s">
        <v>231</v>
      </c>
      <c r="I1718">
        <v>30</v>
      </c>
      <c r="J1718" s="21">
        <v>46222</v>
      </c>
      <c r="K1718" s="21">
        <v>46223</v>
      </c>
      <c r="L1718" t="s">
        <v>3202</v>
      </c>
      <c r="M1718" t="s">
        <v>2648</v>
      </c>
      <c r="N1718">
        <v>137</v>
      </c>
      <c r="O1718" t="s">
        <v>220</v>
      </c>
      <c r="P1718">
        <v>3</v>
      </c>
      <c r="Q1718">
        <v>1.5</v>
      </c>
      <c r="R1718">
        <v>0.15</v>
      </c>
      <c r="S1718">
        <v>0.45</v>
      </c>
      <c r="T1718">
        <v>0.23</v>
      </c>
      <c r="U1718" t="s">
        <v>53</v>
      </c>
      <c r="V1718" t="s">
        <v>54</v>
      </c>
      <c r="W1718" t="s">
        <v>21</v>
      </c>
      <c r="X1718">
        <v>2</v>
      </c>
      <c r="Y1718" t="s">
        <v>3069</v>
      </c>
      <c r="AA1718">
        <v>16.61</v>
      </c>
      <c r="AB1718">
        <v>7.47</v>
      </c>
      <c r="AC1718">
        <v>3.74</v>
      </c>
    </row>
    <row r="1719" spans="2:29" ht="15" customHeight="1" x14ac:dyDescent="0.15">
      <c r="B1719">
        <v>4</v>
      </c>
      <c r="C1719" t="s">
        <v>386</v>
      </c>
      <c r="D1719" t="s">
        <v>3201</v>
      </c>
      <c r="E1719">
        <v>2</v>
      </c>
      <c r="F1719" t="s">
        <v>219</v>
      </c>
      <c r="G1719" t="s">
        <v>218</v>
      </c>
      <c r="H1719" t="s">
        <v>2353</v>
      </c>
      <c r="I1719">
        <v>30</v>
      </c>
      <c r="J1719" s="21">
        <v>46222</v>
      </c>
      <c r="K1719" s="21">
        <v>46223</v>
      </c>
      <c r="L1719" t="s">
        <v>3203</v>
      </c>
      <c r="M1719" t="s">
        <v>2946</v>
      </c>
      <c r="N1719">
        <v>137</v>
      </c>
      <c r="O1719" t="s">
        <v>202</v>
      </c>
      <c r="P1719">
        <v>3</v>
      </c>
      <c r="Q1719">
        <v>1.5</v>
      </c>
      <c r="R1719">
        <v>0.2</v>
      </c>
      <c r="S1719">
        <v>0.6</v>
      </c>
      <c r="T1719">
        <v>0.3</v>
      </c>
      <c r="U1719" t="s">
        <v>53</v>
      </c>
      <c r="V1719" t="s">
        <v>54</v>
      </c>
      <c r="W1719" t="s">
        <v>21</v>
      </c>
      <c r="X1719">
        <v>2</v>
      </c>
      <c r="Y1719" t="s">
        <v>3069</v>
      </c>
      <c r="AA1719">
        <v>61.3</v>
      </c>
      <c r="AB1719">
        <v>36.78</v>
      </c>
      <c r="AC1719">
        <v>18.39</v>
      </c>
    </row>
    <row r="1720" spans="2:29" ht="15" customHeight="1" x14ac:dyDescent="0.15">
      <c r="B1720">
        <v>4</v>
      </c>
      <c r="C1720" t="s">
        <v>386</v>
      </c>
      <c r="D1720" t="s">
        <v>3201</v>
      </c>
      <c r="E1720">
        <v>3</v>
      </c>
      <c r="F1720" t="s">
        <v>219</v>
      </c>
      <c r="G1720" t="s">
        <v>239</v>
      </c>
      <c r="H1720" t="s">
        <v>3082</v>
      </c>
      <c r="I1720">
        <v>30</v>
      </c>
      <c r="J1720" s="21">
        <v>46222</v>
      </c>
      <c r="K1720" s="21">
        <v>46223</v>
      </c>
      <c r="L1720" t="s">
        <v>3204</v>
      </c>
      <c r="M1720" t="s">
        <v>3084</v>
      </c>
      <c r="N1720">
        <v>137</v>
      </c>
      <c r="O1720" t="s">
        <v>202</v>
      </c>
      <c r="P1720">
        <v>3</v>
      </c>
      <c r="Q1720">
        <v>1.5</v>
      </c>
      <c r="R1720">
        <v>3</v>
      </c>
      <c r="S1720">
        <v>9</v>
      </c>
      <c r="T1720">
        <v>4.5</v>
      </c>
      <c r="U1720" t="s">
        <v>53</v>
      </c>
      <c r="V1720" t="s">
        <v>54</v>
      </c>
      <c r="W1720" t="s">
        <v>21</v>
      </c>
      <c r="X1720">
        <v>2</v>
      </c>
      <c r="Y1720" t="s">
        <v>3069</v>
      </c>
      <c r="AB1720">
        <v>0</v>
      </c>
      <c r="AC1720">
        <v>0</v>
      </c>
    </row>
    <row r="1721" spans="2:29" ht="15" customHeight="1" x14ac:dyDescent="0.15">
      <c r="B1721">
        <v>4</v>
      </c>
      <c r="C1721" t="s">
        <v>386</v>
      </c>
      <c r="D1721" t="s">
        <v>3201</v>
      </c>
      <c r="E1721">
        <v>4</v>
      </c>
      <c r="F1721" t="s">
        <v>219</v>
      </c>
      <c r="G1721" t="s">
        <v>244</v>
      </c>
      <c r="H1721" t="s">
        <v>1605</v>
      </c>
      <c r="I1721">
        <v>30</v>
      </c>
      <c r="J1721" s="21">
        <v>46222</v>
      </c>
      <c r="K1721" s="21">
        <v>46223</v>
      </c>
      <c r="L1721" t="s">
        <v>3205</v>
      </c>
      <c r="M1721" t="s">
        <v>295</v>
      </c>
      <c r="N1721">
        <v>137</v>
      </c>
      <c r="O1721" t="s">
        <v>220</v>
      </c>
      <c r="P1721">
        <v>3</v>
      </c>
      <c r="Q1721">
        <v>1.5</v>
      </c>
      <c r="R1721">
        <v>0.5</v>
      </c>
      <c r="S1721">
        <v>1.5</v>
      </c>
      <c r="T1721">
        <v>0.75</v>
      </c>
      <c r="U1721" t="s">
        <v>53</v>
      </c>
      <c r="V1721" t="s">
        <v>54</v>
      </c>
      <c r="W1721" t="s">
        <v>21</v>
      </c>
      <c r="X1721">
        <v>2</v>
      </c>
      <c r="Y1721" t="s">
        <v>3069</v>
      </c>
      <c r="AA1721">
        <v>77.31</v>
      </c>
      <c r="AB1721">
        <v>115.97</v>
      </c>
      <c r="AC1721">
        <v>57.98</v>
      </c>
    </row>
    <row r="1722" spans="2:29" ht="15" customHeight="1" x14ac:dyDescent="0.15">
      <c r="B1722">
        <v>4</v>
      </c>
      <c r="C1722" t="s">
        <v>386</v>
      </c>
      <c r="D1722" t="s">
        <v>3201</v>
      </c>
      <c r="E1722">
        <v>5</v>
      </c>
      <c r="F1722" t="s">
        <v>219</v>
      </c>
      <c r="G1722" t="s">
        <v>218</v>
      </c>
      <c r="H1722" t="s">
        <v>686</v>
      </c>
      <c r="I1722">
        <v>30</v>
      </c>
      <c r="J1722" s="21">
        <v>46222</v>
      </c>
      <c r="K1722" s="21">
        <v>46223</v>
      </c>
      <c r="L1722" t="s">
        <v>3206</v>
      </c>
      <c r="M1722" t="s">
        <v>2468</v>
      </c>
      <c r="N1722">
        <v>137</v>
      </c>
      <c r="O1722" t="s">
        <v>220</v>
      </c>
      <c r="P1722">
        <v>3</v>
      </c>
      <c r="Q1722">
        <v>1.5</v>
      </c>
      <c r="R1722">
        <v>0.2</v>
      </c>
      <c r="S1722">
        <v>0.6</v>
      </c>
      <c r="T1722">
        <v>0.3</v>
      </c>
      <c r="U1722" t="s">
        <v>53</v>
      </c>
      <c r="V1722" t="s">
        <v>54</v>
      </c>
      <c r="W1722" t="s">
        <v>21</v>
      </c>
      <c r="X1722">
        <v>2</v>
      </c>
      <c r="Y1722" t="s">
        <v>3069</v>
      </c>
      <c r="AA1722">
        <v>80.900000000000006</v>
      </c>
      <c r="AB1722">
        <v>48.54</v>
      </c>
      <c r="AC1722">
        <v>24.27</v>
      </c>
    </row>
    <row r="1723" spans="2:29" ht="15" customHeight="1" x14ac:dyDescent="0.15">
      <c r="B1723">
        <v>4</v>
      </c>
      <c r="C1723" t="s">
        <v>386</v>
      </c>
      <c r="D1723" t="s">
        <v>3207</v>
      </c>
      <c r="E1723">
        <v>1</v>
      </c>
      <c r="F1723" t="s">
        <v>219</v>
      </c>
      <c r="G1723" t="s">
        <v>231</v>
      </c>
      <c r="H1723" t="s">
        <v>231</v>
      </c>
      <c r="I1723">
        <v>30</v>
      </c>
      <c r="J1723" s="21">
        <v>46224</v>
      </c>
      <c r="K1723" s="21">
        <v>46224</v>
      </c>
      <c r="L1723" t="s">
        <v>3208</v>
      </c>
      <c r="M1723" t="s">
        <v>230</v>
      </c>
      <c r="N1723">
        <v>84</v>
      </c>
      <c r="O1723" t="s">
        <v>220</v>
      </c>
      <c r="P1723">
        <v>8</v>
      </c>
      <c r="Q1723">
        <v>1.04</v>
      </c>
      <c r="R1723">
        <v>0.06</v>
      </c>
      <c r="S1723">
        <v>0.45600000000000002</v>
      </c>
      <c r="T1723">
        <v>0.06</v>
      </c>
      <c r="U1723" t="s">
        <v>101</v>
      </c>
      <c r="V1723" t="s">
        <v>102</v>
      </c>
      <c r="W1723" t="s">
        <v>75</v>
      </c>
      <c r="X1723">
        <v>7.3</v>
      </c>
      <c r="Y1723" t="s">
        <v>3069</v>
      </c>
      <c r="AB1723">
        <v>0</v>
      </c>
      <c r="AC1723">
        <v>0</v>
      </c>
    </row>
    <row r="1724" spans="2:29" ht="15" customHeight="1" x14ac:dyDescent="0.15">
      <c r="B1724">
        <v>4</v>
      </c>
      <c r="C1724" t="s">
        <v>386</v>
      </c>
      <c r="D1724" t="s">
        <v>3207</v>
      </c>
      <c r="E1724">
        <v>2</v>
      </c>
      <c r="F1724" t="s">
        <v>219</v>
      </c>
      <c r="G1724" t="s">
        <v>218</v>
      </c>
      <c r="H1724" t="s">
        <v>2305</v>
      </c>
      <c r="I1724">
        <v>30</v>
      </c>
      <c r="J1724" s="21">
        <v>46224</v>
      </c>
      <c r="K1724" s="21">
        <v>46224</v>
      </c>
      <c r="L1724" t="s">
        <v>3209</v>
      </c>
      <c r="M1724" t="s">
        <v>255</v>
      </c>
      <c r="N1724">
        <v>84</v>
      </c>
      <c r="O1724" t="s">
        <v>202</v>
      </c>
      <c r="P1724">
        <v>8</v>
      </c>
      <c r="Q1724">
        <v>1.04</v>
      </c>
      <c r="R1724">
        <v>0.2</v>
      </c>
      <c r="S1724">
        <v>1.52</v>
      </c>
      <c r="T1724">
        <v>0.21</v>
      </c>
      <c r="U1724" t="s">
        <v>101</v>
      </c>
      <c r="V1724" t="s">
        <v>102</v>
      </c>
      <c r="W1724" t="s">
        <v>75</v>
      </c>
      <c r="X1724">
        <v>7.3</v>
      </c>
      <c r="Y1724" t="s">
        <v>3069</v>
      </c>
      <c r="AA1724">
        <v>37.5</v>
      </c>
      <c r="AB1724">
        <v>57</v>
      </c>
      <c r="AC1724">
        <v>7.81</v>
      </c>
    </row>
    <row r="1725" spans="2:29" ht="15" customHeight="1" x14ac:dyDescent="0.15">
      <c r="B1725">
        <v>4</v>
      </c>
      <c r="C1725" t="s">
        <v>386</v>
      </c>
      <c r="D1725" t="s">
        <v>3207</v>
      </c>
      <c r="E1725">
        <v>3</v>
      </c>
      <c r="F1725" t="s">
        <v>219</v>
      </c>
      <c r="G1725" t="s">
        <v>218</v>
      </c>
      <c r="H1725" t="s">
        <v>1501</v>
      </c>
      <c r="I1725">
        <v>30</v>
      </c>
      <c r="J1725" s="21">
        <v>46224</v>
      </c>
      <c r="K1725" s="21">
        <v>46224</v>
      </c>
      <c r="L1725" t="s">
        <v>3210</v>
      </c>
      <c r="M1725" t="s">
        <v>2738</v>
      </c>
      <c r="N1725">
        <v>84</v>
      </c>
      <c r="O1725" t="s">
        <v>202</v>
      </c>
      <c r="P1725">
        <v>8</v>
      </c>
      <c r="Q1725">
        <v>1.04</v>
      </c>
      <c r="R1725">
        <v>0.2</v>
      </c>
      <c r="S1725">
        <v>1.52</v>
      </c>
      <c r="T1725">
        <v>0.21</v>
      </c>
      <c r="U1725" t="s">
        <v>101</v>
      </c>
      <c r="V1725" t="s">
        <v>102</v>
      </c>
      <c r="W1725" t="s">
        <v>75</v>
      </c>
      <c r="X1725">
        <v>7.3</v>
      </c>
      <c r="Y1725" t="s">
        <v>3069</v>
      </c>
      <c r="AA1725">
        <v>0</v>
      </c>
      <c r="AB1725">
        <v>0</v>
      </c>
      <c r="AC1725">
        <v>0</v>
      </c>
    </row>
    <row r="1726" spans="2:29" ht="15" customHeight="1" x14ac:dyDescent="0.15">
      <c r="B1726">
        <v>4</v>
      </c>
      <c r="C1726" t="s">
        <v>386</v>
      </c>
      <c r="D1726" t="s">
        <v>3207</v>
      </c>
      <c r="E1726">
        <v>4</v>
      </c>
      <c r="F1726" t="s">
        <v>219</v>
      </c>
      <c r="G1726" t="s">
        <v>244</v>
      </c>
      <c r="H1726" t="s">
        <v>511</v>
      </c>
      <c r="I1726">
        <v>30</v>
      </c>
      <c r="J1726" s="21">
        <v>46224</v>
      </c>
      <c r="K1726" s="21">
        <v>46224</v>
      </c>
      <c r="L1726" t="s">
        <v>3211</v>
      </c>
      <c r="M1726" t="s">
        <v>1243</v>
      </c>
      <c r="N1726">
        <v>84</v>
      </c>
      <c r="O1726" t="s">
        <v>202</v>
      </c>
      <c r="P1726">
        <v>8</v>
      </c>
      <c r="Q1726">
        <v>1.04</v>
      </c>
      <c r="R1726">
        <v>0.2</v>
      </c>
      <c r="S1726">
        <v>1.52</v>
      </c>
      <c r="T1726">
        <v>0.21</v>
      </c>
      <c r="U1726" t="s">
        <v>101</v>
      </c>
      <c r="V1726" t="s">
        <v>102</v>
      </c>
      <c r="W1726" t="s">
        <v>75</v>
      </c>
      <c r="X1726">
        <v>7.3</v>
      </c>
      <c r="Y1726" t="s">
        <v>3069</v>
      </c>
      <c r="AA1726">
        <v>269</v>
      </c>
      <c r="AB1726">
        <v>408.88</v>
      </c>
      <c r="AC1726">
        <v>56.01</v>
      </c>
    </row>
    <row r="1727" spans="2:29" ht="15" customHeight="1" x14ac:dyDescent="0.15">
      <c r="B1727">
        <v>4</v>
      </c>
      <c r="C1727" t="s">
        <v>386</v>
      </c>
      <c r="D1727" t="s">
        <v>3207</v>
      </c>
      <c r="E1727">
        <v>5</v>
      </c>
      <c r="F1727" t="s">
        <v>219</v>
      </c>
      <c r="G1727" t="s">
        <v>244</v>
      </c>
      <c r="H1727" t="s">
        <v>591</v>
      </c>
      <c r="I1727">
        <v>30</v>
      </c>
      <c r="J1727" s="21">
        <v>46224</v>
      </c>
      <c r="K1727" s="21">
        <v>46224</v>
      </c>
      <c r="L1727" t="s">
        <v>3212</v>
      </c>
      <c r="M1727" t="s">
        <v>593</v>
      </c>
      <c r="N1727">
        <v>84</v>
      </c>
      <c r="O1727" t="s">
        <v>220</v>
      </c>
      <c r="P1727">
        <v>8</v>
      </c>
      <c r="Q1727">
        <v>1.04</v>
      </c>
      <c r="R1727">
        <v>1</v>
      </c>
      <c r="S1727">
        <v>7.6</v>
      </c>
      <c r="T1727">
        <v>1.04</v>
      </c>
      <c r="U1727" t="s">
        <v>101</v>
      </c>
      <c r="V1727" t="s">
        <v>102</v>
      </c>
      <c r="W1727" t="s">
        <v>75</v>
      </c>
      <c r="X1727">
        <v>7.3</v>
      </c>
      <c r="Y1727" t="s">
        <v>3069</v>
      </c>
      <c r="AA1727">
        <v>37.58</v>
      </c>
      <c r="AB1727">
        <v>285.57</v>
      </c>
      <c r="AC1727">
        <v>39.119999999999997</v>
      </c>
    </row>
    <row r="1728" spans="2:29" ht="15" customHeight="1" x14ac:dyDescent="0.15">
      <c r="B1728">
        <v>4</v>
      </c>
      <c r="C1728" t="s">
        <v>386</v>
      </c>
      <c r="D1728" t="s">
        <v>3207</v>
      </c>
      <c r="E1728">
        <v>6</v>
      </c>
      <c r="F1728" t="s">
        <v>219</v>
      </c>
      <c r="G1728" t="s">
        <v>239</v>
      </c>
      <c r="H1728" t="s">
        <v>3082</v>
      </c>
      <c r="I1728">
        <v>30</v>
      </c>
      <c r="J1728" s="21">
        <v>46224</v>
      </c>
      <c r="K1728" s="21">
        <v>46224</v>
      </c>
      <c r="L1728" t="s">
        <v>3213</v>
      </c>
      <c r="M1728" t="s">
        <v>3084</v>
      </c>
      <c r="N1728">
        <v>84</v>
      </c>
      <c r="O1728" t="s">
        <v>202</v>
      </c>
      <c r="P1728">
        <v>8</v>
      </c>
      <c r="Q1728">
        <v>1.04</v>
      </c>
      <c r="R1728">
        <v>1.2</v>
      </c>
      <c r="S1728">
        <v>9.1199999999999992</v>
      </c>
      <c r="T1728">
        <v>1.25</v>
      </c>
      <c r="U1728" t="s">
        <v>101</v>
      </c>
      <c r="V1728" t="s">
        <v>102</v>
      </c>
      <c r="W1728" t="s">
        <v>75</v>
      </c>
      <c r="X1728">
        <v>7.3</v>
      </c>
      <c r="Y1728" t="s">
        <v>3069</v>
      </c>
      <c r="AB1728">
        <v>0</v>
      </c>
      <c r="AC1728">
        <v>0</v>
      </c>
    </row>
    <row r="1729" spans="2:29" ht="15" customHeight="1" x14ac:dyDescent="0.15">
      <c r="B1729">
        <v>4</v>
      </c>
      <c r="C1729" t="s">
        <v>386</v>
      </c>
      <c r="D1729" t="s">
        <v>3207</v>
      </c>
      <c r="E1729">
        <v>7</v>
      </c>
      <c r="F1729" t="s">
        <v>219</v>
      </c>
      <c r="G1729" t="s">
        <v>218</v>
      </c>
      <c r="H1729" t="s">
        <v>2714</v>
      </c>
      <c r="I1729">
        <v>30</v>
      </c>
      <c r="J1729" s="21">
        <v>46224</v>
      </c>
      <c r="K1729" s="21">
        <v>46224</v>
      </c>
      <c r="L1729" t="s">
        <v>3214</v>
      </c>
      <c r="M1729" t="s">
        <v>2716</v>
      </c>
      <c r="N1729">
        <v>84</v>
      </c>
      <c r="O1729" t="s">
        <v>220</v>
      </c>
      <c r="P1729">
        <v>8</v>
      </c>
      <c r="Q1729">
        <v>1.04</v>
      </c>
      <c r="R1729">
        <v>0.25</v>
      </c>
      <c r="S1729">
        <v>1.9</v>
      </c>
      <c r="T1729">
        <v>0.26</v>
      </c>
      <c r="U1729" t="s">
        <v>101</v>
      </c>
      <c r="V1729" t="s">
        <v>102</v>
      </c>
      <c r="W1729" t="s">
        <v>75</v>
      </c>
      <c r="X1729">
        <v>7.3</v>
      </c>
      <c r="Y1729" t="s">
        <v>3069</v>
      </c>
      <c r="AA1729">
        <v>50</v>
      </c>
      <c r="AB1729">
        <v>95</v>
      </c>
      <c r="AC1729">
        <v>13.01</v>
      </c>
    </row>
    <row r="1730" spans="2:29" ht="15" customHeight="1" x14ac:dyDescent="0.15">
      <c r="B1730">
        <v>4</v>
      </c>
      <c r="C1730" t="s">
        <v>386</v>
      </c>
      <c r="D1730" t="s">
        <v>3215</v>
      </c>
      <c r="E1730">
        <v>1</v>
      </c>
      <c r="F1730" t="s">
        <v>219</v>
      </c>
      <c r="G1730" t="s">
        <v>223</v>
      </c>
      <c r="H1730" t="s">
        <v>987</v>
      </c>
      <c r="I1730">
        <v>30</v>
      </c>
      <c r="J1730" s="21">
        <v>46224</v>
      </c>
      <c r="K1730" s="21">
        <v>46224</v>
      </c>
      <c r="L1730" t="s">
        <v>3216</v>
      </c>
      <c r="M1730" t="s">
        <v>222</v>
      </c>
      <c r="N1730">
        <v>56</v>
      </c>
      <c r="O1730" t="s">
        <v>220</v>
      </c>
      <c r="P1730">
        <v>1</v>
      </c>
      <c r="Q1730">
        <v>1</v>
      </c>
      <c r="R1730">
        <v>10</v>
      </c>
      <c r="S1730">
        <v>10</v>
      </c>
      <c r="T1730">
        <v>10</v>
      </c>
      <c r="U1730" t="s">
        <v>139</v>
      </c>
      <c r="V1730" t="s">
        <v>140</v>
      </c>
      <c r="W1730" t="s">
        <v>75</v>
      </c>
      <c r="X1730">
        <v>1</v>
      </c>
      <c r="Y1730" t="s">
        <v>2455</v>
      </c>
      <c r="AA1730">
        <v>13.47</v>
      </c>
      <c r="AB1730">
        <v>134.69999999999999</v>
      </c>
      <c r="AC1730">
        <v>134.69999999999999</v>
      </c>
    </row>
    <row r="1731" spans="2:29" ht="15" customHeight="1" x14ac:dyDescent="0.15">
      <c r="B1731">
        <v>4</v>
      </c>
      <c r="C1731" t="s">
        <v>386</v>
      </c>
      <c r="D1731" t="s">
        <v>3215</v>
      </c>
      <c r="E1731">
        <v>2</v>
      </c>
      <c r="F1731" t="s">
        <v>201</v>
      </c>
      <c r="G1731" t="s">
        <v>337</v>
      </c>
      <c r="H1731" t="s">
        <v>475</v>
      </c>
      <c r="I1731">
        <v>30</v>
      </c>
      <c r="J1731" s="21">
        <v>46224</v>
      </c>
      <c r="K1731" s="21">
        <v>46224</v>
      </c>
      <c r="L1731" t="s">
        <v>3217</v>
      </c>
      <c r="M1731" t="s">
        <v>477</v>
      </c>
      <c r="N1731">
        <v>56</v>
      </c>
      <c r="O1731" t="s">
        <v>202</v>
      </c>
      <c r="P1731">
        <v>1</v>
      </c>
      <c r="Q1731">
        <v>1</v>
      </c>
      <c r="R1731">
        <v>25</v>
      </c>
      <c r="S1731">
        <v>25</v>
      </c>
      <c r="T1731">
        <v>25</v>
      </c>
      <c r="U1731" t="s">
        <v>139</v>
      </c>
      <c r="V1731" t="s">
        <v>140</v>
      </c>
      <c r="W1731" t="s">
        <v>75</v>
      </c>
      <c r="X1731">
        <v>1</v>
      </c>
      <c r="Y1731" t="s">
        <v>2455</v>
      </c>
      <c r="AA1731">
        <v>4.88</v>
      </c>
      <c r="AB1731">
        <v>122</v>
      </c>
      <c r="AC1731">
        <v>122</v>
      </c>
    </row>
    <row r="1732" spans="2:29" ht="15" customHeight="1" x14ac:dyDescent="0.15">
      <c r="B1732">
        <v>4</v>
      </c>
      <c r="C1732" t="s">
        <v>386</v>
      </c>
      <c r="D1732" t="s">
        <v>3215</v>
      </c>
      <c r="E1732">
        <v>3</v>
      </c>
      <c r="F1732" t="s">
        <v>201</v>
      </c>
      <c r="G1732" t="s">
        <v>337</v>
      </c>
      <c r="H1732" t="s">
        <v>632</v>
      </c>
      <c r="I1732">
        <v>30</v>
      </c>
      <c r="J1732" s="21">
        <v>46224</v>
      </c>
      <c r="K1732" s="21">
        <v>46224</v>
      </c>
      <c r="L1732" t="s">
        <v>3218</v>
      </c>
      <c r="M1732" t="s">
        <v>336</v>
      </c>
      <c r="N1732">
        <v>56</v>
      </c>
      <c r="O1732" t="s">
        <v>202</v>
      </c>
      <c r="P1732">
        <v>1</v>
      </c>
      <c r="Q1732">
        <v>1</v>
      </c>
      <c r="R1732">
        <v>25</v>
      </c>
      <c r="S1732">
        <v>25</v>
      </c>
      <c r="T1732">
        <v>25</v>
      </c>
      <c r="U1732" t="s">
        <v>139</v>
      </c>
      <c r="V1732" t="s">
        <v>140</v>
      </c>
      <c r="W1732" t="s">
        <v>75</v>
      </c>
      <c r="X1732">
        <v>1</v>
      </c>
      <c r="Y1732" t="s">
        <v>2455</v>
      </c>
      <c r="AA1732">
        <v>4.8099999999999996</v>
      </c>
      <c r="AB1732">
        <v>120.25</v>
      </c>
      <c r="AC1732">
        <v>120.25</v>
      </c>
    </row>
    <row r="1733" spans="2:29" ht="15" customHeight="1" x14ac:dyDescent="0.15">
      <c r="B1733">
        <v>4</v>
      </c>
      <c r="C1733" t="s">
        <v>386</v>
      </c>
      <c r="D1733" t="s">
        <v>3219</v>
      </c>
      <c r="E1733">
        <v>1</v>
      </c>
      <c r="F1733" t="s">
        <v>219</v>
      </c>
      <c r="G1733" t="s">
        <v>223</v>
      </c>
      <c r="H1733" t="s">
        <v>987</v>
      </c>
      <c r="I1733">
        <v>30</v>
      </c>
      <c r="J1733" s="21">
        <v>46224</v>
      </c>
      <c r="K1733" s="21">
        <v>46229</v>
      </c>
      <c r="L1733" t="s">
        <v>3220</v>
      </c>
      <c r="M1733" t="s">
        <v>222</v>
      </c>
      <c r="N1733">
        <v>99</v>
      </c>
      <c r="O1733" t="s">
        <v>220</v>
      </c>
      <c r="P1733">
        <v>1</v>
      </c>
      <c r="Q1733">
        <v>0.77</v>
      </c>
      <c r="R1733">
        <v>10</v>
      </c>
      <c r="S1733">
        <v>10</v>
      </c>
      <c r="T1733">
        <v>7.69</v>
      </c>
      <c r="U1733" t="s">
        <v>91</v>
      </c>
      <c r="V1733" t="s">
        <v>92</v>
      </c>
      <c r="W1733" t="s">
        <v>21</v>
      </c>
      <c r="X1733">
        <v>1.3</v>
      </c>
      <c r="Y1733" t="s">
        <v>2455</v>
      </c>
      <c r="AA1733">
        <v>13.47</v>
      </c>
      <c r="AB1733">
        <v>134.69999999999999</v>
      </c>
      <c r="AC1733">
        <v>103.62</v>
      </c>
    </row>
    <row r="1734" spans="2:29" ht="15" customHeight="1" x14ac:dyDescent="0.15">
      <c r="B1734">
        <v>4</v>
      </c>
      <c r="C1734" t="s">
        <v>386</v>
      </c>
      <c r="D1734" t="s">
        <v>3219</v>
      </c>
      <c r="E1734">
        <v>2</v>
      </c>
      <c r="F1734" t="s">
        <v>201</v>
      </c>
      <c r="G1734" t="s">
        <v>337</v>
      </c>
      <c r="H1734" t="s">
        <v>475</v>
      </c>
      <c r="I1734">
        <v>30</v>
      </c>
      <c r="J1734" s="21">
        <v>46224</v>
      </c>
      <c r="K1734" s="21">
        <v>46229</v>
      </c>
      <c r="L1734" t="s">
        <v>3221</v>
      </c>
      <c r="M1734" t="s">
        <v>477</v>
      </c>
      <c r="N1734">
        <v>99</v>
      </c>
      <c r="O1734" t="s">
        <v>202</v>
      </c>
      <c r="P1734">
        <v>1</v>
      </c>
      <c r="Q1734">
        <v>0.77</v>
      </c>
      <c r="R1734">
        <v>25</v>
      </c>
      <c r="S1734">
        <v>25</v>
      </c>
      <c r="T1734">
        <v>19.23</v>
      </c>
      <c r="U1734" t="s">
        <v>91</v>
      </c>
      <c r="V1734" t="s">
        <v>92</v>
      </c>
      <c r="W1734" t="s">
        <v>21</v>
      </c>
      <c r="X1734">
        <v>1.3</v>
      </c>
      <c r="Y1734" t="s">
        <v>2455</v>
      </c>
      <c r="AA1734">
        <v>4.88</v>
      </c>
      <c r="AB1734">
        <v>122</v>
      </c>
      <c r="AC1734">
        <v>93.85</v>
      </c>
    </row>
    <row r="1735" spans="2:29" ht="15" customHeight="1" x14ac:dyDescent="0.15">
      <c r="B1735">
        <v>4</v>
      </c>
      <c r="C1735" t="s">
        <v>386</v>
      </c>
      <c r="D1735" t="s">
        <v>3219</v>
      </c>
      <c r="E1735">
        <v>3</v>
      </c>
      <c r="F1735" t="s">
        <v>201</v>
      </c>
      <c r="G1735" t="s">
        <v>337</v>
      </c>
      <c r="H1735" t="s">
        <v>632</v>
      </c>
      <c r="I1735">
        <v>30</v>
      </c>
      <c r="J1735" s="21">
        <v>46224</v>
      </c>
      <c r="K1735" s="21">
        <v>46229</v>
      </c>
      <c r="L1735" t="s">
        <v>3222</v>
      </c>
      <c r="M1735" t="s">
        <v>336</v>
      </c>
      <c r="N1735">
        <v>99</v>
      </c>
      <c r="O1735" t="s">
        <v>202</v>
      </c>
      <c r="P1735">
        <v>1</v>
      </c>
      <c r="Q1735">
        <v>0.77</v>
      </c>
      <c r="R1735">
        <v>25</v>
      </c>
      <c r="S1735">
        <v>25</v>
      </c>
      <c r="T1735">
        <v>19.23</v>
      </c>
      <c r="U1735" t="s">
        <v>91</v>
      </c>
      <c r="V1735" t="s">
        <v>92</v>
      </c>
      <c r="W1735" t="s">
        <v>21</v>
      </c>
      <c r="X1735">
        <v>1.3</v>
      </c>
      <c r="Y1735" t="s">
        <v>2455</v>
      </c>
      <c r="AA1735">
        <v>4.8099999999999996</v>
      </c>
      <c r="AB1735">
        <v>120.25</v>
      </c>
      <c r="AC1735">
        <v>92.5</v>
      </c>
    </row>
    <row r="1736" spans="2:29" ht="15" customHeight="1" x14ac:dyDescent="0.15">
      <c r="B1736">
        <v>4</v>
      </c>
      <c r="C1736" t="s">
        <v>386</v>
      </c>
      <c r="D1736" t="s">
        <v>3223</v>
      </c>
      <c r="E1736">
        <v>1</v>
      </c>
      <c r="F1736" t="s">
        <v>219</v>
      </c>
      <c r="G1736" t="s">
        <v>231</v>
      </c>
      <c r="H1736" t="s">
        <v>231</v>
      </c>
      <c r="I1736">
        <v>30</v>
      </c>
      <c r="J1736" s="21">
        <v>46224</v>
      </c>
      <c r="K1736" s="21">
        <v>46224</v>
      </c>
      <c r="L1736" t="s">
        <v>3224</v>
      </c>
      <c r="M1736" t="s">
        <v>2648</v>
      </c>
      <c r="N1736">
        <v>5</v>
      </c>
      <c r="O1736" t="s">
        <v>220</v>
      </c>
      <c r="P1736">
        <v>2</v>
      </c>
      <c r="Q1736">
        <v>0.25</v>
      </c>
      <c r="R1736">
        <v>0.15</v>
      </c>
      <c r="S1736">
        <v>0.3</v>
      </c>
      <c r="T1736">
        <v>0.04</v>
      </c>
      <c r="U1736" t="s">
        <v>3166</v>
      </c>
      <c r="V1736" t="s">
        <v>154</v>
      </c>
      <c r="W1736" t="s">
        <v>21</v>
      </c>
      <c r="X1736">
        <v>8</v>
      </c>
      <c r="Y1736" t="s">
        <v>2629</v>
      </c>
      <c r="Z1736" t="s">
        <v>496</v>
      </c>
      <c r="AA1736">
        <v>16.61</v>
      </c>
      <c r="AB1736">
        <v>4.9800000000000004</v>
      </c>
      <c r="AC1736">
        <v>0.62</v>
      </c>
    </row>
    <row r="1737" spans="2:29" ht="15" customHeight="1" x14ac:dyDescent="0.15">
      <c r="B1737">
        <v>4</v>
      </c>
      <c r="C1737" t="s">
        <v>386</v>
      </c>
      <c r="D1737" t="s">
        <v>3223</v>
      </c>
      <c r="E1737">
        <v>2</v>
      </c>
      <c r="F1737" t="s">
        <v>219</v>
      </c>
      <c r="G1737" t="s">
        <v>439</v>
      </c>
      <c r="H1737" t="s">
        <v>533</v>
      </c>
      <c r="I1737">
        <v>30</v>
      </c>
      <c r="J1737" s="21">
        <v>46224</v>
      </c>
      <c r="K1737" s="21">
        <v>46224</v>
      </c>
      <c r="L1737" t="s">
        <v>3225</v>
      </c>
      <c r="M1737" t="s">
        <v>535</v>
      </c>
      <c r="N1737">
        <v>5</v>
      </c>
      <c r="O1737" t="s">
        <v>220</v>
      </c>
      <c r="P1737">
        <v>2</v>
      </c>
      <c r="Q1737">
        <v>0.25</v>
      </c>
      <c r="R1737">
        <v>1.5</v>
      </c>
      <c r="S1737">
        <v>3</v>
      </c>
      <c r="T1737">
        <v>0.38</v>
      </c>
      <c r="U1737" t="s">
        <v>3166</v>
      </c>
      <c r="V1737" t="s">
        <v>154</v>
      </c>
      <c r="W1737" t="s">
        <v>21</v>
      </c>
      <c r="X1737">
        <v>8</v>
      </c>
      <c r="Y1737" t="s">
        <v>2629</v>
      </c>
      <c r="Z1737" t="s">
        <v>496</v>
      </c>
      <c r="AA1737">
        <v>38.14</v>
      </c>
      <c r="AB1737">
        <v>114.42</v>
      </c>
      <c r="AC1737">
        <v>14.3</v>
      </c>
    </row>
    <row r="1738" spans="2:29" ht="15" customHeight="1" x14ac:dyDescent="0.15">
      <c r="B1738">
        <v>4</v>
      </c>
      <c r="C1738" t="s">
        <v>386</v>
      </c>
      <c r="D1738" t="s">
        <v>3226</v>
      </c>
      <c r="E1738">
        <v>1</v>
      </c>
      <c r="F1738" t="s">
        <v>219</v>
      </c>
      <c r="G1738" t="s">
        <v>231</v>
      </c>
      <c r="H1738" t="s">
        <v>231</v>
      </c>
      <c r="I1738">
        <v>30</v>
      </c>
      <c r="J1738" s="21">
        <v>46225</v>
      </c>
      <c r="K1738" s="21">
        <v>46225</v>
      </c>
      <c r="L1738" t="s">
        <v>3227</v>
      </c>
      <c r="M1738" t="s">
        <v>2648</v>
      </c>
      <c r="N1738">
        <v>6</v>
      </c>
      <c r="O1738" t="s">
        <v>220</v>
      </c>
      <c r="P1738">
        <v>7</v>
      </c>
      <c r="Q1738">
        <v>0.88</v>
      </c>
      <c r="R1738">
        <v>0.15</v>
      </c>
      <c r="S1738">
        <v>1.05</v>
      </c>
      <c r="T1738">
        <v>0.13</v>
      </c>
      <c r="U1738" t="s">
        <v>3166</v>
      </c>
      <c r="V1738" t="s">
        <v>154</v>
      </c>
      <c r="W1738" t="s">
        <v>21</v>
      </c>
      <c r="X1738">
        <v>8</v>
      </c>
      <c r="Y1738" t="s">
        <v>2629</v>
      </c>
      <c r="Z1738" t="s">
        <v>496</v>
      </c>
      <c r="AA1738">
        <v>16.61</v>
      </c>
      <c r="AB1738">
        <v>17.440000000000001</v>
      </c>
      <c r="AC1738">
        <v>2.1800000000000002</v>
      </c>
    </row>
    <row r="1739" spans="2:29" ht="15" customHeight="1" x14ac:dyDescent="0.15">
      <c r="B1739">
        <v>4</v>
      </c>
      <c r="C1739" t="s">
        <v>386</v>
      </c>
      <c r="D1739" t="s">
        <v>3226</v>
      </c>
      <c r="E1739">
        <v>2</v>
      </c>
      <c r="F1739" t="s">
        <v>219</v>
      </c>
      <c r="G1739" t="s">
        <v>439</v>
      </c>
      <c r="H1739" t="s">
        <v>533</v>
      </c>
      <c r="I1739">
        <v>30</v>
      </c>
      <c r="J1739" s="21">
        <v>46225</v>
      </c>
      <c r="K1739" s="21">
        <v>46225</v>
      </c>
      <c r="L1739" t="s">
        <v>3228</v>
      </c>
      <c r="M1739" t="s">
        <v>535</v>
      </c>
      <c r="N1739">
        <v>6</v>
      </c>
      <c r="O1739" t="s">
        <v>220</v>
      </c>
      <c r="P1739">
        <v>7</v>
      </c>
      <c r="Q1739">
        <v>0.88</v>
      </c>
      <c r="R1739">
        <v>1.5</v>
      </c>
      <c r="S1739">
        <v>10.5</v>
      </c>
      <c r="T1739">
        <v>1.31</v>
      </c>
      <c r="U1739" t="s">
        <v>3166</v>
      </c>
      <c r="V1739" t="s">
        <v>154</v>
      </c>
      <c r="W1739" t="s">
        <v>21</v>
      </c>
      <c r="X1739">
        <v>8</v>
      </c>
      <c r="Y1739" t="s">
        <v>2629</v>
      </c>
      <c r="Z1739" t="s">
        <v>496</v>
      </c>
      <c r="AA1739">
        <v>38.14</v>
      </c>
      <c r="AB1739">
        <v>400.47</v>
      </c>
      <c r="AC1739">
        <v>50.06</v>
      </c>
    </row>
    <row r="1740" spans="2:29" ht="15" customHeight="1" x14ac:dyDescent="0.15">
      <c r="B1740">
        <v>4</v>
      </c>
      <c r="C1740" t="s">
        <v>704</v>
      </c>
      <c r="D1740">
        <v>0</v>
      </c>
      <c r="E1740">
        <v>1</v>
      </c>
      <c r="F1740" t="s">
        <v>219</v>
      </c>
      <c r="G1740" t="s">
        <v>231</v>
      </c>
      <c r="H1740" t="s">
        <v>231</v>
      </c>
      <c r="I1740">
        <v>30</v>
      </c>
      <c r="J1740" s="21">
        <v>46225</v>
      </c>
      <c r="L1740">
        <v>1</v>
      </c>
      <c r="M1740" t="s">
        <v>2648</v>
      </c>
      <c r="N1740" s="22">
        <v>-46156</v>
      </c>
      <c r="O1740" t="s">
        <v>220</v>
      </c>
      <c r="P1740">
        <v>0</v>
      </c>
      <c r="Q1740">
        <v>0</v>
      </c>
      <c r="R1740">
        <v>0.15</v>
      </c>
      <c r="S1740">
        <v>0</v>
      </c>
      <c r="T1740">
        <v>0</v>
      </c>
      <c r="U1740" t="s">
        <v>107</v>
      </c>
      <c r="V1740" t="s">
        <v>108</v>
      </c>
      <c r="W1740" t="s">
        <v>21</v>
      </c>
      <c r="X1740">
        <v>4.5</v>
      </c>
      <c r="Y1740" t="s">
        <v>3069</v>
      </c>
      <c r="AA1740">
        <v>16.61</v>
      </c>
      <c r="AB1740">
        <v>0</v>
      </c>
      <c r="AC1740">
        <v>0</v>
      </c>
    </row>
    <row r="1741" spans="2:29" ht="15" customHeight="1" x14ac:dyDescent="0.15">
      <c r="B1741">
        <v>4</v>
      </c>
      <c r="C1741" t="s">
        <v>704</v>
      </c>
      <c r="D1741">
        <v>0</v>
      </c>
      <c r="E1741">
        <v>2</v>
      </c>
      <c r="F1741" t="s">
        <v>219</v>
      </c>
      <c r="G1741" t="s">
        <v>244</v>
      </c>
      <c r="H1741" t="s">
        <v>511</v>
      </c>
      <c r="I1741">
        <v>30</v>
      </c>
      <c r="J1741" s="21">
        <v>46225</v>
      </c>
      <c r="L1741">
        <v>2</v>
      </c>
      <c r="M1741" t="s">
        <v>1243</v>
      </c>
      <c r="N1741" s="22">
        <v>-46156</v>
      </c>
      <c r="O1741" t="s">
        <v>202</v>
      </c>
      <c r="P1741">
        <v>0</v>
      </c>
      <c r="Q1741">
        <v>0</v>
      </c>
      <c r="R1741">
        <v>0.2</v>
      </c>
      <c r="S1741">
        <v>0</v>
      </c>
      <c r="T1741">
        <v>0</v>
      </c>
      <c r="U1741" t="s">
        <v>107</v>
      </c>
      <c r="V1741" t="s">
        <v>108</v>
      </c>
      <c r="W1741" t="s">
        <v>21</v>
      </c>
      <c r="X1741">
        <v>4.5</v>
      </c>
      <c r="Y1741" t="s">
        <v>3069</v>
      </c>
      <c r="AA1741">
        <v>269</v>
      </c>
      <c r="AB1741">
        <v>0</v>
      </c>
      <c r="AC1741">
        <v>0</v>
      </c>
    </row>
    <row r="1742" spans="2:29" ht="15" customHeight="1" x14ac:dyDescent="0.15">
      <c r="B1742">
        <v>4</v>
      </c>
      <c r="C1742" t="s">
        <v>704</v>
      </c>
      <c r="D1742">
        <v>0</v>
      </c>
      <c r="E1742">
        <v>3</v>
      </c>
      <c r="F1742" t="s">
        <v>219</v>
      </c>
      <c r="G1742" t="s">
        <v>218</v>
      </c>
      <c r="H1742" t="s">
        <v>1501</v>
      </c>
      <c r="I1742">
        <v>30</v>
      </c>
      <c r="J1742" s="21">
        <v>46225</v>
      </c>
      <c r="L1742">
        <v>3</v>
      </c>
      <c r="M1742" t="s">
        <v>2738</v>
      </c>
      <c r="N1742" s="22">
        <v>-46156</v>
      </c>
      <c r="O1742" t="s">
        <v>202</v>
      </c>
      <c r="P1742">
        <v>0</v>
      </c>
      <c r="Q1742">
        <v>0</v>
      </c>
      <c r="R1742">
        <v>0.2</v>
      </c>
      <c r="S1742">
        <v>0</v>
      </c>
      <c r="T1742">
        <v>0</v>
      </c>
      <c r="U1742" t="s">
        <v>107</v>
      </c>
      <c r="V1742" t="s">
        <v>108</v>
      </c>
      <c r="W1742" t="s">
        <v>21</v>
      </c>
      <c r="X1742">
        <v>4.5</v>
      </c>
      <c r="Y1742" t="s">
        <v>3069</v>
      </c>
      <c r="AA1742">
        <v>0</v>
      </c>
      <c r="AB1742">
        <v>0</v>
      </c>
      <c r="AC1742">
        <v>0</v>
      </c>
    </row>
    <row r="1743" spans="2:29" ht="15" customHeight="1" x14ac:dyDescent="0.15">
      <c r="B1743">
        <v>4</v>
      </c>
      <c r="C1743" t="s">
        <v>704</v>
      </c>
      <c r="D1743">
        <v>0</v>
      </c>
      <c r="E1743">
        <v>4</v>
      </c>
      <c r="F1743" t="s">
        <v>219</v>
      </c>
      <c r="G1743" t="s">
        <v>218</v>
      </c>
      <c r="H1743" t="s">
        <v>2353</v>
      </c>
      <c r="I1743">
        <v>30</v>
      </c>
      <c r="J1743" s="21">
        <v>46225</v>
      </c>
      <c r="L1743">
        <v>4</v>
      </c>
      <c r="M1743" t="s">
        <v>2946</v>
      </c>
      <c r="N1743" s="22">
        <v>-46156</v>
      </c>
      <c r="O1743" t="s">
        <v>202</v>
      </c>
      <c r="P1743">
        <v>0</v>
      </c>
      <c r="Q1743">
        <v>0</v>
      </c>
      <c r="R1743">
        <v>0.2</v>
      </c>
      <c r="S1743">
        <v>0</v>
      </c>
      <c r="T1743">
        <v>0</v>
      </c>
      <c r="U1743" t="s">
        <v>107</v>
      </c>
      <c r="V1743" t="s">
        <v>108</v>
      </c>
      <c r="W1743" t="s">
        <v>21</v>
      </c>
      <c r="X1743">
        <v>4.5</v>
      </c>
      <c r="Y1743" t="s">
        <v>3069</v>
      </c>
      <c r="AA1743">
        <v>61.3</v>
      </c>
      <c r="AB1743">
        <v>0</v>
      </c>
      <c r="AC1743">
        <v>0</v>
      </c>
    </row>
    <row r="1744" spans="2:29" ht="15" customHeight="1" x14ac:dyDescent="0.15">
      <c r="B1744">
        <v>4</v>
      </c>
      <c r="C1744" t="s">
        <v>704</v>
      </c>
      <c r="D1744">
        <v>0</v>
      </c>
      <c r="E1744">
        <v>5</v>
      </c>
      <c r="F1744" t="s">
        <v>219</v>
      </c>
      <c r="G1744" t="s">
        <v>239</v>
      </c>
      <c r="H1744" t="s">
        <v>456</v>
      </c>
      <c r="I1744">
        <v>30</v>
      </c>
      <c r="J1744" s="21">
        <v>46225</v>
      </c>
      <c r="L1744">
        <v>5</v>
      </c>
      <c r="M1744" t="s">
        <v>458</v>
      </c>
      <c r="N1744" s="22">
        <v>-46156</v>
      </c>
      <c r="O1744" t="s">
        <v>220</v>
      </c>
      <c r="P1744">
        <v>0</v>
      </c>
      <c r="Q1744">
        <v>0</v>
      </c>
      <c r="R1744">
        <v>0.5</v>
      </c>
      <c r="S1744">
        <v>0</v>
      </c>
      <c r="T1744">
        <v>0</v>
      </c>
      <c r="U1744" t="s">
        <v>107</v>
      </c>
      <c r="V1744" t="s">
        <v>108</v>
      </c>
      <c r="W1744" t="s">
        <v>21</v>
      </c>
      <c r="X1744">
        <v>4.5</v>
      </c>
      <c r="Y1744" t="s">
        <v>3069</v>
      </c>
      <c r="AA1744">
        <v>49.99</v>
      </c>
      <c r="AB1744">
        <v>0</v>
      </c>
      <c r="AC1744">
        <v>0</v>
      </c>
    </row>
    <row r="1745" spans="2:29" ht="15" customHeight="1" x14ac:dyDescent="0.15">
      <c r="B1745">
        <v>4</v>
      </c>
      <c r="C1745" t="s">
        <v>704</v>
      </c>
      <c r="D1745">
        <v>0</v>
      </c>
      <c r="E1745">
        <v>6</v>
      </c>
      <c r="F1745" t="s">
        <v>219</v>
      </c>
      <c r="G1745" t="s">
        <v>239</v>
      </c>
      <c r="H1745" t="s">
        <v>3082</v>
      </c>
      <c r="I1745">
        <v>30</v>
      </c>
      <c r="J1745" s="21">
        <v>46225</v>
      </c>
      <c r="L1745">
        <v>6</v>
      </c>
      <c r="M1745" t="s">
        <v>3084</v>
      </c>
      <c r="N1745" s="22">
        <v>-46156</v>
      </c>
      <c r="O1745" t="s">
        <v>202</v>
      </c>
      <c r="P1745">
        <v>0</v>
      </c>
      <c r="Q1745">
        <v>0</v>
      </c>
      <c r="R1745">
        <v>1</v>
      </c>
      <c r="S1745">
        <v>0</v>
      </c>
      <c r="T1745">
        <v>0</v>
      </c>
      <c r="U1745" t="s">
        <v>107</v>
      </c>
      <c r="V1745" t="s">
        <v>108</v>
      </c>
      <c r="W1745" t="s">
        <v>21</v>
      </c>
      <c r="X1745">
        <v>4.5</v>
      </c>
      <c r="Y1745" t="s">
        <v>3069</v>
      </c>
      <c r="AB1745">
        <v>0</v>
      </c>
      <c r="AC1745">
        <v>0</v>
      </c>
    </row>
    <row r="1746" spans="2:29" ht="15" customHeight="1" x14ac:dyDescent="0.15">
      <c r="B1746">
        <v>4</v>
      </c>
      <c r="C1746" t="s">
        <v>704</v>
      </c>
      <c r="D1746">
        <v>0</v>
      </c>
      <c r="E1746">
        <v>7</v>
      </c>
      <c r="F1746" t="s">
        <v>219</v>
      </c>
      <c r="G1746" t="s">
        <v>218</v>
      </c>
      <c r="H1746" t="s">
        <v>1018</v>
      </c>
      <c r="I1746">
        <v>30</v>
      </c>
      <c r="J1746" s="21">
        <v>46225</v>
      </c>
      <c r="L1746">
        <v>7</v>
      </c>
      <c r="M1746" t="s">
        <v>3229</v>
      </c>
      <c r="N1746" s="22">
        <v>-46156</v>
      </c>
      <c r="O1746" t="s">
        <v>220</v>
      </c>
      <c r="P1746">
        <v>0</v>
      </c>
      <c r="Q1746">
        <v>0</v>
      </c>
      <c r="R1746">
        <v>0.25</v>
      </c>
      <c r="S1746">
        <v>0</v>
      </c>
      <c r="T1746">
        <v>0</v>
      </c>
      <c r="U1746" t="s">
        <v>107</v>
      </c>
      <c r="V1746" t="s">
        <v>108</v>
      </c>
      <c r="W1746" t="s">
        <v>21</v>
      </c>
      <c r="X1746">
        <v>4.5</v>
      </c>
      <c r="Y1746" t="s">
        <v>3069</v>
      </c>
      <c r="AA1746">
        <v>62.05</v>
      </c>
      <c r="AB1746">
        <v>0</v>
      </c>
      <c r="AC1746">
        <v>0</v>
      </c>
    </row>
    <row r="1747" spans="2:29" ht="15" customHeight="1" x14ac:dyDescent="0.15">
      <c r="B1747">
        <v>4</v>
      </c>
      <c r="C1747" t="s">
        <v>386</v>
      </c>
      <c r="D1747" t="s">
        <v>3230</v>
      </c>
      <c r="E1747">
        <v>1</v>
      </c>
      <c r="F1747" t="s">
        <v>219</v>
      </c>
      <c r="G1747" t="s">
        <v>231</v>
      </c>
      <c r="H1747" t="s">
        <v>231</v>
      </c>
      <c r="I1747">
        <v>30</v>
      </c>
      <c r="J1747" s="21">
        <v>46227</v>
      </c>
      <c r="K1747" s="21">
        <v>46227</v>
      </c>
      <c r="L1747" t="s">
        <v>3231</v>
      </c>
      <c r="M1747" t="s">
        <v>230</v>
      </c>
      <c r="N1747">
        <v>59</v>
      </c>
      <c r="O1747" t="s">
        <v>220</v>
      </c>
      <c r="P1747">
        <v>1</v>
      </c>
      <c r="Q1747">
        <v>1</v>
      </c>
      <c r="R1747">
        <v>0.03</v>
      </c>
      <c r="S1747">
        <v>0.03</v>
      </c>
      <c r="T1747">
        <v>0.03</v>
      </c>
      <c r="U1747" t="s">
        <v>139</v>
      </c>
      <c r="V1747" t="s">
        <v>140</v>
      </c>
      <c r="W1747" t="s">
        <v>75</v>
      </c>
      <c r="X1747">
        <v>1</v>
      </c>
      <c r="Y1747" t="s">
        <v>2629</v>
      </c>
      <c r="Z1747" t="s">
        <v>496</v>
      </c>
      <c r="AB1747">
        <v>0</v>
      </c>
      <c r="AC1747">
        <v>0</v>
      </c>
    </row>
    <row r="1748" spans="2:29" ht="15" customHeight="1" x14ac:dyDescent="0.15">
      <c r="B1748">
        <v>4</v>
      </c>
      <c r="C1748" t="s">
        <v>386</v>
      </c>
      <c r="D1748" t="s">
        <v>3230</v>
      </c>
      <c r="E1748">
        <v>2</v>
      </c>
      <c r="F1748" t="s">
        <v>219</v>
      </c>
      <c r="G1748" t="s">
        <v>239</v>
      </c>
      <c r="H1748" t="s">
        <v>456</v>
      </c>
      <c r="I1748">
        <v>30</v>
      </c>
      <c r="J1748" s="21">
        <v>46227</v>
      </c>
      <c r="K1748" s="21">
        <v>46227</v>
      </c>
      <c r="L1748" t="s">
        <v>3232</v>
      </c>
      <c r="M1748" t="s">
        <v>458</v>
      </c>
      <c r="N1748">
        <v>59</v>
      </c>
      <c r="O1748" t="s">
        <v>220</v>
      </c>
      <c r="P1748">
        <v>1</v>
      </c>
      <c r="Q1748">
        <v>1</v>
      </c>
      <c r="R1748">
        <v>1</v>
      </c>
      <c r="S1748">
        <v>1</v>
      </c>
      <c r="T1748">
        <v>1</v>
      </c>
      <c r="U1748" t="s">
        <v>139</v>
      </c>
      <c r="V1748" t="s">
        <v>140</v>
      </c>
      <c r="W1748" t="s">
        <v>75</v>
      </c>
      <c r="X1748">
        <v>1</v>
      </c>
      <c r="Y1748" t="s">
        <v>2629</v>
      </c>
      <c r="Z1748" t="s">
        <v>496</v>
      </c>
      <c r="AA1748">
        <v>49.99</v>
      </c>
      <c r="AB1748">
        <v>49.99</v>
      </c>
      <c r="AC1748">
        <v>49.99</v>
      </c>
    </row>
    <row r="1749" spans="2:29" ht="15" customHeight="1" x14ac:dyDescent="0.15">
      <c r="B1749">
        <v>4</v>
      </c>
      <c r="C1749" t="s">
        <v>386</v>
      </c>
      <c r="D1749" t="s">
        <v>3230</v>
      </c>
      <c r="E1749">
        <v>3</v>
      </c>
      <c r="F1749" t="s">
        <v>219</v>
      </c>
      <c r="G1749" t="s">
        <v>244</v>
      </c>
      <c r="H1749" t="s">
        <v>591</v>
      </c>
      <c r="I1749">
        <v>30</v>
      </c>
      <c r="J1749" s="21">
        <v>46227</v>
      </c>
      <c r="K1749" s="21">
        <v>46227</v>
      </c>
      <c r="L1749" t="s">
        <v>3233</v>
      </c>
      <c r="M1749" t="s">
        <v>593</v>
      </c>
      <c r="N1749">
        <v>59</v>
      </c>
      <c r="O1749" t="s">
        <v>220</v>
      </c>
      <c r="P1749">
        <v>1</v>
      </c>
      <c r="Q1749">
        <v>1</v>
      </c>
      <c r="R1749">
        <v>1</v>
      </c>
      <c r="S1749">
        <v>1</v>
      </c>
      <c r="T1749">
        <v>1</v>
      </c>
      <c r="U1749" t="s">
        <v>139</v>
      </c>
      <c r="V1749" t="s">
        <v>140</v>
      </c>
      <c r="W1749" t="s">
        <v>75</v>
      </c>
      <c r="X1749">
        <v>1</v>
      </c>
      <c r="Y1749" t="s">
        <v>2629</v>
      </c>
      <c r="Z1749" t="s">
        <v>496</v>
      </c>
      <c r="AA1749">
        <v>37.58</v>
      </c>
      <c r="AB1749">
        <v>37.58</v>
      </c>
      <c r="AC1749">
        <v>37.58</v>
      </c>
    </row>
    <row r="1750" spans="2:29" ht="15" customHeight="1" x14ac:dyDescent="0.15">
      <c r="B1750">
        <v>4</v>
      </c>
      <c r="C1750" t="s">
        <v>386</v>
      </c>
      <c r="D1750" t="s">
        <v>3230</v>
      </c>
      <c r="E1750">
        <v>4</v>
      </c>
      <c r="F1750" t="s">
        <v>219</v>
      </c>
      <c r="G1750" t="s">
        <v>218</v>
      </c>
      <c r="H1750" t="s">
        <v>2305</v>
      </c>
      <c r="I1750">
        <v>30</v>
      </c>
      <c r="J1750" s="21">
        <v>46227</v>
      </c>
      <c r="K1750" s="21">
        <v>46227</v>
      </c>
      <c r="L1750" t="s">
        <v>3234</v>
      </c>
      <c r="M1750" t="s">
        <v>255</v>
      </c>
      <c r="N1750">
        <v>59</v>
      </c>
      <c r="O1750" t="s">
        <v>220</v>
      </c>
      <c r="P1750">
        <v>1</v>
      </c>
      <c r="Q1750">
        <v>1</v>
      </c>
      <c r="R1750">
        <v>0.5</v>
      </c>
      <c r="S1750">
        <v>0.5</v>
      </c>
      <c r="T1750">
        <v>0.5</v>
      </c>
      <c r="U1750" t="s">
        <v>139</v>
      </c>
      <c r="V1750" t="s">
        <v>140</v>
      </c>
      <c r="W1750" t="s">
        <v>75</v>
      </c>
      <c r="X1750">
        <v>1</v>
      </c>
      <c r="Y1750" t="s">
        <v>2629</v>
      </c>
      <c r="Z1750" t="s">
        <v>496</v>
      </c>
      <c r="AA1750">
        <v>37.5</v>
      </c>
      <c r="AB1750">
        <v>18.75</v>
      </c>
      <c r="AC1750">
        <v>18.75</v>
      </c>
    </row>
    <row r="1751" spans="2:29" ht="15" customHeight="1" x14ac:dyDescent="0.15">
      <c r="B1751">
        <v>4</v>
      </c>
      <c r="C1751" t="s">
        <v>386</v>
      </c>
      <c r="D1751" t="s">
        <v>3230</v>
      </c>
      <c r="E1751">
        <v>5</v>
      </c>
      <c r="F1751" t="s">
        <v>219</v>
      </c>
      <c r="G1751" t="s">
        <v>218</v>
      </c>
      <c r="H1751" t="s">
        <v>3173</v>
      </c>
      <c r="I1751">
        <v>30</v>
      </c>
      <c r="J1751" s="21">
        <v>46227</v>
      </c>
      <c r="K1751" s="21">
        <v>46227</v>
      </c>
      <c r="L1751" t="s">
        <v>3235</v>
      </c>
      <c r="M1751" t="s">
        <v>3175</v>
      </c>
      <c r="N1751">
        <v>59</v>
      </c>
      <c r="O1751" t="s">
        <v>202</v>
      </c>
      <c r="P1751">
        <v>1</v>
      </c>
      <c r="Q1751">
        <v>1</v>
      </c>
      <c r="R1751">
        <v>0.3</v>
      </c>
      <c r="S1751">
        <v>0.3</v>
      </c>
      <c r="T1751">
        <v>0.3</v>
      </c>
      <c r="U1751" t="s">
        <v>139</v>
      </c>
      <c r="V1751" t="s">
        <v>140</v>
      </c>
      <c r="W1751" t="s">
        <v>75</v>
      </c>
      <c r="X1751">
        <v>1</v>
      </c>
      <c r="Y1751" t="s">
        <v>2629</v>
      </c>
      <c r="Z1751" t="s">
        <v>496</v>
      </c>
      <c r="AB1751">
        <v>0</v>
      </c>
      <c r="AC1751">
        <v>0</v>
      </c>
    </row>
    <row r="1752" spans="2:29" ht="15" customHeight="1" x14ac:dyDescent="0.15">
      <c r="B1752">
        <v>4</v>
      </c>
      <c r="C1752" t="s">
        <v>386</v>
      </c>
      <c r="D1752" t="s">
        <v>3230</v>
      </c>
      <c r="E1752">
        <v>6</v>
      </c>
      <c r="F1752" t="s">
        <v>219</v>
      </c>
      <c r="G1752" t="s">
        <v>218</v>
      </c>
      <c r="H1752" t="s">
        <v>2714</v>
      </c>
      <c r="I1752">
        <v>30</v>
      </c>
      <c r="J1752" s="21">
        <v>46227</v>
      </c>
      <c r="K1752" s="21">
        <v>46227</v>
      </c>
      <c r="L1752" t="s">
        <v>3236</v>
      </c>
      <c r="M1752" t="s">
        <v>2716</v>
      </c>
      <c r="N1752">
        <v>59</v>
      </c>
      <c r="O1752" t="s">
        <v>202</v>
      </c>
      <c r="P1752">
        <v>1</v>
      </c>
      <c r="Q1752">
        <v>1</v>
      </c>
      <c r="R1752">
        <v>0.2</v>
      </c>
      <c r="S1752">
        <v>0.2</v>
      </c>
      <c r="T1752">
        <v>0.2</v>
      </c>
      <c r="U1752" t="s">
        <v>139</v>
      </c>
      <c r="V1752" t="s">
        <v>140</v>
      </c>
      <c r="W1752" t="s">
        <v>75</v>
      </c>
      <c r="X1752">
        <v>1</v>
      </c>
      <c r="Y1752" t="s">
        <v>2629</v>
      </c>
      <c r="Z1752" t="s">
        <v>496</v>
      </c>
      <c r="AA1752">
        <v>50</v>
      </c>
      <c r="AB1752">
        <v>10</v>
      </c>
      <c r="AC1752">
        <v>10</v>
      </c>
    </row>
    <row r="1753" spans="2:29" ht="15" customHeight="1" x14ac:dyDescent="0.15">
      <c r="B1753">
        <v>4</v>
      </c>
      <c r="C1753" t="s">
        <v>386</v>
      </c>
      <c r="D1753" t="s">
        <v>3237</v>
      </c>
      <c r="E1753">
        <v>1</v>
      </c>
      <c r="F1753" t="s">
        <v>219</v>
      </c>
      <c r="G1753" t="s">
        <v>231</v>
      </c>
      <c r="H1753" t="s">
        <v>231</v>
      </c>
      <c r="I1753">
        <v>30</v>
      </c>
      <c r="J1753" s="21">
        <v>46228</v>
      </c>
      <c r="K1753" s="21">
        <v>46228</v>
      </c>
      <c r="L1753" t="s">
        <v>3238</v>
      </c>
      <c r="M1753" t="s">
        <v>230</v>
      </c>
      <c r="N1753">
        <v>32</v>
      </c>
      <c r="O1753" t="s">
        <v>220</v>
      </c>
      <c r="P1753">
        <v>1</v>
      </c>
      <c r="Q1753">
        <v>1</v>
      </c>
      <c r="R1753">
        <v>0.03</v>
      </c>
      <c r="S1753">
        <v>0.03</v>
      </c>
      <c r="T1753">
        <v>0.03</v>
      </c>
      <c r="U1753" t="s">
        <v>141</v>
      </c>
      <c r="V1753" t="s">
        <v>142</v>
      </c>
      <c r="W1753" t="s">
        <v>75</v>
      </c>
      <c r="X1753">
        <v>1</v>
      </c>
      <c r="Y1753" t="s">
        <v>2629</v>
      </c>
      <c r="AB1753">
        <v>0</v>
      </c>
      <c r="AC1753">
        <v>0</v>
      </c>
    </row>
    <row r="1754" spans="2:29" ht="15" customHeight="1" x14ac:dyDescent="0.15">
      <c r="B1754">
        <v>4</v>
      </c>
      <c r="C1754" t="s">
        <v>386</v>
      </c>
      <c r="D1754" t="s">
        <v>3237</v>
      </c>
      <c r="E1754">
        <v>2</v>
      </c>
      <c r="F1754" t="s">
        <v>219</v>
      </c>
      <c r="G1754" t="s">
        <v>239</v>
      </c>
      <c r="H1754" t="s">
        <v>456</v>
      </c>
      <c r="I1754">
        <v>30</v>
      </c>
      <c r="J1754" s="21">
        <v>46228</v>
      </c>
      <c r="K1754" s="21">
        <v>46228</v>
      </c>
      <c r="L1754" t="s">
        <v>3239</v>
      </c>
      <c r="M1754" t="s">
        <v>458</v>
      </c>
      <c r="N1754">
        <v>32</v>
      </c>
      <c r="O1754" t="s">
        <v>220</v>
      </c>
      <c r="P1754">
        <v>1</v>
      </c>
      <c r="Q1754">
        <v>1</v>
      </c>
      <c r="R1754">
        <v>1</v>
      </c>
      <c r="S1754">
        <v>1</v>
      </c>
      <c r="T1754">
        <v>1</v>
      </c>
      <c r="U1754" t="s">
        <v>141</v>
      </c>
      <c r="V1754" t="s">
        <v>142</v>
      </c>
      <c r="W1754" t="s">
        <v>75</v>
      </c>
      <c r="X1754">
        <v>1</v>
      </c>
      <c r="Y1754" t="s">
        <v>2629</v>
      </c>
      <c r="AA1754">
        <v>49.99</v>
      </c>
      <c r="AB1754">
        <v>49.99</v>
      </c>
      <c r="AC1754">
        <v>49.99</v>
      </c>
    </row>
    <row r="1755" spans="2:29" ht="15" customHeight="1" x14ac:dyDescent="0.15">
      <c r="B1755">
        <v>4</v>
      </c>
      <c r="C1755" t="s">
        <v>386</v>
      </c>
      <c r="D1755" t="s">
        <v>3237</v>
      </c>
      <c r="E1755">
        <v>3</v>
      </c>
      <c r="F1755" t="s">
        <v>219</v>
      </c>
      <c r="G1755" t="s">
        <v>244</v>
      </c>
      <c r="H1755" t="s">
        <v>591</v>
      </c>
      <c r="I1755">
        <v>30</v>
      </c>
      <c r="J1755" s="21">
        <v>46228</v>
      </c>
      <c r="K1755" s="21">
        <v>46228</v>
      </c>
      <c r="L1755" t="s">
        <v>3240</v>
      </c>
      <c r="M1755" t="s">
        <v>593</v>
      </c>
      <c r="N1755">
        <v>32</v>
      </c>
      <c r="O1755" t="s">
        <v>220</v>
      </c>
      <c r="P1755">
        <v>1</v>
      </c>
      <c r="Q1755">
        <v>1</v>
      </c>
      <c r="R1755">
        <v>2</v>
      </c>
      <c r="S1755">
        <v>2</v>
      </c>
      <c r="T1755">
        <v>2</v>
      </c>
      <c r="U1755" t="s">
        <v>141</v>
      </c>
      <c r="V1755" t="s">
        <v>142</v>
      </c>
      <c r="W1755" t="s">
        <v>75</v>
      </c>
      <c r="X1755">
        <v>1</v>
      </c>
      <c r="Y1755" t="s">
        <v>2629</v>
      </c>
      <c r="AA1755">
        <v>37.58</v>
      </c>
      <c r="AB1755">
        <v>75.150000000000006</v>
      </c>
      <c r="AC1755">
        <v>75.150000000000006</v>
      </c>
    </row>
    <row r="1756" spans="2:29" ht="15" customHeight="1" x14ac:dyDescent="0.15">
      <c r="B1756">
        <v>4</v>
      </c>
      <c r="C1756" t="s">
        <v>386</v>
      </c>
      <c r="D1756" t="s">
        <v>3237</v>
      </c>
      <c r="E1756">
        <v>4</v>
      </c>
      <c r="F1756" t="s">
        <v>219</v>
      </c>
      <c r="G1756" t="s">
        <v>218</v>
      </c>
      <c r="H1756" t="s">
        <v>2305</v>
      </c>
      <c r="I1756">
        <v>30</v>
      </c>
      <c r="J1756" s="21">
        <v>46228</v>
      </c>
      <c r="K1756" s="21">
        <v>46228</v>
      </c>
      <c r="L1756" t="s">
        <v>3241</v>
      </c>
      <c r="M1756" t="s">
        <v>255</v>
      </c>
      <c r="N1756">
        <v>32</v>
      </c>
      <c r="O1756" t="s">
        <v>202</v>
      </c>
      <c r="P1756">
        <v>1</v>
      </c>
      <c r="Q1756">
        <v>1</v>
      </c>
      <c r="R1756">
        <v>0.5</v>
      </c>
      <c r="S1756">
        <v>0.5</v>
      </c>
      <c r="T1756">
        <v>0.5</v>
      </c>
      <c r="U1756" t="s">
        <v>141</v>
      </c>
      <c r="V1756" t="s">
        <v>142</v>
      </c>
      <c r="W1756" t="s">
        <v>75</v>
      </c>
      <c r="X1756">
        <v>1</v>
      </c>
      <c r="Y1756" t="s">
        <v>2629</v>
      </c>
      <c r="AA1756">
        <v>37.5</v>
      </c>
      <c r="AB1756">
        <v>18.75</v>
      </c>
      <c r="AC1756">
        <v>18.75</v>
      </c>
    </row>
    <row r="1757" spans="2:29" ht="15" customHeight="1" x14ac:dyDescent="0.15">
      <c r="B1757">
        <v>4</v>
      </c>
      <c r="C1757" t="s">
        <v>386</v>
      </c>
      <c r="D1757" t="s">
        <v>3237</v>
      </c>
      <c r="E1757">
        <v>5</v>
      </c>
      <c r="F1757" t="s">
        <v>219</v>
      </c>
      <c r="G1757" t="s">
        <v>244</v>
      </c>
      <c r="H1757" t="s">
        <v>511</v>
      </c>
      <c r="I1757">
        <v>30</v>
      </c>
      <c r="J1757" s="21">
        <v>46228</v>
      </c>
      <c r="K1757" s="21">
        <v>46228</v>
      </c>
      <c r="L1757" t="s">
        <v>3242</v>
      </c>
      <c r="M1757" t="s">
        <v>1243</v>
      </c>
      <c r="N1757">
        <v>32</v>
      </c>
      <c r="O1757" t="s">
        <v>202</v>
      </c>
      <c r="P1757">
        <v>1</v>
      </c>
      <c r="Q1757">
        <v>1</v>
      </c>
      <c r="R1757">
        <v>0.2</v>
      </c>
      <c r="S1757">
        <v>0.2</v>
      </c>
      <c r="T1757">
        <v>0.2</v>
      </c>
      <c r="U1757" t="s">
        <v>141</v>
      </c>
      <c r="V1757" t="s">
        <v>142</v>
      </c>
      <c r="W1757" t="s">
        <v>75</v>
      </c>
      <c r="X1757">
        <v>1</v>
      </c>
      <c r="Y1757" t="s">
        <v>2629</v>
      </c>
      <c r="AA1757">
        <v>269</v>
      </c>
      <c r="AB1757">
        <v>53.8</v>
      </c>
      <c r="AC1757">
        <v>53.8</v>
      </c>
    </row>
    <row r="1758" spans="2:29" ht="15" customHeight="1" x14ac:dyDescent="0.15">
      <c r="B1758">
        <v>4</v>
      </c>
      <c r="C1758" t="s">
        <v>386</v>
      </c>
      <c r="D1758" t="s">
        <v>3237</v>
      </c>
      <c r="E1758">
        <v>6</v>
      </c>
      <c r="F1758" t="s">
        <v>219</v>
      </c>
      <c r="G1758" t="s">
        <v>218</v>
      </c>
      <c r="H1758" t="s">
        <v>1018</v>
      </c>
      <c r="I1758">
        <v>30</v>
      </c>
      <c r="J1758" s="21">
        <v>46228</v>
      </c>
      <c r="K1758" s="21">
        <v>46228</v>
      </c>
      <c r="L1758" t="s">
        <v>3243</v>
      </c>
      <c r="M1758" t="s">
        <v>3229</v>
      </c>
      <c r="N1758">
        <v>32</v>
      </c>
      <c r="O1758" t="s">
        <v>220</v>
      </c>
      <c r="P1758">
        <v>1</v>
      </c>
      <c r="Q1758">
        <v>1</v>
      </c>
      <c r="R1758">
        <v>0.25</v>
      </c>
      <c r="S1758">
        <v>0.25</v>
      </c>
      <c r="T1758">
        <v>0.25</v>
      </c>
      <c r="U1758" t="s">
        <v>141</v>
      </c>
      <c r="V1758" t="s">
        <v>142</v>
      </c>
      <c r="W1758" t="s">
        <v>75</v>
      </c>
      <c r="X1758">
        <v>1</v>
      </c>
      <c r="Y1758" t="s">
        <v>2629</v>
      </c>
      <c r="AA1758">
        <v>62.05</v>
      </c>
      <c r="AB1758">
        <v>15.51</v>
      </c>
      <c r="AC1758">
        <v>15.51</v>
      </c>
    </row>
    <row r="1759" spans="2:29" ht="15" customHeight="1" x14ac:dyDescent="0.15">
      <c r="B1759">
        <v>4</v>
      </c>
      <c r="C1759" t="s">
        <v>386</v>
      </c>
      <c r="D1759" t="s">
        <v>3244</v>
      </c>
      <c r="E1759">
        <v>1</v>
      </c>
      <c r="F1759" t="s">
        <v>219</v>
      </c>
      <c r="G1759" t="s">
        <v>218</v>
      </c>
      <c r="H1759" t="s">
        <v>2253</v>
      </c>
      <c r="I1759">
        <v>30</v>
      </c>
      <c r="J1759" s="21">
        <v>46228</v>
      </c>
      <c r="K1759" s="21">
        <v>46228</v>
      </c>
      <c r="L1759" t="s">
        <v>3245</v>
      </c>
      <c r="M1759" t="s">
        <v>3012</v>
      </c>
      <c r="N1759">
        <v>9</v>
      </c>
      <c r="O1759" t="s">
        <v>220</v>
      </c>
      <c r="P1759">
        <v>8</v>
      </c>
      <c r="Q1759">
        <v>1.1399999999999999</v>
      </c>
      <c r="R1759">
        <v>0.75</v>
      </c>
      <c r="S1759">
        <v>6</v>
      </c>
      <c r="T1759">
        <v>0.86</v>
      </c>
      <c r="U1759" t="s">
        <v>3166</v>
      </c>
      <c r="V1759" t="s">
        <v>154</v>
      </c>
      <c r="W1759" t="s">
        <v>21</v>
      </c>
      <c r="X1759">
        <v>7</v>
      </c>
      <c r="Y1759" t="s">
        <v>3246</v>
      </c>
      <c r="AA1759">
        <v>216.83</v>
      </c>
      <c r="AB1759" s="22">
        <v>1300.95</v>
      </c>
      <c r="AC1759">
        <v>185.85</v>
      </c>
    </row>
    <row r="1760" spans="2:29" ht="15" customHeight="1" x14ac:dyDescent="0.15">
      <c r="B1760">
        <v>4</v>
      </c>
      <c r="C1760" t="s">
        <v>386</v>
      </c>
      <c r="D1760" t="s">
        <v>3244</v>
      </c>
      <c r="E1760">
        <v>2</v>
      </c>
      <c r="F1760" t="s">
        <v>219</v>
      </c>
      <c r="G1760" t="s">
        <v>218</v>
      </c>
      <c r="H1760" t="s">
        <v>667</v>
      </c>
      <c r="I1760">
        <v>30</v>
      </c>
      <c r="J1760" s="21">
        <v>46228</v>
      </c>
      <c r="K1760" s="21">
        <v>46228</v>
      </c>
      <c r="L1760" t="s">
        <v>3247</v>
      </c>
      <c r="M1760" t="s">
        <v>355</v>
      </c>
      <c r="N1760">
        <v>9</v>
      </c>
      <c r="O1760" t="s">
        <v>202</v>
      </c>
      <c r="P1760">
        <v>8</v>
      </c>
      <c r="Q1760">
        <v>1.1399999999999999</v>
      </c>
      <c r="R1760">
        <v>5</v>
      </c>
      <c r="S1760">
        <v>40</v>
      </c>
      <c r="T1760">
        <v>5.71</v>
      </c>
      <c r="U1760" t="s">
        <v>3166</v>
      </c>
      <c r="V1760" t="s">
        <v>154</v>
      </c>
      <c r="W1760" t="s">
        <v>21</v>
      </c>
      <c r="X1760">
        <v>7</v>
      </c>
      <c r="Y1760" t="s">
        <v>3246</v>
      </c>
      <c r="AA1760">
        <v>1.2</v>
      </c>
      <c r="AB1760">
        <v>48</v>
      </c>
      <c r="AC1760">
        <v>6.86</v>
      </c>
    </row>
    <row r="1761" spans="2:29" ht="15" customHeight="1" x14ac:dyDescent="0.15">
      <c r="B1761">
        <v>4</v>
      </c>
      <c r="C1761" t="s">
        <v>386</v>
      </c>
      <c r="D1761" t="s">
        <v>3244</v>
      </c>
      <c r="E1761">
        <v>3</v>
      </c>
      <c r="F1761" t="s">
        <v>219</v>
      </c>
      <c r="G1761" t="s">
        <v>223</v>
      </c>
      <c r="H1761" t="s">
        <v>987</v>
      </c>
      <c r="I1761">
        <v>30</v>
      </c>
      <c r="J1761" s="21">
        <v>46228</v>
      </c>
      <c r="K1761" s="21">
        <v>46228</v>
      </c>
      <c r="L1761" t="s">
        <v>3248</v>
      </c>
      <c r="M1761" t="s">
        <v>222</v>
      </c>
      <c r="N1761">
        <v>9</v>
      </c>
      <c r="O1761" t="s">
        <v>220</v>
      </c>
      <c r="P1761">
        <v>8</v>
      </c>
      <c r="Q1761">
        <v>1.1399999999999999</v>
      </c>
      <c r="R1761">
        <v>5</v>
      </c>
      <c r="S1761">
        <v>40</v>
      </c>
      <c r="T1761">
        <v>5.71</v>
      </c>
      <c r="U1761" t="s">
        <v>3166</v>
      </c>
      <c r="V1761" t="s">
        <v>154</v>
      </c>
      <c r="W1761" t="s">
        <v>21</v>
      </c>
      <c r="X1761">
        <v>7</v>
      </c>
      <c r="Y1761" t="s">
        <v>3246</v>
      </c>
      <c r="AA1761">
        <v>13.47</v>
      </c>
      <c r="AB1761">
        <v>538.79999999999995</v>
      </c>
      <c r="AC1761">
        <v>76.97</v>
      </c>
    </row>
    <row r="1762" spans="2:29" ht="15" customHeight="1" x14ac:dyDescent="0.15">
      <c r="B1762">
        <v>4</v>
      </c>
      <c r="C1762" t="s">
        <v>386</v>
      </c>
      <c r="D1762" t="s">
        <v>3249</v>
      </c>
      <c r="E1762">
        <v>1</v>
      </c>
      <c r="F1762" t="s">
        <v>219</v>
      </c>
      <c r="G1762" t="s">
        <v>231</v>
      </c>
      <c r="H1762" t="s">
        <v>231</v>
      </c>
      <c r="I1762">
        <v>31</v>
      </c>
      <c r="J1762" s="21">
        <v>46230</v>
      </c>
      <c r="K1762" s="21">
        <v>46230</v>
      </c>
      <c r="L1762" t="s">
        <v>3250</v>
      </c>
      <c r="M1762" t="s">
        <v>230</v>
      </c>
      <c r="N1762">
        <v>74</v>
      </c>
      <c r="O1762" t="s">
        <v>220</v>
      </c>
      <c r="P1762">
        <v>7</v>
      </c>
      <c r="Q1762">
        <v>1.56</v>
      </c>
      <c r="R1762">
        <v>0.03</v>
      </c>
      <c r="S1762">
        <v>0.21</v>
      </c>
      <c r="T1762">
        <v>0.05</v>
      </c>
      <c r="U1762" t="s">
        <v>107</v>
      </c>
      <c r="V1762" t="s">
        <v>108</v>
      </c>
      <c r="W1762" t="s">
        <v>21</v>
      </c>
      <c r="X1762">
        <v>4.5</v>
      </c>
      <c r="Y1762" t="s">
        <v>3069</v>
      </c>
      <c r="AB1762">
        <v>0</v>
      </c>
      <c r="AC1762">
        <v>0</v>
      </c>
    </row>
    <row r="1763" spans="2:29" ht="15" customHeight="1" x14ac:dyDescent="0.15">
      <c r="B1763">
        <v>4</v>
      </c>
      <c r="C1763" t="s">
        <v>386</v>
      </c>
      <c r="D1763" t="s">
        <v>3249</v>
      </c>
      <c r="E1763">
        <v>2</v>
      </c>
      <c r="F1763" t="s">
        <v>219</v>
      </c>
      <c r="G1763" t="s">
        <v>244</v>
      </c>
      <c r="H1763" t="s">
        <v>511</v>
      </c>
      <c r="I1763">
        <v>31</v>
      </c>
      <c r="J1763" s="21">
        <v>46230</v>
      </c>
      <c r="K1763" s="21">
        <v>46230</v>
      </c>
      <c r="L1763" t="s">
        <v>3251</v>
      </c>
      <c r="M1763" t="s">
        <v>1243</v>
      </c>
      <c r="N1763">
        <v>74</v>
      </c>
      <c r="O1763" t="s">
        <v>202</v>
      </c>
      <c r="P1763">
        <v>7</v>
      </c>
      <c r="Q1763">
        <v>1.56</v>
      </c>
      <c r="R1763">
        <v>0.2</v>
      </c>
      <c r="S1763">
        <v>1.4</v>
      </c>
      <c r="T1763">
        <v>0.31</v>
      </c>
      <c r="U1763" t="s">
        <v>107</v>
      </c>
      <c r="V1763" t="s">
        <v>108</v>
      </c>
      <c r="W1763" t="s">
        <v>21</v>
      </c>
      <c r="X1763">
        <v>4.5</v>
      </c>
      <c r="Y1763" t="s">
        <v>3069</v>
      </c>
      <c r="AA1763">
        <v>269</v>
      </c>
      <c r="AB1763">
        <v>376.6</v>
      </c>
      <c r="AC1763">
        <v>83.69</v>
      </c>
    </row>
    <row r="1764" spans="2:29" ht="15" customHeight="1" x14ac:dyDescent="0.15">
      <c r="B1764">
        <v>4</v>
      </c>
      <c r="C1764" t="s">
        <v>386</v>
      </c>
      <c r="D1764" t="s">
        <v>3249</v>
      </c>
      <c r="E1764">
        <v>3</v>
      </c>
      <c r="F1764" t="s">
        <v>219</v>
      </c>
      <c r="G1764" t="s">
        <v>218</v>
      </c>
      <c r="H1764" t="s">
        <v>1501</v>
      </c>
      <c r="I1764">
        <v>31</v>
      </c>
      <c r="J1764" s="21">
        <v>46230</v>
      </c>
      <c r="K1764" s="21">
        <v>46230</v>
      </c>
      <c r="L1764" t="s">
        <v>3252</v>
      </c>
      <c r="M1764" t="s">
        <v>2738</v>
      </c>
      <c r="N1764">
        <v>74</v>
      </c>
      <c r="O1764" t="s">
        <v>202</v>
      </c>
      <c r="P1764">
        <v>7</v>
      </c>
      <c r="Q1764">
        <v>1.56</v>
      </c>
      <c r="R1764">
        <v>0.2</v>
      </c>
      <c r="S1764">
        <v>1.4</v>
      </c>
      <c r="T1764">
        <v>0.31</v>
      </c>
      <c r="U1764" t="s">
        <v>107</v>
      </c>
      <c r="V1764" t="s">
        <v>108</v>
      </c>
      <c r="W1764" t="s">
        <v>21</v>
      </c>
      <c r="X1764">
        <v>4.5</v>
      </c>
      <c r="Y1764" t="s">
        <v>3069</v>
      </c>
      <c r="AA1764">
        <v>0</v>
      </c>
      <c r="AB1764">
        <v>0</v>
      </c>
      <c r="AC1764">
        <v>0</v>
      </c>
    </row>
    <row r="1765" spans="2:29" ht="15" customHeight="1" x14ac:dyDescent="0.15">
      <c r="B1765">
        <v>4</v>
      </c>
      <c r="C1765" t="s">
        <v>386</v>
      </c>
      <c r="D1765" t="s">
        <v>3249</v>
      </c>
      <c r="E1765">
        <v>4</v>
      </c>
      <c r="F1765" t="s">
        <v>219</v>
      </c>
      <c r="G1765" t="s">
        <v>218</v>
      </c>
      <c r="H1765" t="s">
        <v>2353</v>
      </c>
      <c r="I1765">
        <v>31</v>
      </c>
      <c r="J1765" s="21">
        <v>46230</v>
      </c>
      <c r="K1765" s="21">
        <v>46230</v>
      </c>
      <c r="L1765" t="s">
        <v>3253</v>
      </c>
      <c r="M1765" t="s">
        <v>2946</v>
      </c>
      <c r="N1765">
        <v>74</v>
      </c>
      <c r="O1765" t="s">
        <v>202</v>
      </c>
      <c r="P1765">
        <v>7</v>
      </c>
      <c r="Q1765">
        <v>1.56</v>
      </c>
      <c r="R1765">
        <v>0.2</v>
      </c>
      <c r="S1765">
        <v>1.4</v>
      </c>
      <c r="T1765">
        <v>0.31</v>
      </c>
      <c r="U1765" t="s">
        <v>107</v>
      </c>
      <c r="V1765" t="s">
        <v>108</v>
      </c>
      <c r="W1765" t="s">
        <v>21</v>
      </c>
      <c r="X1765">
        <v>4.5</v>
      </c>
      <c r="Y1765" t="s">
        <v>3069</v>
      </c>
      <c r="AA1765">
        <v>61.3</v>
      </c>
      <c r="AB1765">
        <v>85.82</v>
      </c>
      <c r="AC1765">
        <v>19.07</v>
      </c>
    </row>
    <row r="1766" spans="2:29" ht="15" customHeight="1" x14ac:dyDescent="0.15">
      <c r="B1766">
        <v>4</v>
      </c>
      <c r="C1766" t="s">
        <v>386</v>
      </c>
      <c r="D1766" t="s">
        <v>3249</v>
      </c>
      <c r="E1766">
        <v>5</v>
      </c>
      <c r="F1766" t="s">
        <v>219</v>
      </c>
      <c r="G1766" t="s">
        <v>239</v>
      </c>
      <c r="H1766" t="s">
        <v>456</v>
      </c>
      <c r="I1766">
        <v>31</v>
      </c>
      <c r="J1766" s="21">
        <v>46230</v>
      </c>
      <c r="K1766" s="21">
        <v>46230</v>
      </c>
      <c r="L1766" t="s">
        <v>3254</v>
      </c>
      <c r="M1766" t="s">
        <v>458</v>
      </c>
      <c r="N1766">
        <v>74</v>
      </c>
      <c r="O1766" t="s">
        <v>220</v>
      </c>
      <c r="P1766">
        <v>7</v>
      </c>
      <c r="Q1766">
        <v>1.56</v>
      </c>
      <c r="R1766">
        <v>0.5</v>
      </c>
      <c r="S1766">
        <v>3.5</v>
      </c>
      <c r="T1766">
        <v>0.78</v>
      </c>
      <c r="U1766" t="s">
        <v>107</v>
      </c>
      <c r="V1766" t="s">
        <v>108</v>
      </c>
      <c r="W1766" t="s">
        <v>21</v>
      </c>
      <c r="X1766">
        <v>4.5</v>
      </c>
      <c r="Y1766" t="s">
        <v>3069</v>
      </c>
      <c r="AA1766">
        <v>49.99</v>
      </c>
      <c r="AB1766">
        <v>174.97</v>
      </c>
      <c r="AC1766">
        <v>38.880000000000003</v>
      </c>
    </row>
    <row r="1767" spans="2:29" ht="15" customHeight="1" x14ac:dyDescent="0.15">
      <c r="B1767">
        <v>4</v>
      </c>
      <c r="C1767" t="s">
        <v>386</v>
      </c>
      <c r="D1767" t="s">
        <v>3249</v>
      </c>
      <c r="E1767">
        <v>6</v>
      </c>
      <c r="F1767" t="s">
        <v>219</v>
      </c>
      <c r="G1767" t="s">
        <v>239</v>
      </c>
      <c r="H1767" t="s">
        <v>3082</v>
      </c>
      <c r="I1767">
        <v>31</v>
      </c>
      <c r="J1767" s="21">
        <v>46230</v>
      </c>
      <c r="K1767" s="21">
        <v>46230</v>
      </c>
      <c r="L1767" t="s">
        <v>3255</v>
      </c>
      <c r="M1767" t="s">
        <v>3084</v>
      </c>
      <c r="N1767">
        <v>74</v>
      </c>
      <c r="O1767" t="s">
        <v>202</v>
      </c>
      <c r="P1767">
        <v>7</v>
      </c>
      <c r="Q1767">
        <v>1.56</v>
      </c>
      <c r="R1767">
        <v>1</v>
      </c>
      <c r="S1767">
        <v>7</v>
      </c>
      <c r="T1767">
        <v>1.56</v>
      </c>
      <c r="U1767" t="s">
        <v>107</v>
      </c>
      <c r="V1767" t="s">
        <v>108</v>
      </c>
      <c r="W1767" t="s">
        <v>21</v>
      </c>
      <c r="X1767">
        <v>4.5</v>
      </c>
      <c r="Y1767" t="s">
        <v>3069</v>
      </c>
      <c r="AB1767">
        <v>0</v>
      </c>
      <c r="AC1767">
        <v>0</v>
      </c>
    </row>
    <row r="1768" spans="2:29" ht="15" customHeight="1" x14ac:dyDescent="0.15">
      <c r="B1768">
        <v>4</v>
      </c>
      <c r="C1768" t="s">
        <v>386</v>
      </c>
      <c r="D1768" t="s">
        <v>3249</v>
      </c>
      <c r="E1768">
        <v>7</v>
      </c>
      <c r="F1768" t="s">
        <v>219</v>
      </c>
      <c r="G1768" t="s">
        <v>218</v>
      </c>
      <c r="H1768" t="s">
        <v>1018</v>
      </c>
      <c r="I1768">
        <v>31</v>
      </c>
      <c r="J1768" s="21">
        <v>46230</v>
      </c>
      <c r="K1768" s="21">
        <v>46230</v>
      </c>
      <c r="L1768" t="s">
        <v>3256</v>
      </c>
      <c r="M1768" t="s">
        <v>3229</v>
      </c>
      <c r="N1768">
        <v>74</v>
      </c>
      <c r="O1768" t="s">
        <v>220</v>
      </c>
      <c r="P1768">
        <v>7</v>
      </c>
      <c r="Q1768">
        <v>1.56</v>
      </c>
      <c r="R1768">
        <v>0.25</v>
      </c>
      <c r="S1768">
        <v>1.75</v>
      </c>
      <c r="T1768">
        <v>0.39</v>
      </c>
      <c r="U1768" t="s">
        <v>107</v>
      </c>
      <c r="V1768" t="s">
        <v>108</v>
      </c>
      <c r="W1768" t="s">
        <v>21</v>
      </c>
      <c r="X1768">
        <v>4.5</v>
      </c>
      <c r="Y1768" t="s">
        <v>3069</v>
      </c>
      <c r="AA1768">
        <v>62.05</v>
      </c>
      <c r="AB1768">
        <v>108.59</v>
      </c>
      <c r="AC1768">
        <v>24.13</v>
      </c>
    </row>
    <row r="1769" spans="2:29" ht="15" customHeight="1" x14ac:dyDescent="0.15">
      <c r="B1769">
        <v>4</v>
      </c>
      <c r="C1769" t="s">
        <v>386</v>
      </c>
      <c r="D1769" t="s">
        <v>3244</v>
      </c>
      <c r="E1769">
        <v>1</v>
      </c>
      <c r="F1769" t="s">
        <v>219</v>
      </c>
      <c r="G1769" t="s">
        <v>218</v>
      </c>
      <c r="H1769" t="s">
        <v>2253</v>
      </c>
      <c r="I1769">
        <v>30</v>
      </c>
      <c r="J1769" s="21">
        <v>46228</v>
      </c>
      <c r="K1769" s="21">
        <v>46228</v>
      </c>
      <c r="L1769" t="s">
        <v>3245</v>
      </c>
      <c r="M1769" t="s">
        <v>3012</v>
      </c>
      <c r="N1769" s="22">
        <v>9</v>
      </c>
      <c r="O1769" t="s">
        <v>220</v>
      </c>
      <c r="P1769">
        <v>8</v>
      </c>
      <c r="Q1769">
        <v>1.1399999999999999</v>
      </c>
      <c r="R1769">
        <v>0.75</v>
      </c>
      <c r="S1769">
        <v>6</v>
      </c>
      <c r="T1769">
        <v>0.86</v>
      </c>
      <c r="U1769" t="s">
        <v>3166</v>
      </c>
      <c r="V1769" t="s">
        <v>154</v>
      </c>
      <c r="W1769" t="s">
        <v>21</v>
      </c>
      <c r="X1769">
        <v>7</v>
      </c>
      <c r="Y1769" t="s">
        <v>3246</v>
      </c>
      <c r="AB1769">
        <v>0</v>
      </c>
      <c r="AC1769">
        <v>0</v>
      </c>
    </row>
    <row r="1770" spans="2:29" ht="15" customHeight="1" x14ac:dyDescent="0.15">
      <c r="B1770">
        <v>4</v>
      </c>
      <c r="C1770" t="s">
        <v>386</v>
      </c>
      <c r="D1770" t="s">
        <v>3244</v>
      </c>
      <c r="E1770">
        <v>2</v>
      </c>
      <c r="F1770" t="s">
        <v>219</v>
      </c>
      <c r="G1770" t="s">
        <v>218</v>
      </c>
      <c r="H1770" t="s">
        <v>667</v>
      </c>
      <c r="I1770">
        <v>30</v>
      </c>
      <c r="J1770" s="21">
        <v>46228</v>
      </c>
      <c r="K1770" s="21">
        <v>46228</v>
      </c>
      <c r="L1770" t="s">
        <v>3247</v>
      </c>
      <c r="M1770" t="s">
        <v>355</v>
      </c>
      <c r="N1770" s="22">
        <v>9</v>
      </c>
      <c r="O1770" t="s">
        <v>202</v>
      </c>
      <c r="P1770">
        <v>8</v>
      </c>
      <c r="Q1770">
        <v>1.1399999999999999</v>
      </c>
      <c r="R1770">
        <v>5</v>
      </c>
      <c r="S1770">
        <v>40</v>
      </c>
      <c r="T1770">
        <v>5.71</v>
      </c>
      <c r="U1770" t="s">
        <v>3166</v>
      </c>
      <c r="V1770" t="s">
        <v>154</v>
      </c>
      <c r="W1770" t="s">
        <v>21</v>
      </c>
      <c r="X1770">
        <v>7</v>
      </c>
      <c r="Y1770" t="s">
        <v>3246</v>
      </c>
      <c r="AA1770">
        <v>38.14</v>
      </c>
      <c r="AB1770">
        <v>343.26</v>
      </c>
      <c r="AC1770">
        <v>42.91</v>
      </c>
    </row>
    <row r="1771" spans="2:29" ht="15" customHeight="1" x14ac:dyDescent="0.15">
      <c r="B1771">
        <v>4</v>
      </c>
      <c r="C1771" t="s">
        <v>386</v>
      </c>
      <c r="D1771" t="s">
        <v>3244</v>
      </c>
      <c r="E1771">
        <v>3</v>
      </c>
      <c r="F1771" t="s">
        <v>219</v>
      </c>
      <c r="G1771" t="s">
        <v>223</v>
      </c>
      <c r="H1771" t="s">
        <v>987</v>
      </c>
      <c r="I1771">
        <v>30</v>
      </c>
      <c r="J1771" s="21">
        <v>46228</v>
      </c>
      <c r="K1771" s="21">
        <v>46228</v>
      </c>
      <c r="L1771" t="s">
        <v>3248</v>
      </c>
      <c r="M1771" t="s">
        <v>222</v>
      </c>
      <c r="N1771" s="22">
        <v>9</v>
      </c>
      <c r="O1771" t="s">
        <v>220</v>
      </c>
      <c r="P1771">
        <v>8</v>
      </c>
      <c r="Q1771">
        <v>1.1399999999999999</v>
      </c>
      <c r="R1771">
        <v>5</v>
      </c>
      <c r="S1771">
        <v>40</v>
      </c>
      <c r="T1771">
        <v>5.71</v>
      </c>
      <c r="U1771" t="s">
        <v>3166</v>
      </c>
      <c r="V1771" t="s">
        <v>154</v>
      </c>
      <c r="W1771" t="s">
        <v>21</v>
      </c>
      <c r="X1771">
        <v>7</v>
      </c>
      <c r="Y1771" t="s">
        <v>3246</v>
      </c>
      <c r="AB1771">
        <v>0</v>
      </c>
      <c r="AC1771">
        <v>0</v>
      </c>
    </row>
    <row r="1772" spans="2:29" ht="15" customHeight="1" x14ac:dyDescent="0.15">
      <c r="B1772">
        <v>4</v>
      </c>
      <c r="C1772" t="s">
        <v>386</v>
      </c>
      <c r="D1772" t="s">
        <v>3249</v>
      </c>
      <c r="E1772">
        <v>1</v>
      </c>
      <c r="F1772" t="s">
        <v>219</v>
      </c>
      <c r="G1772" t="s">
        <v>231</v>
      </c>
      <c r="H1772" t="s">
        <v>231</v>
      </c>
      <c r="I1772">
        <v>31</v>
      </c>
      <c r="J1772" s="21">
        <v>46230</v>
      </c>
      <c r="K1772" s="21">
        <v>46230</v>
      </c>
      <c r="L1772" t="s">
        <v>3250</v>
      </c>
      <c r="M1772" t="s">
        <v>230</v>
      </c>
      <c r="N1772" s="22">
        <v>74</v>
      </c>
      <c r="O1772" t="s">
        <v>220</v>
      </c>
      <c r="P1772">
        <v>7</v>
      </c>
      <c r="Q1772">
        <v>1.56</v>
      </c>
      <c r="R1772">
        <v>0.03</v>
      </c>
      <c r="S1772">
        <v>0.21</v>
      </c>
      <c r="T1772">
        <v>0.05</v>
      </c>
      <c r="U1772" t="s">
        <v>107</v>
      </c>
      <c r="V1772" t="s">
        <v>108</v>
      </c>
      <c r="W1772" t="s">
        <v>21</v>
      </c>
      <c r="X1772">
        <v>4.5</v>
      </c>
      <c r="Y1772" t="s">
        <v>3069</v>
      </c>
      <c r="AA1772">
        <v>49.99</v>
      </c>
      <c r="AB1772">
        <v>124.98</v>
      </c>
      <c r="AC1772">
        <v>15.62</v>
      </c>
    </row>
    <row r="1773" spans="2:29" ht="15" customHeight="1" x14ac:dyDescent="0.15">
      <c r="B1773">
        <v>4</v>
      </c>
      <c r="C1773" t="s">
        <v>386</v>
      </c>
      <c r="D1773" t="s">
        <v>3249</v>
      </c>
      <c r="E1773">
        <v>2</v>
      </c>
      <c r="F1773" t="s">
        <v>219</v>
      </c>
      <c r="G1773" t="s">
        <v>244</v>
      </c>
      <c r="H1773" t="s">
        <v>511</v>
      </c>
      <c r="I1773">
        <v>31</v>
      </c>
      <c r="J1773" s="21">
        <v>46230</v>
      </c>
      <c r="K1773" s="21">
        <v>46230</v>
      </c>
      <c r="L1773" t="s">
        <v>3251</v>
      </c>
      <c r="M1773" t="s">
        <v>1243</v>
      </c>
      <c r="N1773" s="22">
        <v>74</v>
      </c>
      <c r="O1773" t="s">
        <v>202</v>
      </c>
      <c r="P1773">
        <v>7</v>
      </c>
      <c r="Q1773">
        <v>1.56</v>
      </c>
      <c r="R1773">
        <v>0.2</v>
      </c>
      <c r="S1773">
        <v>1.4</v>
      </c>
      <c r="T1773">
        <v>0.31</v>
      </c>
      <c r="U1773" t="s">
        <v>107</v>
      </c>
      <c r="V1773" t="s">
        <v>108</v>
      </c>
      <c r="W1773" t="s">
        <v>21</v>
      </c>
      <c r="X1773">
        <v>4.5</v>
      </c>
      <c r="Y1773" t="s">
        <v>3069</v>
      </c>
      <c r="AA1773">
        <v>180</v>
      </c>
      <c r="AB1773">
        <v>450</v>
      </c>
      <c r="AC1773">
        <v>56.25</v>
      </c>
    </row>
    <row r="1774" spans="2:29" ht="15" customHeight="1" x14ac:dyDescent="0.15">
      <c r="B1774">
        <v>4</v>
      </c>
      <c r="C1774" t="s">
        <v>386</v>
      </c>
      <c r="D1774" t="s">
        <v>3249</v>
      </c>
      <c r="E1774">
        <v>3</v>
      </c>
      <c r="F1774" t="s">
        <v>219</v>
      </c>
      <c r="G1774" t="s">
        <v>218</v>
      </c>
      <c r="H1774" t="s">
        <v>1501</v>
      </c>
      <c r="I1774">
        <v>31</v>
      </c>
      <c r="J1774" s="21">
        <v>46230</v>
      </c>
      <c r="K1774" s="21">
        <v>46230</v>
      </c>
      <c r="L1774" t="s">
        <v>3252</v>
      </c>
      <c r="M1774" t="s">
        <v>2738</v>
      </c>
      <c r="N1774" s="22">
        <v>74</v>
      </c>
      <c r="O1774" t="s">
        <v>202</v>
      </c>
      <c r="P1774">
        <v>7</v>
      </c>
      <c r="Q1774">
        <v>1.56</v>
      </c>
      <c r="R1774">
        <v>0.2</v>
      </c>
      <c r="S1774">
        <v>1.4</v>
      </c>
      <c r="T1774">
        <v>0.31</v>
      </c>
      <c r="U1774" t="s">
        <v>107</v>
      </c>
      <c r="V1774" t="s">
        <v>108</v>
      </c>
      <c r="W1774" t="s">
        <v>21</v>
      </c>
      <c r="X1774">
        <v>4.5</v>
      </c>
      <c r="Y1774" t="s">
        <v>3069</v>
      </c>
    </row>
    <row r="1775" spans="2:29" ht="15" customHeight="1" x14ac:dyDescent="0.15">
      <c r="B1775">
        <v>4</v>
      </c>
      <c r="C1775" t="s">
        <v>386</v>
      </c>
      <c r="D1775" t="s">
        <v>3249</v>
      </c>
      <c r="E1775">
        <v>4</v>
      </c>
      <c r="F1775" t="s">
        <v>219</v>
      </c>
      <c r="G1775" t="s">
        <v>218</v>
      </c>
      <c r="H1775" t="s">
        <v>2353</v>
      </c>
      <c r="I1775">
        <v>31</v>
      </c>
      <c r="J1775" s="21">
        <v>46230</v>
      </c>
      <c r="K1775" s="21">
        <v>46230</v>
      </c>
      <c r="L1775" t="s">
        <v>3253</v>
      </c>
      <c r="M1775" t="s">
        <v>2946</v>
      </c>
      <c r="N1775" s="22">
        <v>74</v>
      </c>
      <c r="O1775" t="s">
        <v>202</v>
      </c>
      <c r="P1775">
        <v>7</v>
      </c>
      <c r="Q1775">
        <v>1.56</v>
      </c>
      <c r="R1775">
        <v>0.2</v>
      </c>
      <c r="S1775">
        <v>1.4</v>
      </c>
      <c r="T1775">
        <v>0.31</v>
      </c>
      <c r="U1775" t="s">
        <v>107</v>
      </c>
      <c r="V1775" t="s">
        <v>108</v>
      </c>
      <c r="W1775" t="s">
        <v>21</v>
      </c>
      <c r="X1775">
        <v>4.5</v>
      </c>
      <c r="Y1775" t="s">
        <v>3069</v>
      </c>
      <c r="AA1775">
        <v>61.3</v>
      </c>
      <c r="AB1775">
        <v>61.3</v>
      </c>
      <c r="AC1775">
        <v>7.66</v>
      </c>
    </row>
    <row r="1776" spans="2:29" ht="15" customHeight="1" x14ac:dyDescent="0.15">
      <c r="B1776">
        <v>4</v>
      </c>
      <c r="C1776" t="s">
        <v>386</v>
      </c>
      <c r="D1776" t="s">
        <v>3249</v>
      </c>
      <c r="E1776">
        <v>5</v>
      </c>
      <c r="F1776" t="s">
        <v>219</v>
      </c>
      <c r="G1776" t="s">
        <v>239</v>
      </c>
      <c r="H1776" t="s">
        <v>456</v>
      </c>
      <c r="I1776">
        <v>31</v>
      </c>
      <c r="J1776" s="21">
        <v>46230</v>
      </c>
      <c r="K1776" s="21">
        <v>46230</v>
      </c>
      <c r="L1776" t="s">
        <v>3254</v>
      </c>
      <c r="M1776" t="s">
        <v>458</v>
      </c>
      <c r="N1776" s="22">
        <v>74</v>
      </c>
      <c r="O1776" t="s">
        <v>220</v>
      </c>
      <c r="P1776">
        <v>7</v>
      </c>
      <c r="Q1776">
        <v>1.56</v>
      </c>
      <c r="R1776">
        <v>0.5</v>
      </c>
      <c r="S1776">
        <v>3.5</v>
      </c>
      <c r="T1776">
        <v>0.78</v>
      </c>
      <c r="U1776" t="s">
        <v>107</v>
      </c>
      <c r="V1776" t="s">
        <v>108</v>
      </c>
      <c r="W1776" t="s">
        <v>21</v>
      </c>
      <c r="X1776">
        <v>4.5</v>
      </c>
      <c r="Y1776" t="s">
        <v>3069</v>
      </c>
      <c r="AA1776">
        <v>91.2</v>
      </c>
      <c r="AB1776">
        <v>91.2</v>
      </c>
      <c r="AC1776">
        <v>11.4</v>
      </c>
    </row>
    <row r="1777" spans="2:29" ht="15" customHeight="1" x14ac:dyDescent="0.15">
      <c r="B1777">
        <v>4</v>
      </c>
      <c r="C1777" t="s">
        <v>386</v>
      </c>
      <c r="D1777" t="s">
        <v>3249</v>
      </c>
      <c r="E1777">
        <v>6</v>
      </c>
      <c r="F1777" t="s">
        <v>219</v>
      </c>
      <c r="G1777" t="s">
        <v>239</v>
      </c>
      <c r="H1777" t="s">
        <v>3082</v>
      </c>
      <c r="I1777">
        <v>31</v>
      </c>
      <c r="J1777" s="21">
        <v>46230</v>
      </c>
      <c r="K1777" s="21">
        <v>46230</v>
      </c>
      <c r="L1777" t="s">
        <v>3255</v>
      </c>
      <c r="M1777" t="s">
        <v>3084</v>
      </c>
      <c r="N1777" s="22">
        <v>74</v>
      </c>
      <c r="O1777" t="s">
        <v>202</v>
      </c>
      <c r="P1777">
        <v>7</v>
      </c>
      <c r="Q1777">
        <v>1.56</v>
      </c>
      <c r="R1777">
        <v>1</v>
      </c>
      <c r="S1777">
        <v>7</v>
      </c>
      <c r="T1777">
        <v>1.56</v>
      </c>
      <c r="U1777" t="s">
        <v>107</v>
      </c>
      <c r="V1777" t="s">
        <v>108</v>
      </c>
      <c r="W1777" t="s">
        <v>21</v>
      </c>
      <c r="X1777">
        <v>4.5</v>
      </c>
      <c r="Y1777" t="s">
        <v>3069</v>
      </c>
      <c r="AA1777">
        <v>91.24</v>
      </c>
      <c r="AB1777">
        <v>91.24</v>
      </c>
      <c r="AC1777">
        <v>11.41</v>
      </c>
    </row>
    <row r="1778" spans="2:29" ht="15" customHeight="1" x14ac:dyDescent="0.15">
      <c r="B1778">
        <v>4</v>
      </c>
      <c r="C1778" t="s">
        <v>386</v>
      </c>
      <c r="D1778" t="s">
        <v>3249</v>
      </c>
      <c r="E1778">
        <v>7</v>
      </c>
      <c r="F1778" t="s">
        <v>219</v>
      </c>
      <c r="G1778" t="s">
        <v>218</v>
      </c>
      <c r="H1778" t="s">
        <v>1018</v>
      </c>
      <c r="I1778">
        <v>31</v>
      </c>
      <c r="J1778" s="21">
        <v>46230</v>
      </c>
      <c r="K1778" s="21">
        <v>46230</v>
      </c>
      <c r="L1778" t="s">
        <v>3256</v>
      </c>
      <c r="M1778" t="s">
        <v>3229</v>
      </c>
      <c r="N1778">
        <v>74</v>
      </c>
      <c r="O1778" t="s">
        <v>220</v>
      </c>
      <c r="P1778">
        <v>7</v>
      </c>
      <c r="Q1778">
        <v>1.56</v>
      </c>
      <c r="R1778">
        <v>0.25</v>
      </c>
      <c r="S1778">
        <v>1.75</v>
      </c>
      <c r="T1778">
        <v>0.39</v>
      </c>
      <c r="U1778" t="s">
        <v>107</v>
      </c>
      <c r="V1778" t="s">
        <v>108</v>
      </c>
      <c r="W1778" t="s">
        <v>21</v>
      </c>
      <c r="X1778">
        <v>4.5</v>
      </c>
      <c r="Y1778" t="s">
        <v>3069</v>
      </c>
      <c r="AA1778">
        <v>3</v>
      </c>
      <c r="AB1778">
        <v>147</v>
      </c>
      <c r="AC1778">
        <v>32.67</v>
      </c>
    </row>
    <row r="1779" spans="2:29" ht="15" customHeight="1" x14ac:dyDescent="0.15">
      <c r="B1779">
        <v>4</v>
      </c>
      <c r="C1779" t="s">
        <v>386</v>
      </c>
      <c r="D1779" t="s">
        <v>3257</v>
      </c>
      <c r="E1779">
        <v>1</v>
      </c>
      <c r="F1779" t="s">
        <v>219</v>
      </c>
      <c r="G1779" t="s">
        <v>231</v>
      </c>
      <c r="H1779" t="s">
        <v>231</v>
      </c>
      <c r="I1779">
        <v>31</v>
      </c>
      <c r="J1779" s="21">
        <v>46234</v>
      </c>
      <c r="K1779" s="21">
        <v>46234</v>
      </c>
      <c r="L1779" t="s">
        <v>3258</v>
      </c>
      <c r="M1779" t="s">
        <v>230</v>
      </c>
      <c r="N1779">
        <v>15</v>
      </c>
      <c r="O1779" t="s">
        <v>220</v>
      </c>
      <c r="P1779">
        <v>4</v>
      </c>
      <c r="Q1779">
        <v>0.5</v>
      </c>
      <c r="R1779">
        <v>0.05</v>
      </c>
      <c r="S1779">
        <v>0.2</v>
      </c>
      <c r="T1779">
        <v>0.03</v>
      </c>
      <c r="U1779" t="s">
        <v>3166</v>
      </c>
      <c r="V1779" t="s">
        <v>154</v>
      </c>
      <c r="W1779" t="s">
        <v>21</v>
      </c>
      <c r="X1779">
        <v>8</v>
      </c>
      <c r="Y1779" t="s">
        <v>2629</v>
      </c>
    </row>
    <row r="1780" spans="2:29" ht="15" customHeight="1" x14ac:dyDescent="0.15">
      <c r="B1780">
        <v>4</v>
      </c>
      <c r="C1780" t="s">
        <v>386</v>
      </c>
      <c r="D1780" t="s">
        <v>3257</v>
      </c>
      <c r="E1780">
        <v>2</v>
      </c>
      <c r="F1780" t="s">
        <v>219</v>
      </c>
      <c r="G1780" t="s">
        <v>439</v>
      </c>
      <c r="H1780" t="s">
        <v>533</v>
      </c>
      <c r="I1780">
        <v>31</v>
      </c>
      <c r="J1780" s="21">
        <v>46234</v>
      </c>
      <c r="K1780" s="21">
        <v>46234</v>
      </c>
      <c r="L1780" t="s">
        <v>3259</v>
      </c>
      <c r="M1780" t="s">
        <v>535</v>
      </c>
      <c r="N1780">
        <v>15</v>
      </c>
      <c r="O1780" t="s">
        <v>220</v>
      </c>
      <c r="P1780">
        <v>4</v>
      </c>
      <c r="Q1780">
        <v>0.5</v>
      </c>
      <c r="R1780">
        <v>1.5</v>
      </c>
      <c r="S1780">
        <v>6</v>
      </c>
      <c r="T1780">
        <v>0.75</v>
      </c>
      <c r="U1780" t="s">
        <v>3166</v>
      </c>
      <c r="V1780" t="s">
        <v>154</v>
      </c>
      <c r="W1780" t="s">
        <v>21</v>
      </c>
      <c r="X1780">
        <v>8</v>
      </c>
      <c r="Y1780" t="s">
        <v>2629</v>
      </c>
    </row>
    <row r="1781" spans="2:29" ht="15" customHeight="1" x14ac:dyDescent="0.15">
      <c r="B1781">
        <v>4</v>
      </c>
      <c r="C1781" t="s">
        <v>386</v>
      </c>
      <c r="D1781" t="s">
        <v>3260</v>
      </c>
      <c r="E1781">
        <v>1</v>
      </c>
      <c r="F1781" t="s">
        <v>219</v>
      </c>
      <c r="G1781" t="s">
        <v>231</v>
      </c>
      <c r="H1781" t="s">
        <v>231</v>
      </c>
      <c r="I1781">
        <v>31</v>
      </c>
      <c r="J1781" s="21">
        <v>46234</v>
      </c>
      <c r="K1781" s="21">
        <v>46234</v>
      </c>
      <c r="L1781" t="s">
        <v>3261</v>
      </c>
      <c r="M1781" t="s">
        <v>230</v>
      </c>
      <c r="N1781">
        <v>15</v>
      </c>
      <c r="O1781" t="s">
        <v>220</v>
      </c>
      <c r="P1781">
        <v>5</v>
      </c>
      <c r="Q1781">
        <v>0.63</v>
      </c>
      <c r="R1781">
        <v>0.03</v>
      </c>
      <c r="S1781">
        <v>0.15</v>
      </c>
      <c r="T1781">
        <v>0.02</v>
      </c>
      <c r="U1781" t="s">
        <v>3166</v>
      </c>
      <c r="V1781" t="s">
        <v>154</v>
      </c>
      <c r="W1781" t="s">
        <v>21</v>
      </c>
      <c r="X1781">
        <v>8</v>
      </c>
      <c r="Y1781" t="s">
        <v>2629</v>
      </c>
    </row>
    <row r="1782" spans="2:29" ht="15" customHeight="1" x14ac:dyDescent="0.15">
      <c r="B1782">
        <v>4</v>
      </c>
      <c r="C1782" t="s">
        <v>386</v>
      </c>
      <c r="D1782" t="s">
        <v>3260</v>
      </c>
      <c r="E1782">
        <v>2</v>
      </c>
      <c r="F1782" t="s">
        <v>219</v>
      </c>
      <c r="G1782" t="s">
        <v>239</v>
      </c>
      <c r="H1782" t="s">
        <v>456</v>
      </c>
      <c r="I1782">
        <v>31</v>
      </c>
      <c r="J1782" s="21">
        <v>46234</v>
      </c>
      <c r="K1782" s="21">
        <v>46234</v>
      </c>
      <c r="L1782" t="s">
        <v>3262</v>
      </c>
      <c r="M1782" t="s">
        <v>458</v>
      </c>
      <c r="N1782">
        <v>15</v>
      </c>
      <c r="O1782" t="s">
        <v>220</v>
      </c>
      <c r="P1782">
        <v>5</v>
      </c>
      <c r="Q1782">
        <v>0.63</v>
      </c>
      <c r="R1782">
        <v>0.5</v>
      </c>
      <c r="S1782">
        <v>2.5</v>
      </c>
      <c r="T1782">
        <v>0.31</v>
      </c>
      <c r="U1782" t="s">
        <v>3166</v>
      </c>
      <c r="V1782" t="s">
        <v>154</v>
      </c>
      <c r="W1782" t="s">
        <v>21</v>
      </c>
      <c r="X1782">
        <v>8</v>
      </c>
      <c r="Y1782" t="s">
        <v>2629</v>
      </c>
    </row>
    <row r="1783" spans="2:29" ht="15" customHeight="1" x14ac:dyDescent="0.15">
      <c r="B1783">
        <v>4</v>
      </c>
      <c r="C1783" t="s">
        <v>386</v>
      </c>
      <c r="D1783" t="s">
        <v>3260</v>
      </c>
      <c r="E1783">
        <v>3</v>
      </c>
      <c r="F1783" t="s">
        <v>219</v>
      </c>
      <c r="G1783" t="s">
        <v>239</v>
      </c>
      <c r="H1783" t="s">
        <v>602</v>
      </c>
      <c r="I1783">
        <v>31</v>
      </c>
      <c r="J1783" s="21">
        <v>46234</v>
      </c>
      <c r="K1783" s="21">
        <v>46234</v>
      </c>
      <c r="L1783" t="s">
        <v>3263</v>
      </c>
      <c r="M1783" t="s">
        <v>258</v>
      </c>
      <c r="N1783">
        <v>15</v>
      </c>
      <c r="O1783" t="s">
        <v>220</v>
      </c>
      <c r="P1783">
        <v>5</v>
      </c>
      <c r="Q1783">
        <v>0.63</v>
      </c>
      <c r="R1783">
        <v>0.5</v>
      </c>
      <c r="S1783">
        <v>2.5</v>
      </c>
      <c r="T1783">
        <v>0.31</v>
      </c>
      <c r="U1783" t="s">
        <v>3166</v>
      </c>
      <c r="V1783" t="s">
        <v>154</v>
      </c>
      <c r="W1783" t="s">
        <v>21</v>
      </c>
      <c r="X1783">
        <v>8</v>
      </c>
      <c r="Y1783" t="s">
        <v>2629</v>
      </c>
    </row>
    <row r="1784" spans="2:29" ht="15" customHeight="1" x14ac:dyDescent="0.15">
      <c r="B1784">
        <v>4</v>
      </c>
      <c r="C1784" t="s">
        <v>386</v>
      </c>
      <c r="D1784" t="s">
        <v>3260</v>
      </c>
      <c r="E1784">
        <v>4</v>
      </c>
      <c r="F1784" t="s">
        <v>219</v>
      </c>
      <c r="G1784" t="s">
        <v>239</v>
      </c>
      <c r="H1784" t="s">
        <v>517</v>
      </c>
      <c r="I1784">
        <v>31</v>
      </c>
      <c r="J1784" s="21">
        <v>46234</v>
      </c>
      <c r="K1784" s="21">
        <v>46234</v>
      </c>
      <c r="L1784" t="s">
        <v>3264</v>
      </c>
      <c r="M1784" t="s">
        <v>614</v>
      </c>
      <c r="N1784">
        <v>15</v>
      </c>
      <c r="O1784" t="s">
        <v>220</v>
      </c>
      <c r="P1784">
        <v>5</v>
      </c>
      <c r="Q1784">
        <v>0.63</v>
      </c>
      <c r="R1784">
        <v>0.5</v>
      </c>
      <c r="S1784">
        <v>2.5</v>
      </c>
      <c r="T1784">
        <v>0.31</v>
      </c>
      <c r="U1784" t="s">
        <v>3166</v>
      </c>
      <c r="V1784" t="s">
        <v>154</v>
      </c>
      <c r="W1784" t="s">
        <v>21</v>
      </c>
      <c r="X1784">
        <v>8</v>
      </c>
      <c r="Y1784" t="s">
        <v>2629</v>
      </c>
    </row>
    <row r="1785" spans="2:29" ht="15" customHeight="1" x14ac:dyDescent="0.15">
      <c r="B1785">
        <v>4</v>
      </c>
      <c r="C1785" t="s">
        <v>386</v>
      </c>
      <c r="D1785" t="s">
        <v>3260</v>
      </c>
      <c r="E1785">
        <v>5</v>
      </c>
      <c r="F1785" t="s">
        <v>219</v>
      </c>
      <c r="G1785" t="s">
        <v>218</v>
      </c>
      <c r="H1785" t="s">
        <v>2353</v>
      </c>
      <c r="I1785">
        <v>31</v>
      </c>
      <c r="J1785" s="21">
        <v>46234</v>
      </c>
      <c r="K1785" s="21">
        <v>46234</v>
      </c>
      <c r="L1785" t="s">
        <v>3265</v>
      </c>
      <c r="M1785" t="s">
        <v>241</v>
      </c>
      <c r="N1785">
        <v>15</v>
      </c>
      <c r="O1785" t="s">
        <v>202</v>
      </c>
      <c r="P1785">
        <v>5</v>
      </c>
      <c r="Q1785">
        <v>0.63</v>
      </c>
      <c r="R1785">
        <v>0.2</v>
      </c>
      <c r="S1785">
        <v>1</v>
      </c>
      <c r="T1785">
        <v>0.13</v>
      </c>
      <c r="U1785" t="s">
        <v>3166</v>
      </c>
      <c r="V1785" t="s">
        <v>154</v>
      </c>
      <c r="W1785" t="s">
        <v>21</v>
      </c>
      <c r="X1785">
        <v>8</v>
      </c>
      <c r="Y1785" t="s">
        <v>2629</v>
      </c>
    </row>
    <row r="1786" spans="2:29" ht="15" customHeight="1" x14ac:dyDescent="0.15">
      <c r="B1786">
        <v>4</v>
      </c>
      <c r="C1786" t="s">
        <v>386</v>
      </c>
      <c r="D1786" t="s">
        <v>3260</v>
      </c>
      <c r="E1786">
        <v>6</v>
      </c>
      <c r="F1786" t="s">
        <v>219</v>
      </c>
      <c r="G1786" t="s">
        <v>244</v>
      </c>
      <c r="H1786" t="s">
        <v>545</v>
      </c>
      <c r="I1786">
        <v>31</v>
      </c>
      <c r="J1786" s="21">
        <v>46234</v>
      </c>
      <c r="K1786" s="21">
        <v>46234</v>
      </c>
      <c r="L1786" t="s">
        <v>3266</v>
      </c>
      <c r="M1786" t="s">
        <v>363</v>
      </c>
      <c r="N1786">
        <v>15</v>
      </c>
      <c r="O1786" t="s">
        <v>202</v>
      </c>
      <c r="P1786">
        <v>5</v>
      </c>
      <c r="Q1786">
        <v>0.63</v>
      </c>
      <c r="R1786">
        <v>0.2</v>
      </c>
      <c r="S1786">
        <v>1</v>
      </c>
      <c r="T1786">
        <v>0.13</v>
      </c>
      <c r="U1786" t="s">
        <v>3166</v>
      </c>
      <c r="V1786" t="s">
        <v>154</v>
      </c>
      <c r="W1786" t="s">
        <v>21</v>
      </c>
      <c r="X1786">
        <v>8</v>
      </c>
      <c r="Y1786" t="s">
        <v>2629</v>
      </c>
    </row>
    <row r="1787" spans="2:29" ht="15" customHeight="1" x14ac:dyDescent="0.15">
      <c r="B1787">
        <v>4</v>
      </c>
      <c r="C1787" t="s">
        <v>386</v>
      </c>
      <c r="D1787" t="s">
        <v>3260</v>
      </c>
      <c r="E1787">
        <v>7</v>
      </c>
      <c r="F1787" t="s">
        <v>219</v>
      </c>
      <c r="G1787" t="s">
        <v>218</v>
      </c>
      <c r="H1787" t="s">
        <v>911</v>
      </c>
      <c r="I1787">
        <v>31</v>
      </c>
      <c r="J1787" s="21">
        <v>46234</v>
      </c>
      <c r="K1787" s="21">
        <v>46234</v>
      </c>
      <c r="L1787" t="s">
        <v>3267</v>
      </c>
      <c r="M1787" t="s">
        <v>913</v>
      </c>
      <c r="N1787">
        <v>15</v>
      </c>
      <c r="O1787" t="s">
        <v>220</v>
      </c>
      <c r="P1787">
        <v>5</v>
      </c>
      <c r="Q1787">
        <v>0.63</v>
      </c>
      <c r="R1787">
        <v>0.2</v>
      </c>
      <c r="S1787">
        <v>1</v>
      </c>
      <c r="T1787">
        <v>0.13</v>
      </c>
      <c r="U1787" t="s">
        <v>3166</v>
      </c>
      <c r="V1787" t="s">
        <v>154</v>
      </c>
      <c r="W1787" t="s">
        <v>21</v>
      </c>
      <c r="X1787">
        <v>8</v>
      </c>
      <c r="Y1787" t="s">
        <v>2629</v>
      </c>
    </row>
    <row r="1788" spans="2:29" ht="15" customHeight="1" x14ac:dyDescent="0.15">
      <c r="B1788">
        <v>4</v>
      </c>
      <c r="C1788" t="s">
        <v>386</v>
      </c>
      <c r="D1788" t="s">
        <v>3268</v>
      </c>
      <c r="E1788">
        <v>1</v>
      </c>
      <c r="F1788" t="s">
        <v>219</v>
      </c>
      <c r="G1788" t="s">
        <v>223</v>
      </c>
      <c r="H1788" t="s">
        <v>2608</v>
      </c>
      <c r="I1788">
        <v>31</v>
      </c>
      <c r="J1788" s="21">
        <v>46234</v>
      </c>
      <c r="K1788" s="21">
        <v>46234</v>
      </c>
      <c r="L1788" t="s">
        <v>3269</v>
      </c>
      <c r="M1788" t="s">
        <v>3001</v>
      </c>
      <c r="N1788">
        <v>78</v>
      </c>
      <c r="O1788" t="s">
        <v>220</v>
      </c>
      <c r="P1788">
        <v>1</v>
      </c>
      <c r="Q1788">
        <v>0.22</v>
      </c>
      <c r="R1788">
        <v>49</v>
      </c>
      <c r="S1788">
        <v>49</v>
      </c>
      <c r="T1788">
        <v>10.89</v>
      </c>
      <c r="U1788" t="s">
        <v>107</v>
      </c>
      <c r="V1788" t="s">
        <v>108</v>
      </c>
      <c r="W1788" t="s">
        <v>21</v>
      </c>
      <c r="X1788">
        <v>4.5</v>
      </c>
      <c r="Y1788" t="s">
        <v>3069</v>
      </c>
      <c r="AA1788">
        <v>3</v>
      </c>
      <c r="AB1788">
        <v>147</v>
      </c>
      <c r="AC1788">
        <v>32.67</v>
      </c>
    </row>
    <row r="1789" spans="2:29" ht="15" customHeight="1" x14ac:dyDescent="0.15">
      <c r="B1789">
        <v>4</v>
      </c>
      <c r="C1789" t="s">
        <v>386</v>
      </c>
      <c r="D1789" t="s">
        <v>3270</v>
      </c>
      <c r="E1789">
        <v>1</v>
      </c>
      <c r="F1789" t="s">
        <v>201</v>
      </c>
      <c r="G1789" t="s">
        <v>337</v>
      </c>
      <c r="H1789" t="s">
        <v>1132</v>
      </c>
      <c r="I1789">
        <v>31</v>
      </c>
      <c r="J1789" s="21">
        <v>46235</v>
      </c>
      <c r="K1789" s="21">
        <v>46235</v>
      </c>
      <c r="L1789" t="s">
        <v>3271</v>
      </c>
      <c r="M1789" t="s">
        <v>357</v>
      </c>
      <c r="N1789">
        <v>121</v>
      </c>
      <c r="O1789" t="s">
        <v>202</v>
      </c>
      <c r="P1789">
        <v>1</v>
      </c>
      <c r="Q1789">
        <v>1</v>
      </c>
      <c r="R1789">
        <v>25</v>
      </c>
      <c r="S1789">
        <v>25</v>
      </c>
      <c r="T1789">
        <v>25</v>
      </c>
      <c r="U1789" t="s">
        <v>68</v>
      </c>
      <c r="V1789" t="s">
        <v>69</v>
      </c>
      <c r="W1789" t="s">
        <v>21</v>
      </c>
      <c r="X1789">
        <v>1</v>
      </c>
      <c r="Y1789" t="s">
        <v>2455</v>
      </c>
      <c r="AA1789">
        <v>1.33</v>
      </c>
      <c r="AB1789">
        <v>33.299999999999997</v>
      </c>
      <c r="AC1789">
        <v>33.299999999999997</v>
      </c>
    </row>
    <row r="1790" spans="2:29" ht="15" customHeight="1" x14ac:dyDescent="0.15">
      <c r="B1790">
        <v>4</v>
      </c>
      <c r="C1790" t="s">
        <v>386</v>
      </c>
      <c r="D1790" t="s">
        <v>3270</v>
      </c>
      <c r="E1790">
        <v>2</v>
      </c>
      <c r="F1790" t="s">
        <v>219</v>
      </c>
      <c r="G1790" t="s">
        <v>223</v>
      </c>
      <c r="H1790" t="s">
        <v>987</v>
      </c>
      <c r="I1790">
        <v>31</v>
      </c>
      <c r="J1790" s="21">
        <v>46235</v>
      </c>
      <c r="K1790" s="21">
        <v>46235</v>
      </c>
      <c r="L1790" t="s">
        <v>3272</v>
      </c>
      <c r="M1790" t="s">
        <v>222</v>
      </c>
      <c r="N1790">
        <v>121</v>
      </c>
      <c r="O1790" t="s">
        <v>220</v>
      </c>
      <c r="P1790">
        <v>1</v>
      </c>
      <c r="Q1790">
        <v>1</v>
      </c>
      <c r="R1790">
        <v>10</v>
      </c>
      <c r="S1790">
        <v>10</v>
      </c>
      <c r="T1790">
        <v>10</v>
      </c>
      <c r="U1790" t="s">
        <v>68</v>
      </c>
      <c r="V1790" t="s">
        <v>69</v>
      </c>
      <c r="W1790" t="s">
        <v>21</v>
      </c>
      <c r="X1790">
        <v>1</v>
      </c>
      <c r="Y1790" t="s">
        <v>2455</v>
      </c>
      <c r="AA1790">
        <v>13.47</v>
      </c>
      <c r="AB1790">
        <v>134.69999999999999</v>
      </c>
      <c r="AC1790">
        <v>134.69999999999999</v>
      </c>
    </row>
    <row r="1791" spans="2:29" ht="15" customHeight="1" x14ac:dyDescent="0.15">
      <c r="B1791">
        <v>4</v>
      </c>
      <c r="C1791" t="s">
        <v>386</v>
      </c>
      <c r="D1791" t="s">
        <v>3273</v>
      </c>
      <c r="E1791">
        <v>1</v>
      </c>
      <c r="F1791" t="s">
        <v>219</v>
      </c>
      <c r="G1791" t="s">
        <v>223</v>
      </c>
      <c r="H1791" t="s">
        <v>987</v>
      </c>
      <c r="I1791">
        <v>32</v>
      </c>
      <c r="J1791" s="21">
        <v>46237</v>
      </c>
      <c r="K1791" s="21">
        <v>46237</v>
      </c>
      <c r="L1791" t="s">
        <v>3274</v>
      </c>
      <c r="M1791" t="s">
        <v>222</v>
      </c>
      <c r="N1791">
        <v>38</v>
      </c>
      <c r="O1791" t="s">
        <v>220</v>
      </c>
      <c r="P1791">
        <v>1</v>
      </c>
      <c r="Q1791">
        <v>1</v>
      </c>
      <c r="R1791">
        <v>7.5</v>
      </c>
      <c r="S1791">
        <v>7.5</v>
      </c>
      <c r="T1791">
        <v>7.5</v>
      </c>
      <c r="U1791" t="s">
        <v>135</v>
      </c>
      <c r="V1791" t="s">
        <v>136</v>
      </c>
      <c r="W1791" t="s">
        <v>21</v>
      </c>
      <c r="X1791">
        <v>1</v>
      </c>
      <c r="Y1791" t="s">
        <v>2455</v>
      </c>
      <c r="AA1791">
        <v>13.47</v>
      </c>
      <c r="AB1791">
        <v>101.03</v>
      </c>
      <c r="AC1791">
        <v>101.03</v>
      </c>
    </row>
    <row r="1792" spans="2:29" ht="15" customHeight="1" x14ac:dyDescent="0.15">
      <c r="B1792">
        <v>4</v>
      </c>
      <c r="C1792" t="s">
        <v>386</v>
      </c>
      <c r="D1792" t="s">
        <v>3273</v>
      </c>
      <c r="E1792">
        <v>2</v>
      </c>
      <c r="F1792" t="s">
        <v>201</v>
      </c>
      <c r="G1792" t="s">
        <v>337</v>
      </c>
      <c r="H1792" t="s">
        <v>632</v>
      </c>
      <c r="I1792">
        <v>32</v>
      </c>
      <c r="J1792" s="21">
        <v>46237</v>
      </c>
      <c r="K1792" s="21">
        <v>46237</v>
      </c>
      <c r="L1792" t="s">
        <v>3275</v>
      </c>
      <c r="M1792" t="s">
        <v>336</v>
      </c>
      <c r="N1792">
        <v>38</v>
      </c>
      <c r="O1792" t="s">
        <v>202</v>
      </c>
      <c r="P1792">
        <v>1</v>
      </c>
      <c r="Q1792">
        <v>1</v>
      </c>
      <c r="R1792">
        <v>18</v>
      </c>
      <c r="S1792">
        <v>18</v>
      </c>
      <c r="T1792">
        <v>18</v>
      </c>
      <c r="U1792" t="s">
        <v>135</v>
      </c>
      <c r="V1792" t="s">
        <v>136</v>
      </c>
      <c r="W1792" t="s">
        <v>21</v>
      </c>
      <c r="X1792">
        <v>1</v>
      </c>
      <c r="Y1792" t="s">
        <v>2455</v>
      </c>
      <c r="AA1792">
        <v>4.8099999999999996</v>
      </c>
      <c r="AB1792">
        <v>86.58</v>
      </c>
      <c r="AC1792">
        <v>86.58</v>
      </c>
    </row>
    <row r="1793" spans="2:29" ht="15" customHeight="1" x14ac:dyDescent="0.15">
      <c r="B1793">
        <v>4</v>
      </c>
      <c r="C1793" t="s">
        <v>386</v>
      </c>
      <c r="D1793" t="s">
        <v>3273</v>
      </c>
      <c r="E1793">
        <v>3</v>
      </c>
      <c r="F1793" t="s">
        <v>201</v>
      </c>
      <c r="G1793" t="s">
        <v>337</v>
      </c>
      <c r="H1793" t="s">
        <v>475</v>
      </c>
      <c r="I1793">
        <v>32</v>
      </c>
      <c r="J1793" s="21">
        <v>46237</v>
      </c>
      <c r="K1793" s="21">
        <v>46237</v>
      </c>
      <c r="L1793" t="s">
        <v>3276</v>
      </c>
      <c r="M1793" t="s">
        <v>2793</v>
      </c>
      <c r="N1793">
        <v>38</v>
      </c>
      <c r="O1793" t="s">
        <v>202</v>
      </c>
      <c r="P1793">
        <v>1</v>
      </c>
      <c r="Q1793">
        <v>1</v>
      </c>
      <c r="R1793">
        <v>18</v>
      </c>
      <c r="S1793">
        <v>18</v>
      </c>
      <c r="T1793">
        <v>18</v>
      </c>
      <c r="U1793" t="s">
        <v>135</v>
      </c>
      <c r="V1793" t="s">
        <v>136</v>
      </c>
      <c r="W1793" t="s">
        <v>21</v>
      </c>
      <c r="X1793">
        <v>1</v>
      </c>
      <c r="Y1793" t="s">
        <v>2455</v>
      </c>
      <c r="AA1793">
        <v>4.88</v>
      </c>
      <c r="AB1793">
        <v>87.84</v>
      </c>
      <c r="AC1793">
        <v>87.84</v>
      </c>
    </row>
    <row r="1794" spans="2:29" ht="15" customHeight="1" x14ac:dyDescent="0.15">
      <c r="B1794">
        <v>4</v>
      </c>
      <c r="C1794" t="s">
        <v>386</v>
      </c>
      <c r="D1794" t="s">
        <v>3277</v>
      </c>
      <c r="E1794">
        <v>1</v>
      </c>
      <c r="F1794" t="s">
        <v>219</v>
      </c>
      <c r="G1794" t="s">
        <v>223</v>
      </c>
      <c r="H1794" t="s">
        <v>987</v>
      </c>
      <c r="I1794">
        <v>32</v>
      </c>
      <c r="J1794" s="21">
        <v>46237</v>
      </c>
      <c r="K1794" s="21">
        <v>46237</v>
      </c>
      <c r="L1794" t="s">
        <v>3278</v>
      </c>
      <c r="M1794" t="s">
        <v>222</v>
      </c>
      <c r="N1794">
        <v>105</v>
      </c>
      <c r="O1794" t="s">
        <v>220</v>
      </c>
      <c r="P1794">
        <v>1</v>
      </c>
      <c r="Q1794">
        <v>0.5</v>
      </c>
      <c r="R1794">
        <v>7.5</v>
      </c>
      <c r="S1794">
        <v>7.5</v>
      </c>
      <c r="T1794">
        <v>3.75</v>
      </c>
      <c r="U1794" t="s">
        <v>84</v>
      </c>
      <c r="V1794" t="s">
        <v>85</v>
      </c>
      <c r="W1794" t="s">
        <v>21</v>
      </c>
      <c r="X1794">
        <v>2</v>
      </c>
      <c r="Y1794" t="s">
        <v>2455</v>
      </c>
      <c r="AA1794">
        <v>13.47</v>
      </c>
      <c r="AB1794">
        <v>101.03</v>
      </c>
      <c r="AC1794">
        <v>50.51</v>
      </c>
    </row>
    <row r="1795" spans="2:29" ht="15" customHeight="1" x14ac:dyDescent="0.15">
      <c r="B1795">
        <v>4</v>
      </c>
      <c r="C1795" t="s">
        <v>386</v>
      </c>
      <c r="D1795" t="s">
        <v>3277</v>
      </c>
      <c r="E1795">
        <v>2</v>
      </c>
      <c r="F1795" t="s">
        <v>201</v>
      </c>
      <c r="G1795" t="s">
        <v>337</v>
      </c>
      <c r="H1795" t="s">
        <v>632</v>
      </c>
      <c r="I1795">
        <v>32</v>
      </c>
      <c r="J1795" s="21">
        <v>46237</v>
      </c>
      <c r="K1795" s="21">
        <v>46237</v>
      </c>
      <c r="L1795" t="s">
        <v>3279</v>
      </c>
      <c r="M1795" t="s">
        <v>336</v>
      </c>
      <c r="N1795">
        <v>105</v>
      </c>
      <c r="O1795" t="s">
        <v>202</v>
      </c>
      <c r="P1795">
        <v>1</v>
      </c>
      <c r="Q1795">
        <v>0.5</v>
      </c>
      <c r="R1795">
        <v>18</v>
      </c>
      <c r="S1795">
        <v>18</v>
      </c>
      <c r="T1795">
        <v>9</v>
      </c>
      <c r="U1795" t="s">
        <v>84</v>
      </c>
      <c r="V1795" t="s">
        <v>85</v>
      </c>
      <c r="W1795" t="s">
        <v>21</v>
      </c>
      <c r="X1795">
        <v>2</v>
      </c>
      <c r="Y1795" t="s">
        <v>2455</v>
      </c>
      <c r="AA1795">
        <v>4.8099999999999996</v>
      </c>
      <c r="AB1795">
        <v>86.58</v>
      </c>
      <c r="AC1795">
        <v>43.29</v>
      </c>
    </row>
    <row r="1796" spans="2:29" ht="15" customHeight="1" x14ac:dyDescent="0.15">
      <c r="B1796">
        <v>4</v>
      </c>
      <c r="C1796" t="s">
        <v>386</v>
      </c>
      <c r="D1796" t="s">
        <v>3277</v>
      </c>
      <c r="E1796">
        <v>3</v>
      </c>
      <c r="F1796" t="s">
        <v>201</v>
      </c>
      <c r="G1796" t="s">
        <v>337</v>
      </c>
      <c r="H1796" t="s">
        <v>475</v>
      </c>
      <c r="I1796">
        <v>32</v>
      </c>
      <c r="J1796" s="21">
        <v>46237</v>
      </c>
      <c r="K1796" s="21">
        <v>46237</v>
      </c>
      <c r="L1796" t="s">
        <v>3280</v>
      </c>
      <c r="M1796" t="s">
        <v>2793</v>
      </c>
      <c r="N1796">
        <v>105</v>
      </c>
      <c r="O1796" t="s">
        <v>202</v>
      </c>
      <c r="P1796">
        <v>1</v>
      </c>
      <c r="Q1796">
        <v>0.5</v>
      </c>
      <c r="R1796">
        <v>18</v>
      </c>
      <c r="S1796">
        <v>18</v>
      </c>
      <c r="T1796">
        <v>9</v>
      </c>
      <c r="U1796" t="s">
        <v>84</v>
      </c>
      <c r="V1796" t="s">
        <v>85</v>
      </c>
      <c r="W1796" t="s">
        <v>21</v>
      </c>
      <c r="X1796">
        <v>2</v>
      </c>
      <c r="Y1796" t="s">
        <v>2455</v>
      </c>
      <c r="AA1796">
        <v>4.88</v>
      </c>
      <c r="AB1796">
        <v>87.84</v>
      </c>
      <c r="AC1796">
        <v>43.92</v>
      </c>
    </row>
    <row r="1797" spans="2:29" ht="15" customHeight="1" x14ac:dyDescent="0.15">
      <c r="B1797">
        <v>4</v>
      </c>
      <c r="C1797" t="s">
        <v>386</v>
      </c>
      <c r="D1797" t="s">
        <v>3281</v>
      </c>
      <c r="E1797">
        <v>1</v>
      </c>
      <c r="F1797" t="s">
        <v>219</v>
      </c>
      <c r="G1797" t="s">
        <v>231</v>
      </c>
      <c r="H1797" t="s">
        <v>231</v>
      </c>
      <c r="I1797">
        <v>32</v>
      </c>
      <c r="J1797" s="55">
        <v>46238</v>
      </c>
      <c r="K1797" s="55">
        <v>46238</v>
      </c>
      <c r="L1797" t="s">
        <v>3282</v>
      </c>
      <c r="M1797" t="s">
        <v>2648</v>
      </c>
      <c r="N1797">
        <v>19</v>
      </c>
      <c r="O1797" t="s">
        <v>220</v>
      </c>
      <c r="P1797">
        <v>5</v>
      </c>
      <c r="Q1797">
        <v>0.65</v>
      </c>
      <c r="R1797">
        <v>0.15</v>
      </c>
      <c r="S1797">
        <v>0.78</v>
      </c>
      <c r="T1797">
        <v>0.1</v>
      </c>
      <c r="U1797" t="s">
        <v>3166</v>
      </c>
      <c r="V1797" t="s">
        <v>154</v>
      </c>
      <c r="W1797" t="s">
        <v>21</v>
      </c>
      <c r="X1797">
        <v>8</v>
      </c>
      <c r="Y1797" t="s">
        <v>2629</v>
      </c>
      <c r="AA1797">
        <v>16.61</v>
      </c>
      <c r="AB1797">
        <v>12.96</v>
      </c>
      <c r="AC1797">
        <v>1.62</v>
      </c>
    </row>
    <row r="1798" spans="2:29" ht="15" customHeight="1" x14ac:dyDescent="0.15">
      <c r="B1798">
        <v>4</v>
      </c>
      <c r="C1798" t="s">
        <v>386</v>
      </c>
      <c r="D1798" t="s">
        <v>3281</v>
      </c>
      <c r="E1798">
        <v>2</v>
      </c>
      <c r="F1798" t="s">
        <v>219</v>
      </c>
      <c r="G1798" t="s">
        <v>439</v>
      </c>
      <c r="H1798" t="s">
        <v>533</v>
      </c>
      <c r="I1798">
        <v>32</v>
      </c>
      <c r="J1798" s="55">
        <v>46238</v>
      </c>
      <c r="K1798" s="55">
        <v>46240</v>
      </c>
      <c r="L1798" t="s">
        <v>3283</v>
      </c>
      <c r="M1798" t="s">
        <v>535</v>
      </c>
      <c r="N1798">
        <v>21</v>
      </c>
      <c r="O1798" t="s">
        <v>220</v>
      </c>
      <c r="P1798">
        <v>5</v>
      </c>
      <c r="Q1798">
        <v>0.65</v>
      </c>
      <c r="R1798">
        <v>1.5</v>
      </c>
      <c r="S1798">
        <v>7.8</v>
      </c>
      <c r="T1798">
        <v>0.98</v>
      </c>
      <c r="U1798" t="s">
        <v>3166</v>
      </c>
      <c r="V1798" t="s">
        <v>154</v>
      </c>
      <c r="W1798" t="s">
        <v>21</v>
      </c>
      <c r="X1798">
        <v>8</v>
      </c>
      <c r="Y1798" t="s">
        <v>2629</v>
      </c>
      <c r="AA1798">
        <v>38.14</v>
      </c>
      <c r="AB1798">
        <v>297.49</v>
      </c>
      <c r="AC1798">
        <v>37.19</v>
      </c>
    </row>
    <row r="1799" spans="2:29" ht="15" customHeight="1" x14ac:dyDescent="0.15">
      <c r="B1799">
        <v>4</v>
      </c>
      <c r="C1799" t="s">
        <v>386</v>
      </c>
      <c r="D1799" t="s">
        <v>3284</v>
      </c>
      <c r="E1799">
        <v>1</v>
      </c>
      <c r="F1799" t="s">
        <v>219</v>
      </c>
      <c r="G1799" t="s">
        <v>223</v>
      </c>
      <c r="H1799" t="s">
        <v>987</v>
      </c>
      <c r="I1799">
        <v>32</v>
      </c>
      <c r="J1799" s="55">
        <v>46238</v>
      </c>
      <c r="K1799" s="55">
        <v>46240</v>
      </c>
      <c r="L1799" t="s">
        <v>3285</v>
      </c>
      <c r="M1799" t="s">
        <v>222</v>
      </c>
      <c r="N1799">
        <v>21</v>
      </c>
      <c r="O1799" t="s">
        <v>220</v>
      </c>
      <c r="P1799">
        <v>11</v>
      </c>
      <c r="Q1799">
        <v>1.38</v>
      </c>
      <c r="R1799">
        <v>5</v>
      </c>
      <c r="S1799">
        <v>55</v>
      </c>
      <c r="T1799">
        <v>6.88</v>
      </c>
      <c r="U1799" t="s">
        <v>3166</v>
      </c>
      <c r="V1799" t="s">
        <v>154</v>
      </c>
      <c r="W1799" t="s">
        <v>21</v>
      </c>
      <c r="X1799">
        <v>8</v>
      </c>
      <c r="Y1799" t="s">
        <v>2629</v>
      </c>
      <c r="AA1799">
        <v>13.47</v>
      </c>
      <c r="AB1799">
        <v>740.85</v>
      </c>
      <c r="AC1799">
        <v>92.61</v>
      </c>
    </row>
    <row r="1800" spans="2:29" ht="15" customHeight="1" x14ac:dyDescent="0.15">
      <c r="B1800">
        <v>4</v>
      </c>
      <c r="C1800" t="s">
        <v>386</v>
      </c>
      <c r="D1800" t="s">
        <v>3284</v>
      </c>
      <c r="E1800">
        <v>2</v>
      </c>
      <c r="F1800" t="s">
        <v>219</v>
      </c>
      <c r="G1800" t="s">
        <v>218</v>
      </c>
      <c r="H1800" t="s">
        <v>2253</v>
      </c>
      <c r="I1800">
        <v>32</v>
      </c>
      <c r="J1800" s="55">
        <v>46238</v>
      </c>
      <c r="K1800" s="55">
        <v>46240</v>
      </c>
      <c r="L1800" t="s">
        <v>3286</v>
      </c>
      <c r="M1800" t="s">
        <v>217</v>
      </c>
      <c r="N1800">
        <v>21</v>
      </c>
      <c r="O1800" t="s">
        <v>220</v>
      </c>
      <c r="P1800">
        <v>11</v>
      </c>
      <c r="Q1800">
        <v>1.38</v>
      </c>
      <c r="R1800">
        <v>0.75</v>
      </c>
      <c r="S1800">
        <v>8.25</v>
      </c>
      <c r="T1800">
        <v>1.03</v>
      </c>
      <c r="U1800" t="s">
        <v>3166</v>
      </c>
      <c r="V1800" t="s">
        <v>154</v>
      </c>
      <c r="W1800" t="s">
        <v>21</v>
      </c>
      <c r="X1800">
        <v>8</v>
      </c>
      <c r="Y1800" t="s">
        <v>2629</v>
      </c>
      <c r="AA1800">
        <v>216.83</v>
      </c>
      <c r="AB1800" s="22">
        <v>1788.81</v>
      </c>
      <c r="AC1800">
        <v>223.6</v>
      </c>
    </row>
    <row r="1801" spans="2:29" ht="15" customHeight="1" x14ac:dyDescent="0.15">
      <c r="B1801">
        <v>4</v>
      </c>
      <c r="C1801" t="s">
        <v>386</v>
      </c>
      <c r="D1801" t="s">
        <v>3284</v>
      </c>
      <c r="E1801">
        <v>3</v>
      </c>
      <c r="F1801" t="s">
        <v>219</v>
      </c>
      <c r="G1801" t="s">
        <v>218</v>
      </c>
      <c r="H1801" t="s">
        <v>667</v>
      </c>
      <c r="I1801">
        <v>32</v>
      </c>
      <c r="J1801" s="55">
        <v>46238</v>
      </c>
      <c r="K1801" s="55">
        <v>46240</v>
      </c>
      <c r="L1801" t="s">
        <v>3287</v>
      </c>
      <c r="M1801" t="s">
        <v>355</v>
      </c>
      <c r="N1801">
        <v>21</v>
      </c>
      <c r="O1801" t="s">
        <v>202</v>
      </c>
      <c r="P1801">
        <v>11</v>
      </c>
      <c r="Q1801">
        <v>1.38</v>
      </c>
      <c r="R1801">
        <v>5</v>
      </c>
      <c r="S1801">
        <v>55</v>
      </c>
      <c r="T1801">
        <v>6.88</v>
      </c>
      <c r="U1801" t="s">
        <v>3166</v>
      </c>
      <c r="V1801" t="s">
        <v>154</v>
      </c>
      <c r="W1801" t="s">
        <v>21</v>
      </c>
      <c r="X1801">
        <v>8</v>
      </c>
      <c r="Y1801" t="s">
        <v>2629</v>
      </c>
      <c r="AA1801">
        <v>1.2</v>
      </c>
      <c r="AB1801">
        <v>66</v>
      </c>
      <c r="AC1801">
        <v>8.25</v>
      </c>
    </row>
    <row r="1802" spans="2:29" ht="15" customHeight="1" x14ac:dyDescent="0.15">
      <c r="B1802">
        <v>4</v>
      </c>
      <c r="C1802" t="s">
        <v>386</v>
      </c>
      <c r="D1802" t="s">
        <v>3288</v>
      </c>
      <c r="E1802">
        <v>1</v>
      </c>
      <c r="F1802" t="s">
        <v>201</v>
      </c>
      <c r="G1802" t="s">
        <v>337</v>
      </c>
      <c r="H1802" t="s">
        <v>1132</v>
      </c>
      <c r="I1802">
        <v>32</v>
      </c>
      <c r="J1802" s="55">
        <v>46239</v>
      </c>
      <c r="K1802" s="55">
        <v>46240</v>
      </c>
      <c r="L1802" t="s">
        <v>3289</v>
      </c>
      <c r="M1802" t="s">
        <v>357</v>
      </c>
      <c r="N1802">
        <v>72</v>
      </c>
      <c r="O1802" t="s">
        <v>202</v>
      </c>
      <c r="P1802">
        <v>1</v>
      </c>
      <c r="Q1802">
        <v>1</v>
      </c>
      <c r="R1802">
        <v>25</v>
      </c>
      <c r="S1802">
        <v>25</v>
      </c>
      <c r="T1802">
        <v>25</v>
      </c>
      <c r="U1802" t="s">
        <v>139</v>
      </c>
      <c r="V1802" t="s">
        <v>140</v>
      </c>
      <c r="W1802" t="s">
        <v>75</v>
      </c>
      <c r="X1802">
        <v>1</v>
      </c>
      <c r="Y1802" t="s">
        <v>2455</v>
      </c>
      <c r="AA1802">
        <v>1.33</v>
      </c>
      <c r="AB1802">
        <v>33.299999999999997</v>
      </c>
      <c r="AC1802">
        <v>33.299999999999997</v>
      </c>
    </row>
    <row r="1803" spans="2:29" ht="15" customHeight="1" x14ac:dyDescent="0.15">
      <c r="B1803">
        <v>4</v>
      </c>
      <c r="C1803" t="s">
        <v>386</v>
      </c>
      <c r="D1803" t="s">
        <v>3288</v>
      </c>
      <c r="E1803">
        <v>2</v>
      </c>
      <c r="F1803" t="s">
        <v>219</v>
      </c>
      <c r="G1803" t="s">
        <v>244</v>
      </c>
      <c r="H1803" t="s">
        <v>545</v>
      </c>
      <c r="I1803">
        <v>32</v>
      </c>
      <c r="J1803" s="55">
        <v>46239</v>
      </c>
      <c r="K1803" s="55">
        <v>46240</v>
      </c>
      <c r="L1803" t="s">
        <v>3290</v>
      </c>
      <c r="M1803" t="s">
        <v>363</v>
      </c>
      <c r="N1803">
        <v>72</v>
      </c>
      <c r="O1803" t="s">
        <v>202</v>
      </c>
      <c r="P1803">
        <v>1</v>
      </c>
      <c r="Q1803">
        <v>1</v>
      </c>
      <c r="R1803">
        <v>0.4</v>
      </c>
      <c r="S1803">
        <v>0.4</v>
      </c>
      <c r="T1803">
        <v>0.4</v>
      </c>
      <c r="U1803" t="s">
        <v>139</v>
      </c>
      <c r="V1803" t="s">
        <v>140</v>
      </c>
      <c r="W1803" t="s">
        <v>75</v>
      </c>
      <c r="X1803">
        <v>1</v>
      </c>
      <c r="Y1803" t="s">
        <v>2455</v>
      </c>
      <c r="AA1803">
        <v>91.2</v>
      </c>
      <c r="AB1803">
        <v>36.479999999999997</v>
      </c>
      <c r="AC1803">
        <v>36.479999999999997</v>
      </c>
    </row>
    <row r="1804" spans="2:29" ht="15" customHeight="1" x14ac:dyDescent="0.15">
      <c r="B1804">
        <v>4</v>
      </c>
      <c r="C1804" t="s">
        <v>386</v>
      </c>
      <c r="D1804" t="s">
        <v>3291</v>
      </c>
      <c r="E1804">
        <v>1</v>
      </c>
      <c r="F1804" t="s">
        <v>219</v>
      </c>
      <c r="G1804" t="s">
        <v>231</v>
      </c>
      <c r="H1804" t="s">
        <v>231</v>
      </c>
      <c r="I1804">
        <v>32</v>
      </c>
      <c r="J1804" s="55">
        <v>46239</v>
      </c>
      <c r="K1804" s="55">
        <v>46240</v>
      </c>
      <c r="L1804" t="s">
        <v>3292</v>
      </c>
      <c r="M1804" t="s">
        <v>230</v>
      </c>
      <c r="N1804">
        <v>72</v>
      </c>
      <c r="O1804" t="s">
        <v>220</v>
      </c>
      <c r="P1804">
        <v>1</v>
      </c>
      <c r="Q1804">
        <v>1</v>
      </c>
      <c r="R1804">
        <v>0.03</v>
      </c>
      <c r="S1804">
        <v>0.03</v>
      </c>
      <c r="T1804">
        <v>0.03</v>
      </c>
      <c r="U1804" t="s">
        <v>139</v>
      </c>
      <c r="V1804" t="s">
        <v>140</v>
      </c>
      <c r="W1804" t="s">
        <v>75</v>
      </c>
      <c r="X1804">
        <v>1</v>
      </c>
      <c r="Y1804" t="s">
        <v>2629</v>
      </c>
      <c r="AB1804">
        <v>0</v>
      </c>
      <c r="AC1804">
        <v>0</v>
      </c>
    </row>
    <row r="1805" spans="2:29" ht="15" customHeight="1" x14ac:dyDescent="0.15">
      <c r="B1805">
        <v>4</v>
      </c>
      <c r="C1805" t="s">
        <v>386</v>
      </c>
      <c r="D1805" t="s">
        <v>3291</v>
      </c>
      <c r="E1805">
        <v>2</v>
      </c>
      <c r="F1805" t="s">
        <v>219</v>
      </c>
      <c r="G1805" t="s">
        <v>244</v>
      </c>
      <c r="H1805" t="s">
        <v>1605</v>
      </c>
      <c r="I1805">
        <v>32</v>
      </c>
      <c r="J1805" s="55">
        <v>46239</v>
      </c>
      <c r="K1805" s="55">
        <v>46240</v>
      </c>
      <c r="L1805" t="s">
        <v>3293</v>
      </c>
      <c r="M1805" t="s">
        <v>295</v>
      </c>
      <c r="N1805">
        <v>72</v>
      </c>
      <c r="O1805" t="s">
        <v>220</v>
      </c>
      <c r="P1805">
        <v>1</v>
      </c>
      <c r="Q1805">
        <v>1</v>
      </c>
      <c r="R1805">
        <v>0.5</v>
      </c>
      <c r="S1805">
        <v>0.5</v>
      </c>
      <c r="T1805">
        <v>0.5</v>
      </c>
      <c r="U1805" t="s">
        <v>139</v>
      </c>
      <c r="V1805" t="s">
        <v>140</v>
      </c>
      <c r="W1805" t="s">
        <v>75</v>
      </c>
      <c r="X1805">
        <v>1</v>
      </c>
      <c r="Y1805" t="s">
        <v>2629</v>
      </c>
      <c r="AA1805">
        <v>77.31</v>
      </c>
      <c r="AB1805">
        <v>38.659999999999997</v>
      </c>
      <c r="AC1805">
        <v>38.659999999999997</v>
      </c>
    </row>
    <row r="1806" spans="2:29" ht="15" customHeight="1" x14ac:dyDescent="0.15">
      <c r="B1806">
        <v>4</v>
      </c>
      <c r="C1806" t="s">
        <v>386</v>
      </c>
      <c r="D1806" t="s">
        <v>3291</v>
      </c>
      <c r="E1806">
        <v>3</v>
      </c>
      <c r="F1806" t="s">
        <v>219</v>
      </c>
      <c r="G1806" t="s">
        <v>218</v>
      </c>
      <c r="H1806" t="s">
        <v>1501</v>
      </c>
      <c r="I1806">
        <v>32</v>
      </c>
      <c r="J1806" s="55">
        <v>46239</v>
      </c>
      <c r="K1806" s="55">
        <v>46240</v>
      </c>
      <c r="L1806" t="s">
        <v>3294</v>
      </c>
      <c r="M1806" t="s">
        <v>2738</v>
      </c>
      <c r="N1806">
        <v>72</v>
      </c>
      <c r="O1806" t="s">
        <v>202</v>
      </c>
      <c r="P1806">
        <v>1</v>
      </c>
      <c r="Q1806">
        <v>1</v>
      </c>
      <c r="R1806">
        <v>0.2</v>
      </c>
      <c r="S1806">
        <v>0.2</v>
      </c>
      <c r="T1806">
        <v>0.2</v>
      </c>
      <c r="U1806" t="s">
        <v>139</v>
      </c>
      <c r="V1806" t="s">
        <v>140</v>
      </c>
      <c r="W1806" t="s">
        <v>75</v>
      </c>
      <c r="X1806">
        <v>1</v>
      </c>
      <c r="Y1806" t="s">
        <v>2629</v>
      </c>
      <c r="AA1806">
        <v>0</v>
      </c>
      <c r="AB1806">
        <v>0</v>
      </c>
      <c r="AC1806">
        <v>0</v>
      </c>
    </row>
    <row r="1807" spans="2:29" ht="15" customHeight="1" x14ac:dyDescent="0.15">
      <c r="B1807">
        <v>4</v>
      </c>
      <c r="C1807" t="s">
        <v>386</v>
      </c>
      <c r="D1807" t="s">
        <v>3291</v>
      </c>
      <c r="E1807">
        <v>4</v>
      </c>
      <c r="F1807" t="s">
        <v>219</v>
      </c>
      <c r="G1807" t="s">
        <v>218</v>
      </c>
      <c r="H1807" t="s">
        <v>2353</v>
      </c>
      <c r="I1807">
        <v>32</v>
      </c>
      <c r="J1807" s="55">
        <v>46239</v>
      </c>
      <c r="K1807" s="55">
        <v>46240</v>
      </c>
      <c r="L1807" t="s">
        <v>3295</v>
      </c>
      <c r="M1807" t="s">
        <v>241</v>
      </c>
      <c r="N1807">
        <v>72</v>
      </c>
      <c r="O1807" t="s">
        <v>202</v>
      </c>
      <c r="P1807">
        <v>1</v>
      </c>
      <c r="Q1807">
        <v>1</v>
      </c>
      <c r="R1807">
        <v>0.2</v>
      </c>
      <c r="S1807">
        <v>0.2</v>
      </c>
      <c r="T1807">
        <v>0.2</v>
      </c>
      <c r="U1807" t="s">
        <v>139</v>
      </c>
      <c r="V1807" t="s">
        <v>140</v>
      </c>
      <c r="W1807" t="s">
        <v>75</v>
      </c>
      <c r="X1807">
        <v>1</v>
      </c>
      <c r="Y1807" t="s">
        <v>2629</v>
      </c>
      <c r="AA1807">
        <v>61.3</v>
      </c>
      <c r="AB1807">
        <v>12.26</v>
      </c>
      <c r="AC1807">
        <v>12.26</v>
      </c>
    </row>
    <row r="1808" spans="2:29" ht="15" customHeight="1" x14ac:dyDescent="0.15">
      <c r="B1808">
        <v>4</v>
      </c>
      <c r="C1808" t="s">
        <v>386</v>
      </c>
      <c r="D1808" t="s">
        <v>3291</v>
      </c>
      <c r="E1808">
        <v>5</v>
      </c>
      <c r="F1808" t="s">
        <v>219</v>
      </c>
      <c r="G1808" t="s">
        <v>239</v>
      </c>
      <c r="H1808" t="s">
        <v>1308</v>
      </c>
      <c r="I1808">
        <v>32</v>
      </c>
      <c r="J1808" s="55">
        <v>46239</v>
      </c>
      <c r="K1808" s="55">
        <v>46240</v>
      </c>
      <c r="L1808" t="s">
        <v>3296</v>
      </c>
      <c r="M1808" t="s">
        <v>1310</v>
      </c>
      <c r="N1808">
        <v>72</v>
      </c>
      <c r="O1808" t="s">
        <v>202</v>
      </c>
      <c r="P1808">
        <v>1</v>
      </c>
      <c r="Q1808">
        <v>1</v>
      </c>
      <c r="R1808">
        <v>0.1</v>
      </c>
      <c r="S1808">
        <v>0.1</v>
      </c>
      <c r="T1808">
        <v>0.1</v>
      </c>
      <c r="U1808" t="s">
        <v>139</v>
      </c>
      <c r="V1808" t="s">
        <v>140</v>
      </c>
      <c r="W1808" t="s">
        <v>75</v>
      </c>
      <c r="X1808">
        <v>1</v>
      </c>
      <c r="Y1808" t="s">
        <v>2629</v>
      </c>
      <c r="AA1808">
        <v>182.78</v>
      </c>
      <c r="AB1808">
        <v>18.28</v>
      </c>
      <c r="AC1808">
        <v>18.28</v>
      </c>
    </row>
    <row r="1809" spans="2:29" ht="15" customHeight="1" x14ac:dyDescent="0.15">
      <c r="B1809">
        <v>4</v>
      </c>
      <c r="C1809" t="s">
        <v>386</v>
      </c>
      <c r="D1809" t="s">
        <v>3291</v>
      </c>
      <c r="E1809">
        <v>6</v>
      </c>
      <c r="F1809" t="s">
        <v>219</v>
      </c>
      <c r="G1809" t="s">
        <v>218</v>
      </c>
      <c r="H1809" t="s">
        <v>911</v>
      </c>
      <c r="I1809">
        <v>32</v>
      </c>
      <c r="J1809" s="55">
        <v>46239</v>
      </c>
      <c r="K1809" s="55">
        <v>46240</v>
      </c>
      <c r="L1809" t="s">
        <v>3297</v>
      </c>
      <c r="M1809" t="s">
        <v>913</v>
      </c>
      <c r="N1809">
        <v>72</v>
      </c>
      <c r="O1809" t="s">
        <v>220</v>
      </c>
      <c r="P1809">
        <v>1</v>
      </c>
      <c r="Q1809">
        <v>1</v>
      </c>
      <c r="R1809">
        <v>0.25</v>
      </c>
      <c r="S1809">
        <v>0.25</v>
      </c>
      <c r="T1809">
        <v>0.25</v>
      </c>
      <c r="U1809" t="s">
        <v>139</v>
      </c>
      <c r="V1809" t="s">
        <v>140</v>
      </c>
      <c r="W1809" t="s">
        <v>75</v>
      </c>
      <c r="X1809">
        <v>1</v>
      </c>
      <c r="Y1809" t="s">
        <v>2629</v>
      </c>
      <c r="AA1809">
        <v>91.24</v>
      </c>
      <c r="AB1809">
        <v>22.81</v>
      </c>
      <c r="AC1809">
        <v>22.81</v>
      </c>
    </row>
    <row r="1810" spans="2:29" ht="15" customHeight="1" x14ac:dyDescent="0.15">
      <c r="B1810">
        <v>4</v>
      </c>
      <c r="C1810" t="s">
        <v>386</v>
      </c>
      <c r="D1810" t="s">
        <v>3298</v>
      </c>
      <c r="E1810">
        <v>1</v>
      </c>
      <c r="F1810" t="s">
        <v>219</v>
      </c>
      <c r="G1810" t="s">
        <v>231</v>
      </c>
      <c r="H1810" t="s">
        <v>231</v>
      </c>
      <c r="I1810">
        <v>32</v>
      </c>
      <c r="J1810" s="55">
        <v>46241</v>
      </c>
      <c r="K1810" s="55">
        <v>46241</v>
      </c>
      <c r="L1810" t="s">
        <v>3299</v>
      </c>
      <c r="M1810" t="s">
        <v>230</v>
      </c>
      <c r="N1810">
        <v>22</v>
      </c>
      <c r="O1810" t="s">
        <v>220</v>
      </c>
      <c r="P1810">
        <v>8</v>
      </c>
      <c r="Q1810">
        <v>1</v>
      </c>
      <c r="R1810">
        <v>0.03</v>
      </c>
      <c r="S1810">
        <v>0.24</v>
      </c>
      <c r="T1810">
        <v>0.03</v>
      </c>
      <c r="U1810" t="s">
        <v>3166</v>
      </c>
      <c r="V1810" t="s">
        <v>154</v>
      </c>
      <c r="W1810" t="s">
        <v>21</v>
      </c>
      <c r="X1810">
        <v>8</v>
      </c>
      <c r="Y1810" t="s">
        <v>2629</v>
      </c>
      <c r="AB1810">
        <v>0</v>
      </c>
      <c r="AC1810">
        <v>0</v>
      </c>
    </row>
    <row r="1811" spans="2:29" ht="15" customHeight="1" x14ac:dyDescent="0.15">
      <c r="B1811">
        <v>4</v>
      </c>
      <c r="C1811" t="s">
        <v>386</v>
      </c>
      <c r="D1811" t="s">
        <v>3298</v>
      </c>
      <c r="E1811">
        <v>2</v>
      </c>
      <c r="F1811" t="s">
        <v>219</v>
      </c>
      <c r="G1811" t="s">
        <v>239</v>
      </c>
      <c r="H1811" t="s">
        <v>456</v>
      </c>
      <c r="I1811">
        <v>32</v>
      </c>
      <c r="J1811" s="55">
        <v>46241</v>
      </c>
      <c r="K1811" s="55">
        <v>46241</v>
      </c>
      <c r="L1811" t="s">
        <v>3300</v>
      </c>
      <c r="M1811" t="s">
        <v>458</v>
      </c>
      <c r="N1811">
        <v>22</v>
      </c>
      <c r="O1811" t="s">
        <v>220</v>
      </c>
      <c r="P1811">
        <v>8</v>
      </c>
      <c r="Q1811">
        <v>1</v>
      </c>
      <c r="R1811">
        <v>0.5</v>
      </c>
      <c r="S1811">
        <v>4</v>
      </c>
      <c r="T1811">
        <v>0.5</v>
      </c>
      <c r="U1811" t="s">
        <v>3166</v>
      </c>
      <c r="V1811" t="s">
        <v>154</v>
      </c>
      <c r="W1811" t="s">
        <v>21</v>
      </c>
      <c r="X1811">
        <v>8</v>
      </c>
      <c r="Y1811" t="s">
        <v>2629</v>
      </c>
      <c r="AA1811">
        <v>49.99</v>
      </c>
      <c r="AB1811">
        <v>199.96</v>
      </c>
      <c r="AC1811">
        <v>25</v>
      </c>
    </row>
    <row r="1812" spans="2:29" ht="15" customHeight="1" x14ac:dyDescent="0.15">
      <c r="B1812">
        <v>4</v>
      </c>
      <c r="C1812" t="s">
        <v>386</v>
      </c>
      <c r="D1812" t="s">
        <v>3298</v>
      </c>
      <c r="E1812">
        <v>3</v>
      </c>
      <c r="F1812" t="s">
        <v>219</v>
      </c>
      <c r="G1812" t="s">
        <v>239</v>
      </c>
      <c r="H1812" t="s">
        <v>602</v>
      </c>
      <c r="I1812">
        <v>32</v>
      </c>
      <c r="J1812" s="55">
        <v>46241</v>
      </c>
      <c r="K1812" s="55">
        <v>46241</v>
      </c>
      <c r="L1812" t="s">
        <v>3301</v>
      </c>
      <c r="M1812" t="s">
        <v>258</v>
      </c>
      <c r="N1812">
        <v>22</v>
      </c>
      <c r="O1812" t="s">
        <v>220</v>
      </c>
      <c r="P1812">
        <v>8</v>
      </c>
      <c r="Q1812">
        <v>1</v>
      </c>
      <c r="R1812">
        <v>0.5</v>
      </c>
      <c r="S1812">
        <v>4</v>
      </c>
      <c r="T1812">
        <v>0.5</v>
      </c>
      <c r="U1812" t="s">
        <v>3166</v>
      </c>
      <c r="V1812" t="s">
        <v>154</v>
      </c>
      <c r="W1812" t="s">
        <v>21</v>
      </c>
      <c r="X1812">
        <v>8</v>
      </c>
      <c r="Y1812" t="s">
        <v>2629</v>
      </c>
      <c r="AA1812">
        <v>180</v>
      </c>
      <c r="AB1812">
        <v>720</v>
      </c>
      <c r="AC1812">
        <v>90</v>
      </c>
    </row>
    <row r="1813" spans="2:29" ht="15" customHeight="1" x14ac:dyDescent="0.15">
      <c r="B1813">
        <v>4</v>
      </c>
      <c r="C1813" t="s">
        <v>386</v>
      </c>
      <c r="D1813" t="s">
        <v>3298</v>
      </c>
      <c r="E1813">
        <v>4</v>
      </c>
      <c r="F1813" t="s">
        <v>219</v>
      </c>
      <c r="G1813" t="s">
        <v>239</v>
      </c>
      <c r="H1813" t="s">
        <v>485</v>
      </c>
      <c r="I1813">
        <v>32</v>
      </c>
      <c r="J1813" s="55">
        <v>46241</v>
      </c>
      <c r="K1813" s="55">
        <v>46241</v>
      </c>
      <c r="L1813" t="s">
        <v>3302</v>
      </c>
      <c r="M1813" t="s">
        <v>247</v>
      </c>
      <c r="N1813">
        <v>22</v>
      </c>
      <c r="O1813" t="s">
        <v>220</v>
      </c>
      <c r="P1813">
        <v>8</v>
      </c>
      <c r="Q1813">
        <v>1</v>
      </c>
      <c r="R1813">
        <v>0.5</v>
      </c>
      <c r="S1813">
        <v>4</v>
      </c>
      <c r="T1813">
        <v>0.5</v>
      </c>
      <c r="U1813" t="s">
        <v>3166</v>
      </c>
      <c r="V1813" t="s">
        <v>154</v>
      </c>
      <c r="W1813" t="s">
        <v>21</v>
      </c>
      <c r="X1813">
        <v>8</v>
      </c>
      <c r="Y1813" t="s">
        <v>2629</v>
      </c>
      <c r="AA1813">
        <v>37.450000000000003</v>
      </c>
      <c r="AB1813">
        <v>149.80000000000001</v>
      </c>
      <c r="AC1813">
        <v>18.73</v>
      </c>
    </row>
    <row r="1814" spans="2:29" ht="15" customHeight="1" x14ac:dyDescent="0.15">
      <c r="B1814">
        <v>4</v>
      </c>
      <c r="C1814" t="s">
        <v>386</v>
      </c>
      <c r="D1814" t="s">
        <v>3298</v>
      </c>
      <c r="E1814">
        <v>5</v>
      </c>
      <c r="F1814" t="s">
        <v>219</v>
      </c>
      <c r="G1814" t="s">
        <v>218</v>
      </c>
      <c r="H1814" t="s">
        <v>2353</v>
      </c>
      <c r="I1814">
        <v>32</v>
      </c>
      <c r="J1814" s="55">
        <v>46241</v>
      </c>
      <c r="K1814" s="55">
        <v>46241</v>
      </c>
      <c r="L1814" t="s">
        <v>3303</v>
      </c>
      <c r="M1814" t="s">
        <v>241</v>
      </c>
      <c r="N1814">
        <v>22</v>
      </c>
      <c r="O1814" t="s">
        <v>202</v>
      </c>
      <c r="P1814">
        <v>8</v>
      </c>
      <c r="Q1814">
        <v>1</v>
      </c>
      <c r="R1814">
        <v>0.2</v>
      </c>
      <c r="S1814">
        <v>1.6</v>
      </c>
      <c r="T1814">
        <v>0.2</v>
      </c>
      <c r="U1814" t="s">
        <v>3166</v>
      </c>
      <c r="V1814" t="s">
        <v>154</v>
      </c>
      <c r="W1814" t="s">
        <v>21</v>
      </c>
      <c r="X1814">
        <v>8</v>
      </c>
      <c r="Y1814" t="s">
        <v>2629</v>
      </c>
      <c r="AA1814">
        <v>61.3</v>
      </c>
      <c r="AB1814">
        <v>98.08</v>
      </c>
      <c r="AC1814">
        <v>12.26</v>
      </c>
    </row>
    <row r="1815" spans="2:29" ht="15" customHeight="1" x14ac:dyDescent="0.15">
      <c r="B1815">
        <v>4</v>
      </c>
      <c r="C1815" t="s">
        <v>386</v>
      </c>
      <c r="D1815" t="s">
        <v>3298</v>
      </c>
      <c r="E1815">
        <v>6</v>
      </c>
      <c r="F1815" t="s">
        <v>219</v>
      </c>
      <c r="G1815" t="s">
        <v>244</v>
      </c>
      <c r="H1815" t="s">
        <v>545</v>
      </c>
      <c r="I1815">
        <v>32</v>
      </c>
      <c r="J1815" s="55">
        <v>46241</v>
      </c>
      <c r="K1815" s="55">
        <v>46241</v>
      </c>
      <c r="L1815" t="s">
        <v>3304</v>
      </c>
      <c r="M1815" t="s">
        <v>363</v>
      </c>
      <c r="N1815">
        <v>22</v>
      </c>
      <c r="O1815" t="s">
        <v>202</v>
      </c>
      <c r="P1815">
        <v>8</v>
      </c>
      <c r="Q1815">
        <v>1</v>
      </c>
      <c r="R1815">
        <v>0.2</v>
      </c>
      <c r="S1815">
        <v>1.6</v>
      </c>
      <c r="T1815">
        <v>0.2</v>
      </c>
      <c r="U1815" t="s">
        <v>3166</v>
      </c>
      <c r="V1815" t="s">
        <v>154</v>
      </c>
      <c r="W1815" t="s">
        <v>21</v>
      </c>
      <c r="X1815">
        <v>8</v>
      </c>
      <c r="Y1815" t="s">
        <v>2629</v>
      </c>
      <c r="AA1815">
        <v>91.2</v>
      </c>
      <c r="AB1815">
        <v>145.91999999999999</v>
      </c>
      <c r="AC1815">
        <v>18.239999999999998</v>
      </c>
    </row>
    <row r="1816" spans="2:29" ht="15" customHeight="1" x14ac:dyDescent="0.15">
      <c r="B1816">
        <v>4</v>
      </c>
      <c r="C1816" t="s">
        <v>386</v>
      </c>
      <c r="D1816" t="s">
        <v>3298</v>
      </c>
      <c r="E1816">
        <v>7</v>
      </c>
      <c r="F1816" t="s">
        <v>219</v>
      </c>
      <c r="G1816" t="s">
        <v>218</v>
      </c>
      <c r="H1816" t="s">
        <v>911</v>
      </c>
      <c r="I1816">
        <v>32</v>
      </c>
      <c r="J1816" s="55">
        <v>46241</v>
      </c>
      <c r="K1816" s="55">
        <v>46241</v>
      </c>
      <c r="L1816" t="s">
        <v>3305</v>
      </c>
      <c r="M1816" t="s">
        <v>913</v>
      </c>
      <c r="N1816">
        <v>22</v>
      </c>
      <c r="O1816" t="s">
        <v>220</v>
      </c>
      <c r="P1816">
        <v>8</v>
      </c>
      <c r="Q1816">
        <v>1</v>
      </c>
      <c r="R1816">
        <v>0.2</v>
      </c>
      <c r="S1816">
        <v>1.6</v>
      </c>
      <c r="T1816">
        <v>0.2</v>
      </c>
      <c r="U1816" t="s">
        <v>3166</v>
      </c>
      <c r="V1816" t="s">
        <v>154</v>
      </c>
      <c r="W1816" t="s">
        <v>21</v>
      </c>
      <c r="X1816">
        <v>8</v>
      </c>
      <c r="Y1816" t="s">
        <v>2629</v>
      </c>
      <c r="AA1816">
        <v>91.24</v>
      </c>
      <c r="AB1816">
        <v>145.97999999999999</v>
      </c>
      <c r="AC1816">
        <v>18.25</v>
      </c>
    </row>
    <row r="1817" spans="2:29" ht="15" customHeight="1" x14ac:dyDescent="0.15">
      <c r="B1817">
        <v>4</v>
      </c>
      <c r="C1817" t="s">
        <v>386</v>
      </c>
      <c r="D1817" t="s">
        <v>3306</v>
      </c>
      <c r="E1817">
        <v>1</v>
      </c>
      <c r="F1817" t="s">
        <v>219</v>
      </c>
      <c r="G1817" t="s">
        <v>223</v>
      </c>
      <c r="H1817" t="s">
        <v>2608</v>
      </c>
      <c r="I1817">
        <v>33</v>
      </c>
      <c r="J1817" s="55">
        <v>46244</v>
      </c>
      <c r="K1817" s="55">
        <v>46244</v>
      </c>
      <c r="L1817" t="s">
        <v>3307</v>
      </c>
      <c r="M1817" t="s">
        <v>3001</v>
      </c>
      <c r="N1817">
        <v>76</v>
      </c>
      <c r="O1817" t="s">
        <v>220</v>
      </c>
      <c r="P1817">
        <v>1</v>
      </c>
      <c r="Q1817">
        <v>1</v>
      </c>
      <c r="R1817">
        <v>12</v>
      </c>
      <c r="S1817">
        <v>12</v>
      </c>
      <c r="T1817">
        <v>12</v>
      </c>
      <c r="U1817" t="s">
        <v>139</v>
      </c>
      <c r="V1817" t="s">
        <v>140</v>
      </c>
      <c r="W1817" t="s">
        <v>75</v>
      </c>
      <c r="X1817">
        <v>1</v>
      </c>
      <c r="Y1817" t="s">
        <v>2629</v>
      </c>
      <c r="AA1817">
        <v>3</v>
      </c>
      <c r="AB1817">
        <v>36</v>
      </c>
      <c r="AC1817">
        <v>36</v>
      </c>
    </row>
    <row r="1818" spans="2:29" ht="15" customHeight="1" x14ac:dyDescent="0.15">
      <c r="B1818">
        <v>4</v>
      </c>
      <c r="C1818" t="s">
        <v>386</v>
      </c>
      <c r="D1818" t="s">
        <v>3308</v>
      </c>
      <c r="E1818">
        <v>2</v>
      </c>
      <c r="F1818" t="s">
        <v>219</v>
      </c>
      <c r="G1818" t="s">
        <v>223</v>
      </c>
      <c r="H1818" t="s">
        <v>2608</v>
      </c>
      <c r="I1818">
        <v>33</v>
      </c>
      <c r="J1818" s="55">
        <v>46244</v>
      </c>
      <c r="K1818" s="55">
        <v>46244</v>
      </c>
      <c r="L1818" t="s">
        <v>3309</v>
      </c>
      <c r="M1818" t="s">
        <v>3001</v>
      </c>
      <c r="N1818">
        <v>48</v>
      </c>
      <c r="O1818" t="s">
        <v>220</v>
      </c>
      <c r="P1818">
        <v>1</v>
      </c>
      <c r="Q1818">
        <v>1</v>
      </c>
      <c r="R1818">
        <v>12</v>
      </c>
      <c r="S1818">
        <v>12</v>
      </c>
      <c r="T1818">
        <v>12</v>
      </c>
      <c r="U1818" t="s">
        <v>141</v>
      </c>
      <c r="V1818" t="s">
        <v>142</v>
      </c>
      <c r="W1818" t="s">
        <v>75</v>
      </c>
      <c r="X1818">
        <v>1</v>
      </c>
      <c r="Y1818" t="s">
        <v>2629</v>
      </c>
      <c r="AA1818">
        <v>3</v>
      </c>
      <c r="AB1818">
        <v>36</v>
      </c>
      <c r="AC1818">
        <v>36</v>
      </c>
    </row>
    <row r="1819" spans="2:29" ht="15" customHeight="1" x14ac:dyDescent="0.15">
      <c r="B1819">
        <v>4</v>
      </c>
      <c r="C1819" t="s">
        <v>386</v>
      </c>
      <c r="D1819" t="s">
        <v>3310</v>
      </c>
      <c r="E1819">
        <v>1</v>
      </c>
      <c r="F1819" t="s">
        <v>219</v>
      </c>
      <c r="G1819" t="s">
        <v>231</v>
      </c>
      <c r="H1819" t="s">
        <v>231</v>
      </c>
      <c r="I1819">
        <v>33</v>
      </c>
      <c r="J1819" s="55">
        <v>46244</v>
      </c>
      <c r="K1819" s="55">
        <v>46244</v>
      </c>
      <c r="L1819" t="s">
        <v>3311</v>
      </c>
      <c r="M1819" t="s">
        <v>230</v>
      </c>
      <c r="N1819">
        <v>53</v>
      </c>
      <c r="O1819" t="s">
        <v>220</v>
      </c>
      <c r="P1819">
        <v>2</v>
      </c>
      <c r="Q1819">
        <v>1</v>
      </c>
      <c r="R1819">
        <v>0.04</v>
      </c>
      <c r="S1819">
        <v>0.08</v>
      </c>
      <c r="T1819">
        <v>0.04</v>
      </c>
      <c r="U1819" t="s">
        <v>143</v>
      </c>
      <c r="V1819" t="s">
        <v>144</v>
      </c>
      <c r="W1819" t="s">
        <v>21</v>
      </c>
      <c r="X1819">
        <v>2</v>
      </c>
      <c r="Y1819" t="s">
        <v>3069</v>
      </c>
      <c r="AB1819">
        <v>0</v>
      </c>
      <c r="AC1819">
        <v>0</v>
      </c>
    </row>
    <row r="1820" spans="2:29" ht="15" customHeight="1" x14ac:dyDescent="0.15">
      <c r="B1820">
        <v>4</v>
      </c>
      <c r="C1820" t="s">
        <v>386</v>
      </c>
      <c r="D1820" t="s">
        <v>3310</v>
      </c>
      <c r="E1820">
        <v>2</v>
      </c>
      <c r="F1820" t="s">
        <v>219</v>
      </c>
      <c r="G1820" t="s">
        <v>244</v>
      </c>
      <c r="H1820" t="s">
        <v>1605</v>
      </c>
      <c r="I1820">
        <v>33</v>
      </c>
      <c r="J1820" s="55">
        <v>46244</v>
      </c>
      <c r="K1820" s="55">
        <v>46244</v>
      </c>
      <c r="L1820" t="s">
        <v>3312</v>
      </c>
      <c r="M1820" t="s">
        <v>295</v>
      </c>
      <c r="N1820">
        <v>53</v>
      </c>
      <c r="O1820" t="s">
        <v>220</v>
      </c>
      <c r="P1820">
        <v>2</v>
      </c>
      <c r="Q1820">
        <v>1</v>
      </c>
      <c r="R1820">
        <v>0.5</v>
      </c>
      <c r="S1820">
        <v>1</v>
      </c>
      <c r="T1820">
        <v>0.5</v>
      </c>
      <c r="U1820" t="s">
        <v>143</v>
      </c>
      <c r="V1820" t="s">
        <v>144</v>
      </c>
      <c r="W1820" t="s">
        <v>21</v>
      </c>
      <c r="X1820">
        <v>2</v>
      </c>
      <c r="Y1820" t="s">
        <v>3069</v>
      </c>
      <c r="AA1820">
        <v>77.31</v>
      </c>
      <c r="AB1820">
        <v>77.31</v>
      </c>
      <c r="AC1820">
        <v>38.659999999999997</v>
      </c>
    </row>
    <row r="1821" spans="2:29" ht="15" customHeight="1" x14ac:dyDescent="0.15">
      <c r="B1821">
        <v>4</v>
      </c>
      <c r="C1821" t="s">
        <v>386</v>
      </c>
      <c r="D1821" t="s">
        <v>3310</v>
      </c>
      <c r="E1821">
        <v>3</v>
      </c>
      <c r="F1821" t="s">
        <v>219</v>
      </c>
      <c r="G1821" t="s">
        <v>218</v>
      </c>
      <c r="H1821" t="s">
        <v>1501</v>
      </c>
      <c r="I1821">
        <v>33</v>
      </c>
      <c r="J1821" s="55">
        <v>46244</v>
      </c>
      <c r="K1821" s="55">
        <v>46244</v>
      </c>
      <c r="L1821" t="s">
        <v>3313</v>
      </c>
      <c r="M1821" t="s">
        <v>2738</v>
      </c>
      <c r="N1821">
        <v>53</v>
      </c>
      <c r="O1821" t="s">
        <v>202</v>
      </c>
      <c r="P1821">
        <v>2</v>
      </c>
      <c r="Q1821">
        <v>1</v>
      </c>
      <c r="R1821">
        <v>0.2</v>
      </c>
      <c r="S1821">
        <v>0.4</v>
      </c>
      <c r="T1821">
        <v>0.2</v>
      </c>
      <c r="U1821" t="s">
        <v>143</v>
      </c>
      <c r="V1821" t="s">
        <v>144</v>
      </c>
      <c r="W1821" t="s">
        <v>21</v>
      </c>
      <c r="X1821">
        <v>2</v>
      </c>
      <c r="Y1821" t="s">
        <v>3069</v>
      </c>
      <c r="AA1821">
        <v>0</v>
      </c>
      <c r="AB1821">
        <v>0</v>
      </c>
      <c r="AC1821">
        <v>0</v>
      </c>
    </row>
    <row r="1822" spans="2:29" ht="15" customHeight="1" x14ac:dyDescent="0.15">
      <c r="B1822">
        <v>4</v>
      </c>
      <c r="C1822" t="s">
        <v>386</v>
      </c>
      <c r="D1822" t="s">
        <v>3310</v>
      </c>
      <c r="E1822">
        <v>4</v>
      </c>
      <c r="F1822" t="s">
        <v>219</v>
      </c>
      <c r="G1822" t="s">
        <v>218</v>
      </c>
      <c r="H1822" t="s">
        <v>2305</v>
      </c>
      <c r="I1822">
        <v>33</v>
      </c>
      <c r="J1822" s="55">
        <v>46244</v>
      </c>
      <c r="K1822" s="55">
        <v>46244</v>
      </c>
      <c r="L1822" t="s">
        <v>3314</v>
      </c>
      <c r="M1822" t="s">
        <v>255</v>
      </c>
      <c r="N1822">
        <v>53</v>
      </c>
      <c r="O1822" t="s">
        <v>202</v>
      </c>
      <c r="P1822">
        <v>2</v>
      </c>
      <c r="Q1822">
        <v>1</v>
      </c>
      <c r="R1822">
        <v>0.5</v>
      </c>
      <c r="S1822">
        <v>1</v>
      </c>
      <c r="T1822">
        <v>0.5</v>
      </c>
      <c r="U1822" t="s">
        <v>143</v>
      </c>
      <c r="V1822" t="s">
        <v>144</v>
      </c>
      <c r="W1822" t="s">
        <v>21</v>
      </c>
      <c r="X1822">
        <v>2</v>
      </c>
      <c r="Y1822" t="s">
        <v>3069</v>
      </c>
      <c r="AA1822">
        <v>37.5</v>
      </c>
      <c r="AB1822">
        <v>37.5</v>
      </c>
      <c r="AC1822">
        <v>18.75</v>
      </c>
    </row>
    <row r="1823" spans="2:29" ht="15" customHeight="1" x14ac:dyDescent="0.15">
      <c r="B1823">
        <v>4</v>
      </c>
      <c r="C1823" t="s">
        <v>386</v>
      </c>
      <c r="D1823" t="s">
        <v>3310</v>
      </c>
      <c r="E1823">
        <v>5</v>
      </c>
      <c r="F1823" t="s">
        <v>219</v>
      </c>
      <c r="G1823" t="s">
        <v>218</v>
      </c>
      <c r="H1823" t="s">
        <v>2353</v>
      </c>
      <c r="I1823">
        <v>33</v>
      </c>
      <c r="J1823" s="55">
        <v>46244</v>
      </c>
      <c r="K1823" s="55">
        <v>46244</v>
      </c>
      <c r="L1823" t="s">
        <v>3315</v>
      </c>
      <c r="M1823" t="s">
        <v>241</v>
      </c>
      <c r="N1823">
        <v>53</v>
      </c>
      <c r="O1823" t="s">
        <v>202</v>
      </c>
      <c r="P1823">
        <v>2</v>
      </c>
      <c r="Q1823">
        <v>1</v>
      </c>
      <c r="R1823">
        <v>0.2</v>
      </c>
      <c r="S1823">
        <v>0.4</v>
      </c>
      <c r="T1823">
        <v>0.2</v>
      </c>
      <c r="U1823" t="s">
        <v>143</v>
      </c>
      <c r="V1823" t="s">
        <v>144</v>
      </c>
      <c r="W1823" t="s">
        <v>21</v>
      </c>
      <c r="X1823">
        <v>2</v>
      </c>
      <c r="Y1823" t="s">
        <v>3069</v>
      </c>
      <c r="AA1823">
        <v>61.3</v>
      </c>
      <c r="AB1823">
        <v>24.52</v>
      </c>
      <c r="AC1823">
        <v>12.26</v>
      </c>
    </row>
    <row r="1824" spans="2:29" ht="15" customHeight="1" x14ac:dyDescent="0.15">
      <c r="B1824">
        <v>4</v>
      </c>
      <c r="C1824" t="s">
        <v>386</v>
      </c>
      <c r="D1824" t="s">
        <v>3310</v>
      </c>
      <c r="E1824">
        <v>6</v>
      </c>
      <c r="F1824" t="s">
        <v>219</v>
      </c>
      <c r="G1824" t="s">
        <v>218</v>
      </c>
      <c r="H1824" t="s">
        <v>1018</v>
      </c>
      <c r="I1824">
        <v>33</v>
      </c>
      <c r="J1824" s="55">
        <v>46244</v>
      </c>
      <c r="K1824" s="55">
        <v>46244</v>
      </c>
      <c r="L1824" t="s">
        <v>3316</v>
      </c>
      <c r="M1824" t="s">
        <v>3229</v>
      </c>
      <c r="N1824">
        <v>53</v>
      </c>
      <c r="O1824" t="s">
        <v>220</v>
      </c>
      <c r="P1824">
        <v>1</v>
      </c>
      <c r="Q1824">
        <v>0.5</v>
      </c>
      <c r="R1824">
        <v>0.25</v>
      </c>
      <c r="S1824">
        <v>0.25</v>
      </c>
      <c r="T1824">
        <v>0.13</v>
      </c>
      <c r="U1824" t="s">
        <v>143</v>
      </c>
      <c r="V1824" t="s">
        <v>144</v>
      </c>
      <c r="W1824" t="s">
        <v>21</v>
      </c>
      <c r="X1824">
        <v>2</v>
      </c>
      <c r="Y1824" t="s">
        <v>3069</v>
      </c>
      <c r="AA1824">
        <v>62.05</v>
      </c>
      <c r="AB1824">
        <v>15.51</v>
      </c>
      <c r="AC1824">
        <v>7.76</v>
      </c>
    </row>
    <row r="1825" spans="2:29" ht="15" customHeight="1" x14ac:dyDescent="0.15">
      <c r="B1825">
        <v>4</v>
      </c>
      <c r="C1825" t="s">
        <v>386</v>
      </c>
      <c r="D1825" t="s">
        <v>3310</v>
      </c>
      <c r="E1825">
        <v>7</v>
      </c>
      <c r="F1825" t="s">
        <v>219</v>
      </c>
      <c r="G1825" t="s">
        <v>218</v>
      </c>
      <c r="H1825" t="s">
        <v>2714</v>
      </c>
      <c r="I1825">
        <v>33</v>
      </c>
      <c r="J1825" s="55">
        <v>46244</v>
      </c>
      <c r="K1825" s="55">
        <v>46244</v>
      </c>
      <c r="L1825" t="s">
        <v>3317</v>
      </c>
      <c r="M1825" t="s">
        <v>2716</v>
      </c>
      <c r="N1825">
        <v>53</v>
      </c>
      <c r="O1825" t="s">
        <v>220</v>
      </c>
      <c r="P1825">
        <v>1</v>
      </c>
      <c r="Q1825">
        <v>0.5</v>
      </c>
      <c r="R1825">
        <v>0.5</v>
      </c>
      <c r="S1825">
        <v>0.5</v>
      </c>
      <c r="T1825">
        <v>0.25</v>
      </c>
      <c r="U1825" t="s">
        <v>143</v>
      </c>
      <c r="V1825" t="s">
        <v>144</v>
      </c>
      <c r="W1825" t="s">
        <v>21</v>
      </c>
      <c r="X1825">
        <v>2</v>
      </c>
      <c r="Y1825" t="s">
        <v>3069</v>
      </c>
      <c r="AA1825">
        <v>50</v>
      </c>
      <c r="AB1825">
        <v>25</v>
      </c>
      <c r="AC1825">
        <v>12.5</v>
      </c>
    </row>
    <row r="1826" spans="2:29" ht="15" customHeight="1" x14ac:dyDescent="0.15">
      <c r="B1826">
        <v>4</v>
      </c>
      <c r="C1826" t="s">
        <v>386</v>
      </c>
      <c r="D1826" t="s">
        <v>3310</v>
      </c>
      <c r="E1826">
        <v>8</v>
      </c>
      <c r="F1826" t="s">
        <v>219</v>
      </c>
      <c r="G1826" t="s">
        <v>218</v>
      </c>
      <c r="H1826" t="s">
        <v>1099</v>
      </c>
      <c r="I1826">
        <v>33</v>
      </c>
      <c r="J1826" s="55">
        <v>46244</v>
      </c>
      <c r="K1826" s="55">
        <v>46244</v>
      </c>
      <c r="L1826" t="s">
        <v>3318</v>
      </c>
      <c r="M1826" t="s">
        <v>1101</v>
      </c>
      <c r="N1826">
        <v>53</v>
      </c>
      <c r="O1826" t="s">
        <v>220</v>
      </c>
      <c r="P1826">
        <v>1</v>
      </c>
      <c r="Q1826">
        <v>0.5</v>
      </c>
      <c r="R1826">
        <v>0.25</v>
      </c>
      <c r="S1826">
        <v>0.25</v>
      </c>
      <c r="T1826">
        <v>0.13</v>
      </c>
      <c r="U1826" t="s">
        <v>143</v>
      </c>
      <c r="V1826" t="s">
        <v>144</v>
      </c>
      <c r="W1826" t="s">
        <v>21</v>
      </c>
      <c r="X1826">
        <v>2</v>
      </c>
      <c r="Y1826" t="s">
        <v>3069</v>
      </c>
      <c r="AA1826">
        <v>50.23</v>
      </c>
      <c r="AB1826">
        <v>12.56</v>
      </c>
      <c r="AC1826">
        <v>6.28</v>
      </c>
    </row>
    <row r="1827" spans="2:29" ht="15" customHeight="1" x14ac:dyDescent="0.15">
      <c r="B1827">
        <v>4</v>
      </c>
      <c r="C1827" t="s">
        <v>386</v>
      </c>
      <c r="D1827" t="s">
        <v>3310</v>
      </c>
      <c r="E1827">
        <v>9</v>
      </c>
      <c r="F1827" t="s">
        <v>219</v>
      </c>
      <c r="G1827" t="s">
        <v>218</v>
      </c>
      <c r="H1827" t="s">
        <v>2464</v>
      </c>
      <c r="I1827">
        <v>33</v>
      </c>
      <c r="J1827" s="55">
        <v>46244</v>
      </c>
      <c r="K1827" s="55">
        <v>46244</v>
      </c>
      <c r="L1827" t="s">
        <v>3319</v>
      </c>
      <c r="M1827" t="s">
        <v>2466</v>
      </c>
      <c r="N1827">
        <v>53</v>
      </c>
      <c r="O1827" t="s">
        <v>220</v>
      </c>
      <c r="P1827">
        <v>2</v>
      </c>
      <c r="Q1827">
        <v>1</v>
      </c>
      <c r="R1827">
        <v>0.5</v>
      </c>
      <c r="S1827">
        <v>1</v>
      </c>
      <c r="T1827">
        <v>0.5</v>
      </c>
      <c r="U1827" t="s">
        <v>143</v>
      </c>
      <c r="V1827" t="s">
        <v>144</v>
      </c>
      <c r="W1827" t="s">
        <v>21</v>
      </c>
      <c r="X1827">
        <v>2</v>
      </c>
      <c r="Y1827" t="s">
        <v>3069</v>
      </c>
      <c r="AA1827">
        <v>46</v>
      </c>
      <c r="AB1827">
        <v>46</v>
      </c>
      <c r="AC1827">
        <v>23</v>
      </c>
    </row>
    <row r="1828" spans="2:29" ht="15" customHeight="1" x14ac:dyDescent="0.15">
      <c r="B1828">
        <v>4</v>
      </c>
      <c r="C1828" t="s">
        <v>386</v>
      </c>
      <c r="D1828" t="s">
        <v>3320</v>
      </c>
      <c r="E1828">
        <v>1</v>
      </c>
      <c r="F1828" t="s">
        <v>219</v>
      </c>
      <c r="G1828" t="s">
        <v>231</v>
      </c>
      <c r="H1828" t="s">
        <v>231</v>
      </c>
      <c r="I1828">
        <v>33</v>
      </c>
      <c r="J1828" s="55">
        <v>46247</v>
      </c>
      <c r="K1828" s="55">
        <v>46247</v>
      </c>
      <c r="L1828" t="s">
        <v>3321</v>
      </c>
      <c r="M1828" t="s">
        <v>230</v>
      </c>
      <c r="N1828">
        <v>104</v>
      </c>
      <c r="O1828" t="s">
        <v>220</v>
      </c>
      <c r="P1828">
        <v>7</v>
      </c>
      <c r="Q1828">
        <v>1.56</v>
      </c>
      <c r="R1828">
        <v>0.03</v>
      </c>
      <c r="S1828">
        <v>0.21</v>
      </c>
      <c r="T1828">
        <v>0.05</v>
      </c>
      <c r="U1828" t="s">
        <v>96</v>
      </c>
      <c r="V1828" t="s">
        <v>97</v>
      </c>
      <c r="W1828" t="s">
        <v>21</v>
      </c>
      <c r="X1828">
        <v>4.5</v>
      </c>
      <c r="Y1828" t="s">
        <v>3069</v>
      </c>
      <c r="AB1828">
        <v>0</v>
      </c>
      <c r="AC1828">
        <v>0</v>
      </c>
    </row>
    <row r="1829" spans="2:29" ht="15" customHeight="1" x14ac:dyDescent="0.15">
      <c r="B1829">
        <v>4</v>
      </c>
      <c r="C1829" t="s">
        <v>386</v>
      </c>
      <c r="D1829" t="s">
        <v>3320</v>
      </c>
      <c r="E1829">
        <v>2</v>
      </c>
      <c r="F1829" t="s">
        <v>219</v>
      </c>
      <c r="G1829" t="s">
        <v>218</v>
      </c>
      <c r="H1829" t="s">
        <v>680</v>
      </c>
      <c r="I1829">
        <v>33</v>
      </c>
      <c r="J1829" s="55">
        <v>46247</v>
      </c>
      <c r="K1829" s="55">
        <v>46247</v>
      </c>
      <c r="L1829" t="s">
        <v>3322</v>
      </c>
      <c r="M1829" t="s">
        <v>682</v>
      </c>
      <c r="N1829">
        <v>104</v>
      </c>
      <c r="O1829" t="s">
        <v>220</v>
      </c>
      <c r="P1829">
        <v>7</v>
      </c>
      <c r="Q1829">
        <v>1.56</v>
      </c>
      <c r="R1829">
        <v>0.5</v>
      </c>
      <c r="S1829">
        <v>3.5</v>
      </c>
      <c r="T1829">
        <v>0.78</v>
      </c>
      <c r="U1829" t="s">
        <v>96</v>
      </c>
      <c r="V1829" t="s">
        <v>97</v>
      </c>
      <c r="W1829" t="s">
        <v>21</v>
      </c>
      <c r="X1829">
        <v>4.5</v>
      </c>
      <c r="Y1829" t="s">
        <v>3069</v>
      </c>
      <c r="AA1829">
        <v>128.37</v>
      </c>
      <c r="AB1829">
        <v>449.3</v>
      </c>
      <c r="AC1829">
        <v>99.84</v>
      </c>
    </row>
    <row r="1830" spans="2:29" ht="15" customHeight="1" x14ac:dyDescent="0.15">
      <c r="B1830">
        <v>4</v>
      </c>
      <c r="C1830" t="s">
        <v>386</v>
      </c>
      <c r="D1830" t="s">
        <v>3320</v>
      </c>
      <c r="E1830">
        <v>3</v>
      </c>
      <c r="F1830" t="s">
        <v>219</v>
      </c>
      <c r="G1830" t="s">
        <v>218</v>
      </c>
      <c r="H1830" t="s">
        <v>686</v>
      </c>
      <c r="I1830">
        <v>33</v>
      </c>
      <c r="J1830" s="55">
        <v>46247</v>
      </c>
      <c r="K1830" s="55">
        <v>46247</v>
      </c>
      <c r="L1830" t="s">
        <v>3323</v>
      </c>
      <c r="M1830" t="s">
        <v>2468</v>
      </c>
      <c r="N1830">
        <v>104</v>
      </c>
      <c r="O1830" t="s">
        <v>220</v>
      </c>
      <c r="P1830">
        <v>7</v>
      </c>
      <c r="Q1830">
        <v>1.56</v>
      </c>
      <c r="R1830">
        <v>0.2</v>
      </c>
      <c r="S1830">
        <v>1.4</v>
      </c>
      <c r="T1830">
        <v>0.31</v>
      </c>
      <c r="U1830" t="s">
        <v>96</v>
      </c>
      <c r="V1830" t="s">
        <v>97</v>
      </c>
      <c r="W1830" t="s">
        <v>21</v>
      </c>
      <c r="X1830">
        <v>4.5</v>
      </c>
      <c r="Y1830" t="s">
        <v>3069</v>
      </c>
      <c r="AA1830">
        <v>80.900000000000006</v>
      </c>
      <c r="AB1830">
        <v>113.26</v>
      </c>
      <c r="AC1830">
        <v>25.17</v>
      </c>
    </row>
    <row r="1831" spans="2:29" ht="15" customHeight="1" x14ac:dyDescent="0.15">
      <c r="B1831">
        <v>4</v>
      </c>
      <c r="C1831" t="s">
        <v>386</v>
      </c>
      <c r="D1831" t="s">
        <v>3320</v>
      </c>
      <c r="E1831">
        <v>4</v>
      </c>
      <c r="F1831" t="s">
        <v>219</v>
      </c>
      <c r="G1831" t="s">
        <v>239</v>
      </c>
      <c r="H1831" t="s">
        <v>3082</v>
      </c>
      <c r="I1831">
        <v>33</v>
      </c>
      <c r="J1831" s="55">
        <v>46247</v>
      </c>
      <c r="K1831" s="55">
        <v>46247</v>
      </c>
      <c r="L1831" t="s">
        <v>3324</v>
      </c>
      <c r="M1831" t="s">
        <v>3084</v>
      </c>
      <c r="N1831">
        <v>104</v>
      </c>
      <c r="O1831" t="s">
        <v>202</v>
      </c>
      <c r="P1831">
        <v>7</v>
      </c>
      <c r="Q1831">
        <v>1.56</v>
      </c>
      <c r="R1831">
        <v>3</v>
      </c>
      <c r="S1831">
        <v>21</v>
      </c>
      <c r="T1831">
        <v>4.67</v>
      </c>
      <c r="U1831" t="s">
        <v>96</v>
      </c>
      <c r="V1831" t="s">
        <v>97</v>
      </c>
      <c r="W1831" t="s">
        <v>21</v>
      </c>
      <c r="X1831">
        <v>4.5</v>
      </c>
      <c r="Y1831" t="s">
        <v>3069</v>
      </c>
      <c r="AB1831">
        <v>0</v>
      </c>
      <c r="AC1831">
        <v>0</v>
      </c>
    </row>
    <row r="1832" spans="2:29" ht="15" customHeight="1" x14ac:dyDescent="0.15">
      <c r="B1832">
        <v>4</v>
      </c>
      <c r="C1832" t="s">
        <v>386</v>
      </c>
      <c r="D1832" t="s">
        <v>3320</v>
      </c>
      <c r="E1832">
        <v>5</v>
      </c>
      <c r="F1832" t="s">
        <v>219</v>
      </c>
      <c r="G1832" t="s">
        <v>244</v>
      </c>
      <c r="H1832" t="s">
        <v>1605</v>
      </c>
      <c r="I1832">
        <v>33</v>
      </c>
      <c r="J1832" s="55">
        <v>46247</v>
      </c>
      <c r="K1832" s="55">
        <v>46247</v>
      </c>
      <c r="L1832" t="s">
        <v>3325</v>
      </c>
      <c r="M1832" t="s">
        <v>295</v>
      </c>
      <c r="N1832">
        <v>104</v>
      </c>
      <c r="O1832" t="s">
        <v>220</v>
      </c>
      <c r="P1832">
        <v>7</v>
      </c>
      <c r="Q1832">
        <v>1.56</v>
      </c>
      <c r="R1832">
        <v>0.5</v>
      </c>
      <c r="S1832">
        <v>3.5</v>
      </c>
      <c r="T1832">
        <v>0.78</v>
      </c>
      <c r="U1832" t="s">
        <v>96</v>
      </c>
      <c r="V1832" t="s">
        <v>97</v>
      </c>
      <c r="W1832" t="s">
        <v>21</v>
      </c>
      <c r="X1832">
        <v>4.5</v>
      </c>
      <c r="Y1832" t="s">
        <v>3069</v>
      </c>
      <c r="AA1832">
        <v>77.31</v>
      </c>
      <c r="AB1832">
        <v>270.58999999999997</v>
      </c>
      <c r="AC1832">
        <v>60.13</v>
      </c>
    </row>
  </sheetData>
  <autoFilter ref="B3:AB1649" xr:uid="{00000000-0009-0000-0000-000001000000}">
    <filterColumn colId="20">
      <filters>
        <filter val="ADM"/>
        <filter val="ADMINISTRACIÓN"/>
        <filter val="ANTONY HUAMAN - LOTE 1"/>
        <filter val="BARANCA"/>
        <filter val="BARRANCA"/>
        <filter val="beneralda"/>
        <filter val="BUSTAMANTE CP_26"/>
        <filter val="calagua 2"/>
        <filter val="CALAGUA C"/>
        <filter val="CALAGUA C2"/>
        <filter val="CALAGUA2-26"/>
        <filter val="CALAGUA3-26"/>
        <filter val="CALAGUAC_2026"/>
        <filter val="CASAS P"/>
        <filter val="CASAS_2026"/>
        <filter val="Dante García "/>
        <filter val="DINA CA-26"/>
        <filter val="ESMERALDA CP-26"/>
        <filter val="gabino"/>
        <filter val="GABINO C_26"/>
        <filter val="GENERAL"/>
        <filter val="Juan tocasque"/>
        <filter val="LUIS BEASS"/>
        <filter val="Maria Francia "/>
        <filter val="MARINO CP_26"/>
        <filter val="milagros "/>
        <filter val="MOD 10S"/>
        <filter val="MOD 11C-26"/>
        <filter val="MOD 2-3C _26"/>
        <filter val="mod 4"/>
        <filter val="MOD 4C_26"/>
        <filter val="mod 6"/>
        <filter val="mod 6 "/>
        <filter val="MOD 7C-26"/>
        <filter val="MOD 8C-26"/>
        <filter val="MOD-6C"/>
        <filter val="mod5"/>
        <filter val="MOD5C_26"/>
        <filter val="mod6"/>
        <filter val="POZO C"/>
        <filter val="POZO-C"/>
        <filter val="POZO-C1"/>
        <filter val="Raúl García "/>
        <filter val="RUDA"/>
        <filter val="RUDA-26"/>
        <filter val="VENERANDA C_26"/>
        <filter val="WALDIR"/>
        <filter val="YAURI C"/>
      </filters>
    </filterColumn>
  </autoFilter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4036"/>
  <sheetViews>
    <sheetView tabSelected="1" zoomScale="108" zoomScaleNormal="108" workbookViewId="0">
      <pane ySplit="2" topLeftCell="A3900" activePane="bottomLeft" state="frozen"/>
      <selection pane="bottomLeft" activeCell="A3920" sqref="A3920:V4036"/>
    </sheetView>
  </sheetViews>
  <sheetFormatPr baseColWidth="10" defaultColWidth="10.6640625" defaultRowHeight="13" x14ac:dyDescent="0.15"/>
  <cols>
    <col min="1" max="1" width="4.83203125" customWidth="1"/>
    <col min="3" max="3" width="18.33203125" customWidth="1"/>
    <col min="9" max="9" width="26.6640625" customWidth="1"/>
    <col min="10" max="10" width="10.83203125" style="1" customWidth="1"/>
    <col min="18" max="18" width="38.6640625" customWidth="1"/>
  </cols>
  <sheetData>
    <row r="1" spans="1:22" ht="12.75" customHeight="1" x14ac:dyDescent="0.15">
      <c r="A1" s="71" t="s">
        <v>3326</v>
      </c>
      <c r="B1" s="71" t="s">
        <v>3327</v>
      </c>
      <c r="C1" s="71" t="s">
        <v>3328</v>
      </c>
      <c r="D1" t="s">
        <v>1</v>
      </c>
      <c r="E1" s="71" t="s">
        <v>3329</v>
      </c>
      <c r="F1" s="71" t="s">
        <v>3</v>
      </c>
      <c r="G1" s="71" t="s">
        <v>4</v>
      </c>
      <c r="H1" s="71" t="s">
        <v>5</v>
      </c>
      <c r="I1" s="71" t="s">
        <v>3330</v>
      </c>
      <c r="J1" s="1" t="s">
        <v>3331</v>
      </c>
      <c r="K1" s="71" t="s">
        <v>158</v>
      </c>
      <c r="L1" t="s">
        <v>8</v>
      </c>
      <c r="M1" s="71" t="s">
        <v>9</v>
      </c>
      <c r="N1" s="71" t="s">
        <v>182</v>
      </c>
      <c r="O1" t="s">
        <v>11</v>
      </c>
      <c r="P1" s="72" t="s">
        <v>12</v>
      </c>
      <c r="Q1" s="71" t="s">
        <v>163</v>
      </c>
      <c r="R1" s="71" t="s">
        <v>164</v>
      </c>
      <c r="S1" s="71" t="s">
        <v>165</v>
      </c>
      <c r="T1" s="71" t="s">
        <v>166</v>
      </c>
      <c r="U1" s="71" t="s">
        <v>13</v>
      </c>
      <c r="V1" s="71" t="s">
        <v>14</v>
      </c>
    </row>
    <row r="2" spans="1:22" ht="12.75" customHeight="1" x14ac:dyDescent="0.15">
      <c r="A2" s="71"/>
      <c r="B2" s="71"/>
      <c r="C2" s="71"/>
      <c r="D2" t="s">
        <v>15</v>
      </c>
      <c r="E2" s="71"/>
      <c r="F2" s="71"/>
      <c r="G2" s="71"/>
      <c r="H2" s="71"/>
      <c r="I2" s="71"/>
      <c r="J2" s="1" t="s">
        <v>168</v>
      </c>
      <c r="K2" s="71"/>
      <c r="L2" t="s">
        <v>17</v>
      </c>
      <c r="M2" s="71"/>
      <c r="N2" s="71"/>
      <c r="O2" t="s">
        <v>18</v>
      </c>
      <c r="P2" s="71"/>
      <c r="Q2" s="71"/>
      <c r="R2" s="71"/>
      <c r="S2" s="71"/>
      <c r="T2" s="71"/>
      <c r="U2" s="71"/>
      <c r="V2" s="71"/>
    </row>
    <row r="3" spans="1:22" ht="12.75" customHeight="1" x14ac:dyDescent="0.15">
      <c r="A3">
        <v>48</v>
      </c>
      <c r="B3">
        <v>2025</v>
      </c>
      <c r="C3" s="25">
        <v>45992</v>
      </c>
      <c r="D3" t="s">
        <v>19</v>
      </c>
      <c r="E3" t="s">
        <v>20</v>
      </c>
      <c r="F3" t="s">
        <v>21</v>
      </c>
      <c r="G3">
        <v>3.8</v>
      </c>
      <c r="H3" t="s">
        <v>3332</v>
      </c>
      <c r="I3" t="s">
        <v>177</v>
      </c>
      <c r="J3" s="1" t="s">
        <v>26</v>
      </c>
      <c r="K3" t="s">
        <v>181</v>
      </c>
      <c r="L3" t="s">
        <v>3333</v>
      </c>
      <c r="M3">
        <v>6</v>
      </c>
      <c r="N3">
        <v>0.5</v>
      </c>
      <c r="O3" t="s">
        <v>3334</v>
      </c>
      <c r="P3">
        <v>40.79</v>
      </c>
      <c r="R3" t="s">
        <v>3335</v>
      </c>
      <c r="S3" t="s">
        <v>3336</v>
      </c>
      <c r="T3" t="s">
        <v>3337</v>
      </c>
      <c r="U3">
        <v>-8</v>
      </c>
      <c r="V3" t="s">
        <v>3338</v>
      </c>
    </row>
    <row r="4" spans="1:22" ht="12.75" customHeight="1" x14ac:dyDescent="0.15">
      <c r="A4">
        <v>49</v>
      </c>
      <c r="B4">
        <v>2025</v>
      </c>
      <c r="C4" s="25">
        <v>45996</v>
      </c>
      <c r="D4" t="s">
        <v>19</v>
      </c>
      <c r="E4" t="s">
        <v>20</v>
      </c>
      <c r="F4" t="s">
        <v>21</v>
      </c>
      <c r="G4">
        <v>3.8</v>
      </c>
      <c r="H4" t="s">
        <v>3339</v>
      </c>
      <c r="I4" t="s">
        <v>187</v>
      </c>
      <c r="J4" s="1" t="s">
        <v>188</v>
      </c>
      <c r="K4" t="s">
        <v>181</v>
      </c>
      <c r="L4" t="s">
        <v>3340</v>
      </c>
      <c r="M4">
        <v>78</v>
      </c>
      <c r="N4">
        <v>1.31</v>
      </c>
      <c r="O4" t="s">
        <v>211</v>
      </c>
      <c r="P4">
        <v>72</v>
      </c>
      <c r="R4" t="s">
        <v>3341</v>
      </c>
      <c r="T4" t="s">
        <v>3337</v>
      </c>
      <c r="U4">
        <v>-4</v>
      </c>
      <c r="V4" t="s">
        <v>3342</v>
      </c>
    </row>
    <row r="5" spans="1:22" ht="12.75" customHeight="1" x14ac:dyDescent="0.15">
      <c r="A5">
        <v>49</v>
      </c>
      <c r="B5">
        <v>2025</v>
      </c>
      <c r="C5" s="25">
        <v>45996</v>
      </c>
      <c r="D5" t="s">
        <v>19</v>
      </c>
      <c r="E5" t="s">
        <v>20</v>
      </c>
      <c r="F5" t="s">
        <v>21</v>
      </c>
      <c r="G5">
        <v>3.8</v>
      </c>
      <c r="H5" t="s">
        <v>3339</v>
      </c>
      <c r="I5" t="s">
        <v>187</v>
      </c>
      <c r="J5" s="1" t="s">
        <v>188</v>
      </c>
      <c r="K5" t="s">
        <v>181</v>
      </c>
      <c r="L5" t="s">
        <v>3340</v>
      </c>
      <c r="M5">
        <v>58</v>
      </c>
      <c r="N5">
        <v>1.31</v>
      </c>
      <c r="O5" t="s">
        <v>211</v>
      </c>
      <c r="P5">
        <v>72</v>
      </c>
      <c r="R5" t="s">
        <v>3343</v>
      </c>
      <c r="T5" t="s">
        <v>3337</v>
      </c>
      <c r="U5">
        <v>-4</v>
      </c>
      <c r="V5" t="s">
        <v>3342</v>
      </c>
    </row>
    <row r="6" spans="1:22" ht="12.75" customHeight="1" x14ac:dyDescent="0.15">
      <c r="A6">
        <v>49</v>
      </c>
      <c r="B6">
        <v>2025</v>
      </c>
      <c r="C6" s="25">
        <v>45996</v>
      </c>
      <c r="D6" t="s">
        <v>19</v>
      </c>
      <c r="E6" t="s">
        <v>20</v>
      </c>
      <c r="F6" t="s">
        <v>21</v>
      </c>
      <c r="G6">
        <v>3.8</v>
      </c>
      <c r="H6" t="s">
        <v>3339</v>
      </c>
      <c r="I6" t="s">
        <v>187</v>
      </c>
      <c r="J6" s="1" t="s">
        <v>188</v>
      </c>
      <c r="K6" t="s">
        <v>181</v>
      </c>
      <c r="L6" t="s">
        <v>3333</v>
      </c>
      <c r="M6">
        <v>6</v>
      </c>
      <c r="N6">
        <v>0.75</v>
      </c>
      <c r="O6" t="s">
        <v>3334</v>
      </c>
      <c r="P6">
        <v>61.19</v>
      </c>
      <c r="R6" t="s">
        <v>3335</v>
      </c>
      <c r="S6" t="s">
        <v>3344</v>
      </c>
      <c r="T6" t="s">
        <v>3337</v>
      </c>
      <c r="U6">
        <v>-4</v>
      </c>
      <c r="V6" t="s">
        <v>3345</v>
      </c>
    </row>
    <row r="7" spans="1:22" ht="12.75" customHeight="1" x14ac:dyDescent="0.15">
      <c r="A7">
        <v>49</v>
      </c>
      <c r="B7">
        <v>2025</v>
      </c>
      <c r="C7" s="25">
        <v>45997</v>
      </c>
      <c r="D7" t="s">
        <v>19</v>
      </c>
      <c r="E7" t="s">
        <v>20</v>
      </c>
      <c r="F7" t="s">
        <v>21</v>
      </c>
      <c r="G7">
        <v>3.8</v>
      </c>
      <c r="H7" t="s">
        <v>3346</v>
      </c>
      <c r="I7" t="s">
        <v>212</v>
      </c>
      <c r="J7" s="1" t="s">
        <v>188</v>
      </c>
      <c r="K7" t="s">
        <v>181</v>
      </c>
      <c r="L7" t="s">
        <v>3340</v>
      </c>
      <c r="M7">
        <v>78</v>
      </c>
      <c r="N7">
        <v>0.41</v>
      </c>
      <c r="O7" t="s">
        <v>211</v>
      </c>
      <c r="P7">
        <v>22.5</v>
      </c>
      <c r="R7" t="s">
        <v>3341</v>
      </c>
      <c r="S7" t="s">
        <v>3347</v>
      </c>
      <c r="T7" t="s">
        <v>3337</v>
      </c>
      <c r="U7">
        <v>-3</v>
      </c>
      <c r="V7" t="s">
        <v>3348</v>
      </c>
    </row>
    <row r="8" spans="1:22" ht="12.75" customHeight="1" x14ac:dyDescent="0.15">
      <c r="A8">
        <v>49</v>
      </c>
      <c r="B8">
        <v>2025</v>
      </c>
      <c r="C8" s="25">
        <v>45997</v>
      </c>
      <c r="D8" t="s">
        <v>19</v>
      </c>
      <c r="E8" t="s">
        <v>20</v>
      </c>
      <c r="F8" t="s">
        <v>21</v>
      </c>
      <c r="G8">
        <v>3.8</v>
      </c>
      <c r="H8" t="s">
        <v>3346</v>
      </c>
      <c r="I8" t="s">
        <v>212</v>
      </c>
      <c r="J8" s="1" t="s">
        <v>188</v>
      </c>
      <c r="K8" t="s">
        <v>181</v>
      </c>
      <c r="L8" t="s">
        <v>3340</v>
      </c>
      <c r="M8">
        <v>78</v>
      </c>
      <c r="N8">
        <v>1.82</v>
      </c>
      <c r="O8" t="s">
        <v>211</v>
      </c>
      <c r="P8">
        <v>100</v>
      </c>
      <c r="R8" t="s">
        <v>3341</v>
      </c>
      <c r="S8" t="s">
        <v>3349</v>
      </c>
      <c r="T8" t="s">
        <v>3337</v>
      </c>
      <c r="U8">
        <v>-3</v>
      </c>
      <c r="V8" t="s">
        <v>3350</v>
      </c>
    </row>
    <row r="9" spans="1:22" ht="12.75" customHeight="1" x14ac:dyDescent="0.15">
      <c r="A9">
        <v>49</v>
      </c>
      <c r="B9">
        <v>2025</v>
      </c>
      <c r="C9" s="25">
        <v>45997</v>
      </c>
      <c r="D9" t="s">
        <v>19</v>
      </c>
      <c r="E9" t="s">
        <v>20</v>
      </c>
      <c r="F9" t="s">
        <v>21</v>
      </c>
      <c r="G9">
        <v>3.8</v>
      </c>
      <c r="H9" t="s">
        <v>3339</v>
      </c>
      <c r="I9" t="s">
        <v>187</v>
      </c>
      <c r="J9" s="1" t="s">
        <v>188</v>
      </c>
      <c r="K9" t="s">
        <v>181</v>
      </c>
      <c r="L9" t="s">
        <v>3333</v>
      </c>
      <c r="M9">
        <v>6</v>
      </c>
      <c r="N9">
        <v>0.62</v>
      </c>
      <c r="O9" t="s">
        <v>3334</v>
      </c>
      <c r="P9">
        <v>50.98</v>
      </c>
      <c r="R9" t="s">
        <v>3335</v>
      </c>
      <c r="S9" t="s">
        <v>3351</v>
      </c>
      <c r="T9" t="s">
        <v>3337</v>
      </c>
      <c r="U9">
        <v>-3</v>
      </c>
      <c r="V9" t="s">
        <v>3352</v>
      </c>
    </row>
    <row r="10" spans="1:22" ht="12.75" customHeight="1" x14ac:dyDescent="0.15">
      <c r="A10">
        <v>49</v>
      </c>
      <c r="B10">
        <v>2025</v>
      </c>
      <c r="C10" s="25">
        <v>45997</v>
      </c>
      <c r="D10" t="s">
        <v>19</v>
      </c>
      <c r="E10" t="s">
        <v>20</v>
      </c>
      <c r="F10" t="s">
        <v>21</v>
      </c>
      <c r="G10">
        <v>3.8</v>
      </c>
      <c r="H10" t="s">
        <v>3346</v>
      </c>
      <c r="I10" t="s">
        <v>212</v>
      </c>
      <c r="J10" s="1" t="s">
        <v>188</v>
      </c>
      <c r="K10" t="s">
        <v>181</v>
      </c>
      <c r="L10" t="s">
        <v>3333</v>
      </c>
      <c r="M10">
        <v>6</v>
      </c>
      <c r="N10">
        <v>0.38</v>
      </c>
      <c r="O10" t="s">
        <v>3334</v>
      </c>
      <c r="P10">
        <v>30.6</v>
      </c>
      <c r="R10" t="s">
        <v>3335</v>
      </c>
      <c r="S10" t="s">
        <v>3353</v>
      </c>
      <c r="T10" t="s">
        <v>3337</v>
      </c>
      <c r="U10">
        <v>-3</v>
      </c>
      <c r="V10" t="s">
        <v>3354</v>
      </c>
    </row>
    <row r="11" spans="1:22" ht="12.75" customHeight="1" x14ac:dyDescent="0.15">
      <c r="A11">
        <v>49</v>
      </c>
      <c r="B11">
        <v>2025</v>
      </c>
      <c r="C11" s="25">
        <v>45997</v>
      </c>
      <c r="D11" t="s">
        <v>19</v>
      </c>
      <c r="E11" t="s">
        <v>20</v>
      </c>
      <c r="F11" t="s">
        <v>21</v>
      </c>
      <c r="G11">
        <v>3.8</v>
      </c>
      <c r="H11" t="s">
        <v>3355</v>
      </c>
      <c r="I11" t="s">
        <v>382</v>
      </c>
      <c r="J11" s="1" t="s">
        <v>188</v>
      </c>
      <c r="K11" t="s">
        <v>181</v>
      </c>
      <c r="L11" t="s">
        <v>3340</v>
      </c>
      <c r="M11">
        <v>6</v>
      </c>
      <c r="N11">
        <v>0.18</v>
      </c>
      <c r="O11" t="s">
        <v>211</v>
      </c>
      <c r="P11">
        <v>10</v>
      </c>
      <c r="R11" t="s">
        <v>3335</v>
      </c>
      <c r="S11" t="s">
        <v>3356</v>
      </c>
      <c r="T11" t="s">
        <v>3337</v>
      </c>
      <c r="U11">
        <v>-3</v>
      </c>
      <c r="V11" t="s">
        <v>3357</v>
      </c>
    </row>
    <row r="12" spans="1:22" ht="12.75" customHeight="1" x14ac:dyDescent="0.15">
      <c r="A12">
        <v>49</v>
      </c>
      <c r="B12">
        <v>2025</v>
      </c>
      <c r="C12" s="25">
        <v>45997</v>
      </c>
      <c r="D12" t="s">
        <v>19</v>
      </c>
      <c r="E12" t="s">
        <v>20</v>
      </c>
      <c r="F12" t="s">
        <v>21</v>
      </c>
      <c r="G12">
        <v>3.8</v>
      </c>
      <c r="H12" t="s">
        <v>3355</v>
      </c>
      <c r="I12" t="s">
        <v>382</v>
      </c>
      <c r="J12" s="1" t="s">
        <v>188</v>
      </c>
      <c r="K12" t="s">
        <v>181</v>
      </c>
      <c r="L12" t="s">
        <v>3333</v>
      </c>
      <c r="M12">
        <v>1</v>
      </c>
      <c r="N12">
        <v>0.38</v>
      </c>
      <c r="O12" t="s">
        <v>3358</v>
      </c>
      <c r="P12">
        <v>26.95</v>
      </c>
      <c r="R12" t="s">
        <v>3359</v>
      </c>
      <c r="S12" t="s">
        <v>3353</v>
      </c>
      <c r="T12" t="s">
        <v>3337</v>
      </c>
      <c r="U12">
        <v>-3</v>
      </c>
      <c r="V12" t="s">
        <v>3360</v>
      </c>
    </row>
    <row r="13" spans="1:22" ht="12.75" customHeight="1" x14ac:dyDescent="0.15">
      <c r="A13">
        <v>49</v>
      </c>
      <c r="B13">
        <v>2025</v>
      </c>
      <c r="C13" s="25">
        <v>45999</v>
      </c>
      <c r="D13" t="s">
        <v>19</v>
      </c>
      <c r="E13" t="s">
        <v>20</v>
      </c>
      <c r="F13" t="s">
        <v>21</v>
      </c>
      <c r="G13">
        <v>3.8</v>
      </c>
      <c r="H13" t="s">
        <v>3339</v>
      </c>
      <c r="I13" t="s">
        <v>187</v>
      </c>
      <c r="J13" s="1" t="s">
        <v>188</v>
      </c>
      <c r="K13" t="s">
        <v>181</v>
      </c>
      <c r="L13" t="s">
        <v>3340</v>
      </c>
      <c r="M13">
        <v>1</v>
      </c>
      <c r="N13">
        <v>1</v>
      </c>
      <c r="O13" t="s">
        <v>211</v>
      </c>
      <c r="P13">
        <v>55</v>
      </c>
      <c r="R13" t="s">
        <v>3359</v>
      </c>
      <c r="S13" t="s">
        <v>3361</v>
      </c>
      <c r="T13" t="s">
        <v>3337</v>
      </c>
      <c r="U13">
        <v>-1</v>
      </c>
      <c r="V13" t="s">
        <v>3362</v>
      </c>
    </row>
    <row r="14" spans="1:22" ht="12.75" customHeight="1" x14ac:dyDescent="0.15">
      <c r="A14">
        <v>49</v>
      </c>
      <c r="B14">
        <v>2025</v>
      </c>
      <c r="C14" s="25">
        <v>46000</v>
      </c>
      <c r="D14" t="s">
        <v>19</v>
      </c>
      <c r="E14" t="s">
        <v>20</v>
      </c>
      <c r="F14" t="s">
        <v>21</v>
      </c>
      <c r="G14">
        <v>3.8</v>
      </c>
      <c r="H14" t="s">
        <v>3339</v>
      </c>
      <c r="I14" t="s">
        <v>187</v>
      </c>
      <c r="J14" s="1" t="s">
        <v>188</v>
      </c>
      <c r="K14" t="s">
        <v>181</v>
      </c>
      <c r="L14" t="s">
        <v>3340</v>
      </c>
      <c r="M14">
        <v>6</v>
      </c>
      <c r="N14">
        <v>2.64</v>
      </c>
      <c r="O14" t="s">
        <v>211</v>
      </c>
      <c r="P14">
        <v>145</v>
      </c>
      <c r="R14" t="s">
        <v>3335</v>
      </c>
      <c r="S14" t="s">
        <v>3363</v>
      </c>
      <c r="T14" t="s">
        <v>3337</v>
      </c>
      <c r="U14">
        <v>0</v>
      </c>
      <c r="V14" t="s">
        <v>3364</v>
      </c>
    </row>
    <row r="15" spans="1:22" ht="12.75" customHeight="1" x14ac:dyDescent="0.15">
      <c r="A15">
        <v>49</v>
      </c>
      <c r="B15">
        <v>2025</v>
      </c>
      <c r="C15" s="25">
        <v>46000</v>
      </c>
      <c r="D15" t="s">
        <v>19</v>
      </c>
      <c r="E15" t="s">
        <v>20</v>
      </c>
      <c r="F15" t="s">
        <v>21</v>
      </c>
      <c r="G15">
        <v>3.8</v>
      </c>
      <c r="H15" t="s">
        <v>3346</v>
      </c>
      <c r="I15" t="s">
        <v>212</v>
      </c>
      <c r="J15" s="1" t="s">
        <v>188</v>
      </c>
      <c r="K15" t="s">
        <v>181</v>
      </c>
      <c r="L15" t="s">
        <v>3340</v>
      </c>
      <c r="M15">
        <v>6</v>
      </c>
      <c r="N15">
        <v>2.4500000000000002</v>
      </c>
      <c r="O15" t="s">
        <v>211</v>
      </c>
      <c r="P15">
        <v>135</v>
      </c>
      <c r="R15" t="s">
        <v>3335</v>
      </c>
      <c r="S15" t="s">
        <v>3363</v>
      </c>
      <c r="T15" t="s">
        <v>3337</v>
      </c>
      <c r="U15">
        <v>0</v>
      </c>
      <c r="V15" t="s">
        <v>3365</v>
      </c>
    </row>
    <row r="16" spans="1:22" ht="12.75" customHeight="1" x14ac:dyDescent="0.15">
      <c r="A16">
        <v>50</v>
      </c>
      <c r="B16">
        <v>2025</v>
      </c>
      <c r="C16" s="25">
        <v>46004</v>
      </c>
      <c r="D16" t="s">
        <v>19</v>
      </c>
      <c r="E16" t="s">
        <v>20</v>
      </c>
      <c r="F16" t="s">
        <v>21</v>
      </c>
      <c r="G16">
        <v>3.8</v>
      </c>
      <c r="H16" t="s">
        <v>3346</v>
      </c>
      <c r="I16" t="s">
        <v>212</v>
      </c>
      <c r="J16" s="1" t="s">
        <v>188</v>
      </c>
      <c r="K16" t="s">
        <v>181</v>
      </c>
      <c r="L16" t="s">
        <v>3333</v>
      </c>
      <c r="M16">
        <v>6</v>
      </c>
      <c r="N16">
        <v>0.75</v>
      </c>
      <c r="O16" t="s">
        <v>3334</v>
      </c>
      <c r="P16">
        <v>61.18</v>
      </c>
      <c r="R16" t="s">
        <v>3335</v>
      </c>
      <c r="T16" t="s">
        <v>3337</v>
      </c>
      <c r="U16">
        <v>4</v>
      </c>
      <c r="V16" t="s">
        <v>3345</v>
      </c>
    </row>
    <row r="17" spans="1:22" ht="12.75" customHeight="1" x14ac:dyDescent="0.15">
      <c r="A17">
        <v>50</v>
      </c>
      <c r="B17">
        <v>2025</v>
      </c>
      <c r="C17" s="25">
        <v>46004</v>
      </c>
      <c r="D17" t="s">
        <v>19</v>
      </c>
      <c r="E17" t="s">
        <v>20</v>
      </c>
      <c r="F17" t="s">
        <v>21</v>
      </c>
      <c r="G17">
        <v>3.8</v>
      </c>
      <c r="H17" t="s">
        <v>3366</v>
      </c>
      <c r="I17" t="s">
        <v>3367</v>
      </c>
      <c r="J17" s="1" t="s">
        <v>215</v>
      </c>
      <c r="K17" t="s">
        <v>181</v>
      </c>
      <c r="L17" t="s">
        <v>3340</v>
      </c>
      <c r="M17">
        <v>132</v>
      </c>
      <c r="N17">
        <v>0.56999999999999995</v>
      </c>
      <c r="O17" t="s">
        <v>211</v>
      </c>
      <c r="P17">
        <v>31.43</v>
      </c>
      <c r="R17" t="s">
        <v>3368</v>
      </c>
      <c r="S17" t="s">
        <v>3369</v>
      </c>
      <c r="T17" t="s">
        <v>3337</v>
      </c>
      <c r="U17">
        <v>4</v>
      </c>
      <c r="V17" t="s">
        <v>3370</v>
      </c>
    </row>
    <row r="18" spans="1:22" ht="12.75" customHeight="1" x14ac:dyDescent="0.15">
      <c r="A18">
        <v>50</v>
      </c>
      <c r="B18">
        <v>2025</v>
      </c>
      <c r="C18" s="25">
        <v>46004</v>
      </c>
      <c r="D18" t="s">
        <v>19</v>
      </c>
      <c r="E18" t="s">
        <v>20</v>
      </c>
      <c r="F18" t="s">
        <v>21</v>
      </c>
      <c r="G18">
        <v>3.8</v>
      </c>
      <c r="H18" t="s">
        <v>3366</v>
      </c>
      <c r="I18" t="s">
        <v>3367</v>
      </c>
      <c r="J18" s="1" t="s">
        <v>215</v>
      </c>
      <c r="K18" t="s">
        <v>181</v>
      </c>
      <c r="L18" t="s">
        <v>3340</v>
      </c>
      <c r="M18">
        <v>58</v>
      </c>
      <c r="N18">
        <v>0.21</v>
      </c>
      <c r="O18" t="s">
        <v>211</v>
      </c>
      <c r="P18">
        <v>11.42</v>
      </c>
      <c r="R18" t="s">
        <v>3343</v>
      </c>
      <c r="S18" t="s">
        <v>3371</v>
      </c>
      <c r="T18" t="s">
        <v>3337</v>
      </c>
      <c r="U18">
        <v>4</v>
      </c>
      <c r="V18" t="s">
        <v>3372</v>
      </c>
    </row>
    <row r="19" spans="1:22" ht="12.75" customHeight="1" x14ac:dyDescent="0.15">
      <c r="A19">
        <v>50</v>
      </c>
      <c r="B19">
        <v>2025</v>
      </c>
      <c r="C19" s="25">
        <v>46004</v>
      </c>
      <c r="D19" t="s">
        <v>19</v>
      </c>
      <c r="E19" t="s">
        <v>20</v>
      </c>
      <c r="F19" t="s">
        <v>21</v>
      </c>
      <c r="G19">
        <v>3.8</v>
      </c>
      <c r="H19" t="s">
        <v>3366</v>
      </c>
      <c r="I19" t="s">
        <v>3367</v>
      </c>
      <c r="J19" s="1" t="s">
        <v>215</v>
      </c>
      <c r="K19" t="s">
        <v>181</v>
      </c>
      <c r="L19" t="s">
        <v>3340</v>
      </c>
      <c r="M19">
        <v>53</v>
      </c>
      <c r="N19">
        <v>0.56999999999999995</v>
      </c>
      <c r="O19" t="s">
        <v>211</v>
      </c>
      <c r="P19">
        <v>31.43</v>
      </c>
      <c r="R19" t="s">
        <v>3373</v>
      </c>
      <c r="S19" t="s">
        <v>3369</v>
      </c>
      <c r="T19" t="s">
        <v>3337</v>
      </c>
      <c r="U19">
        <v>4</v>
      </c>
      <c r="V19" t="s">
        <v>3370</v>
      </c>
    </row>
    <row r="20" spans="1:22" ht="12.75" customHeight="1" x14ac:dyDescent="0.15">
      <c r="A20">
        <v>50</v>
      </c>
      <c r="B20">
        <v>2025</v>
      </c>
      <c r="C20" s="25">
        <v>46004</v>
      </c>
      <c r="D20" t="s">
        <v>19</v>
      </c>
      <c r="E20" t="s">
        <v>20</v>
      </c>
      <c r="F20" t="s">
        <v>21</v>
      </c>
      <c r="G20">
        <v>3.8</v>
      </c>
      <c r="H20" t="s">
        <v>3366</v>
      </c>
      <c r="I20" t="s">
        <v>3367</v>
      </c>
      <c r="J20" s="1" t="s">
        <v>215</v>
      </c>
      <c r="K20" t="s">
        <v>181</v>
      </c>
      <c r="L20" t="s">
        <v>3340</v>
      </c>
      <c r="M20">
        <v>81</v>
      </c>
      <c r="N20">
        <v>0.56999999999999995</v>
      </c>
      <c r="O20" t="s">
        <v>211</v>
      </c>
      <c r="P20">
        <v>31.43</v>
      </c>
      <c r="R20" t="s">
        <v>3374</v>
      </c>
      <c r="S20" t="s">
        <v>3369</v>
      </c>
      <c r="T20" t="s">
        <v>3337</v>
      </c>
      <c r="U20">
        <v>4</v>
      </c>
      <c r="V20" t="s">
        <v>3370</v>
      </c>
    </row>
    <row r="21" spans="1:22" ht="12.75" customHeight="1" x14ac:dyDescent="0.15">
      <c r="A21">
        <v>50</v>
      </c>
      <c r="B21">
        <v>2025</v>
      </c>
      <c r="C21" s="25">
        <v>46004</v>
      </c>
      <c r="D21" t="s">
        <v>19</v>
      </c>
      <c r="E21" t="s">
        <v>20</v>
      </c>
      <c r="F21" t="s">
        <v>21</v>
      </c>
      <c r="G21">
        <v>3.8</v>
      </c>
      <c r="H21" t="s">
        <v>3366</v>
      </c>
      <c r="I21" t="s">
        <v>3367</v>
      </c>
      <c r="J21" s="1" t="s">
        <v>215</v>
      </c>
      <c r="K21" t="s">
        <v>181</v>
      </c>
      <c r="L21" t="s">
        <v>3340</v>
      </c>
      <c r="M21">
        <v>62</v>
      </c>
      <c r="N21">
        <v>0.56999999999999995</v>
      </c>
      <c r="O21" t="s">
        <v>211</v>
      </c>
      <c r="P21">
        <v>31.43</v>
      </c>
      <c r="R21" t="s">
        <v>3375</v>
      </c>
      <c r="S21" t="s">
        <v>3369</v>
      </c>
      <c r="T21" t="s">
        <v>3337</v>
      </c>
      <c r="U21">
        <v>4</v>
      </c>
      <c r="V21" t="s">
        <v>3370</v>
      </c>
    </row>
    <row r="22" spans="1:22" ht="12.75" customHeight="1" x14ac:dyDescent="0.15">
      <c r="A22">
        <v>50</v>
      </c>
      <c r="B22">
        <v>2025</v>
      </c>
      <c r="C22" s="25">
        <v>46004</v>
      </c>
      <c r="D22" t="s">
        <v>19</v>
      </c>
      <c r="E22" t="s">
        <v>20</v>
      </c>
      <c r="F22" t="s">
        <v>21</v>
      </c>
      <c r="G22">
        <v>3.8</v>
      </c>
      <c r="H22" t="s">
        <v>3366</v>
      </c>
      <c r="I22" t="s">
        <v>3367</v>
      </c>
      <c r="J22" s="1" t="s">
        <v>215</v>
      </c>
      <c r="K22" t="s">
        <v>181</v>
      </c>
      <c r="L22" t="s">
        <v>3340</v>
      </c>
      <c r="M22">
        <v>121</v>
      </c>
      <c r="N22">
        <v>0.56999999999999995</v>
      </c>
      <c r="O22" t="s">
        <v>211</v>
      </c>
      <c r="P22">
        <v>31.43</v>
      </c>
      <c r="R22" t="s">
        <v>3376</v>
      </c>
      <c r="S22" t="s">
        <v>3369</v>
      </c>
      <c r="T22" t="s">
        <v>3337</v>
      </c>
      <c r="U22">
        <v>4</v>
      </c>
      <c r="V22" t="s">
        <v>3370</v>
      </c>
    </row>
    <row r="23" spans="1:22" ht="12.75" customHeight="1" x14ac:dyDescent="0.15">
      <c r="A23">
        <v>50</v>
      </c>
      <c r="B23">
        <v>2025</v>
      </c>
      <c r="C23" s="25">
        <v>46004</v>
      </c>
      <c r="D23" t="s">
        <v>19</v>
      </c>
      <c r="E23" t="s">
        <v>20</v>
      </c>
      <c r="F23" t="s">
        <v>21</v>
      </c>
      <c r="G23">
        <v>3.8</v>
      </c>
      <c r="H23" t="s">
        <v>3366</v>
      </c>
      <c r="I23" t="s">
        <v>3367</v>
      </c>
      <c r="J23" s="1" t="s">
        <v>215</v>
      </c>
      <c r="K23" t="s">
        <v>181</v>
      </c>
      <c r="L23" t="s">
        <v>3340</v>
      </c>
      <c r="M23">
        <v>45</v>
      </c>
      <c r="N23">
        <v>0.56999999999999995</v>
      </c>
      <c r="O23" t="s">
        <v>211</v>
      </c>
      <c r="P23">
        <v>31.43</v>
      </c>
      <c r="R23" t="s">
        <v>3377</v>
      </c>
      <c r="S23" t="s">
        <v>3369</v>
      </c>
      <c r="T23" t="s">
        <v>3337</v>
      </c>
      <c r="U23">
        <v>4</v>
      </c>
      <c r="V23" t="s">
        <v>3370</v>
      </c>
    </row>
    <row r="24" spans="1:22" ht="12.75" customHeight="1" x14ac:dyDescent="0.15">
      <c r="A24">
        <v>50</v>
      </c>
      <c r="B24">
        <v>2025</v>
      </c>
      <c r="C24" s="25">
        <v>46007</v>
      </c>
      <c r="D24" t="s">
        <v>19</v>
      </c>
      <c r="E24" t="s">
        <v>20</v>
      </c>
      <c r="F24" t="s">
        <v>21</v>
      </c>
      <c r="G24">
        <v>3.8</v>
      </c>
      <c r="H24" t="s">
        <v>3378</v>
      </c>
      <c r="I24" t="s">
        <v>214</v>
      </c>
      <c r="J24" s="1" t="s">
        <v>215</v>
      </c>
      <c r="K24" t="s">
        <v>181</v>
      </c>
      <c r="L24" t="s">
        <v>3340</v>
      </c>
      <c r="M24">
        <v>53</v>
      </c>
      <c r="N24">
        <v>0.51</v>
      </c>
      <c r="O24" t="s">
        <v>211</v>
      </c>
      <c r="P24">
        <v>28</v>
      </c>
      <c r="R24" t="s">
        <v>3373</v>
      </c>
      <c r="S24" t="s">
        <v>3379</v>
      </c>
      <c r="T24" t="s">
        <v>3337</v>
      </c>
      <c r="U24">
        <v>7</v>
      </c>
      <c r="V24" t="s">
        <v>3380</v>
      </c>
    </row>
    <row r="25" spans="1:22" ht="12.75" customHeight="1" x14ac:dyDescent="0.15">
      <c r="A25">
        <v>50</v>
      </c>
      <c r="B25">
        <v>2025</v>
      </c>
      <c r="C25" s="25">
        <v>46007</v>
      </c>
      <c r="D25" t="s">
        <v>19</v>
      </c>
      <c r="E25" t="s">
        <v>20</v>
      </c>
      <c r="F25" t="s">
        <v>21</v>
      </c>
      <c r="G25">
        <v>3.8</v>
      </c>
      <c r="H25" t="s">
        <v>3378</v>
      </c>
      <c r="I25" t="s">
        <v>214</v>
      </c>
      <c r="J25" s="1" t="s">
        <v>215</v>
      </c>
      <c r="K25" t="s">
        <v>181</v>
      </c>
      <c r="L25" t="s">
        <v>3340</v>
      </c>
      <c r="M25">
        <v>81</v>
      </c>
      <c r="N25">
        <v>0.51</v>
      </c>
      <c r="O25" t="s">
        <v>211</v>
      </c>
      <c r="P25">
        <v>28</v>
      </c>
      <c r="R25" t="s">
        <v>3374</v>
      </c>
      <c r="S25" t="s">
        <v>3379</v>
      </c>
      <c r="T25" t="s">
        <v>3337</v>
      </c>
      <c r="U25">
        <v>7</v>
      </c>
      <c r="V25" t="s">
        <v>3380</v>
      </c>
    </row>
    <row r="26" spans="1:22" ht="12.75" customHeight="1" x14ac:dyDescent="0.15">
      <c r="A26">
        <v>50</v>
      </c>
      <c r="B26">
        <v>2025</v>
      </c>
      <c r="C26" s="25">
        <v>46007</v>
      </c>
      <c r="D26" t="s">
        <v>19</v>
      </c>
      <c r="E26" t="s">
        <v>20</v>
      </c>
      <c r="F26" t="s">
        <v>21</v>
      </c>
      <c r="G26">
        <v>3.8</v>
      </c>
      <c r="H26" t="s">
        <v>3378</v>
      </c>
      <c r="I26" t="s">
        <v>214</v>
      </c>
      <c r="J26" s="1" t="s">
        <v>215</v>
      </c>
      <c r="K26" t="s">
        <v>181</v>
      </c>
      <c r="L26" t="s">
        <v>3340</v>
      </c>
      <c r="M26">
        <v>121</v>
      </c>
      <c r="N26">
        <v>0.51</v>
      </c>
      <c r="O26" t="s">
        <v>211</v>
      </c>
      <c r="P26">
        <v>28</v>
      </c>
      <c r="R26" t="s">
        <v>3376</v>
      </c>
      <c r="S26" t="s">
        <v>3379</v>
      </c>
      <c r="T26" t="s">
        <v>3337</v>
      </c>
      <c r="U26">
        <v>7</v>
      </c>
      <c r="V26" t="s">
        <v>3380</v>
      </c>
    </row>
    <row r="27" spans="1:22" ht="12.75" customHeight="1" x14ac:dyDescent="0.15">
      <c r="A27">
        <v>50</v>
      </c>
      <c r="B27">
        <v>2025</v>
      </c>
      <c r="C27" s="25">
        <v>46007</v>
      </c>
      <c r="D27" t="s">
        <v>19</v>
      </c>
      <c r="E27" t="s">
        <v>20</v>
      </c>
      <c r="F27" t="s">
        <v>21</v>
      </c>
      <c r="G27">
        <v>3.8</v>
      </c>
      <c r="H27" t="s">
        <v>3378</v>
      </c>
      <c r="I27" t="s">
        <v>214</v>
      </c>
      <c r="J27" s="1" t="s">
        <v>215</v>
      </c>
      <c r="K27" t="s">
        <v>181</v>
      </c>
      <c r="L27" t="s">
        <v>3340</v>
      </c>
      <c r="M27">
        <v>58</v>
      </c>
      <c r="N27">
        <v>0.51</v>
      </c>
      <c r="O27" t="s">
        <v>211</v>
      </c>
      <c r="P27">
        <v>28</v>
      </c>
      <c r="R27" t="s">
        <v>3343</v>
      </c>
      <c r="S27" t="s">
        <v>3379</v>
      </c>
      <c r="T27" t="s">
        <v>3337</v>
      </c>
      <c r="U27">
        <v>7</v>
      </c>
      <c r="V27" t="s">
        <v>3380</v>
      </c>
    </row>
    <row r="28" spans="1:22" ht="12.75" customHeight="1" x14ac:dyDescent="0.15">
      <c r="A28">
        <v>50</v>
      </c>
      <c r="B28">
        <v>2025</v>
      </c>
      <c r="C28" s="25">
        <v>46007</v>
      </c>
      <c r="D28" t="s">
        <v>19</v>
      </c>
      <c r="E28" t="s">
        <v>20</v>
      </c>
      <c r="F28" t="s">
        <v>21</v>
      </c>
      <c r="G28">
        <v>3.8</v>
      </c>
      <c r="H28" t="s">
        <v>3378</v>
      </c>
      <c r="I28" t="s">
        <v>214</v>
      </c>
      <c r="J28" s="1" t="s">
        <v>215</v>
      </c>
      <c r="K28" t="s">
        <v>181</v>
      </c>
      <c r="L28" t="s">
        <v>3340</v>
      </c>
      <c r="M28">
        <v>45</v>
      </c>
      <c r="N28">
        <v>0.22</v>
      </c>
      <c r="O28" t="s">
        <v>211</v>
      </c>
      <c r="P28">
        <v>12</v>
      </c>
      <c r="R28" t="s">
        <v>3377</v>
      </c>
      <c r="S28" t="s">
        <v>3379</v>
      </c>
      <c r="T28" t="s">
        <v>3337</v>
      </c>
      <c r="U28">
        <v>7</v>
      </c>
      <c r="V28" t="s">
        <v>3381</v>
      </c>
    </row>
    <row r="29" spans="1:22" ht="12.75" customHeight="1" x14ac:dyDescent="0.15">
      <c r="A29">
        <v>50</v>
      </c>
      <c r="B29">
        <v>2025</v>
      </c>
      <c r="C29" s="25">
        <v>46007</v>
      </c>
      <c r="D29" t="s">
        <v>19</v>
      </c>
      <c r="E29" t="s">
        <v>20</v>
      </c>
      <c r="F29" t="s">
        <v>21</v>
      </c>
      <c r="G29">
        <v>3.8</v>
      </c>
      <c r="H29" t="s">
        <v>3378</v>
      </c>
      <c r="I29" t="s">
        <v>214</v>
      </c>
      <c r="J29" s="1" t="s">
        <v>215</v>
      </c>
      <c r="K29" t="s">
        <v>181</v>
      </c>
      <c r="L29" t="s">
        <v>3340</v>
      </c>
      <c r="M29">
        <v>132</v>
      </c>
      <c r="N29">
        <v>0.51</v>
      </c>
      <c r="O29" t="s">
        <v>211</v>
      </c>
      <c r="P29">
        <v>28</v>
      </c>
      <c r="R29" t="s">
        <v>3368</v>
      </c>
      <c r="S29" t="s">
        <v>3379</v>
      </c>
      <c r="T29" t="s">
        <v>3337</v>
      </c>
      <c r="U29">
        <v>7</v>
      </c>
      <c r="V29" t="s">
        <v>3380</v>
      </c>
    </row>
    <row r="30" spans="1:22" ht="12.75" customHeight="1" x14ac:dyDescent="0.15">
      <c r="A30">
        <v>50</v>
      </c>
      <c r="B30">
        <v>2025</v>
      </c>
      <c r="C30" s="25">
        <v>46009</v>
      </c>
      <c r="D30" t="s">
        <v>19</v>
      </c>
      <c r="E30" t="s">
        <v>20</v>
      </c>
      <c r="F30" t="s">
        <v>21</v>
      </c>
      <c r="G30">
        <v>3.8</v>
      </c>
      <c r="H30" t="s">
        <v>3378</v>
      </c>
      <c r="I30" t="s">
        <v>214</v>
      </c>
      <c r="J30" s="1" t="s">
        <v>215</v>
      </c>
      <c r="K30" t="s">
        <v>181</v>
      </c>
      <c r="L30" t="s">
        <v>3340</v>
      </c>
      <c r="M30">
        <v>132</v>
      </c>
      <c r="N30">
        <v>0.46</v>
      </c>
      <c r="O30" t="s">
        <v>211</v>
      </c>
      <c r="P30">
        <v>25.33</v>
      </c>
      <c r="R30" t="s">
        <v>3368</v>
      </c>
      <c r="T30" t="s">
        <v>3337</v>
      </c>
      <c r="U30">
        <v>9</v>
      </c>
      <c r="V30" t="s">
        <v>3382</v>
      </c>
    </row>
    <row r="31" spans="1:22" ht="12.75" customHeight="1" x14ac:dyDescent="0.15">
      <c r="A31">
        <v>50</v>
      </c>
      <c r="B31">
        <v>2025</v>
      </c>
      <c r="C31" s="25">
        <v>46009</v>
      </c>
      <c r="D31" t="s">
        <v>19</v>
      </c>
      <c r="E31" t="s">
        <v>20</v>
      </c>
      <c r="F31" t="s">
        <v>21</v>
      </c>
      <c r="G31">
        <v>3.8</v>
      </c>
      <c r="H31" t="s">
        <v>3378</v>
      </c>
      <c r="I31" t="s">
        <v>214</v>
      </c>
      <c r="J31" s="1" t="s">
        <v>215</v>
      </c>
      <c r="K31" t="s">
        <v>181</v>
      </c>
      <c r="L31" t="s">
        <v>3340</v>
      </c>
      <c r="M31">
        <v>53</v>
      </c>
      <c r="N31">
        <v>0.46</v>
      </c>
      <c r="O31" t="s">
        <v>211</v>
      </c>
      <c r="P31">
        <v>25.33</v>
      </c>
      <c r="R31" t="s">
        <v>3373</v>
      </c>
      <c r="T31" t="s">
        <v>3337</v>
      </c>
      <c r="U31">
        <v>9</v>
      </c>
      <c r="V31" t="s">
        <v>3382</v>
      </c>
    </row>
    <row r="32" spans="1:22" ht="12.75" customHeight="1" x14ac:dyDescent="0.15">
      <c r="A32">
        <v>50</v>
      </c>
      <c r="B32">
        <v>2025</v>
      </c>
      <c r="C32" s="25">
        <v>46009</v>
      </c>
      <c r="D32" t="s">
        <v>19</v>
      </c>
      <c r="E32" t="s">
        <v>20</v>
      </c>
      <c r="F32" t="s">
        <v>21</v>
      </c>
      <c r="G32">
        <v>3.8</v>
      </c>
      <c r="H32" t="s">
        <v>3378</v>
      </c>
      <c r="I32" t="s">
        <v>214</v>
      </c>
      <c r="J32" s="1" t="s">
        <v>215</v>
      </c>
      <c r="K32" t="s">
        <v>181</v>
      </c>
      <c r="L32" t="s">
        <v>3340</v>
      </c>
      <c r="M32">
        <v>121</v>
      </c>
      <c r="N32">
        <v>0.46</v>
      </c>
      <c r="O32" t="s">
        <v>211</v>
      </c>
      <c r="P32">
        <v>25.33</v>
      </c>
      <c r="R32" t="s">
        <v>3376</v>
      </c>
      <c r="T32" t="s">
        <v>3337</v>
      </c>
      <c r="U32">
        <v>9</v>
      </c>
      <c r="V32" t="s">
        <v>3382</v>
      </c>
    </row>
    <row r="33" spans="1:22" ht="12.75" customHeight="1" x14ac:dyDescent="0.15">
      <c r="A33">
        <v>50</v>
      </c>
      <c r="B33">
        <v>2025</v>
      </c>
      <c r="C33" s="25">
        <v>46009</v>
      </c>
      <c r="D33" t="s">
        <v>19</v>
      </c>
      <c r="E33" t="s">
        <v>20</v>
      </c>
      <c r="F33" t="s">
        <v>21</v>
      </c>
      <c r="G33">
        <v>3.8</v>
      </c>
      <c r="H33" t="s">
        <v>3378</v>
      </c>
      <c r="I33" t="s">
        <v>214</v>
      </c>
      <c r="J33" s="1" t="s">
        <v>215</v>
      </c>
      <c r="K33" t="s">
        <v>181</v>
      </c>
      <c r="L33" t="s">
        <v>3340</v>
      </c>
      <c r="M33">
        <v>81</v>
      </c>
      <c r="N33">
        <v>0.46</v>
      </c>
      <c r="O33" t="s">
        <v>211</v>
      </c>
      <c r="P33">
        <v>25.33</v>
      </c>
      <c r="R33" t="s">
        <v>3374</v>
      </c>
      <c r="T33" t="s">
        <v>3337</v>
      </c>
      <c r="U33">
        <v>9</v>
      </c>
      <c r="V33" t="s">
        <v>3382</v>
      </c>
    </row>
    <row r="34" spans="1:22" ht="12.75" customHeight="1" x14ac:dyDescent="0.15">
      <c r="A34">
        <v>50</v>
      </c>
      <c r="B34">
        <v>2025</v>
      </c>
      <c r="C34" s="25">
        <v>46009</v>
      </c>
      <c r="D34" t="s">
        <v>19</v>
      </c>
      <c r="E34" t="s">
        <v>20</v>
      </c>
      <c r="F34" t="s">
        <v>21</v>
      </c>
      <c r="G34">
        <v>3.8</v>
      </c>
      <c r="H34" t="s">
        <v>3378</v>
      </c>
      <c r="I34" t="s">
        <v>214</v>
      </c>
      <c r="J34" s="1" t="s">
        <v>215</v>
      </c>
      <c r="K34" t="s">
        <v>181</v>
      </c>
      <c r="L34" t="s">
        <v>3340</v>
      </c>
      <c r="M34">
        <v>58</v>
      </c>
      <c r="N34">
        <v>0.46</v>
      </c>
      <c r="O34" t="s">
        <v>211</v>
      </c>
      <c r="P34">
        <v>25.33</v>
      </c>
      <c r="R34" t="s">
        <v>3343</v>
      </c>
      <c r="T34" t="s">
        <v>3337</v>
      </c>
      <c r="U34">
        <v>9</v>
      </c>
      <c r="V34" t="s">
        <v>3382</v>
      </c>
    </row>
    <row r="35" spans="1:22" ht="12.75" customHeight="1" x14ac:dyDescent="0.15">
      <c r="A35">
        <v>50</v>
      </c>
      <c r="B35">
        <v>2025</v>
      </c>
      <c r="C35" s="25">
        <v>46009</v>
      </c>
      <c r="D35" t="s">
        <v>19</v>
      </c>
      <c r="E35" t="s">
        <v>20</v>
      </c>
      <c r="F35" t="s">
        <v>21</v>
      </c>
      <c r="G35">
        <v>3.8</v>
      </c>
      <c r="H35" t="s">
        <v>3378</v>
      </c>
      <c r="I35" t="s">
        <v>214</v>
      </c>
      <c r="J35" s="1" t="s">
        <v>215</v>
      </c>
      <c r="K35" t="s">
        <v>181</v>
      </c>
      <c r="L35" t="s">
        <v>3340</v>
      </c>
      <c r="M35">
        <v>45</v>
      </c>
      <c r="N35">
        <v>0.46</v>
      </c>
      <c r="O35" t="s">
        <v>211</v>
      </c>
      <c r="P35">
        <v>25.33</v>
      </c>
      <c r="R35" t="s">
        <v>3377</v>
      </c>
      <c r="T35" t="s">
        <v>3337</v>
      </c>
      <c r="U35">
        <v>9</v>
      </c>
      <c r="V35" t="s">
        <v>3382</v>
      </c>
    </row>
    <row r="36" spans="1:22" ht="12.75" customHeight="1" x14ac:dyDescent="0.15">
      <c r="A36">
        <v>52</v>
      </c>
      <c r="B36">
        <v>2025</v>
      </c>
      <c r="C36" s="25">
        <v>46020</v>
      </c>
      <c r="D36" t="s">
        <v>19</v>
      </c>
      <c r="E36" t="s">
        <v>20</v>
      </c>
      <c r="F36" t="s">
        <v>21</v>
      </c>
      <c r="G36">
        <v>3.8</v>
      </c>
      <c r="H36" t="s">
        <v>3378</v>
      </c>
      <c r="I36" t="s">
        <v>214</v>
      </c>
      <c r="J36" s="1" t="s">
        <v>215</v>
      </c>
      <c r="K36" t="s">
        <v>181</v>
      </c>
      <c r="L36" t="s">
        <v>3340</v>
      </c>
      <c r="M36">
        <v>58</v>
      </c>
      <c r="N36">
        <v>0.39</v>
      </c>
      <c r="O36" t="s">
        <v>211</v>
      </c>
      <c r="P36">
        <v>21.71</v>
      </c>
      <c r="R36" t="s">
        <v>3343</v>
      </c>
      <c r="S36" t="s">
        <v>3383</v>
      </c>
      <c r="T36" t="s">
        <v>3337</v>
      </c>
      <c r="U36">
        <v>20</v>
      </c>
      <c r="V36" t="s">
        <v>3384</v>
      </c>
    </row>
    <row r="37" spans="1:22" ht="12.75" customHeight="1" x14ac:dyDescent="0.15">
      <c r="A37">
        <v>52</v>
      </c>
      <c r="B37">
        <v>2025</v>
      </c>
      <c r="C37" s="25">
        <v>46020</v>
      </c>
      <c r="D37" t="s">
        <v>19</v>
      </c>
      <c r="E37" t="s">
        <v>20</v>
      </c>
      <c r="F37" t="s">
        <v>21</v>
      </c>
      <c r="G37">
        <v>3.8</v>
      </c>
      <c r="H37" t="s">
        <v>3378</v>
      </c>
      <c r="I37" t="s">
        <v>214</v>
      </c>
      <c r="J37" s="1" t="s">
        <v>215</v>
      </c>
      <c r="K37" t="s">
        <v>181</v>
      </c>
      <c r="L37" t="s">
        <v>3340</v>
      </c>
      <c r="M37">
        <v>53</v>
      </c>
      <c r="N37">
        <v>0.39</v>
      </c>
      <c r="O37" t="s">
        <v>211</v>
      </c>
      <c r="P37">
        <v>21.71</v>
      </c>
      <c r="R37" t="s">
        <v>3373</v>
      </c>
      <c r="S37" t="s">
        <v>3383</v>
      </c>
      <c r="T37" t="s">
        <v>3337</v>
      </c>
      <c r="U37">
        <v>20</v>
      </c>
      <c r="V37" t="s">
        <v>3384</v>
      </c>
    </row>
    <row r="38" spans="1:22" ht="12.75" customHeight="1" x14ac:dyDescent="0.15">
      <c r="A38">
        <v>52</v>
      </c>
      <c r="B38">
        <v>2025</v>
      </c>
      <c r="C38" s="25">
        <v>46020</v>
      </c>
      <c r="D38" t="s">
        <v>19</v>
      </c>
      <c r="E38" t="s">
        <v>20</v>
      </c>
      <c r="F38" t="s">
        <v>21</v>
      </c>
      <c r="G38">
        <v>3.8</v>
      </c>
      <c r="H38" t="s">
        <v>3378</v>
      </c>
      <c r="I38" t="s">
        <v>214</v>
      </c>
      <c r="J38" s="1" t="s">
        <v>215</v>
      </c>
      <c r="K38" t="s">
        <v>181</v>
      </c>
      <c r="L38" t="s">
        <v>3340</v>
      </c>
      <c r="M38">
        <v>45</v>
      </c>
      <c r="N38">
        <v>0.39</v>
      </c>
      <c r="O38" t="s">
        <v>211</v>
      </c>
      <c r="P38">
        <v>21.71</v>
      </c>
      <c r="R38" t="s">
        <v>3377</v>
      </c>
      <c r="S38" t="s">
        <v>3383</v>
      </c>
      <c r="T38" t="s">
        <v>3337</v>
      </c>
      <c r="U38">
        <v>20</v>
      </c>
      <c r="V38" t="s">
        <v>3384</v>
      </c>
    </row>
    <row r="39" spans="1:22" ht="12.75" customHeight="1" x14ac:dyDescent="0.15">
      <c r="A39">
        <v>52</v>
      </c>
      <c r="B39">
        <v>2025</v>
      </c>
      <c r="C39" s="25">
        <v>46020</v>
      </c>
      <c r="D39" t="s">
        <v>19</v>
      </c>
      <c r="E39" t="s">
        <v>20</v>
      </c>
      <c r="F39" t="s">
        <v>21</v>
      </c>
      <c r="G39">
        <v>3.8</v>
      </c>
      <c r="H39" t="s">
        <v>3378</v>
      </c>
      <c r="I39" t="s">
        <v>214</v>
      </c>
      <c r="J39" s="1" t="s">
        <v>215</v>
      </c>
      <c r="K39" t="s">
        <v>181</v>
      </c>
      <c r="L39" t="s">
        <v>3340</v>
      </c>
      <c r="M39">
        <v>62</v>
      </c>
      <c r="N39">
        <v>0.39</v>
      </c>
      <c r="O39" t="s">
        <v>211</v>
      </c>
      <c r="P39">
        <v>21.71</v>
      </c>
      <c r="R39" t="s">
        <v>3375</v>
      </c>
      <c r="S39" t="s">
        <v>3383</v>
      </c>
      <c r="T39" t="s">
        <v>3337</v>
      </c>
      <c r="U39">
        <v>20</v>
      </c>
      <c r="V39" t="s">
        <v>3384</v>
      </c>
    </row>
    <row r="40" spans="1:22" ht="12.75" customHeight="1" x14ac:dyDescent="0.15">
      <c r="A40">
        <v>52</v>
      </c>
      <c r="B40">
        <v>2025</v>
      </c>
      <c r="C40" s="25">
        <v>46020</v>
      </c>
      <c r="D40" t="s">
        <v>19</v>
      </c>
      <c r="E40" t="s">
        <v>20</v>
      </c>
      <c r="F40" t="s">
        <v>21</v>
      </c>
      <c r="G40">
        <v>3.8</v>
      </c>
      <c r="H40" t="s">
        <v>3378</v>
      </c>
      <c r="I40" t="s">
        <v>214</v>
      </c>
      <c r="J40" s="1" t="s">
        <v>215</v>
      </c>
      <c r="K40" t="s">
        <v>181</v>
      </c>
      <c r="L40" t="s">
        <v>3340</v>
      </c>
      <c r="M40">
        <v>132</v>
      </c>
      <c r="N40">
        <v>0.39</v>
      </c>
      <c r="O40" t="s">
        <v>211</v>
      </c>
      <c r="P40">
        <v>21.71</v>
      </c>
      <c r="R40" t="s">
        <v>3368</v>
      </c>
      <c r="S40" t="s">
        <v>3383</v>
      </c>
      <c r="T40" t="s">
        <v>3337</v>
      </c>
      <c r="U40">
        <v>20</v>
      </c>
      <c r="V40" t="s">
        <v>3384</v>
      </c>
    </row>
    <row r="41" spans="1:22" ht="12.75" customHeight="1" x14ac:dyDescent="0.15">
      <c r="A41">
        <v>52</v>
      </c>
      <c r="B41">
        <v>2025</v>
      </c>
      <c r="C41" s="25">
        <v>46020</v>
      </c>
      <c r="D41" t="s">
        <v>19</v>
      </c>
      <c r="E41" t="s">
        <v>20</v>
      </c>
      <c r="F41" t="s">
        <v>21</v>
      </c>
      <c r="G41">
        <v>3.8</v>
      </c>
      <c r="H41" t="s">
        <v>3378</v>
      </c>
      <c r="I41" t="s">
        <v>214</v>
      </c>
      <c r="J41" s="1" t="s">
        <v>215</v>
      </c>
      <c r="K41" t="s">
        <v>181</v>
      </c>
      <c r="L41" t="s">
        <v>3340</v>
      </c>
      <c r="M41">
        <v>121</v>
      </c>
      <c r="N41">
        <v>0.39</v>
      </c>
      <c r="O41" t="s">
        <v>211</v>
      </c>
      <c r="P41">
        <v>21.71</v>
      </c>
      <c r="R41" t="s">
        <v>3376</v>
      </c>
      <c r="S41" t="s">
        <v>3383</v>
      </c>
      <c r="T41" t="s">
        <v>3337</v>
      </c>
      <c r="U41">
        <v>20</v>
      </c>
      <c r="V41" t="s">
        <v>3384</v>
      </c>
    </row>
    <row r="42" spans="1:22" ht="12.75" customHeight="1" x14ac:dyDescent="0.15">
      <c r="A42">
        <v>52</v>
      </c>
      <c r="B42">
        <v>2025</v>
      </c>
      <c r="C42" s="25">
        <v>46020</v>
      </c>
      <c r="D42" t="s">
        <v>19</v>
      </c>
      <c r="E42" t="s">
        <v>20</v>
      </c>
      <c r="F42" t="s">
        <v>21</v>
      </c>
      <c r="G42">
        <v>3.8</v>
      </c>
      <c r="H42" t="s">
        <v>3378</v>
      </c>
      <c r="I42" t="s">
        <v>214</v>
      </c>
      <c r="J42" s="1" t="s">
        <v>215</v>
      </c>
      <c r="K42" t="s">
        <v>181</v>
      </c>
      <c r="L42" t="s">
        <v>3340</v>
      </c>
      <c r="M42">
        <v>81</v>
      </c>
      <c r="N42">
        <v>0.39</v>
      </c>
      <c r="O42" t="s">
        <v>211</v>
      </c>
      <c r="P42">
        <v>21.71</v>
      </c>
      <c r="R42" t="s">
        <v>3374</v>
      </c>
      <c r="S42" t="s">
        <v>3383</v>
      </c>
      <c r="T42" t="s">
        <v>3337</v>
      </c>
      <c r="U42">
        <v>20</v>
      </c>
      <c r="V42" t="s">
        <v>3384</v>
      </c>
    </row>
    <row r="43" spans="1:22" ht="12.75" customHeight="1" x14ac:dyDescent="0.15">
      <c r="A43">
        <v>1</v>
      </c>
      <c r="B43">
        <v>2026</v>
      </c>
      <c r="C43" s="25">
        <v>46030</v>
      </c>
      <c r="D43" t="s">
        <v>19</v>
      </c>
      <c r="E43" t="s">
        <v>20</v>
      </c>
      <c r="F43" t="s">
        <v>21</v>
      </c>
      <c r="G43">
        <v>3.8</v>
      </c>
      <c r="H43" t="s">
        <v>3385</v>
      </c>
      <c r="I43" t="s">
        <v>344</v>
      </c>
      <c r="J43" s="1" t="s">
        <v>207</v>
      </c>
      <c r="K43" t="s">
        <v>181</v>
      </c>
      <c r="L43" t="s">
        <v>3340</v>
      </c>
      <c r="M43">
        <v>86</v>
      </c>
      <c r="N43">
        <v>0.9</v>
      </c>
      <c r="O43" t="s">
        <v>211</v>
      </c>
      <c r="P43">
        <v>49.5</v>
      </c>
      <c r="Q43">
        <v>5.5</v>
      </c>
      <c r="R43" t="s">
        <v>3386</v>
      </c>
      <c r="T43" t="s">
        <v>3337</v>
      </c>
      <c r="U43">
        <v>30</v>
      </c>
      <c r="V43" t="s">
        <v>3387</v>
      </c>
    </row>
    <row r="44" spans="1:22" ht="12.75" customHeight="1" x14ac:dyDescent="0.15">
      <c r="A44">
        <v>2</v>
      </c>
      <c r="B44">
        <v>2026</v>
      </c>
      <c r="C44" s="25">
        <v>46032</v>
      </c>
      <c r="D44" t="s">
        <v>19</v>
      </c>
      <c r="E44" t="s">
        <v>20</v>
      </c>
      <c r="F44" t="s">
        <v>21</v>
      </c>
      <c r="G44">
        <v>3.8</v>
      </c>
      <c r="H44" t="s">
        <v>3388</v>
      </c>
      <c r="I44" t="s">
        <v>349</v>
      </c>
      <c r="J44" s="1" t="s">
        <v>3389</v>
      </c>
      <c r="K44" t="s">
        <v>181</v>
      </c>
      <c r="L44" t="s">
        <v>3340</v>
      </c>
      <c r="M44">
        <v>86</v>
      </c>
      <c r="N44">
        <v>1.06</v>
      </c>
      <c r="O44" t="s">
        <v>211</v>
      </c>
      <c r="P44">
        <v>58.5</v>
      </c>
      <c r="Q44">
        <v>6.5</v>
      </c>
      <c r="R44" t="s">
        <v>3386</v>
      </c>
      <c r="T44" t="s">
        <v>3337</v>
      </c>
      <c r="U44">
        <v>32</v>
      </c>
      <c r="V44" t="s">
        <v>3390</v>
      </c>
    </row>
    <row r="45" spans="1:22" ht="12.75" customHeight="1" x14ac:dyDescent="0.15">
      <c r="A45">
        <v>2</v>
      </c>
      <c r="B45">
        <v>2026</v>
      </c>
      <c r="C45" s="25">
        <v>46033</v>
      </c>
      <c r="D45" t="s">
        <v>19</v>
      </c>
      <c r="E45" t="s">
        <v>20</v>
      </c>
      <c r="F45" t="s">
        <v>21</v>
      </c>
      <c r="G45">
        <v>3.8</v>
      </c>
      <c r="H45" t="s">
        <v>3391</v>
      </c>
      <c r="I45" t="s">
        <v>353</v>
      </c>
      <c r="J45" s="1" t="s">
        <v>253</v>
      </c>
      <c r="K45" t="s">
        <v>181</v>
      </c>
      <c r="L45" t="s">
        <v>3340</v>
      </c>
      <c r="M45">
        <v>86</v>
      </c>
      <c r="N45">
        <v>6</v>
      </c>
      <c r="O45" t="s">
        <v>211</v>
      </c>
      <c r="P45">
        <v>330</v>
      </c>
      <c r="R45" t="s">
        <v>3386</v>
      </c>
      <c r="S45" t="s">
        <v>3392</v>
      </c>
      <c r="T45" t="s">
        <v>3337</v>
      </c>
      <c r="U45">
        <v>33</v>
      </c>
      <c r="V45" t="s">
        <v>3393</v>
      </c>
    </row>
    <row r="46" spans="1:22" ht="12.75" customHeight="1" x14ac:dyDescent="0.15">
      <c r="A46">
        <v>2</v>
      </c>
      <c r="B46">
        <v>2026</v>
      </c>
      <c r="C46" s="25">
        <v>46034</v>
      </c>
      <c r="D46" t="s">
        <v>19</v>
      </c>
      <c r="E46" t="s">
        <v>20</v>
      </c>
      <c r="F46" t="s">
        <v>21</v>
      </c>
      <c r="G46">
        <v>3.8</v>
      </c>
      <c r="H46" t="s">
        <v>3394</v>
      </c>
      <c r="I46" t="s">
        <v>3395</v>
      </c>
      <c r="J46" s="1" t="s">
        <v>26</v>
      </c>
      <c r="K46" t="s">
        <v>181</v>
      </c>
      <c r="L46" t="s">
        <v>3340</v>
      </c>
      <c r="M46">
        <v>86</v>
      </c>
      <c r="N46">
        <v>0.82</v>
      </c>
      <c r="O46" t="s">
        <v>211</v>
      </c>
      <c r="P46">
        <v>45</v>
      </c>
      <c r="Q46">
        <v>5</v>
      </c>
      <c r="R46" t="s">
        <v>3386</v>
      </c>
      <c r="T46" t="s">
        <v>3337</v>
      </c>
      <c r="U46">
        <v>34</v>
      </c>
      <c r="V46" t="s">
        <v>3396</v>
      </c>
    </row>
    <row r="47" spans="1:22" ht="12.75" customHeight="1" x14ac:dyDescent="0.15">
      <c r="A47">
        <v>2</v>
      </c>
      <c r="B47">
        <v>2026</v>
      </c>
      <c r="C47" s="25">
        <v>46034</v>
      </c>
      <c r="D47" t="s">
        <v>19</v>
      </c>
      <c r="E47" t="s">
        <v>20</v>
      </c>
      <c r="F47" t="s">
        <v>21</v>
      </c>
      <c r="G47">
        <v>3.8</v>
      </c>
      <c r="H47" t="s">
        <v>3397</v>
      </c>
      <c r="I47" t="s">
        <v>3398</v>
      </c>
      <c r="J47" s="1" t="s">
        <v>3389</v>
      </c>
      <c r="K47" t="s">
        <v>181</v>
      </c>
      <c r="L47" t="s">
        <v>3340</v>
      </c>
      <c r="M47">
        <v>86</v>
      </c>
      <c r="N47">
        <v>0.65</v>
      </c>
      <c r="O47" t="s">
        <v>211</v>
      </c>
      <c r="P47">
        <v>36</v>
      </c>
      <c r="Q47">
        <v>4</v>
      </c>
      <c r="R47" t="s">
        <v>3386</v>
      </c>
      <c r="T47" t="s">
        <v>3337</v>
      </c>
      <c r="U47">
        <v>34</v>
      </c>
      <c r="V47" t="s">
        <v>3399</v>
      </c>
    </row>
    <row r="48" spans="1:22" ht="12.75" customHeight="1" x14ac:dyDescent="0.15">
      <c r="A48">
        <v>2</v>
      </c>
      <c r="B48">
        <v>2026</v>
      </c>
      <c r="C48" s="25">
        <v>46034</v>
      </c>
      <c r="D48" t="s">
        <v>19</v>
      </c>
      <c r="E48" t="s">
        <v>20</v>
      </c>
      <c r="F48" t="s">
        <v>21</v>
      </c>
      <c r="G48">
        <v>3.8</v>
      </c>
      <c r="H48" t="s">
        <v>3400</v>
      </c>
      <c r="I48" t="s">
        <v>353</v>
      </c>
      <c r="J48" s="1" t="s">
        <v>253</v>
      </c>
      <c r="K48" t="s">
        <v>181</v>
      </c>
      <c r="L48" t="s">
        <v>3333</v>
      </c>
      <c r="M48">
        <v>79</v>
      </c>
      <c r="N48">
        <v>0.38</v>
      </c>
      <c r="O48" t="s">
        <v>3334</v>
      </c>
      <c r="P48">
        <v>30.59</v>
      </c>
      <c r="Q48">
        <v>3</v>
      </c>
      <c r="R48" t="s">
        <v>3401</v>
      </c>
      <c r="T48" t="s">
        <v>3402</v>
      </c>
      <c r="U48">
        <v>34</v>
      </c>
      <c r="V48" t="s">
        <v>3354</v>
      </c>
    </row>
    <row r="49" spans="1:22" ht="12.75" customHeight="1" x14ac:dyDescent="0.15">
      <c r="A49">
        <v>2</v>
      </c>
      <c r="B49">
        <v>2026</v>
      </c>
      <c r="C49" s="25">
        <v>46034</v>
      </c>
      <c r="D49" t="s">
        <v>19</v>
      </c>
      <c r="E49" t="s">
        <v>20</v>
      </c>
      <c r="F49" t="s">
        <v>21</v>
      </c>
      <c r="G49">
        <v>3.8</v>
      </c>
      <c r="H49" t="s">
        <v>3400</v>
      </c>
      <c r="I49" t="s">
        <v>353</v>
      </c>
      <c r="J49" s="1" t="s">
        <v>253</v>
      </c>
      <c r="K49" t="s">
        <v>181</v>
      </c>
      <c r="L49" t="s">
        <v>3333</v>
      </c>
      <c r="M49">
        <v>19</v>
      </c>
      <c r="N49">
        <v>0.38</v>
      </c>
      <c r="O49" t="s">
        <v>3334</v>
      </c>
      <c r="P49">
        <v>30.59</v>
      </c>
      <c r="Q49">
        <v>3</v>
      </c>
      <c r="R49" t="s">
        <v>3403</v>
      </c>
      <c r="T49" t="s">
        <v>3402</v>
      </c>
      <c r="U49">
        <v>34</v>
      </c>
      <c r="V49" t="s">
        <v>3354</v>
      </c>
    </row>
    <row r="50" spans="1:22" ht="12.75" customHeight="1" x14ac:dyDescent="0.15">
      <c r="A50">
        <v>2</v>
      </c>
      <c r="B50">
        <v>2026</v>
      </c>
      <c r="C50" s="25">
        <v>46034</v>
      </c>
      <c r="D50" t="s">
        <v>19</v>
      </c>
      <c r="E50" t="s">
        <v>20</v>
      </c>
      <c r="F50" t="s">
        <v>21</v>
      </c>
      <c r="G50">
        <v>3.8</v>
      </c>
      <c r="H50" t="s">
        <v>3400</v>
      </c>
      <c r="I50" t="s">
        <v>353</v>
      </c>
      <c r="J50" s="1" t="s">
        <v>253</v>
      </c>
      <c r="K50" t="s">
        <v>181</v>
      </c>
      <c r="L50" t="s">
        <v>3333</v>
      </c>
      <c r="M50">
        <v>67</v>
      </c>
      <c r="N50">
        <v>0.38</v>
      </c>
      <c r="O50" t="s">
        <v>3334</v>
      </c>
      <c r="P50">
        <v>30.59</v>
      </c>
      <c r="Q50">
        <v>3</v>
      </c>
      <c r="R50" t="s">
        <v>3404</v>
      </c>
      <c r="T50" t="s">
        <v>3402</v>
      </c>
      <c r="U50">
        <v>34</v>
      </c>
      <c r="V50" t="s">
        <v>3354</v>
      </c>
    </row>
    <row r="51" spans="1:22" ht="12.75" customHeight="1" x14ac:dyDescent="0.15">
      <c r="A51">
        <v>2</v>
      </c>
      <c r="B51">
        <v>2026</v>
      </c>
      <c r="C51" s="25">
        <v>46034</v>
      </c>
      <c r="D51" t="s">
        <v>19</v>
      </c>
      <c r="E51" t="s">
        <v>20</v>
      </c>
      <c r="F51" t="s">
        <v>21</v>
      </c>
      <c r="G51">
        <v>3.8</v>
      </c>
      <c r="H51" t="s">
        <v>3400</v>
      </c>
      <c r="I51" t="s">
        <v>353</v>
      </c>
      <c r="J51" s="1" t="s">
        <v>253</v>
      </c>
      <c r="K51" t="s">
        <v>181</v>
      </c>
      <c r="L51" t="s">
        <v>3340</v>
      </c>
      <c r="M51">
        <v>78</v>
      </c>
      <c r="N51">
        <v>0.49</v>
      </c>
      <c r="O51" t="s">
        <v>211</v>
      </c>
      <c r="P51">
        <v>27</v>
      </c>
      <c r="Q51">
        <v>3</v>
      </c>
      <c r="R51" t="s">
        <v>3341</v>
      </c>
      <c r="T51" t="s">
        <v>3402</v>
      </c>
      <c r="U51">
        <v>34</v>
      </c>
      <c r="V51" t="s">
        <v>3405</v>
      </c>
    </row>
    <row r="52" spans="1:22" ht="12.75" customHeight="1" x14ac:dyDescent="0.15">
      <c r="A52">
        <v>2</v>
      </c>
      <c r="B52">
        <v>2026</v>
      </c>
      <c r="C52" s="25">
        <v>46034</v>
      </c>
      <c r="D52" t="s">
        <v>19</v>
      </c>
      <c r="E52" t="s">
        <v>20</v>
      </c>
      <c r="F52" t="s">
        <v>21</v>
      </c>
      <c r="G52">
        <v>3.8</v>
      </c>
      <c r="H52" t="s">
        <v>3400</v>
      </c>
      <c r="I52" t="s">
        <v>353</v>
      </c>
      <c r="J52" s="1" t="s">
        <v>253</v>
      </c>
      <c r="K52" t="s">
        <v>181</v>
      </c>
      <c r="L52" t="s">
        <v>3340</v>
      </c>
      <c r="M52">
        <v>49</v>
      </c>
      <c r="N52">
        <v>0.49</v>
      </c>
      <c r="O52" t="s">
        <v>211</v>
      </c>
      <c r="P52">
        <v>27</v>
      </c>
      <c r="Q52">
        <v>3</v>
      </c>
      <c r="R52" t="s">
        <v>3406</v>
      </c>
      <c r="T52" t="s">
        <v>3402</v>
      </c>
      <c r="U52">
        <v>34</v>
      </c>
      <c r="V52" t="s">
        <v>3405</v>
      </c>
    </row>
    <row r="53" spans="1:22" ht="12.75" customHeight="1" x14ac:dyDescent="0.15">
      <c r="A53">
        <v>2</v>
      </c>
      <c r="B53">
        <v>2026</v>
      </c>
      <c r="C53" s="25">
        <v>46034</v>
      </c>
      <c r="D53" t="s">
        <v>19</v>
      </c>
      <c r="E53" t="s">
        <v>20</v>
      </c>
      <c r="F53" t="s">
        <v>21</v>
      </c>
      <c r="G53">
        <v>3.8</v>
      </c>
      <c r="H53" t="s">
        <v>3400</v>
      </c>
      <c r="I53" t="s">
        <v>353</v>
      </c>
      <c r="J53" s="1" t="s">
        <v>253</v>
      </c>
      <c r="K53" t="s">
        <v>181</v>
      </c>
      <c r="L53" t="s">
        <v>3340</v>
      </c>
      <c r="M53">
        <v>43</v>
      </c>
      <c r="N53">
        <v>0.49</v>
      </c>
      <c r="O53" t="s">
        <v>211</v>
      </c>
      <c r="P53">
        <v>27</v>
      </c>
      <c r="Q53">
        <v>3</v>
      </c>
      <c r="R53" t="s">
        <v>3407</v>
      </c>
      <c r="T53" t="s">
        <v>3402</v>
      </c>
      <c r="U53">
        <v>34</v>
      </c>
      <c r="V53" t="s">
        <v>3405</v>
      </c>
    </row>
    <row r="54" spans="1:22" ht="12.75" customHeight="1" x14ac:dyDescent="0.15">
      <c r="A54">
        <v>2</v>
      </c>
      <c r="B54">
        <v>2026</v>
      </c>
      <c r="C54" s="25">
        <v>46036</v>
      </c>
      <c r="D54" t="s">
        <v>19</v>
      </c>
      <c r="E54" t="s">
        <v>20</v>
      </c>
      <c r="F54" t="s">
        <v>21</v>
      </c>
      <c r="G54">
        <v>3.8</v>
      </c>
      <c r="H54" t="s">
        <v>3408</v>
      </c>
      <c r="I54" t="s">
        <v>366</v>
      </c>
      <c r="J54" s="1" t="s">
        <v>215</v>
      </c>
      <c r="K54" t="s">
        <v>181</v>
      </c>
      <c r="L54" t="s">
        <v>3340</v>
      </c>
      <c r="M54">
        <v>132</v>
      </c>
      <c r="N54">
        <v>1.01</v>
      </c>
      <c r="O54" t="s">
        <v>211</v>
      </c>
      <c r="P54">
        <v>55.71</v>
      </c>
      <c r="R54" t="s">
        <v>3368</v>
      </c>
      <c r="T54" t="s">
        <v>3337</v>
      </c>
      <c r="U54">
        <v>36</v>
      </c>
      <c r="V54" t="s">
        <v>3409</v>
      </c>
    </row>
    <row r="55" spans="1:22" ht="12.75" customHeight="1" x14ac:dyDescent="0.15">
      <c r="A55">
        <v>2</v>
      </c>
      <c r="B55">
        <v>2026</v>
      </c>
      <c r="C55" s="25">
        <v>46036</v>
      </c>
      <c r="D55" t="s">
        <v>19</v>
      </c>
      <c r="E55" t="s">
        <v>20</v>
      </c>
      <c r="F55" t="s">
        <v>21</v>
      </c>
      <c r="G55">
        <v>3.8</v>
      </c>
      <c r="H55" t="s">
        <v>3408</v>
      </c>
      <c r="I55" t="s">
        <v>366</v>
      </c>
      <c r="J55" s="1" t="s">
        <v>215</v>
      </c>
      <c r="K55" t="s">
        <v>181</v>
      </c>
      <c r="L55" t="s">
        <v>3340</v>
      </c>
      <c r="M55">
        <v>45</v>
      </c>
      <c r="N55">
        <v>1.01</v>
      </c>
      <c r="O55" t="s">
        <v>211</v>
      </c>
      <c r="P55">
        <v>55.71</v>
      </c>
      <c r="R55" t="s">
        <v>3377</v>
      </c>
      <c r="T55" t="s">
        <v>3337</v>
      </c>
      <c r="U55">
        <v>36</v>
      </c>
      <c r="V55" t="s">
        <v>3409</v>
      </c>
    </row>
    <row r="56" spans="1:22" ht="12.75" customHeight="1" x14ac:dyDescent="0.15">
      <c r="A56">
        <v>2</v>
      </c>
      <c r="B56">
        <v>2026</v>
      </c>
      <c r="C56" s="25">
        <v>46036</v>
      </c>
      <c r="D56" t="s">
        <v>19</v>
      </c>
      <c r="E56" t="s">
        <v>20</v>
      </c>
      <c r="F56" t="s">
        <v>21</v>
      </c>
      <c r="G56">
        <v>3.8</v>
      </c>
      <c r="H56" t="s">
        <v>3408</v>
      </c>
      <c r="I56" t="s">
        <v>366</v>
      </c>
      <c r="J56" s="1" t="s">
        <v>215</v>
      </c>
      <c r="K56" t="s">
        <v>181</v>
      </c>
      <c r="L56" t="s">
        <v>3340</v>
      </c>
      <c r="M56">
        <v>81</v>
      </c>
      <c r="N56">
        <v>1.01</v>
      </c>
      <c r="O56" t="s">
        <v>211</v>
      </c>
      <c r="P56">
        <v>55.71</v>
      </c>
      <c r="R56" t="s">
        <v>3374</v>
      </c>
      <c r="T56" t="s">
        <v>3337</v>
      </c>
      <c r="U56">
        <v>36</v>
      </c>
      <c r="V56" t="s">
        <v>3409</v>
      </c>
    </row>
    <row r="57" spans="1:22" ht="12.75" customHeight="1" x14ac:dyDescent="0.15">
      <c r="A57">
        <v>2</v>
      </c>
      <c r="B57">
        <v>2026</v>
      </c>
      <c r="C57" s="25">
        <v>46036</v>
      </c>
      <c r="D57" t="s">
        <v>19</v>
      </c>
      <c r="E57" t="s">
        <v>20</v>
      </c>
      <c r="F57" t="s">
        <v>21</v>
      </c>
      <c r="G57">
        <v>3.8</v>
      </c>
      <c r="H57" t="s">
        <v>3408</v>
      </c>
      <c r="I57" t="s">
        <v>366</v>
      </c>
      <c r="J57" s="1" t="s">
        <v>215</v>
      </c>
      <c r="K57" t="s">
        <v>181</v>
      </c>
      <c r="L57" t="s">
        <v>3340</v>
      </c>
      <c r="M57">
        <v>121</v>
      </c>
      <c r="N57">
        <v>1.01</v>
      </c>
      <c r="O57" t="s">
        <v>211</v>
      </c>
      <c r="P57">
        <v>55.71</v>
      </c>
      <c r="R57" t="s">
        <v>3376</v>
      </c>
      <c r="T57" t="s">
        <v>3337</v>
      </c>
      <c r="U57">
        <v>36</v>
      </c>
      <c r="V57" t="s">
        <v>3409</v>
      </c>
    </row>
    <row r="58" spans="1:22" ht="12.75" customHeight="1" x14ac:dyDescent="0.15">
      <c r="A58">
        <v>2</v>
      </c>
      <c r="B58">
        <v>2026</v>
      </c>
      <c r="C58" s="25">
        <v>46036</v>
      </c>
      <c r="D58" t="s">
        <v>19</v>
      </c>
      <c r="E58" t="s">
        <v>20</v>
      </c>
      <c r="F58" t="s">
        <v>21</v>
      </c>
      <c r="G58">
        <v>3.8</v>
      </c>
      <c r="H58" t="s">
        <v>3408</v>
      </c>
      <c r="I58" t="s">
        <v>366</v>
      </c>
      <c r="J58" s="1" t="s">
        <v>215</v>
      </c>
      <c r="K58" t="s">
        <v>181</v>
      </c>
      <c r="L58" t="s">
        <v>3340</v>
      </c>
      <c r="M58">
        <v>53</v>
      </c>
      <c r="N58">
        <v>1.01</v>
      </c>
      <c r="O58" t="s">
        <v>211</v>
      </c>
      <c r="P58">
        <v>55.71</v>
      </c>
      <c r="R58" t="s">
        <v>3373</v>
      </c>
      <c r="T58" t="s">
        <v>3337</v>
      </c>
      <c r="U58">
        <v>36</v>
      </c>
      <c r="V58" t="s">
        <v>3409</v>
      </c>
    </row>
    <row r="59" spans="1:22" ht="12.75" customHeight="1" x14ac:dyDescent="0.15">
      <c r="A59">
        <v>2</v>
      </c>
      <c r="B59">
        <v>2026</v>
      </c>
      <c r="C59" s="25">
        <v>46036</v>
      </c>
      <c r="D59" t="s">
        <v>19</v>
      </c>
      <c r="E59" t="s">
        <v>20</v>
      </c>
      <c r="F59" t="s">
        <v>21</v>
      </c>
      <c r="G59">
        <v>3.8</v>
      </c>
      <c r="H59" t="s">
        <v>3408</v>
      </c>
      <c r="I59" t="s">
        <v>366</v>
      </c>
      <c r="J59" s="1" t="s">
        <v>215</v>
      </c>
      <c r="K59" t="s">
        <v>181</v>
      </c>
      <c r="L59" t="s">
        <v>3340</v>
      </c>
      <c r="M59">
        <v>62</v>
      </c>
      <c r="N59">
        <v>1.01</v>
      </c>
      <c r="O59" t="s">
        <v>211</v>
      </c>
      <c r="P59">
        <v>55.71</v>
      </c>
      <c r="R59" t="s">
        <v>3375</v>
      </c>
      <c r="T59" t="s">
        <v>3337</v>
      </c>
      <c r="U59">
        <v>36</v>
      </c>
      <c r="V59" t="s">
        <v>3409</v>
      </c>
    </row>
    <row r="60" spans="1:22" ht="12.75" customHeight="1" x14ac:dyDescent="0.15">
      <c r="A60">
        <v>2</v>
      </c>
      <c r="B60">
        <v>2026</v>
      </c>
      <c r="C60" s="25">
        <v>46036</v>
      </c>
      <c r="D60" t="s">
        <v>19</v>
      </c>
      <c r="E60" t="s">
        <v>20</v>
      </c>
      <c r="F60" t="s">
        <v>21</v>
      </c>
      <c r="G60">
        <v>3.8</v>
      </c>
      <c r="H60" t="s">
        <v>3408</v>
      </c>
      <c r="I60" t="s">
        <v>366</v>
      </c>
      <c r="J60" s="1" t="s">
        <v>215</v>
      </c>
      <c r="K60" t="s">
        <v>181</v>
      </c>
      <c r="L60" t="s">
        <v>3340</v>
      </c>
      <c r="M60">
        <v>58</v>
      </c>
      <c r="N60">
        <v>1.01</v>
      </c>
      <c r="O60" t="s">
        <v>211</v>
      </c>
      <c r="P60">
        <v>55.71</v>
      </c>
      <c r="R60" t="s">
        <v>3343</v>
      </c>
      <c r="T60" t="s">
        <v>3337</v>
      </c>
      <c r="U60">
        <v>36</v>
      </c>
      <c r="V60" t="s">
        <v>3409</v>
      </c>
    </row>
    <row r="61" spans="1:22" ht="12.75" customHeight="1" x14ac:dyDescent="0.15">
      <c r="A61">
        <v>2</v>
      </c>
      <c r="B61">
        <v>2026</v>
      </c>
      <c r="C61" s="25">
        <v>46036</v>
      </c>
      <c r="D61" t="s">
        <v>19</v>
      </c>
      <c r="E61" t="s">
        <v>20</v>
      </c>
      <c r="F61" t="s">
        <v>21</v>
      </c>
      <c r="G61">
        <v>3.8</v>
      </c>
      <c r="H61" t="s">
        <v>3400</v>
      </c>
      <c r="I61" t="s">
        <v>353</v>
      </c>
      <c r="J61" s="1" t="s">
        <v>253</v>
      </c>
      <c r="K61" t="s">
        <v>181</v>
      </c>
      <c r="L61" t="s">
        <v>3340</v>
      </c>
      <c r="N61">
        <v>0.82</v>
      </c>
      <c r="O61" t="s">
        <v>211</v>
      </c>
      <c r="P61">
        <v>45</v>
      </c>
      <c r="Q61">
        <v>5</v>
      </c>
      <c r="R61" t="s">
        <v>3406</v>
      </c>
      <c r="T61" t="s">
        <v>3402</v>
      </c>
      <c r="U61">
        <v>36</v>
      </c>
      <c r="V61" t="s">
        <v>3396</v>
      </c>
    </row>
    <row r="62" spans="1:22" ht="12.75" customHeight="1" x14ac:dyDescent="0.15">
      <c r="A62">
        <v>2</v>
      </c>
      <c r="B62">
        <v>2026</v>
      </c>
      <c r="C62" s="25">
        <v>46036</v>
      </c>
      <c r="D62" t="s">
        <v>19</v>
      </c>
      <c r="E62" t="s">
        <v>20</v>
      </c>
      <c r="F62" t="s">
        <v>21</v>
      </c>
      <c r="G62">
        <v>3.8</v>
      </c>
      <c r="H62" t="s">
        <v>3400</v>
      </c>
      <c r="I62" t="s">
        <v>353</v>
      </c>
      <c r="J62" s="1" t="s">
        <v>253</v>
      </c>
      <c r="K62" t="s">
        <v>181</v>
      </c>
      <c r="L62" t="s">
        <v>3340</v>
      </c>
      <c r="N62">
        <v>0.98</v>
      </c>
      <c r="O62" t="s">
        <v>211</v>
      </c>
      <c r="P62">
        <v>54</v>
      </c>
      <c r="Q62">
        <v>6</v>
      </c>
      <c r="R62" t="s">
        <v>3410</v>
      </c>
      <c r="T62" t="s">
        <v>3402</v>
      </c>
      <c r="U62">
        <v>36</v>
      </c>
      <c r="V62" t="s">
        <v>3411</v>
      </c>
    </row>
    <row r="63" spans="1:22" ht="12.75" customHeight="1" x14ac:dyDescent="0.15">
      <c r="A63">
        <v>2</v>
      </c>
      <c r="B63">
        <v>2026</v>
      </c>
      <c r="C63" s="25">
        <v>46036</v>
      </c>
      <c r="D63" t="s">
        <v>19</v>
      </c>
      <c r="E63" t="s">
        <v>20</v>
      </c>
      <c r="F63" t="s">
        <v>21</v>
      </c>
      <c r="G63">
        <v>3.8</v>
      </c>
      <c r="H63" t="s">
        <v>3400</v>
      </c>
      <c r="I63" t="s">
        <v>353</v>
      </c>
      <c r="J63" s="1" t="s">
        <v>253</v>
      </c>
      <c r="K63" t="s">
        <v>181</v>
      </c>
      <c r="L63" t="s">
        <v>3333</v>
      </c>
      <c r="M63">
        <v>91</v>
      </c>
      <c r="N63">
        <v>0.5</v>
      </c>
      <c r="O63" t="s">
        <v>3334</v>
      </c>
      <c r="P63">
        <v>40.79</v>
      </c>
      <c r="Q63">
        <v>4</v>
      </c>
      <c r="R63" t="s">
        <v>3412</v>
      </c>
      <c r="T63" t="s">
        <v>3402</v>
      </c>
      <c r="U63">
        <v>36</v>
      </c>
      <c r="V63" t="s">
        <v>3338</v>
      </c>
    </row>
    <row r="64" spans="1:22" ht="12.75" customHeight="1" x14ac:dyDescent="0.15">
      <c r="A64">
        <v>2</v>
      </c>
      <c r="B64">
        <v>2026</v>
      </c>
      <c r="C64" s="25">
        <v>46036</v>
      </c>
      <c r="D64" t="s">
        <v>19</v>
      </c>
      <c r="E64" t="s">
        <v>20</v>
      </c>
      <c r="F64" t="s">
        <v>21</v>
      </c>
      <c r="G64">
        <v>3.8</v>
      </c>
      <c r="H64" t="s">
        <v>3400</v>
      </c>
      <c r="I64" t="s">
        <v>353</v>
      </c>
      <c r="J64" s="1" t="s">
        <v>253</v>
      </c>
      <c r="K64" t="s">
        <v>181</v>
      </c>
      <c r="L64" t="s">
        <v>3333</v>
      </c>
      <c r="M64">
        <v>19</v>
      </c>
      <c r="N64">
        <v>0.63</v>
      </c>
      <c r="O64" t="s">
        <v>3334</v>
      </c>
      <c r="P64">
        <v>50.99</v>
      </c>
      <c r="Q64">
        <v>5</v>
      </c>
      <c r="R64" t="s">
        <v>3403</v>
      </c>
      <c r="T64" t="s">
        <v>3402</v>
      </c>
      <c r="U64">
        <v>36</v>
      </c>
      <c r="V64" t="s">
        <v>3352</v>
      </c>
    </row>
    <row r="65" spans="1:22" ht="12.75" customHeight="1" x14ac:dyDescent="0.15">
      <c r="A65">
        <v>2</v>
      </c>
      <c r="B65">
        <v>2026</v>
      </c>
      <c r="C65" s="25">
        <v>46036</v>
      </c>
      <c r="D65" t="s">
        <v>19</v>
      </c>
      <c r="E65" t="s">
        <v>20</v>
      </c>
      <c r="F65" t="s">
        <v>21</v>
      </c>
      <c r="G65">
        <v>3.8</v>
      </c>
      <c r="H65" t="s">
        <v>3400</v>
      </c>
      <c r="I65" t="s">
        <v>353</v>
      </c>
      <c r="J65" s="1" t="s">
        <v>253</v>
      </c>
      <c r="K65" t="s">
        <v>181</v>
      </c>
      <c r="L65" t="s">
        <v>3333</v>
      </c>
      <c r="M65">
        <v>67</v>
      </c>
      <c r="N65">
        <v>0.63</v>
      </c>
      <c r="O65" t="s">
        <v>3334</v>
      </c>
      <c r="P65">
        <v>50.99</v>
      </c>
      <c r="Q65">
        <v>5</v>
      </c>
      <c r="R65" t="s">
        <v>3404</v>
      </c>
      <c r="T65" t="s">
        <v>3402</v>
      </c>
      <c r="U65">
        <v>36</v>
      </c>
      <c r="V65" t="s">
        <v>3352</v>
      </c>
    </row>
    <row r="66" spans="1:22" ht="12.75" customHeight="1" x14ac:dyDescent="0.15">
      <c r="A66">
        <v>2</v>
      </c>
      <c r="B66">
        <v>2026</v>
      </c>
      <c r="C66" s="25">
        <v>46036</v>
      </c>
      <c r="D66" t="s">
        <v>19</v>
      </c>
      <c r="E66" t="s">
        <v>20</v>
      </c>
      <c r="F66" t="s">
        <v>21</v>
      </c>
      <c r="G66">
        <v>3.8</v>
      </c>
      <c r="H66" t="s">
        <v>3400</v>
      </c>
      <c r="I66" t="s">
        <v>353</v>
      </c>
      <c r="J66" s="1" t="s">
        <v>253</v>
      </c>
      <c r="K66" t="s">
        <v>181</v>
      </c>
      <c r="L66" t="s">
        <v>3333</v>
      </c>
      <c r="M66">
        <v>79</v>
      </c>
      <c r="N66">
        <v>0.63</v>
      </c>
      <c r="O66" t="s">
        <v>3334</v>
      </c>
      <c r="P66">
        <v>50.99</v>
      </c>
      <c r="Q66">
        <v>5</v>
      </c>
      <c r="R66" t="s">
        <v>3401</v>
      </c>
      <c r="T66" t="s">
        <v>3402</v>
      </c>
      <c r="U66">
        <v>36</v>
      </c>
      <c r="V66" t="s">
        <v>3352</v>
      </c>
    </row>
    <row r="67" spans="1:22" ht="12.75" customHeight="1" x14ac:dyDescent="0.15">
      <c r="A67">
        <v>2</v>
      </c>
      <c r="B67">
        <v>2026</v>
      </c>
      <c r="C67" s="25">
        <v>46036</v>
      </c>
      <c r="D67" t="s">
        <v>19</v>
      </c>
      <c r="E67" t="s">
        <v>20</v>
      </c>
      <c r="F67" t="s">
        <v>21</v>
      </c>
      <c r="G67">
        <v>3.8</v>
      </c>
      <c r="H67" t="s">
        <v>3400</v>
      </c>
      <c r="I67" t="s">
        <v>353</v>
      </c>
      <c r="J67" s="1" t="s">
        <v>253</v>
      </c>
      <c r="K67" t="s">
        <v>181</v>
      </c>
      <c r="L67" t="s">
        <v>3340</v>
      </c>
      <c r="M67">
        <v>25</v>
      </c>
      <c r="N67">
        <v>0.82</v>
      </c>
      <c r="O67" t="s">
        <v>211</v>
      </c>
      <c r="P67">
        <v>45</v>
      </c>
      <c r="Q67">
        <v>5</v>
      </c>
      <c r="R67" t="s">
        <v>3413</v>
      </c>
      <c r="T67" t="s">
        <v>3402</v>
      </c>
      <c r="U67">
        <v>36</v>
      </c>
      <c r="V67" t="s">
        <v>3396</v>
      </c>
    </row>
    <row r="68" spans="1:22" ht="12.75" customHeight="1" x14ac:dyDescent="0.15">
      <c r="A68">
        <v>2</v>
      </c>
      <c r="B68">
        <v>2026</v>
      </c>
      <c r="C68" s="25">
        <v>46036</v>
      </c>
      <c r="D68" t="s">
        <v>19</v>
      </c>
      <c r="E68" t="s">
        <v>20</v>
      </c>
      <c r="F68" t="s">
        <v>21</v>
      </c>
      <c r="G68">
        <v>3.8</v>
      </c>
      <c r="H68" t="s">
        <v>3400</v>
      </c>
      <c r="I68" t="s">
        <v>353</v>
      </c>
      <c r="J68" s="1" t="s">
        <v>253</v>
      </c>
      <c r="K68" t="s">
        <v>181</v>
      </c>
      <c r="L68" t="s">
        <v>3340</v>
      </c>
      <c r="M68">
        <v>43</v>
      </c>
      <c r="N68">
        <v>0.82</v>
      </c>
      <c r="O68" t="s">
        <v>211</v>
      </c>
      <c r="P68">
        <v>45</v>
      </c>
      <c r="Q68">
        <v>5</v>
      </c>
      <c r="R68" t="s">
        <v>3407</v>
      </c>
      <c r="T68" t="s">
        <v>3402</v>
      </c>
      <c r="U68">
        <v>36</v>
      </c>
      <c r="V68" t="s">
        <v>3396</v>
      </c>
    </row>
    <row r="69" spans="1:22" ht="12.75" customHeight="1" x14ac:dyDescent="0.15">
      <c r="A69">
        <v>2</v>
      </c>
      <c r="B69">
        <v>2026</v>
      </c>
      <c r="C69" s="25">
        <v>46036</v>
      </c>
      <c r="D69" t="s">
        <v>19</v>
      </c>
      <c r="E69" t="s">
        <v>20</v>
      </c>
      <c r="F69" t="s">
        <v>21</v>
      </c>
      <c r="G69">
        <v>3.8</v>
      </c>
      <c r="H69" t="s">
        <v>3400</v>
      </c>
      <c r="I69" t="s">
        <v>353</v>
      </c>
      <c r="J69" s="1" t="s">
        <v>253</v>
      </c>
      <c r="K69" t="s">
        <v>181</v>
      </c>
      <c r="L69" t="s">
        <v>3340</v>
      </c>
      <c r="M69">
        <v>78</v>
      </c>
      <c r="N69">
        <v>0.33</v>
      </c>
      <c r="O69" t="s">
        <v>211</v>
      </c>
      <c r="P69">
        <v>18</v>
      </c>
      <c r="Q69">
        <v>2</v>
      </c>
      <c r="R69" t="s">
        <v>3341</v>
      </c>
      <c r="T69" t="s">
        <v>3402</v>
      </c>
      <c r="U69">
        <v>36</v>
      </c>
      <c r="V69" t="s">
        <v>3414</v>
      </c>
    </row>
    <row r="70" spans="1:22" ht="12.75" customHeight="1" x14ac:dyDescent="0.15">
      <c r="A70">
        <v>2</v>
      </c>
      <c r="B70">
        <v>2026</v>
      </c>
      <c r="C70" s="25">
        <v>46036</v>
      </c>
      <c r="D70" t="s">
        <v>19</v>
      </c>
      <c r="E70" t="s">
        <v>20</v>
      </c>
      <c r="F70" t="s">
        <v>21</v>
      </c>
      <c r="G70">
        <v>3.8</v>
      </c>
      <c r="H70" t="s">
        <v>3400</v>
      </c>
      <c r="I70" t="s">
        <v>353</v>
      </c>
      <c r="J70" s="1" t="s">
        <v>253</v>
      </c>
      <c r="K70" t="s">
        <v>181</v>
      </c>
      <c r="L70" t="s">
        <v>3340</v>
      </c>
      <c r="N70">
        <v>0.49</v>
      </c>
      <c r="O70" t="s">
        <v>211</v>
      </c>
      <c r="P70">
        <v>27</v>
      </c>
      <c r="Q70">
        <v>3</v>
      </c>
      <c r="R70" t="s">
        <v>3406</v>
      </c>
      <c r="T70" t="s">
        <v>3402</v>
      </c>
      <c r="U70">
        <v>36</v>
      </c>
      <c r="V70" t="s">
        <v>3405</v>
      </c>
    </row>
    <row r="71" spans="1:22" ht="12.75" customHeight="1" x14ac:dyDescent="0.15">
      <c r="A71">
        <v>2</v>
      </c>
      <c r="B71">
        <v>2026</v>
      </c>
      <c r="C71" s="25">
        <v>46036</v>
      </c>
      <c r="D71" t="s">
        <v>19</v>
      </c>
      <c r="E71" t="s">
        <v>20</v>
      </c>
      <c r="F71" t="s">
        <v>21</v>
      </c>
      <c r="G71">
        <v>3.8</v>
      </c>
      <c r="H71" t="s">
        <v>3400</v>
      </c>
      <c r="I71" t="s">
        <v>353</v>
      </c>
      <c r="J71" s="1" t="s">
        <v>253</v>
      </c>
      <c r="K71" t="s">
        <v>181</v>
      </c>
      <c r="L71" t="s">
        <v>3340</v>
      </c>
      <c r="M71">
        <v>120</v>
      </c>
      <c r="N71">
        <v>6</v>
      </c>
      <c r="O71" t="s">
        <v>211</v>
      </c>
      <c r="P71">
        <v>330</v>
      </c>
      <c r="R71" t="s">
        <v>3415</v>
      </c>
      <c r="T71" t="s">
        <v>3402</v>
      </c>
      <c r="U71">
        <v>36</v>
      </c>
      <c r="V71" t="s">
        <v>3393</v>
      </c>
    </row>
    <row r="72" spans="1:22" ht="12.75" customHeight="1" x14ac:dyDescent="0.15">
      <c r="A72">
        <v>2</v>
      </c>
      <c r="B72">
        <v>2026</v>
      </c>
      <c r="C72" s="25">
        <v>46037</v>
      </c>
      <c r="D72" t="s">
        <v>39</v>
      </c>
      <c r="E72" t="s">
        <v>40</v>
      </c>
      <c r="F72" t="s">
        <v>21</v>
      </c>
      <c r="G72">
        <v>1.91</v>
      </c>
      <c r="H72" t="s">
        <v>3332</v>
      </c>
      <c r="I72" t="s">
        <v>177</v>
      </c>
      <c r="J72" s="1" t="s">
        <v>26</v>
      </c>
      <c r="K72" t="s">
        <v>181</v>
      </c>
      <c r="L72" t="s">
        <v>3333</v>
      </c>
      <c r="M72">
        <v>6</v>
      </c>
      <c r="N72">
        <v>0.63</v>
      </c>
      <c r="O72" t="s">
        <v>3334</v>
      </c>
      <c r="P72">
        <v>50.99</v>
      </c>
      <c r="Q72">
        <v>5</v>
      </c>
      <c r="R72" t="s">
        <v>3335</v>
      </c>
      <c r="T72" t="s">
        <v>3337</v>
      </c>
      <c r="U72">
        <v>0</v>
      </c>
      <c r="V72" t="s">
        <v>3416</v>
      </c>
    </row>
    <row r="73" spans="1:22" ht="12.75" customHeight="1" x14ac:dyDescent="0.15">
      <c r="A73">
        <v>2</v>
      </c>
      <c r="B73">
        <v>2026</v>
      </c>
      <c r="C73" s="25">
        <v>46037</v>
      </c>
      <c r="D73" t="s">
        <v>39</v>
      </c>
      <c r="E73" t="s">
        <v>40</v>
      </c>
      <c r="F73" t="s">
        <v>21</v>
      </c>
      <c r="G73">
        <v>1.91</v>
      </c>
      <c r="H73" t="s">
        <v>3339</v>
      </c>
      <c r="I73" t="s">
        <v>187</v>
      </c>
      <c r="J73" s="1" t="s">
        <v>188</v>
      </c>
      <c r="K73" t="s">
        <v>181</v>
      </c>
      <c r="L73" t="s">
        <v>3333</v>
      </c>
      <c r="M73">
        <v>6</v>
      </c>
      <c r="N73">
        <v>0.38</v>
      </c>
      <c r="O73" t="s">
        <v>3334</v>
      </c>
      <c r="P73">
        <v>30.59</v>
      </c>
      <c r="Q73">
        <v>3</v>
      </c>
      <c r="R73" t="s">
        <v>3335</v>
      </c>
      <c r="T73" t="s">
        <v>3337</v>
      </c>
      <c r="U73">
        <v>0</v>
      </c>
      <c r="V73" t="s">
        <v>3417</v>
      </c>
    </row>
    <row r="74" spans="1:22" ht="12.75" customHeight="1" x14ac:dyDescent="0.15">
      <c r="A74">
        <v>2</v>
      </c>
      <c r="B74">
        <v>2026</v>
      </c>
      <c r="C74" s="25">
        <v>46037</v>
      </c>
      <c r="D74" t="s">
        <v>39</v>
      </c>
      <c r="E74" t="s">
        <v>40</v>
      </c>
      <c r="F74" t="s">
        <v>21</v>
      </c>
      <c r="G74">
        <v>1.91</v>
      </c>
      <c r="H74" t="s">
        <v>3339</v>
      </c>
      <c r="I74" t="s">
        <v>187</v>
      </c>
      <c r="J74" s="1" t="s">
        <v>188</v>
      </c>
      <c r="K74" t="s">
        <v>181</v>
      </c>
      <c r="L74" t="s">
        <v>3340</v>
      </c>
      <c r="M74">
        <v>6</v>
      </c>
      <c r="N74">
        <v>2</v>
      </c>
      <c r="O74" t="s">
        <v>211</v>
      </c>
      <c r="P74">
        <v>110</v>
      </c>
      <c r="R74" t="s">
        <v>3335</v>
      </c>
      <c r="S74" t="s">
        <v>3418</v>
      </c>
      <c r="T74" t="s">
        <v>3337</v>
      </c>
      <c r="U74">
        <v>0</v>
      </c>
      <c r="V74" t="s">
        <v>3419</v>
      </c>
    </row>
    <row r="75" spans="1:22" ht="12.75" customHeight="1" x14ac:dyDescent="0.15">
      <c r="A75">
        <v>3</v>
      </c>
      <c r="B75">
        <v>2026</v>
      </c>
      <c r="C75" s="25">
        <v>46038</v>
      </c>
      <c r="D75" t="s">
        <v>19</v>
      </c>
      <c r="E75" t="s">
        <v>20</v>
      </c>
      <c r="F75" t="s">
        <v>21</v>
      </c>
      <c r="G75">
        <v>3.8</v>
      </c>
      <c r="H75" t="s">
        <v>3400</v>
      </c>
      <c r="I75" t="s">
        <v>353</v>
      </c>
      <c r="J75" s="1" t="s">
        <v>253</v>
      </c>
      <c r="K75" t="s">
        <v>181</v>
      </c>
      <c r="L75" t="s">
        <v>3333</v>
      </c>
      <c r="M75">
        <v>79</v>
      </c>
      <c r="N75">
        <v>0.19</v>
      </c>
      <c r="O75" t="s">
        <v>3334</v>
      </c>
      <c r="P75">
        <v>15.3</v>
      </c>
      <c r="Q75">
        <v>1.5</v>
      </c>
      <c r="R75" t="s">
        <v>3401</v>
      </c>
      <c r="T75" t="s">
        <v>3402</v>
      </c>
      <c r="U75">
        <v>38</v>
      </c>
      <c r="V75" t="s">
        <v>3420</v>
      </c>
    </row>
    <row r="76" spans="1:22" ht="12.75" customHeight="1" x14ac:dyDescent="0.15">
      <c r="A76">
        <v>3</v>
      </c>
      <c r="B76">
        <v>2026</v>
      </c>
      <c r="C76" s="25">
        <v>46038</v>
      </c>
      <c r="D76" t="s">
        <v>19</v>
      </c>
      <c r="E76" t="s">
        <v>20</v>
      </c>
      <c r="F76" t="s">
        <v>21</v>
      </c>
      <c r="G76">
        <v>3.8</v>
      </c>
      <c r="H76" t="s">
        <v>3400</v>
      </c>
      <c r="I76" t="s">
        <v>353</v>
      </c>
      <c r="J76" s="1" t="s">
        <v>253</v>
      </c>
      <c r="K76" t="s">
        <v>181</v>
      </c>
      <c r="L76" t="s">
        <v>3333</v>
      </c>
      <c r="M76">
        <v>67</v>
      </c>
      <c r="N76">
        <v>0.19</v>
      </c>
      <c r="O76" t="s">
        <v>3334</v>
      </c>
      <c r="P76">
        <v>15.3</v>
      </c>
      <c r="Q76">
        <v>1.5</v>
      </c>
      <c r="R76" t="s">
        <v>3404</v>
      </c>
      <c r="T76" t="s">
        <v>3402</v>
      </c>
      <c r="U76">
        <v>38</v>
      </c>
      <c r="V76" t="s">
        <v>3420</v>
      </c>
    </row>
    <row r="77" spans="1:22" ht="12.75" customHeight="1" x14ac:dyDescent="0.15">
      <c r="A77">
        <v>3</v>
      </c>
      <c r="B77">
        <v>2026</v>
      </c>
      <c r="C77" s="25">
        <v>46038</v>
      </c>
      <c r="D77" t="s">
        <v>19</v>
      </c>
      <c r="E77" t="s">
        <v>20</v>
      </c>
      <c r="F77" t="s">
        <v>21</v>
      </c>
      <c r="G77">
        <v>3.8</v>
      </c>
      <c r="H77" t="s">
        <v>3400</v>
      </c>
      <c r="I77" t="s">
        <v>353</v>
      </c>
      <c r="J77" s="1" t="s">
        <v>253</v>
      </c>
      <c r="K77" t="s">
        <v>181</v>
      </c>
      <c r="L77" t="s">
        <v>3333</v>
      </c>
      <c r="M77">
        <v>91</v>
      </c>
      <c r="N77">
        <v>0.19</v>
      </c>
      <c r="O77" t="s">
        <v>3334</v>
      </c>
      <c r="P77">
        <v>15.3</v>
      </c>
      <c r="Q77">
        <v>1.5</v>
      </c>
      <c r="R77" t="s">
        <v>3412</v>
      </c>
      <c r="T77" t="s">
        <v>3402</v>
      </c>
      <c r="U77">
        <v>38</v>
      </c>
      <c r="V77" t="s">
        <v>3420</v>
      </c>
    </row>
    <row r="78" spans="1:22" ht="12.75" customHeight="1" x14ac:dyDescent="0.15">
      <c r="A78">
        <v>3</v>
      </c>
      <c r="B78">
        <v>2026</v>
      </c>
      <c r="C78" s="25">
        <v>46038</v>
      </c>
      <c r="D78" t="s">
        <v>19</v>
      </c>
      <c r="E78" t="s">
        <v>20</v>
      </c>
      <c r="F78" t="s">
        <v>21</v>
      </c>
      <c r="G78">
        <v>3.8</v>
      </c>
      <c r="H78" t="s">
        <v>3400</v>
      </c>
      <c r="I78" t="s">
        <v>353</v>
      </c>
      <c r="J78" s="1" t="s">
        <v>253</v>
      </c>
      <c r="K78" t="s">
        <v>181</v>
      </c>
      <c r="L78" t="s">
        <v>3340</v>
      </c>
      <c r="M78">
        <v>26</v>
      </c>
      <c r="N78">
        <v>0.25</v>
      </c>
      <c r="O78" t="s">
        <v>211</v>
      </c>
      <c r="P78">
        <v>13.5</v>
      </c>
      <c r="Q78">
        <v>1.5</v>
      </c>
      <c r="R78" t="s">
        <v>3421</v>
      </c>
      <c r="T78" t="s">
        <v>3402</v>
      </c>
      <c r="U78">
        <v>38</v>
      </c>
      <c r="V78" t="s">
        <v>3422</v>
      </c>
    </row>
    <row r="79" spans="1:22" ht="12.75" customHeight="1" x14ac:dyDescent="0.15">
      <c r="A79">
        <v>3</v>
      </c>
      <c r="B79">
        <v>2026</v>
      </c>
      <c r="C79" s="25">
        <v>46038</v>
      </c>
      <c r="D79" t="s">
        <v>19</v>
      </c>
      <c r="E79" t="s">
        <v>20</v>
      </c>
      <c r="F79" t="s">
        <v>21</v>
      </c>
      <c r="G79">
        <v>3.8</v>
      </c>
      <c r="H79" t="s">
        <v>3400</v>
      </c>
      <c r="I79" t="s">
        <v>353</v>
      </c>
      <c r="J79" s="1" t="s">
        <v>253</v>
      </c>
      <c r="K79" t="s">
        <v>181</v>
      </c>
      <c r="L79" t="s">
        <v>3340</v>
      </c>
      <c r="M79">
        <v>43</v>
      </c>
      <c r="N79">
        <v>0.25</v>
      </c>
      <c r="O79" t="s">
        <v>211</v>
      </c>
      <c r="P79">
        <v>13.5</v>
      </c>
      <c r="Q79">
        <v>1.5</v>
      </c>
      <c r="R79" t="s">
        <v>3407</v>
      </c>
      <c r="T79" t="s">
        <v>3402</v>
      </c>
      <c r="U79">
        <v>38</v>
      </c>
      <c r="V79" t="s">
        <v>3422</v>
      </c>
    </row>
    <row r="80" spans="1:22" ht="12.75" customHeight="1" x14ac:dyDescent="0.15">
      <c r="A80">
        <v>3</v>
      </c>
      <c r="B80">
        <v>2026</v>
      </c>
      <c r="C80" s="25">
        <v>46038</v>
      </c>
      <c r="D80" t="s">
        <v>19</v>
      </c>
      <c r="E80" t="s">
        <v>20</v>
      </c>
      <c r="F80" t="s">
        <v>21</v>
      </c>
      <c r="G80">
        <v>3.8</v>
      </c>
      <c r="H80" t="s">
        <v>3400</v>
      </c>
      <c r="I80" t="s">
        <v>353</v>
      </c>
      <c r="J80" s="1" t="s">
        <v>253</v>
      </c>
      <c r="K80" t="s">
        <v>181</v>
      </c>
      <c r="L80" t="s">
        <v>3340</v>
      </c>
      <c r="M80">
        <v>78</v>
      </c>
      <c r="N80">
        <v>0.25</v>
      </c>
      <c r="O80" t="s">
        <v>211</v>
      </c>
      <c r="P80">
        <v>13.5</v>
      </c>
      <c r="Q80">
        <v>1.5</v>
      </c>
      <c r="R80" t="s">
        <v>3341</v>
      </c>
      <c r="T80" t="s">
        <v>3402</v>
      </c>
      <c r="U80">
        <v>38</v>
      </c>
      <c r="V80" t="s">
        <v>3422</v>
      </c>
    </row>
    <row r="81" spans="1:22" ht="12.75" customHeight="1" x14ac:dyDescent="0.15">
      <c r="A81">
        <v>3</v>
      </c>
      <c r="B81">
        <v>2026</v>
      </c>
      <c r="C81" s="25">
        <v>46038</v>
      </c>
      <c r="D81" t="s">
        <v>19</v>
      </c>
      <c r="E81" t="s">
        <v>20</v>
      </c>
      <c r="F81" t="s">
        <v>21</v>
      </c>
      <c r="G81">
        <v>3.8</v>
      </c>
      <c r="H81" t="s">
        <v>3400</v>
      </c>
      <c r="I81" t="s">
        <v>353</v>
      </c>
      <c r="J81" s="1" t="s">
        <v>253</v>
      </c>
      <c r="K81" t="s">
        <v>181</v>
      </c>
      <c r="L81" t="s">
        <v>3340</v>
      </c>
      <c r="N81">
        <v>0.25</v>
      </c>
      <c r="O81" t="s">
        <v>211</v>
      </c>
      <c r="P81">
        <v>13.5</v>
      </c>
      <c r="Q81">
        <v>1.5</v>
      </c>
      <c r="R81" t="s">
        <v>3406</v>
      </c>
      <c r="T81" t="s">
        <v>3402</v>
      </c>
      <c r="U81">
        <v>38</v>
      </c>
      <c r="V81" t="s">
        <v>3422</v>
      </c>
    </row>
    <row r="82" spans="1:22" ht="12.75" customHeight="1" x14ac:dyDescent="0.15">
      <c r="A82">
        <v>3</v>
      </c>
      <c r="B82">
        <v>2026</v>
      </c>
      <c r="C82" s="25">
        <v>46038</v>
      </c>
      <c r="D82" t="s">
        <v>39</v>
      </c>
      <c r="E82" t="s">
        <v>40</v>
      </c>
      <c r="F82" t="s">
        <v>21</v>
      </c>
      <c r="G82">
        <v>1.91</v>
      </c>
      <c r="H82" t="s">
        <v>3423</v>
      </c>
      <c r="I82" t="s">
        <v>331</v>
      </c>
      <c r="J82" s="1" t="s">
        <v>30</v>
      </c>
      <c r="K82" t="s">
        <v>181</v>
      </c>
      <c r="L82" t="s">
        <v>3340</v>
      </c>
      <c r="M82">
        <v>2</v>
      </c>
      <c r="N82">
        <v>0.33</v>
      </c>
      <c r="O82" t="s">
        <v>211</v>
      </c>
      <c r="P82">
        <v>18</v>
      </c>
      <c r="R82" t="s">
        <v>3424</v>
      </c>
      <c r="T82" t="s">
        <v>3402</v>
      </c>
      <c r="U82">
        <v>1</v>
      </c>
      <c r="V82" t="s">
        <v>3425</v>
      </c>
    </row>
    <row r="83" spans="1:22" ht="12.75" customHeight="1" x14ac:dyDescent="0.15">
      <c r="A83">
        <v>3</v>
      </c>
      <c r="B83">
        <v>2026</v>
      </c>
      <c r="C83" s="25">
        <v>46039</v>
      </c>
      <c r="D83" t="s">
        <v>19</v>
      </c>
      <c r="E83" t="s">
        <v>20</v>
      </c>
      <c r="F83" t="s">
        <v>21</v>
      </c>
      <c r="G83">
        <v>3.8</v>
      </c>
      <c r="H83" t="s">
        <v>3400</v>
      </c>
      <c r="I83" t="s">
        <v>353</v>
      </c>
      <c r="J83" s="1" t="s">
        <v>253</v>
      </c>
      <c r="K83" t="s">
        <v>181</v>
      </c>
      <c r="L83" t="s">
        <v>3333</v>
      </c>
      <c r="M83">
        <v>79</v>
      </c>
      <c r="N83">
        <v>0.94</v>
      </c>
      <c r="O83" t="s">
        <v>3334</v>
      </c>
      <c r="P83">
        <v>76.48</v>
      </c>
      <c r="Q83">
        <v>7.5</v>
      </c>
      <c r="R83" t="s">
        <v>3401</v>
      </c>
      <c r="T83" t="s">
        <v>3402</v>
      </c>
      <c r="U83">
        <v>39</v>
      </c>
      <c r="V83" t="s">
        <v>3426</v>
      </c>
    </row>
    <row r="84" spans="1:22" ht="12.75" customHeight="1" x14ac:dyDescent="0.15">
      <c r="A84">
        <v>3</v>
      </c>
      <c r="B84">
        <v>2026</v>
      </c>
      <c r="C84" s="25">
        <v>46039</v>
      </c>
      <c r="D84" t="s">
        <v>19</v>
      </c>
      <c r="E84" t="s">
        <v>20</v>
      </c>
      <c r="F84" t="s">
        <v>21</v>
      </c>
      <c r="G84">
        <v>3.8</v>
      </c>
      <c r="H84" t="s">
        <v>3400</v>
      </c>
      <c r="I84" t="s">
        <v>353</v>
      </c>
      <c r="J84" s="1" t="s">
        <v>253</v>
      </c>
      <c r="K84" t="s">
        <v>181</v>
      </c>
      <c r="L84" t="s">
        <v>3333</v>
      </c>
      <c r="M84">
        <v>67</v>
      </c>
      <c r="N84">
        <v>0.94</v>
      </c>
      <c r="O84" t="s">
        <v>3334</v>
      </c>
      <c r="P84">
        <v>76.48</v>
      </c>
      <c r="Q84">
        <v>7.5</v>
      </c>
      <c r="R84" t="s">
        <v>3404</v>
      </c>
      <c r="T84" t="s">
        <v>3402</v>
      </c>
      <c r="U84">
        <v>39</v>
      </c>
      <c r="V84" t="s">
        <v>3426</v>
      </c>
    </row>
    <row r="85" spans="1:22" ht="12.75" customHeight="1" x14ac:dyDescent="0.15">
      <c r="A85">
        <v>3</v>
      </c>
      <c r="B85">
        <v>2026</v>
      </c>
      <c r="C85" s="25">
        <v>46039</v>
      </c>
      <c r="D85" t="s">
        <v>19</v>
      </c>
      <c r="E85" t="s">
        <v>20</v>
      </c>
      <c r="F85" t="s">
        <v>21</v>
      </c>
      <c r="G85">
        <v>3.8</v>
      </c>
      <c r="H85" t="s">
        <v>3400</v>
      </c>
      <c r="I85" t="s">
        <v>353</v>
      </c>
      <c r="J85" s="1" t="s">
        <v>253</v>
      </c>
      <c r="K85" t="s">
        <v>181</v>
      </c>
      <c r="L85" t="s">
        <v>3333</v>
      </c>
      <c r="M85">
        <v>19</v>
      </c>
      <c r="N85">
        <v>0.94</v>
      </c>
      <c r="O85" t="s">
        <v>3334</v>
      </c>
      <c r="P85">
        <v>76.48</v>
      </c>
      <c r="Q85">
        <v>7.5</v>
      </c>
      <c r="R85" t="s">
        <v>3403</v>
      </c>
      <c r="T85" t="s">
        <v>3402</v>
      </c>
      <c r="U85">
        <v>39</v>
      </c>
      <c r="V85" t="s">
        <v>3426</v>
      </c>
    </row>
    <row r="86" spans="1:22" ht="12.75" customHeight="1" x14ac:dyDescent="0.15">
      <c r="A86">
        <v>3</v>
      </c>
      <c r="B86">
        <v>2026</v>
      </c>
      <c r="C86" s="25">
        <v>46039</v>
      </c>
      <c r="D86" t="s">
        <v>19</v>
      </c>
      <c r="E86" t="s">
        <v>20</v>
      </c>
      <c r="F86" t="s">
        <v>21</v>
      </c>
      <c r="G86">
        <v>3.8</v>
      </c>
      <c r="H86" t="s">
        <v>3400</v>
      </c>
      <c r="I86" t="s">
        <v>353</v>
      </c>
      <c r="J86" s="1" t="s">
        <v>253</v>
      </c>
      <c r="K86" t="s">
        <v>181</v>
      </c>
      <c r="L86" t="s">
        <v>3333</v>
      </c>
      <c r="M86">
        <v>91</v>
      </c>
      <c r="N86">
        <v>0.94</v>
      </c>
      <c r="O86" t="s">
        <v>3334</v>
      </c>
      <c r="P86">
        <v>76.48</v>
      </c>
      <c r="Q86">
        <v>7.5</v>
      </c>
      <c r="R86" t="s">
        <v>3412</v>
      </c>
      <c r="T86" t="s">
        <v>3402</v>
      </c>
      <c r="U86">
        <v>39</v>
      </c>
      <c r="V86" t="s">
        <v>3426</v>
      </c>
    </row>
    <row r="87" spans="1:22" ht="12.75" customHeight="1" x14ac:dyDescent="0.15">
      <c r="A87">
        <v>3</v>
      </c>
      <c r="B87">
        <v>2026</v>
      </c>
      <c r="C87" s="25">
        <v>46039</v>
      </c>
      <c r="D87" t="s">
        <v>19</v>
      </c>
      <c r="E87" t="s">
        <v>20</v>
      </c>
      <c r="F87" t="s">
        <v>21</v>
      </c>
      <c r="G87">
        <v>3.8</v>
      </c>
      <c r="H87" t="s">
        <v>3400</v>
      </c>
      <c r="I87" t="s">
        <v>353</v>
      </c>
      <c r="J87" s="1" t="s">
        <v>253</v>
      </c>
      <c r="K87" t="s">
        <v>181</v>
      </c>
      <c r="L87" t="s">
        <v>3340</v>
      </c>
      <c r="M87">
        <v>25</v>
      </c>
      <c r="N87">
        <v>1.23</v>
      </c>
      <c r="O87" t="s">
        <v>211</v>
      </c>
      <c r="P87">
        <v>67.5</v>
      </c>
      <c r="Q87">
        <v>7.5</v>
      </c>
      <c r="R87" t="s">
        <v>3413</v>
      </c>
      <c r="T87" t="s">
        <v>3402</v>
      </c>
      <c r="U87">
        <v>39</v>
      </c>
      <c r="V87" t="s">
        <v>3427</v>
      </c>
    </row>
    <row r="88" spans="1:22" ht="12.75" customHeight="1" x14ac:dyDescent="0.15">
      <c r="A88">
        <v>3</v>
      </c>
      <c r="B88">
        <v>2026</v>
      </c>
      <c r="C88" s="25">
        <v>46039</v>
      </c>
      <c r="D88" t="s">
        <v>19</v>
      </c>
      <c r="E88" t="s">
        <v>20</v>
      </c>
      <c r="F88" t="s">
        <v>21</v>
      </c>
      <c r="G88">
        <v>3.8</v>
      </c>
      <c r="H88" t="s">
        <v>3400</v>
      </c>
      <c r="I88" t="s">
        <v>353</v>
      </c>
      <c r="J88" s="1" t="s">
        <v>253</v>
      </c>
      <c r="K88" t="s">
        <v>181</v>
      </c>
      <c r="L88" t="s">
        <v>3340</v>
      </c>
      <c r="M88">
        <v>26</v>
      </c>
      <c r="N88">
        <v>1.23</v>
      </c>
      <c r="O88" t="s">
        <v>211</v>
      </c>
      <c r="P88">
        <v>67.5</v>
      </c>
      <c r="Q88">
        <v>7.5</v>
      </c>
      <c r="R88" t="s">
        <v>3421</v>
      </c>
      <c r="T88" t="s">
        <v>3402</v>
      </c>
      <c r="U88">
        <v>39</v>
      </c>
      <c r="V88" t="s">
        <v>3427</v>
      </c>
    </row>
    <row r="89" spans="1:22" ht="12.75" customHeight="1" x14ac:dyDescent="0.15">
      <c r="A89">
        <v>3</v>
      </c>
      <c r="B89">
        <v>2026</v>
      </c>
      <c r="C89" s="25">
        <v>46039</v>
      </c>
      <c r="D89" t="s">
        <v>19</v>
      </c>
      <c r="E89" t="s">
        <v>20</v>
      </c>
      <c r="F89" t="s">
        <v>21</v>
      </c>
      <c r="G89">
        <v>3.8</v>
      </c>
      <c r="H89" t="s">
        <v>3400</v>
      </c>
      <c r="I89" t="s">
        <v>353</v>
      </c>
      <c r="J89" s="1" t="s">
        <v>253</v>
      </c>
      <c r="K89" t="s">
        <v>181</v>
      </c>
      <c r="L89" t="s">
        <v>3340</v>
      </c>
      <c r="M89">
        <v>43</v>
      </c>
      <c r="N89">
        <v>1.23</v>
      </c>
      <c r="O89" t="s">
        <v>211</v>
      </c>
      <c r="P89">
        <v>67.5</v>
      </c>
      <c r="Q89">
        <v>7.5</v>
      </c>
      <c r="R89" t="s">
        <v>3407</v>
      </c>
      <c r="T89" t="s">
        <v>3402</v>
      </c>
      <c r="U89">
        <v>39</v>
      </c>
      <c r="V89" t="s">
        <v>3427</v>
      </c>
    </row>
    <row r="90" spans="1:22" ht="12.75" customHeight="1" x14ac:dyDescent="0.15">
      <c r="A90">
        <v>3</v>
      </c>
      <c r="B90">
        <v>2026</v>
      </c>
      <c r="C90" s="25">
        <v>46039</v>
      </c>
      <c r="D90" t="s">
        <v>19</v>
      </c>
      <c r="E90" t="s">
        <v>20</v>
      </c>
      <c r="F90" t="s">
        <v>21</v>
      </c>
      <c r="G90">
        <v>3.8</v>
      </c>
      <c r="H90" t="s">
        <v>3400</v>
      </c>
      <c r="I90" t="s">
        <v>353</v>
      </c>
      <c r="J90" s="1" t="s">
        <v>253</v>
      </c>
      <c r="K90" t="s">
        <v>181</v>
      </c>
      <c r="L90" t="s">
        <v>3340</v>
      </c>
      <c r="N90">
        <v>1.23</v>
      </c>
      <c r="O90" t="s">
        <v>211</v>
      </c>
      <c r="P90">
        <v>67.5</v>
      </c>
      <c r="Q90">
        <v>7.5</v>
      </c>
      <c r="R90" t="s">
        <v>3410</v>
      </c>
      <c r="T90" t="s">
        <v>3402</v>
      </c>
      <c r="U90">
        <v>39</v>
      </c>
      <c r="V90" t="s">
        <v>3427</v>
      </c>
    </row>
    <row r="91" spans="1:22" ht="12.75" customHeight="1" x14ac:dyDescent="0.15">
      <c r="A91">
        <v>4</v>
      </c>
      <c r="B91">
        <v>2026</v>
      </c>
      <c r="C91" s="25">
        <v>46046</v>
      </c>
      <c r="D91" t="s">
        <v>39</v>
      </c>
      <c r="E91" t="s">
        <v>40</v>
      </c>
      <c r="F91" t="s">
        <v>21</v>
      </c>
      <c r="G91">
        <v>1.91</v>
      </c>
      <c r="H91" t="s">
        <v>3378</v>
      </c>
      <c r="I91" t="s">
        <v>214</v>
      </c>
      <c r="J91" s="1" t="s">
        <v>215</v>
      </c>
      <c r="K91" t="s">
        <v>181</v>
      </c>
      <c r="L91" t="s">
        <v>3340</v>
      </c>
      <c r="M91">
        <v>132</v>
      </c>
      <c r="N91">
        <v>0.24</v>
      </c>
      <c r="O91" t="s">
        <v>211</v>
      </c>
      <c r="P91">
        <v>13.33</v>
      </c>
      <c r="R91" t="s">
        <v>3368</v>
      </c>
      <c r="S91" t="s">
        <v>3428</v>
      </c>
      <c r="T91" t="s">
        <v>3337</v>
      </c>
      <c r="U91">
        <v>9</v>
      </c>
      <c r="V91" t="s">
        <v>3429</v>
      </c>
    </row>
    <row r="92" spans="1:22" ht="12.75" customHeight="1" x14ac:dyDescent="0.15">
      <c r="A92">
        <v>4</v>
      </c>
      <c r="B92">
        <v>2026</v>
      </c>
      <c r="C92" s="25">
        <v>46046</v>
      </c>
      <c r="D92" t="s">
        <v>39</v>
      </c>
      <c r="E92" t="s">
        <v>40</v>
      </c>
      <c r="F92" t="s">
        <v>21</v>
      </c>
      <c r="G92">
        <v>1.91</v>
      </c>
      <c r="H92" t="s">
        <v>3378</v>
      </c>
      <c r="I92" t="s">
        <v>214</v>
      </c>
      <c r="J92" s="1" t="s">
        <v>215</v>
      </c>
      <c r="K92" t="s">
        <v>181</v>
      </c>
      <c r="L92" t="s">
        <v>3340</v>
      </c>
      <c r="M92">
        <v>81</v>
      </c>
      <c r="N92">
        <v>0.24</v>
      </c>
      <c r="O92" t="s">
        <v>211</v>
      </c>
      <c r="P92">
        <v>13.33</v>
      </c>
      <c r="R92" t="s">
        <v>3374</v>
      </c>
      <c r="T92" t="s">
        <v>3337</v>
      </c>
      <c r="U92">
        <v>9</v>
      </c>
      <c r="V92" t="s">
        <v>3429</v>
      </c>
    </row>
    <row r="93" spans="1:22" ht="12.75" customHeight="1" x14ac:dyDescent="0.15">
      <c r="A93">
        <v>4</v>
      </c>
      <c r="B93">
        <v>2026</v>
      </c>
      <c r="C93" s="25">
        <v>46046</v>
      </c>
      <c r="D93" t="s">
        <v>39</v>
      </c>
      <c r="E93" t="s">
        <v>40</v>
      </c>
      <c r="F93" t="s">
        <v>21</v>
      </c>
      <c r="G93">
        <v>1.91</v>
      </c>
      <c r="H93" t="s">
        <v>3378</v>
      </c>
      <c r="I93" t="s">
        <v>214</v>
      </c>
      <c r="J93" s="1" t="s">
        <v>215</v>
      </c>
      <c r="K93" t="s">
        <v>181</v>
      </c>
      <c r="L93" t="s">
        <v>3340</v>
      </c>
      <c r="M93">
        <v>121</v>
      </c>
      <c r="N93">
        <v>0.24</v>
      </c>
      <c r="O93" t="s">
        <v>211</v>
      </c>
      <c r="P93">
        <v>13.33</v>
      </c>
      <c r="R93" t="s">
        <v>3376</v>
      </c>
      <c r="T93" t="s">
        <v>3337</v>
      </c>
      <c r="U93">
        <v>9</v>
      </c>
      <c r="V93" t="s">
        <v>3429</v>
      </c>
    </row>
    <row r="94" spans="1:22" ht="12.75" customHeight="1" x14ac:dyDescent="0.15">
      <c r="A94">
        <v>4</v>
      </c>
      <c r="B94">
        <v>2026</v>
      </c>
      <c r="C94" s="25">
        <v>46046</v>
      </c>
      <c r="D94" t="s">
        <v>39</v>
      </c>
      <c r="E94" t="s">
        <v>40</v>
      </c>
      <c r="F94" t="s">
        <v>21</v>
      </c>
      <c r="G94">
        <v>1.91</v>
      </c>
      <c r="H94" t="s">
        <v>3378</v>
      </c>
      <c r="I94" t="s">
        <v>214</v>
      </c>
      <c r="J94" s="1" t="s">
        <v>215</v>
      </c>
      <c r="K94" t="s">
        <v>181</v>
      </c>
      <c r="L94" t="s">
        <v>3340</v>
      </c>
      <c r="M94">
        <v>53</v>
      </c>
      <c r="N94">
        <v>0.24</v>
      </c>
      <c r="O94" t="s">
        <v>211</v>
      </c>
      <c r="P94">
        <v>13.33</v>
      </c>
      <c r="R94" t="s">
        <v>3373</v>
      </c>
      <c r="T94" t="s">
        <v>3337</v>
      </c>
      <c r="U94">
        <v>9</v>
      </c>
      <c r="V94" t="s">
        <v>3429</v>
      </c>
    </row>
    <row r="95" spans="1:22" ht="12.75" customHeight="1" x14ac:dyDescent="0.15">
      <c r="A95">
        <v>4</v>
      </c>
      <c r="B95">
        <v>2026</v>
      </c>
      <c r="C95" s="25">
        <v>46046</v>
      </c>
      <c r="D95" t="s">
        <v>39</v>
      </c>
      <c r="E95" t="s">
        <v>40</v>
      </c>
      <c r="F95" t="s">
        <v>21</v>
      </c>
      <c r="G95">
        <v>1.91</v>
      </c>
      <c r="H95" t="s">
        <v>3378</v>
      </c>
      <c r="I95" t="s">
        <v>214</v>
      </c>
      <c r="J95" s="1" t="s">
        <v>215</v>
      </c>
      <c r="K95" t="s">
        <v>181</v>
      </c>
      <c r="L95" t="s">
        <v>3340</v>
      </c>
      <c r="M95">
        <v>62</v>
      </c>
      <c r="N95">
        <v>0.24</v>
      </c>
      <c r="O95" t="s">
        <v>211</v>
      </c>
      <c r="P95">
        <v>13.33</v>
      </c>
      <c r="R95" t="s">
        <v>3375</v>
      </c>
      <c r="T95" t="s">
        <v>3337</v>
      </c>
      <c r="U95">
        <v>9</v>
      </c>
      <c r="V95" t="s">
        <v>3429</v>
      </c>
    </row>
    <row r="96" spans="1:22" ht="12.75" customHeight="1" x14ac:dyDescent="0.15">
      <c r="A96">
        <v>4</v>
      </c>
      <c r="B96">
        <v>2026</v>
      </c>
      <c r="C96" s="25">
        <v>46046</v>
      </c>
      <c r="D96" t="s">
        <v>39</v>
      </c>
      <c r="E96" t="s">
        <v>40</v>
      </c>
      <c r="F96" t="s">
        <v>21</v>
      </c>
      <c r="G96">
        <v>1.91</v>
      </c>
      <c r="H96" t="s">
        <v>3378</v>
      </c>
      <c r="I96" t="s">
        <v>214</v>
      </c>
      <c r="J96" s="1" t="s">
        <v>215</v>
      </c>
      <c r="K96" t="s">
        <v>181</v>
      </c>
      <c r="L96" t="s">
        <v>3340</v>
      </c>
      <c r="M96">
        <v>45</v>
      </c>
      <c r="N96">
        <v>0.24</v>
      </c>
      <c r="O96" t="s">
        <v>211</v>
      </c>
      <c r="P96">
        <v>13.33</v>
      </c>
      <c r="R96" t="s">
        <v>3377</v>
      </c>
      <c r="T96" t="s">
        <v>3337</v>
      </c>
      <c r="U96">
        <v>9</v>
      </c>
      <c r="V96" t="s">
        <v>3429</v>
      </c>
    </row>
    <row r="97" spans="1:22" ht="12.75" customHeight="1" x14ac:dyDescent="0.15">
      <c r="A97">
        <v>5</v>
      </c>
      <c r="B97">
        <v>2026</v>
      </c>
      <c r="C97" s="25">
        <v>46053</v>
      </c>
      <c r="D97" t="s">
        <v>19</v>
      </c>
      <c r="E97" t="s">
        <v>20</v>
      </c>
      <c r="F97" t="s">
        <v>21</v>
      </c>
      <c r="G97">
        <v>3.8</v>
      </c>
      <c r="H97" t="s">
        <v>3400</v>
      </c>
      <c r="I97" t="s">
        <v>353</v>
      </c>
      <c r="J97" s="1" t="s">
        <v>253</v>
      </c>
      <c r="K97" t="s">
        <v>181</v>
      </c>
      <c r="L97" t="s">
        <v>3333</v>
      </c>
      <c r="M97">
        <v>67</v>
      </c>
      <c r="N97">
        <v>0.22</v>
      </c>
      <c r="O97" t="s">
        <v>3334</v>
      </c>
      <c r="P97">
        <v>18</v>
      </c>
      <c r="R97" t="s">
        <v>3404</v>
      </c>
      <c r="T97" t="s">
        <v>3402</v>
      </c>
      <c r="U97">
        <v>53</v>
      </c>
      <c r="V97" t="s">
        <v>3414</v>
      </c>
    </row>
    <row r="98" spans="1:22" ht="12.75" customHeight="1" x14ac:dyDescent="0.15">
      <c r="A98">
        <v>5</v>
      </c>
      <c r="B98">
        <v>2026</v>
      </c>
      <c r="C98" s="25">
        <v>46053</v>
      </c>
      <c r="D98" t="s">
        <v>19</v>
      </c>
      <c r="E98" t="s">
        <v>20</v>
      </c>
      <c r="F98" t="s">
        <v>21</v>
      </c>
      <c r="G98">
        <v>3.8</v>
      </c>
      <c r="H98" t="s">
        <v>3400</v>
      </c>
      <c r="I98" t="s">
        <v>353</v>
      </c>
      <c r="J98" s="1" t="s">
        <v>253</v>
      </c>
      <c r="K98" t="s">
        <v>181</v>
      </c>
      <c r="L98" t="s">
        <v>3333</v>
      </c>
      <c r="M98">
        <v>79</v>
      </c>
      <c r="N98">
        <v>0.22</v>
      </c>
      <c r="O98" t="s">
        <v>3334</v>
      </c>
      <c r="P98">
        <v>18</v>
      </c>
      <c r="R98" t="s">
        <v>3401</v>
      </c>
      <c r="T98" t="s">
        <v>3402</v>
      </c>
      <c r="U98">
        <v>53</v>
      </c>
      <c r="V98" t="s">
        <v>3414</v>
      </c>
    </row>
    <row r="99" spans="1:22" ht="12.75" customHeight="1" x14ac:dyDescent="0.15">
      <c r="A99">
        <v>5</v>
      </c>
      <c r="B99">
        <v>2026</v>
      </c>
      <c r="C99" s="25">
        <v>46053</v>
      </c>
      <c r="D99" t="s">
        <v>19</v>
      </c>
      <c r="E99" t="s">
        <v>20</v>
      </c>
      <c r="F99" t="s">
        <v>21</v>
      </c>
      <c r="G99">
        <v>3.8</v>
      </c>
      <c r="H99" t="s">
        <v>3400</v>
      </c>
      <c r="I99" t="s">
        <v>353</v>
      </c>
      <c r="J99" s="1" t="s">
        <v>253</v>
      </c>
      <c r="K99" t="s">
        <v>181</v>
      </c>
      <c r="L99" t="s">
        <v>3333</v>
      </c>
      <c r="M99">
        <v>19</v>
      </c>
      <c r="N99">
        <v>0.22</v>
      </c>
      <c r="O99" t="s">
        <v>3334</v>
      </c>
      <c r="P99">
        <v>18</v>
      </c>
      <c r="R99" t="s">
        <v>3403</v>
      </c>
      <c r="T99" t="s">
        <v>3402</v>
      </c>
      <c r="U99">
        <v>53</v>
      </c>
      <c r="V99" t="s">
        <v>3414</v>
      </c>
    </row>
    <row r="100" spans="1:22" ht="12.75" customHeight="1" x14ac:dyDescent="0.15">
      <c r="A100">
        <v>5</v>
      </c>
      <c r="B100">
        <v>2026</v>
      </c>
      <c r="C100" s="25">
        <v>46053</v>
      </c>
      <c r="D100" t="s">
        <v>19</v>
      </c>
      <c r="E100" t="s">
        <v>20</v>
      </c>
      <c r="F100" t="s">
        <v>21</v>
      </c>
      <c r="G100">
        <v>3.8</v>
      </c>
      <c r="H100" t="s">
        <v>3400</v>
      </c>
      <c r="I100" t="s">
        <v>353</v>
      </c>
      <c r="J100" s="1" t="s">
        <v>253</v>
      </c>
      <c r="K100" t="s">
        <v>181</v>
      </c>
      <c r="L100" t="s">
        <v>3340</v>
      </c>
      <c r="M100">
        <v>43</v>
      </c>
      <c r="N100">
        <v>0.33</v>
      </c>
      <c r="O100" t="s">
        <v>211</v>
      </c>
      <c r="P100">
        <v>18</v>
      </c>
      <c r="R100" t="s">
        <v>3407</v>
      </c>
      <c r="T100" t="s">
        <v>3402</v>
      </c>
      <c r="U100">
        <v>53</v>
      </c>
      <c r="V100" t="s">
        <v>3414</v>
      </c>
    </row>
    <row r="101" spans="1:22" ht="12.75" customHeight="1" x14ac:dyDescent="0.15">
      <c r="A101">
        <v>5</v>
      </c>
      <c r="B101">
        <v>2026</v>
      </c>
      <c r="C101" s="25">
        <v>46053</v>
      </c>
      <c r="D101" t="s">
        <v>19</v>
      </c>
      <c r="E101" t="s">
        <v>20</v>
      </c>
      <c r="F101" t="s">
        <v>21</v>
      </c>
      <c r="G101">
        <v>3.8</v>
      </c>
      <c r="H101" t="s">
        <v>3400</v>
      </c>
      <c r="I101" t="s">
        <v>353</v>
      </c>
      <c r="J101" s="1" t="s">
        <v>253</v>
      </c>
      <c r="K101" t="s">
        <v>181</v>
      </c>
      <c r="L101" t="s">
        <v>3340</v>
      </c>
      <c r="M101">
        <v>25</v>
      </c>
      <c r="N101">
        <v>0.33</v>
      </c>
      <c r="O101" t="s">
        <v>211</v>
      </c>
      <c r="P101">
        <v>18</v>
      </c>
      <c r="R101" t="s">
        <v>3413</v>
      </c>
      <c r="T101" t="s">
        <v>3402</v>
      </c>
      <c r="U101">
        <v>53</v>
      </c>
      <c r="V101" t="s">
        <v>3414</v>
      </c>
    </row>
    <row r="102" spans="1:22" ht="12.75" customHeight="1" x14ac:dyDescent="0.15">
      <c r="A102">
        <v>5</v>
      </c>
      <c r="B102">
        <v>2026</v>
      </c>
      <c r="C102" s="25">
        <v>46053</v>
      </c>
      <c r="D102" t="s">
        <v>19</v>
      </c>
      <c r="E102" t="s">
        <v>20</v>
      </c>
      <c r="F102" t="s">
        <v>21</v>
      </c>
      <c r="G102">
        <v>3.8</v>
      </c>
      <c r="H102" t="s">
        <v>3400</v>
      </c>
      <c r="I102" t="s">
        <v>353</v>
      </c>
      <c r="J102" s="1" t="s">
        <v>253</v>
      </c>
      <c r="K102" t="s">
        <v>181</v>
      </c>
      <c r="L102" t="s">
        <v>3340</v>
      </c>
      <c r="N102">
        <v>0.33</v>
      </c>
      <c r="O102" t="s">
        <v>211</v>
      </c>
      <c r="P102">
        <v>18</v>
      </c>
      <c r="R102" t="s">
        <v>3410</v>
      </c>
      <c r="T102" t="s">
        <v>3402</v>
      </c>
      <c r="U102">
        <v>53</v>
      </c>
      <c r="V102" t="s">
        <v>3414</v>
      </c>
    </row>
    <row r="103" spans="1:22" ht="12.75" customHeight="1" x14ac:dyDescent="0.15">
      <c r="A103">
        <v>5</v>
      </c>
      <c r="B103">
        <v>2026</v>
      </c>
      <c r="C103" s="25">
        <v>46053</v>
      </c>
      <c r="D103" t="s">
        <v>19</v>
      </c>
      <c r="E103" t="s">
        <v>20</v>
      </c>
      <c r="F103" t="s">
        <v>21</v>
      </c>
      <c r="G103">
        <v>3.8</v>
      </c>
      <c r="H103" t="s">
        <v>3400</v>
      </c>
      <c r="I103" t="s">
        <v>353</v>
      </c>
      <c r="J103" s="1" t="s">
        <v>253</v>
      </c>
      <c r="K103" t="s">
        <v>181</v>
      </c>
      <c r="L103" t="s">
        <v>3340</v>
      </c>
      <c r="M103">
        <v>26</v>
      </c>
      <c r="N103">
        <v>0.33</v>
      </c>
      <c r="O103" t="s">
        <v>211</v>
      </c>
      <c r="P103">
        <v>18</v>
      </c>
      <c r="R103" t="s">
        <v>3421</v>
      </c>
      <c r="T103" t="s">
        <v>3402</v>
      </c>
      <c r="U103">
        <v>53</v>
      </c>
      <c r="V103" t="s">
        <v>3414</v>
      </c>
    </row>
    <row r="104" spans="1:22" ht="12.75" customHeight="1" x14ac:dyDescent="0.15">
      <c r="A104">
        <v>5</v>
      </c>
      <c r="B104">
        <v>2026</v>
      </c>
      <c r="C104" s="25">
        <v>46055</v>
      </c>
      <c r="D104" t="s">
        <v>39</v>
      </c>
      <c r="E104" t="s">
        <v>40</v>
      </c>
      <c r="F104" t="s">
        <v>21</v>
      </c>
      <c r="G104">
        <v>1.91</v>
      </c>
      <c r="H104" t="s">
        <v>3346</v>
      </c>
      <c r="I104" t="s">
        <v>212</v>
      </c>
      <c r="J104" s="1" t="s">
        <v>188</v>
      </c>
      <c r="K104" t="s">
        <v>181</v>
      </c>
      <c r="L104" t="s">
        <v>3340</v>
      </c>
      <c r="M104">
        <v>6</v>
      </c>
      <c r="N104">
        <v>1.45</v>
      </c>
      <c r="O104" t="s">
        <v>211</v>
      </c>
      <c r="P104">
        <v>80</v>
      </c>
      <c r="R104" t="s">
        <v>3335</v>
      </c>
      <c r="T104" t="s">
        <v>3337</v>
      </c>
      <c r="U104">
        <v>18</v>
      </c>
      <c r="V104" t="s">
        <v>3430</v>
      </c>
    </row>
    <row r="105" spans="1:22" ht="12.75" customHeight="1" x14ac:dyDescent="0.15">
      <c r="A105">
        <v>5</v>
      </c>
      <c r="B105">
        <v>2026</v>
      </c>
      <c r="C105" s="25">
        <v>46055</v>
      </c>
      <c r="D105" t="s">
        <v>19</v>
      </c>
      <c r="E105" t="s">
        <v>20</v>
      </c>
      <c r="F105" t="s">
        <v>21</v>
      </c>
      <c r="G105">
        <v>3.8</v>
      </c>
      <c r="H105" t="s">
        <v>3431</v>
      </c>
      <c r="I105" t="s">
        <v>3432</v>
      </c>
      <c r="J105" s="1" t="s">
        <v>676</v>
      </c>
      <c r="K105" t="s">
        <v>181</v>
      </c>
      <c r="L105" t="s">
        <v>3340</v>
      </c>
      <c r="M105">
        <v>79</v>
      </c>
      <c r="N105">
        <v>0.74</v>
      </c>
      <c r="O105" t="s">
        <v>211</v>
      </c>
      <c r="P105">
        <v>40.5</v>
      </c>
      <c r="Q105">
        <v>4.5</v>
      </c>
      <c r="R105" t="s">
        <v>3401</v>
      </c>
      <c r="T105" t="s">
        <v>3402</v>
      </c>
      <c r="U105">
        <v>55</v>
      </c>
      <c r="V105" t="s">
        <v>3433</v>
      </c>
    </row>
    <row r="106" spans="1:22" ht="12.75" customHeight="1" x14ac:dyDescent="0.15">
      <c r="A106">
        <v>5</v>
      </c>
      <c r="B106">
        <v>2026</v>
      </c>
      <c r="C106" s="25">
        <v>46055</v>
      </c>
      <c r="D106" t="s">
        <v>19</v>
      </c>
      <c r="E106" t="s">
        <v>20</v>
      </c>
      <c r="F106" t="s">
        <v>21</v>
      </c>
      <c r="G106">
        <v>3.8</v>
      </c>
      <c r="H106" t="s">
        <v>3400</v>
      </c>
      <c r="I106" t="s">
        <v>353</v>
      </c>
      <c r="J106" s="1" t="s">
        <v>253</v>
      </c>
      <c r="K106" t="s">
        <v>181</v>
      </c>
      <c r="L106" t="s">
        <v>3340</v>
      </c>
      <c r="M106">
        <v>67</v>
      </c>
      <c r="N106">
        <v>0.74</v>
      </c>
      <c r="O106" t="s">
        <v>211</v>
      </c>
      <c r="P106">
        <v>40.5</v>
      </c>
      <c r="Q106">
        <v>4.5</v>
      </c>
      <c r="R106" t="s">
        <v>3404</v>
      </c>
      <c r="T106" t="s">
        <v>3402</v>
      </c>
      <c r="U106">
        <v>55</v>
      </c>
      <c r="V106" t="s">
        <v>3433</v>
      </c>
    </row>
    <row r="107" spans="1:22" ht="12.75" customHeight="1" x14ac:dyDescent="0.15">
      <c r="A107">
        <v>5</v>
      </c>
      <c r="B107">
        <v>2026</v>
      </c>
      <c r="C107" s="25">
        <v>46055</v>
      </c>
      <c r="D107" t="s">
        <v>19</v>
      </c>
      <c r="E107" t="s">
        <v>20</v>
      </c>
      <c r="F107" t="s">
        <v>21</v>
      </c>
      <c r="G107">
        <v>3.8</v>
      </c>
      <c r="H107" t="s">
        <v>3400</v>
      </c>
      <c r="I107" t="s">
        <v>353</v>
      </c>
      <c r="J107" s="1" t="s">
        <v>253</v>
      </c>
      <c r="K107" t="s">
        <v>181</v>
      </c>
      <c r="L107" t="s">
        <v>3340</v>
      </c>
      <c r="M107">
        <v>19</v>
      </c>
      <c r="N107">
        <v>0.65</v>
      </c>
      <c r="O107" t="s">
        <v>211</v>
      </c>
      <c r="P107">
        <v>36</v>
      </c>
      <c r="Q107">
        <v>4</v>
      </c>
      <c r="R107" t="s">
        <v>3403</v>
      </c>
      <c r="T107" t="s">
        <v>3402</v>
      </c>
      <c r="U107">
        <v>55</v>
      </c>
      <c r="V107" t="s">
        <v>3399</v>
      </c>
    </row>
    <row r="108" spans="1:22" ht="12.75" customHeight="1" x14ac:dyDescent="0.15">
      <c r="A108">
        <v>5</v>
      </c>
      <c r="B108">
        <v>2026</v>
      </c>
      <c r="C108" s="25">
        <v>46055</v>
      </c>
      <c r="D108" t="s">
        <v>19</v>
      </c>
      <c r="E108" t="s">
        <v>20</v>
      </c>
      <c r="F108" t="s">
        <v>21</v>
      </c>
      <c r="G108">
        <v>3.8</v>
      </c>
      <c r="H108" t="s">
        <v>3400</v>
      </c>
      <c r="I108" t="s">
        <v>353</v>
      </c>
      <c r="J108" s="1" t="s">
        <v>253</v>
      </c>
      <c r="K108" t="s">
        <v>181</v>
      </c>
      <c r="L108" t="s">
        <v>3340</v>
      </c>
      <c r="M108">
        <v>91</v>
      </c>
      <c r="N108">
        <v>0.65</v>
      </c>
      <c r="O108" t="s">
        <v>211</v>
      </c>
      <c r="P108">
        <v>36</v>
      </c>
      <c r="Q108">
        <v>4</v>
      </c>
      <c r="R108" t="s">
        <v>3412</v>
      </c>
      <c r="T108" t="s">
        <v>3402</v>
      </c>
      <c r="U108">
        <v>55</v>
      </c>
      <c r="V108" t="s">
        <v>3399</v>
      </c>
    </row>
    <row r="109" spans="1:22" ht="12.75" customHeight="1" x14ac:dyDescent="0.15">
      <c r="A109">
        <v>5</v>
      </c>
      <c r="B109">
        <v>2026</v>
      </c>
      <c r="C109" s="25">
        <v>46055</v>
      </c>
      <c r="D109" t="s">
        <v>19</v>
      </c>
      <c r="E109" t="s">
        <v>20</v>
      </c>
      <c r="F109" t="s">
        <v>21</v>
      </c>
      <c r="G109">
        <v>3.8</v>
      </c>
      <c r="H109" t="s">
        <v>3400</v>
      </c>
      <c r="I109" t="s">
        <v>353</v>
      </c>
      <c r="J109" s="1" t="s">
        <v>253</v>
      </c>
      <c r="K109" t="s">
        <v>181</v>
      </c>
      <c r="L109" t="s">
        <v>3340</v>
      </c>
      <c r="M109">
        <v>2</v>
      </c>
      <c r="N109">
        <v>0.65</v>
      </c>
      <c r="O109" t="s">
        <v>211</v>
      </c>
      <c r="P109">
        <v>36</v>
      </c>
      <c r="Q109">
        <v>4</v>
      </c>
      <c r="R109" t="s">
        <v>3424</v>
      </c>
      <c r="T109" t="s">
        <v>3402</v>
      </c>
      <c r="U109">
        <v>55</v>
      </c>
      <c r="V109" t="s">
        <v>3399</v>
      </c>
    </row>
    <row r="110" spans="1:22" ht="12.75" customHeight="1" x14ac:dyDescent="0.15">
      <c r="A110">
        <v>5</v>
      </c>
      <c r="B110">
        <v>2026</v>
      </c>
      <c r="C110" s="25">
        <v>46055</v>
      </c>
      <c r="D110" t="s">
        <v>19</v>
      </c>
      <c r="E110" t="s">
        <v>20</v>
      </c>
      <c r="F110" t="s">
        <v>21</v>
      </c>
      <c r="G110">
        <v>3.8</v>
      </c>
      <c r="H110" t="s">
        <v>3400</v>
      </c>
      <c r="I110" t="s">
        <v>353</v>
      </c>
      <c r="J110" s="1" t="s">
        <v>253</v>
      </c>
      <c r="K110" t="s">
        <v>181</v>
      </c>
      <c r="L110" t="s">
        <v>3340</v>
      </c>
      <c r="M110">
        <v>43</v>
      </c>
      <c r="N110">
        <v>0.65</v>
      </c>
      <c r="O110" t="s">
        <v>211</v>
      </c>
      <c r="P110">
        <v>36</v>
      </c>
      <c r="Q110">
        <v>4</v>
      </c>
      <c r="R110" t="s">
        <v>3407</v>
      </c>
      <c r="T110" t="s">
        <v>3402</v>
      </c>
      <c r="U110">
        <v>55</v>
      </c>
      <c r="V110" t="s">
        <v>3399</v>
      </c>
    </row>
    <row r="111" spans="1:22" ht="12.75" customHeight="1" x14ac:dyDescent="0.15">
      <c r="A111">
        <v>5</v>
      </c>
      <c r="B111">
        <v>2026</v>
      </c>
      <c r="C111" s="25">
        <v>46055</v>
      </c>
      <c r="D111" t="s">
        <v>19</v>
      </c>
      <c r="E111" t="s">
        <v>20</v>
      </c>
      <c r="F111" t="s">
        <v>21</v>
      </c>
      <c r="G111">
        <v>3.8</v>
      </c>
      <c r="H111" t="s">
        <v>3400</v>
      </c>
      <c r="I111" t="s">
        <v>353</v>
      </c>
      <c r="J111" s="1" t="s">
        <v>253</v>
      </c>
      <c r="K111" t="s">
        <v>181</v>
      </c>
      <c r="L111" t="s">
        <v>3340</v>
      </c>
      <c r="M111">
        <v>49</v>
      </c>
      <c r="N111">
        <v>0.65</v>
      </c>
      <c r="O111" t="s">
        <v>211</v>
      </c>
      <c r="P111">
        <v>36</v>
      </c>
      <c r="Q111">
        <v>4</v>
      </c>
      <c r="R111" t="s">
        <v>3434</v>
      </c>
      <c r="T111" t="s">
        <v>3402</v>
      </c>
      <c r="U111">
        <v>55</v>
      </c>
      <c r="V111" t="s">
        <v>3399</v>
      </c>
    </row>
    <row r="112" spans="1:22" ht="12.75" customHeight="1" x14ac:dyDescent="0.15">
      <c r="A112">
        <v>5</v>
      </c>
      <c r="B112">
        <v>2026</v>
      </c>
      <c r="C112" s="25">
        <v>46055</v>
      </c>
      <c r="D112" t="s">
        <v>19</v>
      </c>
      <c r="E112" t="s">
        <v>20</v>
      </c>
      <c r="F112" t="s">
        <v>21</v>
      </c>
      <c r="G112">
        <v>3.8</v>
      </c>
      <c r="H112" t="s">
        <v>3400</v>
      </c>
      <c r="I112" t="s">
        <v>353</v>
      </c>
      <c r="J112" s="1" t="s">
        <v>253</v>
      </c>
      <c r="K112" t="s">
        <v>181</v>
      </c>
      <c r="L112" t="s">
        <v>3340</v>
      </c>
      <c r="M112">
        <v>78</v>
      </c>
      <c r="N112">
        <v>0.65</v>
      </c>
      <c r="O112" t="s">
        <v>211</v>
      </c>
      <c r="P112">
        <v>36</v>
      </c>
      <c r="Q112">
        <v>4</v>
      </c>
      <c r="R112" t="s">
        <v>3341</v>
      </c>
      <c r="T112" t="s">
        <v>3402</v>
      </c>
      <c r="U112">
        <v>55</v>
      </c>
      <c r="V112" t="s">
        <v>3399</v>
      </c>
    </row>
    <row r="113" spans="1:22" ht="12.75" customHeight="1" x14ac:dyDescent="0.15">
      <c r="A113">
        <v>5</v>
      </c>
      <c r="B113">
        <v>2026</v>
      </c>
      <c r="C113" s="25">
        <v>46055</v>
      </c>
      <c r="D113" t="s">
        <v>19</v>
      </c>
      <c r="E113" t="s">
        <v>20</v>
      </c>
      <c r="F113" t="s">
        <v>21</v>
      </c>
      <c r="G113">
        <v>3.8</v>
      </c>
      <c r="H113" t="s">
        <v>3400</v>
      </c>
      <c r="I113" t="s">
        <v>353</v>
      </c>
      <c r="J113" s="1" t="s">
        <v>253</v>
      </c>
      <c r="K113" t="s">
        <v>181</v>
      </c>
      <c r="L113" t="s">
        <v>3340</v>
      </c>
      <c r="N113">
        <v>0.65</v>
      </c>
      <c r="O113" t="s">
        <v>211</v>
      </c>
      <c r="P113">
        <v>36</v>
      </c>
      <c r="Q113">
        <v>4</v>
      </c>
      <c r="R113" t="s">
        <v>3410</v>
      </c>
      <c r="T113" t="s">
        <v>3402</v>
      </c>
      <c r="U113">
        <v>55</v>
      </c>
      <c r="V113" t="s">
        <v>3399</v>
      </c>
    </row>
    <row r="114" spans="1:22" ht="12.75" customHeight="1" x14ac:dyDescent="0.15">
      <c r="A114">
        <v>5</v>
      </c>
      <c r="B114">
        <v>2026</v>
      </c>
      <c r="C114" s="25">
        <v>46056</v>
      </c>
      <c r="D114" t="s">
        <v>19</v>
      </c>
      <c r="E114" t="s">
        <v>20</v>
      </c>
      <c r="F114" t="s">
        <v>21</v>
      </c>
      <c r="G114">
        <v>3.8</v>
      </c>
      <c r="H114" t="s">
        <v>3408</v>
      </c>
      <c r="I114" t="s">
        <v>366</v>
      </c>
      <c r="J114" s="1" t="s">
        <v>215</v>
      </c>
      <c r="K114" t="s">
        <v>181</v>
      </c>
      <c r="L114" t="s">
        <v>3340</v>
      </c>
      <c r="M114">
        <v>58</v>
      </c>
      <c r="N114">
        <v>1.18</v>
      </c>
      <c r="O114" t="s">
        <v>211</v>
      </c>
      <c r="P114">
        <v>65</v>
      </c>
      <c r="R114" t="s">
        <v>3343</v>
      </c>
      <c r="T114" t="s">
        <v>3337</v>
      </c>
      <c r="U114">
        <v>56</v>
      </c>
      <c r="V114" t="s">
        <v>3435</v>
      </c>
    </row>
    <row r="115" spans="1:22" ht="12.75" customHeight="1" x14ac:dyDescent="0.15">
      <c r="A115">
        <v>5</v>
      </c>
      <c r="B115">
        <v>2026</v>
      </c>
      <c r="C115" s="25">
        <v>46056</v>
      </c>
      <c r="D115" t="s">
        <v>19</v>
      </c>
      <c r="E115" t="s">
        <v>20</v>
      </c>
      <c r="F115" t="s">
        <v>21</v>
      </c>
      <c r="G115">
        <v>3.8</v>
      </c>
      <c r="H115" t="s">
        <v>3408</v>
      </c>
      <c r="I115" t="s">
        <v>366</v>
      </c>
      <c r="J115" s="1" t="s">
        <v>215</v>
      </c>
      <c r="K115" t="s">
        <v>181</v>
      </c>
      <c r="L115" t="s">
        <v>3340</v>
      </c>
      <c r="M115">
        <v>45</v>
      </c>
      <c r="N115">
        <v>1.18</v>
      </c>
      <c r="O115" t="s">
        <v>211</v>
      </c>
      <c r="P115">
        <v>65</v>
      </c>
      <c r="R115" t="s">
        <v>3377</v>
      </c>
      <c r="T115" t="s">
        <v>3337</v>
      </c>
      <c r="U115">
        <v>56</v>
      </c>
      <c r="V115" t="s">
        <v>3435</v>
      </c>
    </row>
    <row r="116" spans="1:22" ht="12.75" customHeight="1" x14ac:dyDescent="0.15">
      <c r="A116">
        <v>5</v>
      </c>
      <c r="B116">
        <v>2026</v>
      </c>
      <c r="C116" s="25">
        <v>46056</v>
      </c>
      <c r="D116" t="s">
        <v>19</v>
      </c>
      <c r="E116" t="s">
        <v>20</v>
      </c>
      <c r="F116" t="s">
        <v>21</v>
      </c>
      <c r="G116">
        <v>3.8</v>
      </c>
      <c r="H116" t="s">
        <v>3408</v>
      </c>
      <c r="I116" t="s">
        <v>366</v>
      </c>
      <c r="J116" s="1" t="s">
        <v>215</v>
      </c>
      <c r="K116" t="s">
        <v>181</v>
      </c>
      <c r="L116" t="s">
        <v>3340</v>
      </c>
      <c r="M116">
        <v>53</v>
      </c>
      <c r="N116">
        <v>1.18</v>
      </c>
      <c r="O116" t="s">
        <v>211</v>
      </c>
      <c r="P116">
        <v>65</v>
      </c>
      <c r="R116" t="s">
        <v>3373</v>
      </c>
      <c r="T116" t="s">
        <v>3337</v>
      </c>
      <c r="U116">
        <v>56</v>
      </c>
      <c r="V116" t="s">
        <v>3435</v>
      </c>
    </row>
    <row r="117" spans="1:22" ht="12.75" customHeight="1" x14ac:dyDescent="0.15">
      <c r="A117">
        <v>5</v>
      </c>
      <c r="B117">
        <v>2026</v>
      </c>
      <c r="C117" s="25">
        <v>46056</v>
      </c>
      <c r="D117" t="s">
        <v>19</v>
      </c>
      <c r="E117" t="s">
        <v>20</v>
      </c>
      <c r="F117" t="s">
        <v>21</v>
      </c>
      <c r="G117">
        <v>3.8</v>
      </c>
      <c r="H117" t="s">
        <v>3408</v>
      </c>
      <c r="I117" t="s">
        <v>366</v>
      </c>
      <c r="J117" s="1" t="s">
        <v>215</v>
      </c>
      <c r="K117" t="s">
        <v>181</v>
      </c>
      <c r="L117" t="s">
        <v>3340</v>
      </c>
      <c r="M117">
        <v>81</v>
      </c>
      <c r="N117">
        <v>1.18</v>
      </c>
      <c r="O117" t="s">
        <v>211</v>
      </c>
      <c r="P117">
        <v>65</v>
      </c>
      <c r="R117" t="s">
        <v>3374</v>
      </c>
      <c r="T117" t="s">
        <v>3337</v>
      </c>
      <c r="U117">
        <v>56</v>
      </c>
      <c r="V117" t="s">
        <v>3435</v>
      </c>
    </row>
    <row r="118" spans="1:22" ht="12.75" customHeight="1" x14ac:dyDescent="0.15">
      <c r="A118">
        <v>5</v>
      </c>
      <c r="B118">
        <v>2026</v>
      </c>
      <c r="C118" s="25">
        <v>46056</v>
      </c>
      <c r="D118" t="s">
        <v>19</v>
      </c>
      <c r="E118" t="s">
        <v>20</v>
      </c>
      <c r="F118" t="s">
        <v>21</v>
      </c>
      <c r="G118">
        <v>3.8</v>
      </c>
      <c r="H118" t="s">
        <v>3408</v>
      </c>
      <c r="I118" t="s">
        <v>366</v>
      </c>
      <c r="J118" s="1" t="s">
        <v>215</v>
      </c>
      <c r="K118" t="s">
        <v>181</v>
      </c>
      <c r="L118" t="s">
        <v>3340</v>
      </c>
      <c r="M118">
        <v>62</v>
      </c>
      <c r="N118">
        <v>1.18</v>
      </c>
      <c r="O118" t="s">
        <v>211</v>
      </c>
      <c r="P118">
        <v>65</v>
      </c>
      <c r="R118" t="s">
        <v>3375</v>
      </c>
      <c r="T118" t="s">
        <v>3337</v>
      </c>
      <c r="U118">
        <v>56</v>
      </c>
      <c r="V118" t="s">
        <v>3435</v>
      </c>
    </row>
    <row r="119" spans="1:22" ht="12.75" customHeight="1" x14ac:dyDescent="0.15">
      <c r="A119">
        <v>5</v>
      </c>
      <c r="B119">
        <v>2026</v>
      </c>
      <c r="C119" s="25">
        <v>46056</v>
      </c>
      <c r="D119" t="s">
        <v>19</v>
      </c>
      <c r="E119" t="s">
        <v>20</v>
      </c>
      <c r="F119" t="s">
        <v>21</v>
      </c>
      <c r="G119">
        <v>3.8</v>
      </c>
      <c r="H119" t="s">
        <v>3408</v>
      </c>
      <c r="I119" t="s">
        <v>366</v>
      </c>
      <c r="J119" s="1" t="s">
        <v>215</v>
      </c>
      <c r="K119" t="s">
        <v>181</v>
      </c>
      <c r="L119" t="s">
        <v>3340</v>
      </c>
      <c r="M119">
        <v>132</v>
      </c>
      <c r="N119">
        <v>1.18</v>
      </c>
      <c r="O119" t="s">
        <v>211</v>
      </c>
      <c r="P119">
        <v>65</v>
      </c>
      <c r="R119" t="s">
        <v>3368</v>
      </c>
      <c r="T119" t="s">
        <v>3337</v>
      </c>
      <c r="U119">
        <v>56</v>
      </c>
      <c r="V119" t="s">
        <v>3435</v>
      </c>
    </row>
    <row r="120" spans="1:22" ht="12.75" customHeight="1" x14ac:dyDescent="0.15">
      <c r="A120">
        <v>5</v>
      </c>
      <c r="B120">
        <v>2026</v>
      </c>
      <c r="C120" s="25">
        <v>46056</v>
      </c>
      <c r="D120" t="s">
        <v>39</v>
      </c>
      <c r="E120" t="s">
        <v>40</v>
      </c>
      <c r="F120" t="s">
        <v>21</v>
      </c>
      <c r="G120">
        <v>1.91</v>
      </c>
      <c r="H120" t="s">
        <v>3400</v>
      </c>
      <c r="I120" t="s">
        <v>353</v>
      </c>
      <c r="J120" s="1" t="s">
        <v>253</v>
      </c>
      <c r="K120" t="s">
        <v>181</v>
      </c>
      <c r="L120" t="s">
        <v>3340</v>
      </c>
      <c r="M120">
        <v>19</v>
      </c>
      <c r="N120">
        <v>0.08</v>
      </c>
      <c r="O120" t="s">
        <v>211</v>
      </c>
      <c r="P120">
        <v>4.5</v>
      </c>
      <c r="Q120">
        <v>0.5</v>
      </c>
      <c r="R120" t="s">
        <v>3403</v>
      </c>
      <c r="T120" t="s">
        <v>3402</v>
      </c>
      <c r="U120">
        <v>19</v>
      </c>
      <c r="V120" t="s">
        <v>3436</v>
      </c>
    </row>
    <row r="121" spans="1:22" ht="12.75" customHeight="1" x14ac:dyDescent="0.15">
      <c r="A121">
        <v>5</v>
      </c>
      <c r="B121">
        <v>2026</v>
      </c>
      <c r="C121" s="25">
        <v>46056</v>
      </c>
      <c r="D121" t="s">
        <v>39</v>
      </c>
      <c r="E121" t="s">
        <v>40</v>
      </c>
      <c r="F121" t="s">
        <v>21</v>
      </c>
      <c r="G121">
        <v>1.91</v>
      </c>
      <c r="H121" t="s">
        <v>3400</v>
      </c>
      <c r="I121" t="s">
        <v>353</v>
      </c>
      <c r="J121" s="1" t="s">
        <v>253</v>
      </c>
      <c r="K121" t="s">
        <v>181</v>
      </c>
      <c r="L121" t="s">
        <v>3340</v>
      </c>
      <c r="M121">
        <v>67</v>
      </c>
      <c r="N121">
        <v>0.08</v>
      </c>
      <c r="O121" t="s">
        <v>211</v>
      </c>
      <c r="P121">
        <v>4.5</v>
      </c>
      <c r="Q121">
        <v>0.5</v>
      </c>
      <c r="R121" t="s">
        <v>3404</v>
      </c>
      <c r="T121" t="s">
        <v>3402</v>
      </c>
      <c r="U121">
        <v>19</v>
      </c>
      <c r="V121" t="s">
        <v>3436</v>
      </c>
    </row>
    <row r="122" spans="1:22" ht="12.75" customHeight="1" x14ac:dyDescent="0.15">
      <c r="A122">
        <v>5</v>
      </c>
      <c r="B122">
        <v>2026</v>
      </c>
      <c r="C122" s="25">
        <v>46056</v>
      </c>
      <c r="D122" t="s">
        <v>39</v>
      </c>
      <c r="E122" t="s">
        <v>40</v>
      </c>
      <c r="F122" t="s">
        <v>21</v>
      </c>
      <c r="G122">
        <v>1.91</v>
      </c>
      <c r="H122" t="s">
        <v>3400</v>
      </c>
      <c r="I122" t="s">
        <v>353</v>
      </c>
      <c r="J122" s="1" t="s">
        <v>253</v>
      </c>
      <c r="K122" t="s">
        <v>181</v>
      </c>
      <c r="L122" t="s">
        <v>3340</v>
      </c>
      <c r="M122">
        <v>91</v>
      </c>
      <c r="N122">
        <v>0.08</v>
      </c>
      <c r="O122" t="s">
        <v>211</v>
      </c>
      <c r="P122">
        <v>4.5</v>
      </c>
      <c r="Q122">
        <v>0.5</v>
      </c>
      <c r="R122" t="s">
        <v>3412</v>
      </c>
      <c r="T122" t="s">
        <v>3402</v>
      </c>
      <c r="U122">
        <v>19</v>
      </c>
      <c r="V122" t="s">
        <v>3436</v>
      </c>
    </row>
    <row r="123" spans="1:22" ht="12.75" customHeight="1" x14ac:dyDescent="0.15">
      <c r="A123">
        <v>5</v>
      </c>
      <c r="B123">
        <v>2026</v>
      </c>
      <c r="C123" s="25">
        <v>46056</v>
      </c>
      <c r="D123" t="s">
        <v>39</v>
      </c>
      <c r="E123" t="s">
        <v>40</v>
      </c>
      <c r="F123" t="s">
        <v>21</v>
      </c>
      <c r="G123">
        <v>1.91</v>
      </c>
      <c r="H123" t="s">
        <v>3400</v>
      </c>
      <c r="I123" t="s">
        <v>353</v>
      </c>
      <c r="J123" s="1" t="s">
        <v>253</v>
      </c>
      <c r="K123" t="s">
        <v>181</v>
      </c>
      <c r="L123" t="s">
        <v>3340</v>
      </c>
      <c r="M123">
        <v>79</v>
      </c>
      <c r="N123">
        <v>0.08</v>
      </c>
      <c r="O123" t="s">
        <v>211</v>
      </c>
      <c r="P123">
        <v>4.5</v>
      </c>
      <c r="Q123">
        <v>0.5</v>
      </c>
      <c r="R123" t="s">
        <v>3401</v>
      </c>
      <c r="T123" t="s">
        <v>3402</v>
      </c>
      <c r="U123">
        <v>19</v>
      </c>
      <c r="V123" t="s">
        <v>3436</v>
      </c>
    </row>
    <row r="124" spans="1:22" ht="12.75" customHeight="1" x14ac:dyDescent="0.15">
      <c r="A124">
        <v>5</v>
      </c>
      <c r="B124">
        <v>2026</v>
      </c>
      <c r="C124" s="25">
        <v>46056</v>
      </c>
      <c r="D124" t="s">
        <v>39</v>
      </c>
      <c r="E124" t="s">
        <v>40</v>
      </c>
      <c r="F124" t="s">
        <v>21</v>
      </c>
      <c r="G124">
        <v>1.91</v>
      </c>
      <c r="H124" t="s">
        <v>3400</v>
      </c>
      <c r="I124" t="s">
        <v>353</v>
      </c>
      <c r="J124" s="1" t="s">
        <v>253</v>
      </c>
      <c r="K124" t="s">
        <v>181</v>
      </c>
      <c r="L124" t="s">
        <v>3340</v>
      </c>
      <c r="M124">
        <v>2</v>
      </c>
      <c r="N124">
        <v>0.08</v>
      </c>
      <c r="O124" t="s">
        <v>211</v>
      </c>
      <c r="P124">
        <v>4.5</v>
      </c>
      <c r="Q124">
        <v>0.5</v>
      </c>
      <c r="R124" t="s">
        <v>3424</v>
      </c>
      <c r="T124" t="s">
        <v>3402</v>
      </c>
      <c r="U124">
        <v>19</v>
      </c>
      <c r="V124" t="s">
        <v>3436</v>
      </c>
    </row>
    <row r="125" spans="1:22" ht="12.75" customHeight="1" x14ac:dyDescent="0.15">
      <c r="A125">
        <v>5</v>
      </c>
      <c r="B125">
        <v>2026</v>
      </c>
      <c r="C125" s="25">
        <v>46056</v>
      </c>
      <c r="D125" t="s">
        <v>39</v>
      </c>
      <c r="E125" t="s">
        <v>40</v>
      </c>
      <c r="F125" t="s">
        <v>21</v>
      </c>
      <c r="G125">
        <v>1.91</v>
      </c>
      <c r="H125" t="s">
        <v>3400</v>
      </c>
      <c r="I125" t="s">
        <v>353</v>
      </c>
      <c r="J125" s="1" t="s">
        <v>253</v>
      </c>
      <c r="K125" t="s">
        <v>181</v>
      </c>
      <c r="L125" t="s">
        <v>3340</v>
      </c>
      <c r="M125">
        <v>43</v>
      </c>
      <c r="N125">
        <v>0.08</v>
      </c>
      <c r="O125" t="s">
        <v>211</v>
      </c>
      <c r="P125">
        <v>4.5</v>
      </c>
      <c r="Q125">
        <v>0.5</v>
      </c>
      <c r="R125" t="s">
        <v>3407</v>
      </c>
      <c r="T125" t="s">
        <v>3402</v>
      </c>
      <c r="U125">
        <v>19</v>
      </c>
      <c r="V125" t="s">
        <v>3436</v>
      </c>
    </row>
    <row r="126" spans="1:22" ht="12.75" customHeight="1" x14ac:dyDescent="0.15">
      <c r="A126">
        <v>5</v>
      </c>
      <c r="B126">
        <v>2026</v>
      </c>
      <c r="C126" s="25">
        <v>46056</v>
      </c>
      <c r="D126" t="s">
        <v>39</v>
      </c>
      <c r="E126" t="s">
        <v>40</v>
      </c>
      <c r="F126" t="s">
        <v>21</v>
      </c>
      <c r="G126">
        <v>1.91</v>
      </c>
      <c r="H126" t="s">
        <v>3400</v>
      </c>
      <c r="I126" t="s">
        <v>353</v>
      </c>
      <c r="J126" s="1" t="s">
        <v>253</v>
      </c>
      <c r="K126" t="s">
        <v>181</v>
      </c>
      <c r="L126" t="s">
        <v>3340</v>
      </c>
      <c r="M126">
        <v>49</v>
      </c>
      <c r="N126">
        <v>0.08</v>
      </c>
      <c r="O126" t="s">
        <v>211</v>
      </c>
      <c r="P126">
        <v>4.5</v>
      </c>
      <c r="Q126">
        <v>0.5</v>
      </c>
      <c r="R126" t="s">
        <v>3434</v>
      </c>
      <c r="T126" t="s">
        <v>3402</v>
      </c>
      <c r="U126">
        <v>19</v>
      </c>
      <c r="V126" t="s">
        <v>3436</v>
      </c>
    </row>
    <row r="127" spans="1:22" ht="12.75" customHeight="1" x14ac:dyDescent="0.15">
      <c r="A127">
        <v>5</v>
      </c>
      <c r="B127">
        <v>2026</v>
      </c>
      <c r="C127" s="25">
        <v>46056</v>
      </c>
      <c r="D127" t="s">
        <v>39</v>
      </c>
      <c r="E127" t="s">
        <v>40</v>
      </c>
      <c r="F127" t="s">
        <v>21</v>
      </c>
      <c r="G127">
        <v>1.91</v>
      </c>
      <c r="H127" t="s">
        <v>3400</v>
      </c>
      <c r="I127" t="s">
        <v>353</v>
      </c>
      <c r="J127" s="1" t="s">
        <v>253</v>
      </c>
      <c r="K127" t="s">
        <v>181</v>
      </c>
      <c r="L127" t="s">
        <v>3340</v>
      </c>
      <c r="N127">
        <v>0.08</v>
      </c>
      <c r="O127" t="s">
        <v>211</v>
      </c>
      <c r="P127">
        <v>4.5</v>
      </c>
      <c r="Q127">
        <v>0.5</v>
      </c>
      <c r="R127" t="s">
        <v>3410</v>
      </c>
      <c r="T127" t="s">
        <v>3402</v>
      </c>
      <c r="U127">
        <v>19</v>
      </c>
      <c r="V127" t="s">
        <v>3436</v>
      </c>
    </row>
    <row r="128" spans="1:22" ht="12.75" customHeight="1" x14ac:dyDescent="0.15">
      <c r="A128">
        <v>5</v>
      </c>
      <c r="B128">
        <v>2026</v>
      </c>
      <c r="C128" s="25">
        <v>46056</v>
      </c>
      <c r="D128" t="s">
        <v>39</v>
      </c>
      <c r="E128" t="s">
        <v>40</v>
      </c>
      <c r="F128" t="s">
        <v>21</v>
      </c>
      <c r="G128">
        <v>1.91</v>
      </c>
      <c r="H128" t="s">
        <v>3400</v>
      </c>
      <c r="I128" t="s">
        <v>353</v>
      </c>
      <c r="J128" s="1" t="s">
        <v>253</v>
      </c>
      <c r="K128" t="s">
        <v>181</v>
      </c>
      <c r="L128" t="s">
        <v>3340</v>
      </c>
      <c r="M128">
        <v>25</v>
      </c>
      <c r="N128">
        <v>0.08</v>
      </c>
      <c r="O128" t="s">
        <v>211</v>
      </c>
      <c r="P128">
        <v>4.5</v>
      </c>
      <c r="Q128">
        <v>0.5</v>
      </c>
      <c r="R128" t="s">
        <v>3413</v>
      </c>
      <c r="T128" t="s">
        <v>3402</v>
      </c>
      <c r="U128">
        <v>19</v>
      </c>
      <c r="V128" t="s">
        <v>3436</v>
      </c>
    </row>
    <row r="129" spans="1:22" ht="12.75" customHeight="1" x14ac:dyDescent="0.15">
      <c r="A129">
        <v>5</v>
      </c>
      <c r="B129">
        <v>2026</v>
      </c>
      <c r="C129" s="25">
        <v>46056</v>
      </c>
      <c r="D129" t="s">
        <v>39</v>
      </c>
      <c r="E129" t="s">
        <v>40</v>
      </c>
      <c r="F129" t="s">
        <v>21</v>
      </c>
      <c r="G129">
        <v>1.91</v>
      </c>
      <c r="H129" t="s">
        <v>3400</v>
      </c>
      <c r="I129" t="s">
        <v>353</v>
      </c>
      <c r="J129" s="1" t="s">
        <v>253</v>
      </c>
      <c r="K129" t="s">
        <v>181</v>
      </c>
      <c r="L129" t="s">
        <v>3340</v>
      </c>
      <c r="M129">
        <v>78</v>
      </c>
      <c r="N129">
        <v>0.08</v>
      </c>
      <c r="O129" t="s">
        <v>211</v>
      </c>
      <c r="P129">
        <v>4.5</v>
      </c>
      <c r="Q129">
        <v>0.5</v>
      </c>
      <c r="R129" t="s">
        <v>3341</v>
      </c>
      <c r="T129" t="s">
        <v>3402</v>
      </c>
      <c r="U129">
        <v>19</v>
      </c>
      <c r="V129" t="s">
        <v>3436</v>
      </c>
    </row>
    <row r="130" spans="1:22" ht="12.75" customHeight="1" x14ac:dyDescent="0.15">
      <c r="A130">
        <v>5</v>
      </c>
      <c r="B130">
        <v>2026</v>
      </c>
      <c r="C130" s="25">
        <v>46056</v>
      </c>
      <c r="D130" t="s">
        <v>19</v>
      </c>
      <c r="E130" t="s">
        <v>20</v>
      </c>
      <c r="F130" t="s">
        <v>21</v>
      </c>
      <c r="G130">
        <v>3.8</v>
      </c>
      <c r="H130" t="s">
        <v>3431</v>
      </c>
      <c r="I130" t="s">
        <v>3432</v>
      </c>
      <c r="J130" s="1" t="s">
        <v>3437</v>
      </c>
      <c r="K130" t="s">
        <v>181</v>
      </c>
      <c r="L130" t="s">
        <v>3340</v>
      </c>
      <c r="M130">
        <v>2</v>
      </c>
      <c r="N130">
        <v>0.08</v>
      </c>
      <c r="O130" t="s">
        <v>211</v>
      </c>
      <c r="P130">
        <v>4.5</v>
      </c>
      <c r="Q130">
        <v>0.5</v>
      </c>
      <c r="R130" t="s">
        <v>3424</v>
      </c>
      <c r="T130" t="s">
        <v>3402</v>
      </c>
      <c r="U130">
        <v>56</v>
      </c>
      <c r="V130" t="s">
        <v>3438</v>
      </c>
    </row>
    <row r="131" spans="1:22" ht="12.75" customHeight="1" x14ac:dyDescent="0.15">
      <c r="A131">
        <v>5</v>
      </c>
      <c r="B131">
        <v>2026</v>
      </c>
      <c r="C131" s="25">
        <v>46057</v>
      </c>
      <c r="D131" t="s">
        <v>39</v>
      </c>
      <c r="E131" t="s">
        <v>40</v>
      </c>
      <c r="F131" t="s">
        <v>21</v>
      </c>
      <c r="G131">
        <v>1.91</v>
      </c>
      <c r="H131" t="s">
        <v>3400</v>
      </c>
      <c r="I131" t="s">
        <v>353</v>
      </c>
      <c r="J131" s="1" t="s">
        <v>253</v>
      </c>
      <c r="K131" t="s">
        <v>181</v>
      </c>
      <c r="L131" t="s">
        <v>3333</v>
      </c>
      <c r="M131">
        <v>67</v>
      </c>
      <c r="N131">
        <v>0.25</v>
      </c>
      <c r="O131" t="s">
        <v>3334</v>
      </c>
      <c r="P131">
        <v>20.399999999999999</v>
      </c>
      <c r="Q131">
        <v>2</v>
      </c>
      <c r="R131" t="s">
        <v>3404</v>
      </c>
      <c r="T131" t="s">
        <v>3402</v>
      </c>
      <c r="U131">
        <v>20</v>
      </c>
      <c r="V131" t="s">
        <v>3439</v>
      </c>
    </row>
    <row r="132" spans="1:22" ht="12.75" customHeight="1" x14ac:dyDescent="0.15">
      <c r="A132">
        <v>5</v>
      </c>
      <c r="B132">
        <v>2026</v>
      </c>
      <c r="C132" s="25">
        <v>46057</v>
      </c>
      <c r="D132" t="s">
        <v>39</v>
      </c>
      <c r="E132" t="s">
        <v>40</v>
      </c>
      <c r="F132" t="s">
        <v>21</v>
      </c>
      <c r="G132">
        <v>1.91</v>
      </c>
      <c r="H132" t="s">
        <v>3400</v>
      </c>
      <c r="I132" t="s">
        <v>353</v>
      </c>
      <c r="J132" s="1" t="s">
        <v>253</v>
      </c>
      <c r="K132" t="s">
        <v>181</v>
      </c>
      <c r="L132" t="s">
        <v>3333</v>
      </c>
      <c r="M132">
        <v>79</v>
      </c>
      <c r="N132">
        <v>0.25</v>
      </c>
      <c r="O132" t="s">
        <v>3334</v>
      </c>
      <c r="P132">
        <v>20.399999999999999</v>
      </c>
      <c r="Q132">
        <v>2</v>
      </c>
      <c r="R132" t="s">
        <v>3401</v>
      </c>
      <c r="T132" t="s">
        <v>3402</v>
      </c>
      <c r="U132">
        <v>20</v>
      </c>
      <c r="V132" t="s">
        <v>3439</v>
      </c>
    </row>
    <row r="133" spans="1:22" ht="12.75" customHeight="1" x14ac:dyDescent="0.15">
      <c r="A133">
        <v>5</v>
      </c>
      <c r="B133">
        <v>2026</v>
      </c>
      <c r="C133" s="25">
        <v>46057</v>
      </c>
      <c r="D133" t="s">
        <v>39</v>
      </c>
      <c r="E133" t="s">
        <v>40</v>
      </c>
      <c r="F133" t="s">
        <v>21</v>
      </c>
      <c r="G133">
        <v>1.91</v>
      </c>
      <c r="H133" t="s">
        <v>3400</v>
      </c>
      <c r="I133" t="s">
        <v>353</v>
      </c>
      <c r="J133" s="1" t="s">
        <v>253</v>
      </c>
      <c r="K133" t="s">
        <v>181</v>
      </c>
      <c r="L133" t="s">
        <v>3333</v>
      </c>
      <c r="M133">
        <v>91</v>
      </c>
      <c r="N133">
        <v>0.25</v>
      </c>
      <c r="O133" t="s">
        <v>3334</v>
      </c>
      <c r="P133">
        <v>20.399999999999999</v>
      </c>
      <c r="Q133">
        <v>2</v>
      </c>
      <c r="R133" t="s">
        <v>3412</v>
      </c>
      <c r="T133" t="s">
        <v>3402</v>
      </c>
      <c r="U133">
        <v>20</v>
      </c>
      <c r="V133" t="s">
        <v>3439</v>
      </c>
    </row>
    <row r="134" spans="1:22" ht="12.75" customHeight="1" x14ac:dyDescent="0.15">
      <c r="A134">
        <v>5</v>
      </c>
      <c r="B134">
        <v>2026</v>
      </c>
      <c r="C134" s="25">
        <v>46057</v>
      </c>
      <c r="D134" t="s">
        <v>39</v>
      </c>
      <c r="E134" t="s">
        <v>40</v>
      </c>
      <c r="F134" t="s">
        <v>21</v>
      </c>
      <c r="G134">
        <v>1.91</v>
      </c>
      <c r="H134" t="s">
        <v>3400</v>
      </c>
      <c r="I134" t="s">
        <v>353</v>
      </c>
      <c r="J134" s="1" t="s">
        <v>253</v>
      </c>
      <c r="K134" t="s">
        <v>181</v>
      </c>
      <c r="L134" t="s">
        <v>3333</v>
      </c>
      <c r="M134">
        <v>19</v>
      </c>
      <c r="N134">
        <v>0.25</v>
      </c>
      <c r="O134" t="s">
        <v>3334</v>
      </c>
      <c r="P134">
        <v>20.399999999999999</v>
      </c>
      <c r="Q134">
        <v>2</v>
      </c>
      <c r="R134" t="s">
        <v>3403</v>
      </c>
      <c r="T134" t="s">
        <v>3402</v>
      </c>
      <c r="U134">
        <v>20</v>
      </c>
      <c r="V134" t="s">
        <v>3439</v>
      </c>
    </row>
    <row r="135" spans="1:22" ht="12.75" customHeight="1" x14ac:dyDescent="0.15">
      <c r="A135">
        <v>5</v>
      </c>
      <c r="B135">
        <v>2026</v>
      </c>
      <c r="C135" s="25">
        <v>46057</v>
      </c>
      <c r="D135" t="s">
        <v>39</v>
      </c>
      <c r="E135" t="s">
        <v>40</v>
      </c>
      <c r="F135" t="s">
        <v>21</v>
      </c>
      <c r="G135">
        <v>1.91</v>
      </c>
      <c r="H135" t="s">
        <v>3400</v>
      </c>
      <c r="I135" t="s">
        <v>353</v>
      </c>
      <c r="J135" s="1" t="s">
        <v>253</v>
      </c>
      <c r="K135" t="s">
        <v>181</v>
      </c>
      <c r="L135" t="s">
        <v>3333</v>
      </c>
      <c r="M135">
        <v>2</v>
      </c>
      <c r="N135">
        <v>0.25</v>
      </c>
      <c r="O135" t="s">
        <v>3440</v>
      </c>
      <c r="P135">
        <v>22.62</v>
      </c>
      <c r="Q135">
        <v>2</v>
      </c>
      <c r="R135" t="s">
        <v>3424</v>
      </c>
      <c r="T135" t="s">
        <v>3402</v>
      </c>
      <c r="U135">
        <v>20</v>
      </c>
      <c r="V135" t="s">
        <v>3396</v>
      </c>
    </row>
    <row r="136" spans="1:22" ht="12.75" customHeight="1" x14ac:dyDescent="0.15">
      <c r="A136">
        <v>5</v>
      </c>
      <c r="B136">
        <v>2026</v>
      </c>
      <c r="C136" s="25">
        <v>46057</v>
      </c>
      <c r="D136" t="s">
        <v>39</v>
      </c>
      <c r="E136" t="s">
        <v>40</v>
      </c>
      <c r="F136" t="s">
        <v>21</v>
      </c>
      <c r="G136">
        <v>1.91</v>
      </c>
      <c r="H136" t="s">
        <v>3400</v>
      </c>
      <c r="I136" t="s">
        <v>353</v>
      </c>
      <c r="J136" s="1" t="s">
        <v>253</v>
      </c>
      <c r="K136" t="s">
        <v>181</v>
      </c>
      <c r="L136" t="s">
        <v>3340</v>
      </c>
      <c r="M136">
        <v>43</v>
      </c>
      <c r="N136">
        <v>0.33</v>
      </c>
      <c r="O136" t="s">
        <v>211</v>
      </c>
      <c r="P136">
        <v>18</v>
      </c>
      <c r="Q136">
        <v>2</v>
      </c>
      <c r="R136" t="s">
        <v>3407</v>
      </c>
      <c r="T136" t="s">
        <v>3402</v>
      </c>
      <c r="U136">
        <v>20</v>
      </c>
      <c r="V136" t="s">
        <v>3425</v>
      </c>
    </row>
    <row r="137" spans="1:22" ht="12.75" customHeight="1" x14ac:dyDescent="0.15">
      <c r="A137">
        <v>5</v>
      </c>
      <c r="B137">
        <v>2026</v>
      </c>
      <c r="C137" s="25">
        <v>46057</v>
      </c>
      <c r="D137" t="s">
        <v>39</v>
      </c>
      <c r="E137" t="s">
        <v>40</v>
      </c>
      <c r="F137" t="s">
        <v>21</v>
      </c>
      <c r="G137">
        <v>1.91</v>
      </c>
      <c r="H137" t="s">
        <v>3400</v>
      </c>
      <c r="I137" t="s">
        <v>353</v>
      </c>
      <c r="J137" s="1" t="s">
        <v>253</v>
      </c>
      <c r="K137" t="s">
        <v>181</v>
      </c>
      <c r="L137" t="s">
        <v>3340</v>
      </c>
      <c r="M137">
        <v>49</v>
      </c>
      <c r="N137">
        <v>0.33</v>
      </c>
      <c r="O137" t="s">
        <v>211</v>
      </c>
      <c r="P137">
        <v>18</v>
      </c>
      <c r="Q137">
        <v>2</v>
      </c>
      <c r="R137" t="s">
        <v>3434</v>
      </c>
      <c r="T137" t="s">
        <v>3402</v>
      </c>
      <c r="U137">
        <v>20</v>
      </c>
      <c r="V137" t="s">
        <v>3425</v>
      </c>
    </row>
    <row r="138" spans="1:22" ht="12.75" customHeight="1" x14ac:dyDescent="0.15">
      <c r="A138">
        <v>5</v>
      </c>
      <c r="B138">
        <v>2026</v>
      </c>
      <c r="C138" s="25">
        <v>46057</v>
      </c>
      <c r="D138" t="s">
        <v>39</v>
      </c>
      <c r="E138" t="s">
        <v>40</v>
      </c>
      <c r="F138" t="s">
        <v>21</v>
      </c>
      <c r="G138">
        <v>1.91</v>
      </c>
      <c r="H138" t="s">
        <v>3400</v>
      </c>
      <c r="I138" t="s">
        <v>353</v>
      </c>
      <c r="J138" s="1" t="s">
        <v>253</v>
      </c>
      <c r="K138" t="s">
        <v>181</v>
      </c>
      <c r="L138" t="s">
        <v>3340</v>
      </c>
      <c r="M138">
        <v>25</v>
      </c>
      <c r="N138">
        <v>0.33</v>
      </c>
      <c r="O138" t="s">
        <v>211</v>
      </c>
      <c r="P138">
        <v>18</v>
      </c>
      <c r="Q138">
        <v>2</v>
      </c>
      <c r="R138" t="s">
        <v>3413</v>
      </c>
      <c r="T138" t="s">
        <v>3402</v>
      </c>
      <c r="U138">
        <v>20</v>
      </c>
      <c r="V138" t="s">
        <v>3425</v>
      </c>
    </row>
    <row r="139" spans="1:22" ht="12.75" customHeight="1" x14ac:dyDescent="0.15">
      <c r="A139">
        <v>5</v>
      </c>
      <c r="B139">
        <v>2026</v>
      </c>
      <c r="C139" s="25">
        <v>46057</v>
      </c>
      <c r="D139" t="s">
        <v>39</v>
      </c>
      <c r="E139" t="s">
        <v>40</v>
      </c>
      <c r="F139" t="s">
        <v>21</v>
      </c>
      <c r="G139">
        <v>1.91</v>
      </c>
      <c r="H139" t="s">
        <v>3400</v>
      </c>
      <c r="I139" t="s">
        <v>353</v>
      </c>
      <c r="J139" s="1" t="s">
        <v>253</v>
      </c>
      <c r="K139" t="s">
        <v>181</v>
      </c>
      <c r="L139" t="s">
        <v>3340</v>
      </c>
      <c r="N139">
        <v>0.33</v>
      </c>
      <c r="O139" t="s">
        <v>211</v>
      </c>
      <c r="P139">
        <v>18</v>
      </c>
      <c r="Q139">
        <v>2</v>
      </c>
      <c r="R139" t="s">
        <v>3410</v>
      </c>
      <c r="T139" t="s">
        <v>3402</v>
      </c>
      <c r="U139">
        <v>20</v>
      </c>
      <c r="V139" t="s">
        <v>3425</v>
      </c>
    </row>
    <row r="140" spans="1:22" ht="12.75" customHeight="1" x14ac:dyDescent="0.15">
      <c r="A140">
        <v>5</v>
      </c>
      <c r="B140">
        <v>2026</v>
      </c>
      <c r="C140" s="25">
        <v>46057</v>
      </c>
      <c r="D140" t="s">
        <v>39</v>
      </c>
      <c r="E140" t="s">
        <v>40</v>
      </c>
      <c r="F140" t="s">
        <v>21</v>
      </c>
      <c r="G140">
        <v>1.91</v>
      </c>
      <c r="H140" t="s">
        <v>3400</v>
      </c>
      <c r="I140" t="s">
        <v>353</v>
      </c>
      <c r="J140" s="1" t="s">
        <v>253</v>
      </c>
      <c r="K140" t="s">
        <v>181</v>
      </c>
      <c r="L140" t="s">
        <v>3340</v>
      </c>
      <c r="M140">
        <v>78</v>
      </c>
      <c r="N140">
        <v>0.33</v>
      </c>
      <c r="O140" t="s">
        <v>211</v>
      </c>
      <c r="P140">
        <v>18</v>
      </c>
      <c r="Q140">
        <v>2</v>
      </c>
      <c r="R140" t="s">
        <v>3341</v>
      </c>
      <c r="T140" t="s">
        <v>3402</v>
      </c>
      <c r="U140">
        <v>20</v>
      </c>
      <c r="V140" t="s">
        <v>3425</v>
      </c>
    </row>
    <row r="141" spans="1:22" ht="12.75" customHeight="1" x14ac:dyDescent="0.15">
      <c r="A141">
        <v>6</v>
      </c>
      <c r="B141">
        <v>2026</v>
      </c>
      <c r="C141" s="25">
        <v>46060</v>
      </c>
      <c r="D141" t="s">
        <v>19</v>
      </c>
      <c r="E141" t="s">
        <v>20</v>
      </c>
      <c r="F141" t="s">
        <v>21</v>
      </c>
      <c r="G141">
        <v>3.8</v>
      </c>
      <c r="H141" t="s">
        <v>3400</v>
      </c>
      <c r="I141" t="s">
        <v>353</v>
      </c>
      <c r="J141" s="1" t="s">
        <v>253</v>
      </c>
      <c r="K141" t="s">
        <v>181</v>
      </c>
      <c r="L141" t="s">
        <v>3333</v>
      </c>
      <c r="M141">
        <v>67</v>
      </c>
      <c r="N141">
        <v>0.13</v>
      </c>
      <c r="O141" t="s">
        <v>3334</v>
      </c>
      <c r="P141">
        <v>10.199999999999999</v>
      </c>
      <c r="Q141">
        <v>1</v>
      </c>
      <c r="R141" t="s">
        <v>3404</v>
      </c>
      <c r="T141" t="s">
        <v>3402</v>
      </c>
      <c r="U141">
        <v>60</v>
      </c>
      <c r="V141" t="s">
        <v>3441</v>
      </c>
    </row>
    <row r="142" spans="1:22" ht="12.75" customHeight="1" x14ac:dyDescent="0.15">
      <c r="A142">
        <v>6</v>
      </c>
      <c r="B142">
        <v>2026</v>
      </c>
      <c r="C142" s="25">
        <v>46060</v>
      </c>
      <c r="D142" t="s">
        <v>19</v>
      </c>
      <c r="E142" t="s">
        <v>20</v>
      </c>
      <c r="F142" t="s">
        <v>21</v>
      </c>
      <c r="G142">
        <v>3.8</v>
      </c>
      <c r="H142" t="s">
        <v>3400</v>
      </c>
      <c r="I142" t="s">
        <v>353</v>
      </c>
      <c r="J142" s="1" t="s">
        <v>253</v>
      </c>
      <c r="K142" t="s">
        <v>181</v>
      </c>
      <c r="L142" t="s">
        <v>3333</v>
      </c>
      <c r="M142">
        <v>79</v>
      </c>
      <c r="N142">
        <v>0.13</v>
      </c>
      <c r="O142" t="s">
        <v>3334</v>
      </c>
      <c r="P142">
        <v>10.199999999999999</v>
      </c>
      <c r="Q142">
        <v>1</v>
      </c>
      <c r="R142" t="s">
        <v>3401</v>
      </c>
      <c r="T142" t="s">
        <v>3402</v>
      </c>
      <c r="U142">
        <v>60</v>
      </c>
      <c r="V142" t="s">
        <v>3441</v>
      </c>
    </row>
    <row r="143" spans="1:22" ht="12.75" customHeight="1" x14ac:dyDescent="0.15">
      <c r="A143">
        <v>6</v>
      </c>
      <c r="B143">
        <v>2026</v>
      </c>
      <c r="C143" s="25">
        <v>46060</v>
      </c>
      <c r="D143" t="s">
        <v>19</v>
      </c>
      <c r="E143" t="s">
        <v>20</v>
      </c>
      <c r="F143" t="s">
        <v>21</v>
      </c>
      <c r="G143">
        <v>3.8</v>
      </c>
      <c r="H143" t="s">
        <v>3400</v>
      </c>
      <c r="I143" t="s">
        <v>353</v>
      </c>
      <c r="J143" s="1" t="s">
        <v>253</v>
      </c>
      <c r="K143" t="s">
        <v>181</v>
      </c>
      <c r="L143" t="s">
        <v>3333</v>
      </c>
      <c r="M143">
        <v>19</v>
      </c>
      <c r="N143">
        <v>0.13</v>
      </c>
      <c r="O143" t="s">
        <v>3334</v>
      </c>
      <c r="P143">
        <v>10.199999999999999</v>
      </c>
      <c r="Q143">
        <v>1</v>
      </c>
      <c r="R143" t="s">
        <v>3403</v>
      </c>
      <c r="T143" t="s">
        <v>3402</v>
      </c>
      <c r="U143">
        <v>60</v>
      </c>
      <c r="V143" t="s">
        <v>3441</v>
      </c>
    </row>
    <row r="144" spans="1:22" ht="12.75" customHeight="1" x14ac:dyDescent="0.15">
      <c r="A144">
        <v>6</v>
      </c>
      <c r="B144">
        <v>2026</v>
      </c>
      <c r="C144" s="25">
        <v>46060</v>
      </c>
      <c r="D144" t="s">
        <v>19</v>
      </c>
      <c r="E144" t="s">
        <v>20</v>
      </c>
      <c r="F144" t="s">
        <v>21</v>
      </c>
      <c r="G144">
        <v>3.8</v>
      </c>
      <c r="H144" t="s">
        <v>3400</v>
      </c>
      <c r="I144" t="s">
        <v>353</v>
      </c>
      <c r="J144" s="1" t="s">
        <v>253</v>
      </c>
      <c r="K144" t="s">
        <v>181</v>
      </c>
      <c r="L144" t="s">
        <v>3333</v>
      </c>
      <c r="M144">
        <v>91</v>
      </c>
      <c r="N144">
        <v>0.13</v>
      </c>
      <c r="O144" t="s">
        <v>3334</v>
      </c>
      <c r="P144">
        <v>10.199999999999999</v>
      </c>
      <c r="Q144">
        <v>1</v>
      </c>
      <c r="R144" t="s">
        <v>3412</v>
      </c>
      <c r="T144" t="s">
        <v>3402</v>
      </c>
      <c r="U144">
        <v>60</v>
      </c>
      <c r="V144" t="s">
        <v>3441</v>
      </c>
    </row>
    <row r="145" spans="1:22" ht="12.75" customHeight="1" x14ac:dyDescent="0.15">
      <c r="A145">
        <v>6</v>
      </c>
      <c r="B145">
        <v>2026</v>
      </c>
      <c r="C145" s="25">
        <v>46060</v>
      </c>
      <c r="D145" t="s">
        <v>19</v>
      </c>
      <c r="E145" t="s">
        <v>20</v>
      </c>
      <c r="F145" t="s">
        <v>21</v>
      </c>
      <c r="G145">
        <v>3.8</v>
      </c>
      <c r="H145" t="s">
        <v>3400</v>
      </c>
      <c r="I145" t="s">
        <v>353</v>
      </c>
      <c r="J145" s="1" t="s">
        <v>253</v>
      </c>
      <c r="K145" t="s">
        <v>181</v>
      </c>
      <c r="L145" t="s">
        <v>3340</v>
      </c>
      <c r="M145">
        <v>25</v>
      </c>
      <c r="N145">
        <v>0.16</v>
      </c>
      <c r="O145" t="s">
        <v>211</v>
      </c>
      <c r="P145">
        <v>9</v>
      </c>
      <c r="Q145">
        <v>1</v>
      </c>
      <c r="R145" t="s">
        <v>3413</v>
      </c>
      <c r="T145" t="s">
        <v>3402</v>
      </c>
      <c r="U145">
        <v>60</v>
      </c>
      <c r="V145" t="s">
        <v>3442</v>
      </c>
    </row>
    <row r="146" spans="1:22" ht="12.75" customHeight="1" x14ac:dyDescent="0.15">
      <c r="A146">
        <v>6</v>
      </c>
      <c r="B146">
        <v>2026</v>
      </c>
      <c r="C146" s="25">
        <v>46060</v>
      </c>
      <c r="D146" t="s">
        <v>19</v>
      </c>
      <c r="E146" t="s">
        <v>20</v>
      </c>
      <c r="F146" t="s">
        <v>21</v>
      </c>
      <c r="G146">
        <v>3.8</v>
      </c>
      <c r="H146" t="s">
        <v>3400</v>
      </c>
      <c r="I146" t="s">
        <v>353</v>
      </c>
      <c r="J146" s="1" t="s">
        <v>253</v>
      </c>
      <c r="K146" t="s">
        <v>181</v>
      </c>
      <c r="L146" t="s">
        <v>3340</v>
      </c>
      <c r="M146">
        <v>26</v>
      </c>
      <c r="N146">
        <v>0.16</v>
      </c>
      <c r="O146" t="s">
        <v>211</v>
      </c>
      <c r="P146">
        <v>9</v>
      </c>
      <c r="Q146">
        <v>1</v>
      </c>
      <c r="R146" t="s">
        <v>3421</v>
      </c>
      <c r="T146" t="s">
        <v>3402</v>
      </c>
      <c r="U146">
        <v>60</v>
      </c>
      <c r="V146" t="s">
        <v>3442</v>
      </c>
    </row>
    <row r="147" spans="1:22" ht="12.75" customHeight="1" x14ac:dyDescent="0.15">
      <c r="A147">
        <v>6</v>
      </c>
      <c r="B147">
        <v>2026</v>
      </c>
      <c r="C147" s="25">
        <v>46060</v>
      </c>
      <c r="D147" t="s">
        <v>19</v>
      </c>
      <c r="E147" t="s">
        <v>20</v>
      </c>
      <c r="F147" t="s">
        <v>21</v>
      </c>
      <c r="G147">
        <v>3.8</v>
      </c>
      <c r="H147" t="s">
        <v>3400</v>
      </c>
      <c r="I147" t="s">
        <v>353</v>
      </c>
      <c r="J147" s="1" t="s">
        <v>253</v>
      </c>
      <c r="K147" t="s">
        <v>181</v>
      </c>
      <c r="L147" t="s">
        <v>3340</v>
      </c>
      <c r="M147">
        <v>78</v>
      </c>
      <c r="N147">
        <v>0.16</v>
      </c>
      <c r="O147" t="s">
        <v>211</v>
      </c>
      <c r="P147">
        <v>9</v>
      </c>
      <c r="Q147">
        <v>1</v>
      </c>
      <c r="R147" t="s">
        <v>3341</v>
      </c>
      <c r="T147" t="s">
        <v>3402</v>
      </c>
      <c r="U147">
        <v>60</v>
      </c>
      <c r="V147" t="s">
        <v>3442</v>
      </c>
    </row>
    <row r="148" spans="1:22" ht="12.75" customHeight="1" x14ac:dyDescent="0.15">
      <c r="A148">
        <v>6</v>
      </c>
      <c r="B148">
        <v>2026</v>
      </c>
      <c r="C148" s="25">
        <v>46060</v>
      </c>
      <c r="D148" t="s">
        <v>19</v>
      </c>
      <c r="E148" t="s">
        <v>20</v>
      </c>
      <c r="F148" t="s">
        <v>21</v>
      </c>
      <c r="G148">
        <v>3.8</v>
      </c>
      <c r="H148" t="s">
        <v>3400</v>
      </c>
      <c r="I148" t="s">
        <v>353</v>
      </c>
      <c r="J148" s="1" t="s">
        <v>253</v>
      </c>
      <c r="K148" t="s">
        <v>181</v>
      </c>
      <c r="L148" t="s">
        <v>3340</v>
      </c>
      <c r="N148">
        <v>0.16</v>
      </c>
      <c r="O148" t="s">
        <v>211</v>
      </c>
      <c r="P148">
        <v>9</v>
      </c>
      <c r="Q148">
        <v>1</v>
      </c>
      <c r="R148" t="s">
        <v>3410</v>
      </c>
      <c r="T148" t="s">
        <v>3402</v>
      </c>
      <c r="U148">
        <v>60</v>
      </c>
      <c r="V148" t="s">
        <v>3442</v>
      </c>
    </row>
    <row r="149" spans="1:22" ht="12.75" customHeight="1" x14ac:dyDescent="0.15">
      <c r="A149">
        <v>6</v>
      </c>
      <c r="B149">
        <v>2026</v>
      </c>
      <c r="C149" s="25">
        <v>46064</v>
      </c>
      <c r="D149" t="s">
        <v>39</v>
      </c>
      <c r="E149" t="s">
        <v>40</v>
      </c>
      <c r="F149" t="s">
        <v>21</v>
      </c>
      <c r="G149">
        <v>1.91</v>
      </c>
      <c r="H149" t="s">
        <v>3400</v>
      </c>
      <c r="I149" t="s">
        <v>353</v>
      </c>
      <c r="J149" s="1" t="s">
        <v>253</v>
      </c>
      <c r="K149" t="s">
        <v>181</v>
      </c>
      <c r="L149" t="s">
        <v>3333</v>
      </c>
      <c r="M149">
        <v>67</v>
      </c>
      <c r="N149">
        <v>1</v>
      </c>
      <c r="O149" t="s">
        <v>3334</v>
      </c>
      <c r="P149">
        <v>81.58</v>
      </c>
      <c r="Q149">
        <v>8</v>
      </c>
      <c r="R149" t="s">
        <v>3404</v>
      </c>
      <c r="T149" t="s">
        <v>3402</v>
      </c>
      <c r="U149">
        <v>27</v>
      </c>
      <c r="V149" t="s">
        <v>3443</v>
      </c>
    </row>
    <row r="150" spans="1:22" ht="12.75" customHeight="1" x14ac:dyDescent="0.15">
      <c r="A150">
        <v>6</v>
      </c>
      <c r="B150">
        <v>2026</v>
      </c>
      <c r="C150" s="25">
        <v>46064</v>
      </c>
      <c r="D150" t="s">
        <v>39</v>
      </c>
      <c r="E150" t="s">
        <v>40</v>
      </c>
      <c r="F150" t="s">
        <v>21</v>
      </c>
      <c r="G150">
        <v>1.91</v>
      </c>
      <c r="H150" t="s">
        <v>3400</v>
      </c>
      <c r="I150" t="s">
        <v>353</v>
      </c>
      <c r="J150" s="1" t="s">
        <v>253</v>
      </c>
      <c r="K150" t="s">
        <v>181</v>
      </c>
      <c r="L150" t="s">
        <v>3333</v>
      </c>
      <c r="M150">
        <v>19</v>
      </c>
      <c r="N150">
        <v>1</v>
      </c>
      <c r="O150" t="s">
        <v>3334</v>
      </c>
      <c r="P150">
        <v>81.58</v>
      </c>
      <c r="Q150">
        <v>8</v>
      </c>
      <c r="R150" t="s">
        <v>3403</v>
      </c>
      <c r="T150" t="s">
        <v>3402</v>
      </c>
      <c r="U150">
        <v>27</v>
      </c>
      <c r="V150" t="s">
        <v>3443</v>
      </c>
    </row>
    <row r="151" spans="1:22" ht="12.75" customHeight="1" x14ac:dyDescent="0.15">
      <c r="A151">
        <v>6</v>
      </c>
      <c r="B151">
        <v>2026</v>
      </c>
      <c r="C151" s="25">
        <v>46064</v>
      </c>
      <c r="D151" t="s">
        <v>39</v>
      </c>
      <c r="E151" t="s">
        <v>40</v>
      </c>
      <c r="F151" t="s">
        <v>21</v>
      </c>
      <c r="G151">
        <v>1.91</v>
      </c>
      <c r="H151" t="s">
        <v>3400</v>
      </c>
      <c r="I151" t="s">
        <v>353</v>
      </c>
      <c r="J151" s="1" t="s">
        <v>253</v>
      </c>
      <c r="K151" t="s">
        <v>181</v>
      </c>
      <c r="L151" t="s">
        <v>3333</v>
      </c>
      <c r="M151">
        <v>91</v>
      </c>
      <c r="N151">
        <v>1</v>
      </c>
      <c r="O151" t="s">
        <v>3334</v>
      </c>
      <c r="P151">
        <v>81.58</v>
      </c>
      <c r="Q151">
        <v>8</v>
      </c>
      <c r="R151" t="s">
        <v>3412</v>
      </c>
      <c r="T151" t="s">
        <v>3402</v>
      </c>
      <c r="U151">
        <v>27</v>
      </c>
      <c r="V151" t="s">
        <v>3443</v>
      </c>
    </row>
    <row r="152" spans="1:22" ht="12.75" customHeight="1" x14ac:dyDescent="0.15">
      <c r="A152">
        <v>6</v>
      </c>
      <c r="B152">
        <v>2026</v>
      </c>
      <c r="C152" s="25">
        <v>46064</v>
      </c>
      <c r="D152" t="s">
        <v>39</v>
      </c>
      <c r="E152" t="s">
        <v>40</v>
      </c>
      <c r="F152" t="s">
        <v>21</v>
      </c>
      <c r="G152">
        <v>1.91</v>
      </c>
      <c r="H152" t="s">
        <v>3400</v>
      </c>
      <c r="I152" t="s">
        <v>353</v>
      </c>
      <c r="J152" s="1" t="s">
        <v>253</v>
      </c>
      <c r="K152" t="s">
        <v>181</v>
      </c>
      <c r="L152" t="s">
        <v>3333</v>
      </c>
      <c r="M152">
        <v>79</v>
      </c>
      <c r="N152">
        <v>1</v>
      </c>
      <c r="O152" t="s">
        <v>3334</v>
      </c>
      <c r="P152">
        <v>81.58</v>
      </c>
      <c r="Q152">
        <v>8</v>
      </c>
      <c r="R152" t="s">
        <v>3401</v>
      </c>
      <c r="T152" t="s">
        <v>3402</v>
      </c>
      <c r="U152">
        <v>27</v>
      </c>
      <c r="V152" t="s">
        <v>3443</v>
      </c>
    </row>
    <row r="153" spans="1:22" ht="12.75" customHeight="1" x14ac:dyDescent="0.15">
      <c r="A153">
        <v>6</v>
      </c>
      <c r="B153">
        <v>2026</v>
      </c>
      <c r="C153" s="25">
        <v>46064</v>
      </c>
      <c r="D153" t="s">
        <v>39</v>
      </c>
      <c r="E153" t="s">
        <v>40</v>
      </c>
      <c r="F153" t="s">
        <v>21</v>
      </c>
      <c r="G153">
        <v>1.91</v>
      </c>
      <c r="H153" t="s">
        <v>3400</v>
      </c>
      <c r="I153" t="s">
        <v>353</v>
      </c>
      <c r="J153" s="1" t="s">
        <v>253</v>
      </c>
      <c r="K153" t="s">
        <v>181</v>
      </c>
      <c r="L153" t="s">
        <v>3333</v>
      </c>
      <c r="M153">
        <v>2</v>
      </c>
      <c r="N153">
        <v>1</v>
      </c>
      <c r="O153" t="s">
        <v>3440</v>
      </c>
      <c r="P153">
        <v>90.49</v>
      </c>
      <c r="Q153">
        <v>8</v>
      </c>
      <c r="R153" t="s">
        <v>3424</v>
      </c>
      <c r="T153" t="s">
        <v>3402</v>
      </c>
      <c r="U153">
        <v>27</v>
      </c>
      <c r="V153" t="s">
        <v>3444</v>
      </c>
    </row>
    <row r="154" spans="1:22" ht="12.75" customHeight="1" x14ac:dyDescent="0.15">
      <c r="A154">
        <v>6</v>
      </c>
      <c r="B154">
        <v>2026</v>
      </c>
      <c r="C154" s="25">
        <v>46064</v>
      </c>
      <c r="D154" t="s">
        <v>39</v>
      </c>
      <c r="E154" t="s">
        <v>40</v>
      </c>
      <c r="F154" t="s">
        <v>21</v>
      </c>
      <c r="G154">
        <v>1.91</v>
      </c>
      <c r="H154" t="s">
        <v>3400</v>
      </c>
      <c r="I154" t="s">
        <v>353</v>
      </c>
      <c r="J154" s="1" t="s">
        <v>253</v>
      </c>
      <c r="K154" t="s">
        <v>181</v>
      </c>
      <c r="L154" t="s">
        <v>3340</v>
      </c>
      <c r="M154">
        <v>43</v>
      </c>
      <c r="N154">
        <v>1.31</v>
      </c>
      <c r="O154" t="s">
        <v>211</v>
      </c>
      <c r="P154">
        <v>72</v>
      </c>
      <c r="Q154">
        <v>8</v>
      </c>
      <c r="R154" t="s">
        <v>3407</v>
      </c>
      <c r="T154" t="s">
        <v>3402</v>
      </c>
      <c r="U154">
        <v>27</v>
      </c>
      <c r="V154" t="s">
        <v>3445</v>
      </c>
    </row>
    <row r="155" spans="1:22" ht="12.75" customHeight="1" x14ac:dyDescent="0.15">
      <c r="A155">
        <v>6</v>
      </c>
      <c r="B155">
        <v>2026</v>
      </c>
      <c r="C155" s="25">
        <v>46064</v>
      </c>
      <c r="D155" t="s">
        <v>39</v>
      </c>
      <c r="E155" t="s">
        <v>40</v>
      </c>
      <c r="F155" t="s">
        <v>21</v>
      </c>
      <c r="G155">
        <v>1.91</v>
      </c>
      <c r="H155" t="s">
        <v>3400</v>
      </c>
      <c r="I155" t="s">
        <v>353</v>
      </c>
      <c r="J155" s="1" t="s">
        <v>253</v>
      </c>
      <c r="K155" t="s">
        <v>181</v>
      </c>
      <c r="L155" t="s">
        <v>3340</v>
      </c>
      <c r="M155">
        <v>25</v>
      </c>
      <c r="N155">
        <v>1.31</v>
      </c>
      <c r="O155" t="s">
        <v>211</v>
      </c>
      <c r="P155">
        <v>72</v>
      </c>
      <c r="Q155">
        <v>8</v>
      </c>
      <c r="R155" t="s">
        <v>3413</v>
      </c>
      <c r="T155" t="s">
        <v>3402</v>
      </c>
      <c r="U155">
        <v>27</v>
      </c>
      <c r="V155" t="s">
        <v>3445</v>
      </c>
    </row>
    <row r="156" spans="1:22" ht="12.75" customHeight="1" x14ac:dyDescent="0.15">
      <c r="A156">
        <v>6</v>
      </c>
      <c r="B156">
        <v>2026</v>
      </c>
      <c r="C156" s="25">
        <v>46064</v>
      </c>
      <c r="D156" t="s">
        <v>39</v>
      </c>
      <c r="E156" t="s">
        <v>40</v>
      </c>
      <c r="F156" t="s">
        <v>21</v>
      </c>
      <c r="G156">
        <v>1.91</v>
      </c>
      <c r="H156" t="s">
        <v>3400</v>
      </c>
      <c r="I156" t="s">
        <v>353</v>
      </c>
      <c r="J156" s="1" t="s">
        <v>253</v>
      </c>
      <c r="K156" t="s">
        <v>181</v>
      </c>
      <c r="L156" t="s">
        <v>3340</v>
      </c>
      <c r="M156">
        <v>26</v>
      </c>
      <c r="N156">
        <v>1.31</v>
      </c>
      <c r="O156" t="s">
        <v>211</v>
      </c>
      <c r="P156">
        <v>72</v>
      </c>
      <c r="Q156">
        <v>8</v>
      </c>
      <c r="R156" t="s">
        <v>3421</v>
      </c>
      <c r="T156" t="s">
        <v>3402</v>
      </c>
      <c r="U156">
        <v>27</v>
      </c>
      <c r="V156" t="s">
        <v>3445</v>
      </c>
    </row>
    <row r="157" spans="1:22" ht="12.75" customHeight="1" x14ac:dyDescent="0.15">
      <c r="A157">
        <v>6</v>
      </c>
      <c r="B157">
        <v>2026</v>
      </c>
      <c r="C157" s="25">
        <v>46064</v>
      </c>
      <c r="D157" t="s">
        <v>39</v>
      </c>
      <c r="E157" t="s">
        <v>40</v>
      </c>
      <c r="F157" t="s">
        <v>21</v>
      </c>
      <c r="G157">
        <v>1.91</v>
      </c>
      <c r="H157" t="s">
        <v>3400</v>
      </c>
      <c r="I157" t="s">
        <v>353</v>
      </c>
      <c r="J157" s="1" t="s">
        <v>253</v>
      </c>
      <c r="K157" t="s">
        <v>181</v>
      </c>
      <c r="L157" t="s">
        <v>3340</v>
      </c>
      <c r="N157">
        <v>1.31</v>
      </c>
      <c r="O157" t="s">
        <v>211</v>
      </c>
      <c r="P157">
        <v>72</v>
      </c>
      <c r="Q157">
        <v>8</v>
      </c>
      <c r="R157" t="s">
        <v>3410</v>
      </c>
      <c r="T157" t="s">
        <v>3402</v>
      </c>
      <c r="U157">
        <v>27</v>
      </c>
      <c r="V157" t="s">
        <v>3445</v>
      </c>
    </row>
    <row r="158" spans="1:22" ht="12.75" customHeight="1" x14ac:dyDescent="0.15">
      <c r="A158">
        <v>6</v>
      </c>
      <c r="B158">
        <v>2026</v>
      </c>
      <c r="C158" s="25">
        <v>46064</v>
      </c>
      <c r="D158" t="s">
        <v>39</v>
      </c>
      <c r="E158" t="s">
        <v>40</v>
      </c>
      <c r="F158" t="s">
        <v>21</v>
      </c>
      <c r="G158">
        <v>1.91</v>
      </c>
      <c r="H158" t="s">
        <v>3400</v>
      </c>
      <c r="I158" t="s">
        <v>353</v>
      </c>
      <c r="J158" s="1" t="s">
        <v>253</v>
      </c>
      <c r="K158" t="s">
        <v>181</v>
      </c>
      <c r="L158" t="s">
        <v>3340</v>
      </c>
      <c r="M158">
        <v>78</v>
      </c>
      <c r="N158">
        <v>1.31</v>
      </c>
      <c r="O158" t="s">
        <v>211</v>
      </c>
      <c r="P158">
        <v>72</v>
      </c>
      <c r="Q158">
        <v>8</v>
      </c>
      <c r="R158" t="s">
        <v>3341</v>
      </c>
      <c r="T158" t="s">
        <v>3402</v>
      </c>
      <c r="U158">
        <v>27</v>
      </c>
      <c r="V158" t="s">
        <v>3445</v>
      </c>
    </row>
    <row r="159" spans="1:22" ht="12.75" customHeight="1" x14ac:dyDescent="0.15">
      <c r="A159">
        <v>6</v>
      </c>
      <c r="B159">
        <v>2026</v>
      </c>
      <c r="C159" s="25">
        <v>46064</v>
      </c>
      <c r="D159" t="s">
        <v>39</v>
      </c>
      <c r="E159" t="s">
        <v>40</v>
      </c>
      <c r="F159" t="s">
        <v>21</v>
      </c>
      <c r="G159">
        <v>1.91</v>
      </c>
      <c r="H159" t="s">
        <v>3400</v>
      </c>
      <c r="I159" t="s">
        <v>353</v>
      </c>
      <c r="J159" s="1" t="s">
        <v>253</v>
      </c>
      <c r="K159" t="s">
        <v>181</v>
      </c>
      <c r="L159" t="s">
        <v>3340</v>
      </c>
      <c r="M159">
        <v>84</v>
      </c>
      <c r="N159">
        <v>1.31</v>
      </c>
      <c r="O159" t="s">
        <v>211</v>
      </c>
      <c r="P159">
        <v>72</v>
      </c>
      <c r="Q159">
        <v>8</v>
      </c>
      <c r="R159" t="s">
        <v>3446</v>
      </c>
      <c r="T159" t="s">
        <v>3402</v>
      </c>
      <c r="U159">
        <v>27</v>
      </c>
      <c r="V159" t="s">
        <v>3445</v>
      </c>
    </row>
    <row r="160" spans="1:22" ht="12.75" customHeight="1" x14ac:dyDescent="0.15">
      <c r="A160">
        <v>6</v>
      </c>
      <c r="B160">
        <v>2026</v>
      </c>
      <c r="C160" s="25">
        <v>46064</v>
      </c>
      <c r="D160" t="s">
        <v>39</v>
      </c>
      <c r="E160" t="s">
        <v>40</v>
      </c>
      <c r="F160" t="s">
        <v>21</v>
      </c>
      <c r="G160">
        <v>1.91</v>
      </c>
      <c r="H160" t="s">
        <v>3400</v>
      </c>
      <c r="I160" t="s">
        <v>353</v>
      </c>
      <c r="J160" s="1" t="s">
        <v>253</v>
      </c>
      <c r="K160" t="s">
        <v>181</v>
      </c>
      <c r="L160" t="s">
        <v>3340</v>
      </c>
      <c r="M160">
        <v>62</v>
      </c>
      <c r="N160">
        <v>0.82</v>
      </c>
      <c r="O160" t="s">
        <v>211</v>
      </c>
      <c r="P160">
        <v>45</v>
      </c>
      <c r="Q160">
        <v>5</v>
      </c>
      <c r="R160" t="s">
        <v>3375</v>
      </c>
      <c r="T160" t="s">
        <v>3402</v>
      </c>
      <c r="U160">
        <v>27</v>
      </c>
      <c r="V160" t="s">
        <v>3447</v>
      </c>
    </row>
    <row r="161" spans="1:22" ht="12.75" customHeight="1" x14ac:dyDescent="0.15">
      <c r="A161">
        <v>6</v>
      </c>
      <c r="B161">
        <v>2026</v>
      </c>
      <c r="C161" s="25">
        <v>46064</v>
      </c>
      <c r="D161" t="s">
        <v>39</v>
      </c>
      <c r="E161" t="s">
        <v>40</v>
      </c>
      <c r="F161" t="s">
        <v>21</v>
      </c>
      <c r="G161">
        <v>1.91</v>
      </c>
      <c r="H161" t="s">
        <v>3400</v>
      </c>
      <c r="I161" t="s">
        <v>353</v>
      </c>
      <c r="J161" s="1" t="s">
        <v>253</v>
      </c>
      <c r="K161" t="s">
        <v>181</v>
      </c>
      <c r="L161" t="s">
        <v>3340</v>
      </c>
      <c r="M161">
        <v>45</v>
      </c>
      <c r="N161">
        <v>0.82</v>
      </c>
      <c r="O161" t="s">
        <v>211</v>
      </c>
      <c r="P161">
        <v>45</v>
      </c>
      <c r="Q161">
        <v>5</v>
      </c>
      <c r="R161" t="s">
        <v>3377</v>
      </c>
      <c r="T161" t="s">
        <v>3402</v>
      </c>
      <c r="U161">
        <v>27</v>
      </c>
      <c r="V161" t="s">
        <v>3447</v>
      </c>
    </row>
    <row r="162" spans="1:22" ht="12.75" customHeight="1" x14ac:dyDescent="0.15">
      <c r="A162">
        <v>6</v>
      </c>
      <c r="B162">
        <v>2026</v>
      </c>
      <c r="C162" s="25">
        <v>46064</v>
      </c>
      <c r="D162" t="s">
        <v>39</v>
      </c>
      <c r="E162" t="s">
        <v>40</v>
      </c>
      <c r="F162" t="s">
        <v>21</v>
      </c>
      <c r="G162">
        <v>1.91</v>
      </c>
      <c r="H162" t="s">
        <v>3400</v>
      </c>
      <c r="I162" t="s">
        <v>353</v>
      </c>
      <c r="J162" s="1" t="s">
        <v>253</v>
      </c>
      <c r="K162" t="s">
        <v>181</v>
      </c>
      <c r="L162" t="s">
        <v>3340</v>
      </c>
      <c r="M162">
        <v>121</v>
      </c>
      <c r="N162">
        <v>0.82</v>
      </c>
      <c r="O162" t="s">
        <v>211</v>
      </c>
      <c r="P162">
        <v>45</v>
      </c>
      <c r="Q162">
        <v>5</v>
      </c>
      <c r="R162" t="s">
        <v>3376</v>
      </c>
      <c r="T162" t="s">
        <v>3402</v>
      </c>
      <c r="U162">
        <v>27</v>
      </c>
      <c r="V162" t="s">
        <v>3447</v>
      </c>
    </row>
    <row r="163" spans="1:22" ht="12.75" customHeight="1" x14ac:dyDescent="0.15">
      <c r="A163">
        <v>6</v>
      </c>
      <c r="B163">
        <v>2026</v>
      </c>
      <c r="C163" s="25">
        <v>46064</v>
      </c>
      <c r="D163" t="s">
        <v>39</v>
      </c>
      <c r="E163" t="s">
        <v>40</v>
      </c>
      <c r="F163" t="s">
        <v>21</v>
      </c>
      <c r="G163">
        <v>1.91</v>
      </c>
      <c r="H163" t="s">
        <v>3400</v>
      </c>
      <c r="I163" t="s">
        <v>353</v>
      </c>
      <c r="J163" s="1" t="s">
        <v>253</v>
      </c>
      <c r="K163" t="s">
        <v>181</v>
      </c>
      <c r="L163" t="s">
        <v>3340</v>
      </c>
      <c r="M163">
        <v>58</v>
      </c>
      <c r="N163">
        <v>0.82</v>
      </c>
      <c r="O163" t="s">
        <v>211</v>
      </c>
      <c r="P163">
        <v>45</v>
      </c>
      <c r="Q163">
        <v>5</v>
      </c>
      <c r="R163" t="s">
        <v>3343</v>
      </c>
      <c r="T163" t="s">
        <v>3402</v>
      </c>
      <c r="U163">
        <v>27</v>
      </c>
      <c r="V163" t="s">
        <v>3447</v>
      </c>
    </row>
    <row r="164" spans="1:22" ht="12.75" customHeight="1" x14ac:dyDescent="0.15">
      <c r="A164">
        <v>6</v>
      </c>
      <c r="B164">
        <v>2026</v>
      </c>
      <c r="C164" s="25">
        <v>46064</v>
      </c>
      <c r="D164" t="s">
        <v>39</v>
      </c>
      <c r="E164" t="s">
        <v>40</v>
      </c>
      <c r="F164" t="s">
        <v>21</v>
      </c>
      <c r="G164">
        <v>1.91</v>
      </c>
      <c r="H164" t="s">
        <v>3400</v>
      </c>
      <c r="I164" t="s">
        <v>353</v>
      </c>
      <c r="J164" s="1" t="s">
        <v>253</v>
      </c>
      <c r="K164" t="s">
        <v>181</v>
      </c>
      <c r="L164" t="s">
        <v>3340</v>
      </c>
      <c r="M164">
        <v>132</v>
      </c>
      <c r="N164">
        <v>0.82</v>
      </c>
      <c r="O164" t="s">
        <v>211</v>
      </c>
      <c r="P164">
        <v>45</v>
      </c>
      <c r="Q164">
        <v>5</v>
      </c>
      <c r="R164" t="s">
        <v>3368</v>
      </c>
      <c r="T164" t="s">
        <v>3402</v>
      </c>
      <c r="U164">
        <v>27</v>
      </c>
      <c r="V164" t="s">
        <v>3447</v>
      </c>
    </row>
    <row r="165" spans="1:22" ht="12.75" customHeight="1" x14ac:dyDescent="0.15">
      <c r="A165">
        <v>6</v>
      </c>
      <c r="B165">
        <v>2026</v>
      </c>
      <c r="C165" s="25">
        <v>46064</v>
      </c>
      <c r="D165" t="s">
        <v>39</v>
      </c>
      <c r="E165" t="s">
        <v>40</v>
      </c>
      <c r="F165" t="s">
        <v>21</v>
      </c>
      <c r="G165">
        <v>1.91</v>
      </c>
      <c r="H165" t="s">
        <v>3400</v>
      </c>
      <c r="I165" t="s">
        <v>353</v>
      </c>
      <c r="J165" s="1" t="s">
        <v>253</v>
      </c>
      <c r="K165" t="s">
        <v>181</v>
      </c>
      <c r="L165" t="s">
        <v>3340</v>
      </c>
      <c r="M165">
        <v>53</v>
      </c>
      <c r="N165">
        <v>0.82</v>
      </c>
      <c r="O165" t="s">
        <v>211</v>
      </c>
      <c r="P165">
        <v>45</v>
      </c>
      <c r="Q165">
        <v>5</v>
      </c>
      <c r="R165" t="s">
        <v>3373</v>
      </c>
      <c r="T165" t="s">
        <v>3402</v>
      </c>
      <c r="U165">
        <v>27</v>
      </c>
      <c r="V165" t="s">
        <v>3447</v>
      </c>
    </row>
    <row r="166" spans="1:22" ht="12.75" customHeight="1" x14ac:dyDescent="0.15">
      <c r="A166">
        <v>6</v>
      </c>
      <c r="B166">
        <v>2026</v>
      </c>
      <c r="C166" s="25">
        <v>46065</v>
      </c>
      <c r="D166" t="s">
        <v>39</v>
      </c>
      <c r="E166" t="s">
        <v>40</v>
      </c>
      <c r="F166" t="s">
        <v>21</v>
      </c>
      <c r="G166">
        <v>1.91</v>
      </c>
      <c r="H166" t="s">
        <v>3408</v>
      </c>
      <c r="I166" t="s">
        <v>366</v>
      </c>
      <c r="J166" s="1" t="s">
        <v>215</v>
      </c>
      <c r="K166" t="s">
        <v>181</v>
      </c>
      <c r="L166" t="s">
        <v>3340</v>
      </c>
      <c r="M166">
        <v>58</v>
      </c>
      <c r="N166">
        <v>0.31</v>
      </c>
      <c r="O166" t="s">
        <v>211</v>
      </c>
      <c r="P166">
        <v>17.14</v>
      </c>
      <c r="R166" t="s">
        <v>3343</v>
      </c>
      <c r="S166" t="s">
        <v>3448</v>
      </c>
      <c r="T166" t="s">
        <v>3337</v>
      </c>
      <c r="U166">
        <v>28</v>
      </c>
      <c r="V166" t="s">
        <v>3449</v>
      </c>
    </row>
    <row r="167" spans="1:22" ht="12.75" customHeight="1" x14ac:dyDescent="0.15">
      <c r="A167">
        <v>6</v>
      </c>
      <c r="B167">
        <v>2026</v>
      </c>
      <c r="C167" s="25">
        <v>46065</v>
      </c>
      <c r="D167" t="s">
        <v>39</v>
      </c>
      <c r="E167" t="s">
        <v>40</v>
      </c>
      <c r="F167" t="s">
        <v>21</v>
      </c>
      <c r="G167">
        <v>1.91</v>
      </c>
      <c r="H167" t="s">
        <v>3408</v>
      </c>
      <c r="I167" t="s">
        <v>366</v>
      </c>
      <c r="J167" s="1" t="s">
        <v>215</v>
      </c>
      <c r="K167" t="s">
        <v>181</v>
      </c>
      <c r="L167" t="s">
        <v>3340</v>
      </c>
      <c r="M167">
        <v>45</v>
      </c>
      <c r="N167">
        <v>0.31</v>
      </c>
      <c r="O167" t="s">
        <v>211</v>
      </c>
      <c r="P167">
        <v>17.14</v>
      </c>
      <c r="R167" t="s">
        <v>3377</v>
      </c>
      <c r="T167" t="s">
        <v>3337</v>
      </c>
      <c r="U167">
        <v>28</v>
      </c>
      <c r="V167" t="s">
        <v>3449</v>
      </c>
    </row>
    <row r="168" spans="1:22" ht="12.75" customHeight="1" x14ac:dyDescent="0.15">
      <c r="A168">
        <v>6</v>
      </c>
      <c r="B168">
        <v>2026</v>
      </c>
      <c r="C168" s="25">
        <v>46065</v>
      </c>
      <c r="D168" t="s">
        <v>39</v>
      </c>
      <c r="E168" t="s">
        <v>40</v>
      </c>
      <c r="F168" t="s">
        <v>21</v>
      </c>
      <c r="G168">
        <v>1.91</v>
      </c>
      <c r="H168" t="s">
        <v>3408</v>
      </c>
      <c r="I168" t="s">
        <v>366</v>
      </c>
      <c r="J168" s="1" t="s">
        <v>215</v>
      </c>
      <c r="K168" t="s">
        <v>181</v>
      </c>
      <c r="L168" t="s">
        <v>3340</v>
      </c>
      <c r="M168">
        <v>53</v>
      </c>
      <c r="N168">
        <v>0.31</v>
      </c>
      <c r="O168" t="s">
        <v>211</v>
      </c>
      <c r="P168">
        <v>17.14</v>
      </c>
      <c r="R168" t="s">
        <v>3373</v>
      </c>
      <c r="T168" t="s">
        <v>3337</v>
      </c>
      <c r="U168">
        <v>28</v>
      </c>
      <c r="V168" t="s">
        <v>3449</v>
      </c>
    </row>
    <row r="169" spans="1:22" ht="12.75" customHeight="1" x14ac:dyDescent="0.15">
      <c r="A169">
        <v>6</v>
      </c>
      <c r="B169">
        <v>2026</v>
      </c>
      <c r="C169" s="25">
        <v>46065</v>
      </c>
      <c r="D169" t="s">
        <v>39</v>
      </c>
      <c r="E169" t="s">
        <v>40</v>
      </c>
      <c r="F169" t="s">
        <v>21</v>
      </c>
      <c r="G169">
        <v>1.91</v>
      </c>
      <c r="H169" t="s">
        <v>3408</v>
      </c>
      <c r="I169" t="s">
        <v>366</v>
      </c>
      <c r="J169" s="1" t="s">
        <v>215</v>
      </c>
      <c r="K169" t="s">
        <v>181</v>
      </c>
      <c r="L169" t="s">
        <v>3340</v>
      </c>
      <c r="M169">
        <v>81</v>
      </c>
      <c r="N169">
        <v>0.31</v>
      </c>
      <c r="O169" t="s">
        <v>211</v>
      </c>
      <c r="P169">
        <v>17.14</v>
      </c>
      <c r="R169" t="s">
        <v>3374</v>
      </c>
      <c r="T169" t="s">
        <v>3337</v>
      </c>
      <c r="U169">
        <v>28</v>
      </c>
      <c r="V169" t="s">
        <v>3449</v>
      </c>
    </row>
    <row r="170" spans="1:22" ht="12.75" customHeight="1" x14ac:dyDescent="0.15">
      <c r="A170">
        <v>6</v>
      </c>
      <c r="B170">
        <v>2026</v>
      </c>
      <c r="C170" s="25">
        <v>46065</v>
      </c>
      <c r="D170" t="s">
        <v>39</v>
      </c>
      <c r="E170" t="s">
        <v>40</v>
      </c>
      <c r="F170" t="s">
        <v>21</v>
      </c>
      <c r="G170">
        <v>1.91</v>
      </c>
      <c r="H170" t="s">
        <v>3408</v>
      </c>
      <c r="I170" t="s">
        <v>366</v>
      </c>
      <c r="J170" s="1" t="s">
        <v>215</v>
      </c>
      <c r="K170" t="s">
        <v>181</v>
      </c>
      <c r="L170" t="s">
        <v>3340</v>
      </c>
      <c r="M170">
        <v>62</v>
      </c>
      <c r="N170">
        <v>0.31</v>
      </c>
      <c r="O170" t="s">
        <v>211</v>
      </c>
      <c r="P170">
        <v>17.14</v>
      </c>
      <c r="R170" t="s">
        <v>3375</v>
      </c>
      <c r="T170" t="s">
        <v>3337</v>
      </c>
      <c r="U170">
        <v>28</v>
      </c>
      <c r="V170" t="s">
        <v>3449</v>
      </c>
    </row>
    <row r="171" spans="1:22" ht="12.75" customHeight="1" x14ac:dyDescent="0.15">
      <c r="A171">
        <v>6</v>
      </c>
      <c r="B171">
        <v>2026</v>
      </c>
      <c r="C171" s="25">
        <v>46065</v>
      </c>
      <c r="D171" t="s">
        <v>39</v>
      </c>
      <c r="E171" t="s">
        <v>40</v>
      </c>
      <c r="F171" t="s">
        <v>21</v>
      </c>
      <c r="G171">
        <v>1.91</v>
      </c>
      <c r="H171" t="s">
        <v>3408</v>
      </c>
      <c r="I171" t="s">
        <v>366</v>
      </c>
      <c r="J171" s="1" t="s">
        <v>215</v>
      </c>
      <c r="K171" t="s">
        <v>181</v>
      </c>
      <c r="L171" t="s">
        <v>3340</v>
      </c>
      <c r="M171">
        <v>132</v>
      </c>
      <c r="N171">
        <v>0.31</v>
      </c>
      <c r="O171" t="s">
        <v>211</v>
      </c>
      <c r="P171">
        <v>17.14</v>
      </c>
      <c r="R171" t="s">
        <v>3368</v>
      </c>
      <c r="T171" t="s">
        <v>3337</v>
      </c>
      <c r="U171">
        <v>28</v>
      </c>
      <c r="V171" t="s">
        <v>3449</v>
      </c>
    </row>
    <row r="172" spans="1:22" ht="12.75" customHeight="1" x14ac:dyDescent="0.15">
      <c r="A172">
        <v>6</v>
      </c>
      <c r="B172">
        <v>2026</v>
      </c>
      <c r="C172" s="25">
        <v>46065</v>
      </c>
      <c r="D172" t="s">
        <v>39</v>
      </c>
      <c r="E172" t="s">
        <v>40</v>
      </c>
      <c r="F172" t="s">
        <v>21</v>
      </c>
      <c r="G172">
        <v>1.91</v>
      </c>
      <c r="H172" t="s">
        <v>3408</v>
      </c>
      <c r="I172" t="s">
        <v>366</v>
      </c>
      <c r="J172" s="1" t="s">
        <v>215</v>
      </c>
      <c r="K172" t="s">
        <v>181</v>
      </c>
      <c r="L172" t="s">
        <v>3340</v>
      </c>
      <c r="M172">
        <v>121</v>
      </c>
      <c r="N172">
        <v>0.31</v>
      </c>
      <c r="O172" t="s">
        <v>211</v>
      </c>
      <c r="P172">
        <v>17.14</v>
      </c>
      <c r="R172" t="s">
        <v>3376</v>
      </c>
      <c r="T172" t="s">
        <v>3337</v>
      </c>
      <c r="U172">
        <v>28</v>
      </c>
      <c r="V172" t="s">
        <v>3449</v>
      </c>
    </row>
    <row r="173" spans="1:22" ht="12.75" customHeight="1" x14ac:dyDescent="0.15">
      <c r="A173">
        <v>6</v>
      </c>
      <c r="B173">
        <v>2026</v>
      </c>
      <c r="C173" s="25">
        <v>46065</v>
      </c>
      <c r="D173" t="s">
        <v>47</v>
      </c>
      <c r="E173" t="s">
        <v>48</v>
      </c>
      <c r="F173" t="s">
        <v>21</v>
      </c>
      <c r="G173">
        <v>2</v>
      </c>
      <c r="H173" t="s">
        <v>3355</v>
      </c>
      <c r="I173" t="s">
        <v>382</v>
      </c>
      <c r="J173" s="1" t="s">
        <v>188</v>
      </c>
      <c r="K173" t="s">
        <v>181</v>
      </c>
      <c r="L173" t="s">
        <v>3333</v>
      </c>
      <c r="M173">
        <v>1</v>
      </c>
      <c r="N173">
        <v>0.5</v>
      </c>
      <c r="O173" t="s">
        <v>3358</v>
      </c>
      <c r="P173">
        <v>35.93</v>
      </c>
      <c r="Q173">
        <v>4</v>
      </c>
      <c r="R173" t="s">
        <v>3359</v>
      </c>
      <c r="T173" t="s">
        <v>3337</v>
      </c>
      <c r="U173">
        <v>-7</v>
      </c>
      <c r="V173" t="s">
        <v>3450</v>
      </c>
    </row>
    <row r="174" spans="1:22" ht="12.75" customHeight="1" x14ac:dyDescent="0.15">
      <c r="A174">
        <v>6</v>
      </c>
      <c r="B174">
        <v>2026</v>
      </c>
      <c r="C174" s="25">
        <v>46065</v>
      </c>
      <c r="D174" t="s">
        <v>47</v>
      </c>
      <c r="E174" t="s">
        <v>48</v>
      </c>
      <c r="F174" t="s">
        <v>21</v>
      </c>
      <c r="G174">
        <v>2</v>
      </c>
      <c r="H174" t="s">
        <v>3339</v>
      </c>
      <c r="I174" t="s">
        <v>187</v>
      </c>
      <c r="J174" s="1" t="s">
        <v>188</v>
      </c>
      <c r="K174" t="s">
        <v>181</v>
      </c>
      <c r="L174" t="s">
        <v>3333</v>
      </c>
      <c r="M174">
        <v>1</v>
      </c>
      <c r="N174">
        <v>0.5</v>
      </c>
      <c r="O174" t="s">
        <v>3358</v>
      </c>
      <c r="P174">
        <v>35.93</v>
      </c>
      <c r="Q174">
        <v>4</v>
      </c>
      <c r="R174" t="s">
        <v>3359</v>
      </c>
      <c r="T174" t="s">
        <v>3337</v>
      </c>
      <c r="U174">
        <v>-7</v>
      </c>
      <c r="V174" t="s">
        <v>3450</v>
      </c>
    </row>
    <row r="175" spans="1:22" ht="12.75" customHeight="1" x14ac:dyDescent="0.15">
      <c r="A175">
        <v>7</v>
      </c>
      <c r="B175">
        <v>2026</v>
      </c>
      <c r="C175" s="25">
        <v>46070</v>
      </c>
      <c r="D175" t="s">
        <v>19</v>
      </c>
      <c r="E175" t="s">
        <v>20</v>
      </c>
      <c r="F175" t="s">
        <v>21</v>
      </c>
      <c r="G175">
        <v>3.8</v>
      </c>
      <c r="H175" t="s">
        <v>3346</v>
      </c>
      <c r="I175" t="s">
        <v>212</v>
      </c>
      <c r="J175" s="1" t="s">
        <v>188</v>
      </c>
      <c r="K175" t="s">
        <v>181</v>
      </c>
      <c r="L175" t="s">
        <v>3333</v>
      </c>
      <c r="M175">
        <v>1</v>
      </c>
      <c r="N175">
        <v>0</v>
      </c>
      <c r="O175" t="s">
        <v>3358</v>
      </c>
      <c r="R175" t="s">
        <v>3359</v>
      </c>
      <c r="T175" t="s">
        <v>3337</v>
      </c>
      <c r="U175">
        <v>70</v>
      </c>
      <c r="V175" t="s">
        <v>88</v>
      </c>
    </row>
    <row r="176" spans="1:22" ht="12.75" customHeight="1" x14ac:dyDescent="0.15">
      <c r="A176">
        <v>7</v>
      </c>
      <c r="B176">
        <v>2026</v>
      </c>
      <c r="C176" s="25">
        <v>46071</v>
      </c>
      <c r="D176" t="s">
        <v>47</v>
      </c>
      <c r="E176" t="s">
        <v>48</v>
      </c>
      <c r="F176" t="s">
        <v>21</v>
      </c>
      <c r="G176">
        <v>2</v>
      </c>
      <c r="H176" t="s">
        <v>3339</v>
      </c>
      <c r="I176" t="s">
        <v>187</v>
      </c>
      <c r="J176" s="1" t="s">
        <v>188</v>
      </c>
      <c r="K176" t="s">
        <v>181</v>
      </c>
      <c r="L176" t="s">
        <v>3340</v>
      </c>
      <c r="M176">
        <v>78</v>
      </c>
      <c r="N176">
        <v>0.56999999999999995</v>
      </c>
      <c r="O176" t="s">
        <v>211</v>
      </c>
      <c r="P176">
        <v>31.5</v>
      </c>
      <c r="R176" t="s">
        <v>3341</v>
      </c>
      <c r="T176" t="s">
        <v>3337</v>
      </c>
      <c r="U176">
        <v>-1</v>
      </c>
      <c r="V176" t="s">
        <v>3451</v>
      </c>
    </row>
    <row r="177" spans="1:22" ht="12.75" customHeight="1" x14ac:dyDescent="0.15">
      <c r="A177">
        <v>7</v>
      </c>
      <c r="B177">
        <v>2026</v>
      </c>
      <c r="C177" s="25">
        <v>46071</v>
      </c>
      <c r="D177" t="s">
        <v>47</v>
      </c>
      <c r="E177" t="s">
        <v>48</v>
      </c>
      <c r="F177" t="s">
        <v>21</v>
      </c>
      <c r="G177">
        <v>2</v>
      </c>
      <c r="H177" t="s">
        <v>3339</v>
      </c>
      <c r="I177" t="s">
        <v>187</v>
      </c>
      <c r="J177" s="1" t="s">
        <v>188</v>
      </c>
      <c r="K177" t="s">
        <v>181</v>
      </c>
      <c r="L177" t="s">
        <v>3333</v>
      </c>
      <c r="M177">
        <v>1</v>
      </c>
      <c r="N177">
        <v>1</v>
      </c>
      <c r="O177" t="s">
        <v>3358</v>
      </c>
      <c r="P177">
        <v>71.86</v>
      </c>
      <c r="Q177">
        <v>8</v>
      </c>
      <c r="R177" t="s">
        <v>3359</v>
      </c>
      <c r="T177" t="s">
        <v>3337</v>
      </c>
      <c r="U177">
        <v>-1</v>
      </c>
      <c r="V177" t="s">
        <v>3452</v>
      </c>
    </row>
    <row r="178" spans="1:22" ht="12.75" customHeight="1" x14ac:dyDescent="0.15">
      <c r="A178">
        <v>7</v>
      </c>
      <c r="B178">
        <v>2026</v>
      </c>
      <c r="C178" s="25">
        <v>46072</v>
      </c>
      <c r="D178" t="s">
        <v>47</v>
      </c>
      <c r="E178" t="s">
        <v>48</v>
      </c>
      <c r="F178" t="s">
        <v>21</v>
      </c>
      <c r="G178">
        <v>2</v>
      </c>
      <c r="H178" t="s">
        <v>3453</v>
      </c>
      <c r="I178" t="s">
        <v>187</v>
      </c>
      <c r="J178" s="1" t="s">
        <v>188</v>
      </c>
      <c r="K178" t="s">
        <v>181</v>
      </c>
      <c r="L178" t="s">
        <v>3333</v>
      </c>
      <c r="M178">
        <v>1</v>
      </c>
      <c r="N178">
        <v>0.5</v>
      </c>
      <c r="O178" t="s">
        <v>3358</v>
      </c>
      <c r="P178">
        <v>35.93</v>
      </c>
      <c r="Q178">
        <v>4</v>
      </c>
      <c r="R178" t="s">
        <v>3359</v>
      </c>
      <c r="T178" t="s">
        <v>3337</v>
      </c>
      <c r="U178">
        <v>0</v>
      </c>
      <c r="V178" t="s">
        <v>3450</v>
      </c>
    </row>
    <row r="179" spans="1:22" ht="12.75" customHeight="1" x14ac:dyDescent="0.15">
      <c r="A179">
        <v>7</v>
      </c>
      <c r="B179">
        <v>2026</v>
      </c>
      <c r="C179" s="25">
        <v>46072</v>
      </c>
      <c r="D179" t="s">
        <v>47</v>
      </c>
      <c r="E179" t="s">
        <v>48</v>
      </c>
      <c r="F179" t="s">
        <v>21</v>
      </c>
      <c r="G179">
        <v>2</v>
      </c>
      <c r="H179" t="s">
        <v>3454</v>
      </c>
      <c r="I179" t="s">
        <v>212</v>
      </c>
      <c r="J179" s="1" t="s">
        <v>188</v>
      </c>
      <c r="K179" t="s">
        <v>181</v>
      </c>
      <c r="L179" t="s">
        <v>3340</v>
      </c>
      <c r="M179">
        <v>6</v>
      </c>
      <c r="N179">
        <v>1.45</v>
      </c>
      <c r="O179" t="s">
        <v>211</v>
      </c>
      <c r="P179">
        <v>80</v>
      </c>
      <c r="R179" t="s">
        <v>3335</v>
      </c>
      <c r="T179" t="s">
        <v>3337</v>
      </c>
      <c r="U179">
        <v>0</v>
      </c>
      <c r="V179" t="s">
        <v>229</v>
      </c>
    </row>
    <row r="180" spans="1:22" ht="12.75" customHeight="1" x14ac:dyDescent="0.15">
      <c r="A180">
        <v>7</v>
      </c>
      <c r="B180">
        <v>2026</v>
      </c>
      <c r="C180" s="25">
        <v>46072</v>
      </c>
      <c r="D180" t="s">
        <v>47</v>
      </c>
      <c r="E180" t="s">
        <v>48</v>
      </c>
      <c r="F180" t="s">
        <v>21</v>
      </c>
      <c r="G180">
        <v>2</v>
      </c>
      <c r="H180" t="s">
        <v>3454</v>
      </c>
      <c r="I180" t="s">
        <v>212</v>
      </c>
      <c r="J180" s="1" t="s">
        <v>188</v>
      </c>
      <c r="K180" t="s">
        <v>181</v>
      </c>
      <c r="L180" t="s">
        <v>3340</v>
      </c>
      <c r="M180">
        <v>78</v>
      </c>
      <c r="N180">
        <v>1.45</v>
      </c>
      <c r="O180" t="s">
        <v>211</v>
      </c>
      <c r="P180">
        <v>80</v>
      </c>
      <c r="R180" t="s">
        <v>3341</v>
      </c>
      <c r="T180" t="s">
        <v>3337</v>
      </c>
      <c r="U180">
        <v>0</v>
      </c>
      <c r="V180" t="s">
        <v>229</v>
      </c>
    </row>
    <row r="181" spans="1:22" ht="12.75" customHeight="1" x14ac:dyDescent="0.15">
      <c r="A181">
        <v>7</v>
      </c>
      <c r="B181">
        <v>2026</v>
      </c>
      <c r="C181" s="25">
        <v>46072</v>
      </c>
      <c r="D181" t="s">
        <v>19</v>
      </c>
      <c r="E181" t="s">
        <v>20</v>
      </c>
      <c r="F181" t="s">
        <v>21</v>
      </c>
      <c r="G181">
        <v>3.8</v>
      </c>
      <c r="H181" t="s">
        <v>3400</v>
      </c>
      <c r="I181" t="s">
        <v>353</v>
      </c>
      <c r="J181" s="1" t="s">
        <v>253</v>
      </c>
      <c r="K181" t="s">
        <v>181</v>
      </c>
      <c r="L181" t="s">
        <v>3340</v>
      </c>
      <c r="M181">
        <v>43</v>
      </c>
      <c r="N181">
        <v>0.33</v>
      </c>
      <c r="O181" t="s">
        <v>211</v>
      </c>
      <c r="P181">
        <v>18</v>
      </c>
      <c r="Q181">
        <v>2</v>
      </c>
      <c r="R181" t="s">
        <v>3407</v>
      </c>
      <c r="T181" t="s">
        <v>3402</v>
      </c>
      <c r="U181">
        <v>72</v>
      </c>
      <c r="V181" t="s">
        <v>3414</v>
      </c>
    </row>
    <row r="182" spans="1:22" ht="12.75" customHeight="1" x14ac:dyDescent="0.15">
      <c r="A182">
        <v>7</v>
      </c>
      <c r="B182">
        <v>2026</v>
      </c>
      <c r="C182" s="25">
        <v>46072</v>
      </c>
      <c r="D182" t="s">
        <v>19</v>
      </c>
      <c r="E182" t="s">
        <v>20</v>
      </c>
      <c r="F182" t="s">
        <v>21</v>
      </c>
      <c r="G182">
        <v>3.8</v>
      </c>
      <c r="H182" t="s">
        <v>3400</v>
      </c>
      <c r="I182" t="s">
        <v>353</v>
      </c>
      <c r="J182" s="1" t="s">
        <v>253</v>
      </c>
      <c r="K182" t="s">
        <v>181</v>
      </c>
      <c r="L182" t="s">
        <v>3340</v>
      </c>
      <c r="M182">
        <v>49</v>
      </c>
      <c r="N182">
        <v>0.33</v>
      </c>
      <c r="O182" t="s">
        <v>211</v>
      </c>
      <c r="P182">
        <v>18</v>
      </c>
      <c r="Q182">
        <v>2</v>
      </c>
      <c r="R182" t="s">
        <v>3434</v>
      </c>
      <c r="T182" t="s">
        <v>3402</v>
      </c>
      <c r="U182">
        <v>72</v>
      </c>
      <c r="V182" t="s">
        <v>3414</v>
      </c>
    </row>
    <row r="183" spans="1:22" ht="12.75" customHeight="1" x14ac:dyDescent="0.15">
      <c r="A183">
        <v>7</v>
      </c>
      <c r="B183">
        <v>2026</v>
      </c>
      <c r="C183" s="25">
        <v>46072</v>
      </c>
      <c r="D183" t="s">
        <v>19</v>
      </c>
      <c r="E183" t="s">
        <v>20</v>
      </c>
      <c r="F183" t="s">
        <v>21</v>
      </c>
      <c r="G183">
        <v>3.8</v>
      </c>
      <c r="H183" t="s">
        <v>3400</v>
      </c>
      <c r="I183" t="s">
        <v>353</v>
      </c>
      <c r="J183" s="1" t="s">
        <v>253</v>
      </c>
      <c r="K183" t="s">
        <v>181</v>
      </c>
      <c r="L183" t="s">
        <v>3340</v>
      </c>
      <c r="M183">
        <v>26</v>
      </c>
      <c r="N183">
        <v>0.33</v>
      </c>
      <c r="O183" t="s">
        <v>211</v>
      </c>
      <c r="P183">
        <v>18</v>
      </c>
      <c r="Q183">
        <v>2</v>
      </c>
      <c r="R183" t="s">
        <v>3421</v>
      </c>
      <c r="T183" t="s">
        <v>3402</v>
      </c>
      <c r="U183">
        <v>72</v>
      </c>
      <c r="V183" t="s">
        <v>3414</v>
      </c>
    </row>
    <row r="184" spans="1:22" ht="12.75" customHeight="1" x14ac:dyDescent="0.15">
      <c r="A184">
        <v>7</v>
      </c>
      <c r="B184">
        <v>2026</v>
      </c>
      <c r="C184" s="25">
        <v>46072</v>
      </c>
      <c r="D184" t="s">
        <v>19</v>
      </c>
      <c r="E184" t="s">
        <v>20</v>
      </c>
      <c r="F184" t="s">
        <v>21</v>
      </c>
      <c r="G184">
        <v>3.8</v>
      </c>
      <c r="H184" t="s">
        <v>3400</v>
      </c>
      <c r="I184" t="s">
        <v>353</v>
      </c>
      <c r="J184" s="1" t="s">
        <v>253</v>
      </c>
      <c r="K184" t="s">
        <v>181</v>
      </c>
      <c r="L184" t="s">
        <v>3340</v>
      </c>
      <c r="M184">
        <v>25</v>
      </c>
      <c r="N184">
        <v>0.33</v>
      </c>
      <c r="O184" t="s">
        <v>211</v>
      </c>
      <c r="P184">
        <v>18</v>
      </c>
      <c r="Q184">
        <v>2</v>
      </c>
      <c r="R184" t="s">
        <v>3413</v>
      </c>
      <c r="T184" t="s">
        <v>3402</v>
      </c>
      <c r="U184">
        <v>72</v>
      </c>
      <c r="V184" t="s">
        <v>3414</v>
      </c>
    </row>
    <row r="185" spans="1:22" ht="12.75" customHeight="1" x14ac:dyDescent="0.15">
      <c r="A185">
        <v>7</v>
      </c>
      <c r="B185">
        <v>2026</v>
      </c>
      <c r="C185" s="25">
        <v>46072</v>
      </c>
      <c r="D185" t="s">
        <v>19</v>
      </c>
      <c r="E185" t="s">
        <v>20</v>
      </c>
      <c r="F185" t="s">
        <v>21</v>
      </c>
      <c r="G185">
        <v>3.8</v>
      </c>
      <c r="H185" t="s">
        <v>3400</v>
      </c>
      <c r="I185" t="s">
        <v>353</v>
      </c>
      <c r="J185" s="1" t="s">
        <v>253</v>
      </c>
      <c r="K185" t="s">
        <v>181</v>
      </c>
      <c r="L185" t="s">
        <v>3340</v>
      </c>
      <c r="N185">
        <v>0.33</v>
      </c>
      <c r="O185" t="s">
        <v>211</v>
      </c>
      <c r="P185">
        <v>18</v>
      </c>
      <c r="Q185">
        <v>2</v>
      </c>
      <c r="R185" t="s">
        <v>3410</v>
      </c>
      <c r="T185" t="s">
        <v>3402</v>
      </c>
      <c r="U185">
        <v>72</v>
      </c>
      <c r="V185" t="s">
        <v>3414</v>
      </c>
    </row>
    <row r="186" spans="1:22" ht="12.75" customHeight="1" x14ac:dyDescent="0.15">
      <c r="A186">
        <v>7</v>
      </c>
      <c r="B186">
        <v>2026</v>
      </c>
      <c r="C186" s="25">
        <v>46072</v>
      </c>
      <c r="D186" t="s">
        <v>19</v>
      </c>
      <c r="E186" t="s">
        <v>20</v>
      </c>
      <c r="F186" t="s">
        <v>21</v>
      </c>
      <c r="G186">
        <v>3.8</v>
      </c>
      <c r="H186" t="s">
        <v>3400</v>
      </c>
      <c r="I186" t="s">
        <v>353</v>
      </c>
      <c r="J186" s="1" t="s">
        <v>253</v>
      </c>
      <c r="K186" t="s">
        <v>181</v>
      </c>
      <c r="L186" t="s">
        <v>3333</v>
      </c>
      <c r="M186">
        <v>67</v>
      </c>
      <c r="N186">
        <v>0.25</v>
      </c>
      <c r="O186" t="s">
        <v>3334</v>
      </c>
      <c r="P186">
        <v>20.399999999999999</v>
      </c>
      <c r="Q186">
        <v>2</v>
      </c>
      <c r="R186" t="s">
        <v>3404</v>
      </c>
      <c r="T186" t="s">
        <v>3402</v>
      </c>
      <c r="U186">
        <v>72</v>
      </c>
      <c r="V186" t="s">
        <v>3455</v>
      </c>
    </row>
    <row r="187" spans="1:22" ht="12.75" customHeight="1" x14ac:dyDescent="0.15">
      <c r="A187">
        <v>7</v>
      </c>
      <c r="B187">
        <v>2026</v>
      </c>
      <c r="C187" s="25">
        <v>46072</v>
      </c>
      <c r="D187" t="s">
        <v>19</v>
      </c>
      <c r="E187" t="s">
        <v>20</v>
      </c>
      <c r="F187" t="s">
        <v>21</v>
      </c>
      <c r="G187">
        <v>3.8</v>
      </c>
      <c r="H187" t="s">
        <v>3400</v>
      </c>
      <c r="I187" t="s">
        <v>353</v>
      </c>
      <c r="J187" s="1" t="s">
        <v>253</v>
      </c>
      <c r="K187" t="s">
        <v>181</v>
      </c>
      <c r="L187" t="s">
        <v>3333</v>
      </c>
      <c r="M187">
        <v>79</v>
      </c>
      <c r="N187">
        <v>0.25</v>
      </c>
      <c r="O187" t="s">
        <v>3334</v>
      </c>
      <c r="P187">
        <v>20.399999999999999</v>
      </c>
      <c r="Q187">
        <v>2</v>
      </c>
      <c r="R187" t="s">
        <v>3401</v>
      </c>
      <c r="T187" t="s">
        <v>3402</v>
      </c>
      <c r="U187">
        <v>72</v>
      </c>
      <c r="V187" t="s">
        <v>3455</v>
      </c>
    </row>
    <row r="188" spans="1:22" ht="12.75" customHeight="1" x14ac:dyDescent="0.15">
      <c r="A188">
        <v>7</v>
      </c>
      <c r="B188">
        <v>2026</v>
      </c>
      <c r="C188" s="25">
        <v>46072</v>
      </c>
      <c r="D188" t="s">
        <v>19</v>
      </c>
      <c r="E188" t="s">
        <v>20</v>
      </c>
      <c r="F188" t="s">
        <v>21</v>
      </c>
      <c r="G188">
        <v>3.8</v>
      </c>
      <c r="H188" t="s">
        <v>3400</v>
      </c>
      <c r="I188" t="s">
        <v>353</v>
      </c>
      <c r="J188" s="1" t="s">
        <v>253</v>
      </c>
      <c r="K188" t="s">
        <v>181</v>
      </c>
      <c r="L188" t="s">
        <v>3333</v>
      </c>
      <c r="M188">
        <v>91</v>
      </c>
      <c r="N188">
        <v>0.25</v>
      </c>
      <c r="O188" t="s">
        <v>3334</v>
      </c>
      <c r="P188">
        <v>20.399999999999999</v>
      </c>
      <c r="Q188">
        <v>2</v>
      </c>
      <c r="R188" t="s">
        <v>3412</v>
      </c>
      <c r="T188" t="s">
        <v>3402</v>
      </c>
      <c r="U188">
        <v>72</v>
      </c>
      <c r="V188" t="s">
        <v>3455</v>
      </c>
    </row>
    <row r="189" spans="1:22" ht="12.75" customHeight="1" x14ac:dyDescent="0.15">
      <c r="A189">
        <v>7</v>
      </c>
      <c r="B189">
        <v>2026</v>
      </c>
      <c r="C189" s="25">
        <v>46072</v>
      </c>
      <c r="D189" t="s">
        <v>19</v>
      </c>
      <c r="E189" t="s">
        <v>20</v>
      </c>
      <c r="F189" t="s">
        <v>21</v>
      </c>
      <c r="G189">
        <v>3.8</v>
      </c>
      <c r="H189" t="s">
        <v>3400</v>
      </c>
      <c r="I189" t="s">
        <v>353</v>
      </c>
      <c r="J189" s="1" t="s">
        <v>253</v>
      </c>
      <c r="K189" t="s">
        <v>181</v>
      </c>
      <c r="L189" t="s">
        <v>3340</v>
      </c>
      <c r="M189">
        <v>78</v>
      </c>
      <c r="N189">
        <v>0.33</v>
      </c>
      <c r="O189" t="s">
        <v>211</v>
      </c>
      <c r="P189">
        <v>18</v>
      </c>
      <c r="Q189">
        <v>2</v>
      </c>
      <c r="R189" t="s">
        <v>3341</v>
      </c>
      <c r="T189" t="s">
        <v>3402</v>
      </c>
      <c r="U189">
        <v>72</v>
      </c>
      <c r="V189" t="s">
        <v>3414</v>
      </c>
    </row>
    <row r="190" spans="1:22" ht="12.75" customHeight="1" x14ac:dyDescent="0.15">
      <c r="A190">
        <v>8</v>
      </c>
      <c r="B190">
        <v>2026</v>
      </c>
      <c r="C190" s="25">
        <v>46073</v>
      </c>
      <c r="D190" t="s">
        <v>47</v>
      </c>
      <c r="E190" t="s">
        <v>48</v>
      </c>
      <c r="F190" t="s">
        <v>21</v>
      </c>
      <c r="G190">
        <v>2</v>
      </c>
      <c r="H190" t="s">
        <v>3454</v>
      </c>
      <c r="I190" t="s">
        <v>212</v>
      </c>
      <c r="J190" s="1" t="s">
        <v>188</v>
      </c>
      <c r="K190" t="s">
        <v>181</v>
      </c>
      <c r="L190" t="s">
        <v>3333</v>
      </c>
      <c r="M190">
        <v>1</v>
      </c>
      <c r="N190">
        <v>1</v>
      </c>
      <c r="O190" t="s">
        <v>3358</v>
      </c>
      <c r="P190">
        <v>71.86</v>
      </c>
      <c r="Q190">
        <v>8</v>
      </c>
      <c r="R190" t="s">
        <v>3359</v>
      </c>
      <c r="T190" t="s">
        <v>3337</v>
      </c>
      <c r="U190">
        <v>1</v>
      </c>
      <c r="V190" t="s">
        <v>3452</v>
      </c>
    </row>
    <row r="191" spans="1:22" ht="12.75" customHeight="1" x14ac:dyDescent="0.15">
      <c r="A191">
        <v>8</v>
      </c>
      <c r="B191">
        <v>2026</v>
      </c>
      <c r="C191" s="25">
        <v>46073</v>
      </c>
      <c r="D191" t="s">
        <v>47</v>
      </c>
      <c r="E191" t="s">
        <v>48</v>
      </c>
      <c r="F191" t="s">
        <v>21</v>
      </c>
      <c r="G191">
        <v>2</v>
      </c>
      <c r="H191" t="s">
        <v>3454</v>
      </c>
      <c r="I191" t="s">
        <v>212</v>
      </c>
      <c r="J191" s="1" t="s">
        <v>188</v>
      </c>
      <c r="K191" t="s">
        <v>181</v>
      </c>
      <c r="L191" t="s">
        <v>3333</v>
      </c>
      <c r="M191">
        <v>6</v>
      </c>
      <c r="N191">
        <v>1</v>
      </c>
      <c r="O191" t="s">
        <v>3334</v>
      </c>
      <c r="P191">
        <v>81.58</v>
      </c>
      <c r="Q191">
        <v>8</v>
      </c>
      <c r="R191" t="s">
        <v>3335</v>
      </c>
      <c r="T191" t="s">
        <v>3337</v>
      </c>
      <c r="U191">
        <v>1</v>
      </c>
      <c r="V191" t="s">
        <v>3456</v>
      </c>
    </row>
    <row r="192" spans="1:22" ht="12.75" customHeight="1" x14ac:dyDescent="0.15">
      <c r="A192">
        <v>8</v>
      </c>
      <c r="B192">
        <v>2026</v>
      </c>
      <c r="C192" s="25">
        <v>46074</v>
      </c>
      <c r="D192" t="s">
        <v>19</v>
      </c>
      <c r="E192" t="s">
        <v>20</v>
      </c>
      <c r="F192" t="s">
        <v>21</v>
      </c>
      <c r="G192">
        <v>3.8</v>
      </c>
      <c r="H192" t="s">
        <v>3454</v>
      </c>
      <c r="I192" t="s">
        <v>212</v>
      </c>
      <c r="J192" s="1" t="s">
        <v>188</v>
      </c>
      <c r="K192" t="s">
        <v>181</v>
      </c>
      <c r="L192" t="s">
        <v>3340</v>
      </c>
      <c r="M192">
        <v>6</v>
      </c>
      <c r="N192">
        <v>0.82</v>
      </c>
      <c r="O192" t="s">
        <v>211</v>
      </c>
      <c r="P192">
        <v>45</v>
      </c>
      <c r="Q192">
        <v>5</v>
      </c>
      <c r="R192" t="s">
        <v>3335</v>
      </c>
      <c r="T192" t="s">
        <v>3337</v>
      </c>
      <c r="U192">
        <v>74</v>
      </c>
      <c r="V192" t="s">
        <v>3396</v>
      </c>
    </row>
    <row r="193" spans="1:22" ht="12.75" customHeight="1" x14ac:dyDescent="0.15">
      <c r="A193">
        <v>8</v>
      </c>
      <c r="B193">
        <v>2026</v>
      </c>
      <c r="C193" s="25">
        <v>46074</v>
      </c>
      <c r="D193" t="s">
        <v>19</v>
      </c>
      <c r="E193" t="s">
        <v>20</v>
      </c>
      <c r="F193" t="s">
        <v>21</v>
      </c>
      <c r="G193">
        <v>3.8</v>
      </c>
      <c r="H193" t="s">
        <v>3454</v>
      </c>
      <c r="I193" t="s">
        <v>212</v>
      </c>
      <c r="J193" s="1" t="s">
        <v>188</v>
      </c>
      <c r="K193" t="s">
        <v>181</v>
      </c>
      <c r="L193" t="s">
        <v>3333</v>
      </c>
      <c r="M193">
        <v>1</v>
      </c>
      <c r="N193">
        <v>1</v>
      </c>
      <c r="O193" t="s">
        <v>3358</v>
      </c>
      <c r="P193">
        <v>71.86</v>
      </c>
      <c r="Q193">
        <v>8</v>
      </c>
      <c r="R193" t="s">
        <v>3359</v>
      </c>
      <c r="T193" t="s">
        <v>3337</v>
      </c>
      <c r="U193">
        <v>74</v>
      </c>
      <c r="V193" t="s">
        <v>3457</v>
      </c>
    </row>
    <row r="194" spans="1:22" ht="12.75" customHeight="1" x14ac:dyDescent="0.15">
      <c r="A194">
        <v>8</v>
      </c>
      <c r="B194">
        <v>2026</v>
      </c>
      <c r="C194" s="25">
        <v>46074</v>
      </c>
      <c r="D194" t="s">
        <v>19</v>
      </c>
      <c r="E194" t="s">
        <v>20</v>
      </c>
      <c r="F194" t="s">
        <v>21</v>
      </c>
      <c r="G194">
        <v>3.8</v>
      </c>
      <c r="H194" t="s">
        <v>3454</v>
      </c>
      <c r="I194" t="s">
        <v>212</v>
      </c>
      <c r="J194" s="1" t="s">
        <v>188</v>
      </c>
      <c r="K194" t="s">
        <v>181</v>
      </c>
      <c r="L194" t="s">
        <v>3340</v>
      </c>
      <c r="M194">
        <v>78</v>
      </c>
      <c r="N194">
        <v>0.91</v>
      </c>
      <c r="O194" t="s">
        <v>211</v>
      </c>
      <c r="P194">
        <v>50</v>
      </c>
      <c r="R194" t="s">
        <v>3341</v>
      </c>
      <c r="S194" t="s">
        <v>3458</v>
      </c>
      <c r="T194" t="s">
        <v>3337</v>
      </c>
      <c r="U194">
        <v>74</v>
      </c>
      <c r="V194" t="s">
        <v>3459</v>
      </c>
    </row>
    <row r="195" spans="1:22" ht="12.75" customHeight="1" x14ac:dyDescent="0.15">
      <c r="A195">
        <v>8</v>
      </c>
      <c r="B195">
        <v>2026</v>
      </c>
      <c r="C195" s="25">
        <v>46075</v>
      </c>
      <c r="D195" t="s">
        <v>19</v>
      </c>
      <c r="E195" t="s">
        <v>20</v>
      </c>
      <c r="F195" t="s">
        <v>21</v>
      </c>
      <c r="G195">
        <v>3.8</v>
      </c>
      <c r="H195" t="s">
        <v>3454</v>
      </c>
      <c r="I195" t="s">
        <v>212</v>
      </c>
      <c r="J195" s="1" t="s">
        <v>188</v>
      </c>
      <c r="K195" t="s">
        <v>181</v>
      </c>
      <c r="L195" t="s">
        <v>3340</v>
      </c>
      <c r="M195">
        <v>78</v>
      </c>
      <c r="N195">
        <v>0.49</v>
      </c>
      <c r="O195" t="s">
        <v>211</v>
      </c>
      <c r="P195">
        <v>27</v>
      </c>
      <c r="Q195">
        <v>3</v>
      </c>
      <c r="R195" t="s">
        <v>3341</v>
      </c>
      <c r="S195" t="s">
        <v>3458</v>
      </c>
      <c r="T195" t="s">
        <v>3337</v>
      </c>
      <c r="U195">
        <v>75</v>
      </c>
      <c r="V195" t="s">
        <v>3405</v>
      </c>
    </row>
    <row r="196" spans="1:22" ht="12.75" customHeight="1" x14ac:dyDescent="0.15">
      <c r="A196">
        <v>8</v>
      </c>
      <c r="B196">
        <v>2026</v>
      </c>
      <c r="C196" s="25">
        <v>46078</v>
      </c>
      <c r="D196" t="s">
        <v>39</v>
      </c>
      <c r="E196" t="s">
        <v>40</v>
      </c>
      <c r="F196" t="s">
        <v>21</v>
      </c>
      <c r="G196">
        <v>1.91</v>
      </c>
      <c r="H196" t="s">
        <v>3453</v>
      </c>
      <c r="I196" t="s">
        <v>187</v>
      </c>
      <c r="J196" s="1" t="s">
        <v>188</v>
      </c>
      <c r="K196" t="s">
        <v>181</v>
      </c>
      <c r="L196" t="s">
        <v>3333</v>
      </c>
      <c r="M196">
        <v>1</v>
      </c>
      <c r="N196">
        <v>1</v>
      </c>
      <c r="O196" t="s">
        <v>3358</v>
      </c>
      <c r="P196">
        <v>71.86</v>
      </c>
      <c r="Q196">
        <v>8</v>
      </c>
      <c r="R196" t="s">
        <v>3359</v>
      </c>
      <c r="T196" t="s">
        <v>3337</v>
      </c>
      <c r="U196">
        <v>41</v>
      </c>
      <c r="V196" t="s">
        <v>3460</v>
      </c>
    </row>
    <row r="197" spans="1:22" ht="12.75" customHeight="1" x14ac:dyDescent="0.15">
      <c r="A197">
        <v>8</v>
      </c>
      <c r="B197">
        <v>2026</v>
      </c>
      <c r="C197" s="25">
        <v>46078</v>
      </c>
      <c r="D197" t="s">
        <v>39</v>
      </c>
      <c r="E197" t="s">
        <v>40</v>
      </c>
      <c r="F197" t="s">
        <v>21</v>
      </c>
      <c r="G197">
        <v>1.91</v>
      </c>
      <c r="H197" t="s">
        <v>3453</v>
      </c>
      <c r="I197" t="s">
        <v>187</v>
      </c>
      <c r="J197" s="1" t="s">
        <v>188</v>
      </c>
      <c r="K197" t="s">
        <v>181</v>
      </c>
      <c r="L197" t="s">
        <v>3333</v>
      </c>
      <c r="M197">
        <v>6</v>
      </c>
      <c r="N197">
        <v>1</v>
      </c>
      <c r="O197" t="s">
        <v>3334</v>
      </c>
      <c r="P197">
        <v>81.58</v>
      </c>
      <c r="Q197">
        <v>8</v>
      </c>
      <c r="R197" t="s">
        <v>3335</v>
      </c>
      <c r="T197" t="s">
        <v>3337</v>
      </c>
      <c r="U197">
        <v>41</v>
      </c>
      <c r="V197" t="s">
        <v>3443</v>
      </c>
    </row>
    <row r="198" spans="1:22" ht="12.75" customHeight="1" x14ac:dyDescent="0.15">
      <c r="A198">
        <v>8</v>
      </c>
      <c r="B198">
        <v>2026</v>
      </c>
      <c r="C198" s="25">
        <v>46079</v>
      </c>
      <c r="D198" t="s">
        <v>53</v>
      </c>
      <c r="E198" t="s">
        <v>54</v>
      </c>
      <c r="F198" t="s">
        <v>21</v>
      </c>
      <c r="G198">
        <v>2</v>
      </c>
      <c r="H198" t="s">
        <v>3453</v>
      </c>
      <c r="I198" t="s">
        <v>187</v>
      </c>
      <c r="J198" s="1" t="s">
        <v>188</v>
      </c>
      <c r="K198" t="s">
        <v>181</v>
      </c>
      <c r="L198" t="s">
        <v>3333</v>
      </c>
      <c r="M198">
        <v>1</v>
      </c>
      <c r="N198">
        <v>1</v>
      </c>
      <c r="O198" t="s">
        <v>3358</v>
      </c>
      <c r="P198">
        <v>71.86</v>
      </c>
      <c r="Q198">
        <v>8</v>
      </c>
      <c r="R198" t="s">
        <v>3359</v>
      </c>
      <c r="T198" t="s">
        <v>3337</v>
      </c>
      <c r="U198">
        <v>-7</v>
      </c>
      <c r="V198" t="s">
        <v>3452</v>
      </c>
    </row>
    <row r="199" spans="1:22" ht="12.75" customHeight="1" x14ac:dyDescent="0.15">
      <c r="A199">
        <v>8</v>
      </c>
      <c r="B199">
        <v>2026</v>
      </c>
      <c r="C199" s="25">
        <v>46079</v>
      </c>
      <c r="D199" t="s">
        <v>39</v>
      </c>
      <c r="E199" t="s">
        <v>40</v>
      </c>
      <c r="F199" t="s">
        <v>21</v>
      </c>
      <c r="G199">
        <v>1.91</v>
      </c>
      <c r="H199" t="s">
        <v>3454</v>
      </c>
      <c r="I199" t="s">
        <v>212</v>
      </c>
      <c r="J199" s="1" t="s">
        <v>188</v>
      </c>
      <c r="K199" t="s">
        <v>181</v>
      </c>
      <c r="L199" t="s">
        <v>3333</v>
      </c>
      <c r="M199">
        <v>6</v>
      </c>
      <c r="N199">
        <v>1</v>
      </c>
      <c r="O199" t="s">
        <v>3334</v>
      </c>
      <c r="P199">
        <v>81.58</v>
      </c>
      <c r="Q199">
        <v>8</v>
      </c>
      <c r="R199" t="s">
        <v>3335</v>
      </c>
      <c r="S199" t="s">
        <v>3461</v>
      </c>
      <c r="T199" t="s">
        <v>3337</v>
      </c>
      <c r="U199">
        <v>42</v>
      </c>
      <c r="V199" t="s">
        <v>3443</v>
      </c>
    </row>
    <row r="200" spans="1:22" ht="12.75" customHeight="1" x14ac:dyDescent="0.15">
      <c r="A200">
        <v>8</v>
      </c>
      <c r="B200">
        <v>2026</v>
      </c>
      <c r="C200" s="25">
        <v>46079</v>
      </c>
      <c r="D200" t="s">
        <v>47</v>
      </c>
      <c r="E200" t="s">
        <v>48</v>
      </c>
      <c r="F200" t="s">
        <v>21</v>
      </c>
      <c r="G200">
        <v>2</v>
      </c>
      <c r="I200" t="s">
        <v>3462</v>
      </c>
      <c r="J200" s="1" t="s">
        <v>3389</v>
      </c>
      <c r="K200" t="s">
        <v>181</v>
      </c>
      <c r="L200" t="s">
        <v>3333</v>
      </c>
      <c r="M200">
        <v>67</v>
      </c>
      <c r="N200">
        <v>0.13</v>
      </c>
      <c r="O200" t="s">
        <v>3334</v>
      </c>
      <c r="P200">
        <v>10.199999999999999</v>
      </c>
      <c r="Q200">
        <v>1</v>
      </c>
      <c r="R200" t="s">
        <v>3404</v>
      </c>
      <c r="T200" t="s">
        <v>3402</v>
      </c>
      <c r="U200">
        <v>7</v>
      </c>
      <c r="V200" t="s">
        <v>3463</v>
      </c>
    </row>
    <row r="201" spans="1:22" ht="12.75" customHeight="1" x14ac:dyDescent="0.15">
      <c r="A201">
        <v>8</v>
      </c>
      <c r="B201">
        <v>2026</v>
      </c>
      <c r="C201" s="25">
        <v>46079</v>
      </c>
      <c r="D201" t="s">
        <v>47</v>
      </c>
      <c r="E201" t="s">
        <v>48</v>
      </c>
      <c r="F201" t="s">
        <v>21</v>
      </c>
      <c r="G201">
        <v>2</v>
      </c>
      <c r="I201" t="s">
        <v>3462</v>
      </c>
      <c r="J201" s="1" t="s">
        <v>3389</v>
      </c>
      <c r="K201" t="s">
        <v>181</v>
      </c>
      <c r="L201" t="s">
        <v>3333</v>
      </c>
      <c r="M201">
        <v>79</v>
      </c>
      <c r="N201">
        <v>0.13</v>
      </c>
      <c r="O201" t="s">
        <v>3334</v>
      </c>
      <c r="P201">
        <v>10.199999999999999</v>
      </c>
      <c r="Q201">
        <v>1</v>
      </c>
      <c r="R201" t="s">
        <v>3401</v>
      </c>
      <c r="T201" t="s">
        <v>3402</v>
      </c>
      <c r="U201">
        <v>7</v>
      </c>
      <c r="V201" t="s">
        <v>3463</v>
      </c>
    </row>
    <row r="202" spans="1:22" ht="12.75" customHeight="1" x14ac:dyDescent="0.15">
      <c r="A202">
        <v>8</v>
      </c>
      <c r="B202">
        <v>2026</v>
      </c>
      <c r="C202" s="25">
        <v>46079</v>
      </c>
      <c r="D202" t="s">
        <v>47</v>
      </c>
      <c r="E202" t="s">
        <v>48</v>
      </c>
      <c r="F202" t="s">
        <v>21</v>
      </c>
      <c r="G202">
        <v>2</v>
      </c>
      <c r="I202" t="s">
        <v>3462</v>
      </c>
      <c r="J202" s="1" t="s">
        <v>3389</v>
      </c>
      <c r="K202" t="s">
        <v>181</v>
      </c>
      <c r="L202" t="s">
        <v>3333</v>
      </c>
      <c r="M202">
        <v>19</v>
      </c>
      <c r="N202">
        <v>0.13</v>
      </c>
      <c r="O202" t="s">
        <v>3334</v>
      </c>
      <c r="P202">
        <v>10.199999999999999</v>
      </c>
      <c r="Q202">
        <v>1</v>
      </c>
      <c r="R202" t="s">
        <v>3403</v>
      </c>
      <c r="T202" t="s">
        <v>3402</v>
      </c>
      <c r="U202">
        <v>7</v>
      </c>
      <c r="V202" t="s">
        <v>3463</v>
      </c>
    </row>
    <row r="203" spans="1:22" ht="12.75" customHeight="1" x14ac:dyDescent="0.15">
      <c r="A203">
        <v>8</v>
      </c>
      <c r="B203">
        <v>2026</v>
      </c>
      <c r="C203" s="25">
        <v>46079</v>
      </c>
      <c r="D203" t="s">
        <v>47</v>
      </c>
      <c r="E203" t="s">
        <v>48</v>
      </c>
      <c r="F203" t="s">
        <v>21</v>
      </c>
      <c r="G203">
        <v>2</v>
      </c>
      <c r="I203" t="s">
        <v>3462</v>
      </c>
      <c r="J203" s="1" t="s">
        <v>3389</v>
      </c>
      <c r="K203" t="s">
        <v>181</v>
      </c>
      <c r="L203" t="s">
        <v>3340</v>
      </c>
      <c r="M203">
        <v>43</v>
      </c>
      <c r="N203">
        <v>0.16</v>
      </c>
      <c r="O203" t="s">
        <v>211</v>
      </c>
      <c r="P203">
        <v>9</v>
      </c>
      <c r="Q203">
        <v>1</v>
      </c>
      <c r="R203" t="s">
        <v>3407</v>
      </c>
      <c r="T203" t="s">
        <v>3402</v>
      </c>
      <c r="U203">
        <v>7</v>
      </c>
      <c r="V203" t="s">
        <v>3464</v>
      </c>
    </row>
    <row r="204" spans="1:22" ht="12.75" customHeight="1" x14ac:dyDescent="0.15">
      <c r="A204">
        <v>8</v>
      </c>
      <c r="B204">
        <v>2026</v>
      </c>
      <c r="C204" s="25">
        <v>46079</v>
      </c>
      <c r="D204" t="s">
        <v>47</v>
      </c>
      <c r="E204" t="s">
        <v>48</v>
      </c>
      <c r="F204" t="s">
        <v>21</v>
      </c>
      <c r="G204">
        <v>2</v>
      </c>
      <c r="I204" t="s">
        <v>3462</v>
      </c>
      <c r="J204" s="1" t="s">
        <v>3389</v>
      </c>
      <c r="K204" t="s">
        <v>181</v>
      </c>
      <c r="L204" t="s">
        <v>3340</v>
      </c>
      <c r="M204">
        <v>87</v>
      </c>
      <c r="N204">
        <v>0.16</v>
      </c>
      <c r="O204" t="s">
        <v>211</v>
      </c>
      <c r="P204">
        <v>9</v>
      </c>
      <c r="Q204">
        <v>1</v>
      </c>
      <c r="R204" t="s">
        <v>3465</v>
      </c>
      <c r="T204" t="s">
        <v>3402</v>
      </c>
      <c r="U204">
        <v>7</v>
      </c>
      <c r="V204" t="s">
        <v>3464</v>
      </c>
    </row>
    <row r="205" spans="1:22" ht="12.75" customHeight="1" x14ac:dyDescent="0.15">
      <c r="A205">
        <v>8</v>
      </c>
      <c r="B205">
        <v>2026</v>
      </c>
      <c r="C205" s="21">
        <v>46079</v>
      </c>
      <c r="D205" t="s">
        <v>47</v>
      </c>
      <c r="E205" t="s">
        <v>48</v>
      </c>
      <c r="F205" t="s">
        <v>21</v>
      </c>
      <c r="G205">
        <v>2</v>
      </c>
      <c r="H205" t="s">
        <v>3466</v>
      </c>
      <c r="I205" t="s">
        <v>3467</v>
      </c>
      <c r="J205" s="1" t="s">
        <v>3468</v>
      </c>
      <c r="K205" t="s">
        <v>181</v>
      </c>
      <c r="L205" t="s">
        <v>3333</v>
      </c>
      <c r="M205">
        <v>67</v>
      </c>
      <c r="N205">
        <v>0.88</v>
      </c>
      <c r="O205" t="s">
        <v>3334</v>
      </c>
      <c r="P205">
        <v>71.38</v>
      </c>
      <c r="Q205">
        <v>7</v>
      </c>
      <c r="R205" t="s">
        <v>3404</v>
      </c>
      <c r="T205" t="s">
        <v>3402</v>
      </c>
      <c r="U205">
        <v>7</v>
      </c>
      <c r="V205" t="s">
        <v>3469</v>
      </c>
    </row>
    <row r="206" spans="1:22" ht="12.75" customHeight="1" x14ac:dyDescent="0.15">
      <c r="A206">
        <v>8</v>
      </c>
      <c r="B206">
        <v>2026</v>
      </c>
      <c r="C206" s="21">
        <v>46079</v>
      </c>
      <c r="D206" t="s">
        <v>47</v>
      </c>
      <c r="E206" t="s">
        <v>48</v>
      </c>
      <c r="F206" t="s">
        <v>21</v>
      </c>
      <c r="G206">
        <v>2</v>
      </c>
      <c r="H206" t="s">
        <v>3466</v>
      </c>
      <c r="I206" t="s">
        <v>3467</v>
      </c>
      <c r="J206" s="1" t="s">
        <v>3468</v>
      </c>
      <c r="K206" t="s">
        <v>181</v>
      </c>
      <c r="L206" t="s">
        <v>3333</v>
      </c>
      <c r="M206">
        <v>19</v>
      </c>
      <c r="N206">
        <v>0.88</v>
      </c>
      <c r="O206" t="s">
        <v>3334</v>
      </c>
      <c r="P206">
        <v>71.38</v>
      </c>
      <c r="Q206">
        <v>7</v>
      </c>
      <c r="R206" t="s">
        <v>3403</v>
      </c>
      <c r="T206" t="s">
        <v>3402</v>
      </c>
      <c r="U206">
        <v>7</v>
      </c>
      <c r="V206" t="s">
        <v>3469</v>
      </c>
    </row>
    <row r="207" spans="1:22" ht="12.75" customHeight="1" x14ac:dyDescent="0.15">
      <c r="A207">
        <v>8</v>
      </c>
      <c r="B207">
        <v>2026</v>
      </c>
      <c r="C207" s="21">
        <v>46079</v>
      </c>
      <c r="D207" t="s">
        <v>47</v>
      </c>
      <c r="E207" t="s">
        <v>48</v>
      </c>
      <c r="F207" t="s">
        <v>21</v>
      </c>
      <c r="G207">
        <v>2</v>
      </c>
      <c r="H207" t="s">
        <v>3466</v>
      </c>
      <c r="I207" t="s">
        <v>3467</v>
      </c>
      <c r="J207" s="1" t="s">
        <v>3468</v>
      </c>
      <c r="K207" t="s">
        <v>181</v>
      </c>
      <c r="L207" t="s">
        <v>3333</v>
      </c>
      <c r="M207">
        <v>79</v>
      </c>
      <c r="N207">
        <v>0.88</v>
      </c>
      <c r="O207" t="s">
        <v>3334</v>
      </c>
      <c r="P207">
        <v>71.38</v>
      </c>
      <c r="Q207">
        <v>7</v>
      </c>
      <c r="R207" t="s">
        <v>3401</v>
      </c>
      <c r="T207" t="s">
        <v>3402</v>
      </c>
      <c r="U207">
        <v>7</v>
      </c>
      <c r="V207" t="s">
        <v>3469</v>
      </c>
    </row>
    <row r="208" spans="1:22" ht="12.75" customHeight="1" x14ac:dyDescent="0.15">
      <c r="A208">
        <v>8</v>
      </c>
      <c r="B208">
        <v>2026</v>
      </c>
      <c r="C208" s="21">
        <v>46079</v>
      </c>
      <c r="D208" t="s">
        <v>47</v>
      </c>
      <c r="E208" t="s">
        <v>48</v>
      </c>
      <c r="F208" t="s">
        <v>21</v>
      </c>
      <c r="G208">
        <v>2</v>
      </c>
      <c r="H208" t="s">
        <v>3466</v>
      </c>
      <c r="I208" t="s">
        <v>3467</v>
      </c>
      <c r="J208" s="1" t="s">
        <v>3468</v>
      </c>
      <c r="K208" t="s">
        <v>181</v>
      </c>
      <c r="L208" t="s">
        <v>3340</v>
      </c>
      <c r="M208">
        <v>43</v>
      </c>
      <c r="N208">
        <v>1.1499999999999999</v>
      </c>
      <c r="O208" t="s">
        <v>211</v>
      </c>
      <c r="P208">
        <v>63</v>
      </c>
      <c r="Q208">
        <v>7</v>
      </c>
      <c r="R208" t="s">
        <v>3407</v>
      </c>
      <c r="T208" t="s">
        <v>3402</v>
      </c>
      <c r="U208">
        <v>7</v>
      </c>
      <c r="V208" t="s">
        <v>3470</v>
      </c>
    </row>
    <row r="209" spans="1:22" ht="12.75" customHeight="1" x14ac:dyDescent="0.15">
      <c r="A209">
        <v>8</v>
      </c>
      <c r="B209">
        <v>2026</v>
      </c>
      <c r="C209" s="21">
        <v>46079</v>
      </c>
      <c r="D209" t="s">
        <v>47</v>
      </c>
      <c r="E209" t="s">
        <v>48</v>
      </c>
      <c r="F209" t="s">
        <v>21</v>
      </c>
      <c r="G209">
        <v>2</v>
      </c>
      <c r="H209" t="s">
        <v>3466</v>
      </c>
      <c r="I209" t="s">
        <v>3467</v>
      </c>
      <c r="J209" s="1" t="s">
        <v>3468</v>
      </c>
      <c r="K209" t="s">
        <v>181</v>
      </c>
      <c r="L209" t="s">
        <v>3340</v>
      </c>
      <c r="M209">
        <v>87</v>
      </c>
      <c r="N209">
        <v>1.1499999999999999</v>
      </c>
      <c r="O209" t="s">
        <v>211</v>
      </c>
      <c r="P209">
        <v>63</v>
      </c>
      <c r="Q209">
        <v>7</v>
      </c>
      <c r="R209" t="s">
        <v>3465</v>
      </c>
      <c r="T209" t="s">
        <v>3402</v>
      </c>
      <c r="U209">
        <v>7</v>
      </c>
      <c r="V209" t="s">
        <v>3470</v>
      </c>
    </row>
    <row r="210" spans="1:22" ht="12.75" customHeight="1" x14ac:dyDescent="0.15">
      <c r="A210">
        <v>9</v>
      </c>
      <c r="B210">
        <v>2026</v>
      </c>
      <c r="C210" s="21">
        <v>46080</v>
      </c>
      <c r="D210" t="s">
        <v>39</v>
      </c>
      <c r="E210" t="s">
        <v>40</v>
      </c>
      <c r="F210" t="s">
        <v>21</v>
      </c>
      <c r="G210">
        <v>1.91</v>
      </c>
      <c r="H210" t="s">
        <v>3454</v>
      </c>
      <c r="I210" t="s">
        <v>212</v>
      </c>
      <c r="J210" s="1" t="s">
        <v>188</v>
      </c>
      <c r="K210" t="s">
        <v>181</v>
      </c>
      <c r="L210" t="s">
        <v>3333</v>
      </c>
      <c r="M210">
        <v>1</v>
      </c>
      <c r="N210">
        <v>1</v>
      </c>
      <c r="O210" t="s">
        <v>3358</v>
      </c>
      <c r="P210">
        <v>71.86</v>
      </c>
      <c r="Q210">
        <v>8</v>
      </c>
      <c r="R210" t="s">
        <v>3359</v>
      </c>
      <c r="T210" t="s">
        <v>3337</v>
      </c>
      <c r="U210">
        <v>43</v>
      </c>
      <c r="V210" t="s">
        <v>3460</v>
      </c>
    </row>
    <row r="211" spans="1:22" ht="12.75" customHeight="1" x14ac:dyDescent="0.15">
      <c r="A211">
        <v>9</v>
      </c>
      <c r="B211">
        <v>2026</v>
      </c>
      <c r="C211" s="21">
        <v>46080</v>
      </c>
      <c r="D211" t="s">
        <v>47</v>
      </c>
      <c r="E211" t="s">
        <v>48</v>
      </c>
      <c r="F211" t="s">
        <v>21</v>
      </c>
      <c r="G211">
        <v>2</v>
      </c>
      <c r="I211" t="s">
        <v>3471</v>
      </c>
      <c r="J211" s="1" t="s">
        <v>30</v>
      </c>
      <c r="K211" t="s">
        <v>181</v>
      </c>
      <c r="L211" t="s">
        <v>3333</v>
      </c>
      <c r="M211">
        <v>67</v>
      </c>
      <c r="N211">
        <v>0.13</v>
      </c>
      <c r="O211" t="s">
        <v>3334</v>
      </c>
      <c r="P211">
        <v>10.199999999999999</v>
      </c>
      <c r="Q211">
        <v>1</v>
      </c>
      <c r="R211" t="s">
        <v>3404</v>
      </c>
      <c r="T211" t="s">
        <v>3402</v>
      </c>
      <c r="U211">
        <v>8</v>
      </c>
      <c r="V211" t="s">
        <v>3463</v>
      </c>
    </row>
    <row r="212" spans="1:22" ht="12.75" customHeight="1" x14ac:dyDescent="0.15">
      <c r="A212">
        <v>9</v>
      </c>
      <c r="B212">
        <v>2026</v>
      </c>
      <c r="C212" s="21">
        <v>46080</v>
      </c>
      <c r="D212" t="s">
        <v>47</v>
      </c>
      <c r="E212" t="s">
        <v>48</v>
      </c>
      <c r="F212" t="s">
        <v>21</v>
      </c>
      <c r="G212">
        <v>2</v>
      </c>
      <c r="I212" t="s">
        <v>3471</v>
      </c>
      <c r="J212" s="1" t="s">
        <v>30</v>
      </c>
      <c r="K212" t="s">
        <v>181</v>
      </c>
      <c r="L212" t="s">
        <v>3333</v>
      </c>
      <c r="M212">
        <v>79</v>
      </c>
      <c r="N212">
        <v>0.13</v>
      </c>
      <c r="O212" t="s">
        <v>3334</v>
      </c>
      <c r="P212">
        <v>10.199999999999999</v>
      </c>
      <c r="Q212">
        <v>1</v>
      </c>
      <c r="R212" t="s">
        <v>3401</v>
      </c>
      <c r="T212" t="s">
        <v>3402</v>
      </c>
      <c r="U212">
        <v>8</v>
      </c>
      <c r="V212" t="s">
        <v>3463</v>
      </c>
    </row>
    <row r="213" spans="1:22" ht="12.75" customHeight="1" x14ac:dyDescent="0.15">
      <c r="A213">
        <v>9</v>
      </c>
      <c r="B213">
        <v>2026</v>
      </c>
      <c r="C213" s="21">
        <v>46080</v>
      </c>
      <c r="D213" t="s">
        <v>47</v>
      </c>
      <c r="E213" t="s">
        <v>48</v>
      </c>
      <c r="F213" t="s">
        <v>21</v>
      </c>
      <c r="G213">
        <v>2</v>
      </c>
      <c r="I213" t="s">
        <v>3471</v>
      </c>
      <c r="J213" s="1" t="s">
        <v>30</v>
      </c>
      <c r="K213" t="s">
        <v>181</v>
      </c>
      <c r="L213" t="s">
        <v>3333</v>
      </c>
      <c r="M213">
        <v>19</v>
      </c>
      <c r="N213">
        <v>0.25</v>
      </c>
      <c r="O213" t="s">
        <v>3334</v>
      </c>
      <c r="P213">
        <v>20.399999999999999</v>
      </c>
      <c r="Q213">
        <v>2</v>
      </c>
      <c r="R213" t="s">
        <v>3403</v>
      </c>
      <c r="T213" t="s">
        <v>3402</v>
      </c>
      <c r="U213">
        <v>8</v>
      </c>
      <c r="V213" t="s">
        <v>3472</v>
      </c>
    </row>
    <row r="214" spans="1:22" ht="12.75" customHeight="1" x14ac:dyDescent="0.15">
      <c r="A214">
        <v>9</v>
      </c>
      <c r="B214">
        <v>2026</v>
      </c>
      <c r="C214" s="21">
        <v>46080</v>
      </c>
      <c r="D214" t="s">
        <v>47</v>
      </c>
      <c r="E214" t="s">
        <v>48</v>
      </c>
      <c r="F214" t="s">
        <v>21</v>
      </c>
      <c r="G214">
        <v>2</v>
      </c>
      <c r="I214" t="s">
        <v>3471</v>
      </c>
      <c r="J214" s="1" t="s">
        <v>30</v>
      </c>
      <c r="K214" t="s">
        <v>181</v>
      </c>
      <c r="L214" t="s">
        <v>3333</v>
      </c>
      <c r="M214">
        <v>91</v>
      </c>
      <c r="N214">
        <v>0.25</v>
      </c>
      <c r="O214" t="s">
        <v>3334</v>
      </c>
      <c r="P214">
        <v>20.399999999999999</v>
      </c>
      <c r="Q214">
        <v>2</v>
      </c>
      <c r="R214" t="s">
        <v>3412</v>
      </c>
      <c r="T214" t="s">
        <v>3402</v>
      </c>
      <c r="U214">
        <v>8</v>
      </c>
      <c r="V214" t="s">
        <v>3472</v>
      </c>
    </row>
    <row r="215" spans="1:22" ht="12.75" customHeight="1" x14ac:dyDescent="0.15">
      <c r="A215">
        <v>9</v>
      </c>
      <c r="B215">
        <v>2026</v>
      </c>
      <c r="C215" s="21">
        <v>46080</v>
      </c>
      <c r="D215" t="s">
        <v>47</v>
      </c>
      <c r="E215" t="s">
        <v>48</v>
      </c>
      <c r="F215" t="s">
        <v>21</v>
      </c>
      <c r="G215">
        <v>2</v>
      </c>
      <c r="I215" t="s">
        <v>3471</v>
      </c>
      <c r="J215" s="1" t="s">
        <v>30</v>
      </c>
      <c r="K215" t="s">
        <v>181</v>
      </c>
      <c r="L215" t="s">
        <v>3340</v>
      </c>
      <c r="M215">
        <v>87</v>
      </c>
      <c r="N215">
        <v>0.16</v>
      </c>
      <c r="O215" t="s">
        <v>211</v>
      </c>
      <c r="P215">
        <v>9</v>
      </c>
      <c r="Q215">
        <v>1</v>
      </c>
      <c r="R215" t="s">
        <v>3465</v>
      </c>
      <c r="T215" t="s">
        <v>3402</v>
      </c>
      <c r="U215">
        <v>8</v>
      </c>
      <c r="V215" t="s">
        <v>3464</v>
      </c>
    </row>
    <row r="216" spans="1:22" ht="12.75" customHeight="1" x14ac:dyDescent="0.15">
      <c r="A216">
        <v>9</v>
      </c>
      <c r="B216">
        <v>2026</v>
      </c>
      <c r="C216" s="21">
        <v>46080</v>
      </c>
      <c r="D216" t="s">
        <v>47</v>
      </c>
      <c r="E216" t="s">
        <v>48</v>
      </c>
      <c r="F216" t="s">
        <v>21</v>
      </c>
      <c r="G216">
        <v>2</v>
      </c>
      <c r="I216" t="s">
        <v>3471</v>
      </c>
      <c r="J216" s="1" t="s">
        <v>30</v>
      </c>
      <c r="K216" t="s">
        <v>181</v>
      </c>
      <c r="L216" t="s">
        <v>3340</v>
      </c>
      <c r="M216">
        <v>43</v>
      </c>
      <c r="N216">
        <v>0.33</v>
      </c>
      <c r="O216" t="s">
        <v>211</v>
      </c>
      <c r="P216">
        <v>18</v>
      </c>
      <c r="Q216">
        <v>2</v>
      </c>
      <c r="R216" t="s">
        <v>3407</v>
      </c>
      <c r="T216" t="s">
        <v>3402</v>
      </c>
      <c r="U216">
        <v>8</v>
      </c>
      <c r="V216" t="s">
        <v>3473</v>
      </c>
    </row>
    <row r="217" spans="1:22" ht="12.75" customHeight="1" x14ac:dyDescent="0.15">
      <c r="A217">
        <v>9</v>
      </c>
      <c r="B217">
        <v>2026</v>
      </c>
      <c r="C217" s="21">
        <v>46080</v>
      </c>
      <c r="D217" t="s">
        <v>47</v>
      </c>
      <c r="E217" t="s">
        <v>48</v>
      </c>
      <c r="F217" t="s">
        <v>21</v>
      </c>
      <c r="G217">
        <v>2</v>
      </c>
      <c r="H217" t="s">
        <v>3466</v>
      </c>
      <c r="I217" t="s">
        <v>3467</v>
      </c>
      <c r="J217" s="1" t="s">
        <v>3468</v>
      </c>
      <c r="K217" t="s">
        <v>181</v>
      </c>
      <c r="L217" t="s">
        <v>3333</v>
      </c>
      <c r="M217">
        <v>67</v>
      </c>
      <c r="N217">
        <v>0.5</v>
      </c>
      <c r="O217" t="s">
        <v>3334</v>
      </c>
      <c r="P217">
        <v>40.79</v>
      </c>
      <c r="Q217">
        <v>4</v>
      </c>
      <c r="R217" t="s">
        <v>3404</v>
      </c>
      <c r="T217" t="s">
        <v>3402</v>
      </c>
      <c r="U217">
        <v>8</v>
      </c>
      <c r="V217" t="s">
        <v>3474</v>
      </c>
    </row>
    <row r="218" spans="1:22" ht="12.75" customHeight="1" x14ac:dyDescent="0.15">
      <c r="A218">
        <v>9</v>
      </c>
      <c r="B218">
        <v>2026</v>
      </c>
      <c r="C218" s="21">
        <v>46080</v>
      </c>
      <c r="D218" t="s">
        <v>47</v>
      </c>
      <c r="E218" t="s">
        <v>48</v>
      </c>
      <c r="F218" t="s">
        <v>21</v>
      </c>
      <c r="G218">
        <v>2</v>
      </c>
      <c r="H218" t="s">
        <v>3466</v>
      </c>
      <c r="I218" t="s">
        <v>3467</v>
      </c>
      <c r="J218" s="1" t="s">
        <v>3468</v>
      </c>
      <c r="K218" t="s">
        <v>181</v>
      </c>
      <c r="L218" t="s">
        <v>3333</v>
      </c>
      <c r="M218">
        <v>79</v>
      </c>
      <c r="N218">
        <v>0.5</v>
      </c>
      <c r="O218" t="s">
        <v>3334</v>
      </c>
      <c r="P218">
        <v>40.79</v>
      </c>
      <c r="Q218">
        <v>4</v>
      </c>
      <c r="R218" t="s">
        <v>3401</v>
      </c>
      <c r="T218" t="s">
        <v>3402</v>
      </c>
      <c r="U218">
        <v>8</v>
      </c>
      <c r="V218" t="s">
        <v>3474</v>
      </c>
    </row>
    <row r="219" spans="1:22" ht="12.75" customHeight="1" x14ac:dyDescent="0.15">
      <c r="A219">
        <v>9</v>
      </c>
      <c r="B219">
        <v>2026</v>
      </c>
      <c r="C219" s="21">
        <v>46080</v>
      </c>
      <c r="D219" t="s">
        <v>47</v>
      </c>
      <c r="E219" t="s">
        <v>48</v>
      </c>
      <c r="F219" t="s">
        <v>21</v>
      </c>
      <c r="G219">
        <v>2</v>
      </c>
      <c r="H219" t="s">
        <v>3466</v>
      </c>
      <c r="I219" t="s">
        <v>3467</v>
      </c>
      <c r="J219" s="1" t="s">
        <v>3468</v>
      </c>
      <c r="K219" t="s">
        <v>181</v>
      </c>
      <c r="L219" t="s">
        <v>3333</v>
      </c>
      <c r="M219">
        <v>19</v>
      </c>
      <c r="N219">
        <v>0.38</v>
      </c>
      <c r="O219" t="s">
        <v>3334</v>
      </c>
      <c r="P219">
        <v>30.59</v>
      </c>
      <c r="Q219">
        <v>3</v>
      </c>
      <c r="R219" t="s">
        <v>3403</v>
      </c>
      <c r="T219" t="s">
        <v>3402</v>
      </c>
      <c r="U219">
        <v>8</v>
      </c>
      <c r="V219" t="s">
        <v>3475</v>
      </c>
    </row>
    <row r="220" spans="1:22" ht="12.75" customHeight="1" x14ac:dyDescent="0.15">
      <c r="A220">
        <v>9</v>
      </c>
      <c r="B220">
        <v>2026</v>
      </c>
      <c r="C220" s="21">
        <v>46080</v>
      </c>
      <c r="D220" t="s">
        <v>47</v>
      </c>
      <c r="E220" t="s">
        <v>48</v>
      </c>
      <c r="F220" t="s">
        <v>21</v>
      </c>
      <c r="G220">
        <v>2</v>
      </c>
      <c r="H220" t="s">
        <v>3466</v>
      </c>
      <c r="I220" t="s">
        <v>3467</v>
      </c>
      <c r="J220" s="1" t="s">
        <v>3468</v>
      </c>
      <c r="K220" t="s">
        <v>181</v>
      </c>
      <c r="L220" t="s">
        <v>3333</v>
      </c>
      <c r="M220">
        <v>91</v>
      </c>
      <c r="N220">
        <v>0.38</v>
      </c>
      <c r="O220" t="s">
        <v>3334</v>
      </c>
      <c r="P220">
        <v>30.59</v>
      </c>
      <c r="Q220">
        <v>3</v>
      </c>
      <c r="R220" t="s">
        <v>3412</v>
      </c>
      <c r="T220" t="s">
        <v>3402</v>
      </c>
      <c r="U220">
        <v>8</v>
      </c>
      <c r="V220" t="s">
        <v>3475</v>
      </c>
    </row>
    <row r="221" spans="1:22" ht="12.75" customHeight="1" x14ac:dyDescent="0.15">
      <c r="A221">
        <v>9</v>
      </c>
      <c r="B221">
        <v>2026</v>
      </c>
      <c r="C221" s="21">
        <v>46080</v>
      </c>
      <c r="D221" t="s">
        <v>47</v>
      </c>
      <c r="E221" t="s">
        <v>48</v>
      </c>
      <c r="F221" t="s">
        <v>21</v>
      </c>
      <c r="G221">
        <v>2</v>
      </c>
      <c r="H221" t="s">
        <v>3466</v>
      </c>
      <c r="I221" t="s">
        <v>3467</v>
      </c>
      <c r="J221" s="1" t="s">
        <v>3468</v>
      </c>
      <c r="K221" t="s">
        <v>181</v>
      </c>
      <c r="L221" t="s">
        <v>3340</v>
      </c>
      <c r="M221">
        <v>87</v>
      </c>
      <c r="N221">
        <v>0.65</v>
      </c>
      <c r="O221" t="s">
        <v>211</v>
      </c>
      <c r="P221">
        <v>36</v>
      </c>
      <c r="Q221">
        <v>4</v>
      </c>
      <c r="R221" t="s">
        <v>3465</v>
      </c>
      <c r="T221" t="s">
        <v>3402</v>
      </c>
      <c r="U221">
        <v>8</v>
      </c>
      <c r="V221" t="s">
        <v>260</v>
      </c>
    </row>
    <row r="222" spans="1:22" ht="12.75" customHeight="1" x14ac:dyDescent="0.15">
      <c r="A222">
        <v>9</v>
      </c>
      <c r="B222">
        <v>2026</v>
      </c>
      <c r="C222" s="21">
        <v>46080</v>
      </c>
      <c r="D222" t="s">
        <v>47</v>
      </c>
      <c r="E222" t="s">
        <v>48</v>
      </c>
      <c r="F222" t="s">
        <v>21</v>
      </c>
      <c r="G222">
        <v>2</v>
      </c>
      <c r="H222" t="s">
        <v>3466</v>
      </c>
      <c r="I222" t="s">
        <v>3467</v>
      </c>
      <c r="J222" s="1" t="s">
        <v>3468</v>
      </c>
      <c r="K222" t="s">
        <v>181</v>
      </c>
      <c r="L222" t="s">
        <v>3340</v>
      </c>
      <c r="M222">
        <v>43</v>
      </c>
      <c r="N222">
        <v>0.49</v>
      </c>
      <c r="O222" t="s">
        <v>211</v>
      </c>
      <c r="P222">
        <v>27</v>
      </c>
      <c r="Q222">
        <v>3</v>
      </c>
      <c r="R222" t="s">
        <v>3407</v>
      </c>
      <c r="T222" t="s">
        <v>3402</v>
      </c>
      <c r="U222">
        <v>8</v>
      </c>
      <c r="V222" t="s">
        <v>3476</v>
      </c>
    </row>
    <row r="223" spans="1:22" ht="12.75" customHeight="1" x14ac:dyDescent="0.15">
      <c r="A223">
        <v>9</v>
      </c>
      <c r="B223">
        <v>2026</v>
      </c>
      <c r="C223" s="21">
        <v>46080</v>
      </c>
      <c r="D223" t="s">
        <v>47</v>
      </c>
      <c r="E223" t="s">
        <v>48</v>
      </c>
      <c r="F223" t="s">
        <v>21</v>
      </c>
      <c r="G223">
        <v>2</v>
      </c>
      <c r="H223" t="s">
        <v>3466</v>
      </c>
      <c r="I223" t="s">
        <v>3467</v>
      </c>
      <c r="J223" s="1" t="s">
        <v>3468</v>
      </c>
      <c r="K223" t="s">
        <v>181</v>
      </c>
      <c r="L223" t="s">
        <v>3477</v>
      </c>
      <c r="M223">
        <v>3</v>
      </c>
      <c r="N223">
        <v>0.05</v>
      </c>
      <c r="O223" t="s">
        <v>3334</v>
      </c>
      <c r="P223">
        <v>3.67</v>
      </c>
      <c r="Q223">
        <v>0.36</v>
      </c>
      <c r="R223" t="s">
        <v>3478</v>
      </c>
      <c r="T223" t="s">
        <v>3479</v>
      </c>
      <c r="U223">
        <v>8</v>
      </c>
      <c r="V223" t="s">
        <v>3480</v>
      </c>
    </row>
    <row r="224" spans="1:22" ht="12.75" customHeight="1" x14ac:dyDescent="0.15">
      <c r="A224">
        <v>9</v>
      </c>
      <c r="B224">
        <v>2026</v>
      </c>
      <c r="C224" s="21">
        <v>46080</v>
      </c>
      <c r="D224" t="s">
        <v>47</v>
      </c>
      <c r="E224" t="s">
        <v>48</v>
      </c>
      <c r="F224" t="s">
        <v>21</v>
      </c>
      <c r="G224">
        <v>2</v>
      </c>
      <c r="H224" t="s">
        <v>3466</v>
      </c>
      <c r="I224" t="s">
        <v>3467</v>
      </c>
      <c r="J224" s="1" t="s">
        <v>3468</v>
      </c>
      <c r="K224" t="s">
        <v>181</v>
      </c>
      <c r="L224" t="s">
        <v>3481</v>
      </c>
      <c r="M224">
        <v>40</v>
      </c>
      <c r="N224">
        <v>0.05</v>
      </c>
      <c r="O224" t="s">
        <v>211</v>
      </c>
      <c r="P224">
        <v>2.97</v>
      </c>
      <c r="Q224">
        <v>0.33</v>
      </c>
      <c r="R224" t="s">
        <v>3482</v>
      </c>
      <c r="T224" t="s">
        <v>3479</v>
      </c>
      <c r="U224">
        <v>8</v>
      </c>
      <c r="V224" t="s">
        <v>3483</v>
      </c>
    </row>
    <row r="225" spans="1:22" ht="12.75" customHeight="1" x14ac:dyDescent="0.15">
      <c r="A225">
        <v>9</v>
      </c>
      <c r="B225">
        <v>2026</v>
      </c>
      <c r="C225" s="21">
        <v>46081</v>
      </c>
      <c r="D225" t="s">
        <v>19</v>
      </c>
      <c r="E225" t="s">
        <v>20</v>
      </c>
      <c r="F225" t="s">
        <v>21</v>
      </c>
      <c r="G225">
        <v>3.8</v>
      </c>
      <c r="H225" t="s">
        <v>3408</v>
      </c>
      <c r="I225" t="s">
        <v>366</v>
      </c>
      <c r="J225" s="1" t="s">
        <v>215</v>
      </c>
      <c r="K225" t="s">
        <v>181</v>
      </c>
      <c r="L225" t="s">
        <v>3340</v>
      </c>
      <c r="M225">
        <v>121</v>
      </c>
      <c r="N225">
        <v>0.89</v>
      </c>
      <c r="O225" t="s">
        <v>211</v>
      </c>
      <c r="P225">
        <v>48.75</v>
      </c>
      <c r="R225" t="s">
        <v>3376</v>
      </c>
      <c r="S225" t="s">
        <v>3484</v>
      </c>
      <c r="T225" t="s">
        <v>3337</v>
      </c>
      <c r="U225">
        <v>81</v>
      </c>
      <c r="V225" t="s">
        <v>3485</v>
      </c>
    </row>
    <row r="226" spans="1:22" ht="12.75" customHeight="1" x14ac:dyDescent="0.15">
      <c r="A226">
        <v>9</v>
      </c>
      <c r="B226">
        <v>2026</v>
      </c>
      <c r="C226" s="21">
        <v>46081</v>
      </c>
      <c r="D226" t="s">
        <v>19</v>
      </c>
      <c r="E226" t="s">
        <v>20</v>
      </c>
      <c r="F226" t="s">
        <v>21</v>
      </c>
      <c r="G226">
        <v>3.8</v>
      </c>
      <c r="H226" t="s">
        <v>3408</v>
      </c>
      <c r="I226" t="s">
        <v>366</v>
      </c>
      <c r="J226" s="1" t="s">
        <v>215</v>
      </c>
      <c r="K226" t="s">
        <v>181</v>
      </c>
      <c r="L226" t="s">
        <v>3340</v>
      </c>
      <c r="M226">
        <v>81</v>
      </c>
      <c r="N226">
        <v>0.89</v>
      </c>
      <c r="O226" t="s">
        <v>211</v>
      </c>
      <c r="P226">
        <v>48.75</v>
      </c>
      <c r="R226" t="s">
        <v>3374</v>
      </c>
      <c r="T226" t="s">
        <v>3337</v>
      </c>
      <c r="U226">
        <v>81</v>
      </c>
      <c r="V226" t="s">
        <v>3485</v>
      </c>
    </row>
    <row r="227" spans="1:22" ht="12.75" customHeight="1" x14ac:dyDescent="0.15">
      <c r="A227">
        <v>9</v>
      </c>
      <c r="B227">
        <v>2026</v>
      </c>
      <c r="C227" s="21">
        <v>46081</v>
      </c>
      <c r="D227" t="s">
        <v>19</v>
      </c>
      <c r="E227" t="s">
        <v>20</v>
      </c>
      <c r="F227" t="s">
        <v>21</v>
      </c>
      <c r="G227">
        <v>3.8</v>
      </c>
      <c r="H227" t="s">
        <v>3408</v>
      </c>
      <c r="I227" t="s">
        <v>366</v>
      </c>
      <c r="J227" s="1" t="s">
        <v>215</v>
      </c>
      <c r="K227" t="s">
        <v>181</v>
      </c>
      <c r="L227" t="s">
        <v>3340</v>
      </c>
      <c r="M227">
        <v>53</v>
      </c>
      <c r="N227">
        <v>0.89</v>
      </c>
      <c r="O227" t="s">
        <v>211</v>
      </c>
      <c r="P227">
        <v>48.75</v>
      </c>
      <c r="R227" t="s">
        <v>3373</v>
      </c>
      <c r="T227" t="s">
        <v>3337</v>
      </c>
      <c r="U227">
        <v>81</v>
      </c>
      <c r="V227" t="s">
        <v>3485</v>
      </c>
    </row>
    <row r="228" spans="1:22" ht="12.75" customHeight="1" x14ac:dyDescent="0.15">
      <c r="A228">
        <v>9</v>
      </c>
      <c r="B228">
        <v>2026</v>
      </c>
      <c r="C228" s="21">
        <v>46081</v>
      </c>
      <c r="D228" t="s">
        <v>19</v>
      </c>
      <c r="E228" t="s">
        <v>20</v>
      </c>
      <c r="F228" t="s">
        <v>21</v>
      </c>
      <c r="G228">
        <v>3.8</v>
      </c>
      <c r="H228" t="s">
        <v>3408</v>
      </c>
      <c r="I228" t="s">
        <v>366</v>
      </c>
      <c r="J228" s="1" t="s">
        <v>215</v>
      </c>
      <c r="K228" t="s">
        <v>181</v>
      </c>
      <c r="L228" t="s">
        <v>3340</v>
      </c>
      <c r="M228">
        <v>62</v>
      </c>
      <c r="N228">
        <v>0.89</v>
      </c>
      <c r="O228" t="s">
        <v>211</v>
      </c>
      <c r="P228">
        <v>48.75</v>
      </c>
      <c r="R228" t="s">
        <v>3375</v>
      </c>
      <c r="T228" t="s">
        <v>3337</v>
      </c>
      <c r="U228">
        <v>81</v>
      </c>
      <c r="V228" t="s">
        <v>3485</v>
      </c>
    </row>
    <row r="229" spans="1:22" ht="12.75" customHeight="1" x14ac:dyDescent="0.15">
      <c r="A229">
        <v>9</v>
      </c>
      <c r="B229">
        <v>2026</v>
      </c>
      <c r="C229" s="21">
        <v>46081</v>
      </c>
      <c r="D229" t="s">
        <v>19</v>
      </c>
      <c r="E229" t="s">
        <v>20</v>
      </c>
      <c r="F229" t="s">
        <v>21</v>
      </c>
      <c r="G229">
        <v>3.8</v>
      </c>
      <c r="H229" t="s">
        <v>3408</v>
      </c>
      <c r="I229" t="s">
        <v>366</v>
      </c>
      <c r="J229" s="1" t="s">
        <v>215</v>
      </c>
      <c r="K229" t="s">
        <v>181</v>
      </c>
      <c r="L229" t="s">
        <v>3340</v>
      </c>
      <c r="M229">
        <v>45</v>
      </c>
      <c r="N229">
        <v>0.89</v>
      </c>
      <c r="O229" t="s">
        <v>211</v>
      </c>
      <c r="P229">
        <v>48.75</v>
      </c>
      <c r="R229" t="s">
        <v>3377</v>
      </c>
      <c r="T229" t="s">
        <v>3337</v>
      </c>
      <c r="U229">
        <v>81</v>
      </c>
      <c r="V229" t="s">
        <v>3485</v>
      </c>
    </row>
    <row r="230" spans="1:22" ht="12.75" customHeight="1" x14ac:dyDescent="0.15">
      <c r="A230">
        <v>9</v>
      </c>
      <c r="B230">
        <v>2026</v>
      </c>
      <c r="C230" s="21">
        <v>46081</v>
      </c>
      <c r="D230" t="s">
        <v>19</v>
      </c>
      <c r="E230" t="s">
        <v>20</v>
      </c>
      <c r="F230" t="s">
        <v>21</v>
      </c>
      <c r="G230">
        <v>3.8</v>
      </c>
      <c r="H230" t="s">
        <v>3408</v>
      </c>
      <c r="I230" t="s">
        <v>366</v>
      </c>
      <c r="J230" s="1" t="s">
        <v>215</v>
      </c>
      <c r="K230" t="s">
        <v>181</v>
      </c>
      <c r="L230" t="s">
        <v>3340</v>
      </c>
      <c r="M230">
        <v>132</v>
      </c>
      <c r="N230">
        <v>0.89</v>
      </c>
      <c r="O230" t="s">
        <v>211</v>
      </c>
      <c r="P230">
        <v>48.75</v>
      </c>
      <c r="R230" t="s">
        <v>3368</v>
      </c>
      <c r="T230" t="s">
        <v>3337</v>
      </c>
      <c r="U230">
        <v>81</v>
      </c>
      <c r="V230" t="s">
        <v>3485</v>
      </c>
    </row>
    <row r="231" spans="1:22" ht="12.75" customHeight="1" x14ac:dyDescent="0.15">
      <c r="A231">
        <v>9</v>
      </c>
      <c r="B231">
        <v>2026</v>
      </c>
      <c r="C231" s="21">
        <v>46081</v>
      </c>
      <c r="D231" t="s">
        <v>19</v>
      </c>
      <c r="E231" t="s">
        <v>20</v>
      </c>
      <c r="F231" t="s">
        <v>21</v>
      </c>
      <c r="G231">
        <v>3.8</v>
      </c>
      <c r="H231" t="s">
        <v>3408</v>
      </c>
      <c r="I231" t="s">
        <v>366</v>
      </c>
      <c r="J231" s="1" t="s">
        <v>215</v>
      </c>
      <c r="K231" t="s">
        <v>181</v>
      </c>
      <c r="L231" t="s">
        <v>3340</v>
      </c>
      <c r="M231">
        <v>58</v>
      </c>
      <c r="N231">
        <v>0.89</v>
      </c>
      <c r="O231" t="s">
        <v>211</v>
      </c>
      <c r="P231">
        <v>48.75</v>
      </c>
      <c r="R231" t="s">
        <v>3343</v>
      </c>
      <c r="T231" t="s">
        <v>3337</v>
      </c>
      <c r="U231">
        <v>81</v>
      </c>
      <c r="V231" t="s">
        <v>3485</v>
      </c>
    </row>
    <row r="232" spans="1:22" ht="12.75" customHeight="1" x14ac:dyDescent="0.15">
      <c r="A232">
        <v>9</v>
      </c>
      <c r="B232">
        <v>2026</v>
      </c>
      <c r="C232" s="21">
        <v>46081</v>
      </c>
      <c r="D232" t="s">
        <v>19</v>
      </c>
      <c r="E232" t="s">
        <v>20</v>
      </c>
      <c r="F232" t="s">
        <v>21</v>
      </c>
      <c r="G232">
        <v>3.8</v>
      </c>
      <c r="H232" t="s">
        <v>3408</v>
      </c>
      <c r="I232" t="s">
        <v>366</v>
      </c>
      <c r="J232" s="1" t="s">
        <v>215</v>
      </c>
      <c r="K232" t="s">
        <v>181</v>
      </c>
      <c r="L232" t="s">
        <v>3340</v>
      </c>
      <c r="M232">
        <v>84</v>
      </c>
      <c r="N232">
        <v>0.89</v>
      </c>
      <c r="O232" t="s">
        <v>211</v>
      </c>
      <c r="P232">
        <v>48.75</v>
      </c>
      <c r="R232" t="s">
        <v>3446</v>
      </c>
      <c r="T232" t="s">
        <v>3337</v>
      </c>
      <c r="U232">
        <v>81</v>
      </c>
      <c r="V232" t="s">
        <v>3485</v>
      </c>
    </row>
    <row r="233" spans="1:22" ht="12.75" customHeight="1" x14ac:dyDescent="0.15">
      <c r="A233">
        <v>9</v>
      </c>
      <c r="B233">
        <v>2026</v>
      </c>
      <c r="C233" s="21">
        <v>46081</v>
      </c>
      <c r="D233" t="s">
        <v>19</v>
      </c>
      <c r="E233" t="s">
        <v>20</v>
      </c>
      <c r="F233" t="s">
        <v>21</v>
      </c>
      <c r="G233">
        <v>3.8</v>
      </c>
      <c r="H233" t="s">
        <v>3486</v>
      </c>
      <c r="I233" t="s">
        <v>3487</v>
      </c>
      <c r="J233" s="1" t="s">
        <v>215</v>
      </c>
      <c r="K233" t="s">
        <v>181</v>
      </c>
      <c r="L233" t="s">
        <v>3340</v>
      </c>
      <c r="M233">
        <v>72</v>
      </c>
      <c r="N233">
        <v>0.36</v>
      </c>
      <c r="O233" t="s">
        <v>211</v>
      </c>
      <c r="P233">
        <v>20</v>
      </c>
      <c r="Q233">
        <v>2</v>
      </c>
      <c r="R233" t="s">
        <v>3488</v>
      </c>
      <c r="T233" t="s">
        <v>3337</v>
      </c>
      <c r="U233">
        <v>81</v>
      </c>
      <c r="V233" t="s">
        <v>3489</v>
      </c>
    </row>
    <row r="234" spans="1:22" ht="12.75" customHeight="1" x14ac:dyDescent="0.15">
      <c r="A234">
        <v>9</v>
      </c>
      <c r="B234">
        <v>2026</v>
      </c>
      <c r="C234" s="21">
        <v>46083</v>
      </c>
      <c r="D234" t="s">
        <v>53</v>
      </c>
      <c r="E234" t="s">
        <v>54</v>
      </c>
      <c r="F234" t="s">
        <v>21</v>
      </c>
      <c r="G234">
        <v>2</v>
      </c>
      <c r="H234" t="s">
        <v>3490</v>
      </c>
      <c r="I234" t="s">
        <v>382</v>
      </c>
      <c r="J234" s="1" t="s">
        <v>188</v>
      </c>
      <c r="K234" t="s">
        <v>181</v>
      </c>
      <c r="L234" t="s">
        <v>3333</v>
      </c>
      <c r="M234">
        <v>6</v>
      </c>
      <c r="N234">
        <v>0.75</v>
      </c>
      <c r="O234" t="s">
        <v>3334</v>
      </c>
      <c r="P234">
        <v>61.19</v>
      </c>
      <c r="Q234">
        <v>6</v>
      </c>
      <c r="R234" t="s">
        <v>3335</v>
      </c>
      <c r="T234" t="s">
        <v>3337</v>
      </c>
      <c r="U234">
        <v>-3</v>
      </c>
      <c r="V234" t="s">
        <v>3491</v>
      </c>
    </row>
    <row r="235" spans="1:22" ht="12.75" customHeight="1" x14ac:dyDescent="0.15">
      <c r="A235">
        <v>9</v>
      </c>
      <c r="B235">
        <v>2026</v>
      </c>
      <c r="C235" s="21">
        <v>46083</v>
      </c>
      <c r="D235" t="s">
        <v>47</v>
      </c>
      <c r="E235" t="s">
        <v>48</v>
      </c>
      <c r="F235" t="s">
        <v>21</v>
      </c>
      <c r="G235">
        <v>2</v>
      </c>
      <c r="H235" t="s">
        <v>3492</v>
      </c>
      <c r="I235" t="s">
        <v>194</v>
      </c>
      <c r="J235" s="1" t="s">
        <v>188</v>
      </c>
      <c r="K235" t="s">
        <v>181</v>
      </c>
      <c r="L235" t="s">
        <v>3333</v>
      </c>
      <c r="M235">
        <v>1</v>
      </c>
      <c r="N235">
        <v>0.38</v>
      </c>
      <c r="O235" t="s">
        <v>3358</v>
      </c>
      <c r="P235">
        <v>26.95</v>
      </c>
      <c r="Q235">
        <v>3</v>
      </c>
      <c r="R235" t="s">
        <v>3359</v>
      </c>
      <c r="T235" t="s">
        <v>3337</v>
      </c>
      <c r="U235">
        <v>11</v>
      </c>
      <c r="V235" t="s">
        <v>3493</v>
      </c>
    </row>
    <row r="236" spans="1:22" ht="12.75" customHeight="1" x14ac:dyDescent="0.15">
      <c r="A236">
        <v>9</v>
      </c>
      <c r="B236">
        <v>2026</v>
      </c>
      <c r="C236" s="21">
        <v>46083</v>
      </c>
      <c r="D236" t="s">
        <v>47</v>
      </c>
      <c r="E236" t="s">
        <v>48</v>
      </c>
      <c r="F236" t="s">
        <v>21</v>
      </c>
      <c r="G236">
        <v>2</v>
      </c>
      <c r="H236" t="s">
        <v>3490</v>
      </c>
      <c r="I236" t="s">
        <v>382</v>
      </c>
      <c r="J236" s="1" t="s">
        <v>188</v>
      </c>
      <c r="K236" t="s">
        <v>181</v>
      </c>
      <c r="L236" t="s">
        <v>3333</v>
      </c>
      <c r="M236">
        <v>1</v>
      </c>
      <c r="N236">
        <v>0.63</v>
      </c>
      <c r="O236" t="s">
        <v>3358</v>
      </c>
      <c r="P236">
        <v>44.91</v>
      </c>
      <c r="Q236">
        <v>5</v>
      </c>
      <c r="R236" t="s">
        <v>3359</v>
      </c>
      <c r="T236" t="s">
        <v>3337</v>
      </c>
      <c r="U236">
        <v>11</v>
      </c>
      <c r="V236" t="s">
        <v>3494</v>
      </c>
    </row>
    <row r="237" spans="1:22" ht="12.75" customHeight="1" x14ac:dyDescent="0.15">
      <c r="A237">
        <v>9</v>
      </c>
      <c r="B237">
        <v>2026</v>
      </c>
      <c r="C237" s="21">
        <v>46084</v>
      </c>
      <c r="D237" t="s">
        <v>53</v>
      </c>
      <c r="E237" t="s">
        <v>54</v>
      </c>
      <c r="F237" t="s">
        <v>21</v>
      </c>
      <c r="G237">
        <v>2</v>
      </c>
      <c r="H237" t="s">
        <v>3355</v>
      </c>
      <c r="I237" t="s">
        <v>382</v>
      </c>
      <c r="J237" s="1" t="s">
        <v>188</v>
      </c>
      <c r="K237" t="s">
        <v>181</v>
      </c>
      <c r="L237" t="s">
        <v>3333</v>
      </c>
      <c r="M237">
        <v>6</v>
      </c>
      <c r="N237">
        <v>1</v>
      </c>
      <c r="O237" t="s">
        <v>3334</v>
      </c>
      <c r="P237">
        <v>81.58</v>
      </c>
      <c r="Q237">
        <v>8</v>
      </c>
      <c r="R237" t="s">
        <v>3335</v>
      </c>
      <c r="T237" t="s">
        <v>3337</v>
      </c>
      <c r="U237">
        <v>-2</v>
      </c>
      <c r="V237" t="s">
        <v>3456</v>
      </c>
    </row>
    <row r="238" spans="1:22" ht="12.75" customHeight="1" x14ac:dyDescent="0.15">
      <c r="A238">
        <v>9</v>
      </c>
      <c r="B238">
        <v>2026</v>
      </c>
      <c r="C238" s="21">
        <v>46084</v>
      </c>
      <c r="D238" t="s">
        <v>53</v>
      </c>
      <c r="E238" t="s">
        <v>54</v>
      </c>
      <c r="F238" t="s">
        <v>21</v>
      </c>
      <c r="G238">
        <v>2</v>
      </c>
      <c r="H238" t="s">
        <v>3355</v>
      </c>
      <c r="I238" t="s">
        <v>382</v>
      </c>
      <c r="J238" s="1" t="s">
        <v>188</v>
      </c>
      <c r="K238" t="s">
        <v>181</v>
      </c>
      <c r="L238" t="s">
        <v>3333</v>
      </c>
      <c r="M238">
        <v>1</v>
      </c>
      <c r="N238">
        <v>1</v>
      </c>
      <c r="O238" t="s">
        <v>3358</v>
      </c>
      <c r="P238">
        <v>71.86</v>
      </c>
      <c r="Q238">
        <v>8</v>
      </c>
      <c r="R238" t="s">
        <v>3359</v>
      </c>
      <c r="T238" t="s">
        <v>3337</v>
      </c>
      <c r="U238">
        <v>-2</v>
      </c>
      <c r="V238" t="s">
        <v>3452</v>
      </c>
    </row>
    <row r="239" spans="1:22" ht="12.75" customHeight="1" x14ac:dyDescent="0.15">
      <c r="A239">
        <v>9</v>
      </c>
      <c r="B239">
        <v>2026</v>
      </c>
      <c r="C239" s="21">
        <v>46084</v>
      </c>
      <c r="D239" t="s">
        <v>53</v>
      </c>
      <c r="E239" t="s">
        <v>54</v>
      </c>
      <c r="F239" t="s">
        <v>21</v>
      </c>
      <c r="G239">
        <v>2</v>
      </c>
      <c r="H239" t="s">
        <v>3495</v>
      </c>
      <c r="I239" t="s">
        <v>29</v>
      </c>
      <c r="J239" s="1" t="s">
        <v>30</v>
      </c>
      <c r="K239" t="s">
        <v>181</v>
      </c>
      <c r="L239" t="s">
        <v>3333</v>
      </c>
      <c r="M239">
        <v>19</v>
      </c>
      <c r="N239">
        <v>1</v>
      </c>
      <c r="O239" t="s">
        <v>3334</v>
      </c>
      <c r="P239">
        <v>81.58</v>
      </c>
      <c r="Q239">
        <v>8</v>
      </c>
      <c r="R239" t="s">
        <v>3403</v>
      </c>
      <c r="T239" t="s">
        <v>3402</v>
      </c>
      <c r="U239">
        <v>-2</v>
      </c>
      <c r="V239" t="s">
        <v>3456</v>
      </c>
    </row>
    <row r="240" spans="1:22" ht="12.75" customHeight="1" x14ac:dyDescent="0.15">
      <c r="A240">
        <v>9</v>
      </c>
      <c r="B240">
        <v>2026</v>
      </c>
      <c r="C240" s="21">
        <v>46084</v>
      </c>
      <c r="D240" t="s">
        <v>53</v>
      </c>
      <c r="E240" t="s">
        <v>54</v>
      </c>
      <c r="F240" t="s">
        <v>21</v>
      </c>
      <c r="G240">
        <v>2</v>
      </c>
      <c r="H240" t="s">
        <v>3495</v>
      </c>
      <c r="I240" t="s">
        <v>29</v>
      </c>
      <c r="J240" s="1" t="s">
        <v>30</v>
      </c>
      <c r="K240" t="s">
        <v>181</v>
      </c>
      <c r="L240" t="s">
        <v>3333</v>
      </c>
      <c r="M240">
        <v>79</v>
      </c>
      <c r="N240">
        <v>1</v>
      </c>
      <c r="O240" t="s">
        <v>3334</v>
      </c>
      <c r="P240">
        <v>81.58</v>
      </c>
      <c r="Q240">
        <v>8</v>
      </c>
      <c r="R240" t="s">
        <v>3401</v>
      </c>
      <c r="T240" t="s">
        <v>3402</v>
      </c>
      <c r="U240">
        <v>-2</v>
      </c>
      <c r="V240" t="s">
        <v>3456</v>
      </c>
    </row>
    <row r="241" spans="1:22" ht="12.75" customHeight="1" x14ac:dyDescent="0.15">
      <c r="A241">
        <v>9</v>
      </c>
      <c r="B241">
        <v>2026</v>
      </c>
      <c r="C241" s="21">
        <v>46084</v>
      </c>
      <c r="D241" t="s">
        <v>53</v>
      </c>
      <c r="E241" t="s">
        <v>54</v>
      </c>
      <c r="F241" t="s">
        <v>21</v>
      </c>
      <c r="G241">
        <v>2</v>
      </c>
      <c r="H241" t="s">
        <v>3495</v>
      </c>
      <c r="I241" t="s">
        <v>29</v>
      </c>
      <c r="J241" s="1" t="s">
        <v>30</v>
      </c>
      <c r="K241" t="s">
        <v>181</v>
      </c>
      <c r="L241" t="s">
        <v>3333</v>
      </c>
      <c r="M241">
        <v>67</v>
      </c>
      <c r="N241">
        <v>1</v>
      </c>
      <c r="O241" t="s">
        <v>3334</v>
      </c>
      <c r="P241">
        <v>81.58</v>
      </c>
      <c r="Q241">
        <v>8</v>
      </c>
      <c r="R241" t="s">
        <v>3404</v>
      </c>
      <c r="T241" t="s">
        <v>3402</v>
      </c>
      <c r="U241">
        <v>-2</v>
      </c>
      <c r="V241" t="s">
        <v>3456</v>
      </c>
    </row>
    <row r="242" spans="1:22" ht="12.75" customHeight="1" x14ac:dyDescent="0.15">
      <c r="A242">
        <v>9</v>
      </c>
      <c r="B242">
        <v>2026</v>
      </c>
      <c r="C242" s="21">
        <v>46084</v>
      </c>
      <c r="D242" t="s">
        <v>53</v>
      </c>
      <c r="E242" t="s">
        <v>54</v>
      </c>
      <c r="F242" t="s">
        <v>21</v>
      </c>
      <c r="G242">
        <v>2</v>
      </c>
      <c r="H242" t="s">
        <v>3495</v>
      </c>
      <c r="I242" t="s">
        <v>29</v>
      </c>
      <c r="J242" s="1" t="s">
        <v>30</v>
      </c>
      <c r="K242" t="s">
        <v>181</v>
      </c>
      <c r="L242" t="s">
        <v>3333</v>
      </c>
      <c r="M242">
        <v>91</v>
      </c>
      <c r="N242">
        <v>1</v>
      </c>
      <c r="O242" t="s">
        <v>3334</v>
      </c>
      <c r="P242">
        <v>81.58</v>
      </c>
      <c r="Q242">
        <v>8</v>
      </c>
      <c r="R242" t="s">
        <v>3412</v>
      </c>
      <c r="T242" t="s">
        <v>3402</v>
      </c>
      <c r="U242">
        <v>-2</v>
      </c>
      <c r="V242" t="s">
        <v>3456</v>
      </c>
    </row>
    <row r="243" spans="1:22" ht="12.75" customHeight="1" x14ac:dyDescent="0.15">
      <c r="A243">
        <v>9</v>
      </c>
      <c r="B243">
        <v>2026</v>
      </c>
      <c r="C243" s="21">
        <v>46084</v>
      </c>
      <c r="D243" t="s">
        <v>53</v>
      </c>
      <c r="E243" t="s">
        <v>54</v>
      </c>
      <c r="F243" t="s">
        <v>21</v>
      </c>
      <c r="G243">
        <v>2</v>
      </c>
      <c r="H243" t="s">
        <v>3495</v>
      </c>
      <c r="I243" t="s">
        <v>29</v>
      </c>
      <c r="J243" s="1" t="s">
        <v>30</v>
      </c>
      <c r="K243" t="s">
        <v>181</v>
      </c>
      <c r="L243" t="s">
        <v>3340</v>
      </c>
      <c r="M243">
        <v>25</v>
      </c>
      <c r="N243">
        <v>1.1599999999999999</v>
      </c>
      <c r="O243" t="s">
        <v>211</v>
      </c>
      <c r="P243">
        <v>64</v>
      </c>
      <c r="R243" t="s">
        <v>3413</v>
      </c>
      <c r="T243" t="s">
        <v>3402</v>
      </c>
      <c r="U243">
        <v>-2</v>
      </c>
      <c r="V243" t="s">
        <v>3496</v>
      </c>
    </row>
    <row r="244" spans="1:22" ht="12.75" customHeight="1" x14ac:dyDescent="0.15">
      <c r="A244">
        <v>9</v>
      </c>
      <c r="B244">
        <v>2026</v>
      </c>
      <c r="C244" s="21">
        <v>46084</v>
      </c>
      <c r="D244" t="s">
        <v>53</v>
      </c>
      <c r="E244" t="s">
        <v>54</v>
      </c>
      <c r="F244" t="s">
        <v>21</v>
      </c>
      <c r="G244">
        <v>2</v>
      </c>
      <c r="H244" t="s">
        <v>3495</v>
      </c>
      <c r="I244" t="s">
        <v>29</v>
      </c>
      <c r="J244" s="1" t="s">
        <v>30</v>
      </c>
      <c r="K244" t="s">
        <v>181</v>
      </c>
      <c r="L244" t="s">
        <v>3340</v>
      </c>
      <c r="M244">
        <v>87</v>
      </c>
      <c r="N244">
        <v>1.1599999999999999</v>
      </c>
      <c r="O244" t="s">
        <v>211</v>
      </c>
      <c r="P244">
        <v>64</v>
      </c>
      <c r="R244" t="s">
        <v>3465</v>
      </c>
      <c r="T244" t="s">
        <v>3402</v>
      </c>
      <c r="U244">
        <v>-2</v>
      </c>
      <c r="V244" t="s">
        <v>3496</v>
      </c>
    </row>
    <row r="245" spans="1:22" ht="12.75" customHeight="1" x14ac:dyDescent="0.15">
      <c r="A245">
        <v>9</v>
      </c>
      <c r="B245">
        <v>2026</v>
      </c>
      <c r="C245" s="21">
        <v>46084</v>
      </c>
      <c r="D245" t="s">
        <v>53</v>
      </c>
      <c r="E245" t="s">
        <v>54</v>
      </c>
      <c r="F245" t="s">
        <v>21</v>
      </c>
      <c r="G245">
        <v>2</v>
      </c>
      <c r="H245" t="s">
        <v>3495</v>
      </c>
      <c r="I245" t="s">
        <v>29</v>
      </c>
      <c r="J245" s="1" t="s">
        <v>30</v>
      </c>
      <c r="K245" t="s">
        <v>181</v>
      </c>
      <c r="L245" t="s">
        <v>3340</v>
      </c>
      <c r="M245">
        <v>78</v>
      </c>
      <c r="N245">
        <v>1.55</v>
      </c>
      <c r="O245" t="s">
        <v>211</v>
      </c>
      <c r="P245">
        <v>85.3</v>
      </c>
      <c r="R245" t="s">
        <v>3341</v>
      </c>
      <c r="T245" t="s">
        <v>3402</v>
      </c>
      <c r="U245">
        <v>-2</v>
      </c>
      <c r="V245" t="s">
        <v>3497</v>
      </c>
    </row>
    <row r="246" spans="1:22" ht="12.75" customHeight="1" x14ac:dyDescent="0.15">
      <c r="A246">
        <v>9</v>
      </c>
      <c r="B246">
        <v>2026</v>
      </c>
      <c r="C246" s="21">
        <v>46084</v>
      </c>
      <c r="D246" t="s">
        <v>53</v>
      </c>
      <c r="E246" t="s">
        <v>54</v>
      </c>
      <c r="F246" t="s">
        <v>21</v>
      </c>
      <c r="G246">
        <v>2</v>
      </c>
      <c r="H246" t="s">
        <v>3495</v>
      </c>
      <c r="I246" t="s">
        <v>29</v>
      </c>
      <c r="J246" s="1" t="s">
        <v>30</v>
      </c>
      <c r="K246" t="s">
        <v>181</v>
      </c>
      <c r="L246" t="s">
        <v>3340</v>
      </c>
      <c r="M246">
        <v>43</v>
      </c>
      <c r="N246">
        <v>1.1599999999999999</v>
      </c>
      <c r="O246" t="s">
        <v>211</v>
      </c>
      <c r="P246">
        <v>64</v>
      </c>
      <c r="R246" t="s">
        <v>3407</v>
      </c>
      <c r="T246" t="s">
        <v>3402</v>
      </c>
      <c r="U246">
        <v>-2</v>
      </c>
      <c r="V246" t="s">
        <v>3496</v>
      </c>
    </row>
    <row r="247" spans="1:22" ht="12.75" customHeight="1" x14ac:dyDescent="0.15">
      <c r="A247">
        <v>9</v>
      </c>
      <c r="B247">
        <v>2026</v>
      </c>
      <c r="C247" s="21">
        <v>46084</v>
      </c>
      <c r="D247" t="s">
        <v>53</v>
      </c>
      <c r="E247" t="s">
        <v>54</v>
      </c>
      <c r="F247" t="s">
        <v>21</v>
      </c>
      <c r="G247">
        <v>2</v>
      </c>
      <c r="H247" t="s">
        <v>3495</v>
      </c>
      <c r="I247" t="s">
        <v>29</v>
      </c>
      <c r="J247" s="1" t="s">
        <v>30</v>
      </c>
      <c r="K247" t="s">
        <v>181</v>
      </c>
      <c r="L247" t="s">
        <v>3340</v>
      </c>
      <c r="M247">
        <v>49</v>
      </c>
      <c r="N247">
        <v>1.1599999999999999</v>
      </c>
      <c r="O247" t="s">
        <v>211</v>
      </c>
      <c r="P247">
        <v>64</v>
      </c>
      <c r="R247" t="s">
        <v>3434</v>
      </c>
      <c r="T247" t="s">
        <v>3402</v>
      </c>
      <c r="U247">
        <v>-2</v>
      </c>
      <c r="V247" t="s">
        <v>3496</v>
      </c>
    </row>
    <row r="248" spans="1:22" ht="12.75" customHeight="1" x14ac:dyDescent="0.15">
      <c r="A248">
        <v>9</v>
      </c>
      <c r="B248">
        <v>2026</v>
      </c>
      <c r="C248" s="21">
        <v>46084</v>
      </c>
      <c r="D248" t="s">
        <v>53</v>
      </c>
      <c r="E248" t="s">
        <v>54</v>
      </c>
      <c r="F248" t="s">
        <v>21</v>
      </c>
      <c r="G248">
        <v>2</v>
      </c>
      <c r="H248" t="s">
        <v>3495</v>
      </c>
      <c r="I248" t="s">
        <v>29</v>
      </c>
      <c r="J248" s="1" t="s">
        <v>30</v>
      </c>
      <c r="K248" t="s">
        <v>181</v>
      </c>
      <c r="L248" t="s">
        <v>3333</v>
      </c>
      <c r="M248">
        <v>86</v>
      </c>
      <c r="N248">
        <v>1</v>
      </c>
      <c r="O248" t="s">
        <v>3334</v>
      </c>
      <c r="P248">
        <v>81.58</v>
      </c>
      <c r="Q248">
        <v>8</v>
      </c>
      <c r="R248" t="s">
        <v>3386</v>
      </c>
      <c r="T248" t="s">
        <v>3402</v>
      </c>
      <c r="U248">
        <v>-2</v>
      </c>
      <c r="V248" t="s">
        <v>3456</v>
      </c>
    </row>
    <row r="249" spans="1:22" ht="12.75" customHeight="1" x14ac:dyDescent="0.15">
      <c r="A249">
        <v>9</v>
      </c>
      <c r="B249">
        <v>2026</v>
      </c>
      <c r="C249" s="21">
        <v>46084</v>
      </c>
      <c r="D249" t="s">
        <v>53</v>
      </c>
      <c r="E249" t="s">
        <v>54</v>
      </c>
      <c r="F249" t="s">
        <v>21</v>
      </c>
      <c r="G249">
        <v>2</v>
      </c>
      <c r="H249" t="s">
        <v>3495</v>
      </c>
      <c r="I249" t="s">
        <v>29</v>
      </c>
      <c r="J249" s="1" t="s">
        <v>30</v>
      </c>
      <c r="K249" t="s">
        <v>181</v>
      </c>
      <c r="L249" t="s">
        <v>3333</v>
      </c>
      <c r="M249">
        <v>19</v>
      </c>
      <c r="N249">
        <v>1</v>
      </c>
      <c r="O249" t="s">
        <v>3334</v>
      </c>
      <c r="P249">
        <v>81.58</v>
      </c>
      <c r="Q249">
        <v>8</v>
      </c>
      <c r="R249" t="s">
        <v>3403</v>
      </c>
      <c r="T249" t="s">
        <v>3402</v>
      </c>
      <c r="U249">
        <v>-2</v>
      </c>
      <c r="V249" t="s">
        <v>3456</v>
      </c>
    </row>
    <row r="250" spans="1:22" ht="12.75" customHeight="1" x14ac:dyDescent="0.15">
      <c r="A250">
        <v>9</v>
      </c>
      <c r="B250">
        <v>2026</v>
      </c>
      <c r="C250" s="21">
        <v>46085</v>
      </c>
      <c r="D250" t="s">
        <v>53</v>
      </c>
      <c r="E250" t="s">
        <v>54</v>
      </c>
      <c r="F250" t="s">
        <v>21</v>
      </c>
      <c r="G250">
        <v>2</v>
      </c>
      <c r="H250" t="s">
        <v>3339</v>
      </c>
      <c r="I250" t="s">
        <v>187</v>
      </c>
      <c r="J250" s="1" t="s">
        <v>188</v>
      </c>
      <c r="K250" t="s">
        <v>181</v>
      </c>
      <c r="L250" t="s">
        <v>3333</v>
      </c>
      <c r="M250">
        <v>6</v>
      </c>
      <c r="N250">
        <v>1</v>
      </c>
      <c r="O250" t="s">
        <v>3334</v>
      </c>
      <c r="P250">
        <v>81.58</v>
      </c>
      <c r="Q250">
        <v>8</v>
      </c>
      <c r="R250" t="s">
        <v>3335</v>
      </c>
      <c r="T250" t="s">
        <v>3337</v>
      </c>
      <c r="U250">
        <v>-1</v>
      </c>
      <c r="V250" t="s">
        <v>3456</v>
      </c>
    </row>
    <row r="251" spans="1:22" ht="12.75" customHeight="1" x14ac:dyDescent="0.15">
      <c r="A251">
        <v>9</v>
      </c>
      <c r="B251">
        <v>2026</v>
      </c>
      <c r="C251" s="21">
        <v>46085</v>
      </c>
      <c r="D251" t="s">
        <v>53</v>
      </c>
      <c r="E251" t="s">
        <v>54</v>
      </c>
      <c r="F251" t="s">
        <v>21</v>
      </c>
      <c r="G251">
        <v>2</v>
      </c>
      <c r="H251" t="s">
        <v>3346</v>
      </c>
      <c r="I251" t="s">
        <v>212</v>
      </c>
      <c r="J251" s="1" t="s">
        <v>188</v>
      </c>
      <c r="K251" t="s">
        <v>181</v>
      </c>
      <c r="L251" t="s">
        <v>3333</v>
      </c>
      <c r="M251">
        <v>1</v>
      </c>
      <c r="N251">
        <v>0.5</v>
      </c>
      <c r="O251" t="s">
        <v>3358</v>
      </c>
      <c r="P251">
        <v>35.93</v>
      </c>
      <c r="Q251">
        <v>4</v>
      </c>
      <c r="R251" t="s">
        <v>3359</v>
      </c>
      <c r="T251" t="s">
        <v>3337</v>
      </c>
      <c r="U251">
        <v>-1</v>
      </c>
      <c r="V251" t="s">
        <v>3450</v>
      </c>
    </row>
    <row r="252" spans="1:22" ht="12.75" customHeight="1" x14ac:dyDescent="0.15">
      <c r="A252">
        <v>9</v>
      </c>
      <c r="B252">
        <v>2026</v>
      </c>
      <c r="C252" s="21">
        <v>46085</v>
      </c>
      <c r="D252" t="s">
        <v>53</v>
      </c>
      <c r="E252" t="s">
        <v>54</v>
      </c>
      <c r="F252" t="s">
        <v>21</v>
      </c>
      <c r="G252">
        <v>2</v>
      </c>
      <c r="H252" t="s">
        <v>3495</v>
      </c>
      <c r="I252" t="s">
        <v>29</v>
      </c>
      <c r="J252" s="1" t="s">
        <v>30</v>
      </c>
      <c r="K252" t="s">
        <v>181</v>
      </c>
      <c r="L252" t="s">
        <v>3333</v>
      </c>
      <c r="M252">
        <v>79</v>
      </c>
      <c r="N252">
        <v>1</v>
      </c>
      <c r="O252" t="s">
        <v>3334</v>
      </c>
      <c r="P252">
        <v>81.58</v>
      </c>
      <c r="Q252">
        <v>8</v>
      </c>
      <c r="R252" t="s">
        <v>3401</v>
      </c>
      <c r="T252" t="s">
        <v>3402</v>
      </c>
      <c r="U252">
        <v>-1</v>
      </c>
      <c r="V252" t="s">
        <v>3456</v>
      </c>
    </row>
    <row r="253" spans="1:22" ht="12.75" customHeight="1" x14ac:dyDescent="0.15">
      <c r="A253">
        <v>9</v>
      </c>
      <c r="B253">
        <v>2026</v>
      </c>
      <c r="C253" s="21">
        <v>46085</v>
      </c>
      <c r="D253" t="s">
        <v>53</v>
      </c>
      <c r="E253" t="s">
        <v>54</v>
      </c>
      <c r="F253" t="s">
        <v>21</v>
      </c>
      <c r="G253">
        <v>2</v>
      </c>
      <c r="H253" t="s">
        <v>3495</v>
      </c>
      <c r="I253" t="s">
        <v>29</v>
      </c>
      <c r="J253" s="1" t="s">
        <v>30</v>
      </c>
      <c r="K253" t="s">
        <v>181</v>
      </c>
      <c r="L253" t="s">
        <v>3333</v>
      </c>
      <c r="M253">
        <v>67</v>
      </c>
      <c r="N253">
        <v>1</v>
      </c>
      <c r="O253" t="s">
        <v>3334</v>
      </c>
      <c r="P253">
        <v>81.58</v>
      </c>
      <c r="Q253">
        <v>8</v>
      </c>
      <c r="R253" t="s">
        <v>3404</v>
      </c>
      <c r="T253" t="s">
        <v>3402</v>
      </c>
      <c r="U253">
        <v>-1</v>
      </c>
      <c r="V253" t="s">
        <v>3456</v>
      </c>
    </row>
    <row r="254" spans="1:22" ht="12.75" customHeight="1" x14ac:dyDescent="0.15">
      <c r="A254">
        <v>9</v>
      </c>
      <c r="B254">
        <v>2026</v>
      </c>
      <c r="C254" s="21">
        <v>46085</v>
      </c>
      <c r="D254" t="s">
        <v>53</v>
      </c>
      <c r="E254" t="s">
        <v>54</v>
      </c>
      <c r="F254" t="s">
        <v>21</v>
      </c>
      <c r="G254">
        <v>2</v>
      </c>
      <c r="H254" t="s">
        <v>3495</v>
      </c>
      <c r="I254" t="s">
        <v>29</v>
      </c>
      <c r="J254" s="1" t="s">
        <v>30</v>
      </c>
      <c r="K254" t="s">
        <v>181</v>
      </c>
      <c r="L254" t="s">
        <v>3333</v>
      </c>
      <c r="M254">
        <v>91</v>
      </c>
      <c r="N254">
        <v>1</v>
      </c>
      <c r="O254" t="s">
        <v>3334</v>
      </c>
      <c r="P254">
        <v>81.58</v>
      </c>
      <c r="Q254">
        <v>8</v>
      </c>
      <c r="R254" t="s">
        <v>3412</v>
      </c>
      <c r="T254" t="s">
        <v>3402</v>
      </c>
      <c r="U254">
        <v>-1</v>
      </c>
      <c r="V254" t="s">
        <v>3456</v>
      </c>
    </row>
    <row r="255" spans="1:22" ht="12.75" customHeight="1" x14ac:dyDescent="0.15">
      <c r="A255">
        <v>9</v>
      </c>
      <c r="B255">
        <v>2026</v>
      </c>
      <c r="C255" s="21">
        <v>46085</v>
      </c>
      <c r="D255" t="s">
        <v>53</v>
      </c>
      <c r="E255" t="s">
        <v>54</v>
      </c>
      <c r="F255" t="s">
        <v>21</v>
      </c>
      <c r="G255">
        <v>2</v>
      </c>
      <c r="H255" t="s">
        <v>3495</v>
      </c>
      <c r="I255" t="s">
        <v>29</v>
      </c>
      <c r="J255" s="1" t="s">
        <v>30</v>
      </c>
      <c r="K255" t="s">
        <v>181</v>
      </c>
      <c r="L255" t="s">
        <v>3340</v>
      </c>
      <c r="M255">
        <v>25</v>
      </c>
      <c r="N255">
        <v>1.47</v>
      </c>
      <c r="O255" t="s">
        <v>211</v>
      </c>
      <c r="P255">
        <v>81.099999999999994</v>
      </c>
      <c r="R255" t="s">
        <v>3413</v>
      </c>
      <c r="T255" t="s">
        <v>3402</v>
      </c>
      <c r="U255">
        <v>-1</v>
      </c>
      <c r="V255" t="s">
        <v>3498</v>
      </c>
    </row>
    <row r="256" spans="1:22" ht="12.75" customHeight="1" x14ac:dyDescent="0.15">
      <c r="A256">
        <v>9</v>
      </c>
      <c r="B256">
        <v>2026</v>
      </c>
      <c r="C256" s="21">
        <v>46085</v>
      </c>
      <c r="D256" t="s">
        <v>53</v>
      </c>
      <c r="E256" t="s">
        <v>54</v>
      </c>
      <c r="F256" t="s">
        <v>21</v>
      </c>
      <c r="G256">
        <v>2</v>
      </c>
      <c r="H256" t="s">
        <v>3495</v>
      </c>
      <c r="I256" t="s">
        <v>29</v>
      </c>
      <c r="J256" s="1" t="s">
        <v>30</v>
      </c>
      <c r="K256" t="s">
        <v>181</v>
      </c>
      <c r="L256" t="s">
        <v>3340</v>
      </c>
      <c r="M256">
        <v>87</v>
      </c>
      <c r="N256">
        <v>1.47</v>
      </c>
      <c r="O256" t="s">
        <v>211</v>
      </c>
      <c r="P256">
        <v>81.099999999999994</v>
      </c>
      <c r="R256" t="s">
        <v>3465</v>
      </c>
      <c r="T256" t="s">
        <v>3402</v>
      </c>
      <c r="U256">
        <v>-1</v>
      </c>
      <c r="V256" t="s">
        <v>3498</v>
      </c>
    </row>
    <row r="257" spans="1:22" ht="12.75" customHeight="1" x14ac:dyDescent="0.15">
      <c r="A257">
        <v>9</v>
      </c>
      <c r="B257">
        <v>2026</v>
      </c>
      <c r="C257" s="21">
        <v>46085</v>
      </c>
      <c r="D257" t="s">
        <v>53</v>
      </c>
      <c r="E257" t="s">
        <v>54</v>
      </c>
      <c r="F257" t="s">
        <v>21</v>
      </c>
      <c r="G257">
        <v>2</v>
      </c>
      <c r="H257" t="s">
        <v>3495</v>
      </c>
      <c r="I257" t="s">
        <v>29</v>
      </c>
      <c r="J257" s="1" t="s">
        <v>30</v>
      </c>
      <c r="K257" t="s">
        <v>181</v>
      </c>
      <c r="L257" t="s">
        <v>3340</v>
      </c>
      <c r="M257">
        <v>78</v>
      </c>
      <c r="N257">
        <v>1.47</v>
      </c>
      <c r="O257" t="s">
        <v>211</v>
      </c>
      <c r="P257">
        <v>81.099999999999994</v>
      </c>
      <c r="R257" t="s">
        <v>3341</v>
      </c>
      <c r="T257" t="s">
        <v>3402</v>
      </c>
      <c r="U257">
        <v>-1</v>
      </c>
      <c r="V257" t="s">
        <v>3498</v>
      </c>
    </row>
    <row r="258" spans="1:22" ht="12.75" customHeight="1" x14ac:dyDescent="0.15">
      <c r="A258">
        <v>9</v>
      </c>
      <c r="B258">
        <v>2026</v>
      </c>
      <c r="C258" s="21">
        <v>46085</v>
      </c>
      <c r="D258" t="s">
        <v>53</v>
      </c>
      <c r="E258" t="s">
        <v>54</v>
      </c>
      <c r="F258" t="s">
        <v>21</v>
      </c>
      <c r="G258">
        <v>2</v>
      </c>
      <c r="H258" t="s">
        <v>3495</v>
      </c>
      <c r="I258" t="s">
        <v>29</v>
      </c>
      <c r="J258" s="1" t="s">
        <v>30</v>
      </c>
      <c r="K258" t="s">
        <v>181</v>
      </c>
      <c r="L258" t="s">
        <v>3340</v>
      </c>
      <c r="M258">
        <v>43</v>
      </c>
      <c r="N258">
        <v>1.47</v>
      </c>
      <c r="O258" t="s">
        <v>211</v>
      </c>
      <c r="P258">
        <v>81.099999999999994</v>
      </c>
      <c r="R258" t="s">
        <v>3407</v>
      </c>
      <c r="T258" t="s">
        <v>3402</v>
      </c>
      <c r="U258">
        <v>-1</v>
      </c>
      <c r="V258" t="s">
        <v>3498</v>
      </c>
    </row>
    <row r="259" spans="1:22" ht="12.75" customHeight="1" x14ac:dyDescent="0.15">
      <c r="A259">
        <v>9</v>
      </c>
      <c r="B259">
        <v>2026</v>
      </c>
      <c r="C259" s="21">
        <v>46085</v>
      </c>
      <c r="D259" t="s">
        <v>53</v>
      </c>
      <c r="E259" t="s">
        <v>54</v>
      </c>
      <c r="F259" t="s">
        <v>21</v>
      </c>
      <c r="G259">
        <v>2</v>
      </c>
      <c r="H259" t="s">
        <v>3495</v>
      </c>
      <c r="I259" t="s">
        <v>29</v>
      </c>
      <c r="J259" s="1" t="s">
        <v>30</v>
      </c>
      <c r="K259" t="s">
        <v>181</v>
      </c>
      <c r="L259" t="s">
        <v>3340</v>
      </c>
      <c r="M259">
        <v>49</v>
      </c>
      <c r="N259">
        <v>1.47</v>
      </c>
      <c r="O259" t="s">
        <v>211</v>
      </c>
      <c r="P259">
        <v>81.099999999999994</v>
      </c>
      <c r="R259" t="s">
        <v>3434</v>
      </c>
      <c r="T259" t="s">
        <v>3402</v>
      </c>
      <c r="U259">
        <v>-1</v>
      </c>
      <c r="V259" t="s">
        <v>3498</v>
      </c>
    </row>
    <row r="260" spans="1:22" ht="12.75" customHeight="1" x14ac:dyDescent="0.15">
      <c r="A260">
        <v>9</v>
      </c>
      <c r="B260">
        <v>2026</v>
      </c>
      <c r="C260" s="21">
        <v>46085</v>
      </c>
      <c r="D260" t="s">
        <v>53</v>
      </c>
      <c r="E260" t="s">
        <v>54</v>
      </c>
      <c r="F260" t="s">
        <v>21</v>
      </c>
      <c r="G260">
        <v>2</v>
      </c>
      <c r="H260" t="s">
        <v>3495</v>
      </c>
      <c r="I260" t="s">
        <v>29</v>
      </c>
      <c r="J260" s="1" t="s">
        <v>30</v>
      </c>
      <c r="K260" t="s">
        <v>181</v>
      </c>
      <c r="L260" t="s">
        <v>3333</v>
      </c>
      <c r="M260">
        <v>86</v>
      </c>
      <c r="N260">
        <v>0.73</v>
      </c>
      <c r="O260" t="s">
        <v>3334</v>
      </c>
      <c r="P260">
        <v>59.7</v>
      </c>
      <c r="R260" t="s">
        <v>3386</v>
      </c>
      <c r="T260" t="s">
        <v>3402</v>
      </c>
      <c r="U260">
        <v>-1</v>
      </c>
      <c r="V260" t="s">
        <v>3499</v>
      </c>
    </row>
    <row r="261" spans="1:22" ht="12.75" customHeight="1" x14ac:dyDescent="0.15">
      <c r="A261">
        <v>9</v>
      </c>
      <c r="B261">
        <v>2026</v>
      </c>
      <c r="C261" s="21">
        <v>46086</v>
      </c>
      <c r="D261" t="s">
        <v>53</v>
      </c>
      <c r="E261" t="s">
        <v>54</v>
      </c>
      <c r="F261" t="s">
        <v>21</v>
      </c>
      <c r="G261">
        <v>2</v>
      </c>
      <c r="H261" t="s">
        <v>3454</v>
      </c>
      <c r="I261" t="s">
        <v>212</v>
      </c>
      <c r="J261" s="1" t="s">
        <v>188</v>
      </c>
      <c r="K261" t="s">
        <v>181</v>
      </c>
      <c r="L261" t="s">
        <v>3333</v>
      </c>
      <c r="M261">
        <v>6</v>
      </c>
      <c r="N261">
        <v>0.63</v>
      </c>
      <c r="O261" t="s">
        <v>3334</v>
      </c>
      <c r="P261">
        <v>50.99</v>
      </c>
      <c r="Q261">
        <v>5</v>
      </c>
      <c r="R261" t="s">
        <v>3335</v>
      </c>
      <c r="T261" t="s">
        <v>3337</v>
      </c>
      <c r="U261">
        <v>0</v>
      </c>
      <c r="V261" t="s">
        <v>3500</v>
      </c>
    </row>
    <row r="262" spans="1:22" ht="12.75" customHeight="1" x14ac:dyDescent="0.15">
      <c r="A262">
        <v>9</v>
      </c>
      <c r="B262">
        <v>2026</v>
      </c>
      <c r="C262" s="21">
        <v>46086</v>
      </c>
      <c r="D262" t="s">
        <v>53</v>
      </c>
      <c r="E262" t="s">
        <v>54</v>
      </c>
      <c r="F262" t="s">
        <v>21</v>
      </c>
      <c r="G262">
        <v>2</v>
      </c>
      <c r="H262" t="s">
        <v>3454</v>
      </c>
      <c r="I262" t="s">
        <v>212</v>
      </c>
      <c r="J262" s="1" t="s">
        <v>188</v>
      </c>
      <c r="K262" t="s">
        <v>181</v>
      </c>
      <c r="L262" t="s">
        <v>3333</v>
      </c>
      <c r="M262">
        <v>1</v>
      </c>
      <c r="N262">
        <v>0.63</v>
      </c>
      <c r="O262" t="s">
        <v>3358</v>
      </c>
      <c r="P262">
        <v>44.91</v>
      </c>
      <c r="Q262">
        <v>5</v>
      </c>
      <c r="R262" t="s">
        <v>3359</v>
      </c>
      <c r="T262" t="s">
        <v>3337</v>
      </c>
      <c r="U262">
        <v>0</v>
      </c>
      <c r="V262" t="s">
        <v>3494</v>
      </c>
    </row>
    <row r="263" spans="1:22" ht="12.75" customHeight="1" x14ac:dyDescent="0.15">
      <c r="A263">
        <v>9</v>
      </c>
      <c r="B263">
        <v>2026</v>
      </c>
      <c r="C263" s="21">
        <v>46086</v>
      </c>
      <c r="D263" t="s">
        <v>53</v>
      </c>
      <c r="E263" t="s">
        <v>54</v>
      </c>
      <c r="F263" t="s">
        <v>21</v>
      </c>
      <c r="G263">
        <v>2</v>
      </c>
      <c r="H263" t="s">
        <v>3495</v>
      </c>
      <c r="I263" t="s">
        <v>29</v>
      </c>
      <c r="J263" s="1" t="s">
        <v>30</v>
      </c>
      <c r="K263" t="s">
        <v>181</v>
      </c>
      <c r="L263" t="s">
        <v>3333</v>
      </c>
      <c r="M263">
        <v>86</v>
      </c>
      <c r="N263">
        <v>0.52</v>
      </c>
      <c r="O263" t="s">
        <v>3334</v>
      </c>
      <c r="P263">
        <v>42.7</v>
      </c>
      <c r="R263" t="s">
        <v>3386</v>
      </c>
      <c r="T263" t="s">
        <v>3402</v>
      </c>
      <c r="U263">
        <v>0</v>
      </c>
      <c r="V263" t="s">
        <v>3501</v>
      </c>
    </row>
    <row r="264" spans="1:22" ht="12.75" customHeight="1" x14ac:dyDescent="0.15">
      <c r="A264">
        <v>9</v>
      </c>
      <c r="B264">
        <v>2026</v>
      </c>
      <c r="C264" s="21">
        <v>46086</v>
      </c>
      <c r="D264" t="s">
        <v>53</v>
      </c>
      <c r="E264" t="s">
        <v>54</v>
      </c>
      <c r="F264" t="s">
        <v>21</v>
      </c>
      <c r="G264">
        <v>2</v>
      </c>
      <c r="H264" t="s">
        <v>3495</v>
      </c>
      <c r="I264" t="s">
        <v>29</v>
      </c>
      <c r="J264" s="1" t="s">
        <v>30</v>
      </c>
      <c r="K264" t="s">
        <v>181</v>
      </c>
      <c r="L264" t="s">
        <v>3333</v>
      </c>
      <c r="M264">
        <v>19</v>
      </c>
      <c r="N264">
        <v>1</v>
      </c>
      <c r="O264" t="s">
        <v>3334</v>
      </c>
      <c r="P264">
        <v>81.58</v>
      </c>
      <c r="Q264">
        <v>8</v>
      </c>
      <c r="R264" t="s">
        <v>3403</v>
      </c>
      <c r="T264" t="s">
        <v>3402</v>
      </c>
      <c r="U264">
        <v>0</v>
      </c>
      <c r="V264" t="s">
        <v>3456</v>
      </c>
    </row>
    <row r="265" spans="1:22" ht="12.75" customHeight="1" x14ac:dyDescent="0.15">
      <c r="A265">
        <v>9</v>
      </c>
      <c r="B265">
        <v>2026</v>
      </c>
      <c r="C265" s="21">
        <v>46086</v>
      </c>
      <c r="D265" t="s">
        <v>53</v>
      </c>
      <c r="E265" t="s">
        <v>54</v>
      </c>
      <c r="F265" t="s">
        <v>21</v>
      </c>
      <c r="G265">
        <v>2</v>
      </c>
      <c r="H265" t="s">
        <v>3495</v>
      </c>
      <c r="I265" t="s">
        <v>29</v>
      </c>
      <c r="J265" s="1" t="s">
        <v>30</v>
      </c>
      <c r="K265" t="s">
        <v>181</v>
      </c>
      <c r="L265" t="s">
        <v>3333</v>
      </c>
      <c r="M265">
        <v>79</v>
      </c>
      <c r="N265">
        <v>1</v>
      </c>
      <c r="O265" t="s">
        <v>3334</v>
      </c>
      <c r="P265">
        <v>81.58</v>
      </c>
      <c r="Q265">
        <v>8</v>
      </c>
      <c r="R265" t="s">
        <v>3401</v>
      </c>
      <c r="T265" t="s">
        <v>3402</v>
      </c>
      <c r="U265">
        <v>0</v>
      </c>
      <c r="V265" t="s">
        <v>3456</v>
      </c>
    </row>
    <row r="266" spans="1:22" ht="12.75" customHeight="1" x14ac:dyDescent="0.15">
      <c r="A266">
        <v>9</v>
      </c>
      <c r="B266">
        <v>2026</v>
      </c>
      <c r="C266" s="21">
        <v>46086</v>
      </c>
      <c r="D266" t="s">
        <v>53</v>
      </c>
      <c r="E266" t="s">
        <v>54</v>
      </c>
      <c r="F266" t="s">
        <v>21</v>
      </c>
      <c r="G266">
        <v>2</v>
      </c>
      <c r="H266" t="s">
        <v>3495</v>
      </c>
      <c r="I266" t="s">
        <v>29</v>
      </c>
      <c r="J266" s="1" t="s">
        <v>30</v>
      </c>
      <c r="K266" t="s">
        <v>181</v>
      </c>
      <c r="L266" t="s">
        <v>3333</v>
      </c>
      <c r="M266">
        <v>67</v>
      </c>
      <c r="N266">
        <v>1</v>
      </c>
      <c r="O266" t="s">
        <v>3334</v>
      </c>
      <c r="P266">
        <v>81.58</v>
      </c>
      <c r="Q266">
        <v>8</v>
      </c>
      <c r="R266" t="s">
        <v>3404</v>
      </c>
      <c r="T266" t="s">
        <v>3402</v>
      </c>
      <c r="U266">
        <v>0</v>
      </c>
      <c r="V266" t="s">
        <v>3456</v>
      </c>
    </row>
    <row r="267" spans="1:22" ht="12.75" customHeight="1" x14ac:dyDescent="0.15">
      <c r="A267">
        <v>9</v>
      </c>
      <c r="B267">
        <v>2026</v>
      </c>
      <c r="C267" s="21">
        <v>46086</v>
      </c>
      <c r="D267" t="s">
        <v>53</v>
      </c>
      <c r="E267" t="s">
        <v>54</v>
      </c>
      <c r="F267" t="s">
        <v>21</v>
      </c>
      <c r="G267">
        <v>2</v>
      </c>
      <c r="H267" t="s">
        <v>3495</v>
      </c>
      <c r="I267" t="s">
        <v>29</v>
      </c>
      <c r="J267" s="1" t="s">
        <v>30</v>
      </c>
      <c r="K267" t="s">
        <v>181</v>
      </c>
      <c r="L267" t="s">
        <v>3333</v>
      </c>
      <c r="M267">
        <v>91</v>
      </c>
      <c r="N267">
        <v>1</v>
      </c>
      <c r="O267" t="s">
        <v>3334</v>
      </c>
      <c r="P267">
        <v>81.58</v>
      </c>
      <c r="Q267">
        <v>8</v>
      </c>
      <c r="R267" t="s">
        <v>3412</v>
      </c>
      <c r="T267" t="s">
        <v>3402</v>
      </c>
      <c r="U267">
        <v>0</v>
      </c>
      <c r="V267" t="s">
        <v>3456</v>
      </c>
    </row>
    <row r="268" spans="1:22" ht="12.75" customHeight="1" x14ac:dyDescent="0.15">
      <c r="A268">
        <v>10</v>
      </c>
      <c r="B268">
        <v>2026</v>
      </c>
      <c r="C268" s="21">
        <v>46087</v>
      </c>
      <c r="D268" t="s">
        <v>53</v>
      </c>
      <c r="E268" t="s">
        <v>54</v>
      </c>
      <c r="F268" t="s">
        <v>21</v>
      </c>
      <c r="G268">
        <v>2</v>
      </c>
      <c r="H268" t="s">
        <v>3502</v>
      </c>
      <c r="I268" t="s">
        <v>3503</v>
      </c>
      <c r="J268" s="1" t="s">
        <v>30</v>
      </c>
      <c r="K268" t="s">
        <v>181</v>
      </c>
      <c r="L268" t="s">
        <v>3340</v>
      </c>
      <c r="M268">
        <v>121</v>
      </c>
      <c r="N268">
        <v>0.18</v>
      </c>
      <c r="O268" t="s">
        <v>211</v>
      </c>
      <c r="P268">
        <v>10</v>
      </c>
      <c r="R268" t="s">
        <v>3376</v>
      </c>
      <c r="T268" t="s">
        <v>3337</v>
      </c>
      <c r="U268">
        <v>1</v>
      </c>
      <c r="V268" t="s">
        <v>3504</v>
      </c>
    </row>
    <row r="269" spans="1:22" ht="12.75" customHeight="1" x14ac:dyDescent="0.15">
      <c r="A269">
        <v>10</v>
      </c>
      <c r="B269">
        <v>2026</v>
      </c>
      <c r="C269" s="21">
        <v>46087</v>
      </c>
      <c r="D269" t="s">
        <v>53</v>
      </c>
      <c r="E269" t="s">
        <v>54</v>
      </c>
      <c r="F269" t="s">
        <v>21</v>
      </c>
      <c r="G269">
        <v>2</v>
      </c>
      <c r="H269" t="s">
        <v>3502</v>
      </c>
      <c r="I269" t="s">
        <v>3503</v>
      </c>
      <c r="J269" s="1" t="s">
        <v>30</v>
      </c>
      <c r="K269" t="s">
        <v>181</v>
      </c>
      <c r="L269" t="s">
        <v>3340</v>
      </c>
      <c r="M269">
        <v>132</v>
      </c>
      <c r="N269">
        <v>0.18</v>
      </c>
      <c r="O269" t="s">
        <v>211</v>
      </c>
      <c r="P269">
        <v>10</v>
      </c>
      <c r="R269" t="s">
        <v>3368</v>
      </c>
      <c r="T269" t="s">
        <v>3337</v>
      </c>
      <c r="U269">
        <v>1</v>
      </c>
      <c r="V269" t="s">
        <v>3504</v>
      </c>
    </row>
    <row r="270" spans="1:22" ht="12.75" customHeight="1" x14ac:dyDescent="0.15">
      <c r="A270">
        <v>10</v>
      </c>
      <c r="B270">
        <v>2026</v>
      </c>
      <c r="C270" s="21">
        <v>46087</v>
      </c>
      <c r="D270" t="s">
        <v>53</v>
      </c>
      <c r="E270" t="s">
        <v>54</v>
      </c>
      <c r="F270" t="s">
        <v>21</v>
      </c>
      <c r="G270">
        <v>2</v>
      </c>
      <c r="H270" t="s">
        <v>3502</v>
      </c>
      <c r="I270" t="s">
        <v>3503</v>
      </c>
      <c r="J270" s="1" t="s">
        <v>30</v>
      </c>
      <c r="K270" t="s">
        <v>181</v>
      </c>
      <c r="L270" t="s">
        <v>3340</v>
      </c>
      <c r="M270">
        <v>81</v>
      </c>
      <c r="N270">
        <v>0.18</v>
      </c>
      <c r="O270" t="s">
        <v>211</v>
      </c>
      <c r="P270">
        <v>10</v>
      </c>
      <c r="R270" t="s">
        <v>3374</v>
      </c>
      <c r="T270" t="s">
        <v>3337</v>
      </c>
      <c r="U270">
        <v>1</v>
      </c>
      <c r="V270" t="s">
        <v>3504</v>
      </c>
    </row>
    <row r="271" spans="1:22" ht="12.75" customHeight="1" x14ac:dyDescent="0.15">
      <c r="A271">
        <v>10</v>
      </c>
      <c r="B271">
        <v>2026</v>
      </c>
      <c r="C271" s="21">
        <v>46087</v>
      </c>
      <c r="D271" t="s">
        <v>53</v>
      </c>
      <c r="E271" t="s">
        <v>54</v>
      </c>
      <c r="F271" t="s">
        <v>21</v>
      </c>
      <c r="G271">
        <v>2</v>
      </c>
      <c r="H271" t="s">
        <v>3502</v>
      </c>
      <c r="I271" t="s">
        <v>3503</v>
      </c>
      <c r="J271" s="1" t="s">
        <v>30</v>
      </c>
      <c r="K271" t="s">
        <v>181</v>
      </c>
      <c r="L271" t="s">
        <v>3340</v>
      </c>
      <c r="M271">
        <v>45</v>
      </c>
      <c r="N271">
        <v>0.18</v>
      </c>
      <c r="O271" t="s">
        <v>211</v>
      </c>
      <c r="P271">
        <v>10</v>
      </c>
      <c r="R271" t="s">
        <v>3377</v>
      </c>
      <c r="T271" t="s">
        <v>3337</v>
      </c>
      <c r="U271">
        <v>1</v>
      </c>
      <c r="V271" t="s">
        <v>3504</v>
      </c>
    </row>
    <row r="272" spans="1:22" ht="12.75" customHeight="1" x14ac:dyDescent="0.15">
      <c r="A272">
        <v>10</v>
      </c>
      <c r="B272">
        <v>2026</v>
      </c>
      <c r="C272" s="21">
        <v>46087</v>
      </c>
      <c r="D272" t="s">
        <v>53</v>
      </c>
      <c r="E272" t="s">
        <v>54</v>
      </c>
      <c r="F272" t="s">
        <v>21</v>
      </c>
      <c r="G272">
        <v>2</v>
      </c>
      <c r="H272" t="s">
        <v>3502</v>
      </c>
      <c r="I272" t="s">
        <v>3503</v>
      </c>
      <c r="J272" s="1" t="s">
        <v>30</v>
      </c>
      <c r="K272" t="s">
        <v>181</v>
      </c>
      <c r="L272" t="s">
        <v>3340</v>
      </c>
      <c r="M272">
        <v>58</v>
      </c>
      <c r="N272">
        <v>0.18</v>
      </c>
      <c r="O272" t="s">
        <v>211</v>
      </c>
      <c r="P272">
        <v>10</v>
      </c>
      <c r="R272" t="s">
        <v>3343</v>
      </c>
      <c r="T272" t="s">
        <v>3337</v>
      </c>
      <c r="U272">
        <v>1</v>
      </c>
      <c r="V272" t="s">
        <v>3504</v>
      </c>
    </row>
    <row r="273" spans="1:22" ht="12.75" customHeight="1" x14ac:dyDescent="0.15">
      <c r="A273">
        <v>10</v>
      </c>
      <c r="B273">
        <v>2026</v>
      </c>
      <c r="C273" s="21">
        <v>46087</v>
      </c>
      <c r="D273" t="s">
        <v>53</v>
      </c>
      <c r="E273" t="s">
        <v>54</v>
      </c>
      <c r="F273" t="s">
        <v>21</v>
      </c>
      <c r="G273">
        <v>2</v>
      </c>
      <c r="H273" t="s">
        <v>3502</v>
      </c>
      <c r="I273" t="s">
        <v>3503</v>
      </c>
      <c r="J273" s="1" t="s">
        <v>30</v>
      </c>
      <c r="K273" t="s">
        <v>181</v>
      </c>
      <c r="L273" t="s">
        <v>3340</v>
      </c>
      <c r="M273">
        <v>53</v>
      </c>
      <c r="N273">
        <v>0.18</v>
      </c>
      <c r="O273" t="s">
        <v>211</v>
      </c>
      <c r="P273">
        <v>10</v>
      </c>
      <c r="R273" t="s">
        <v>3373</v>
      </c>
      <c r="T273" t="s">
        <v>3337</v>
      </c>
      <c r="U273">
        <v>1</v>
      </c>
      <c r="V273" t="s">
        <v>3504</v>
      </c>
    </row>
    <row r="274" spans="1:22" ht="12.75" customHeight="1" x14ac:dyDescent="0.15">
      <c r="A274">
        <v>10</v>
      </c>
      <c r="B274">
        <v>2026</v>
      </c>
      <c r="C274" s="21">
        <v>46087</v>
      </c>
      <c r="D274" t="s">
        <v>53</v>
      </c>
      <c r="E274" t="s">
        <v>54</v>
      </c>
      <c r="F274" t="s">
        <v>21</v>
      </c>
      <c r="G274">
        <v>2</v>
      </c>
      <c r="H274" t="s">
        <v>3502</v>
      </c>
      <c r="I274" t="s">
        <v>3503</v>
      </c>
      <c r="J274" s="1" t="s">
        <v>30</v>
      </c>
      <c r="K274" t="s">
        <v>181</v>
      </c>
      <c r="L274" t="s">
        <v>3340</v>
      </c>
      <c r="M274">
        <v>84</v>
      </c>
      <c r="N274">
        <v>0.18</v>
      </c>
      <c r="O274" t="s">
        <v>211</v>
      </c>
      <c r="P274">
        <v>10</v>
      </c>
      <c r="R274" t="s">
        <v>3446</v>
      </c>
      <c r="T274" t="s">
        <v>3337</v>
      </c>
      <c r="U274">
        <v>1</v>
      </c>
      <c r="V274" t="s">
        <v>3504</v>
      </c>
    </row>
    <row r="275" spans="1:22" ht="12.75" customHeight="1" x14ac:dyDescent="0.15">
      <c r="A275">
        <v>10</v>
      </c>
      <c r="B275">
        <v>2026</v>
      </c>
      <c r="C275" s="21">
        <v>46087</v>
      </c>
      <c r="D275" t="s">
        <v>53</v>
      </c>
      <c r="E275" t="s">
        <v>54</v>
      </c>
      <c r="F275" t="s">
        <v>21</v>
      </c>
      <c r="G275">
        <v>2</v>
      </c>
      <c r="H275" t="s">
        <v>3502</v>
      </c>
      <c r="I275" t="s">
        <v>3503</v>
      </c>
      <c r="J275" s="1" t="s">
        <v>30</v>
      </c>
      <c r="K275" t="s">
        <v>181</v>
      </c>
      <c r="L275" t="s">
        <v>3340</v>
      </c>
      <c r="M275">
        <v>62</v>
      </c>
      <c r="N275">
        <v>0.18</v>
      </c>
      <c r="O275" t="s">
        <v>211</v>
      </c>
      <c r="P275">
        <v>10</v>
      </c>
      <c r="R275" t="s">
        <v>3375</v>
      </c>
      <c r="T275" t="s">
        <v>3337</v>
      </c>
      <c r="U275">
        <v>1</v>
      </c>
      <c r="V275" t="s">
        <v>3504</v>
      </c>
    </row>
    <row r="276" spans="1:22" ht="12.75" customHeight="1" x14ac:dyDescent="0.15">
      <c r="A276">
        <v>10</v>
      </c>
      <c r="B276">
        <v>2026</v>
      </c>
      <c r="C276" s="21">
        <v>46087</v>
      </c>
      <c r="D276" t="s">
        <v>53</v>
      </c>
      <c r="E276" t="s">
        <v>54</v>
      </c>
      <c r="F276" t="s">
        <v>21</v>
      </c>
      <c r="G276">
        <v>2</v>
      </c>
      <c r="H276" t="s">
        <v>3346</v>
      </c>
      <c r="I276" t="s">
        <v>212</v>
      </c>
      <c r="J276" s="1" t="s">
        <v>188</v>
      </c>
      <c r="K276" t="s">
        <v>181</v>
      </c>
      <c r="L276" t="s">
        <v>3333</v>
      </c>
      <c r="M276">
        <v>6</v>
      </c>
      <c r="N276">
        <v>1</v>
      </c>
      <c r="O276" t="s">
        <v>3334</v>
      </c>
      <c r="P276">
        <v>81.58</v>
      </c>
      <c r="Q276">
        <v>8</v>
      </c>
      <c r="R276" t="s">
        <v>3335</v>
      </c>
      <c r="T276" t="s">
        <v>3337</v>
      </c>
      <c r="U276">
        <v>1</v>
      </c>
      <c r="V276" t="s">
        <v>3456</v>
      </c>
    </row>
    <row r="277" spans="1:22" ht="12.75" customHeight="1" x14ac:dyDescent="0.15">
      <c r="A277">
        <v>10</v>
      </c>
      <c r="B277">
        <v>2026</v>
      </c>
      <c r="C277" s="21">
        <v>46087</v>
      </c>
      <c r="D277" t="s">
        <v>53</v>
      </c>
      <c r="E277" t="s">
        <v>54</v>
      </c>
      <c r="F277" t="s">
        <v>21</v>
      </c>
      <c r="G277">
        <v>2</v>
      </c>
      <c r="H277" t="s">
        <v>3454</v>
      </c>
      <c r="I277" t="s">
        <v>212</v>
      </c>
      <c r="J277" s="1" t="s">
        <v>188</v>
      </c>
      <c r="K277" t="s">
        <v>181</v>
      </c>
      <c r="L277" t="s">
        <v>3333</v>
      </c>
      <c r="M277">
        <v>1</v>
      </c>
      <c r="N277">
        <v>1</v>
      </c>
      <c r="O277" t="s">
        <v>3358</v>
      </c>
      <c r="P277">
        <v>71.86</v>
      </c>
      <c r="Q277">
        <v>8</v>
      </c>
      <c r="R277" t="s">
        <v>3359</v>
      </c>
      <c r="T277" t="s">
        <v>3337</v>
      </c>
      <c r="U277">
        <v>1</v>
      </c>
      <c r="V277" t="s">
        <v>3452</v>
      </c>
    </row>
    <row r="278" spans="1:22" ht="12.75" customHeight="1" x14ac:dyDescent="0.15">
      <c r="A278">
        <v>10</v>
      </c>
      <c r="B278">
        <v>2026</v>
      </c>
      <c r="C278" s="21">
        <v>46087</v>
      </c>
      <c r="D278" t="s">
        <v>53</v>
      </c>
      <c r="E278" t="s">
        <v>54</v>
      </c>
      <c r="F278" t="s">
        <v>21</v>
      </c>
      <c r="G278">
        <v>2</v>
      </c>
      <c r="H278" t="s">
        <v>3505</v>
      </c>
      <c r="I278" t="s">
        <v>29</v>
      </c>
      <c r="J278" s="1" t="s">
        <v>30</v>
      </c>
      <c r="K278" t="s">
        <v>181</v>
      </c>
      <c r="L278" t="s">
        <v>3477</v>
      </c>
      <c r="M278">
        <v>3</v>
      </c>
      <c r="N278">
        <v>0.88</v>
      </c>
      <c r="O278" t="s">
        <v>3334</v>
      </c>
      <c r="P278">
        <v>71.5</v>
      </c>
      <c r="Q278">
        <v>1.3</v>
      </c>
      <c r="R278" t="s">
        <v>3478</v>
      </c>
      <c r="T278" t="s">
        <v>3479</v>
      </c>
      <c r="U278">
        <v>1</v>
      </c>
      <c r="V278" t="s">
        <v>3506</v>
      </c>
    </row>
    <row r="279" spans="1:22" ht="12.75" customHeight="1" x14ac:dyDescent="0.15">
      <c r="A279">
        <v>10</v>
      </c>
      <c r="B279">
        <v>2026</v>
      </c>
      <c r="C279" s="21">
        <v>46087</v>
      </c>
      <c r="D279" t="s">
        <v>53</v>
      </c>
      <c r="E279" t="s">
        <v>54</v>
      </c>
      <c r="F279" t="s">
        <v>21</v>
      </c>
      <c r="G279">
        <v>2</v>
      </c>
      <c r="H279" t="s">
        <v>3505</v>
      </c>
      <c r="I279" t="s">
        <v>29</v>
      </c>
      <c r="J279" s="1" t="s">
        <v>30</v>
      </c>
      <c r="K279" t="s">
        <v>181</v>
      </c>
      <c r="L279" t="s">
        <v>3481</v>
      </c>
      <c r="M279">
        <v>40</v>
      </c>
      <c r="N279">
        <v>1.31</v>
      </c>
      <c r="O279" t="s">
        <v>211</v>
      </c>
      <c r="P279">
        <v>72</v>
      </c>
      <c r="Q279">
        <v>1.31</v>
      </c>
      <c r="R279" t="s">
        <v>3482</v>
      </c>
      <c r="T279" t="s">
        <v>3479</v>
      </c>
      <c r="U279">
        <v>1</v>
      </c>
      <c r="V279" t="s">
        <v>3507</v>
      </c>
    </row>
    <row r="280" spans="1:22" ht="12.75" customHeight="1" x14ac:dyDescent="0.15">
      <c r="A280">
        <v>10</v>
      </c>
      <c r="B280">
        <v>2026</v>
      </c>
      <c r="C280" s="21">
        <v>46088</v>
      </c>
      <c r="D280" t="s">
        <v>53</v>
      </c>
      <c r="E280" t="s">
        <v>54</v>
      </c>
      <c r="F280" t="s">
        <v>21</v>
      </c>
      <c r="G280">
        <v>2</v>
      </c>
      <c r="H280" t="s">
        <v>3495</v>
      </c>
      <c r="I280" t="s">
        <v>29</v>
      </c>
      <c r="J280" s="1" t="s">
        <v>30</v>
      </c>
      <c r="K280" t="s">
        <v>181</v>
      </c>
      <c r="L280" t="s">
        <v>3477</v>
      </c>
      <c r="M280">
        <v>3</v>
      </c>
      <c r="N280">
        <v>0.69</v>
      </c>
      <c r="O280" t="s">
        <v>3334</v>
      </c>
      <c r="P280">
        <v>56.5</v>
      </c>
      <c r="Q280">
        <v>1.03</v>
      </c>
      <c r="R280" t="s">
        <v>3478</v>
      </c>
      <c r="T280" t="s">
        <v>3479</v>
      </c>
      <c r="U280">
        <v>2</v>
      </c>
      <c r="V280" t="s">
        <v>3508</v>
      </c>
    </row>
    <row r="281" spans="1:22" ht="12.75" customHeight="1" x14ac:dyDescent="0.15">
      <c r="A281">
        <v>10</v>
      </c>
      <c r="B281">
        <v>2026</v>
      </c>
      <c r="C281" s="21">
        <v>46088</v>
      </c>
      <c r="D281" t="s">
        <v>53</v>
      </c>
      <c r="E281" t="s">
        <v>54</v>
      </c>
      <c r="F281" t="s">
        <v>21</v>
      </c>
      <c r="G281">
        <v>2</v>
      </c>
      <c r="H281" t="s">
        <v>3495</v>
      </c>
      <c r="I281" t="s">
        <v>29</v>
      </c>
      <c r="J281" s="1" t="s">
        <v>30</v>
      </c>
      <c r="K281" t="s">
        <v>181</v>
      </c>
      <c r="L281" t="s">
        <v>3481</v>
      </c>
      <c r="M281">
        <v>40</v>
      </c>
      <c r="N281">
        <v>0.9</v>
      </c>
      <c r="O281" t="s">
        <v>211</v>
      </c>
      <c r="P281">
        <v>49.5</v>
      </c>
      <c r="Q281">
        <v>0.9</v>
      </c>
      <c r="R281" t="s">
        <v>3482</v>
      </c>
      <c r="T281" t="s">
        <v>3479</v>
      </c>
      <c r="U281">
        <v>2</v>
      </c>
      <c r="V281" t="s">
        <v>3509</v>
      </c>
    </row>
    <row r="282" spans="1:22" ht="12.75" customHeight="1" x14ac:dyDescent="0.15">
      <c r="A282">
        <v>10</v>
      </c>
      <c r="B282">
        <v>2026</v>
      </c>
      <c r="C282" s="21">
        <v>46090</v>
      </c>
      <c r="D282" t="s">
        <v>39</v>
      </c>
      <c r="E282" t="s">
        <v>40</v>
      </c>
      <c r="F282" t="s">
        <v>21</v>
      </c>
      <c r="G282">
        <v>1.91</v>
      </c>
      <c r="H282" t="s">
        <v>3453</v>
      </c>
      <c r="I282" t="s">
        <v>187</v>
      </c>
      <c r="J282" s="1" t="s">
        <v>188</v>
      </c>
      <c r="K282" t="s">
        <v>181</v>
      </c>
      <c r="L282" t="s">
        <v>3333</v>
      </c>
      <c r="M282">
        <v>6</v>
      </c>
      <c r="N282">
        <v>0.5</v>
      </c>
      <c r="O282" t="s">
        <v>3334</v>
      </c>
      <c r="P282">
        <v>40.79</v>
      </c>
      <c r="Q282">
        <v>4</v>
      </c>
      <c r="R282" t="s">
        <v>3335</v>
      </c>
      <c r="T282" t="s">
        <v>3337</v>
      </c>
      <c r="U282">
        <v>53</v>
      </c>
      <c r="V282" t="s">
        <v>3510</v>
      </c>
    </row>
    <row r="283" spans="1:22" ht="12.75" customHeight="1" x14ac:dyDescent="0.15">
      <c r="A283">
        <v>10</v>
      </c>
      <c r="B283">
        <v>2026</v>
      </c>
      <c r="C283" s="21">
        <v>46090</v>
      </c>
      <c r="D283" t="s">
        <v>39</v>
      </c>
      <c r="E283" t="s">
        <v>40</v>
      </c>
      <c r="F283" t="s">
        <v>21</v>
      </c>
      <c r="G283">
        <v>1.91</v>
      </c>
      <c r="H283" t="s">
        <v>3454</v>
      </c>
      <c r="I283" t="s">
        <v>212</v>
      </c>
      <c r="J283" s="1" t="s">
        <v>188</v>
      </c>
      <c r="K283" t="s">
        <v>181</v>
      </c>
      <c r="L283" t="s">
        <v>3333</v>
      </c>
      <c r="M283">
        <v>6</v>
      </c>
      <c r="N283">
        <v>0.5</v>
      </c>
      <c r="O283" t="s">
        <v>3334</v>
      </c>
      <c r="P283">
        <v>40.79</v>
      </c>
      <c r="Q283">
        <v>4</v>
      </c>
      <c r="R283" t="s">
        <v>3335</v>
      </c>
      <c r="T283" t="s">
        <v>3337</v>
      </c>
      <c r="U283">
        <v>53</v>
      </c>
      <c r="V283" t="s">
        <v>3510</v>
      </c>
    </row>
    <row r="284" spans="1:22" ht="12.75" customHeight="1" x14ac:dyDescent="0.15">
      <c r="A284">
        <v>10</v>
      </c>
      <c r="B284">
        <v>2026</v>
      </c>
      <c r="C284" s="21">
        <v>46090</v>
      </c>
      <c r="D284" t="s">
        <v>39</v>
      </c>
      <c r="E284" t="s">
        <v>40</v>
      </c>
      <c r="F284" t="s">
        <v>21</v>
      </c>
      <c r="G284">
        <v>1.91</v>
      </c>
      <c r="H284" t="s">
        <v>3453</v>
      </c>
      <c r="I284" t="s">
        <v>187</v>
      </c>
      <c r="J284" s="1" t="s">
        <v>188</v>
      </c>
      <c r="K284" t="s">
        <v>181</v>
      </c>
      <c r="L284" t="s">
        <v>3333</v>
      </c>
      <c r="M284">
        <v>1</v>
      </c>
      <c r="N284">
        <v>0.5</v>
      </c>
      <c r="O284" t="s">
        <v>3358</v>
      </c>
      <c r="P284">
        <v>35.93</v>
      </c>
      <c r="Q284">
        <v>4</v>
      </c>
      <c r="R284" t="s">
        <v>3359</v>
      </c>
      <c r="T284" t="s">
        <v>3337</v>
      </c>
      <c r="U284">
        <v>53</v>
      </c>
      <c r="V284" t="s">
        <v>3511</v>
      </c>
    </row>
    <row r="285" spans="1:22" ht="12.75" customHeight="1" x14ac:dyDescent="0.15">
      <c r="A285">
        <v>10</v>
      </c>
      <c r="B285">
        <v>2026</v>
      </c>
      <c r="C285" s="21">
        <v>46090</v>
      </c>
      <c r="D285" t="s">
        <v>39</v>
      </c>
      <c r="E285" t="s">
        <v>40</v>
      </c>
      <c r="F285" t="s">
        <v>21</v>
      </c>
      <c r="G285">
        <v>1.91</v>
      </c>
      <c r="H285" t="s">
        <v>3454</v>
      </c>
      <c r="I285" t="s">
        <v>212</v>
      </c>
      <c r="J285" s="1" t="s">
        <v>188</v>
      </c>
      <c r="K285" t="s">
        <v>181</v>
      </c>
      <c r="L285" t="s">
        <v>3333</v>
      </c>
      <c r="M285">
        <v>1</v>
      </c>
      <c r="N285">
        <v>0.5</v>
      </c>
      <c r="O285" t="s">
        <v>3358</v>
      </c>
      <c r="P285">
        <v>35.93</v>
      </c>
      <c r="Q285">
        <v>4</v>
      </c>
      <c r="R285" t="s">
        <v>3359</v>
      </c>
      <c r="T285" t="s">
        <v>3337</v>
      </c>
      <c r="U285">
        <v>53</v>
      </c>
      <c r="V285" t="s">
        <v>3511</v>
      </c>
    </row>
    <row r="286" spans="1:22" ht="12.75" customHeight="1" x14ac:dyDescent="0.15">
      <c r="A286">
        <v>10</v>
      </c>
      <c r="B286">
        <v>2026</v>
      </c>
      <c r="C286" s="21">
        <v>46091</v>
      </c>
      <c r="D286" t="s">
        <v>47</v>
      </c>
      <c r="E286" t="s">
        <v>48</v>
      </c>
      <c r="F286" t="s">
        <v>21</v>
      </c>
      <c r="G286">
        <v>2</v>
      </c>
      <c r="H286" t="s">
        <v>3512</v>
      </c>
      <c r="I286" t="s">
        <v>3513</v>
      </c>
      <c r="J286" s="1" t="s">
        <v>207</v>
      </c>
      <c r="K286" t="s">
        <v>181</v>
      </c>
      <c r="L286" t="s">
        <v>3333</v>
      </c>
      <c r="M286">
        <v>67</v>
      </c>
      <c r="N286">
        <v>0.25</v>
      </c>
      <c r="O286" t="s">
        <v>3334</v>
      </c>
      <c r="P286">
        <v>20.399999999999999</v>
      </c>
      <c r="Q286">
        <v>2</v>
      </c>
      <c r="R286" t="s">
        <v>3404</v>
      </c>
      <c r="T286" t="s">
        <v>3402</v>
      </c>
      <c r="U286">
        <v>19</v>
      </c>
      <c r="V286" t="s">
        <v>3472</v>
      </c>
    </row>
    <row r="287" spans="1:22" ht="12.75" customHeight="1" x14ac:dyDescent="0.15">
      <c r="A287">
        <v>10</v>
      </c>
      <c r="B287">
        <v>2026</v>
      </c>
      <c r="C287" s="21">
        <v>46091</v>
      </c>
      <c r="D287" t="s">
        <v>47</v>
      </c>
      <c r="E287" t="s">
        <v>48</v>
      </c>
      <c r="F287" t="s">
        <v>21</v>
      </c>
      <c r="G287">
        <v>2</v>
      </c>
      <c r="H287" t="s">
        <v>3512</v>
      </c>
      <c r="I287" t="s">
        <v>3513</v>
      </c>
      <c r="J287" s="1" t="s">
        <v>207</v>
      </c>
      <c r="K287" t="s">
        <v>181</v>
      </c>
      <c r="L287" t="s">
        <v>3333</v>
      </c>
      <c r="M287">
        <v>19</v>
      </c>
      <c r="N287">
        <v>0.25</v>
      </c>
      <c r="O287" t="s">
        <v>3334</v>
      </c>
      <c r="P287">
        <v>20.399999999999999</v>
      </c>
      <c r="Q287">
        <v>2</v>
      </c>
      <c r="R287" t="s">
        <v>3403</v>
      </c>
      <c r="T287" t="s">
        <v>3402</v>
      </c>
      <c r="U287">
        <v>19</v>
      </c>
      <c r="V287" t="s">
        <v>3472</v>
      </c>
    </row>
    <row r="288" spans="1:22" ht="12.75" customHeight="1" x14ac:dyDescent="0.15">
      <c r="A288">
        <v>10</v>
      </c>
      <c r="B288">
        <v>2026</v>
      </c>
      <c r="C288" s="21">
        <v>46091</v>
      </c>
      <c r="D288" t="s">
        <v>47</v>
      </c>
      <c r="E288" t="s">
        <v>48</v>
      </c>
      <c r="F288" t="s">
        <v>21</v>
      </c>
      <c r="G288">
        <v>2</v>
      </c>
      <c r="H288" t="s">
        <v>3512</v>
      </c>
      <c r="I288" t="s">
        <v>3513</v>
      </c>
      <c r="J288" s="1" t="s">
        <v>207</v>
      </c>
      <c r="K288" t="s">
        <v>181</v>
      </c>
      <c r="L288" t="s">
        <v>3340</v>
      </c>
      <c r="M288">
        <v>25</v>
      </c>
      <c r="N288">
        <v>0.33</v>
      </c>
      <c r="O288" t="s">
        <v>211</v>
      </c>
      <c r="P288">
        <v>18</v>
      </c>
      <c r="Q288">
        <v>2</v>
      </c>
      <c r="R288" t="s">
        <v>3413</v>
      </c>
      <c r="T288" t="s">
        <v>3402</v>
      </c>
      <c r="U288">
        <v>19</v>
      </c>
      <c r="V288" t="s">
        <v>3473</v>
      </c>
    </row>
    <row r="289" spans="1:22" ht="12.75" customHeight="1" x14ac:dyDescent="0.15">
      <c r="A289">
        <v>10</v>
      </c>
      <c r="B289">
        <v>2026</v>
      </c>
      <c r="C289" s="21">
        <v>46091</v>
      </c>
      <c r="D289" t="s">
        <v>47</v>
      </c>
      <c r="E289" t="s">
        <v>48</v>
      </c>
      <c r="F289" t="s">
        <v>21</v>
      </c>
      <c r="G289">
        <v>2</v>
      </c>
      <c r="H289" t="s">
        <v>3512</v>
      </c>
      <c r="I289" t="s">
        <v>3513</v>
      </c>
      <c r="J289" s="1" t="s">
        <v>207</v>
      </c>
      <c r="K289" t="s">
        <v>181</v>
      </c>
      <c r="L289" t="s">
        <v>3340</v>
      </c>
      <c r="M289">
        <v>26</v>
      </c>
      <c r="N289">
        <v>0.33</v>
      </c>
      <c r="O289" t="s">
        <v>211</v>
      </c>
      <c r="P289">
        <v>18</v>
      </c>
      <c r="Q289">
        <v>2</v>
      </c>
      <c r="R289" t="s">
        <v>3421</v>
      </c>
      <c r="T289" t="s">
        <v>3402</v>
      </c>
      <c r="U289">
        <v>19</v>
      </c>
      <c r="V289" t="s">
        <v>3473</v>
      </c>
    </row>
    <row r="290" spans="1:22" ht="12.75" customHeight="1" x14ac:dyDescent="0.15">
      <c r="A290">
        <v>10</v>
      </c>
      <c r="B290">
        <v>2026</v>
      </c>
      <c r="C290" s="21">
        <v>46091</v>
      </c>
      <c r="D290" t="s">
        <v>47</v>
      </c>
      <c r="E290" t="s">
        <v>48</v>
      </c>
      <c r="F290" t="s">
        <v>21</v>
      </c>
      <c r="G290">
        <v>2</v>
      </c>
      <c r="H290" t="s">
        <v>3512</v>
      </c>
      <c r="I290" t="s">
        <v>3513</v>
      </c>
      <c r="J290" s="1" t="s">
        <v>207</v>
      </c>
      <c r="K290" t="s">
        <v>181</v>
      </c>
      <c r="L290" t="s">
        <v>3340</v>
      </c>
      <c r="M290">
        <v>87</v>
      </c>
      <c r="N290">
        <v>0.33</v>
      </c>
      <c r="O290" t="s">
        <v>211</v>
      </c>
      <c r="P290">
        <v>18</v>
      </c>
      <c r="Q290">
        <v>2</v>
      </c>
      <c r="R290" t="s">
        <v>3465</v>
      </c>
      <c r="T290" t="s">
        <v>3402</v>
      </c>
      <c r="U290">
        <v>19</v>
      </c>
      <c r="V290" t="s">
        <v>3473</v>
      </c>
    </row>
    <row r="291" spans="1:22" ht="12.75" customHeight="1" x14ac:dyDescent="0.15">
      <c r="A291">
        <v>10</v>
      </c>
      <c r="B291">
        <v>2026</v>
      </c>
      <c r="C291" s="21">
        <v>46092</v>
      </c>
      <c r="D291" t="s">
        <v>39</v>
      </c>
      <c r="E291" t="s">
        <v>40</v>
      </c>
      <c r="F291" t="s">
        <v>21</v>
      </c>
      <c r="G291">
        <v>1.91</v>
      </c>
      <c r="H291" t="s">
        <v>3514</v>
      </c>
      <c r="I291" t="s">
        <v>366</v>
      </c>
      <c r="J291" s="1" t="s">
        <v>215</v>
      </c>
      <c r="K291" t="s">
        <v>181</v>
      </c>
      <c r="L291" t="s">
        <v>3340</v>
      </c>
      <c r="M291">
        <v>53</v>
      </c>
      <c r="N291">
        <v>0.79</v>
      </c>
      <c r="O291" t="s">
        <v>211</v>
      </c>
      <c r="P291">
        <v>43.3</v>
      </c>
      <c r="R291" t="s">
        <v>3373</v>
      </c>
      <c r="S291" t="s">
        <v>3515</v>
      </c>
      <c r="T291" t="s">
        <v>3337</v>
      </c>
      <c r="U291">
        <v>55</v>
      </c>
      <c r="V291" t="s">
        <v>3516</v>
      </c>
    </row>
    <row r="292" spans="1:22" ht="12.75" customHeight="1" x14ac:dyDescent="0.15">
      <c r="A292">
        <v>10</v>
      </c>
      <c r="B292">
        <v>2026</v>
      </c>
      <c r="C292" s="21">
        <v>46092</v>
      </c>
      <c r="D292" t="s">
        <v>39</v>
      </c>
      <c r="E292" t="s">
        <v>40</v>
      </c>
      <c r="F292" t="s">
        <v>21</v>
      </c>
      <c r="G292">
        <v>1.91</v>
      </c>
      <c r="H292" t="s">
        <v>3514</v>
      </c>
      <c r="I292" t="s">
        <v>366</v>
      </c>
      <c r="J292" s="1" t="s">
        <v>215</v>
      </c>
      <c r="K292" t="s">
        <v>181</v>
      </c>
      <c r="L292" t="s">
        <v>3340</v>
      </c>
      <c r="M292">
        <v>132</v>
      </c>
      <c r="N292">
        <v>0.79</v>
      </c>
      <c r="O292" t="s">
        <v>211</v>
      </c>
      <c r="P292">
        <v>43.3</v>
      </c>
      <c r="R292" t="s">
        <v>3368</v>
      </c>
      <c r="T292" t="s">
        <v>3337</v>
      </c>
      <c r="U292">
        <v>55</v>
      </c>
      <c r="V292" t="s">
        <v>3516</v>
      </c>
    </row>
    <row r="293" spans="1:22" ht="12.75" customHeight="1" x14ac:dyDescent="0.15">
      <c r="A293">
        <v>10</v>
      </c>
      <c r="B293">
        <v>2026</v>
      </c>
      <c r="C293" s="21">
        <v>46092</v>
      </c>
      <c r="D293" t="s">
        <v>39</v>
      </c>
      <c r="E293" t="s">
        <v>40</v>
      </c>
      <c r="F293" t="s">
        <v>21</v>
      </c>
      <c r="G293">
        <v>1.91</v>
      </c>
      <c r="H293" t="s">
        <v>3514</v>
      </c>
      <c r="I293" t="s">
        <v>366</v>
      </c>
      <c r="J293" s="1" t="s">
        <v>215</v>
      </c>
      <c r="K293" t="s">
        <v>181</v>
      </c>
      <c r="L293" t="s">
        <v>3340</v>
      </c>
      <c r="M293">
        <v>58</v>
      </c>
      <c r="N293">
        <v>0.79</v>
      </c>
      <c r="O293" t="s">
        <v>211</v>
      </c>
      <c r="P293">
        <v>43.3</v>
      </c>
      <c r="R293" t="s">
        <v>3343</v>
      </c>
      <c r="T293" t="s">
        <v>3337</v>
      </c>
      <c r="U293">
        <v>55</v>
      </c>
      <c r="V293" t="s">
        <v>3516</v>
      </c>
    </row>
    <row r="294" spans="1:22" ht="12.75" customHeight="1" x14ac:dyDescent="0.15">
      <c r="A294">
        <v>10</v>
      </c>
      <c r="B294">
        <v>2026</v>
      </c>
      <c r="C294" s="21">
        <v>46092</v>
      </c>
      <c r="D294" t="s">
        <v>39</v>
      </c>
      <c r="E294" t="s">
        <v>40</v>
      </c>
      <c r="F294" t="s">
        <v>21</v>
      </c>
      <c r="G294">
        <v>1.91</v>
      </c>
      <c r="H294" t="s">
        <v>3514</v>
      </c>
      <c r="I294" t="s">
        <v>366</v>
      </c>
      <c r="J294" s="1" t="s">
        <v>215</v>
      </c>
      <c r="K294" t="s">
        <v>181</v>
      </c>
      <c r="L294" t="s">
        <v>3340</v>
      </c>
      <c r="M294">
        <v>62</v>
      </c>
      <c r="N294">
        <v>0.79</v>
      </c>
      <c r="O294" t="s">
        <v>211</v>
      </c>
      <c r="P294">
        <v>43.3</v>
      </c>
      <c r="R294" t="s">
        <v>3375</v>
      </c>
      <c r="T294" t="s">
        <v>3337</v>
      </c>
      <c r="U294">
        <v>55</v>
      </c>
      <c r="V294" t="s">
        <v>3516</v>
      </c>
    </row>
    <row r="295" spans="1:22" ht="12.75" customHeight="1" x14ac:dyDescent="0.15">
      <c r="A295">
        <v>10</v>
      </c>
      <c r="B295">
        <v>2026</v>
      </c>
      <c r="C295" s="21">
        <v>46092</v>
      </c>
      <c r="D295" t="s">
        <v>39</v>
      </c>
      <c r="E295" t="s">
        <v>40</v>
      </c>
      <c r="F295" t="s">
        <v>21</v>
      </c>
      <c r="G295">
        <v>1.91</v>
      </c>
      <c r="H295" t="s">
        <v>3514</v>
      </c>
      <c r="I295" t="s">
        <v>366</v>
      </c>
      <c r="J295" s="1" t="s">
        <v>215</v>
      </c>
      <c r="K295" t="s">
        <v>181</v>
      </c>
      <c r="L295" t="s">
        <v>3340</v>
      </c>
      <c r="M295">
        <v>81</v>
      </c>
      <c r="N295">
        <v>0.79</v>
      </c>
      <c r="O295" t="s">
        <v>211</v>
      </c>
      <c r="P295">
        <v>43.3</v>
      </c>
      <c r="R295" t="s">
        <v>3374</v>
      </c>
      <c r="T295" t="s">
        <v>3337</v>
      </c>
      <c r="U295">
        <v>55</v>
      </c>
      <c r="V295" t="s">
        <v>3516</v>
      </c>
    </row>
    <row r="296" spans="1:22" ht="12.75" customHeight="1" x14ac:dyDescent="0.15">
      <c r="A296">
        <v>10</v>
      </c>
      <c r="B296">
        <v>2026</v>
      </c>
      <c r="C296" s="21">
        <v>46092</v>
      </c>
      <c r="D296" t="s">
        <v>39</v>
      </c>
      <c r="E296" t="s">
        <v>40</v>
      </c>
      <c r="F296" t="s">
        <v>21</v>
      </c>
      <c r="G296">
        <v>1.91</v>
      </c>
      <c r="H296" t="s">
        <v>3514</v>
      </c>
      <c r="I296" t="s">
        <v>366</v>
      </c>
      <c r="J296" s="1" t="s">
        <v>215</v>
      </c>
      <c r="K296" t="s">
        <v>181</v>
      </c>
      <c r="L296" t="s">
        <v>3340</v>
      </c>
      <c r="M296">
        <v>45</v>
      </c>
      <c r="N296">
        <v>0.79</v>
      </c>
      <c r="O296" t="s">
        <v>211</v>
      </c>
      <c r="P296">
        <v>43.3</v>
      </c>
      <c r="R296" t="s">
        <v>3377</v>
      </c>
      <c r="T296" t="s">
        <v>3337</v>
      </c>
      <c r="U296">
        <v>55</v>
      </c>
      <c r="V296" t="s">
        <v>3516</v>
      </c>
    </row>
    <row r="297" spans="1:22" ht="12.75" customHeight="1" x14ac:dyDescent="0.15">
      <c r="A297">
        <v>10</v>
      </c>
      <c r="B297">
        <v>2026</v>
      </c>
      <c r="C297" s="21">
        <v>46092</v>
      </c>
      <c r="D297" t="s">
        <v>53</v>
      </c>
      <c r="E297" t="s">
        <v>54</v>
      </c>
      <c r="F297" t="s">
        <v>21</v>
      </c>
      <c r="G297">
        <v>2</v>
      </c>
      <c r="H297" t="s">
        <v>3517</v>
      </c>
      <c r="I297" t="s">
        <v>3518</v>
      </c>
      <c r="J297" s="1" t="s">
        <v>3389</v>
      </c>
      <c r="K297" t="s">
        <v>181</v>
      </c>
      <c r="L297" t="s">
        <v>3340</v>
      </c>
      <c r="M297">
        <v>26</v>
      </c>
      <c r="N297">
        <v>0.56999999999999995</v>
      </c>
      <c r="O297" t="s">
        <v>211</v>
      </c>
      <c r="P297">
        <v>31.5</v>
      </c>
      <c r="Q297">
        <v>3.5</v>
      </c>
      <c r="R297" t="s">
        <v>3421</v>
      </c>
      <c r="T297" t="s">
        <v>3402</v>
      </c>
      <c r="U297">
        <v>6</v>
      </c>
      <c r="V297" t="s">
        <v>3451</v>
      </c>
    </row>
    <row r="298" spans="1:22" ht="12.75" customHeight="1" x14ac:dyDescent="0.15">
      <c r="A298">
        <v>10</v>
      </c>
      <c r="B298">
        <v>2026</v>
      </c>
      <c r="C298" s="21">
        <v>46092</v>
      </c>
      <c r="D298" t="s">
        <v>53</v>
      </c>
      <c r="E298" t="s">
        <v>54</v>
      </c>
      <c r="F298" t="s">
        <v>21</v>
      </c>
      <c r="G298">
        <v>2</v>
      </c>
      <c r="H298" t="s">
        <v>3517</v>
      </c>
      <c r="I298" t="s">
        <v>3518</v>
      </c>
      <c r="J298" s="1" t="s">
        <v>3389</v>
      </c>
      <c r="K298" t="s">
        <v>181</v>
      </c>
      <c r="L298" t="s">
        <v>3340</v>
      </c>
      <c r="M298">
        <v>25</v>
      </c>
      <c r="N298">
        <v>0.56999999999999995</v>
      </c>
      <c r="O298" t="s">
        <v>211</v>
      </c>
      <c r="P298">
        <v>31.5</v>
      </c>
      <c r="Q298">
        <v>3.5</v>
      </c>
      <c r="R298" t="s">
        <v>3413</v>
      </c>
      <c r="T298" t="s">
        <v>3402</v>
      </c>
      <c r="U298">
        <v>6</v>
      </c>
      <c r="V298" t="s">
        <v>3451</v>
      </c>
    </row>
    <row r="299" spans="1:22" ht="12.75" customHeight="1" x14ac:dyDescent="0.15">
      <c r="A299">
        <v>10</v>
      </c>
      <c r="B299">
        <v>2026</v>
      </c>
      <c r="C299" s="21">
        <v>46092</v>
      </c>
      <c r="D299" t="s">
        <v>53</v>
      </c>
      <c r="E299" t="s">
        <v>54</v>
      </c>
      <c r="F299" t="s">
        <v>21</v>
      </c>
      <c r="G299">
        <v>2</v>
      </c>
      <c r="H299" t="s">
        <v>3517</v>
      </c>
      <c r="I299" t="s">
        <v>3518</v>
      </c>
      <c r="J299" s="1" t="s">
        <v>3389</v>
      </c>
      <c r="K299" t="s">
        <v>181</v>
      </c>
      <c r="L299" t="s">
        <v>3340</v>
      </c>
      <c r="M299">
        <v>49</v>
      </c>
      <c r="N299">
        <v>0.56999999999999995</v>
      </c>
      <c r="O299" t="s">
        <v>211</v>
      </c>
      <c r="P299">
        <v>31.5</v>
      </c>
      <c r="Q299">
        <v>3.5</v>
      </c>
      <c r="R299" t="s">
        <v>3434</v>
      </c>
      <c r="T299" t="s">
        <v>3402</v>
      </c>
      <c r="U299">
        <v>6</v>
      </c>
      <c r="V299" t="s">
        <v>3451</v>
      </c>
    </row>
    <row r="300" spans="1:22" ht="12.75" customHeight="1" x14ac:dyDescent="0.15">
      <c r="A300">
        <v>10</v>
      </c>
      <c r="B300">
        <v>2026</v>
      </c>
      <c r="C300" s="21">
        <v>46093</v>
      </c>
      <c r="D300" t="s">
        <v>53</v>
      </c>
      <c r="E300" t="s">
        <v>54</v>
      </c>
      <c r="F300" t="s">
        <v>21</v>
      </c>
      <c r="G300">
        <v>2</v>
      </c>
      <c r="H300" t="s">
        <v>3519</v>
      </c>
      <c r="I300" t="s">
        <v>214</v>
      </c>
      <c r="J300" s="1" t="s">
        <v>215</v>
      </c>
      <c r="K300" t="s">
        <v>181</v>
      </c>
      <c r="L300" t="s">
        <v>3340</v>
      </c>
      <c r="M300">
        <v>132</v>
      </c>
      <c r="N300">
        <v>0.28999999999999998</v>
      </c>
      <c r="O300" t="s">
        <v>211</v>
      </c>
      <c r="P300">
        <v>16</v>
      </c>
      <c r="R300" t="s">
        <v>3368</v>
      </c>
      <c r="S300" t="s">
        <v>3520</v>
      </c>
      <c r="T300" t="s">
        <v>3337</v>
      </c>
      <c r="U300">
        <v>7</v>
      </c>
      <c r="V300" t="s">
        <v>183</v>
      </c>
    </row>
    <row r="301" spans="1:22" ht="12.75" customHeight="1" x14ac:dyDescent="0.15">
      <c r="A301">
        <v>10</v>
      </c>
      <c r="B301">
        <v>2026</v>
      </c>
      <c r="C301" s="21">
        <v>46093</v>
      </c>
      <c r="D301" t="s">
        <v>53</v>
      </c>
      <c r="E301" t="s">
        <v>54</v>
      </c>
      <c r="F301" t="s">
        <v>21</v>
      </c>
      <c r="G301">
        <v>2</v>
      </c>
      <c r="H301" t="s">
        <v>3519</v>
      </c>
      <c r="I301" t="s">
        <v>214</v>
      </c>
      <c r="J301" s="1" t="s">
        <v>215</v>
      </c>
      <c r="K301" t="s">
        <v>181</v>
      </c>
      <c r="L301" t="s">
        <v>3340</v>
      </c>
      <c r="M301">
        <v>62</v>
      </c>
      <c r="N301">
        <v>0.28999999999999998</v>
      </c>
      <c r="O301" t="s">
        <v>211</v>
      </c>
      <c r="P301">
        <v>16</v>
      </c>
      <c r="R301" t="s">
        <v>3375</v>
      </c>
      <c r="T301" t="s">
        <v>3337</v>
      </c>
      <c r="U301">
        <v>7</v>
      </c>
      <c r="V301" t="s">
        <v>183</v>
      </c>
    </row>
    <row r="302" spans="1:22" ht="12.75" customHeight="1" x14ac:dyDescent="0.15">
      <c r="A302">
        <v>10</v>
      </c>
      <c r="B302">
        <v>2026</v>
      </c>
      <c r="C302" s="21">
        <v>46093</v>
      </c>
      <c r="D302" t="s">
        <v>53</v>
      </c>
      <c r="E302" t="s">
        <v>54</v>
      </c>
      <c r="F302" t="s">
        <v>21</v>
      </c>
      <c r="G302">
        <v>2</v>
      </c>
      <c r="H302" t="s">
        <v>3519</v>
      </c>
      <c r="I302" t="s">
        <v>214</v>
      </c>
      <c r="J302" s="1" t="s">
        <v>215</v>
      </c>
      <c r="K302" t="s">
        <v>181</v>
      </c>
      <c r="L302" t="s">
        <v>3340</v>
      </c>
      <c r="M302">
        <v>81</v>
      </c>
      <c r="N302">
        <v>0.28999999999999998</v>
      </c>
      <c r="O302" t="s">
        <v>211</v>
      </c>
      <c r="P302">
        <v>16</v>
      </c>
      <c r="R302" t="s">
        <v>3374</v>
      </c>
      <c r="T302" t="s">
        <v>3337</v>
      </c>
      <c r="U302">
        <v>7</v>
      </c>
      <c r="V302" t="s">
        <v>183</v>
      </c>
    </row>
    <row r="303" spans="1:22" ht="12.75" customHeight="1" x14ac:dyDescent="0.15">
      <c r="A303">
        <v>10</v>
      </c>
      <c r="B303">
        <v>2026</v>
      </c>
      <c r="C303" s="21">
        <v>46093</v>
      </c>
      <c r="D303" t="s">
        <v>53</v>
      </c>
      <c r="E303" t="s">
        <v>54</v>
      </c>
      <c r="F303" t="s">
        <v>21</v>
      </c>
      <c r="G303">
        <v>2</v>
      </c>
      <c r="H303" t="s">
        <v>3519</v>
      </c>
      <c r="I303" t="s">
        <v>214</v>
      </c>
      <c r="J303" s="1" t="s">
        <v>215</v>
      </c>
      <c r="K303" t="s">
        <v>181</v>
      </c>
      <c r="L303" t="s">
        <v>3340</v>
      </c>
      <c r="M303">
        <v>45</v>
      </c>
      <c r="N303">
        <v>0.28999999999999998</v>
      </c>
      <c r="O303" t="s">
        <v>211</v>
      </c>
      <c r="P303">
        <v>16</v>
      </c>
      <c r="R303" t="s">
        <v>3377</v>
      </c>
      <c r="T303" t="s">
        <v>3337</v>
      </c>
      <c r="U303">
        <v>7</v>
      </c>
      <c r="V303" t="s">
        <v>183</v>
      </c>
    </row>
    <row r="304" spans="1:22" ht="12.75" customHeight="1" x14ac:dyDescent="0.15">
      <c r="A304">
        <v>10</v>
      </c>
      <c r="B304">
        <v>2026</v>
      </c>
      <c r="C304" s="21">
        <v>46093</v>
      </c>
      <c r="D304" t="s">
        <v>53</v>
      </c>
      <c r="E304" t="s">
        <v>54</v>
      </c>
      <c r="F304" t="s">
        <v>21</v>
      </c>
      <c r="G304">
        <v>2</v>
      </c>
      <c r="H304" t="s">
        <v>3519</v>
      </c>
      <c r="I304" t="s">
        <v>214</v>
      </c>
      <c r="J304" s="1" t="s">
        <v>215</v>
      </c>
      <c r="K304" t="s">
        <v>181</v>
      </c>
      <c r="L304" t="s">
        <v>3340</v>
      </c>
      <c r="M304">
        <v>53</v>
      </c>
      <c r="N304">
        <v>0.28999999999999998</v>
      </c>
      <c r="O304" t="s">
        <v>211</v>
      </c>
      <c r="P304">
        <v>16</v>
      </c>
      <c r="R304" t="s">
        <v>3373</v>
      </c>
      <c r="T304" t="s">
        <v>3337</v>
      </c>
      <c r="U304">
        <v>7</v>
      </c>
      <c r="V304" t="s">
        <v>183</v>
      </c>
    </row>
    <row r="305" spans="1:22" ht="12.75" customHeight="1" x14ac:dyDescent="0.15">
      <c r="A305">
        <v>10</v>
      </c>
      <c r="B305">
        <v>2026</v>
      </c>
      <c r="C305" s="21">
        <v>46093</v>
      </c>
      <c r="D305" t="s">
        <v>47</v>
      </c>
      <c r="E305" t="s">
        <v>48</v>
      </c>
      <c r="F305" t="s">
        <v>21</v>
      </c>
      <c r="G305">
        <v>2</v>
      </c>
      <c r="I305" t="s">
        <v>3521</v>
      </c>
      <c r="J305" s="1" t="s">
        <v>3389</v>
      </c>
      <c r="K305" t="s">
        <v>181</v>
      </c>
      <c r="L305" t="s">
        <v>3340</v>
      </c>
      <c r="M305">
        <v>25</v>
      </c>
      <c r="N305">
        <v>0.56999999999999995</v>
      </c>
      <c r="O305" t="s">
        <v>211</v>
      </c>
      <c r="P305">
        <v>31.5</v>
      </c>
      <c r="Q305">
        <v>3.5</v>
      </c>
      <c r="R305" t="s">
        <v>3413</v>
      </c>
      <c r="T305" t="s">
        <v>3402</v>
      </c>
      <c r="U305">
        <v>21</v>
      </c>
      <c r="V305" t="s">
        <v>3451</v>
      </c>
    </row>
    <row r="306" spans="1:22" ht="12.75" customHeight="1" x14ac:dyDescent="0.15">
      <c r="A306">
        <v>10</v>
      </c>
      <c r="B306">
        <v>2026</v>
      </c>
      <c r="C306" s="21">
        <v>46093</v>
      </c>
      <c r="D306" t="s">
        <v>47</v>
      </c>
      <c r="E306" t="s">
        <v>48</v>
      </c>
      <c r="F306" t="s">
        <v>21</v>
      </c>
      <c r="G306">
        <v>2</v>
      </c>
      <c r="I306" t="s">
        <v>3521</v>
      </c>
      <c r="J306" s="1" t="s">
        <v>3389</v>
      </c>
      <c r="K306" t="s">
        <v>181</v>
      </c>
      <c r="L306" t="s">
        <v>3340</v>
      </c>
      <c r="M306">
        <v>26</v>
      </c>
      <c r="N306">
        <v>0.56999999999999995</v>
      </c>
      <c r="O306" t="s">
        <v>211</v>
      </c>
      <c r="P306">
        <v>31.5</v>
      </c>
      <c r="Q306">
        <v>3.5</v>
      </c>
      <c r="R306" t="s">
        <v>3421</v>
      </c>
      <c r="T306" t="s">
        <v>3402</v>
      </c>
      <c r="U306">
        <v>21</v>
      </c>
      <c r="V306" t="s">
        <v>3451</v>
      </c>
    </row>
    <row r="307" spans="1:22" ht="12.75" customHeight="1" x14ac:dyDescent="0.15">
      <c r="A307">
        <v>10</v>
      </c>
      <c r="B307">
        <v>2026</v>
      </c>
      <c r="C307" s="21">
        <v>46093</v>
      </c>
      <c r="D307" t="s">
        <v>47</v>
      </c>
      <c r="E307" t="s">
        <v>48</v>
      </c>
      <c r="F307" t="s">
        <v>21</v>
      </c>
      <c r="G307">
        <v>2</v>
      </c>
      <c r="I307" t="s">
        <v>3521</v>
      </c>
      <c r="J307" s="1" t="s">
        <v>3389</v>
      </c>
      <c r="K307" t="s">
        <v>181</v>
      </c>
      <c r="L307" t="s">
        <v>3340</v>
      </c>
      <c r="M307">
        <v>87</v>
      </c>
      <c r="N307">
        <v>0.56999999999999995</v>
      </c>
      <c r="O307" t="s">
        <v>211</v>
      </c>
      <c r="P307">
        <v>31.5</v>
      </c>
      <c r="Q307">
        <v>3.5</v>
      </c>
      <c r="R307" t="s">
        <v>3465</v>
      </c>
      <c r="T307" t="s">
        <v>3402</v>
      </c>
      <c r="U307">
        <v>21</v>
      </c>
      <c r="V307" t="s">
        <v>3451</v>
      </c>
    </row>
    <row r="308" spans="1:22" ht="12.75" customHeight="1" x14ac:dyDescent="0.15">
      <c r="A308">
        <v>10</v>
      </c>
      <c r="B308">
        <v>2026</v>
      </c>
      <c r="C308" s="21">
        <v>46093</v>
      </c>
      <c r="D308" t="s">
        <v>39</v>
      </c>
      <c r="E308" t="s">
        <v>40</v>
      </c>
      <c r="F308" t="s">
        <v>21</v>
      </c>
      <c r="G308">
        <v>1.91</v>
      </c>
      <c r="H308" t="s">
        <v>3400</v>
      </c>
      <c r="I308" t="s">
        <v>353</v>
      </c>
      <c r="J308" s="1" t="s">
        <v>253</v>
      </c>
      <c r="K308" t="s">
        <v>181</v>
      </c>
      <c r="L308" t="s">
        <v>3340</v>
      </c>
      <c r="M308">
        <v>25</v>
      </c>
      <c r="N308">
        <v>0.08</v>
      </c>
      <c r="O308" t="s">
        <v>211</v>
      </c>
      <c r="P308">
        <v>4.5</v>
      </c>
      <c r="Q308">
        <v>0.5</v>
      </c>
      <c r="R308" t="s">
        <v>3413</v>
      </c>
      <c r="T308" t="s">
        <v>3402</v>
      </c>
      <c r="U308">
        <v>56</v>
      </c>
      <c r="V308" t="s">
        <v>3436</v>
      </c>
    </row>
    <row r="309" spans="1:22" ht="12.75" customHeight="1" x14ac:dyDescent="0.15">
      <c r="A309">
        <v>10</v>
      </c>
      <c r="B309">
        <v>2026</v>
      </c>
      <c r="C309" s="21">
        <v>46093</v>
      </c>
      <c r="D309" t="s">
        <v>39</v>
      </c>
      <c r="E309" t="s">
        <v>40</v>
      </c>
      <c r="F309" t="s">
        <v>21</v>
      </c>
      <c r="G309">
        <v>1.91</v>
      </c>
      <c r="H309" t="s">
        <v>3400</v>
      </c>
      <c r="I309" t="s">
        <v>353</v>
      </c>
      <c r="J309" s="1" t="s">
        <v>253</v>
      </c>
      <c r="K309" t="s">
        <v>181</v>
      </c>
      <c r="L309" t="s">
        <v>3340</v>
      </c>
      <c r="M309">
        <v>26</v>
      </c>
      <c r="N309">
        <v>0.41</v>
      </c>
      <c r="O309" t="s">
        <v>211</v>
      </c>
      <c r="P309">
        <v>22.5</v>
      </c>
      <c r="Q309">
        <v>2.5</v>
      </c>
      <c r="R309" t="s">
        <v>3421</v>
      </c>
      <c r="T309" t="s">
        <v>3402</v>
      </c>
      <c r="U309">
        <v>56</v>
      </c>
      <c r="V309" t="s">
        <v>3522</v>
      </c>
    </row>
    <row r="310" spans="1:22" ht="12.75" customHeight="1" x14ac:dyDescent="0.15">
      <c r="A310">
        <v>10</v>
      </c>
      <c r="B310">
        <v>2026</v>
      </c>
      <c r="C310" s="21">
        <v>46093</v>
      </c>
      <c r="D310" t="s">
        <v>39</v>
      </c>
      <c r="E310" t="s">
        <v>40</v>
      </c>
      <c r="F310" t="s">
        <v>21</v>
      </c>
      <c r="G310">
        <v>1.91</v>
      </c>
      <c r="H310" t="s">
        <v>3400</v>
      </c>
      <c r="I310" t="s">
        <v>353</v>
      </c>
      <c r="J310" s="1" t="s">
        <v>253</v>
      </c>
      <c r="K310" t="s">
        <v>181</v>
      </c>
      <c r="L310" t="s">
        <v>3340</v>
      </c>
      <c r="M310">
        <v>87</v>
      </c>
      <c r="N310">
        <v>0.41</v>
      </c>
      <c r="O310" t="s">
        <v>211</v>
      </c>
      <c r="P310">
        <v>22.5</v>
      </c>
      <c r="Q310">
        <v>2.5</v>
      </c>
      <c r="R310" t="s">
        <v>3465</v>
      </c>
      <c r="T310" t="s">
        <v>3402</v>
      </c>
      <c r="U310">
        <v>56</v>
      </c>
      <c r="V310" t="s">
        <v>3522</v>
      </c>
    </row>
    <row r="311" spans="1:22" ht="12.75" customHeight="1" x14ac:dyDescent="0.15">
      <c r="A311">
        <v>11</v>
      </c>
      <c r="B311">
        <v>2026</v>
      </c>
      <c r="C311" s="21">
        <v>46094</v>
      </c>
      <c r="D311" t="s">
        <v>47</v>
      </c>
      <c r="E311" t="s">
        <v>48</v>
      </c>
      <c r="F311" t="s">
        <v>21</v>
      </c>
      <c r="G311">
        <v>2</v>
      </c>
      <c r="H311" t="s">
        <v>3400</v>
      </c>
      <c r="I311" t="s">
        <v>353</v>
      </c>
      <c r="J311" s="1" t="s">
        <v>253</v>
      </c>
      <c r="K311" t="s">
        <v>181</v>
      </c>
      <c r="L311" t="s">
        <v>3340</v>
      </c>
      <c r="M311">
        <v>26</v>
      </c>
      <c r="N311">
        <v>1.31</v>
      </c>
      <c r="O311" t="s">
        <v>211</v>
      </c>
      <c r="P311">
        <v>72</v>
      </c>
      <c r="Q311">
        <v>8</v>
      </c>
      <c r="R311" t="s">
        <v>3421</v>
      </c>
      <c r="T311" t="s">
        <v>3402</v>
      </c>
      <c r="U311">
        <v>22</v>
      </c>
      <c r="V311" t="s">
        <v>3507</v>
      </c>
    </row>
    <row r="312" spans="1:22" ht="12.75" customHeight="1" x14ac:dyDescent="0.15">
      <c r="A312">
        <v>11</v>
      </c>
      <c r="B312">
        <v>2026</v>
      </c>
      <c r="C312" s="21">
        <v>46094</v>
      </c>
      <c r="D312" t="s">
        <v>47</v>
      </c>
      <c r="E312" t="s">
        <v>48</v>
      </c>
      <c r="F312" t="s">
        <v>21</v>
      </c>
      <c r="G312">
        <v>2</v>
      </c>
      <c r="H312" t="s">
        <v>3400</v>
      </c>
      <c r="I312" t="s">
        <v>353</v>
      </c>
      <c r="J312" s="1" t="s">
        <v>253</v>
      </c>
      <c r="K312" t="s">
        <v>181</v>
      </c>
      <c r="L312" t="s">
        <v>3340</v>
      </c>
      <c r="M312">
        <v>87</v>
      </c>
      <c r="N312">
        <v>1.1499999999999999</v>
      </c>
      <c r="O312" t="s">
        <v>211</v>
      </c>
      <c r="P312">
        <v>63</v>
      </c>
      <c r="Q312">
        <v>7</v>
      </c>
      <c r="R312" t="s">
        <v>3465</v>
      </c>
      <c r="T312" t="s">
        <v>3402</v>
      </c>
      <c r="U312">
        <v>22</v>
      </c>
      <c r="V312" t="s">
        <v>3470</v>
      </c>
    </row>
    <row r="313" spans="1:22" ht="12.75" customHeight="1" x14ac:dyDescent="0.15">
      <c r="A313">
        <v>11</v>
      </c>
      <c r="B313">
        <v>2026</v>
      </c>
      <c r="C313" s="21">
        <v>46095</v>
      </c>
      <c r="D313" t="s">
        <v>47</v>
      </c>
      <c r="E313" t="s">
        <v>48</v>
      </c>
      <c r="F313" t="s">
        <v>21</v>
      </c>
      <c r="G313">
        <v>2</v>
      </c>
      <c r="H313" t="s">
        <v>3519</v>
      </c>
      <c r="I313" t="s">
        <v>214</v>
      </c>
      <c r="J313" s="1" t="s">
        <v>215</v>
      </c>
      <c r="K313" t="s">
        <v>181</v>
      </c>
      <c r="L313" t="s">
        <v>3340</v>
      </c>
      <c r="M313">
        <v>132</v>
      </c>
      <c r="N313">
        <v>0.28999999999999998</v>
      </c>
      <c r="O313" t="s">
        <v>211</v>
      </c>
      <c r="P313">
        <v>16</v>
      </c>
      <c r="R313" t="s">
        <v>3368</v>
      </c>
      <c r="T313" t="s">
        <v>3337</v>
      </c>
      <c r="U313">
        <v>23</v>
      </c>
      <c r="V313" t="s">
        <v>183</v>
      </c>
    </row>
    <row r="314" spans="1:22" ht="12.75" customHeight="1" x14ac:dyDescent="0.15">
      <c r="A314">
        <v>11</v>
      </c>
      <c r="B314">
        <v>2026</v>
      </c>
      <c r="C314" s="21">
        <v>46095</v>
      </c>
      <c r="D314" t="s">
        <v>47</v>
      </c>
      <c r="E314" t="s">
        <v>48</v>
      </c>
      <c r="F314" t="s">
        <v>21</v>
      </c>
      <c r="G314">
        <v>2</v>
      </c>
      <c r="H314" t="s">
        <v>3519</v>
      </c>
      <c r="I314" t="s">
        <v>214</v>
      </c>
      <c r="J314" s="1" t="s">
        <v>215</v>
      </c>
      <c r="K314" t="s">
        <v>181</v>
      </c>
      <c r="L314" t="s">
        <v>3340</v>
      </c>
      <c r="M314">
        <v>62</v>
      </c>
      <c r="N314">
        <v>0.28999999999999998</v>
      </c>
      <c r="O314" t="s">
        <v>211</v>
      </c>
      <c r="P314">
        <v>16</v>
      </c>
      <c r="R314" t="s">
        <v>3375</v>
      </c>
      <c r="T314" t="s">
        <v>3337</v>
      </c>
      <c r="U314">
        <v>23</v>
      </c>
      <c r="V314" t="s">
        <v>183</v>
      </c>
    </row>
    <row r="315" spans="1:22" ht="12.75" customHeight="1" x14ac:dyDescent="0.15">
      <c r="A315">
        <v>11</v>
      </c>
      <c r="B315">
        <v>2026</v>
      </c>
      <c r="C315" s="21">
        <v>46095</v>
      </c>
      <c r="D315" t="s">
        <v>47</v>
      </c>
      <c r="E315" t="s">
        <v>48</v>
      </c>
      <c r="F315" t="s">
        <v>21</v>
      </c>
      <c r="G315">
        <v>2</v>
      </c>
      <c r="H315" t="s">
        <v>3519</v>
      </c>
      <c r="I315" t="s">
        <v>214</v>
      </c>
      <c r="J315" s="1" t="s">
        <v>215</v>
      </c>
      <c r="K315" t="s">
        <v>181</v>
      </c>
      <c r="L315" t="s">
        <v>3340</v>
      </c>
      <c r="M315">
        <v>81</v>
      </c>
      <c r="N315">
        <v>0.28999999999999998</v>
      </c>
      <c r="O315" t="s">
        <v>211</v>
      </c>
      <c r="P315">
        <v>16</v>
      </c>
      <c r="R315" t="s">
        <v>3374</v>
      </c>
      <c r="T315" t="s">
        <v>3337</v>
      </c>
      <c r="U315">
        <v>23</v>
      </c>
      <c r="V315" t="s">
        <v>183</v>
      </c>
    </row>
    <row r="316" spans="1:22" ht="12.75" customHeight="1" x14ac:dyDescent="0.15">
      <c r="A316">
        <v>11</v>
      </c>
      <c r="B316">
        <v>2026</v>
      </c>
      <c r="C316" s="21">
        <v>46095</v>
      </c>
      <c r="D316" t="s">
        <v>47</v>
      </c>
      <c r="E316" t="s">
        <v>48</v>
      </c>
      <c r="F316" t="s">
        <v>21</v>
      </c>
      <c r="G316">
        <v>2</v>
      </c>
      <c r="H316" t="s">
        <v>3519</v>
      </c>
      <c r="I316" t="s">
        <v>214</v>
      </c>
      <c r="J316" s="1" t="s">
        <v>215</v>
      </c>
      <c r="K316" t="s">
        <v>181</v>
      </c>
      <c r="L316" t="s">
        <v>3340</v>
      </c>
      <c r="M316">
        <v>58</v>
      </c>
      <c r="N316">
        <v>0.28999999999999998</v>
      </c>
      <c r="O316" t="s">
        <v>211</v>
      </c>
      <c r="P316">
        <v>16</v>
      </c>
      <c r="R316" t="s">
        <v>3343</v>
      </c>
      <c r="T316" t="s">
        <v>3337</v>
      </c>
      <c r="U316">
        <v>23</v>
      </c>
      <c r="V316" t="s">
        <v>183</v>
      </c>
    </row>
    <row r="317" spans="1:22" ht="12.75" customHeight="1" x14ac:dyDescent="0.15">
      <c r="A317">
        <v>11</v>
      </c>
      <c r="B317">
        <v>2026</v>
      </c>
      <c r="C317" s="21">
        <v>46095</v>
      </c>
      <c r="D317" t="s">
        <v>47</v>
      </c>
      <c r="E317" t="s">
        <v>48</v>
      </c>
      <c r="F317" t="s">
        <v>21</v>
      </c>
      <c r="G317">
        <v>2</v>
      </c>
      <c r="H317" t="s">
        <v>3519</v>
      </c>
      <c r="I317" t="s">
        <v>214</v>
      </c>
      <c r="J317" s="1" t="s">
        <v>215</v>
      </c>
      <c r="K317" t="s">
        <v>181</v>
      </c>
      <c r="L317" t="s">
        <v>3340</v>
      </c>
      <c r="M317">
        <v>53</v>
      </c>
      <c r="N317">
        <v>0.28999999999999998</v>
      </c>
      <c r="O317" t="s">
        <v>211</v>
      </c>
      <c r="P317">
        <v>16</v>
      </c>
      <c r="R317" t="s">
        <v>3373</v>
      </c>
      <c r="T317" t="s">
        <v>3337</v>
      </c>
      <c r="U317">
        <v>23</v>
      </c>
      <c r="V317" t="s">
        <v>183</v>
      </c>
    </row>
    <row r="318" spans="1:22" ht="12.75" customHeight="1" x14ac:dyDescent="0.15">
      <c r="A318">
        <v>11</v>
      </c>
      <c r="B318">
        <v>2026</v>
      </c>
      <c r="C318" s="21">
        <v>46095</v>
      </c>
      <c r="D318" t="s">
        <v>53</v>
      </c>
      <c r="E318" t="s">
        <v>54</v>
      </c>
      <c r="F318" t="s">
        <v>21</v>
      </c>
      <c r="G318">
        <v>2</v>
      </c>
      <c r="H318" t="s">
        <v>3453</v>
      </c>
      <c r="I318" t="s">
        <v>187</v>
      </c>
      <c r="J318" s="1" t="s">
        <v>188</v>
      </c>
      <c r="K318" t="s">
        <v>181</v>
      </c>
      <c r="L318" t="s">
        <v>3333</v>
      </c>
      <c r="M318">
        <v>3</v>
      </c>
      <c r="N318">
        <v>0.38</v>
      </c>
      <c r="O318" t="s">
        <v>3334</v>
      </c>
      <c r="P318">
        <v>30.59</v>
      </c>
      <c r="Q318">
        <v>3</v>
      </c>
      <c r="R318" t="s">
        <v>3478</v>
      </c>
      <c r="T318" t="s">
        <v>3337</v>
      </c>
      <c r="U318">
        <v>9</v>
      </c>
      <c r="V318" t="s">
        <v>3475</v>
      </c>
    </row>
    <row r="319" spans="1:22" ht="12.75" customHeight="1" x14ac:dyDescent="0.15">
      <c r="A319">
        <v>11</v>
      </c>
      <c r="B319">
        <v>2026</v>
      </c>
      <c r="C319" s="21">
        <v>46095</v>
      </c>
      <c r="D319" t="s">
        <v>53</v>
      </c>
      <c r="E319" t="s">
        <v>54</v>
      </c>
      <c r="F319" t="s">
        <v>21</v>
      </c>
      <c r="G319">
        <v>2</v>
      </c>
      <c r="H319" t="s">
        <v>3453</v>
      </c>
      <c r="I319" t="s">
        <v>187</v>
      </c>
      <c r="J319" s="1" t="s">
        <v>188</v>
      </c>
      <c r="K319" t="s">
        <v>181</v>
      </c>
      <c r="L319" t="s">
        <v>3340</v>
      </c>
      <c r="M319">
        <v>40</v>
      </c>
      <c r="N319">
        <v>0.49</v>
      </c>
      <c r="O319" t="s">
        <v>211</v>
      </c>
      <c r="P319">
        <v>27</v>
      </c>
      <c r="Q319">
        <v>3</v>
      </c>
      <c r="R319" t="s">
        <v>3482</v>
      </c>
      <c r="T319" t="s">
        <v>3337</v>
      </c>
      <c r="U319">
        <v>9</v>
      </c>
      <c r="V319" t="s">
        <v>3476</v>
      </c>
    </row>
    <row r="320" spans="1:22" ht="12.75" customHeight="1" x14ac:dyDescent="0.15">
      <c r="A320">
        <v>11</v>
      </c>
      <c r="B320">
        <v>2026</v>
      </c>
      <c r="C320" s="21">
        <v>46095</v>
      </c>
      <c r="D320" t="s">
        <v>47</v>
      </c>
      <c r="E320" t="s">
        <v>48</v>
      </c>
      <c r="F320" t="s">
        <v>21</v>
      </c>
      <c r="G320">
        <v>2</v>
      </c>
      <c r="H320" t="s">
        <v>3400</v>
      </c>
      <c r="I320" t="s">
        <v>353</v>
      </c>
      <c r="J320" s="1" t="s">
        <v>253</v>
      </c>
      <c r="K320" t="s">
        <v>181</v>
      </c>
      <c r="L320" t="s">
        <v>3333</v>
      </c>
      <c r="M320">
        <v>67</v>
      </c>
      <c r="N320">
        <v>0.13</v>
      </c>
      <c r="O320" t="s">
        <v>3334</v>
      </c>
      <c r="P320">
        <v>10.199999999999999</v>
      </c>
      <c r="Q320">
        <v>1</v>
      </c>
      <c r="R320" t="s">
        <v>3404</v>
      </c>
      <c r="T320" t="s">
        <v>3402</v>
      </c>
      <c r="U320">
        <v>23</v>
      </c>
      <c r="V320" t="s">
        <v>3463</v>
      </c>
    </row>
    <row r="321" spans="1:22" ht="12.75" customHeight="1" x14ac:dyDescent="0.15">
      <c r="A321">
        <v>11</v>
      </c>
      <c r="B321">
        <v>2026</v>
      </c>
      <c r="C321" s="21">
        <v>46095</v>
      </c>
      <c r="D321" t="s">
        <v>47</v>
      </c>
      <c r="E321" t="s">
        <v>48</v>
      </c>
      <c r="F321" t="s">
        <v>21</v>
      </c>
      <c r="G321">
        <v>2</v>
      </c>
      <c r="H321" t="s">
        <v>3400</v>
      </c>
      <c r="I321" t="s">
        <v>353</v>
      </c>
      <c r="J321" s="1" t="s">
        <v>253</v>
      </c>
      <c r="K321" t="s">
        <v>181</v>
      </c>
      <c r="L321" t="s">
        <v>3333</v>
      </c>
      <c r="M321">
        <v>79</v>
      </c>
      <c r="N321">
        <v>0.13</v>
      </c>
      <c r="O321" t="s">
        <v>3334</v>
      </c>
      <c r="P321">
        <v>10.199999999999999</v>
      </c>
      <c r="Q321">
        <v>1</v>
      </c>
      <c r="R321" t="s">
        <v>3401</v>
      </c>
      <c r="T321" t="s">
        <v>3402</v>
      </c>
      <c r="U321">
        <v>23</v>
      </c>
      <c r="V321" t="s">
        <v>3463</v>
      </c>
    </row>
    <row r="322" spans="1:22" ht="12.75" customHeight="1" x14ac:dyDescent="0.15">
      <c r="A322">
        <v>11</v>
      </c>
      <c r="B322">
        <v>2026</v>
      </c>
      <c r="C322" s="21">
        <v>46095</v>
      </c>
      <c r="D322" t="s">
        <v>47</v>
      </c>
      <c r="E322" t="s">
        <v>48</v>
      </c>
      <c r="F322" t="s">
        <v>21</v>
      </c>
      <c r="G322">
        <v>2</v>
      </c>
      <c r="H322" t="s">
        <v>3400</v>
      </c>
      <c r="I322" t="s">
        <v>353</v>
      </c>
      <c r="J322" s="1" t="s">
        <v>253</v>
      </c>
      <c r="K322" t="s">
        <v>181</v>
      </c>
      <c r="L322" t="s">
        <v>3333</v>
      </c>
      <c r="M322">
        <v>91</v>
      </c>
      <c r="N322">
        <v>0.13</v>
      </c>
      <c r="O322" t="s">
        <v>3334</v>
      </c>
      <c r="P322">
        <v>10.199999999999999</v>
      </c>
      <c r="Q322">
        <v>1</v>
      </c>
      <c r="R322" t="s">
        <v>3412</v>
      </c>
      <c r="T322" t="s">
        <v>3402</v>
      </c>
      <c r="U322">
        <v>23</v>
      </c>
      <c r="V322" t="s">
        <v>3463</v>
      </c>
    </row>
    <row r="323" spans="1:22" ht="12.75" customHeight="1" x14ac:dyDescent="0.15">
      <c r="A323">
        <v>11</v>
      </c>
      <c r="B323">
        <v>2026</v>
      </c>
      <c r="C323" s="21">
        <v>46095</v>
      </c>
      <c r="D323" t="s">
        <v>47</v>
      </c>
      <c r="E323" t="s">
        <v>48</v>
      </c>
      <c r="F323" t="s">
        <v>21</v>
      </c>
      <c r="G323">
        <v>2</v>
      </c>
      <c r="H323" t="s">
        <v>3400</v>
      </c>
      <c r="I323" t="s">
        <v>353</v>
      </c>
      <c r="J323" s="1" t="s">
        <v>253</v>
      </c>
      <c r="K323" t="s">
        <v>181</v>
      </c>
      <c r="L323" t="s">
        <v>3333</v>
      </c>
      <c r="M323">
        <v>19</v>
      </c>
      <c r="N323">
        <v>0.13</v>
      </c>
      <c r="O323" t="s">
        <v>3334</v>
      </c>
      <c r="P323">
        <v>10.199999999999999</v>
      </c>
      <c r="Q323">
        <v>1</v>
      </c>
      <c r="R323" t="s">
        <v>3403</v>
      </c>
      <c r="T323" t="s">
        <v>3402</v>
      </c>
      <c r="U323">
        <v>23</v>
      </c>
      <c r="V323" t="s">
        <v>3463</v>
      </c>
    </row>
    <row r="324" spans="1:22" ht="12.75" customHeight="1" x14ac:dyDescent="0.15">
      <c r="A324">
        <v>11</v>
      </c>
      <c r="B324">
        <v>2026</v>
      </c>
      <c r="C324" s="21">
        <v>46095</v>
      </c>
      <c r="D324" t="s">
        <v>47</v>
      </c>
      <c r="E324" t="s">
        <v>48</v>
      </c>
      <c r="F324" t="s">
        <v>21</v>
      </c>
      <c r="G324">
        <v>2</v>
      </c>
      <c r="H324" t="s">
        <v>3400</v>
      </c>
      <c r="I324" t="s">
        <v>353</v>
      </c>
      <c r="J324" s="1" t="s">
        <v>253</v>
      </c>
      <c r="K324" t="s">
        <v>181</v>
      </c>
      <c r="L324" t="s">
        <v>3340</v>
      </c>
      <c r="M324">
        <v>25</v>
      </c>
      <c r="N324">
        <v>0.82</v>
      </c>
      <c r="O324" t="s">
        <v>211</v>
      </c>
      <c r="P324">
        <v>45</v>
      </c>
      <c r="Q324">
        <v>5</v>
      </c>
      <c r="R324" t="s">
        <v>3413</v>
      </c>
      <c r="T324" t="s">
        <v>3402</v>
      </c>
      <c r="U324">
        <v>23</v>
      </c>
      <c r="V324" t="s">
        <v>3523</v>
      </c>
    </row>
    <row r="325" spans="1:22" ht="12.75" customHeight="1" x14ac:dyDescent="0.15">
      <c r="A325">
        <v>11</v>
      </c>
      <c r="B325">
        <v>2026</v>
      </c>
      <c r="C325" s="21">
        <v>46095</v>
      </c>
      <c r="D325" t="s">
        <v>47</v>
      </c>
      <c r="E325" t="s">
        <v>48</v>
      </c>
      <c r="F325" t="s">
        <v>21</v>
      </c>
      <c r="G325">
        <v>2</v>
      </c>
      <c r="H325" t="s">
        <v>3400</v>
      </c>
      <c r="I325" t="s">
        <v>353</v>
      </c>
      <c r="J325" s="1" t="s">
        <v>253</v>
      </c>
      <c r="K325" t="s">
        <v>181</v>
      </c>
      <c r="L325" t="s">
        <v>3340</v>
      </c>
      <c r="M325">
        <v>26</v>
      </c>
      <c r="N325">
        <v>0.82</v>
      </c>
      <c r="O325" t="s">
        <v>211</v>
      </c>
      <c r="P325">
        <v>45</v>
      </c>
      <c r="Q325">
        <v>5</v>
      </c>
      <c r="R325" t="s">
        <v>3421</v>
      </c>
      <c r="T325" t="s">
        <v>3402</v>
      </c>
      <c r="U325">
        <v>23</v>
      </c>
      <c r="V325" t="s">
        <v>3523</v>
      </c>
    </row>
    <row r="326" spans="1:22" ht="12.75" customHeight="1" x14ac:dyDescent="0.15">
      <c r="A326">
        <v>11</v>
      </c>
      <c r="B326">
        <v>2026</v>
      </c>
      <c r="C326" s="21">
        <v>46095</v>
      </c>
      <c r="D326" t="s">
        <v>47</v>
      </c>
      <c r="E326" t="s">
        <v>48</v>
      </c>
      <c r="F326" t="s">
        <v>21</v>
      </c>
      <c r="G326">
        <v>2</v>
      </c>
      <c r="H326" t="s">
        <v>3400</v>
      </c>
      <c r="I326" t="s">
        <v>353</v>
      </c>
      <c r="J326" s="1" t="s">
        <v>253</v>
      </c>
      <c r="K326" t="s">
        <v>181</v>
      </c>
      <c r="L326" t="s">
        <v>3340</v>
      </c>
      <c r="M326">
        <v>87</v>
      </c>
      <c r="N326">
        <v>0.82</v>
      </c>
      <c r="O326" t="s">
        <v>211</v>
      </c>
      <c r="P326">
        <v>45</v>
      </c>
      <c r="Q326">
        <v>5</v>
      </c>
      <c r="R326" t="s">
        <v>3465</v>
      </c>
      <c r="T326" t="s">
        <v>3402</v>
      </c>
      <c r="U326">
        <v>23</v>
      </c>
      <c r="V326" t="s">
        <v>3523</v>
      </c>
    </row>
    <row r="327" spans="1:22" ht="12.75" customHeight="1" x14ac:dyDescent="0.15">
      <c r="A327">
        <v>11</v>
      </c>
      <c r="B327">
        <v>2026</v>
      </c>
      <c r="C327" s="21">
        <v>46095</v>
      </c>
      <c r="D327" t="s">
        <v>47</v>
      </c>
      <c r="E327" t="s">
        <v>48</v>
      </c>
      <c r="F327" t="s">
        <v>21</v>
      </c>
      <c r="G327">
        <v>2</v>
      </c>
      <c r="H327" t="s">
        <v>3400</v>
      </c>
      <c r="I327" t="s">
        <v>353</v>
      </c>
      <c r="J327" s="1" t="s">
        <v>253</v>
      </c>
      <c r="K327" t="s">
        <v>181</v>
      </c>
      <c r="L327" t="s">
        <v>3333</v>
      </c>
      <c r="M327">
        <v>79</v>
      </c>
      <c r="N327">
        <v>0.25</v>
      </c>
      <c r="O327" t="s">
        <v>3334</v>
      </c>
      <c r="P327">
        <v>20.399999999999999</v>
      </c>
      <c r="Q327">
        <v>2</v>
      </c>
      <c r="R327" t="s">
        <v>3401</v>
      </c>
      <c r="T327" t="s">
        <v>3402</v>
      </c>
      <c r="U327">
        <v>23</v>
      </c>
      <c r="V327" t="s">
        <v>3472</v>
      </c>
    </row>
    <row r="328" spans="1:22" ht="12.75" customHeight="1" x14ac:dyDescent="0.15">
      <c r="A328">
        <v>11</v>
      </c>
      <c r="B328">
        <v>2026</v>
      </c>
      <c r="C328" s="21">
        <v>46095</v>
      </c>
      <c r="D328" t="s">
        <v>39</v>
      </c>
      <c r="E328" t="s">
        <v>40</v>
      </c>
      <c r="F328" t="s">
        <v>21</v>
      </c>
      <c r="G328">
        <v>1.91</v>
      </c>
      <c r="H328" t="s">
        <v>3400</v>
      </c>
      <c r="I328" t="s">
        <v>353</v>
      </c>
      <c r="J328" s="1" t="s">
        <v>253</v>
      </c>
      <c r="K328" t="s">
        <v>181</v>
      </c>
      <c r="L328" t="s">
        <v>3333</v>
      </c>
      <c r="M328">
        <v>67</v>
      </c>
      <c r="N328">
        <v>0.25</v>
      </c>
      <c r="O328" t="s">
        <v>3334</v>
      </c>
      <c r="P328">
        <v>20.399999999999999</v>
      </c>
      <c r="Q328">
        <v>2</v>
      </c>
      <c r="R328" t="s">
        <v>3404</v>
      </c>
      <c r="T328" t="s">
        <v>3402</v>
      </c>
      <c r="U328">
        <v>58</v>
      </c>
      <c r="V328" t="s">
        <v>3439</v>
      </c>
    </row>
    <row r="329" spans="1:22" ht="12.75" customHeight="1" x14ac:dyDescent="0.15">
      <c r="A329">
        <v>11</v>
      </c>
      <c r="B329">
        <v>2026</v>
      </c>
      <c r="C329" s="21">
        <v>46095</v>
      </c>
      <c r="D329" t="s">
        <v>39</v>
      </c>
      <c r="E329" t="s">
        <v>40</v>
      </c>
      <c r="F329" t="s">
        <v>21</v>
      </c>
      <c r="G329">
        <v>1.91</v>
      </c>
      <c r="H329" t="s">
        <v>3400</v>
      </c>
      <c r="I329" t="s">
        <v>353</v>
      </c>
      <c r="J329" s="1" t="s">
        <v>253</v>
      </c>
      <c r="K329" t="s">
        <v>181</v>
      </c>
      <c r="L329" t="s">
        <v>3333</v>
      </c>
      <c r="M329">
        <v>91</v>
      </c>
      <c r="N329">
        <v>0.25</v>
      </c>
      <c r="O329" t="s">
        <v>3334</v>
      </c>
      <c r="P329">
        <v>20.399999999999999</v>
      </c>
      <c r="Q329">
        <v>2</v>
      </c>
      <c r="R329" t="s">
        <v>3412</v>
      </c>
      <c r="T329" t="s">
        <v>3402</v>
      </c>
      <c r="U329">
        <v>58</v>
      </c>
      <c r="V329" t="s">
        <v>3439</v>
      </c>
    </row>
    <row r="330" spans="1:22" ht="12.75" customHeight="1" x14ac:dyDescent="0.15">
      <c r="A330">
        <v>11</v>
      </c>
      <c r="B330">
        <v>2026</v>
      </c>
      <c r="C330" s="21">
        <v>46095</v>
      </c>
      <c r="D330" t="s">
        <v>39</v>
      </c>
      <c r="E330" t="s">
        <v>40</v>
      </c>
      <c r="F330" t="s">
        <v>21</v>
      </c>
      <c r="G330">
        <v>1.91</v>
      </c>
      <c r="H330" t="s">
        <v>3400</v>
      </c>
      <c r="I330" t="s">
        <v>353</v>
      </c>
      <c r="J330" s="1" t="s">
        <v>253</v>
      </c>
      <c r="K330" t="s">
        <v>181</v>
      </c>
      <c r="L330" t="s">
        <v>3333</v>
      </c>
      <c r="M330">
        <v>19</v>
      </c>
      <c r="N330">
        <v>0.25</v>
      </c>
      <c r="O330" t="s">
        <v>3334</v>
      </c>
      <c r="P330">
        <v>20.399999999999999</v>
      </c>
      <c r="Q330">
        <v>2</v>
      </c>
      <c r="R330" t="s">
        <v>3403</v>
      </c>
      <c r="T330" t="s">
        <v>3402</v>
      </c>
      <c r="U330">
        <v>58</v>
      </c>
      <c r="V330" t="s">
        <v>3439</v>
      </c>
    </row>
    <row r="331" spans="1:22" ht="12.75" customHeight="1" x14ac:dyDescent="0.15">
      <c r="A331">
        <v>11</v>
      </c>
      <c r="B331">
        <v>2026</v>
      </c>
      <c r="C331" s="21">
        <v>46095</v>
      </c>
      <c r="D331" t="s">
        <v>39</v>
      </c>
      <c r="E331" t="s">
        <v>40</v>
      </c>
      <c r="F331" t="s">
        <v>21</v>
      </c>
      <c r="G331">
        <v>1.91</v>
      </c>
      <c r="H331" t="s">
        <v>3400</v>
      </c>
      <c r="I331" t="s">
        <v>353</v>
      </c>
      <c r="J331" s="1" t="s">
        <v>253</v>
      </c>
      <c r="K331" t="s">
        <v>181</v>
      </c>
      <c r="L331" t="s">
        <v>3340</v>
      </c>
      <c r="M331">
        <v>25</v>
      </c>
      <c r="N331">
        <v>0.49</v>
      </c>
      <c r="O331" t="s">
        <v>211</v>
      </c>
      <c r="P331">
        <v>27</v>
      </c>
      <c r="Q331">
        <v>3</v>
      </c>
      <c r="R331" t="s">
        <v>3413</v>
      </c>
      <c r="T331" t="s">
        <v>3402</v>
      </c>
      <c r="U331">
        <v>58</v>
      </c>
      <c r="V331" t="s">
        <v>3524</v>
      </c>
    </row>
    <row r="332" spans="1:22" ht="12.75" customHeight="1" x14ac:dyDescent="0.15">
      <c r="A332">
        <v>11</v>
      </c>
      <c r="B332">
        <v>2026</v>
      </c>
      <c r="C332" s="21">
        <v>46095</v>
      </c>
      <c r="D332" t="s">
        <v>39</v>
      </c>
      <c r="E332" t="s">
        <v>40</v>
      </c>
      <c r="F332" t="s">
        <v>21</v>
      </c>
      <c r="G332">
        <v>1.91</v>
      </c>
      <c r="H332" t="s">
        <v>3400</v>
      </c>
      <c r="I332" t="s">
        <v>353</v>
      </c>
      <c r="J332" s="1" t="s">
        <v>253</v>
      </c>
      <c r="K332" t="s">
        <v>181</v>
      </c>
      <c r="L332" t="s">
        <v>3340</v>
      </c>
      <c r="M332">
        <v>26</v>
      </c>
      <c r="N332">
        <v>0.49</v>
      </c>
      <c r="O332" t="s">
        <v>211</v>
      </c>
      <c r="P332">
        <v>27</v>
      </c>
      <c r="Q332">
        <v>3</v>
      </c>
      <c r="R332" t="s">
        <v>3421</v>
      </c>
      <c r="T332" t="s">
        <v>3402</v>
      </c>
      <c r="U332">
        <v>58</v>
      </c>
      <c r="V332" t="s">
        <v>3524</v>
      </c>
    </row>
    <row r="333" spans="1:22" ht="12.75" customHeight="1" x14ac:dyDescent="0.15">
      <c r="A333">
        <v>11</v>
      </c>
      <c r="B333">
        <v>2026</v>
      </c>
      <c r="C333" s="21">
        <v>46095</v>
      </c>
      <c r="D333" t="s">
        <v>39</v>
      </c>
      <c r="E333" t="s">
        <v>40</v>
      </c>
      <c r="F333" t="s">
        <v>21</v>
      </c>
      <c r="G333">
        <v>1.91</v>
      </c>
      <c r="H333" t="s">
        <v>3400</v>
      </c>
      <c r="I333" t="s">
        <v>353</v>
      </c>
      <c r="J333" s="1" t="s">
        <v>253</v>
      </c>
      <c r="K333" t="s">
        <v>181</v>
      </c>
      <c r="L333" t="s">
        <v>3340</v>
      </c>
      <c r="M333">
        <v>87</v>
      </c>
      <c r="N333">
        <v>0.49</v>
      </c>
      <c r="O333" t="s">
        <v>211</v>
      </c>
      <c r="P333">
        <v>27</v>
      </c>
      <c r="Q333">
        <v>3</v>
      </c>
      <c r="R333" t="s">
        <v>3465</v>
      </c>
      <c r="T333" t="s">
        <v>3402</v>
      </c>
      <c r="U333">
        <v>58</v>
      </c>
      <c r="V333" t="s">
        <v>3524</v>
      </c>
    </row>
    <row r="334" spans="1:22" ht="12.75" customHeight="1" x14ac:dyDescent="0.15">
      <c r="A334">
        <v>11</v>
      </c>
      <c r="B334">
        <v>2026</v>
      </c>
      <c r="C334" s="21">
        <v>46096</v>
      </c>
      <c r="D334" t="s">
        <v>53</v>
      </c>
      <c r="E334" t="s">
        <v>54</v>
      </c>
      <c r="F334" t="s">
        <v>21</v>
      </c>
      <c r="G334">
        <v>2</v>
      </c>
      <c r="H334" t="s">
        <v>3453</v>
      </c>
      <c r="I334" t="s">
        <v>187</v>
      </c>
      <c r="J334" s="1" t="s">
        <v>188</v>
      </c>
      <c r="K334" t="s">
        <v>181</v>
      </c>
      <c r="L334" t="s">
        <v>3340</v>
      </c>
      <c r="M334">
        <v>78</v>
      </c>
      <c r="N334">
        <v>1.31</v>
      </c>
      <c r="O334" t="s">
        <v>211</v>
      </c>
      <c r="P334">
        <v>72</v>
      </c>
      <c r="Q334">
        <v>8</v>
      </c>
      <c r="R334" t="s">
        <v>3341</v>
      </c>
      <c r="T334" t="s">
        <v>3337</v>
      </c>
      <c r="U334">
        <v>10</v>
      </c>
      <c r="V334" t="s">
        <v>3507</v>
      </c>
    </row>
    <row r="335" spans="1:22" ht="12.75" customHeight="1" x14ac:dyDescent="0.15">
      <c r="A335">
        <v>11</v>
      </c>
      <c r="B335">
        <v>2026</v>
      </c>
      <c r="C335" s="21">
        <v>46096</v>
      </c>
      <c r="D335" t="s">
        <v>53</v>
      </c>
      <c r="E335" t="s">
        <v>54</v>
      </c>
      <c r="F335" t="s">
        <v>21</v>
      </c>
      <c r="G335">
        <v>2</v>
      </c>
      <c r="H335" t="s">
        <v>3453</v>
      </c>
      <c r="I335" t="s">
        <v>187</v>
      </c>
      <c r="J335" s="1" t="s">
        <v>188</v>
      </c>
      <c r="K335" t="s">
        <v>181</v>
      </c>
      <c r="L335" t="s">
        <v>3340</v>
      </c>
      <c r="M335">
        <v>78</v>
      </c>
      <c r="N335">
        <v>0.33</v>
      </c>
      <c r="O335" t="s">
        <v>211</v>
      </c>
      <c r="P335">
        <v>18</v>
      </c>
      <c r="Q335">
        <v>2</v>
      </c>
      <c r="R335" t="s">
        <v>3341</v>
      </c>
      <c r="S335" t="s">
        <v>3525</v>
      </c>
      <c r="T335" t="s">
        <v>3337</v>
      </c>
      <c r="U335">
        <v>10</v>
      </c>
      <c r="V335" t="s">
        <v>3473</v>
      </c>
    </row>
    <row r="336" spans="1:22" ht="12.75" customHeight="1" x14ac:dyDescent="0.15">
      <c r="A336">
        <v>11</v>
      </c>
      <c r="B336">
        <v>2026</v>
      </c>
      <c r="C336" s="21">
        <v>46097</v>
      </c>
      <c r="D336" t="s">
        <v>39</v>
      </c>
      <c r="E336" t="s">
        <v>40</v>
      </c>
      <c r="F336" t="s">
        <v>21</v>
      </c>
      <c r="G336">
        <v>1.91</v>
      </c>
      <c r="H336" t="s">
        <v>3514</v>
      </c>
      <c r="I336" t="s">
        <v>366</v>
      </c>
      <c r="J336" s="1" t="s">
        <v>215</v>
      </c>
      <c r="K336" t="s">
        <v>181</v>
      </c>
      <c r="L336" t="s">
        <v>3340</v>
      </c>
      <c r="M336">
        <v>132</v>
      </c>
      <c r="N336">
        <v>0.24</v>
      </c>
      <c r="O336" t="s">
        <v>211</v>
      </c>
      <c r="P336">
        <v>13</v>
      </c>
      <c r="R336" t="s">
        <v>3368</v>
      </c>
      <c r="T336" t="s">
        <v>3337</v>
      </c>
      <c r="U336">
        <v>60</v>
      </c>
      <c r="V336" t="s">
        <v>3526</v>
      </c>
    </row>
    <row r="337" spans="1:22" ht="12.75" customHeight="1" x14ac:dyDescent="0.15">
      <c r="A337">
        <v>11</v>
      </c>
      <c r="B337">
        <v>2026</v>
      </c>
      <c r="C337" s="21">
        <v>46097</v>
      </c>
      <c r="D337" t="s">
        <v>39</v>
      </c>
      <c r="E337" t="s">
        <v>40</v>
      </c>
      <c r="F337" t="s">
        <v>21</v>
      </c>
      <c r="G337">
        <v>1.91</v>
      </c>
      <c r="H337" t="s">
        <v>3514</v>
      </c>
      <c r="I337" t="s">
        <v>366</v>
      </c>
      <c r="J337" s="1" t="s">
        <v>215</v>
      </c>
      <c r="K337" t="s">
        <v>181</v>
      </c>
      <c r="L337" t="s">
        <v>3340</v>
      </c>
      <c r="M337">
        <v>53</v>
      </c>
      <c r="N337">
        <v>1.49</v>
      </c>
      <c r="O337" t="s">
        <v>211</v>
      </c>
      <c r="P337">
        <v>82</v>
      </c>
      <c r="R337" t="s">
        <v>3373</v>
      </c>
      <c r="T337" t="s">
        <v>3337</v>
      </c>
      <c r="U337">
        <v>60</v>
      </c>
      <c r="V337" t="s">
        <v>3527</v>
      </c>
    </row>
    <row r="338" spans="1:22" ht="12.75" customHeight="1" x14ac:dyDescent="0.15">
      <c r="A338">
        <v>11</v>
      </c>
      <c r="B338">
        <v>2026</v>
      </c>
      <c r="C338" s="21">
        <v>46097</v>
      </c>
      <c r="D338" t="s">
        <v>39</v>
      </c>
      <c r="E338" t="s">
        <v>40</v>
      </c>
      <c r="F338" t="s">
        <v>21</v>
      </c>
      <c r="G338">
        <v>1.91</v>
      </c>
      <c r="H338" t="s">
        <v>3514</v>
      </c>
      <c r="I338" t="s">
        <v>366</v>
      </c>
      <c r="J338" s="1" t="s">
        <v>215</v>
      </c>
      <c r="K338" t="s">
        <v>181</v>
      </c>
      <c r="L338" t="s">
        <v>3340</v>
      </c>
      <c r="M338">
        <v>58</v>
      </c>
      <c r="N338">
        <v>1.49</v>
      </c>
      <c r="O338" t="s">
        <v>211</v>
      </c>
      <c r="P338">
        <v>82</v>
      </c>
      <c r="R338" t="s">
        <v>3343</v>
      </c>
      <c r="T338" t="s">
        <v>3337</v>
      </c>
      <c r="U338">
        <v>60</v>
      </c>
      <c r="V338" t="s">
        <v>3527</v>
      </c>
    </row>
    <row r="339" spans="1:22" ht="12.75" customHeight="1" x14ac:dyDescent="0.15">
      <c r="A339">
        <v>11</v>
      </c>
      <c r="B339">
        <v>2026</v>
      </c>
      <c r="C339" s="21">
        <v>46097</v>
      </c>
      <c r="D339" t="s">
        <v>39</v>
      </c>
      <c r="E339" t="s">
        <v>40</v>
      </c>
      <c r="F339" t="s">
        <v>21</v>
      </c>
      <c r="G339">
        <v>1.91</v>
      </c>
      <c r="H339" t="s">
        <v>3514</v>
      </c>
      <c r="I339" t="s">
        <v>366</v>
      </c>
      <c r="J339" s="1" t="s">
        <v>215</v>
      </c>
      <c r="K339" t="s">
        <v>181</v>
      </c>
      <c r="L339" t="s">
        <v>3340</v>
      </c>
      <c r="M339">
        <v>45</v>
      </c>
      <c r="N339">
        <v>1.49</v>
      </c>
      <c r="O339" t="s">
        <v>211</v>
      </c>
      <c r="P339">
        <v>82</v>
      </c>
      <c r="R339" t="s">
        <v>3377</v>
      </c>
      <c r="T339" t="s">
        <v>3337</v>
      </c>
      <c r="U339">
        <v>60</v>
      </c>
      <c r="V339" t="s">
        <v>3527</v>
      </c>
    </row>
    <row r="340" spans="1:22" ht="12.75" customHeight="1" x14ac:dyDescent="0.15">
      <c r="A340">
        <v>11</v>
      </c>
      <c r="B340">
        <v>2026</v>
      </c>
      <c r="C340" s="21">
        <v>46097</v>
      </c>
      <c r="D340" t="s">
        <v>89</v>
      </c>
      <c r="E340" t="s">
        <v>90</v>
      </c>
      <c r="F340" t="s">
        <v>21</v>
      </c>
      <c r="G340">
        <v>1</v>
      </c>
      <c r="H340" t="s">
        <v>3528</v>
      </c>
      <c r="I340" t="s">
        <v>3529</v>
      </c>
      <c r="J340" s="1" t="s">
        <v>26</v>
      </c>
      <c r="K340" t="s">
        <v>181</v>
      </c>
      <c r="L340" t="s">
        <v>3340</v>
      </c>
      <c r="M340">
        <v>86</v>
      </c>
      <c r="N340">
        <v>0.82</v>
      </c>
      <c r="O340" t="s">
        <v>211</v>
      </c>
      <c r="P340">
        <v>45</v>
      </c>
      <c r="Q340">
        <v>7</v>
      </c>
      <c r="R340" t="s">
        <v>3386</v>
      </c>
      <c r="T340" t="s">
        <v>3402</v>
      </c>
      <c r="U340">
        <v>-30</v>
      </c>
      <c r="V340" t="s">
        <v>3530</v>
      </c>
    </row>
    <row r="341" spans="1:22" ht="12.75" customHeight="1" x14ac:dyDescent="0.15">
      <c r="A341">
        <v>11</v>
      </c>
      <c r="B341">
        <v>2026</v>
      </c>
      <c r="C341" s="21">
        <v>46098</v>
      </c>
      <c r="D341" t="s">
        <v>19</v>
      </c>
      <c r="E341" t="s">
        <v>20</v>
      </c>
      <c r="F341" t="s">
        <v>21</v>
      </c>
      <c r="G341">
        <v>3.8</v>
      </c>
      <c r="H341" t="s">
        <v>3454</v>
      </c>
      <c r="I341" t="s">
        <v>212</v>
      </c>
      <c r="J341" s="1" t="s">
        <v>188</v>
      </c>
      <c r="K341" t="s">
        <v>181</v>
      </c>
      <c r="L341" t="s">
        <v>3333</v>
      </c>
      <c r="M341">
        <v>1</v>
      </c>
      <c r="N341">
        <v>1</v>
      </c>
      <c r="O341" t="s">
        <v>3358</v>
      </c>
      <c r="P341">
        <v>71.86</v>
      </c>
      <c r="Q341">
        <v>8</v>
      </c>
      <c r="R341" t="s">
        <v>3359</v>
      </c>
      <c r="T341" t="s">
        <v>3337</v>
      </c>
      <c r="U341">
        <v>98</v>
      </c>
      <c r="V341" t="s">
        <v>3457</v>
      </c>
    </row>
    <row r="342" spans="1:22" ht="12.75" customHeight="1" x14ac:dyDescent="0.15">
      <c r="A342">
        <v>11</v>
      </c>
      <c r="B342">
        <v>2026</v>
      </c>
      <c r="C342" s="21">
        <v>46098</v>
      </c>
      <c r="D342" t="s">
        <v>89</v>
      </c>
      <c r="E342" t="s">
        <v>90</v>
      </c>
      <c r="F342" t="s">
        <v>21</v>
      </c>
      <c r="G342">
        <v>1</v>
      </c>
      <c r="H342" t="s">
        <v>3531</v>
      </c>
      <c r="I342" t="s">
        <v>3532</v>
      </c>
      <c r="J342" s="1" t="s">
        <v>3533</v>
      </c>
      <c r="K342" t="s">
        <v>181</v>
      </c>
      <c r="L342" t="s">
        <v>3481</v>
      </c>
      <c r="M342">
        <v>40</v>
      </c>
      <c r="N342">
        <v>0.04</v>
      </c>
      <c r="O342" t="s">
        <v>211</v>
      </c>
      <c r="P342">
        <v>2.25</v>
      </c>
      <c r="Q342">
        <v>0.25</v>
      </c>
      <c r="R342" t="s">
        <v>3482</v>
      </c>
      <c r="T342" t="s">
        <v>3479</v>
      </c>
      <c r="U342">
        <v>-29</v>
      </c>
      <c r="V342" t="s">
        <v>3534</v>
      </c>
    </row>
    <row r="343" spans="1:22" ht="12.75" customHeight="1" x14ac:dyDescent="0.15">
      <c r="A343">
        <v>11</v>
      </c>
      <c r="B343">
        <v>2026</v>
      </c>
      <c r="C343" s="21">
        <v>46098</v>
      </c>
      <c r="D343" t="s">
        <v>89</v>
      </c>
      <c r="E343" t="s">
        <v>90</v>
      </c>
      <c r="F343" t="s">
        <v>21</v>
      </c>
      <c r="G343">
        <v>1</v>
      </c>
      <c r="H343" t="s">
        <v>3531</v>
      </c>
      <c r="I343" t="s">
        <v>3532</v>
      </c>
      <c r="J343" s="1" t="s">
        <v>3533</v>
      </c>
      <c r="K343" t="s">
        <v>181</v>
      </c>
      <c r="L343" t="s">
        <v>3477</v>
      </c>
      <c r="M343">
        <v>3</v>
      </c>
      <c r="N343">
        <v>0.03</v>
      </c>
      <c r="O343" t="s">
        <v>3334</v>
      </c>
      <c r="P343">
        <v>2.75</v>
      </c>
      <c r="Q343">
        <v>0.27</v>
      </c>
      <c r="R343" t="s">
        <v>3478</v>
      </c>
      <c r="T343" t="s">
        <v>3479</v>
      </c>
      <c r="U343">
        <v>-29</v>
      </c>
      <c r="V343" t="s">
        <v>3535</v>
      </c>
    </row>
    <row r="344" spans="1:22" ht="12.75" customHeight="1" x14ac:dyDescent="0.15">
      <c r="A344">
        <v>11</v>
      </c>
      <c r="B344">
        <v>2026</v>
      </c>
      <c r="C344" s="21">
        <v>46098</v>
      </c>
      <c r="D344" t="s">
        <v>89</v>
      </c>
      <c r="E344" t="s">
        <v>90</v>
      </c>
      <c r="F344" t="s">
        <v>21</v>
      </c>
      <c r="G344">
        <v>1</v>
      </c>
      <c r="H344" t="s">
        <v>3536</v>
      </c>
      <c r="I344" t="s">
        <v>3537</v>
      </c>
      <c r="J344" s="1" t="s">
        <v>3533</v>
      </c>
      <c r="K344" t="s">
        <v>181</v>
      </c>
      <c r="L344" t="s">
        <v>3481</v>
      </c>
      <c r="M344">
        <v>40</v>
      </c>
      <c r="N344">
        <v>0.04</v>
      </c>
      <c r="O344" t="s">
        <v>211</v>
      </c>
      <c r="P344">
        <v>2.25</v>
      </c>
      <c r="Q344">
        <v>0.25</v>
      </c>
      <c r="R344" t="s">
        <v>3482</v>
      </c>
      <c r="T344" t="s">
        <v>3479</v>
      </c>
      <c r="U344">
        <v>-29</v>
      </c>
      <c r="V344" t="s">
        <v>3534</v>
      </c>
    </row>
    <row r="345" spans="1:22" ht="12.75" customHeight="1" x14ac:dyDescent="0.15">
      <c r="A345">
        <v>11</v>
      </c>
      <c r="B345">
        <v>2026</v>
      </c>
      <c r="C345" s="21">
        <v>46098</v>
      </c>
      <c r="D345" t="s">
        <v>89</v>
      </c>
      <c r="E345" t="s">
        <v>90</v>
      </c>
      <c r="F345" t="s">
        <v>21</v>
      </c>
      <c r="G345">
        <v>1</v>
      </c>
      <c r="H345" t="s">
        <v>3536</v>
      </c>
      <c r="I345" t="s">
        <v>3537</v>
      </c>
      <c r="J345" s="1" t="s">
        <v>3533</v>
      </c>
      <c r="K345" t="s">
        <v>181</v>
      </c>
      <c r="L345" t="s">
        <v>3477</v>
      </c>
      <c r="M345">
        <v>3</v>
      </c>
      <c r="N345">
        <v>0.04</v>
      </c>
      <c r="O345" t="s">
        <v>3334</v>
      </c>
      <c r="P345">
        <v>3.06</v>
      </c>
      <c r="Q345">
        <v>0.3</v>
      </c>
      <c r="R345" t="s">
        <v>3478</v>
      </c>
      <c r="T345" t="s">
        <v>3479</v>
      </c>
      <c r="U345">
        <v>-29</v>
      </c>
      <c r="V345" t="s">
        <v>3538</v>
      </c>
    </row>
    <row r="346" spans="1:22" ht="12.75" customHeight="1" x14ac:dyDescent="0.15">
      <c r="A346">
        <v>11</v>
      </c>
      <c r="B346">
        <v>2026</v>
      </c>
      <c r="C346" s="21">
        <v>46098</v>
      </c>
      <c r="D346" t="s">
        <v>89</v>
      </c>
      <c r="E346" t="s">
        <v>90</v>
      </c>
      <c r="F346" t="s">
        <v>21</v>
      </c>
      <c r="G346">
        <v>1</v>
      </c>
      <c r="H346" t="s">
        <v>3539</v>
      </c>
      <c r="I346" t="s">
        <v>3540</v>
      </c>
      <c r="J346" s="1" t="s">
        <v>3533</v>
      </c>
      <c r="K346" t="s">
        <v>181</v>
      </c>
      <c r="L346" t="s">
        <v>3481</v>
      </c>
      <c r="M346">
        <v>40</v>
      </c>
      <c r="N346">
        <v>0.03</v>
      </c>
      <c r="O346" t="s">
        <v>211</v>
      </c>
      <c r="P346">
        <v>1.44</v>
      </c>
      <c r="Q346">
        <v>0.16</v>
      </c>
      <c r="R346" t="s">
        <v>3482</v>
      </c>
      <c r="T346" t="s">
        <v>3479</v>
      </c>
      <c r="U346">
        <v>-29</v>
      </c>
      <c r="V346" t="s">
        <v>3541</v>
      </c>
    </row>
    <row r="347" spans="1:22" ht="12.75" customHeight="1" x14ac:dyDescent="0.15">
      <c r="A347">
        <v>11</v>
      </c>
      <c r="B347">
        <v>2026</v>
      </c>
      <c r="C347" s="21">
        <v>46098</v>
      </c>
      <c r="D347" t="s">
        <v>89</v>
      </c>
      <c r="E347" t="s">
        <v>90</v>
      </c>
      <c r="F347" t="s">
        <v>21</v>
      </c>
      <c r="G347">
        <v>1</v>
      </c>
      <c r="H347" t="s">
        <v>3539</v>
      </c>
      <c r="I347" t="s">
        <v>3540</v>
      </c>
      <c r="J347" s="1" t="s">
        <v>3533</v>
      </c>
      <c r="K347" t="s">
        <v>181</v>
      </c>
      <c r="L347" t="s">
        <v>3477</v>
      </c>
      <c r="M347">
        <v>3</v>
      </c>
      <c r="N347">
        <v>0.02</v>
      </c>
      <c r="O347" t="s">
        <v>3334</v>
      </c>
      <c r="P347">
        <v>1.84</v>
      </c>
      <c r="Q347">
        <v>0.18</v>
      </c>
      <c r="R347" t="s">
        <v>3478</v>
      </c>
      <c r="T347" t="s">
        <v>3479</v>
      </c>
      <c r="U347">
        <v>-29</v>
      </c>
      <c r="V347" t="s">
        <v>3480</v>
      </c>
    </row>
    <row r="348" spans="1:22" ht="12.75" customHeight="1" x14ac:dyDescent="0.15">
      <c r="A348">
        <v>11</v>
      </c>
      <c r="B348">
        <v>2026</v>
      </c>
      <c r="C348" s="21">
        <v>46098</v>
      </c>
      <c r="D348" t="s">
        <v>89</v>
      </c>
      <c r="E348" t="s">
        <v>90</v>
      </c>
      <c r="F348" t="s">
        <v>21</v>
      </c>
      <c r="G348">
        <v>1</v>
      </c>
      <c r="H348" t="s">
        <v>3542</v>
      </c>
      <c r="I348" t="s">
        <v>192</v>
      </c>
      <c r="J348" s="1" t="s">
        <v>188</v>
      </c>
      <c r="K348" t="s">
        <v>181</v>
      </c>
      <c r="L348" t="s">
        <v>3481</v>
      </c>
      <c r="M348">
        <v>40</v>
      </c>
      <c r="N348">
        <v>0.05</v>
      </c>
      <c r="O348" t="s">
        <v>211</v>
      </c>
      <c r="P348">
        <v>2.97</v>
      </c>
      <c r="Q348">
        <v>0.33</v>
      </c>
      <c r="R348" t="s">
        <v>3482</v>
      </c>
      <c r="T348" t="s">
        <v>3479</v>
      </c>
      <c r="U348">
        <v>-29</v>
      </c>
      <c r="V348" t="s">
        <v>3543</v>
      </c>
    </row>
    <row r="349" spans="1:22" ht="12.75" customHeight="1" x14ac:dyDescent="0.15">
      <c r="A349">
        <v>11</v>
      </c>
      <c r="B349">
        <v>2026</v>
      </c>
      <c r="C349" s="21">
        <v>46098</v>
      </c>
      <c r="D349" t="s">
        <v>89</v>
      </c>
      <c r="E349" t="s">
        <v>90</v>
      </c>
      <c r="F349" t="s">
        <v>21</v>
      </c>
      <c r="G349">
        <v>1</v>
      </c>
      <c r="H349" t="s">
        <v>3542</v>
      </c>
      <c r="I349" t="s">
        <v>192</v>
      </c>
      <c r="J349" s="1" t="s">
        <v>188</v>
      </c>
      <c r="K349" t="s">
        <v>181</v>
      </c>
      <c r="L349" t="s">
        <v>3477</v>
      </c>
      <c r="M349">
        <v>3</v>
      </c>
      <c r="N349">
        <v>0.05</v>
      </c>
      <c r="O349" t="s">
        <v>3334</v>
      </c>
      <c r="P349">
        <v>3.67</v>
      </c>
      <c r="Q349">
        <v>0.36</v>
      </c>
      <c r="R349" t="s">
        <v>3478</v>
      </c>
      <c r="T349" t="s">
        <v>3479</v>
      </c>
      <c r="U349">
        <v>-29</v>
      </c>
      <c r="V349" t="s">
        <v>3544</v>
      </c>
    </row>
    <row r="350" spans="1:22" ht="12.75" customHeight="1" x14ac:dyDescent="0.15">
      <c r="A350">
        <v>11</v>
      </c>
      <c r="B350">
        <v>2026</v>
      </c>
      <c r="C350" s="21">
        <v>46099</v>
      </c>
      <c r="D350" t="s">
        <v>19</v>
      </c>
      <c r="E350" t="s">
        <v>20</v>
      </c>
      <c r="F350" t="s">
        <v>21</v>
      </c>
      <c r="G350">
        <v>3.8</v>
      </c>
      <c r="H350" t="s">
        <v>3454</v>
      </c>
      <c r="I350" t="s">
        <v>212</v>
      </c>
      <c r="J350" s="1" t="s">
        <v>188</v>
      </c>
      <c r="K350" t="s">
        <v>181</v>
      </c>
      <c r="L350" t="s">
        <v>3333</v>
      </c>
      <c r="M350">
        <v>1</v>
      </c>
      <c r="N350">
        <v>0.5</v>
      </c>
      <c r="O350" t="s">
        <v>3358</v>
      </c>
      <c r="P350">
        <v>35.93</v>
      </c>
      <c r="Q350">
        <v>4</v>
      </c>
      <c r="R350" t="s">
        <v>3359</v>
      </c>
      <c r="T350" t="s">
        <v>3337</v>
      </c>
      <c r="U350">
        <v>99</v>
      </c>
      <c r="V350" t="s">
        <v>3545</v>
      </c>
    </row>
    <row r="351" spans="1:22" ht="12.75" customHeight="1" x14ac:dyDescent="0.15">
      <c r="A351">
        <v>11</v>
      </c>
      <c r="B351">
        <v>2026</v>
      </c>
      <c r="C351" s="21">
        <v>46099</v>
      </c>
      <c r="D351" t="s">
        <v>89</v>
      </c>
      <c r="E351" t="s">
        <v>90</v>
      </c>
      <c r="F351" t="s">
        <v>21</v>
      </c>
      <c r="G351">
        <v>1</v>
      </c>
      <c r="H351" t="s">
        <v>3536</v>
      </c>
      <c r="I351" t="s">
        <v>3537</v>
      </c>
      <c r="J351" s="1" t="s">
        <v>3533</v>
      </c>
      <c r="K351" t="s">
        <v>181</v>
      </c>
      <c r="L351" t="s">
        <v>3477</v>
      </c>
      <c r="M351">
        <v>3</v>
      </c>
      <c r="N351">
        <v>0.03</v>
      </c>
      <c r="O351" t="s">
        <v>3334</v>
      </c>
      <c r="P351">
        <v>2.75</v>
      </c>
      <c r="Q351">
        <v>0.27</v>
      </c>
      <c r="R351" t="s">
        <v>3478</v>
      </c>
      <c r="T351" t="s">
        <v>3479</v>
      </c>
      <c r="U351">
        <v>-28</v>
      </c>
      <c r="V351" t="s">
        <v>3535</v>
      </c>
    </row>
    <row r="352" spans="1:22" ht="12.75" customHeight="1" x14ac:dyDescent="0.15">
      <c r="A352">
        <v>11</v>
      </c>
      <c r="B352">
        <v>2026</v>
      </c>
      <c r="C352" s="21">
        <v>46099</v>
      </c>
      <c r="D352" t="s">
        <v>89</v>
      </c>
      <c r="E352" t="s">
        <v>90</v>
      </c>
      <c r="F352" t="s">
        <v>21</v>
      </c>
      <c r="G352">
        <v>1</v>
      </c>
      <c r="H352" t="s">
        <v>3536</v>
      </c>
      <c r="I352" t="s">
        <v>3537</v>
      </c>
      <c r="J352" s="1" t="s">
        <v>3533</v>
      </c>
      <c r="K352" t="s">
        <v>181</v>
      </c>
      <c r="L352" t="s">
        <v>3481</v>
      </c>
      <c r="M352">
        <v>40</v>
      </c>
      <c r="N352">
        <v>0.04</v>
      </c>
      <c r="O352" t="s">
        <v>211</v>
      </c>
      <c r="P352">
        <v>2.25</v>
      </c>
      <c r="Q352">
        <v>0.25</v>
      </c>
      <c r="R352" t="s">
        <v>3482</v>
      </c>
      <c r="T352" t="s">
        <v>3479</v>
      </c>
      <c r="U352">
        <v>-28</v>
      </c>
      <c r="V352" t="s">
        <v>3534</v>
      </c>
    </row>
    <row r="353" spans="1:22" ht="12.75" customHeight="1" x14ac:dyDescent="0.15">
      <c r="A353">
        <v>11</v>
      </c>
      <c r="B353">
        <v>2026</v>
      </c>
      <c r="C353" s="21">
        <v>46099</v>
      </c>
      <c r="D353" t="s">
        <v>89</v>
      </c>
      <c r="E353" t="s">
        <v>90</v>
      </c>
      <c r="F353" t="s">
        <v>21</v>
      </c>
      <c r="G353">
        <v>1</v>
      </c>
      <c r="H353" t="s">
        <v>3531</v>
      </c>
      <c r="I353" t="s">
        <v>3532</v>
      </c>
      <c r="J353" s="1" t="s">
        <v>3533</v>
      </c>
      <c r="K353" t="s">
        <v>181</v>
      </c>
      <c r="L353" t="s">
        <v>3477</v>
      </c>
      <c r="M353">
        <v>3</v>
      </c>
      <c r="N353">
        <v>0.03</v>
      </c>
      <c r="O353" t="s">
        <v>3334</v>
      </c>
      <c r="P353">
        <v>2.75</v>
      </c>
      <c r="Q353">
        <v>0.27</v>
      </c>
      <c r="R353" t="s">
        <v>3478</v>
      </c>
      <c r="T353" t="s">
        <v>3479</v>
      </c>
      <c r="U353">
        <v>-28</v>
      </c>
      <c r="V353" t="s">
        <v>3535</v>
      </c>
    </row>
    <row r="354" spans="1:22" ht="12.75" customHeight="1" x14ac:dyDescent="0.15">
      <c r="A354">
        <v>11</v>
      </c>
      <c r="B354">
        <v>2026</v>
      </c>
      <c r="C354" s="21">
        <v>46099</v>
      </c>
      <c r="D354" t="s">
        <v>89</v>
      </c>
      <c r="E354" t="s">
        <v>90</v>
      </c>
      <c r="F354" t="s">
        <v>21</v>
      </c>
      <c r="G354">
        <v>1</v>
      </c>
      <c r="H354" t="s">
        <v>3531</v>
      </c>
      <c r="I354" t="s">
        <v>3532</v>
      </c>
      <c r="J354" s="1" t="s">
        <v>3533</v>
      </c>
      <c r="K354" t="s">
        <v>181</v>
      </c>
      <c r="L354" t="s">
        <v>3481</v>
      </c>
      <c r="M354">
        <v>40</v>
      </c>
      <c r="N354">
        <v>0.04</v>
      </c>
      <c r="O354" t="s">
        <v>211</v>
      </c>
      <c r="P354">
        <v>2.25</v>
      </c>
      <c r="Q354">
        <v>0.25</v>
      </c>
      <c r="R354" t="s">
        <v>3482</v>
      </c>
      <c r="T354" t="s">
        <v>3479</v>
      </c>
      <c r="U354">
        <v>-28</v>
      </c>
      <c r="V354" t="s">
        <v>3534</v>
      </c>
    </row>
    <row r="355" spans="1:22" ht="12.75" customHeight="1" x14ac:dyDescent="0.15">
      <c r="A355">
        <v>11</v>
      </c>
      <c r="B355">
        <v>2026</v>
      </c>
      <c r="C355" s="21">
        <v>46099</v>
      </c>
      <c r="D355" t="s">
        <v>89</v>
      </c>
      <c r="E355" t="s">
        <v>90</v>
      </c>
      <c r="F355" t="s">
        <v>21</v>
      </c>
      <c r="G355">
        <v>1</v>
      </c>
      <c r="H355" t="s">
        <v>3542</v>
      </c>
      <c r="I355" t="s">
        <v>192</v>
      </c>
      <c r="J355" s="1" t="s">
        <v>188</v>
      </c>
      <c r="K355" t="s">
        <v>181</v>
      </c>
      <c r="L355" t="s">
        <v>3477</v>
      </c>
      <c r="M355">
        <v>3</v>
      </c>
      <c r="N355">
        <v>0.05</v>
      </c>
      <c r="O355" t="s">
        <v>3334</v>
      </c>
      <c r="P355">
        <v>3.98</v>
      </c>
      <c r="Q355">
        <v>0.39</v>
      </c>
      <c r="R355" t="s">
        <v>3478</v>
      </c>
      <c r="T355" t="s">
        <v>3479</v>
      </c>
      <c r="U355">
        <v>-28</v>
      </c>
      <c r="V355" t="s">
        <v>3546</v>
      </c>
    </row>
    <row r="356" spans="1:22" ht="12.75" customHeight="1" x14ac:dyDescent="0.15">
      <c r="A356">
        <v>11</v>
      </c>
      <c r="B356">
        <v>2026</v>
      </c>
      <c r="C356" s="21">
        <v>46099</v>
      </c>
      <c r="D356" t="s">
        <v>89</v>
      </c>
      <c r="E356" t="s">
        <v>90</v>
      </c>
      <c r="F356" t="s">
        <v>21</v>
      </c>
      <c r="G356">
        <v>1</v>
      </c>
      <c r="H356" t="s">
        <v>3542</v>
      </c>
      <c r="I356" t="s">
        <v>192</v>
      </c>
      <c r="J356" s="1" t="s">
        <v>188</v>
      </c>
      <c r="K356" t="s">
        <v>181</v>
      </c>
      <c r="L356" t="s">
        <v>3481</v>
      </c>
      <c r="M356">
        <v>40</v>
      </c>
      <c r="N356">
        <v>0.05</v>
      </c>
      <c r="O356" t="s">
        <v>211</v>
      </c>
      <c r="P356">
        <v>2.97</v>
      </c>
      <c r="Q356">
        <v>0.33</v>
      </c>
      <c r="R356" t="s">
        <v>3482</v>
      </c>
      <c r="T356" t="s">
        <v>3479</v>
      </c>
      <c r="U356">
        <v>-28</v>
      </c>
      <c r="V356" t="s">
        <v>3543</v>
      </c>
    </row>
    <row r="357" spans="1:22" ht="12.75" customHeight="1" x14ac:dyDescent="0.15">
      <c r="A357">
        <v>11</v>
      </c>
      <c r="B357">
        <v>2026</v>
      </c>
      <c r="C357" s="21">
        <v>46100</v>
      </c>
      <c r="D357" t="s">
        <v>89</v>
      </c>
      <c r="E357" t="s">
        <v>90</v>
      </c>
      <c r="F357" t="s">
        <v>21</v>
      </c>
      <c r="G357">
        <v>1</v>
      </c>
      <c r="H357" t="s">
        <v>3536</v>
      </c>
      <c r="I357" t="s">
        <v>3537</v>
      </c>
      <c r="J357" s="1" t="s">
        <v>3533</v>
      </c>
      <c r="K357" t="s">
        <v>181</v>
      </c>
      <c r="L357" t="s">
        <v>3477</v>
      </c>
      <c r="M357">
        <v>3</v>
      </c>
      <c r="N357">
        <v>0.05</v>
      </c>
      <c r="O357" t="s">
        <v>3334</v>
      </c>
      <c r="P357">
        <v>3.67</v>
      </c>
      <c r="Q357">
        <v>0.36</v>
      </c>
      <c r="R357" t="s">
        <v>3478</v>
      </c>
      <c r="T357" t="s">
        <v>3479</v>
      </c>
      <c r="U357">
        <v>-27</v>
      </c>
      <c r="V357" t="s">
        <v>3544</v>
      </c>
    </row>
    <row r="358" spans="1:22" ht="12.75" customHeight="1" x14ac:dyDescent="0.15">
      <c r="A358">
        <v>11</v>
      </c>
      <c r="B358">
        <v>2026</v>
      </c>
      <c r="C358" s="21">
        <v>46100</v>
      </c>
      <c r="D358" t="s">
        <v>89</v>
      </c>
      <c r="E358" t="s">
        <v>90</v>
      </c>
      <c r="F358" t="s">
        <v>21</v>
      </c>
      <c r="G358">
        <v>1</v>
      </c>
      <c r="H358" t="s">
        <v>3536</v>
      </c>
      <c r="I358" t="s">
        <v>3537</v>
      </c>
      <c r="J358" s="1" t="s">
        <v>3533</v>
      </c>
      <c r="K358" t="s">
        <v>181</v>
      </c>
      <c r="L358" t="s">
        <v>3481</v>
      </c>
      <c r="M358">
        <v>40</v>
      </c>
      <c r="N358">
        <v>0.05</v>
      </c>
      <c r="O358" t="s">
        <v>211</v>
      </c>
      <c r="P358">
        <v>2.97</v>
      </c>
      <c r="Q358">
        <v>0.33</v>
      </c>
      <c r="R358" t="s">
        <v>3482</v>
      </c>
      <c r="T358" t="s">
        <v>3479</v>
      </c>
      <c r="U358">
        <v>-27</v>
      </c>
      <c r="V358" t="s">
        <v>3543</v>
      </c>
    </row>
    <row r="359" spans="1:22" ht="12.75" customHeight="1" x14ac:dyDescent="0.15">
      <c r="A359">
        <v>11</v>
      </c>
      <c r="B359">
        <v>2026</v>
      </c>
      <c r="C359" s="21">
        <v>46100</v>
      </c>
      <c r="D359" t="s">
        <v>89</v>
      </c>
      <c r="E359" t="s">
        <v>90</v>
      </c>
      <c r="F359" t="s">
        <v>21</v>
      </c>
      <c r="G359">
        <v>1</v>
      </c>
      <c r="H359" t="s">
        <v>3531</v>
      </c>
      <c r="I359" t="s">
        <v>3532</v>
      </c>
      <c r="J359" s="1" t="s">
        <v>3533</v>
      </c>
      <c r="K359" t="s">
        <v>181</v>
      </c>
      <c r="L359" t="s">
        <v>3477</v>
      </c>
      <c r="M359">
        <v>3</v>
      </c>
      <c r="N359">
        <v>0.02</v>
      </c>
      <c r="O359" t="s">
        <v>3334</v>
      </c>
      <c r="P359">
        <v>1.84</v>
      </c>
      <c r="Q359">
        <v>0.18</v>
      </c>
      <c r="R359" t="s">
        <v>3478</v>
      </c>
      <c r="T359" t="s">
        <v>3479</v>
      </c>
      <c r="U359">
        <v>-27</v>
      </c>
      <c r="V359" t="s">
        <v>3480</v>
      </c>
    </row>
    <row r="360" spans="1:22" ht="12.75" customHeight="1" x14ac:dyDescent="0.15">
      <c r="A360">
        <v>11</v>
      </c>
      <c r="B360">
        <v>2026</v>
      </c>
      <c r="C360" s="21">
        <v>46100</v>
      </c>
      <c r="D360" t="s">
        <v>89</v>
      </c>
      <c r="E360" t="s">
        <v>90</v>
      </c>
      <c r="F360" t="s">
        <v>21</v>
      </c>
      <c r="G360">
        <v>1</v>
      </c>
      <c r="H360" t="s">
        <v>3531</v>
      </c>
      <c r="I360" t="s">
        <v>3532</v>
      </c>
      <c r="J360" s="1" t="s">
        <v>3533</v>
      </c>
      <c r="K360" t="s">
        <v>181</v>
      </c>
      <c r="L360" t="s">
        <v>3481</v>
      </c>
      <c r="M360">
        <v>40</v>
      </c>
      <c r="N360">
        <v>0.03</v>
      </c>
      <c r="O360" t="s">
        <v>211</v>
      </c>
      <c r="P360">
        <v>1.44</v>
      </c>
      <c r="Q360">
        <v>0.16</v>
      </c>
      <c r="R360" t="s">
        <v>3482</v>
      </c>
      <c r="T360" t="s">
        <v>3479</v>
      </c>
      <c r="U360">
        <v>-27</v>
      </c>
      <c r="V360" t="s">
        <v>3541</v>
      </c>
    </row>
    <row r="361" spans="1:22" ht="12.75" customHeight="1" x14ac:dyDescent="0.15">
      <c r="A361">
        <v>11</v>
      </c>
      <c r="B361">
        <v>2026</v>
      </c>
      <c r="C361" s="21">
        <v>46100</v>
      </c>
      <c r="D361" t="s">
        <v>89</v>
      </c>
      <c r="E361" t="s">
        <v>90</v>
      </c>
      <c r="F361" t="s">
        <v>21</v>
      </c>
      <c r="G361">
        <v>1</v>
      </c>
      <c r="H361" t="s">
        <v>3547</v>
      </c>
      <c r="I361" t="s">
        <v>192</v>
      </c>
      <c r="J361" s="1" t="s">
        <v>188</v>
      </c>
      <c r="K361" t="s">
        <v>181</v>
      </c>
      <c r="L361" t="s">
        <v>3477</v>
      </c>
      <c r="M361">
        <v>3</v>
      </c>
      <c r="N361">
        <v>0.04</v>
      </c>
      <c r="O361" t="s">
        <v>3334</v>
      </c>
      <c r="P361">
        <v>3.06</v>
      </c>
      <c r="Q361">
        <v>0.3</v>
      </c>
      <c r="R361" t="s">
        <v>3478</v>
      </c>
      <c r="T361" t="s">
        <v>3479</v>
      </c>
      <c r="U361">
        <v>-27</v>
      </c>
      <c r="V361" t="s">
        <v>3538</v>
      </c>
    </row>
    <row r="362" spans="1:22" ht="12.75" customHeight="1" x14ac:dyDescent="0.15">
      <c r="A362">
        <v>11</v>
      </c>
      <c r="B362">
        <v>2026</v>
      </c>
      <c r="C362" s="21">
        <v>46100</v>
      </c>
      <c r="D362" t="s">
        <v>89</v>
      </c>
      <c r="E362" t="s">
        <v>90</v>
      </c>
      <c r="F362" t="s">
        <v>21</v>
      </c>
      <c r="G362">
        <v>1</v>
      </c>
      <c r="H362" t="s">
        <v>3547</v>
      </c>
      <c r="I362" t="s">
        <v>192</v>
      </c>
      <c r="J362" s="1" t="s">
        <v>188</v>
      </c>
      <c r="K362" t="s">
        <v>181</v>
      </c>
      <c r="L362" t="s">
        <v>3481</v>
      </c>
      <c r="M362">
        <v>40</v>
      </c>
      <c r="N362">
        <v>0.04</v>
      </c>
      <c r="O362" t="s">
        <v>211</v>
      </c>
      <c r="P362">
        <v>2.25</v>
      </c>
      <c r="Q362">
        <v>0.25</v>
      </c>
      <c r="R362" t="s">
        <v>3482</v>
      </c>
      <c r="T362" t="s">
        <v>3479</v>
      </c>
      <c r="U362">
        <v>-27</v>
      </c>
      <c r="V362" t="s">
        <v>3534</v>
      </c>
    </row>
    <row r="363" spans="1:22" ht="12.75" customHeight="1" x14ac:dyDescent="0.15">
      <c r="A363">
        <v>11</v>
      </c>
      <c r="B363">
        <v>2026</v>
      </c>
      <c r="C363" s="21">
        <v>46100</v>
      </c>
      <c r="D363" t="s">
        <v>89</v>
      </c>
      <c r="E363" t="s">
        <v>90</v>
      </c>
      <c r="F363" t="s">
        <v>21</v>
      </c>
      <c r="G363">
        <v>1</v>
      </c>
      <c r="H363" t="s">
        <v>3539</v>
      </c>
      <c r="I363" t="s">
        <v>3540</v>
      </c>
      <c r="J363" s="1" t="s">
        <v>3533</v>
      </c>
      <c r="K363" t="s">
        <v>181</v>
      </c>
      <c r="L363" t="s">
        <v>3477</v>
      </c>
      <c r="M363">
        <v>3</v>
      </c>
      <c r="N363">
        <v>0.03</v>
      </c>
      <c r="O363" t="s">
        <v>3334</v>
      </c>
      <c r="P363">
        <v>2.75</v>
      </c>
      <c r="Q363">
        <v>0.27</v>
      </c>
      <c r="R363" t="s">
        <v>3478</v>
      </c>
      <c r="T363" t="s">
        <v>3479</v>
      </c>
      <c r="U363">
        <v>-27</v>
      </c>
      <c r="V363" t="s">
        <v>3535</v>
      </c>
    </row>
    <row r="364" spans="1:22" ht="12.75" customHeight="1" x14ac:dyDescent="0.15">
      <c r="A364">
        <v>12</v>
      </c>
      <c r="B364">
        <v>2026</v>
      </c>
      <c r="C364" s="21">
        <v>46101</v>
      </c>
      <c r="D364" t="s">
        <v>19</v>
      </c>
      <c r="E364" t="s">
        <v>20</v>
      </c>
      <c r="F364" t="s">
        <v>21</v>
      </c>
      <c r="G364">
        <v>3.8</v>
      </c>
      <c r="H364" t="s">
        <v>3514</v>
      </c>
      <c r="I364" t="s">
        <v>366</v>
      </c>
      <c r="J364" s="1" t="s">
        <v>215</v>
      </c>
      <c r="K364" t="s">
        <v>181</v>
      </c>
      <c r="L364" t="s">
        <v>3340</v>
      </c>
      <c r="M364">
        <v>58</v>
      </c>
      <c r="N364">
        <v>0.78</v>
      </c>
      <c r="O364" t="s">
        <v>211</v>
      </c>
      <c r="P364">
        <v>43</v>
      </c>
      <c r="R364" t="s">
        <v>3343</v>
      </c>
      <c r="S364" t="s">
        <v>3548</v>
      </c>
      <c r="T364" t="s">
        <v>3337</v>
      </c>
      <c r="U364">
        <v>101</v>
      </c>
      <c r="V364" t="s">
        <v>3549</v>
      </c>
    </row>
    <row r="365" spans="1:22" ht="12.75" customHeight="1" x14ac:dyDescent="0.15">
      <c r="A365">
        <v>12</v>
      </c>
      <c r="B365">
        <v>2026</v>
      </c>
      <c r="C365" s="21">
        <v>46101</v>
      </c>
      <c r="D365" t="s">
        <v>19</v>
      </c>
      <c r="E365" t="s">
        <v>20</v>
      </c>
      <c r="F365" t="s">
        <v>21</v>
      </c>
      <c r="G365">
        <v>3.8</v>
      </c>
      <c r="H365" t="s">
        <v>3514</v>
      </c>
      <c r="I365" t="s">
        <v>366</v>
      </c>
      <c r="J365" s="1" t="s">
        <v>215</v>
      </c>
      <c r="K365" t="s">
        <v>181</v>
      </c>
      <c r="L365" t="s">
        <v>3340</v>
      </c>
      <c r="M365">
        <v>53</v>
      </c>
      <c r="N365">
        <v>0.78</v>
      </c>
      <c r="O365" t="s">
        <v>211</v>
      </c>
      <c r="P365">
        <v>43</v>
      </c>
      <c r="R365" t="s">
        <v>3373</v>
      </c>
      <c r="T365" t="s">
        <v>3337</v>
      </c>
      <c r="U365">
        <v>101</v>
      </c>
      <c r="V365" t="s">
        <v>3549</v>
      </c>
    </row>
    <row r="366" spans="1:22" ht="12.75" customHeight="1" x14ac:dyDescent="0.15">
      <c r="A366">
        <v>12</v>
      </c>
      <c r="B366">
        <v>2026</v>
      </c>
      <c r="C366" s="21">
        <v>46101</v>
      </c>
      <c r="D366" t="s">
        <v>19</v>
      </c>
      <c r="E366" t="s">
        <v>20</v>
      </c>
      <c r="F366" t="s">
        <v>21</v>
      </c>
      <c r="G366">
        <v>3.8</v>
      </c>
      <c r="H366" t="s">
        <v>3514</v>
      </c>
      <c r="I366" t="s">
        <v>366</v>
      </c>
      <c r="J366" s="1" t="s">
        <v>215</v>
      </c>
      <c r="K366" t="s">
        <v>181</v>
      </c>
      <c r="L366" t="s">
        <v>3340</v>
      </c>
      <c r="M366">
        <v>81</v>
      </c>
      <c r="N366">
        <v>0.78</v>
      </c>
      <c r="O366" t="s">
        <v>211</v>
      </c>
      <c r="P366">
        <v>43</v>
      </c>
      <c r="R366" t="s">
        <v>3374</v>
      </c>
      <c r="T366" t="s">
        <v>3337</v>
      </c>
      <c r="U366">
        <v>101</v>
      </c>
      <c r="V366" t="s">
        <v>3549</v>
      </c>
    </row>
    <row r="367" spans="1:22" ht="12.75" customHeight="1" x14ac:dyDescent="0.15">
      <c r="A367">
        <v>12</v>
      </c>
      <c r="B367">
        <v>2026</v>
      </c>
      <c r="C367" s="21">
        <v>46101</v>
      </c>
      <c r="D367" t="s">
        <v>19</v>
      </c>
      <c r="E367" t="s">
        <v>20</v>
      </c>
      <c r="F367" t="s">
        <v>21</v>
      </c>
      <c r="G367">
        <v>3.8</v>
      </c>
      <c r="H367" t="s">
        <v>3514</v>
      </c>
      <c r="I367" t="s">
        <v>366</v>
      </c>
      <c r="J367" s="1" t="s">
        <v>215</v>
      </c>
      <c r="K367" t="s">
        <v>181</v>
      </c>
      <c r="L367" t="s">
        <v>3340</v>
      </c>
      <c r="M367">
        <v>62</v>
      </c>
      <c r="N367">
        <v>0.78</v>
      </c>
      <c r="O367" t="s">
        <v>211</v>
      </c>
      <c r="P367">
        <v>43</v>
      </c>
      <c r="R367" t="s">
        <v>3375</v>
      </c>
      <c r="T367" t="s">
        <v>3337</v>
      </c>
      <c r="U367">
        <v>101</v>
      </c>
      <c r="V367" t="s">
        <v>3549</v>
      </c>
    </row>
    <row r="368" spans="1:22" ht="12.75" customHeight="1" x14ac:dyDescent="0.15">
      <c r="A368">
        <v>12</v>
      </c>
      <c r="B368">
        <v>2026</v>
      </c>
      <c r="C368" s="21">
        <v>46101</v>
      </c>
      <c r="D368" t="s">
        <v>19</v>
      </c>
      <c r="E368" t="s">
        <v>20</v>
      </c>
      <c r="F368" t="s">
        <v>21</v>
      </c>
      <c r="G368">
        <v>3.8</v>
      </c>
      <c r="H368" t="s">
        <v>3514</v>
      </c>
      <c r="I368" t="s">
        <v>366</v>
      </c>
      <c r="J368" s="1" t="s">
        <v>215</v>
      </c>
      <c r="K368" t="s">
        <v>181</v>
      </c>
      <c r="L368" t="s">
        <v>3340</v>
      </c>
      <c r="M368">
        <v>132</v>
      </c>
      <c r="N368">
        <v>0.78</v>
      </c>
      <c r="O368" t="s">
        <v>211</v>
      </c>
      <c r="P368">
        <v>43</v>
      </c>
      <c r="R368" t="s">
        <v>3368</v>
      </c>
      <c r="T368" t="s">
        <v>3337</v>
      </c>
      <c r="U368">
        <v>101</v>
      </c>
      <c r="V368" t="s">
        <v>3549</v>
      </c>
    </row>
    <row r="369" spans="1:22" ht="12.75" customHeight="1" x14ac:dyDescent="0.15">
      <c r="A369">
        <v>12</v>
      </c>
      <c r="B369">
        <v>2026</v>
      </c>
      <c r="C369" s="21">
        <v>46101</v>
      </c>
      <c r="D369" t="s">
        <v>19</v>
      </c>
      <c r="E369" t="s">
        <v>20</v>
      </c>
      <c r="F369" t="s">
        <v>21</v>
      </c>
      <c r="G369">
        <v>3.8</v>
      </c>
      <c r="H369" t="s">
        <v>3514</v>
      </c>
      <c r="I369" t="s">
        <v>366</v>
      </c>
      <c r="J369" s="1" t="s">
        <v>215</v>
      </c>
      <c r="K369" t="s">
        <v>181</v>
      </c>
      <c r="L369" t="s">
        <v>3340</v>
      </c>
      <c r="M369">
        <v>45</v>
      </c>
      <c r="N369">
        <v>0.78</v>
      </c>
      <c r="O369" t="s">
        <v>211</v>
      </c>
      <c r="P369">
        <v>43</v>
      </c>
      <c r="R369" t="s">
        <v>3377</v>
      </c>
      <c r="T369" t="s">
        <v>3337</v>
      </c>
      <c r="U369">
        <v>101</v>
      </c>
      <c r="V369" t="s">
        <v>3549</v>
      </c>
    </row>
    <row r="370" spans="1:22" ht="12.75" customHeight="1" x14ac:dyDescent="0.15">
      <c r="A370">
        <v>12</v>
      </c>
      <c r="B370">
        <v>2026</v>
      </c>
      <c r="C370" s="21">
        <v>46101</v>
      </c>
      <c r="D370" t="s">
        <v>39</v>
      </c>
      <c r="E370" t="s">
        <v>40</v>
      </c>
      <c r="F370" t="s">
        <v>21</v>
      </c>
      <c r="G370">
        <v>1.91</v>
      </c>
      <c r="H370" t="s">
        <v>3454</v>
      </c>
      <c r="I370" t="s">
        <v>212</v>
      </c>
      <c r="J370" s="1" t="s">
        <v>188</v>
      </c>
      <c r="K370" t="s">
        <v>181</v>
      </c>
      <c r="L370" t="s">
        <v>3333</v>
      </c>
      <c r="M370">
        <v>6</v>
      </c>
      <c r="N370">
        <v>0.38</v>
      </c>
      <c r="O370" t="s">
        <v>3334</v>
      </c>
      <c r="P370">
        <v>30.59</v>
      </c>
      <c r="Q370">
        <v>3</v>
      </c>
      <c r="R370" t="s">
        <v>3335</v>
      </c>
      <c r="T370" t="s">
        <v>3337</v>
      </c>
      <c r="U370">
        <v>64</v>
      </c>
      <c r="V370" t="s">
        <v>3417</v>
      </c>
    </row>
    <row r="371" spans="1:22" ht="12.75" customHeight="1" x14ac:dyDescent="0.15">
      <c r="A371">
        <v>12</v>
      </c>
      <c r="B371">
        <v>2026</v>
      </c>
      <c r="C371" s="21">
        <v>46101</v>
      </c>
      <c r="D371" t="s">
        <v>19</v>
      </c>
      <c r="E371" t="s">
        <v>20</v>
      </c>
      <c r="F371" t="s">
        <v>21</v>
      </c>
      <c r="G371">
        <v>3.8</v>
      </c>
      <c r="H371" t="s">
        <v>3454</v>
      </c>
      <c r="I371" t="s">
        <v>212</v>
      </c>
      <c r="J371" s="1" t="s">
        <v>188</v>
      </c>
      <c r="K371" t="s">
        <v>181</v>
      </c>
      <c r="L371" t="s">
        <v>3333</v>
      </c>
      <c r="M371">
        <v>1</v>
      </c>
      <c r="N371">
        <v>1</v>
      </c>
      <c r="O371" t="s">
        <v>3358</v>
      </c>
      <c r="P371">
        <v>71.86</v>
      </c>
      <c r="Q371">
        <v>8</v>
      </c>
      <c r="R371" t="s">
        <v>3359</v>
      </c>
      <c r="T371" t="s">
        <v>3337</v>
      </c>
      <c r="U371">
        <v>101</v>
      </c>
      <c r="V371" t="s">
        <v>3457</v>
      </c>
    </row>
    <row r="372" spans="1:22" ht="12.75" customHeight="1" x14ac:dyDescent="0.15">
      <c r="A372">
        <v>12</v>
      </c>
      <c r="B372">
        <v>2026</v>
      </c>
      <c r="C372" s="21">
        <v>46101</v>
      </c>
      <c r="D372" t="s">
        <v>89</v>
      </c>
      <c r="E372" t="s">
        <v>90</v>
      </c>
      <c r="F372" t="s">
        <v>21</v>
      </c>
      <c r="G372">
        <v>1</v>
      </c>
      <c r="H372" t="s">
        <v>3547</v>
      </c>
      <c r="I372" t="s">
        <v>192</v>
      </c>
      <c r="J372" s="1" t="s">
        <v>188</v>
      </c>
      <c r="K372" t="s">
        <v>181</v>
      </c>
      <c r="L372" t="s">
        <v>3477</v>
      </c>
      <c r="M372">
        <v>3</v>
      </c>
      <c r="N372">
        <v>0.05</v>
      </c>
      <c r="O372" t="s">
        <v>3334</v>
      </c>
      <c r="P372">
        <v>3.67</v>
      </c>
      <c r="Q372">
        <v>0.36</v>
      </c>
      <c r="R372" t="s">
        <v>3478</v>
      </c>
      <c r="T372" t="s">
        <v>3479</v>
      </c>
      <c r="U372">
        <v>-26</v>
      </c>
      <c r="V372" t="s">
        <v>3544</v>
      </c>
    </row>
    <row r="373" spans="1:22" ht="12.75" customHeight="1" x14ac:dyDescent="0.15">
      <c r="A373">
        <v>12</v>
      </c>
      <c r="B373">
        <v>2026</v>
      </c>
      <c r="C373" s="21">
        <v>46101</v>
      </c>
      <c r="D373" t="s">
        <v>89</v>
      </c>
      <c r="E373" t="s">
        <v>90</v>
      </c>
      <c r="F373" t="s">
        <v>21</v>
      </c>
      <c r="G373">
        <v>1</v>
      </c>
      <c r="H373" t="s">
        <v>3547</v>
      </c>
      <c r="I373" t="s">
        <v>192</v>
      </c>
      <c r="J373" s="1" t="s">
        <v>188</v>
      </c>
      <c r="K373" t="s">
        <v>181</v>
      </c>
      <c r="L373" t="s">
        <v>3481</v>
      </c>
      <c r="M373">
        <v>40</v>
      </c>
      <c r="N373">
        <v>0.05</v>
      </c>
      <c r="O373" t="s">
        <v>211</v>
      </c>
      <c r="P373">
        <v>2.97</v>
      </c>
      <c r="Q373">
        <v>0.33</v>
      </c>
      <c r="R373" t="s">
        <v>3482</v>
      </c>
      <c r="T373" t="s">
        <v>3479</v>
      </c>
      <c r="U373">
        <v>-26</v>
      </c>
      <c r="V373" t="s">
        <v>3543</v>
      </c>
    </row>
    <row r="374" spans="1:22" ht="12.75" customHeight="1" x14ac:dyDescent="0.15">
      <c r="A374">
        <v>12</v>
      </c>
      <c r="B374">
        <v>2026</v>
      </c>
      <c r="C374" s="21">
        <v>46101</v>
      </c>
      <c r="D374" t="s">
        <v>89</v>
      </c>
      <c r="E374" t="s">
        <v>90</v>
      </c>
      <c r="F374" t="s">
        <v>21</v>
      </c>
      <c r="G374">
        <v>1</v>
      </c>
      <c r="H374" t="s">
        <v>3550</v>
      </c>
      <c r="I374" t="s">
        <v>3551</v>
      </c>
      <c r="J374" s="1" t="s">
        <v>3533</v>
      </c>
      <c r="K374" t="s">
        <v>181</v>
      </c>
      <c r="L374" t="s">
        <v>3477</v>
      </c>
      <c r="M374">
        <v>3</v>
      </c>
      <c r="N374">
        <v>0.05</v>
      </c>
      <c r="O374" t="s">
        <v>3334</v>
      </c>
      <c r="P374">
        <v>3.67</v>
      </c>
      <c r="Q374">
        <v>0.36</v>
      </c>
      <c r="R374" t="s">
        <v>3478</v>
      </c>
      <c r="T374" t="s">
        <v>3479</v>
      </c>
      <c r="U374">
        <v>-26</v>
      </c>
      <c r="V374" t="s">
        <v>3544</v>
      </c>
    </row>
    <row r="375" spans="1:22" ht="12.75" customHeight="1" x14ac:dyDescent="0.15">
      <c r="A375">
        <v>12</v>
      </c>
      <c r="B375">
        <v>2026</v>
      </c>
      <c r="C375" s="21">
        <v>46101</v>
      </c>
      <c r="D375" t="s">
        <v>89</v>
      </c>
      <c r="E375" t="s">
        <v>90</v>
      </c>
      <c r="F375" t="s">
        <v>21</v>
      </c>
      <c r="G375">
        <v>1</v>
      </c>
      <c r="H375" t="s">
        <v>3550</v>
      </c>
      <c r="I375" t="s">
        <v>3551</v>
      </c>
      <c r="J375" s="1" t="s">
        <v>3533</v>
      </c>
      <c r="K375" t="s">
        <v>181</v>
      </c>
      <c r="L375" t="s">
        <v>3481</v>
      </c>
      <c r="M375">
        <v>40</v>
      </c>
      <c r="N375">
        <v>0.05</v>
      </c>
      <c r="O375" t="s">
        <v>211</v>
      </c>
      <c r="P375">
        <v>2.97</v>
      </c>
      <c r="Q375">
        <v>0.33</v>
      </c>
      <c r="R375" t="s">
        <v>3482</v>
      </c>
      <c r="T375" t="s">
        <v>3479</v>
      </c>
      <c r="U375">
        <v>-26</v>
      </c>
      <c r="V375" t="s">
        <v>3543</v>
      </c>
    </row>
    <row r="376" spans="1:22" ht="12.75" customHeight="1" x14ac:dyDescent="0.15">
      <c r="A376">
        <v>12</v>
      </c>
      <c r="B376">
        <v>2026</v>
      </c>
      <c r="C376" s="21">
        <v>46101</v>
      </c>
      <c r="D376" t="s">
        <v>89</v>
      </c>
      <c r="E376" t="s">
        <v>90</v>
      </c>
      <c r="F376" t="s">
        <v>21</v>
      </c>
      <c r="G376">
        <v>1</v>
      </c>
      <c r="H376" t="s">
        <v>3552</v>
      </c>
      <c r="I376" t="s">
        <v>3553</v>
      </c>
      <c r="J376" s="1" t="s">
        <v>3533</v>
      </c>
      <c r="K376" t="s">
        <v>181</v>
      </c>
      <c r="L376" t="s">
        <v>3477</v>
      </c>
      <c r="M376">
        <v>3</v>
      </c>
      <c r="N376">
        <v>0.08</v>
      </c>
      <c r="O376" t="s">
        <v>3334</v>
      </c>
      <c r="P376">
        <v>6.73</v>
      </c>
      <c r="Q376">
        <v>0.66</v>
      </c>
      <c r="R376" t="s">
        <v>3478</v>
      </c>
      <c r="T376" t="s">
        <v>3479</v>
      </c>
      <c r="U376">
        <v>-26</v>
      </c>
      <c r="V376" t="s">
        <v>3554</v>
      </c>
    </row>
    <row r="377" spans="1:22" ht="12.75" customHeight="1" x14ac:dyDescent="0.15">
      <c r="A377">
        <v>12</v>
      </c>
      <c r="B377">
        <v>2026</v>
      </c>
      <c r="C377" s="21">
        <v>46101</v>
      </c>
      <c r="D377" t="s">
        <v>89</v>
      </c>
      <c r="E377" t="s">
        <v>90</v>
      </c>
      <c r="F377" t="s">
        <v>21</v>
      </c>
      <c r="G377">
        <v>1</v>
      </c>
      <c r="H377" t="s">
        <v>3552</v>
      </c>
      <c r="I377" t="s">
        <v>3553</v>
      </c>
      <c r="J377" s="1" t="s">
        <v>3533</v>
      </c>
      <c r="K377" t="s">
        <v>181</v>
      </c>
      <c r="L377" t="s">
        <v>3481</v>
      </c>
      <c r="M377">
        <v>40</v>
      </c>
      <c r="N377">
        <v>0.06</v>
      </c>
      <c r="O377" t="s">
        <v>211</v>
      </c>
      <c r="P377">
        <v>3.24</v>
      </c>
      <c r="Q377">
        <v>0.36</v>
      </c>
      <c r="R377" t="s">
        <v>3482</v>
      </c>
      <c r="T377" t="s">
        <v>3479</v>
      </c>
      <c r="U377">
        <v>-26</v>
      </c>
      <c r="V377" t="s">
        <v>3555</v>
      </c>
    </row>
    <row r="378" spans="1:22" ht="12.75" customHeight="1" x14ac:dyDescent="0.15">
      <c r="A378">
        <v>12</v>
      </c>
      <c r="B378">
        <v>2026</v>
      </c>
      <c r="C378" s="21">
        <v>46102</v>
      </c>
      <c r="D378" t="s">
        <v>19</v>
      </c>
      <c r="E378" t="s">
        <v>20</v>
      </c>
      <c r="F378" t="s">
        <v>21</v>
      </c>
      <c r="G378">
        <v>3.8</v>
      </c>
      <c r="H378" t="s">
        <v>3514</v>
      </c>
      <c r="I378" t="s">
        <v>366</v>
      </c>
      <c r="J378" s="1" t="s">
        <v>215</v>
      </c>
      <c r="K378" t="s">
        <v>181</v>
      </c>
      <c r="L378" t="s">
        <v>3340</v>
      </c>
      <c r="M378">
        <v>58</v>
      </c>
      <c r="N378">
        <v>0.49</v>
      </c>
      <c r="O378" t="s">
        <v>211</v>
      </c>
      <c r="P378">
        <v>27</v>
      </c>
      <c r="R378" t="s">
        <v>3343</v>
      </c>
      <c r="S378" t="s">
        <v>3556</v>
      </c>
      <c r="T378" t="s">
        <v>3337</v>
      </c>
      <c r="U378">
        <v>102</v>
      </c>
      <c r="V378" t="s">
        <v>3405</v>
      </c>
    </row>
    <row r="379" spans="1:22" ht="12.75" customHeight="1" x14ac:dyDescent="0.15">
      <c r="A379">
        <v>12</v>
      </c>
      <c r="B379">
        <v>2026</v>
      </c>
      <c r="C379" s="21">
        <v>46102</v>
      </c>
      <c r="D379" t="s">
        <v>19</v>
      </c>
      <c r="E379" t="s">
        <v>20</v>
      </c>
      <c r="F379" t="s">
        <v>21</v>
      </c>
      <c r="G379">
        <v>3.8</v>
      </c>
      <c r="H379" t="s">
        <v>3514</v>
      </c>
      <c r="I379" t="s">
        <v>366</v>
      </c>
      <c r="J379" s="1" t="s">
        <v>215</v>
      </c>
      <c r="K379" t="s">
        <v>181</v>
      </c>
      <c r="L379" t="s">
        <v>3340</v>
      </c>
      <c r="M379">
        <v>53</v>
      </c>
      <c r="N379">
        <v>0.49</v>
      </c>
      <c r="O379" t="s">
        <v>211</v>
      </c>
      <c r="P379">
        <v>27</v>
      </c>
      <c r="R379" t="s">
        <v>3373</v>
      </c>
      <c r="T379" t="s">
        <v>3337</v>
      </c>
      <c r="U379">
        <v>102</v>
      </c>
      <c r="V379" t="s">
        <v>3405</v>
      </c>
    </row>
    <row r="380" spans="1:22" ht="12.75" customHeight="1" x14ac:dyDescent="0.15">
      <c r="A380">
        <v>12</v>
      </c>
      <c r="B380">
        <v>2026</v>
      </c>
      <c r="C380" s="21">
        <v>46102</v>
      </c>
      <c r="D380" t="s">
        <v>19</v>
      </c>
      <c r="E380" t="s">
        <v>20</v>
      </c>
      <c r="F380" t="s">
        <v>21</v>
      </c>
      <c r="G380">
        <v>3.8</v>
      </c>
      <c r="H380" t="s">
        <v>3514</v>
      </c>
      <c r="I380" t="s">
        <v>366</v>
      </c>
      <c r="J380" s="1" t="s">
        <v>215</v>
      </c>
      <c r="K380" t="s">
        <v>181</v>
      </c>
      <c r="L380" t="s">
        <v>3340</v>
      </c>
      <c r="M380">
        <v>81</v>
      </c>
      <c r="N380">
        <v>0.49</v>
      </c>
      <c r="O380" t="s">
        <v>211</v>
      </c>
      <c r="P380">
        <v>27</v>
      </c>
      <c r="R380" t="s">
        <v>3374</v>
      </c>
      <c r="T380" t="s">
        <v>3337</v>
      </c>
      <c r="U380">
        <v>102</v>
      </c>
      <c r="V380" t="s">
        <v>3405</v>
      </c>
    </row>
    <row r="381" spans="1:22" ht="12.75" customHeight="1" x14ac:dyDescent="0.15">
      <c r="A381">
        <v>12</v>
      </c>
      <c r="B381">
        <v>2026</v>
      </c>
      <c r="C381" s="21">
        <v>46102</v>
      </c>
      <c r="D381" t="s">
        <v>19</v>
      </c>
      <c r="E381" t="s">
        <v>20</v>
      </c>
      <c r="F381" t="s">
        <v>21</v>
      </c>
      <c r="G381">
        <v>3.8</v>
      </c>
      <c r="H381" t="s">
        <v>3514</v>
      </c>
      <c r="I381" t="s">
        <v>366</v>
      </c>
      <c r="J381" s="1" t="s">
        <v>215</v>
      </c>
      <c r="K381" t="s">
        <v>181</v>
      </c>
      <c r="L381" t="s">
        <v>3340</v>
      </c>
      <c r="M381">
        <v>62</v>
      </c>
      <c r="N381">
        <v>0.49</v>
      </c>
      <c r="O381" t="s">
        <v>211</v>
      </c>
      <c r="P381">
        <v>27</v>
      </c>
      <c r="R381" t="s">
        <v>3375</v>
      </c>
      <c r="T381" t="s">
        <v>3337</v>
      </c>
      <c r="U381">
        <v>102</v>
      </c>
      <c r="V381" t="s">
        <v>3405</v>
      </c>
    </row>
    <row r="382" spans="1:22" ht="12.75" customHeight="1" x14ac:dyDescent="0.15">
      <c r="A382">
        <v>12</v>
      </c>
      <c r="B382">
        <v>2026</v>
      </c>
      <c r="C382" s="21">
        <v>46102</v>
      </c>
      <c r="D382" t="s">
        <v>19</v>
      </c>
      <c r="E382" t="s">
        <v>20</v>
      </c>
      <c r="F382" t="s">
        <v>21</v>
      </c>
      <c r="G382">
        <v>3.8</v>
      </c>
      <c r="H382" t="s">
        <v>3514</v>
      </c>
      <c r="I382" t="s">
        <v>366</v>
      </c>
      <c r="J382" s="1" t="s">
        <v>215</v>
      </c>
      <c r="K382" t="s">
        <v>181</v>
      </c>
      <c r="L382" t="s">
        <v>3340</v>
      </c>
      <c r="M382">
        <v>132</v>
      </c>
      <c r="N382">
        <v>0.49</v>
      </c>
      <c r="O382" t="s">
        <v>211</v>
      </c>
      <c r="P382">
        <v>27</v>
      </c>
      <c r="R382" t="s">
        <v>3368</v>
      </c>
      <c r="T382" t="s">
        <v>3337</v>
      </c>
      <c r="U382">
        <v>102</v>
      </c>
      <c r="V382" t="s">
        <v>3405</v>
      </c>
    </row>
    <row r="383" spans="1:22" ht="12.75" customHeight="1" x14ac:dyDescent="0.15">
      <c r="A383">
        <v>12</v>
      </c>
      <c r="B383">
        <v>2026</v>
      </c>
      <c r="C383" s="21">
        <v>46102</v>
      </c>
      <c r="D383" t="s">
        <v>19</v>
      </c>
      <c r="E383" t="s">
        <v>20</v>
      </c>
      <c r="F383" t="s">
        <v>21</v>
      </c>
      <c r="G383">
        <v>3.8</v>
      </c>
      <c r="H383" t="s">
        <v>3514</v>
      </c>
      <c r="I383" t="s">
        <v>366</v>
      </c>
      <c r="J383" s="1" t="s">
        <v>215</v>
      </c>
      <c r="K383" t="s">
        <v>181</v>
      </c>
      <c r="L383" t="s">
        <v>3340</v>
      </c>
      <c r="M383">
        <v>45</v>
      </c>
      <c r="N383">
        <v>0.49</v>
      </c>
      <c r="O383" t="s">
        <v>211</v>
      </c>
      <c r="P383">
        <v>27</v>
      </c>
      <c r="R383" t="s">
        <v>3377</v>
      </c>
      <c r="T383" t="s">
        <v>3337</v>
      </c>
      <c r="U383">
        <v>102</v>
      </c>
      <c r="V383" t="s">
        <v>3405</v>
      </c>
    </row>
    <row r="384" spans="1:22" ht="12.75" customHeight="1" x14ac:dyDescent="0.15">
      <c r="A384">
        <v>12</v>
      </c>
      <c r="B384">
        <v>2026</v>
      </c>
      <c r="C384" s="21">
        <v>46102</v>
      </c>
      <c r="D384" t="s">
        <v>53</v>
      </c>
      <c r="E384" t="s">
        <v>54</v>
      </c>
      <c r="F384" t="s">
        <v>21</v>
      </c>
      <c r="G384">
        <v>2</v>
      </c>
      <c r="H384" t="s">
        <v>3519</v>
      </c>
      <c r="I384" t="s">
        <v>214</v>
      </c>
      <c r="J384" s="1" t="s">
        <v>215</v>
      </c>
      <c r="K384" t="s">
        <v>181</v>
      </c>
      <c r="L384" t="s">
        <v>3340</v>
      </c>
      <c r="M384">
        <v>58</v>
      </c>
      <c r="N384">
        <v>0.24</v>
      </c>
      <c r="O384" t="s">
        <v>211</v>
      </c>
      <c r="P384">
        <v>13.3</v>
      </c>
      <c r="R384" t="s">
        <v>3343</v>
      </c>
      <c r="S384" t="s">
        <v>3557</v>
      </c>
      <c r="T384" t="s">
        <v>3337</v>
      </c>
      <c r="U384">
        <v>16</v>
      </c>
      <c r="V384" t="s">
        <v>3558</v>
      </c>
    </row>
    <row r="385" spans="1:22" ht="12.75" customHeight="1" x14ac:dyDescent="0.15">
      <c r="A385">
        <v>12</v>
      </c>
      <c r="B385">
        <v>2026</v>
      </c>
      <c r="C385" s="21">
        <v>46102</v>
      </c>
      <c r="D385" t="s">
        <v>53</v>
      </c>
      <c r="E385" t="s">
        <v>54</v>
      </c>
      <c r="F385" t="s">
        <v>21</v>
      </c>
      <c r="G385">
        <v>2</v>
      </c>
      <c r="H385" t="s">
        <v>3519</v>
      </c>
      <c r="I385" t="s">
        <v>214</v>
      </c>
      <c r="J385" s="1" t="s">
        <v>215</v>
      </c>
      <c r="K385" t="s">
        <v>181</v>
      </c>
      <c r="L385" t="s">
        <v>3340</v>
      </c>
      <c r="M385">
        <v>53</v>
      </c>
      <c r="N385">
        <v>0.24</v>
      </c>
      <c r="O385" t="s">
        <v>211</v>
      </c>
      <c r="P385">
        <v>13.3</v>
      </c>
      <c r="R385" t="s">
        <v>3373</v>
      </c>
      <c r="T385" t="s">
        <v>3337</v>
      </c>
      <c r="U385">
        <v>16</v>
      </c>
      <c r="V385" t="s">
        <v>3558</v>
      </c>
    </row>
    <row r="386" spans="1:22" ht="12.75" customHeight="1" x14ac:dyDescent="0.15">
      <c r="A386">
        <v>12</v>
      </c>
      <c r="B386">
        <v>2026</v>
      </c>
      <c r="C386" s="21">
        <v>46102</v>
      </c>
      <c r="D386" t="s">
        <v>53</v>
      </c>
      <c r="E386" t="s">
        <v>54</v>
      </c>
      <c r="F386" t="s">
        <v>21</v>
      </c>
      <c r="G386">
        <v>2</v>
      </c>
      <c r="H386" t="s">
        <v>3519</v>
      </c>
      <c r="I386" t="s">
        <v>214</v>
      </c>
      <c r="J386" s="1" t="s">
        <v>215</v>
      </c>
      <c r="K386" t="s">
        <v>181</v>
      </c>
      <c r="L386" t="s">
        <v>3340</v>
      </c>
      <c r="M386">
        <v>81</v>
      </c>
      <c r="N386">
        <v>0.24</v>
      </c>
      <c r="O386" t="s">
        <v>211</v>
      </c>
      <c r="P386">
        <v>13.3</v>
      </c>
      <c r="R386" t="s">
        <v>3374</v>
      </c>
      <c r="T386" t="s">
        <v>3337</v>
      </c>
      <c r="U386">
        <v>16</v>
      </c>
      <c r="V386" t="s">
        <v>3558</v>
      </c>
    </row>
    <row r="387" spans="1:22" ht="12.75" customHeight="1" x14ac:dyDescent="0.15">
      <c r="A387">
        <v>12</v>
      </c>
      <c r="B387">
        <v>2026</v>
      </c>
      <c r="C387" s="21">
        <v>46102</v>
      </c>
      <c r="D387" t="s">
        <v>53</v>
      </c>
      <c r="E387" t="s">
        <v>54</v>
      </c>
      <c r="F387" t="s">
        <v>21</v>
      </c>
      <c r="G387">
        <v>2</v>
      </c>
      <c r="H387" t="s">
        <v>3519</v>
      </c>
      <c r="I387" t="s">
        <v>214</v>
      </c>
      <c r="J387" s="1" t="s">
        <v>215</v>
      </c>
      <c r="K387" t="s">
        <v>181</v>
      </c>
      <c r="L387" t="s">
        <v>3340</v>
      </c>
      <c r="M387">
        <v>62</v>
      </c>
      <c r="N387">
        <v>0.24</v>
      </c>
      <c r="O387" t="s">
        <v>211</v>
      </c>
      <c r="P387">
        <v>13.3</v>
      </c>
      <c r="R387" t="s">
        <v>3375</v>
      </c>
      <c r="T387" t="s">
        <v>3337</v>
      </c>
      <c r="U387">
        <v>16</v>
      </c>
      <c r="V387" t="s">
        <v>3558</v>
      </c>
    </row>
    <row r="388" spans="1:22" ht="12.75" customHeight="1" x14ac:dyDescent="0.15">
      <c r="A388">
        <v>12</v>
      </c>
      <c r="B388">
        <v>2026</v>
      </c>
      <c r="C388" s="21">
        <v>46102</v>
      </c>
      <c r="D388" t="s">
        <v>53</v>
      </c>
      <c r="E388" t="s">
        <v>54</v>
      </c>
      <c r="F388" t="s">
        <v>21</v>
      </c>
      <c r="G388">
        <v>2</v>
      </c>
      <c r="H388" t="s">
        <v>3519</v>
      </c>
      <c r="I388" t="s">
        <v>214</v>
      </c>
      <c r="J388" s="1" t="s">
        <v>215</v>
      </c>
      <c r="K388" t="s">
        <v>181</v>
      </c>
      <c r="L388" t="s">
        <v>3340</v>
      </c>
      <c r="M388">
        <v>132</v>
      </c>
      <c r="N388">
        <v>0.24</v>
      </c>
      <c r="O388" t="s">
        <v>211</v>
      </c>
      <c r="P388">
        <v>13.3</v>
      </c>
      <c r="R388" t="s">
        <v>3368</v>
      </c>
      <c r="T388" t="s">
        <v>3337</v>
      </c>
      <c r="U388">
        <v>16</v>
      </c>
      <c r="V388" t="s">
        <v>3558</v>
      </c>
    </row>
    <row r="389" spans="1:22" ht="12.75" customHeight="1" x14ac:dyDescent="0.15">
      <c r="A389">
        <v>12</v>
      </c>
      <c r="B389">
        <v>2026</v>
      </c>
      <c r="C389" s="21">
        <v>46102</v>
      </c>
      <c r="D389" t="s">
        <v>53</v>
      </c>
      <c r="E389" t="s">
        <v>54</v>
      </c>
      <c r="F389" t="s">
        <v>21</v>
      </c>
      <c r="G389">
        <v>2</v>
      </c>
      <c r="H389" t="s">
        <v>3519</v>
      </c>
      <c r="I389" t="s">
        <v>214</v>
      </c>
      <c r="J389" s="1" t="s">
        <v>215</v>
      </c>
      <c r="K389" t="s">
        <v>181</v>
      </c>
      <c r="L389" t="s">
        <v>3340</v>
      </c>
      <c r="M389">
        <v>45</v>
      </c>
      <c r="N389">
        <v>0.24</v>
      </c>
      <c r="O389" t="s">
        <v>211</v>
      </c>
      <c r="P389">
        <v>13.3</v>
      </c>
      <c r="R389" t="s">
        <v>3377</v>
      </c>
      <c r="T389" t="s">
        <v>3337</v>
      </c>
      <c r="U389">
        <v>16</v>
      </c>
      <c r="V389" t="s">
        <v>3558</v>
      </c>
    </row>
    <row r="390" spans="1:22" ht="12.75" customHeight="1" x14ac:dyDescent="0.15">
      <c r="A390">
        <v>12</v>
      </c>
      <c r="B390">
        <v>2026</v>
      </c>
      <c r="C390" s="21">
        <v>46102</v>
      </c>
      <c r="D390" t="s">
        <v>53</v>
      </c>
      <c r="E390" t="s">
        <v>54</v>
      </c>
      <c r="F390" t="s">
        <v>21</v>
      </c>
      <c r="G390">
        <v>2</v>
      </c>
      <c r="H390" t="s">
        <v>3559</v>
      </c>
      <c r="I390" t="s">
        <v>344</v>
      </c>
      <c r="J390" s="1" t="s">
        <v>207</v>
      </c>
      <c r="K390" t="s">
        <v>181</v>
      </c>
      <c r="L390" t="s">
        <v>3333</v>
      </c>
      <c r="M390">
        <v>80</v>
      </c>
      <c r="N390">
        <v>0.25</v>
      </c>
      <c r="O390" t="s">
        <v>213</v>
      </c>
      <c r="P390">
        <v>22.5</v>
      </c>
      <c r="Q390">
        <v>2</v>
      </c>
      <c r="R390" t="s">
        <v>3560</v>
      </c>
      <c r="T390" t="s">
        <v>3402</v>
      </c>
      <c r="U390">
        <v>16</v>
      </c>
      <c r="V390" t="s">
        <v>3561</v>
      </c>
    </row>
    <row r="391" spans="1:22" ht="12.75" customHeight="1" x14ac:dyDescent="0.15">
      <c r="A391">
        <v>12</v>
      </c>
      <c r="B391">
        <v>2026</v>
      </c>
      <c r="C391" s="21">
        <v>46102</v>
      </c>
      <c r="D391" t="s">
        <v>89</v>
      </c>
      <c r="E391" t="s">
        <v>90</v>
      </c>
      <c r="F391" t="s">
        <v>21</v>
      </c>
      <c r="G391">
        <v>1</v>
      </c>
      <c r="H391" t="s">
        <v>3550</v>
      </c>
      <c r="I391" t="s">
        <v>3551</v>
      </c>
      <c r="J391" s="1" t="s">
        <v>3533</v>
      </c>
      <c r="K391" t="s">
        <v>181</v>
      </c>
      <c r="L391" t="s">
        <v>3481</v>
      </c>
      <c r="M391">
        <v>40</v>
      </c>
      <c r="N391">
        <v>0.13</v>
      </c>
      <c r="O391" t="s">
        <v>211</v>
      </c>
      <c r="P391">
        <v>7.38</v>
      </c>
      <c r="Q391">
        <v>0.82</v>
      </c>
      <c r="R391" t="s">
        <v>3482</v>
      </c>
      <c r="T391" t="s">
        <v>3479</v>
      </c>
      <c r="U391">
        <v>-25</v>
      </c>
      <c r="V391" t="s">
        <v>3562</v>
      </c>
    </row>
    <row r="392" spans="1:22" ht="12.75" customHeight="1" x14ac:dyDescent="0.15">
      <c r="A392">
        <v>12</v>
      </c>
      <c r="B392">
        <v>2026</v>
      </c>
      <c r="C392" s="21">
        <v>46102</v>
      </c>
      <c r="D392" t="s">
        <v>89</v>
      </c>
      <c r="E392" t="s">
        <v>90</v>
      </c>
      <c r="F392" t="s">
        <v>21</v>
      </c>
      <c r="G392">
        <v>1</v>
      </c>
      <c r="H392" t="s">
        <v>3550</v>
      </c>
      <c r="I392" t="s">
        <v>3551</v>
      </c>
      <c r="J392" s="1" t="s">
        <v>3533</v>
      </c>
      <c r="K392" t="s">
        <v>181</v>
      </c>
      <c r="L392" t="s">
        <v>3477</v>
      </c>
      <c r="M392">
        <v>3</v>
      </c>
      <c r="N392">
        <v>0.05</v>
      </c>
      <c r="O392" t="s">
        <v>3334</v>
      </c>
      <c r="P392">
        <v>3.67</v>
      </c>
      <c r="Q392">
        <v>0.36</v>
      </c>
      <c r="R392" t="s">
        <v>3478</v>
      </c>
      <c r="T392" t="s">
        <v>3479</v>
      </c>
      <c r="U392">
        <v>-25</v>
      </c>
      <c r="V392" t="s">
        <v>3544</v>
      </c>
    </row>
    <row r="393" spans="1:22" ht="12.75" customHeight="1" x14ac:dyDescent="0.15">
      <c r="A393">
        <v>12</v>
      </c>
      <c r="B393">
        <v>2026</v>
      </c>
      <c r="C393" s="21">
        <v>46102</v>
      </c>
      <c r="D393" t="s">
        <v>89</v>
      </c>
      <c r="E393" t="s">
        <v>90</v>
      </c>
      <c r="F393" t="s">
        <v>21</v>
      </c>
      <c r="G393">
        <v>1</v>
      </c>
      <c r="H393" t="s">
        <v>3563</v>
      </c>
      <c r="I393" t="s">
        <v>3553</v>
      </c>
      <c r="J393" s="1" t="s">
        <v>3533</v>
      </c>
      <c r="K393" t="s">
        <v>181</v>
      </c>
      <c r="L393" t="s">
        <v>3477</v>
      </c>
      <c r="M393">
        <v>3</v>
      </c>
      <c r="N393">
        <v>0.02</v>
      </c>
      <c r="O393" t="s">
        <v>3334</v>
      </c>
      <c r="P393">
        <v>1.84</v>
      </c>
      <c r="Q393">
        <v>0.18</v>
      </c>
      <c r="R393" t="s">
        <v>3478</v>
      </c>
      <c r="T393" t="s">
        <v>3479</v>
      </c>
      <c r="U393">
        <v>-25</v>
      </c>
      <c r="V393" t="s">
        <v>3480</v>
      </c>
    </row>
    <row r="394" spans="1:22" ht="12.75" customHeight="1" x14ac:dyDescent="0.15">
      <c r="A394">
        <v>12</v>
      </c>
      <c r="B394">
        <v>2026</v>
      </c>
      <c r="C394" s="21">
        <v>46102</v>
      </c>
      <c r="D394" t="s">
        <v>89</v>
      </c>
      <c r="E394" t="s">
        <v>90</v>
      </c>
      <c r="F394" t="s">
        <v>21</v>
      </c>
      <c r="G394">
        <v>1</v>
      </c>
      <c r="H394" t="s">
        <v>3552</v>
      </c>
      <c r="I394" t="s">
        <v>3553</v>
      </c>
      <c r="J394" s="1" t="s">
        <v>3533</v>
      </c>
      <c r="K394" t="s">
        <v>181</v>
      </c>
      <c r="L394" t="s">
        <v>3481</v>
      </c>
      <c r="M394">
        <v>40</v>
      </c>
      <c r="N394">
        <v>0.03</v>
      </c>
      <c r="O394" t="s">
        <v>211</v>
      </c>
      <c r="P394">
        <v>1.44</v>
      </c>
      <c r="Q394">
        <v>0.16</v>
      </c>
      <c r="R394" t="s">
        <v>3482</v>
      </c>
      <c r="T394" t="s">
        <v>3479</v>
      </c>
      <c r="U394">
        <v>-25</v>
      </c>
      <c r="V394" t="s">
        <v>3541</v>
      </c>
    </row>
    <row r="395" spans="1:22" ht="12.75" customHeight="1" x14ac:dyDescent="0.15">
      <c r="A395">
        <v>12</v>
      </c>
      <c r="B395">
        <v>2026</v>
      </c>
      <c r="C395" s="21">
        <v>46103</v>
      </c>
      <c r="D395" t="s">
        <v>53</v>
      </c>
      <c r="E395" t="s">
        <v>54</v>
      </c>
      <c r="F395" t="s">
        <v>21</v>
      </c>
      <c r="G395">
        <v>2</v>
      </c>
      <c r="H395" t="s">
        <v>3559</v>
      </c>
      <c r="I395" t="s">
        <v>344</v>
      </c>
      <c r="J395" s="1" t="s">
        <v>207</v>
      </c>
      <c r="K395" t="s">
        <v>181</v>
      </c>
      <c r="L395" t="s">
        <v>3340</v>
      </c>
      <c r="M395">
        <v>11</v>
      </c>
      <c r="N395">
        <v>0.98</v>
      </c>
      <c r="O395" t="s">
        <v>211</v>
      </c>
      <c r="P395">
        <v>54</v>
      </c>
      <c r="Q395">
        <v>6</v>
      </c>
      <c r="R395" t="s">
        <v>3564</v>
      </c>
      <c r="T395" t="s">
        <v>3402</v>
      </c>
      <c r="U395">
        <v>17</v>
      </c>
      <c r="V395" t="s">
        <v>273</v>
      </c>
    </row>
    <row r="396" spans="1:22" ht="12.75" customHeight="1" x14ac:dyDescent="0.15">
      <c r="A396">
        <v>12</v>
      </c>
      <c r="B396">
        <v>2026</v>
      </c>
      <c r="C396" s="21">
        <v>46104</v>
      </c>
      <c r="D396" t="s">
        <v>53</v>
      </c>
      <c r="E396" t="s">
        <v>54</v>
      </c>
      <c r="F396" t="s">
        <v>21</v>
      </c>
      <c r="G396">
        <v>1</v>
      </c>
      <c r="H396" t="s">
        <v>3565</v>
      </c>
      <c r="I396" t="s">
        <v>3566</v>
      </c>
      <c r="J396" s="1" t="s">
        <v>3389</v>
      </c>
      <c r="K396" t="s">
        <v>181</v>
      </c>
      <c r="L396" t="s">
        <v>3333</v>
      </c>
      <c r="M396">
        <v>80</v>
      </c>
      <c r="N396">
        <v>1</v>
      </c>
      <c r="O396" t="s">
        <v>213</v>
      </c>
      <c r="P396">
        <v>90</v>
      </c>
      <c r="Q396">
        <v>8</v>
      </c>
      <c r="R396" t="s">
        <v>3560</v>
      </c>
      <c r="T396" t="s">
        <v>3402</v>
      </c>
      <c r="U396">
        <v>18</v>
      </c>
      <c r="V396" t="s">
        <v>213</v>
      </c>
    </row>
    <row r="397" spans="1:22" ht="12.75" customHeight="1" x14ac:dyDescent="0.15">
      <c r="A397">
        <v>12</v>
      </c>
      <c r="B397">
        <v>2026</v>
      </c>
      <c r="C397" s="21">
        <v>46104</v>
      </c>
      <c r="D397" t="s">
        <v>89</v>
      </c>
      <c r="E397" t="s">
        <v>90</v>
      </c>
      <c r="F397" t="s">
        <v>21</v>
      </c>
      <c r="G397">
        <v>1</v>
      </c>
      <c r="H397" t="s">
        <v>3550</v>
      </c>
      <c r="I397" t="s">
        <v>3551</v>
      </c>
      <c r="J397" s="1" t="s">
        <v>3533</v>
      </c>
      <c r="K397" t="s">
        <v>181</v>
      </c>
      <c r="L397" t="s">
        <v>3477</v>
      </c>
      <c r="M397">
        <v>3</v>
      </c>
      <c r="N397">
        <v>0.05</v>
      </c>
      <c r="O397" t="s">
        <v>3334</v>
      </c>
      <c r="P397">
        <v>3.67</v>
      </c>
      <c r="Q397">
        <v>0.36</v>
      </c>
      <c r="R397" t="s">
        <v>3478</v>
      </c>
      <c r="T397" t="s">
        <v>3479</v>
      </c>
      <c r="U397">
        <v>-23</v>
      </c>
      <c r="V397" t="s">
        <v>3544</v>
      </c>
    </row>
    <row r="398" spans="1:22" ht="12.75" customHeight="1" x14ac:dyDescent="0.15">
      <c r="A398">
        <v>12</v>
      </c>
      <c r="B398">
        <v>2026</v>
      </c>
      <c r="C398" s="21">
        <v>46104</v>
      </c>
      <c r="D398" t="s">
        <v>89</v>
      </c>
      <c r="E398" t="s">
        <v>90</v>
      </c>
      <c r="F398" t="s">
        <v>21</v>
      </c>
      <c r="G398">
        <v>1</v>
      </c>
      <c r="H398" t="s">
        <v>3550</v>
      </c>
      <c r="I398" t="s">
        <v>3551</v>
      </c>
      <c r="J398" s="1" t="s">
        <v>3533</v>
      </c>
      <c r="K398" t="s">
        <v>181</v>
      </c>
      <c r="L398" t="s">
        <v>3481</v>
      </c>
      <c r="M398">
        <v>40</v>
      </c>
      <c r="N398">
        <v>0.05</v>
      </c>
      <c r="O398" t="s">
        <v>211</v>
      </c>
      <c r="P398">
        <v>2.97</v>
      </c>
      <c r="Q398">
        <v>0.33</v>
      </c>
      <c r="R398" t="s">
        <v>3482</v>
      </c>
      <c r="T398" t="s">
        <v>3479</v>
      </c>
      <c r="U398">
        <v>-23</v>
      </c>
      <c r="V398" t="s">
        <v>3543</v>
      </c>
    </row>
    <row r="399" spans="1:22" ht="12.75" customHeight="1" x14ac:dyDescent="0.15">
      <c r="A399">
        <v>12</v>
      </c>
      <c r="B399">
        <v>2026</v>
      </c>
      <c r="C399" s="21">
        <v>46105</v>
      </c>
      <c r="D399" t="s">
        <v>68</v>
      </c>
      <c r="E399" t="s">
        <v>69</v>
      </c>
      <c r="F399" t="s">
        <v>21</v>
      </c>
      <c r="G399">
        <v>1</v>
      </c>
      <c r="H399" t="s">
        <v>3567</v>
      </c>
      <c r="I399" t="s">
        <v>321</v>
      </c>
      <c r="J399" s="1" t="s">
        <v>26</v>
      </c>
      <c r="K399" t="s">
        <v>181</v>
      </c>
      <c r="L399" t="s">
        <v>3340</v>
      </c>
      <c r="M399">
        <v>86</v>
      </c>
      <c r="N399">
        <v>1.36</v>
      </c>
      <c r="O399" t="s">
        <v>211</v>
      </c>
      <c r="P399">
        <v>75</v>
      </c>
      <c r="R399" t="s">
        <v>3386</v>
      </c>
      <c r="T399" t="s">
        <v>3402</v>
      </c>
      <c r="U399">
        <v>-9</v>
      </c>
      <c r="V399" t="s">
        <v>3568</v>
      </c>
    </row>
    <row r="400" spans="1:22" ht="12.75" customHeight="1" x14ac:dyDescent="0.15">
      <c r="A400">
        <v>12</v>
      </c>
      <c r="B400">
        <v>2026</v>
      </c>
      <c r="C400" s="21">
        <v>46106</v>
      </c>
      <c r="D400" t="s">
        <v>60</v>
      </c>
      <c r="E400" t="s">
        <v>61</v>
      </c>
      <c r="F400" t="s">
        <v>21</v>
      </c>
      <c r="G400">
        <v>1.6</v>
      </c>
      <c r="H400" t="s">
        <v>3569</v>
      </c>
      <c r="I400" t="s">
        <v>3570</v>
      </c>
      <c r="J400" s="1" t="s">
        <v>26</v>
      </c>
      <c r="K400" t="s">
        <v>181</v>
      </c>
      <c r="L400" t="s">
        <v>3333</v>
      </c>
      <c r="M400">
        <v>6</v>
      </c>
      <c r="N400">
        <v>0.5</v>
      </c>
      <c r="O400" t="s">
        <v>3334</v>
      </c>
      <c r="P400">
        <v>40.79</v>
      </c>
      <c r="Q400">
        <v>4</v>
      </c>
      <c r="R400" t="s">
        <v>3335</v>
      </c>
      <c r="T400" t="s">
        <v>3337</v>
      </c>
      <c r="U400">
        <v>-2</v>
      </c>
      <c r="V400" t="s">
        <v>3500</v>
      </c>
    </row>
    <row r="401" spans="1:22" ht="12.75" customHeight="1" x14ac:dyDescent="0.15">
      <c r="A401">
        <v>12</v>
      </c>
      <c r="B401">
        <v>2026</v>
      </c>
      <c r="C401" s="21">
        <v>46107</v>
      </c>
      <c r="D401" t="s">
        <v>60</v>
      </c>
      <c r="E401" t="s">
        <v>61</v>
      </c>
      <c r="F401" t="s">
        <v>21</v>
      </c>
      <c r="G401">
        <v>1.6</v>
      </c>
      <c r="H401" t="s">
        <v>3571</v>
      </c>
      <c r="I401" t="s">
        <v>3518</v>
      </c>
      <c r="J401" s="1" t="s">
        <v>3389</v>
      </c>
      <c r="K401" t="s">
        <v>181</v>
      </c>
      <c r="L401" t="s">
        <v>3340</v>
      </c>
      <c r="M401">
        <v>58</v>
      </c>
      <c r="N401">
        <v>0.6</v>
      </c>
      <c r="O401" t="s">
        <v>211</v>
      </c>
      <c r="P401">
        <v>33</v>
      </c>
      <c r="R401" t="s">
        <v>3343</v>
      </c>
      <c r="T401" t="s">
        <v>3337</v>
      </c>
      <c r="U401">
        <v>-1</v>
      </c>
      <c r="V401" t="s">
        <v>3572</v>
      </c>
    </row>
    <row r="402" spans="1:22" ht="12.75" customHeight="1" x14ac:dyDescent="0.15">
      <c r="A402">
        <v>12</v>
      </c>
      <c r="B402">
        <v>2026</v>
      </c>
      <c r="C402" s="21">
        <v>46107</v>
      </c>
      <c r="D402" t="s">
        <v>60</v>
      </c>
      <c r="E402" t="s">
        <v>61</v>
      </c>
      <c r="F402" t="s">
        <v>21</v>
      </c>
      <c r="G402">
        <v>1.6</v>
      </c>
      <c r="H402" t="s">
        <v>3571</v>
      </c>
      <c r="I402" t="s">
        <v>3518</v>
      </c>
      <c r="J402" s="1" t="s">
        <v>3389</v>
      </c>
      <c r="K402" t="s">
        <v>181</v>
      </c>
      <c r="L402" t="s">
        <v>3340</v>
      </c>
      <c r="M402">
        <v>45</v>
      </c>
      <c r="N402">
        <v>0.6</v>
      </c>
      <c r="O402" t="s">
        <v>211</v>
      </c>
      <c r="P402">
        <v>33</v>
      </c>
      <c r="R402" t="s">
        <v>3377</v>
      </c>
      <c r="T402" t="s">
        <v>3337</v>
      </c>
      <c r="U402">
        <v>-1</v>
      </c>
      <c r="V402" t="s">
        <v>3572</v>
      </c>
    </row>
    <row r="403" spans="1:22" ht="12.75" customHeight="1" x14ac:dyDescent="0.15">
      <c r="A403">
        <v>12</v>
      </c>
      <c r="B403">
        <v>2026</v>
      </c>
      <c r="C403" s="21">
        <v>46107</v>
      </c>
      <c r="D403" t="s">
        <v>60</v>
      </c>
      <c r="E403" t="s">
        <v>61</v>
      </c>
      <c r="F403" t="s">
        <v>21</v>
      </c>
      <c r="G403">
        <v>1.6</v>
      </c>
      <c r="H403" t="s">
        <v>3571</v>
      </c>
      <c r="I403" t="s">
        <v>3518</v>
      </c>
      <c r="J403" s="1" t="s">
        <v>3389</v>
      </c>
      <c r="K403" t="s">
        <v>181</v>
      </c>
      <c r="L403" t="s">
        <v>3340</v>
      </c>
      <c r="M403">
        <v>81</v>
      </c>
      <c r="N403">
        <v>0.6</v>
      </c>
      <c r="O403" t="s">
        <v>211</v>
      </c>
      <c r="P403">
        <v>33</v>
      </c>
      <c r="R403" t="s">
        <v>3374</v>
      </c>
      <c r="T403" t="s">
        <v>3337</v>
      </c>
      <c r="U403">
        <v>-1</v>
      </c>
      <c r="V403" t="s">
        <v>3572</v>
      </c>
    </row>
    <row r="404" spans="1:22" ht="12.75" customHeight="1" x14ac:dyDescent="0.15">
      <c r="A404">
        <v>12</v>
      </c>
      <c r="B404">
        <v>2026</v>
      </c>
      <c r="C404" s="21">
        <v>46107</v>
      </c>
      <c r="D404" t="s">
        <v>60</v>
      </c>
      <c r="E404" t="s">
        <v>61</v>
      </c>
      <c r="F404" t="s">
        <v>21</v>
      </c>
      <c r="G404">
        <v>1.6</v>
      </c>
      <c r="H404" t="s">
        <v>3571</v>
      </c>
      <c r="I404" t="s">
        <v>3518</v>
      </c>
      <c r="J404" s="1" t="s">
        <v>3389</v>
      </c>
      <c r="K404" t="s">
        <v>181</v>
      </c>
      <c r="L404" t="s">
        <v>3340</v>
      </c>
      <c r="M404">
        <v>62</v>
      </c>
      <c r="N404">
        <v>0.6</v>
      </c>
      <c r="O404" t="s">
        <v>211</v>
      </c>
      <c r="P404">
        <v>33</v>
      </c>
      <c r="R404" t="s">
        <v>3375</v>
      </c>
      <c r="T404" t="s">
        <v>3337</v>
      </c>
      <c r="U404">
        <v>-1</v>
      </c>
      <c r="V404" t="s">
        <v>3572</v>
      </c>
    </row>
    <row r="405" spans="1:22" ht="12.75" customHeight="1" x14ac:dyDescent="0.15">
      <c r="A405">
        <v>12</v>
      </c>
      <c r="B405">
        <v>2026</v>
      </c>
      <c r="C405" s="21">
        <v>46107</v>
      </c>
      <c r="D405" t="s">
        <v>60</v>
      </c>
      <c r="E405" t="s">
        <v>61</v>
      </c>
      <c r="F405" t="s">
        <v>21</v>
      </c>
      <c r="G405">
        <v>1.6</v>
      </c>
      <c r="H405" t="s">
        <v>3571</v>
      </c>
      <c r="I405" t="s">
        <v>3518</v>
      </c>
      <c r="J405" s="1" t="s">
        <v>3389</v>
      </c>
      <c r="K405" t="s">
        <v>181</v>
      </c>
      <c r="L405" t="s">
        <v>3340</v>
      </c>
      <c r="M405">
        <v>53</v>
      </c>
      <c r="N405">
        <v>0.6</v>
      </c>
      <c r="O405" t="s">
        <v>211</v>
      </c>
      <c r="P405">
        <v>33</v>
      </c>
      <c r="R405" t="s">
        <v>3373</v>
      </c>
      <c r="T405" t="s">
        <v>3337</v>
      </c>
      <c r="U405">
        <v>-1</v>
      </c>
      <c r="V405" t="s">
        <v>3572</v>
      </c>
    </row>
    <row r="406" spans="1:22" ht="12.75" customHeight="1" x14ac:dyDescent="0.15">
      <c r="A406">
        <v>12</v>
      </c>
      <c r="B406">
        <v>2026</v>
      </c>
      <c r="C406" s="21">
        <v>46107</v>
      </c>
      <c r="D406" t="s">
        <v>60</v>
      </c>
      <c r="E406" t="s">
        <v>61</v>
      </c>
      <c r="F406" t="s">
        <v>21</v>
      </c>
      <c r="G406">
        <v>1.6</v>
      </c>
      <c r="H406" t="s">
        <v>3453</v>
      </c>
      <c r="I406" t="s">
        <v>187</v>
      </c>
      <c r="J406" s="1" t="s">
        <v>188</v>
      </c>
      <c r="K406" t="s">
        <v>181</v>
      </c>
      <c r="L406" t="s">
        <v>3333</v>
      </c>
      <c r="M406">
        <v>1</v>
      </c>
      <c r="N406">
        <v>1</v>
      </c>
      <c r="O406" t="s">
        <v>3358</v>
      </c>
      <c r="P406">
        <v>71.86</v>
      </c>
      <c r="Q406">
        <v>8</v>
      </c>
      <c r="R406" t="s">
        <v>3359</v>
      </c>
      <c r="T406" t="s">
        <v>3337</v>
      </c>
      <c r="U406">
        <v>-1</v>
      </c>
      <c r="V406" t="s">
        <v>3573</v>
      </c>
    </row>
    <row r="407" spans="1:22" ht="12.75" customHeight="1" x14ac:dyDescent="0.15">
      <c r="A407">
        <v>12</v>
      </c>
      <c r="B407">
        <v>2026</v>
      </c>
      <c r="C407" s="21">
        <v>46107</v>
      </c>
      <c r="D407" t="s">
        <v>60</v>
      </c>
      <c r="E407" t="s">
        <v>61</v>
      </c>
      <c r="F407" t="s">
        <v>21</v>
      </c>
      <c r="G407">
        <v>1.6</v>
      </c>
      <c r="H407" t="s">
        <v>3453</v>
      </c>
      <c r="I407" t="s">
        <v>187</v>
      </c>
      <c r="J407" s="1" t="s">
        <v>188</v>
      </c>
      <c r="K407" t="s">
        <v>181</v>
      </c>
      <c r="L407" t="s">
        <v>3333</v>
      </c>
      <c r="M407">
        <v>6</v>
      </c>
      <c r="N407">
        <v>1</v>
      </c>
      <c r="O407" t="s">
        <v>3334</v>
      </c>
      <c r="P407">
        <v>81.58</v>
      </c>
      <c r="Q407">
        <v>8</v>
      </c>
      <c r="R407" t="s">
        <v>3335</v>
      </c>
      <c r="T407" t="s">
        <v>3337</v>
      </c>
      <c r="U407">
        <v>-1</v>
      </c>
      <c r="V407" t="s">
        <v>3574</v>
      </c>
    </row>
    <row r="408" spans="1:22" ht="12.75" customHeight="1" x14ac:dyDescent="0.15">
      <c r="A408">
        <v>12</v>
      </c>
      <c r="B408">
        <v>2026</v>
      </c>
      <c r="C408" s="21">
        <v>46107</v>
      </c>
      <c r="D408" t="s">
        <v>68</v>
      </c>
      <c r="E408" t="s">
        <v>69</v>
      </c>
      <c r="F408" t="s">
        <v>21</v>
      </c>
      <c r="G408">
        <v>1</v>
      </c>
      <c r="H408" t="s">
        <v>3567</v>
      </c>
      <c r="I408" t="s">
        <v>321</v>
      </c>
      <c r="J408" s="1" t="s">
        <v>26</v>
      </c>
      <c r="K408" t="s">
        <v>181</v>
      </c>
      <c r="L408" t="s">
        <v>3333</v>
      </c>
      <c r="M408">
        <v>11</v>
      </c>
      <c r="N408">
        <v>0.38</v>
      </c>
      <c r="O408" t="s">
        <v>213</v>
      </c>
      <c r="P408">
        <v>33.75</v>
      </c>
      <c r="Q408">
        <v>3</v>
      </c>
      <c r="R408" t="s">
        <v>3564</v>
      </c>
      <c r="T408" t="s">
        <v>3402</v>
      </c>
      <c r="U408">
        <v>-7</v>
      </c>
      <c r="V408" t="s">
        <v>3575</v>
      </c>
    </row>
    <row r="409" spans="1:22" ht="12.75" customHeight="1" x14ac:dyDescent="0.15">
      <c r="A409">
        <v>12</v>
      </c>
      <c r="B409">
        <v>2026</v>
      </c>
      <c r="C409" s="21">
        <v>46107</v>
      </c>
      <c r="D409" t="s">
        <v>68</v>
      </c>
      <c r="E409" t="s">
        <v>69</v>
      </c>
      <c r="F409" t="s">
        <v>21</v>
      </c>
      <c r="G409">
        <v>1</v>
      </c>
      <c r="H409" t="s">
        <v>3576</v>
      </c>
      <c r="I409" t="s">
        <v>328</v>
      </c>
      <c r="J409" s="1" t="s">
        <v>26</v>
      </c>
      <c r="K409" t="s">
        <v>181</v>
      </c>
      <c r="L409" t="s">
        <v>3340</v>
      </c>
      <c r="M409">
        <v>80</v>
      </c>
      <c r="N409">
        <v>0.65</v>
      </c>
      <c r="O409" t="s">
        <v>211</v>
      </c>
      <c r="P409">
        <v>36</v>
      </c>
      <c r="Q409">
        <v>4</v>
      </c>
      <c r="R409" t="s">
        <v>3560</v>
      </c>
      <c r="T409" t="s">
        <v>3402</v>
      </c>
      <c r="U409">
        <v>-7</v>
      </c>
      <c r="V409" t="s">
        <v>3507</v>
      </c>
    </row>
    <row r="410" spans="1:22" ht="12.75" customHeight="1" x14ac:dyDescent="0.15">
      <c r="A410">
        <v>13</v>
      </c>
      <c r="B410">
        <v>2026</v>
      </c>
      <c r="C410" s="21">
        <v>46108</v>
      </c>
      <c r="D410" t="s">
        <v>19</v>
      </c>
      <c r="E410" t="s">
        <v>20</v>
      </c>
      <c r="F410" t="s">
        <v>21</v>
      </c>
      <c r="G410">
        <v>3.8</v>
      </c>
      <c r="H410" t="s">
        <v>3514</v>
      </c>
      <c r="I410" t="s">
        <v>366</v>
      </c>
      <c r="J410" s="1" t="s">
        <v>215</v>
      </c>
      <c r="K410" t="s">
        <v>181</v>
      </c>
      <c r="L410" t="s">
        <v>3340</v>
      </c>
      <c r="M410">
        <v>58</v>
      </c>
      <c r="N410">
        <v>1.54</v>
      </c>
      <c r="O410" t="s">
        <v>211</v>
      </c>
      <c r="P410">
        <v>84.5</v>
      </c>
      <c r="R410" t="s">
        <v>3343</v>
      </c>
      <c r="S410" t="s">
        <v>3577</v>
      </c>
      <c r="T410" t="s">
        <v>3337</v>
      </c>
      <c r="U410">
        <v>108</v>
      </c>
      <c r="V410" t="s">
        <v>3578</v>
      </c>
    </row>
    <row r="411" spans="1:22" ht="12.75" customHeight="1" x14ac:dyDescent="0.15">
      <c r="A411">
        <v>13</v>
      </c>
      <c r="B411">
        <v>2026</v>
      </c>
      <c r="C411" s="21">
        <v>46108</v>
      </c>
      <c r="D411" t="s">
        <v>19</v>
      </c>
      <c r="E411" t="s">
        <v>20</v>
      </c>
      <c r="F411" t="s">
        <v>21</v>
      </c>
      <c r="G411">
        <v>3.8</v>
      </c>
      <c r="H411" t="s">
        <v>3514</v>
      </c>
      <c r="I411" t="s">
        <v>366</v>
      </c>
      <c r="J411" s="1" t="s">
        <v>215</v>
      </c>
      <c r="K411" t="s">
        <v>181</v>
      </c>
      <c r="L411" t="s">
        <v>3340</v>
      </c>
      <c r="M411">
        <v>45</v>
      </c>
      <c r="N411">
        <v>1.54</v>
      </c>
      <c r="O411" t="s">
        <v>211</v>
      </c>
      <c r="P411">
        <v>84.5</v>
      </c>
      <c r="R411" t="s">
        <v>3377</v>
      </c>
      <c r="T411" t="s">
        <v>3337</v>
      </c>
      <c r="U411">
        <v>108</v>
      </c>
      <c r="V411" t="s">
        <v>3578</v>
      </c>
    </row>
    <row r="412" spans="1:22" ht="12.75" customHeight="1" x14ac:dyDescent="0.15">
      <c r="A412">
        <v>13</v>
      </c>
      <c r="B412">
        <v>2026</v>
      </c>
      <c r="C412" s="21">
        <v>46108</v>
      </c>
      <c r="D412" t="s">
        <v>19</v>
      </c>
      <c r="E412" t="s">
        <v>20</v>
      </c>
      <c r="F412" t="s">
        <v>21</v>
      </c>
      <c r="G412">
        <v>3.8</v>
      </c>
      <c r="H412" t="s">
        <v>3514</v>
      </c>
      <c r="I412" t="s">
        <v>366</v>
      </c>
      <c r="J412" s="1" t="s">
        <v>215</v>
      </c>
      <c r="K412" t="s">
        <v>181</v>
      </c>
      <c r="L412" t="s">
        <v>3340</v>
      </c>
      <c r="M412">
        <v>81</v>
      </c>
      <c r="N412">
        <v>1.54</v>
      </c>
      <c r="O412" t="s">
        <v>211</v>
      </c>
      <c r="P412">
        <v>84.5</v>
      </c>
      <c r="R412" t="s">
        <v>3374</v>
      </c>
      <c r="T412" t="s">
        <v>3337</v>
      </c>
      <c r="U412">
        <v>108</v>
      </c>
      <c r="V412" t="s">
        <v>3578</v>
      </c>
    </row>
    <row r="413" spans="1:22" ht="12.75" customHeight="1" x14ac:dyDescent="0.15">
      <c r="A413">
        <v>13</v>
      </c>
      <c r="B413">
        <v>2026</v>
      </c>
      <c r="C413" s="21">
        <v>46108</v>
      </c>
      <c r="D413" t="s">
        <v>19</v>
      </c>
      <c r="E413" t="s">
        <v>20</v>
      </c>
      <c r="F413" t="s">
        <v>21</v>
      </c>
      <c r="G413">
        <v>3.8</v>
      </c>
      <c r="H413" t="s">
        <v>3514</v>
      </c>
      <c r="I413" t="s">
        <v>366</v>
      </c>
      <c r="J413" s="1" t="s">
        <v>215</v>
      </c>
      <c r="K413" t="s">
        <v>181</v>
      </c>
      <c r="L413" t="s">
        <v>3340</v>
      </c>
      <c r="M413">
        <v>62</v>
      </c>
      <c r="N413">
        <v>1.54</v>
      </c>
      <c r="O413" t="s">
        <v>211</v>
      </c>
      <c r="P413">
        <v>84.5</v>
      </c>
      <c r="R413" t="s">
        <v>3375</v>
      </c>
      <c r="T413" t="s">
        <v>3337</v>
      </c>
      <c r="U413">
        <v>108</v>
      </c>
      <c r="V413" t="s">
        <v>3578</v>
      </c>
    </row>
    <row r="414" spans="1:22" ht="12.75" customHeight="1" x14ac:dyDescent="0.15">
      <c r="A414">
        <v>13</v>
      </c>
      <c r="B414">
        <v>2026</v>
      </c>
      <c r="C414" s="21">
        <v>46108</v>
      </c>
      <c r="D414" t="s">
        <v>19</v>
      </c>
      <c r="E414" t="s">
        <v>20</v>
      </c>
      <c r="F414" t="s">
        <v>21</v>
      </c>
      <c r="G414">
        <v>3.8</v>
      </c>
      <c r="H414" t="s">
        <v>3514</v>
      </c>
      <c r="I414" t="s">
        <v>366</v>
      </c>
      <c r="J414" s="1" t="s">
        <v>215</v>
      </c>
      <c r="K414" t="s">
        <v>181</v>
      </c>
      <c r="L414" t="s">
        <v>3340</v>
      </c>
      <c r="M414">
        <v>53</v>
      </c>
      <c r="N414">
        <v>1.54</v>
      </c>
      <c r="O414" t="s">
        <v>211</v>
      </c>
      <c r="P414">
        <v>84.5</v>
      </c>
      <c r="R414" t="s">
        <v>3373</v>
      </c>
      <c r="T414" t="s">
        <v>3337</v>
      </c>
      <c r="U414">
        <v>108</v>
      </c>
      <c r="V414" t="s">
        <v>3578</v>
      </c>
    </row>
    <row r="415" spans="1:22" ht="12.75" customHeight="1" x14ac:dyDescent="0.15">
      <c r="A415">
        <v>13</v>
      </c>
      <c r="B415">
        <v>2026</v>
      </c>
      <c r="C415" s="21">
        <v>46108</v>
      </c>
      <c r="D415" t="s">
        <v>53</v>
      </c>
      <c r="E415" t="s">
        <v>54</v>
      </c>
      <c r="F415" t="s">
        <v>21</v>
      </c>
      <c r="G415">
        <v>2</v>
      </c>
      <c r="H415" t="s">
        <v>3514</v>
      </c>
      <c r="I415" t="s">
        <v>366</v>
      </c>
      <c r="J415" s="1" t="s">
        <v>215</v>
      </c>
      <c r="K415" t="s">
        <v>181</v>
      </c>
      <c r="L415" t="s">
        <v>3340</v>
      </c>
      <c r="M415">
        <v>58</v>
      </c>
      <c r="N415">
        <v>0.71</v>
      </c>
      <c r="O415" t="s">
        <v>211</v>
      </c>
      <c r="P415">
        <v>39</v>
      </c>
      <c r="R415" t="s">
        <v>3343</v>
      </c>
      <c r="S415" t="s">
        <v>3579</v>
      </c>
      <c r="T415" t="s">
        <v>3337</v>
      </c>
      <c r="U415">
        <v>22</v>
      </c>
      <c r="V415" t="s">
        <v>3580</v>
      </c>
    </row>
    <row r="416" spans="1:22" ht="12.75" customHeight="1" x14ac:dyDescent="0.15">
      <c r="A416">
        <v>13</v>
      </c>
      <c r="B416">
        <v>2026</v>
      </c>
      <c r="C416" s="21">
        <v>46108</v>
      </c>
      <c r="D416" t="s">
        <v>53</v>
      </c>
      <c r="E416" t="s">
        <v>54</v>
      </c>
      <c r="F416" t="s">
        <v>21</v>
      </c>
      <c r="G416">
        <v>2</v>
      </c>
      <c r="H416" t="s">
        <v>3514</v>
      </c>
      <c r="I416" t="s">
        <v>366</v>
      </c>
      <c r="J416" s="1" t="s">
        <v>215</v>
      </c>
      <c r="K416" t="s">
        <v>181</v>
      </c>
      <c r="L416" t="s">
        <v>3340</v>
      </c>
      <c r="M416">
        <v>45</v>
      </c>
      <c r="N416">
        <v>0.71</v>
      </c>
      <c r="O416" t="s">
        <v>211</v>
      </c>
      <c r="P416">
        <v>39</v>
      </c>
      <c r="R416" t="s">
        <v>3377</v>
      </c>
      <c r="T416" t="s">
        <v>3337</v>
      </c>
      <c r="U416">
        <v>22</v>
      </c>
      <c r="V416" t="s">
        <v>3580</v>
      </c>
    </row>
    <row r="417" spans="1:22" ht="12.75" customHeight="1" x14ac:dyDescent="0.15">
      <c r="A417">
        <v>13</v>
      </c>
      <c r="B417">
        <v>2026</v>
      </c>
      <c r="C417" s="21">
        <v>46108</v>
      </c>
      <c r="D417" t="s">
        <v>53</v>
      </c>
      <c r="E417" t="s">
        <v>54</v>
      </c>
      <c r="F417" t="s">
        <v>21</v>
      </c>
      <c r="G417">
        <v>2</v>
      </c>
      <c r="H417" t="s">
        <v>3514</v>
      </c>
      <c r="I417" t="s">
        <v>366</v>
      </c>
      <c r="J417" s="1" t="s">
        <v>215</v>
      </c>
      <c r="K417" t="s">
        <v>181</v>
      </c>
      <c r="L417" t="s">
        <v>3340</v>
      </c>
      <c r="M417">
        <v>81</v>
      </c>
      <c r="N417">
        <v>0.71</v>
      </c>
      <c r="O417" t="s">
        <v>211</v>
      </c>
      <c r="P417">
        <v>39</v>
      </c>
      <c r="R417" t="s">
        <v>3374</v>
      </c>
      <c r="T417" t="s">
        <v>3337</v>
      </c>
      <c r="U417">
        <v>22</v>
      </c>
      <c r="V417" t="s">
        <v>3580</v>
      </c>
    </row>
    <row r="418" spans="1:22" ht="12.75" customHeight="1" x14ac:dyDescent="0.15">
      <c r="A418">
        <v>13</v>
      </c>
      <c r="B418">
        <v>2026</v>
      </c>
      <c r="C418" s="21">
        <v>46108</v>
      </c>
      <c r="D418" t="s">
        <v>53</v>
      </c>
      <c r="E418" t="s">
        <v>54</v>
      </c>
      <c r="F418" t="s">
        <v>21</v>
      </c>
      <c r="G418">
        <v>2</v>
      </c>
      <c r="H418" t="s">
        <v>3514</v>
      </c>
      <c r="I418" t="s">
        <v>366</v>
      </c>
      <c r="J418" s="1" t="s">
        <v>215</v>
      </c>
      <c r="K418" t="s">
        <v>181</v>
      </c>
      <c r="L418" t="s">
        <v>3340</v>
      </c>
      <c r="M418">
        <v>62</v>
      </c>
      <c r="N418">
        <v>0.71</v>
      </c>
      <c r="O418" t="s">
        <v>211</v>
      </c>
      <c r="P418">
        <v>39</v>
      </c>
      <c r="R418" t="s">
        <v>3375</v>
      </c>
      <c r="T418" t="s">
        <v>3337</v>
      </c>
      <c r="U418">
        <v>22</v>
      </c>
      <c r="V418" t="s">
        <v>3580</v>
      </c>
    </row>
    <row r="419" spans="1:22" ht="12.75" customHeight="1" x14ac:dyDescent="0.15">
      <c r="A419">
        <v>13</v>
      </c>
      <c r="B419">
        <v>2026</v>
      </c>
      <c r="C419" s="21">
        <v>46108</v>
      </c>
      <c r="D419" t="s">
        <v>53</v>
      </c>
      <c r="E419" t="s">
        <v>54</v>
      </c>
      <c r="F419" t="s">
        <v>21</v>
      </c>
      <c r="G419">
        <v>2</v>
      </c>
      <c r="H419" t="s">
        <v>3514</v>
      </c>
      <c r="I419" t="s">
        <v>366</v>
      </c>
      <c r="J419" s="1" t="s">
        <v>215</v>
      </c>
      <c r="K419" t="s">
        <v>181</v>
      </c>
      <c r="L419" t="s">
        <v>3340</v>
      </c>
      <c r="M419">
        <v>53</v>
      </c>
      <c r="N419">
        <v>0.71</v>
      </c>
      <c r="O419" t="s">
        <v>211</v>
      </c>
      <c r="P419">
        <v>39</v>
      </c>
      <c r="R419" t="s">
        <v>3373</v>
      </c>
      <c r="T419" t="s">
        <v>3337</v>
      </c>
      <c r="U419">
        <v>22</v>
      </c>
      <c r="V419" t="s">
        <v>3580</v>
      </c>
    </row>
    <row r="420" spans="1:22" ht="12.75" customHeight="1" x14ac:dyDescent="0.15">
      <c r="A420">
        <v>13</v>
      </c>
      <c r="B420">
        <v>2026</v>
      </c>
      <c r="C420" s="21">
        <v>46108</v>
      </c>
      <c r="D420" t="s">
        <v>60</v>
      </c>
      <c r="E420" t="s">
        <v>61</v>
      </c>
      <c r="F420" t="s">
        <v>21</v>
      </c>
      <c r="G420">
        <v>1.6</v>
      </c>
      <c r="H420" t="s">
        <v>3453</v>
      </c>
      <c r="I420" t="s">
        <v>187</v>
      </c>
      <c r="J420" s="1" t="s">
        <v>188</v>
      </c>
      <c r="K420" t="s">
        <v>181</v>
      </c>
      <c r="L420" t="s">
        <v>3333</v>
      </c>
      <c r="M420">
        <v>6</v>
      </c>
      <c r="N420">
        <v>0.25</v>
      </c>
      <c r="O420" t="s">
        <v>3334</v>
      </c>
      <c r="P420">
        <v>20.399999999999999</v>
      </c>
      <c r="Q420">
        <v>2</v>
      </c>
      <c r="R420" t="s">
        <v>3335</v>
      </c>
      <c r="T420" t="s">
        <v>3337</v>
      </c>
      <c r="U420">
        <v>0</v>
      </c>
      <c r="V420" t="s">
        <v>3581</v>
      </c>
    </row>
    <row r="421" spans="1:22" ht="12.75" customHeight="1" x14ac:dyDescent="0.15">
      <c r="A421">
        <v>13</v>
      </c>
      <c r="B421">
        <v>2026</v>
      </c>
      <c r="C421" s="21">
        <v>46108</v>
      </c>
      <c r="D421" t="s">
        <v>60</v>
      </c>
      <c r="E421" t="s">
        <v>61</v>
      </c>
      <c r="F421" t="s">
        <v>21</v>
      </c>
      <c r="G421">
        <v>1.6</v>
      </c>
      <c r="H421" t="s">
        <v>3490</v>
      </c>
      <c r="I421" t="s">
        <v>382</v>
      </c>
      <c r="J421" s="1" t="s">
        <v>188</v>
      </c>
      <c r="K421" t="s">
        <v>181</v>
      </c>
      <c r="L421" t="s">
        <v>3333</v>
      </c>
      <c r="M421">
        <v>6</v>
      </c>
      <c r="N421">
        <v>0.38</v>
      </c>
      <c r="O421" t="s">
        <v>3334</v>
      </c>
      <c r="P421">
        <v>30.59</v>
      </c>
      <c r="Q421">
        <v>3</v>
      </c>
      <c r="R421" t="s">
        <v>3335</v>
      </c>
      <c r="T421" t="s">
        <v>3337</v>
      </c>
      <c r="U421">
        <v>0</v>
      </c>
      <c r="V421" t="s">
        <v>3582</v>
      </c>
    </row>
    <row r="422" spans="1:22" ht="12.75" customHeight="1" x14ac:dyDescent="0.15">
      <c r="A422">
        <v>13</v>
      </c>
      <c r="B422">
        <v>2026</v>
      </c>
      <c r="C422" s="21">
        <v>46108</v>
      </c>
      <c r="D422" t="s">
        <v>60</v>
      </c>
      <c r="E422" t="s">
        <v>61</v>
      </c>
      <c r="F422" t="s">
        <v>21</v>
      </c>
      <c r="G422">
        <v>1.6</v>
      </c>
      <c r="H422" t="s">
        <v>3453</v>
      </c>
      <c r="I422" t="s">
        <v>187</v>
      </c>
      <c r="J422" s="1" t="s">
        <v>188</v>
      </c>
      <c r="K422" t="s">
        <v>181</v>
      </c>
      <c r="L422" t="s">
        <v>3333</v>
      </c>
      <c r="M422">
        <v>1</v>
      </c>
      <c r="N422">
        <v>0.63</v>
      </c>
      <c r="O422" t="s">
        <v>3358</v>
      </c>
      <c r="P422">
        <v>44.91</v>
      </c>
      <c r="Q422">
        <v>5</v>
      </c>
      <c r="R422" t="s">
        <v>3359</v>
      </c>
      <c r="T422" t="s">
        <v>3337</v>
      </c>
      <c r="U422">
        <v>0</v>
      </c>
      <c r="V422" t="s">
        <v>3583</v>
      </c>
    </row>
    <row r="423" spans="1:22" ht="12.75" customHeight="1" x14ac:dyDescent="0.15">
      <c r="A423">
        <v>13</v>
      </c>
      <c r="B423">
        <v>2026</v>
      </c>
      <c r="C423" s="21">
        <v>46108</v>
      </c>
      <c r="D423" t="s">
        <v>60</v>
      </c>
      <c r="E423" t="s">
        <v>61</v>
      </c>
      <c r="F423" t="s">
        <v>21</v>
      </c>
      <c r="G423">
        <v>1.6</v>
      </c>
      <c r="H423" t="s">
        <v>3490</v>
      </c>
      <c r="I423" t="s">
        <v>382</v>
      </c>
      <c r="J423" s="1" t="s">
        <v>188</v>
      </c>
      <c r="K423" t="s">
        <v>181</v>
      </c>
      <c r="L423" t="s">
        <v>3333</v>
      </c>
      <c r="M423">
        <v>1</v>
      </c>
      <c r="N423">
        <v>0.38</v>
      </c>
      <c r="O423" t="s">
        <v>3358</v>
      </c>
      <c r="P423">
        <v>26.95</v>
      </c>
      <c r="Q423">
        <v>3</v>
      </c>
      <c r="R423" t="s">
        <v>3359</v>
      </c>
      <c r="T423" t="s">
        <v>3337</v>
      </c>
      <c r="U423">
        <v>0</v>
      </c>
      <c r="V423" t="s">
        <v>3584</v>
      </c>
    </row>
    <row r="424" spans="1:22" ht="12.75" customHeight="1" x14ac:dyDescent="0.15">
      <c r="A424">
        <v>13</v>
      </c>
      <c r="B424">
        <v>2026</v>
      </c>
      <c r="C424" s="21">
        <v>46108</v>
      </c>
      <c r="D424" t="s">
        <v>47</v>
      </c>
      <c r="E424" t="s">
        <v>48</v>
      </c>
      <c r="F424" t="s">
        <v>21</v>
      </c>
      <c r="G424">
        <v>2</v>
      </c>
      <c r="H424" t="s">
        <v>3400</v>
      </c>
      <c r="I424" t="s">
        <v>353</v>
      </c>
      <c r="J424" s="1" t="s">
        <v>253</v>
      </c>
      <c r="K424" t="s">
        <v>181</v>
      </c>
      <c r="L424" t="s">
        <v>3333</v>
      </c>
      <c r="M424">
        <v>67</v>
      </c>
      <c r="N424">
        <v>0.13</v>
      </c>
      <c r="O424" t="s">
        <v>3334</v>
      </c>
      <c r="P424">
        <v>10.199999999999999</v>
      </c>
      <c r="Q424">
        <v>1</v>
      </c>
      <c r="R424" t="s">
        <v>3404</v>
      </c>
      <c r="T424" t="s">
        <v>3402</v>
      </c>
      <c r="U424">
        <v>36</v>
      </c>
      <c r="V424" t="s">
        <v>3463</v>
      </c>
    </row>
    <row r="425" spans="1:22" ht="12.75" customHeight="1" x14ac:dyDescent="0.15">
      <c r="A425">
        <v>13</v>
      </c>
      <c r="B425">
        <v>2026</v>
      </c>
      <c r="C425" s="21">
        <v>46108</v>
      </c>
      <c r="D425" t="s">
        <v>47</v>
      </c>
      <c r="E425" t="s">
        <v>48</v>
      </c>
      <c r="F425" t="s">
        <v>21</v>
      </c>
      <c r="G425">
        <v>2</v>
      </c>
      <c r="H425" t="s">
        <v>3400</v>
      </c>
      <c r="I425" t="s">
        <v>353</v>
      </c>
      <c r="J425" s="1" t="s">
        <v>253</v>
      </c>
      <c r="K425" t="s">
        <v>181</v>
      </c>
      <c r="L425" t="s">
        <v>3333</v>
      </c>
      <c r="M425">
        <v>91</v>
      </c>
      <c r="N425">
        <v>0.13</v>
      </c>
      <c r="O425" t="s">
        <v>3334</v>
      </c>
      <c r="P425">
        <v>10.199999999999999</v>
      </c>
      <c r="Q425">
        <v>1</v>
      </c>
      <c r="R425" t="s">
        <v>3412</v>
      </c>
      <c r="T425" t="s">
        <v>3402</v>
      </c>
      <c r="U425">
        <v>36</v>
      </c>
      <c r="V425" t="s">
        <v>3463</v>
      </c>
    </row>
    <row r="426" spans="1:22" ht="12.75" customHeight="1" x14ac:dyDescent="0.15">
      <c r="A426">
        <v>13</v>
      </c>
      <c r="B426">
        <v>2026</v>
      </c>
      <c r="C426" s="21">
        <v>46108</v>
      </c>
      <c r="D426" t="s">
        <v>47</v>
      </c>
      <c r="E426" t="s">
        <v>48</v>
      </c>
      <c r="F426" t="s">
        <v>21</v>
      </c>
      <c r="G426">
        <v>2</v>
      </c>
      <c r="H426" t="s">
        <v>3400</v>
      </c>
      <c r="I426" t="s">
        <v>353</v>
      </c>
      <c r="J426" s="1" t="s">
        <v>253</v>
      </c>
      <c r="K426" t="s">
        <v>181</v>
      </c>
      <c r="L426" t="s">
        <v>3333</v>
      </c>
      <c r="M426">
        <v>19</v>
      </c>
      <c r="N426">
        <v>0.13</v>
      </c>
      <c r="O426" t="s">
        <v>3334</v>
      </c>
      <c r="P426">
        <v>10.199999999999999</v>
      </c>
      <c r="Q426">
        <v>1</v>
      </c>
      <c r="R426" t="s">
        <v>3403</v>
      </c>
      <c r="T426" t="s">
        <v>3402</v>
      </c>
      <c r="U426">
        <v>36</v>
      </c>
      <c r="V426" t="s">
        <v>3463</v>
      </c>
    </row>
    <row r="427" spans="1:22" ht="12.75" customHeight="1" x14ac:dyDescent="0.15">
      <c r="A427">
        <v>13</v>
      </c>
      <c r="B427">
        <v>2026</v>
      </c>
      <c r="C427" s="21">
        <v>46108</v>
      </c>
      <c r="D427" t="s">
        <v>47</v>
      </c>
      <c r="E427" t="s">
        <v>48</v>
      </c>
      <c r="F427" t="s">
        <v>21</v>
      </c>
      <c r="G427">
        <v>2</v>
      </c>
      <c r="H427" t="s">
        <v>3400</v>
      </c>
      <c r="I427" t="s">
        <v>353</v>
      </c>
      <c r="J427" s="1" t="s">
        <v>253</v>
      </c>
      <c r="K427" t="s">
        <v>181</v>
      </c>
      <c r="L427" t="s">
        <v>3340</v>
      </c>
      <c r="M427">
        <v>78</v>
      </c>
      <c r="N427">
        <v>0.16</v>
      </c>
      <c r="O427" t="s">
        <v>211</v>
      </c>
      <c r="P427">
        <v>9</v>
      </c>
      <c r="Q427">
        <v>1</v>
      </c>
      <c r="R427" t="s">
        <v>3341</v>
      </c>
      <c r="T427" t="s">
        <v>3402</v>
      </c>
      <c r="U427">
        <v>36</v>
      </c>
      <c r="V427" t="s">
        <v>3464</v>
      </c>
    </row>
    <row r="428" spans="1:22" ht="12.75" customHeight="1" x14ac:dyDescent="0.15">
      <c r="A428">
        <v>13</v>
      </c>
      <c r="B428">
        <v>2026</v>
      </c>
      <c r="C428" s="21">
        <v>46108</v>
      </c>
      <c r="D428" t="s">
        <v>47</v>
      </c>
      <c r="E428" t="s">
        <v>48</v>
      </c>
      <c r="F428" t="s">
        <v>21</v>
      </c>
      <c r="G428">
        <v>2</v>
      </c>
      <c r="H428" t="s">
        <v>3400</v>
      </c>
      <c r="I428" t="s">
        <v>353</v>
      </c>
      <c r="J428" s="1" t="s">
        <v>253</v>
      </c>
      <c r="K428" t="s">
        <v>181</v>
      </c>
      <c r="L428" t="s">
        <v>3340</v>
      </c>
      <c r="M428">
        <v>87</v>
      </c>
      <c r="N428">
        <v>0.16</v>
      </c>
      <c r="O428" t="s">
        <v>211</v>
      </c>
      <c r="P428">
        <v>9</v>
      </c>
      <c r="Q428">
        <v>1</v>
      </c>
      <c r="R428" t="s">
        <v>3465</v>
      </c>
      <c r="T428" t="s">
        <v>3402</v>
      </c>
      <c r="U428">
        <v>36</v>
      </c>
      <c r="V428" t="s">
        <v>3464</v>
      </c>
    </row>
    <row r="429" spans="1:22" ht="12.75" customHeight="1" x14ac:dyDescent="0.15">
      <c r="A429">
        <v>13</v>
      </c>
      <c r="B429">
        <v>2026</v>
      </c>
      <c r="C429" s="21">
        <v>46108</v>
      </c>
      <c r="D429" t="s">
        <v>47</v>
      </c>
      <c r="E429" t="s">
        <v>48</v>
      </c>
      <c r="F429" t="s">
        <v>21</v>
      </c>
      <c r="G429">
        <v>2</v>
      </c>
      <c r="H429" t="s">
        <v>3400</v>
      </c>
      <c r="I429" t="s">
        <v>353</v>
      </c>
      <c r="J429" s="1" t="s">
        <v>253</v>
      </c>
      <c r="K429" t="s">
        <v>181</v>
      </c>
      <c r="L429" t="s">
        <v>3340</v>
      </c>
      <c r="M429">
        <v>26</v>
      </c>
      <c r="N429">
        <v>0.16</v>
      </c>
      <c r="O429" t="s">
        <v>211</v>
      </c>
      <c r="P429">
        <v>9</v>
      </c>
      <c r="Q429">
        <v>1</v>
      </c>
      <c r="R429" t="s">
        <v>3421</v>
      </c>
      <c r="T429" t="s">
        <v>3402</v>
      </c>
      <c r="U429">
        <v>36</v>
      </c>
      <c r="V429" t="s">
        <v>3464</v>
      </c>
    </row>
    <row r="430" spans="1:22" ht="12.75" customHeight="1" x14ac:dyDescent="0.15">
      <c r="A430">
        <v>13</v>
      </c>
      <c r="B430">
        <v>2026</v>
      </c>
      <c r="C430" s="21">
        <v>46108</v>
      </c>
      <c r="D430" t="s">
        <v>47</v>
      </c>
      <c r="E430" t="s">
        <v>48</v>
      </c>
      <c r="F430" t="s">
        <v>21</v>
      </c>
      <c r="G430">
        <v>2</v>
      </c>
      <c r="H430" t="s">
        <v>3585</v>
      </c>
      <c r="I430" t="s">
        <v>346</v>
      </c>
      <c r="J430" s="1" t="s">
        <v>3389</v>
      </c>
      <c r="K430" t="s">
        <v>181</v>
      </c>
      <c r="L430" t="s">
        <v>3333</v>
      </c>
      <c r="M430">
        <v>86</v>
      </c>
      <c r="N430">
        <v>0.75</v>
      </c>
      <c r="O430" t="s">
        <v>3334</v>
      </c>
      <c r="P430">
        <v>61.19</v>
      </c>
      <c r="Q430">
        <v>6</v>
      </c>
      <c r="R430" t="s">
        <v>3386</v>
      </c>
      <c r="T430" t="s">
        <v>3402</v>
      </c>
      <c r="U430">
        <v>36</v>
      </c>
      <c r="V430" t="s">
        <v>3491</v>
      </c>
    </row>
    <row r="431" spans="1:22" ht="12.75" customHeight="1" x14ac:dyDescent="0.15">
      <c r="A431">
        <v>13</v>
      </c>
      <c r="B431">
        <v>2026</v>
      </c>
      <c r="C431" s="21">
        <v>46108</v>
      </c>
      <c r="D431" t="s">
        <v>47</v>
      </c>
      <c r="E431" t="s">
        <v>48</v>
      </c>
      <c r="F431" t="s">
        <v>21</v>
      </c>
      <c r="G431">
        <v>2</v>
      </c>
      <c r="H431" t="s">
        <v>3586</v>
      </c>
      <c r="I431" t="s">
        <v>346</v>
      </c>
      <c r="J431" s="1" t="s">
        <v>3389</v>
      </c>
      <c r="K431" t="s">
        <v>2666</v>
      </c>
      <c r="L431" t="s">
        <v>3587</v>
      </c>
      <c r="T431" t="s">
        <v>3402</v>
      </c>
      <c r="U431">
        <v>36</v>
      </c>
      <c r="V431" t="s">
        <v>88</v>
      </c>
    </row>
    <row r="432" spans="1:22" ht="12.75" customHeight="1" x14ac:dyDescent="0.15">
      <c r="A432">
        <v>13</v>
      </c>
      <c r="B432">
        <v>2026</v>
      </c>
      <c r="C432" s="21">
        <v>46108</v>
      </c>
      <c r="D432" t="s">
        <v>68</v>
      </c>
      <c r="E432" t="s">
        <v>69</v>
      </c>
      <c r="F432" t="s">
        <v>21</v>
      </c>
      <c r="G432">
        <v>1</v>
      </c>
      <c r="H432" t="s">
        <v>3588</v>
      </c>
      <c r="I432" t="s">
        <v>3589</v>
      </c>
      <c r="J432" s="1" t="s">
        <v>3533</v>
      </c>
      <c r="K432" t="s">
        <v>181</v>
      </c>
      <c r="L432" t="s">
        <v>3477</v>
      </c>
      <c r="M432">
        <v>3</v>
      </c>
      <c r="N432">
        <v>0.11</v>
      </c>
      <c r="O432" t="s">
        <v>3334</v>
      </c>
      <c r="P432">
        <v>8.67</v>
      </c>
      <c r="Q432">
        <v>0.85</v>
      </c>
      <c r="R432" t="s">
        <v>3478</v>
      </c>
      <c r="T432" t="s">
        <v>3479</v>
      </c>
      <c r="U432">
        <v>-6</v>
      </c>
      <c r="V432" t="s">
        <v>3590</v>
      </c>
    </row>
    <row r="433" spans="1:22" ht="12.75" customHeight="1" x14ac:dyDescent="0.15">
      <c r="A433">
        <v>13</v>
      </c>
      <c r="B433">
        <v>2026</v>
      </c>
      <c r="C433" s="21">
        <v>46108</v>
      </c>
      <c r="D433" t="s">
        <v>68</v>
      </c>
      <c r="E433" t="s">
        <v>69</v>
      </c>
      <c r="F433" t="s">
        <v>21</v>
      </c>
      <c r="G433">
        <v>1</v>
      </c>
      <c r="H433" t="s">
        <v>3588</v>
      </c>
      <c r="I433" t="s">
        <v>3589</v>
      </c>
      <c r="J433" s="1" t="s">
        <v>3533</v>
      </c>
      <c r="K433" t="s">
        <v>181</v>
      </c>
      <c r="L433" t="s">
        <v>3481</v>
      </c>
      <c r="M433">
        <v>40</v>
      </c>
      <c r="N433">
        <v>0.12</v>
      </c>
      <c r="O433" t="s">
        <v>211</v>
      </c>
      <c r="P433">
        <v>6.66</v>
      </c>
      <c r="Q433">
        <v>0.74</v>
      </c>
      <c r="R433" t="s">
        <v>3482</v>
      </c>
      <c r="T433" t="s">
        <v>3479</v>
      </c>
      <c r="U433">
        <v>-6</v>
      </c>
      <c r="V433" t="s">
        <v>3591</v>
      </c>
    </row>
    <row r="434" spans="1:22" ht="12.75" customHeight="1" x14ac:dyDescent="0.15">
      <c r="A434">
        <v>13</v>
      </c>
      <c r="B434">
        <v>2026</v>
      </c>
      <c r="C434" s="21">
        <v>46109</v>
      </c>
      <c r="D434" t="s">
        <v>68</v>
      </c>
      <c r="E434" t="s">
        <v>69</v>
      </c>
      <c r="F434" t="s">
        <v>21</v>
      </c>
      <c r="G434">
        <v>1</v>
      </c>
      <c r="H434" t="s">
        <v>3592</v>
      </c>
      <c r="I434" t="s">
        <v>3593</v>
      </c>
      <c r="J434" s="1" t="s">
        <v>3533</v>
      </c>
      <c r="K434" t="s">
        <v>181</v>
      </c>
      <c r="L434" t="s">
        <v>3340</v>
      </c>
      <c r="M434">
        <v>58</v>
      </c>
      <c r="N434">
        <v>0.49</v>
      </c>
      <c r="O434" t="s">
        <v>211</v>
      </c>
      <c r="P434">
        <v>27</v>
      </c>
      <c r="Q434">
        <v>3</v>
      </c>
      <c r="R434" t="s">
        <v>3343</v>
      </c>
      <c r="T434" t="s">
        <v>3337</v>
      </c>
      <c r="U434">
        <v>-5</v>
      </c>
      <c r="V434" t="s">
        <v>273</v>
      </c>
    </row>
    <row r="435" spans="1:22" ht="12.75" customHeight="1" x14ac:dyDescent="0.15">
      <c r="A435">
        <v>13</v>
      </c>
      <c r="B435">
        <v>2026</v>
      </c>
      <c r="C435" s="21">
        <v>46109</v>
      </c>
      <c r="D435" t="s">
        <v>68</v>
      </c>
      <c r="E435" t="s">
        <v>69</v>
      </c>
      <c r="F435" t="s">
        <v>21</v>
      </c>
      <c r="G435">
        <v>1</v>
      </c>
      <c r="H435" t="s">
        <v>3592</v>
      </c>
      <c r="I435" t="s">
        <v>3593</v>
      </c>
      <c r="J435" s="1" t="s">
        <v>3533</v>
      </c>
      <c r="K435" t="s">
        <v>181</v>
      </c>
      <c r="L435" t="s">
        <v>3340</v>
      </c>
      <c r="M435">
        <v>45</v>
      </c>
      <c r="N435">
        <v>0.49</v>
      </c>
      <c r="O435" t="s">
        <v>211</v>
      </c>
      <c r="P435">
        <v>27</v>
      </c>
      <c r="Q435">
        <v>3</v>
      </c>
      <c r="R435" t="s">
        <v>3377</v>
      </c>
      <c r="T435" t="s">
        <v>3337</v>
      </c>
      <c r="U435">
        <v>-5</v>
      </c>
      <c r="V435" t="s">
        <v>273</v>
      </c>
    </row>
    <row r="436" spans="1:22" ht="12.75" customHeight="1" x14ac:dyDescent="0.15">
      <c r="A436">
        <v>13</v>
      </c>
      <c r="B436">
        <v>2026</v>
      </c>
      <c r="C436" s="21">
        <v>46109</v>
      </c>
      <c r="D436" t="s">
        <v>68</v>
      </c>
      <c r="E436" t="s">
        <v>69</v>
      </c>
      <c r="F436" t="s">
        <v>21</v>
      </c>
      <c r="G436">
        <v>1</v>
      </c>
      <c r="H436" t="s">
        <v>3592</v>
      </c>
      <c r="I436" t="s">
        <v>3593</v>
      </c>
      <c r="J436" s="1" t="s">
        <v>3533</v>
      </c>
      <c r="K436" t="s">
        <v>181</v>
      </c>
      <c r="L436" t="s">
        <v>3340</v>
      </c>
      <c r="M436">
        <v>81</v>
      </c>
      <c r="N436">
        <v>0.49</v>
      </c>
      <c r="O436" t="s">
        <v>211</v>
      </c>
      <c r="P436">
        <v>27</v>
      </c>
      <c r="Q436">
        <v>3</v>
      </c>
      <c r="R436" t="s">
        <v>3374</v>
      </c>
      <c r="T436" t="s">
        <v>3337</v>
      </c>
      <c r="U436">
        <v>-5</v>
      </c>
      <c r="V436" t="s">
        <v>273</v>
      </c>
    </row>
    <row r="437" spans="1:22" ht="12.75" customHeight="1" x14ac:dyDescent="0.15">
      <c r="A437">
        <v>13</v>
      </c>
      <c r="B437">
        <v>2026</v>
      </c>
      <c r="C437" s="21">
        <v>46109</v>
      </c>
      <c r="D437" t="s">
        <v>68</v>
      </c>
      <c r="E437" t="s">
        <v>69</v>
      </c>
      <c r="F437" t="s">
        <v>21</v>
      </c>
      <c r="G437">
        <v>1</v>
      </c>
      <c r="H437" t="s">
        <v>3592</v>
      </c>
      <c r="I437" t="s">
        <v>3593</v>
      </c>
      <c r="J437" s="1" t="s">
        <v>3533</v>
      </c>
      <c r="K437" t="s">
        <v>181</v>
      </c>
      <c r="L437" t="s">
        <v>3340</v>
      </c>
      <c r="M437">
        <v>62</v>
      </c>
      <c r="N437">
        <v>0.49</v>
      </c>
      <c r="O437" t="s">
        <v>211</v>
      </c>
      <c r="P437">
        <v>27</v>
      </c>
      <c r="Q437">
        <v>3</v>
      </c>
      <c r="R437" t="s">
        <v>3375</v>
      </c>
      <c r="T437" t="s">
        <v>3337</v>
      </c>
      <c r="U437">
        <v>-5</v>
      </c>
      <c r="V437" t="s">
        <v>273</v>
      </c>
    </row>
    <row r="438" spans="1:22" ht="12.75" customHeight="1" x14ac:dyDescent="0.15">
      <c r="A438">
        <v>13</v>
      </c>
      <c r="B438">
        <v>2026</v>
      </c>
      <c r="C438" s="21">
        <v>46109</v>
      </c>
      <c r="D438" t="s">
        <v>68</v>
      </c>
      <c r="E438" t="s">
        <v>69</v>
      </c>
      <c r="F438" t="s">
        <v>21</v>
      </c>
      <c r="G438">
        <v>1</v>
      </c>
      <c r="H438" t="s">
        <v>3592</v>
      </c>
      <c r="I438" t="s">
        <v>3593</v>
      </c>
      <c r="J438" s="1" t="s">
        <v>3533</v>
      </c>
      <c r="K438" t="s">
        <v>181</v>
      </c>
      <c r="L438" t="s">
        <v>3340</v>
      </c>
      <c r="M438">
        <v>53</v>
      </c>
      <c r="N438">
        <v>0.49</v>
      </c>
      <c r="O438" t="s">
        <v>211</v>
      </c>
      <c r="P438">
        <v>27</v>
      </c>
      <c r="Q438">
        <v>3</v>
      </c>
      <c r="R438" t="s">
        <v>3373</v>
      </c>
      <c r="T438" t="s">
        <v>3337</v>
      </c>
      <c r="U438">
        <v>-5</v>
      </c>
      <c r="V438" t="s">
        <v>273</v>
      </c>
    </row>
    <row r="439" spans="1:22" ht="12.75" customHeight="1" x14ac:dyDescent="0.15">
      <c r="A439">
        <v>13</v>
      </c>
      <c r="B439">
        <v>2026</v>
      </c>
      <c r="C439" s="21">
        <v>46109</v>
      </c>
      <c r="D439" t="s">
        <v>60</v>
      </c>
      <c r="E439" t="s">
        <v>61</v>
      </c>
      <c r="F439" t="s">
        <v>21</v>
      </c>
      <c r="G439">
        <v>1.6</v>
      </c>
      <c r="H439" t="s">
        <v>3454</v>
      </c>
      <c r="I439" t="s">
        <v>212</v>
      </c>
      <c r="J439" s="1" t="s">
        <v>188</v>
      </c>
      <c r="K439" t="s">
        <v>181</v>
      </c>
      <c r="L439" t="s">
        <v>3333</v>
      </c>
      <c r="M439">
        <v>1</v>
      </c>
      <c r="N439">
        <v>0.38</v>
      </c>
      <c r="O439" t="s">
        <v>3358</v>
      </c>
      <c r="P439">
        <v>26.95</v>
      </c>
      <c r="Q439">
        <v>3</v>
      </c>
      <c r="R439" t="s">
        <v>3359</v>
      </c>
      <c r="T439" t="s">
        <v>3337</v>
      </c>
      <c r="U439">
        <v>1</v>
      </c>
      <c r="V439" t="s">
        <v>3584</v>
      </c>
    </row>
    <row r="440" spans="1:22" ht="12.75" customHeight="1" x14ac:dyDescent="0.15">
      <c r="A440">
        <v>13</v>
      </c>
      <c r="B440">
        <v>2026</v>
      </c>
      <c r="C440" s="21">
        <v>46109</v>
      </c>
      <c r="D440" t="s">
        <v>60</v>
      </c>
      <c r="E440" t="s">
        <v>61</v>
      </c>
      <c r="F440" t="s">
        <v>21</v>
      </c>
      <c r="G440">
        <v>1.6</v>
      </c>
      <c r="H440" t="s">
        <v>3454</v>
      </c>
      <c r="I440" t="s">
        <v>212</v>
      </c>
      <c r="J440" s="1" t="s">
        <v>188</v>
      </c>
      <c r="K440" t="s">
        <v>181</v>
      </c>
      <c r="L440" t="s">
        <v>3340</v>
      </c>
      <c r="M440">
        <v>1</v>
      </c>
      <c r="N440">
        <v>0.55000000000000004</v>
      </c>
      <c r="O440" t="s">
        <v>211</v>
      </c>
      <c r="P440">
        <v>30</v>
      </c>
      <c r="Q440">
        <v>3</v>
      </c>
      <c r="R440" t="s">
        <v>3359</v>
      </c>
      <c r="T440" t="s">
        <v>3337</v>
      </c>
      <c r="U440">
        <v>1</v>
      </c>
      <c r="V440" t="s">
        <v>3594</v>
      </c>
    </row>
    <row r="441" spans="1:22" ht="12.75" customHeight="1" x14ac:dyDescent="0.15">
      <c r="A441">
        <v>13</v>
      </c>
      <c r="B441">
        <v>2026</v>
      </c>
      <c r="C441" s="21">
        <v>46109</v>
      </c>
      <c r="D441" t="s">
        <v>68</v>
      </c>
      <c r="E441" t="s">
        <v>69</v>
      </c>
      <c r="F441" t="s">
        <v>21</v>
      </c>
      <c r="G441">
        <v>1</v>
      </c>
      <c r="H441" t="s">
        <v>3495</v>
      </c>
      <c r="I441" t="s">
        <v>29</v>
      </c>
      <c r="J441" s="1" t="s">
        <v>30</v>
      </c>
      <c r="K441" t="s">
        <v>181</v>
      </c>
      <c r="L441" t="s">
        <v>3333</v>
      </c>
      <c r="M441">
        <v>67</v>
      </c>
      <c r="N441">
        <v>1</v>
      </c>
      <c r="O441" t="s">
        <v>3334</v>
      </c>
      <c r="P441">
        <v>81.58</v>
      </c>
      <c r="Q441">
        <v>8</v>
      </c>
      <c r="R441" t="s">
        <v>3404</v>
      </c>
      <c r="T441" t="s">
        <v>3402</v>
      </c>
      <c r="U441">
        <v>-5</v>
      </c>
      <c r="V441" t="s">
        <v>3334</v>
      </c>
    </row>
    <row r="442" spans="1:22" ht="12.75" customHeight="1" x14ac:dyDescent="0.15">
      <c r="A442">
        <v>13</v>
      </c>
      <c r="B442">
        <v>2026</v>
      </c>
      <c r="C442" s="21">
        <v>46109</v>
      </c>
      <c r="D442" t="s">
        <v>73</v>
      </c>
      <c r="E442" t="s">
        <v>74</v>
      </c>
      <c r="F442" t="s">
        <v>75</v>
      </c>
      <c r="G442">
        <v>2.2999999999999998</v>
      </c>
      <c r="H442" t="s">
        <v>3595</v>
      </c>
      <c r="I442" t="s">
        <v>190</v>
      </c>
      <c r="J442" s="1" t="s">
        <v>30</v>
      </c>
      <c r="K442" t="s">
        <v>181</v>
      </c>
      <c r="L442" t="s">
        <v>3333</v>
      </c>
      <c r="M442">
        <v>86</v>
      </c>
      <c r="N442">
        <v>0.63</v>
      </c>
      <c r="O442" t="s">
        <v>3334</v>
      </c>
      <c r="P442">
        <v>50.99</v>
      </c>
      <c r="Q442">
        <v>5</v>
      </c>
      <c r="R442" t="s">
        <v>3386</v>
      </c>
      <c r="T442" t="s">
        <v>3402</v>
      </c>
      <c r="U442">
        <v>-21</v>
      </c>
      <c r="V442" t="s">
        <v>3596</v>
      </c>
    </row>
    <row r="443" spans="1:22" ht="12.75" customHeight="1" x14ac:dyDescent="0.15">
      <c r="A443">
        <v>13</v>
      </c>
      <c r="B443">
        <v>2026</v>
      </c>
      <c r="C443" s="21">
        <v>46109</v>
      </c>
      <c r="D443" t="s">
        <v>47</v>
      </c>
      <c r="E443" t="s">
        <v>48</v>
      </c>
      <c r="F443" t="s">
        <v>21</v>
      </c>
      <c r="G443">
        <v>2</v>
      </c>
      <c r="H443" t="s">
        <v>3391</v>
      </c>
      <c r="I443" t="s">
        <v>353</v>
      </c>
      <c r="J443" s="1" t="s">
        <v>253</v>
      </c>
      <c r="K443" t="s">
        <v>181</v>
      </c>
      <c r="L443" t="s">
        <v>3340</v>
      </c>
      <c r="M443">
        <v>25</v>
      </c>
      <c r="N443">
        <v>1.31</v>
      </c>
      <c r="O443" t="s">
        <v>211</v>
      </c>
      <c r="P443">
        <v>72</v>
      </c>
      <c r="Q443">
        <v>8</v>
      </c>
      <c r="R443" t="s">
        <v>3413</v>
      </c>
      <c r="T443" t="s">
        <v>3402</v>
      </c>
      <c r="U443">
        <v>37</v>
      </c>
      <c r="V443" t="s">
        <v>3507</v>
      </c>
    </row>
    <row r="444" spans="1:22" ht="12.75" customHeight="1" x14ac:dyDescent="0.15">
      <c r="A444">
        <v>13</v>
      </c>
      <c r="B444">
        <v>2026</v>
      </c>
      <c r="C444" s="21">
        <v>46109</v>
      </c>
      <c r="D444" t="s">
        <v>68</v>
      </c>
      <c r="E444" t="s">
        <v>69</v>
      </c>
      <c r="F444" t="s">
        <v>21</v>
      </c>
      <c r="G444">
        <v>1</v>
      </c>
      <c r="H444" t="s">
        <v>3495</v>
      </c>
      <c r="I444" t="s">
        <v>29</v>
      </c>
      <c r="J444" s="1" t="s">
        <v>30</v>
      </c>
      <c r="K444" t="s">
        <v>181</v>
      </c>
      <c r="L444" t="s">
        <v>3340</v>
      </c>
      <c r="M444">
        <v>78</v>
      </c>
      <c r="N444">
        <v>1.95</v>
      </c>
      <c r="O444" t="s">
        <v>211</v>
      </c>
      <c r="P444">
        <v>107</v>
      </c>
      <c r="R444" t="s">
        <v>3341</v>
      </c>
      <c r="T444" t="s">
        <v>3402</v>
      </c>
      <c r="U444">
        <v>-5</v>
      </c>
      <c r="V444" t="s">
        <v>3597</v>
      </c>
    </row>
    <row r="445" spans="1:22" ht="12.75" customHeight="1" x14ac:dyDescent="0.15">
      <c r="A445">
        <v>13</v>
      </c>
      <c r="B445">
        <v>2026</v>
      </c>
      <c r="C445" s="21">
        <v>46109</v>
      </c>
      <c r="D445" t="s">
        <v>68</v>
      </c>
      <c r="E445" t="s">
        <v>69</v>
      </c>
      <c r="F445" t="s">
        <v>21</v>
      </c>
      <c r="G445">
        <v>1</v>
      </c>
      <c r="H445" t="s">
        <v>3495</v>
      </c>
      <c r="I445" t="s">
        <v>29</v>
      </c>
      <c r="J445" s="1" t="s">
        <v>30</v>
      </c>
      <c r="K445" t="s">
        <v>181</v>
      </c>
      <c r="L445" t="s">
        <v>3333</v>
      </c>
      <c r="M445">
        <v>19</v>
      </c>
      <c r="N445">
        <v>1</v>
      </c>
      <c r="O445" t="s">
        <v>3334</v>
      </c>
      <c r="P445">
        <v>81.58</v>
      </c>
      <c r="Q445">
        <v>8</v>
      </c>
      <c r="R445" t="s">
        <v>3403</v>
      </c>
      <c r="T445" t="s">
        <v>3402</v>
      </c>
      <c r="U445">
        <v>-5</v>
      </c>
      <c r="V445" t="s">
        <v>3334</v>
      </c>
    </row>
    <row r="446" spans="1:22" ht="12.75" customHeight="1" x14ac:dyDescent="0.15">
      <c r="A446">
        <v>13</v>
      </c>
      <c r="B446">
        <v>2026</v>
      </c>
      <c r="C446" s="21">
        <v>46109</v>
      </c>
      <c r="D446" t="s">
        <v>68</v>
      </c>
      <c r="E446" t="s">
        <v>69</v>
      </c>
      <c r="F446" t="s">
        <v>21</v>
      </c>
      <c r="G446">
        <v>1</v>
      </c>
      <c r="H446" t="s">
        <v>3495</v>
      </c>
      <c r="I446" t="s">
        <v>29</v>
      </c>
      <c r="J446" s="1" t="s">
        <v>30</v>
      </c>
      <c r="K446" t="s">
        <v>181</v>
      </c>
      <c r="L446" t="s">
        <v>3333</v>
      </c>
      <c r="M446">
        <v>91</v>
      </c>
      <c r="N446">
        <v>1</v>
      </c>
      <c r="O446" t="s">
        <v>3334</v>
      </c>
      <c r="P446">
        <v>81.58</v>
      </c>
      <c r="Q446">
        <v>8</v>
      </c>
      <c r="R446" t="s">
        <v>3412</v>
      </c>
      <c r="T446" t="s">
        <v>3402</v>
      </c>
      <c r="U446">
        <v>-5</v>
      </c>
      <c r="V446" t="s">
        <v>3334</v>
      </c>
    </row>
    <row r="447" spans="1:22" ht="12.75" customHeight="1" x14ac:dyDescent="0.15">
      <c r="A447">
        <v>13</v>
      </c>
      <c r="B447">
        <v>2026</v>
      </c>
      <c r="C447" s="21">
        <v>46109</v>
      </c>
      <c r="D447" t="s">
        <v>68</v>
      </c>
      <c r="E447" t="s">
        <v>69</v>
      </c>
      <c r="F447" t="s">
        <v>21</v>
      </c>
      <c r="G447">
        <v>1</v>
      </c>
      <c r="H447" t="s">
        <v>3495</v>
      </c>
      <c r="I447" t="s">
        <v>29</v>
      </c>
      <c r="J447" s="1" t="s">
        <v>30</v>
      </c>
      <c r="K447" t="s">
        <v>181</v>
      </c>
      <c r="L447" t="s">
        <v>3333</v>
      </c>
      <c r="M447">
        <v>2</v>
      </c>
      <c r="N447">
        <v>1</v>
      </c>
      <c r="O447" t="s">
        <v>3440</v>
      </c>
      <c r="P447">
        <v>90.49</v>
      </c>
      <c r="Q447">
        <v>8</v>
      </c>
      <c r="R447" t="s">
        <v>3424</v>
      </c>
      <c r="T447" t="s">
        <v>3402</v>
      </c>
      <c r="U447">
        <v>-5</v>
      </c>
      <c r="V447" t="s">
        <v>3440</v>
      </c>
    </row>
    <row r="448" spans="1:22" ht="12.75" customHeight="1" x14ac:dyDescent="0.15">
      <c r="A448">
        <v>13</v>
      </c>
      <c r="B448">
        <v>2026</v>
      </c>
      <c r="C448" s="21">
        <v>46109</v>
      </c>
      <c r="D448" t="s">
        <v>68</v>
      </c>
      <c r="E448" t="s">
        <v>69</v>
      </c>
      <c r="F448" t="s">
        <v>21</v>
      </c>
      <c r="G448">
        <v>1</v>
      </c>
      <c r="H448" t="s">
        <v>3495</v>
      </c>
      <c r="I448" t="s">
        <v>29</v>
      </c>
      <c r="J448" s="1" t="s">
        <v>30</v>
      </c>
      <c r="K448" t="s">
        <v>181</v>
      </c>
      <c r="L448" t="s">
        <v>3340</v>
      </c>
      <c r="M448">
        <v>26</v>
      </c>
      <c r="N448">
        <v>1.95</v>
      </c>
      <c r="O448" t="s">
        <v>211</v>
      </c>
      <c r="P448">
        <v>107</v>
      </c>
      <c r="R448" t="s">
        <v>3421</v>
      </c>
      <c r="T448" t="s">
        <v>3402</v>
      </c>
      <c r="U448">
        <v>-5</v>
      </c>
      <c r="V448" t="s">
        <v>3597</v>
      </c>
    </row>
    <row r="449" spans="1:22" ht="12.75" customHeight="1" x14ac:dyDescent="0.15">
      <c r="A449">
        <v>13</v>
      </c>
      <c r="B449">
        <v>2026</v>
      </c>
      <c r="C449" s="21">
        <v>46109</v>
      </c>
      <c r="D449" t="s">
        <v>68</v>
      </c>
      <c r="E449" t="s">
        <v>69</v>
      </c>
      <c r="F449" t="s">
        <v>21</v>
      </c>
      <c r="G449">
        <v>1</v>
      </c>
      <c r="H449" t="s">
        <v>3495</v>
      </c>
      <c r="I449" t="s">
        <v>29</v>
      </c>
      <c r="J449" s="1" t="s">
        <v>30</v>
      </c>
      <c r="K449" t="s">
        <v>181</v>
      </c>
      <c r="L449" t="s">
        <v>3340</v>
      </c>
      <c r="M449">
        <v>87</v>
      </c>
      <c r="N449">
        <v>1.95</v>
      </c>
      <c r="O449" t="s">
        <v>211</v>
      </c>
      <c r="P449">
        <v>107</v>
      </c>
      <c r="R449" t="s">
        <v>3465</v>
      </c>
      <c r="T449" t="s">
        <v>3402</v>
      </c>
      <c r="U449">
        <v>-5</v>
      </c>
      <c r="V449" t="s">
        <v>3597</v>
      </c>
    </row>
    <row r="450" spans="1:22" ht="12.75" customHeight="1" x14ac:dyDescent="0.15">
      <c r="A450">
        <v>13</v>
      </c>
      <c r="B450">
        <v>2026</v>
      </c>
      <c r="C450" s="21">
        <v>46109</v>
      </c>
      <c r="D450" t="s">
        <v>68</v>
      </c>
      <c r="E450" t="s">
        <v>69</v>
      </c>
      <c r="F450" t="s">
        <v>21</v>
      </c>
      <c r="G450">
        <v>1</v>
      </c>
      <c r="H450" t="s">
        <v>3495</v>
      </c>
      <c r="I450" t="s">
        <v>29</v>
      </c>
      <c r="J450" s="1" t="s">
        <v>30</v>
      </c>
      <c r="K450" t="s">
        <v>181</v>
      </c>
      <c r="L450" t="s">
        <v>3340</v>
      </c>
      <c r="M450">
        <v>67</v>
      </c>
      <c r="N450">
        <v>0.46</v>
      </c>
      <c r="O450" t="s">
        <v>211</v>
      </c>
      <c r="P450">
        <v>25.42</v>
      </c>
      <c r="R450" t="s">
        <v>3404</v>
      </c>
      <c r="S450" t="s">
        <v>3598</v>
      </c>
      <c r="T450" t="s">
        <v>3402</v>
      </c>
      <c r="U450">
        <v>-5</v>
      </c>
      <c r="V450" t="s">
        <v>3599</v>
      </c>
    </row>
    <row r="451" spans="1:22" ht="12.75" customHeight="1" x14ac:dyDescent="0.15">
      <c r="A451">
        <v>13</v>
      </c>
      <c r="B451">
        <v>2026</v>
      </c>
      <c r="C451" s="21">
        <v>46109</v>
      </c>
      <c r="D451" t="s">
        <v>68</v>
      </c>
      <c r="E451" t="s">
        <v>69</v>
      </c>
      <c r="F451" t="s">
        <v>21</v>
      </c>
      <c r="G451">
        <v>1</v>
      </c>
      <c r="H451" t="s">
        <v>3495</v>
      </c>
      <c r="I451" t="s">
        <v>29</v>
      </c>
      <c r="J451" s="1" t="s">
        <v>30</v>
      </c>
      <c r="K451" t="s">
        <v>181</v>
      </c>
      <c r="L451" t="s">
        <v>3340</v>
      </c>
      <c r="M451">
        <v>91</v>
      </c>
      <c r="N451">
        <v>0.46</v>
      </c>
      <c r="O451" t="s">
        <v>211</v>
      </c>
      <c r="P451">
        <v>25.42</v>
      </c>
      <c r="R451" t="s">
        <v>3412</v>
      </c>
      <c r="T451" t="s">
        <v>3402</v>
      </c>
      <c r="U451">
        <v>-5</v>
      </c>
      <c r="V451" t="s">
        <v>3599</v>
      </c>
    </row>
    <row r="452" spans="1:22" ht="12.75" customHeight="1" x14ac:dyDescent="0.15">
      <c r="A452">
        <v>13</v>
      </c>
      <c r="B452">
        <v>2026</v>
      </c>
      <c r="C452" s="21">
        <v>46109</v>
      </c>
      <c r="D452" t="s">
        <v>68</v>
      </c>
      <c r="E452" t="s">
        <v>69</v>
      </c>
      <c r="F452" t="s">
        <v>21</v>
      </c>
      <c r="G452">
        <v>1</v>
      </c>
      <c r="H452" t="s">
        <v>3495</v>
      </c>
      <c r="I452" t="s">
        <v>29</v>
      </c>
      <c r="J452" s="1" t="s">
        <v>30</v>
      </c>
      <c r="K452" t="s">
        <v>181</v>
      </c>
      <c r="L452" t="s">
        <v>3340</v>
      </c>
      <c r="M452">
        <v>19</v>
      </c>
      <c r="N452">
        <v>0.46</v>
      </c>
      <c r="O452" t="s">
        <v>211</v>
      </c>
      <c r="P452">
        <v>25.42</v>
      </c>
      <c r="R452" t="s">
        <v>3403</v>
      </c>
      <c r="T452" t="s">
        <v>3402</v>
      </c>
      <c r="U452">
        <v>-5</v>
      </c>
      <c r="V452" t="s">
        <v>3599</v>
      </c>
    </row>
    <row r="453" spans="1:22" ht="12.75" customHeight="1" x14ac:dyDescent="0.15">
      <c r="A453">
        <v>13</v>
      </c>
      <c r="B453">
        <v>2026</v>
      </c>
      <c r="C453" s="21">
        <v>46109</v>
      </c>
      <c r="D453" t="s">
        <v>68</v>
      </c>
      <c r="E453" t="s">
        <v>69</v>
      </c>
      <c r="F453" t="s">
        <v>21</v>
      </c>
      <c r="G453">
        <v>1</v>
      </c>
      <c r="H453" t="s">
        <v>3495</v>
      </c>
      <c r="I453" t="s">
        <v>29</v>
      </c>
      <c r="J453" s="1" t="s">
        <v>30</v>
      </c>
      <c r="K453" t="s">
        <v>181</v>
      </c>
      <c r="L453" t="s">
        <v>3340</v>
      </c>
      <c r="M453">
        <v>2</v>
      </c>
      <c r="N453">
        <v>0.3</v>
      </c>
      <c r="O453" t="s">
        <v>211</v>
      </c>
      <c r="P453">
        <v>16.600000000000001</v>
      </c>
      <c r="R453" t="s">
        <v>3424</v>
      </c>
      <c r="T453" t="s">
        <v>3402</v>
      </c>
      <c r="U453">
        <v>-5</v>
      </c>
      <c r="V453" t="s">
        <v>3600</v>
      </c>
    </row>
    <row r="454" spans="1:22" ht="12.75" customHeight="1" x14ac:dyDescent="0.15">
      <c r="A454">
        <v>13</v>
      </c>
      <c r="B454">
        <v>2026</v>
      </c>
      <c r="C454" s="21">
        <v>46109</v>
      </c>
      <c r="D454" t="s">
        <v>53</v>
      </c>
      <c r="E454" t="s">
        <v>54</v>
      </c>
      <c r="F454" t="s">
        <v>21</v>
      </c>
      <c r="G454">
        <v>1</v>
      </c>
      <c r="H454" t="s">
        <v>3601</v>
      </c>
      <c r="I454" t="s">
        <v>327</v>
      </c>
      <c r="J454" s="1" t="s">
        <v>26</v>
      </c>
      <c r="K454" t="s">
        <v>181</v>
      </c>
      <c r="L454" t="s">
        <v>3333</v>
      </c>
      <c r="M454">
        <v>80</v>
      </c>
      <c r="N454">
        <v>1</v>
      </c>
      <c r="O454" t="s">
        <v>213</v>
      </c>
      <c r="P454">
        <v>90</v>
      </c>
      <c r="Q454">
        <v>8</v>
      </c>
      <c r="R454" t="s">
        <v>3560</v>
      </c>
      <c r="T454" t="s">
        <v>3402</v>
      </c>
      <c r="U454">
        <v>23</v>
      </c>
      <c r="V454" t="s">
        <v>213</v>
      </c>
    </row>
    <row r="455" spans="1:22" ht="12.75" customHeight="1" x14ac:dyDescent="0.15">
      <c r="A455">
        <v>13</v>
      </c>
      <c r="B455">
        <v>2026</v>
      </c>
      <c r="C455" s="21">
        <v>46109</v>
      </c>
      <c r="D455" t="s">
        <v>68</v>
      </c>
      <c r="E455" t="s">
        <v>69</v>
      </c>
      <c r="F455" t="s">
        <v>21</v>
      </c>
      <c r="G455">
        <v>1</v>
      </c>
      <c r="H455" t="s">
        <v>3536</v>
      </c>
      <c r="I455" t="s">
        <v>3537</v>
      </c>
      <c r="J455" s="1" t="s">
        <v>3533</v>
      </c>
      <c r="K455" t="s">
        <v>181</v>
      </c>
      <c r="L455" t="s">
        <v>3477</v>
      </c>
      <c r="M455">
        <v>3</v>
      </c>
      <c r="N455">
        <v>7.0000000000000007E-2</v>
      </c>
      <c r="O455" t="s">
        <v>3334</v>
      </c>
      <c r="P455">
        <v>5.61</v>
      </c>
      <c r="Q455">
        <v>0.55000000000000004</v>
      </c>
      <c r="R455" t="s">
        <v>3478</v>
      </c>
      <c r="T455" t="s">
        <v>3479</v>
      </c>
      <c r="U455">
        <v>-5</v>
      </c>
      <c r="V455" t="s">
        <v>3602</v>
      </c>
    </row>
    <row r="456" spans="1:22" ht="12.75" customHeight="1" x14ac:dyDescent="0.15">
      <c r="A456">
        <v>13</v>
      </c>
      <c r="B456">
        <v>2026</v>
      </c>
      <c r="C456" s="21">
        <v>46109</v>
      </c>
      <c r="D456" t="s">
        <v>68</v>
      </c>
      <c r="E456" t="s">
        <v>69</v>
      </c>
      <c r="F456" t="s">
        <v>21</v>
      </c>
      <c r="G456">
        <v>1</v>
      </c>
      <c r="H456" t="s">
        <v>3536</v>
      </c>
      <c r="I456" t="s">
        <v>3537</v>
      </c>
      <c r="J456" s="1" t="s">
        <v>3533</v>
      </c>
      <c r="K456" t="s">
        <v>181</v>
      </c>
      <c r="L456" t="s">
        <v>3477</v>
      </c>
      <c r="M456">
        <v>3</v>
      </c>
      <c r="N456">
        <v>0.06</v>
      </c>
      <c r="O456" t="s">
        <v>3334</v>
      </c>
      <c r="P456">
        <v>5</v>
      </c>
      <c r="Q456">
        <v>0.49</v>
      </c>
      <c r="R456" t="s">
        <v>3478</v>
      </c>
      <c r="T456" t="s">
        <v>3479</v>
      </c>
      <c r="U456">
        <v>-5</v>
      </c>
      <c r="V456" t="s">
        <v>3504</v>
      </c>
    </row>
    <row r="457" spans="1:22" ht="12.75" customHeight="1" x14ac:dyDescent="0.15">
      <c r="A457">
        <v>13</v>
      </c>
      <c r="B457">
        <v>2026</v>
      </c>
      <c r="C457" s="21">
        <v>46109</v>
      </c>
      <c r="D457" t="s">
        <v>68</v>
      </c>
      <c r="E457" t="s">
        <v>69</v>
      </c>
      <c r="F457" t="s">
        <v>21</v>
      </c>
      <c r="G457">
        <v>1</v>
      </c>
      <c r="H457" t="s">
        <v>3536</v>
      </c>
      <c r="I457" t="s">
        <v>3537</v>
      </c>
      <c r="J457" s="1" t="s">
        <v>3533</v>
      </c>
      <c r="K457" t="s">
        <v>181</v>
      </c>
      <c r="L457" t="s">
        <v>3481</v>
      </c>
      <c r="M457">
        <v>40</v>
      </c>
      <c r="N457">
        <v>0.08</v>
      </c>
      <c r="O457" t="s">
        <v>211</v>
      </c>
      <c r="P457">
        <v>4.41</v>
      </c>
      <c r="Q457">
        <v>0.49</v>
      </c>
      <c r="R457" t="s">
        <v>3482</v>
      </c>
      <c r="T457" t="s">
        <v>3479</v>
      </c>
      <c r="U457">
        <v>-5</v>
      </c>
      <c r="V457" t="s">
        <v>3603</v>
      </c>
    </row>
    <row r="458" spans="1:22" ht="12.75" customHeight="1" x14ac:dyDescent="0.15">
      <c r="A458">
        <v>13</v>
      </c>
      <c r="B458">
        <v>2026</v>
      </c>
      <c r="C458" s="21">
        <v>46109</v>
      </c>
      <c r="D458" t="s">
        <v>68</v>
      </c>
      <c r="E458" t="s">
        <v>69</v>
      </c>
      <c r="F458" t="s">
        <v>21</v>
      </c>
      <c r="G458">
        <v>1</v>
      </c>
      <c r="H458" t="s">
        <v>3539</v>
      </c>
      <c r="I458" t="s">
        <v>3540</v>
      </c>
      <c r="J458" s="1" t="s">
        <v>3533</v>
      </c>
      <c r="K458" t="s">
        <v>181</v>
      </c>
      <c r="L458" t="s">
        <v>3477</v>
      </c>
      <c r="M458">
        <v>3</v>
      </c>
      <c r="N458">
        <v>0.05</v>
      </c>
      <c r="O458" t="s">
        <v>3334</v>
      </c>
      <c r="P458">
        <v>3.67</v>
      </c>
      <c r="Q458">
        <v>0.36</v>
      </c>
      <c r="R458" t="s">
        <v>3478</v>
      </c>
      <c r="T458" t="s">
        <v>3479</v>
      </c>
      <c r="U458">
        <v>-5</v>
      </c>
      <c r="V458" t="s">
        <v>3544</v>
      </c>
    </row>
    <row r="459" spans="1:22" ht="12.75" customHeight="1" x14ac:dyDescent="0.15">
      <c r="A459">
        <v>13</v>
      </c>
      <c r="B459">
        <v>2026</v>
      </c>
      <c r="C459" s="21">
        <v>46109</v>
      </c>
      <c r="D459" t="s">
        <v>68</v>
      </c>
      <c r="E459" t="s">
        <v>69</v>
      </c>
      <c r="F459" t="s">
        <v>21</v>
      </c>
      <c r="G459">
        <v>1</v>
      </c>
      <c r="H459" t="s">
        <v>3539</v>
      </c>
      <c r="I459" t="s">
        <v>3540</v>
      </c>
      <c r="J459" s="1" t="s">
        <v>3533</v>
      </c>
      <c r="K459" t="s">
        <v>181</v>
      </c>
      <c r="L459" t="s">
        <v>3477</v>
      </c>
      <c r="M459">
        <v>3</v>
      </c>
      <c r="N459">
        <v>0.04</v>
      </c>
      <c r="O459" t="s">
        <v>3334</v>
      </c>
      <c r="P459">
        <v>3.37</v>
      </c>
      <c r="Q459">
        <v>0.33</v>
      </c>
      <c r="R459" t="s">
        <v>3478</v>
      </c>
      <c r="T459" t="s">
        <v>3479</v>
      </c>
      <c r="U459">
        <v>-5</v>
      </c>
      <c r="V459" t="s">
        <v>3604</v>
      </c>
    </row>
    <row r="460" spans="1:22" ht="12.75" customHeight="1" x14ac:dyDescent="0.15">
      <c r="A460">
        <v>13</v>
      </c>
      <c r="B460">
        <v>2026</v>
      </c>
      <c r="C460" s="21">
        <v>46109</v>
      </c>
      <c r="D460" t="s">
        <v>68</v>
      </c>
      <c r="E460" t="s">
        <v>69</v>
      </c>
      <c r="F460" t="s">
        <v>21</v>
      </c>
      <c r="G460">
        <v>1</v>
      </c>
      <c r="H460" t="s">
        <v>3539</v>
      </c>
      <c r="I460" t="s">
        <v>3540</v>
      </c>
      <c r="J460" s="1" t="s">
        <v>3533</v>
      </c>
      <c r="K460" t="s">
        <v>181</v>
      </c>
      <c r="L460" t="s">
        <v>3481</v>
      </c>
      <c r="M460">
        <v>40</v>
      </c>
      <c r="N460">
        <v>0.05</v>
      </c>
      <c r="O460" t="s">
        <v>211</v>
      </c>
      <c r="P460">
        <v>2.97</v>
      </c>
      <c r="Q460">
        <v>0.33</v>
      </c>
      <c r="R460" t="s">
        <v>3482</v>
      </c>
      <c r="T460" t="s">
        <v>3479</v>
      </c>
      <c r="U460">
        <v>-5</v>
      </c>
      <c r="V460" t="s">
        <v>3543</v>
      </c>
    </row>
    <row r="461" spans="1:22" ht="12.75" customHeight="1" x14ac:dyDescent="0.15">
      <c r="A461">
        <v>13</v>
      </c>
      <c r="B461">
        <v>2026</v>
      </c>
      <c r="C461" s="21">
        <v>46109</v>
      </c>
      <c r="D461" t="s">
        <v>68</v>
      </c>
      <c r="E461" t="s">
        <v>69</v>
      </c>
      <c r="F461" t="s">
        <v>21</v>
      </c>
      <c r="G461">
        <v>1</v>
      </c>
      <c r="H461" t="s">
        <v>3605</v>
      </c>
      <c r="I461" t="s">
        <v>335</v>
      </c>
      <c r="J461" s="1" t="s">
        <v>3533</v>
      </c>
      <c r="K461" t="s">
        <v>181</v>
      </c>
      <c r="L461" t="s">
        <v>3477</v>
      </c>
      <c r="M461">
        <v>3</v>
      </c>
      <c r="N461">
        <v>7.0000000000000007E-2</v>
      </c>
      <c r="O461" t="s">
        <v>3334</v>
      </c>
      <c r="P461">
        <v>5.81</v>
      </c>
      <c r="Q461">
        <v>0.56999999999999995</v>
      </c>
      <c r="R461" t="s">
        <v>3478</v>
      </c>
      <c r="T461" t="s">
        <v>3479</v>
      </c>
      <c r="U461">
        <v>-5</v>
      </c>
      <c r="V461" t="s">
        <v>3606</v>
      </c>
    </row>
    <row r="462" spans="1:22" ht="12.75" customHeight="1" x14ac:dyDescent="0.15">
      <c r="A462">
        <v>13</v>
      </c>
      <c r="B462">
        <v>2026</v>
      </c>
      <c r="C462" s="21">
        <v>46109</v>
      </c>
      <c r="D462" t="s">
        <v>68</v>
      </c>
      <c r="E462" t="s">
        <v>69</v>
      </c>
      <c r="F462" t="s">
        <v>21</v>
      </c>
      <c r="G462">
        <v>1</v>
      </c>
      <c r="H462" t="s">
        <v>3605</v>
      </c>
      <c r="I462" t="s">
        <v>335</v>
      </c>
      <c r="J462" s="1" t="s">
        <v>3533</v>
      </c>
      <c r="K462" t="s">
        <v>181</v>
      </c>
      <c r="L462" t="s">
        <v>3477</v>
      </c>
      <c r="M462">
        <v>3</v>
      </c>
      <c r="N462">
        <v>0.06</v>
      </c>
      <c r="O462" t="s">
        <v>3334</v>
      </c>
      <c r="P462">
        <v>5</v>
      </c>
      <c r="Q462">
        <v>0.49</v>
      </c>
      <c r="R462" t="s">
        <v>3478</v>
      </c>
      <c r="T462" t="s">
        <v>3479</v>
      </c>
      <c r="U462">
        <v>-5</v>
      </c>
      <c r="V462" t="s">
        <v>3504</v>
      </c>
    </row>
    <row r="463" spans="1:22" ht="12.75" customHeight="1" x14ac:dyDescent="0.15">
      <c r="A463">
        <v>13</v>
      </c>
      <c r="B463">
        <v>2026</v>
      </c>
      <c r="C463" s="21">
        <v>46109</v>
      </c>
      <c r="D463" t="s">
        <v>68</v>
      </c>
      <c r="E463" t="s">
        <v>69</v>
      </c>
      <c r="F463" t="s">
        <v>21</v>
      </c>
      <c r="G463">
        <v>1</v>
      </c>
      <c r="H463" t="s">
        <v>3605</v>
      </c>
      <c r="I463" t="s">
        <v>335</v>
      </c>
      <c r="J463" s="1" t="s">
        <v>3533</v>
      </c>
      <c r="K463" t="s">
        <v>181</v>
      </c>
      <c r="L463" t="s">
        <v>3481</v>
      </c>
      <c r="M463">
        <v>40</v>
      </c>
      <c r="N463">
        <v>0.08</v>
      </c>
      <c r="O463" t="s">
        <v>211</v>
      </c>
      <c r="P463">
        <v>4.41</v>
      </c>
      <c r="Q463">
        <v>0.49</v>
      </c>
      <c r="R463" t="s">
        <v>3482</v>
      </c>
      <c r="T463" t="s">
        <v>3479</v>
      </c>
      <c r="U463">
        <v>-5</v>
      </c>
      <c r="V463" t="s">
        <v>3603</v>
      </c>
    </row>
    <row r="464" spans="1:22" ht="12.75" customHeight="1" x14ac:dyDescent="0.15">
      <c r="A464">
        <v>13</v>
      </c>
      <c r="B464">
        <v>2026</v>
      </c>
      <c r="C464" s="21">
        <v>46110</v>
      </c>
      <c r="D464" t="s">
        <v>53</v>
      </c>
      <c r="E464" t="s">
        <v>54</v>
      </c>
      <c r="F464" t="s">
        <v>21</v>
      </c>
      <c r="G464">
        <v>2</v>
      </c>
      <c r="H464" t="s">
        <v>3454</v>
      </c>
      <c r="I464" t="s">
        <v>212</v>
      </c>
      <c r="J464" s="1" t="s">
        <v>188</v>
      </c>
      <c r="K464" t="s">
        <v>181</v>
      </c>
      <c r="L464" t="s">
        <v>3340</v>
      </c>
      <c r="M464">
        <v>78</v>
      </c>
      <c r="N464">
        <v>1.27</v>
      </c>
      <c r="O464" t="s">
        <v>211</v>
      </c>
      <c r="P464">
        <v>70</v>
      </c>
      <c r="R464" t="s">
        <v>3341</v>
      </c>
      <c r="T464" t="s">
        <v>3337</v>
      </c>
      <c r="U464">
        <v>24</v>
      </c>
      <c r="V464" t="s">
        <v>3607</v>
      </c>
    </row>
    <row r="465" spans="1:22" ht="12.75" customHeight="1" x14ac:dyDescent="0.15">
      <c r="A465">
        <v>13</v>
      </c>
      <c r="B465">
        <v>2026</v>
      </c>
      <c r="C465" s="21">
        <v>46110</v>
      </c>
      <c r="D465" t="s">
        <v>53</v>
      </c>
      <c r="E465" t="s">
        <v>54</v>
      </c>
      <c r="F465" t="s">
        <v>21</v>
      </c>
      <c r="G465">
        <v>2</v>
      </c>
      <c r="H465" t="s">
        <v>3454</v>
      </c>
      <c r="I465" t="s">
        <v>212</v>
      </c>
      <c r="J465" s="1" t="s">
        <v>188</v>
      </c>
      <c r="K465" t="s">
        <v>181</v>
      </c>
      <c r="L465" t="s">
        <v>3340</v>
      </c>
      <c r="M465">
        <v>6</v>
      </c>
      <c r="N465">
        <v>1</v>
      </c>
      <c r="O465" t="s">
        <v>240</v>
      </c>
      <c r="P465">
        <v>50</v>
      </c>
      <c r="R465" t="s">
        <v>3335</v>
      </c>
      <c r="T465" t="s">
        <v>3337</v>
      </c>
      <c r="U465">
        <v>24</v>
      </c>
      <c r="V465" t="s">
        <v>3608</v>
      </c>
    </row>
    <row r="466" spans="1:22" ht="12.75" customHeight="1" x14ac:dyDescent="0.15">
      <c r="A466">
        <v>13</v>
      </c>
      <c r="B466">
        <v>2026</v>
      </c>
      <c r="C466" s="21">
        <v>46111</v>
      </c>
      <c r="D466" t="s">
        <v>68</v>
      </c>
      <c r="E466" t="s">
        <v>69</v>
      </c>
      <c r="F466" t="s">
        <v>21</v>
      </c>
      <c r="G466">
        <v>1</v>
      </c>
      <c r="H466" t="s">
        <v>3505</v>
      </c>
      <c r="I466" t="s">
        <v>29</v>
      </c>
      <c r="J466" s="1" t="s">
        <v>30</v>
      </c>
      <c r="K466" t="s">
        <v>181</v>
      </c>
      <c r="L466" t="s">
        <v>3340</v>
      </c>
      <c r="M466">
        <v>58</v>
      </c>
      <c r="N466">
        <v>1.25</v>
      </c>
      <c r="O466" t="s">
        <v>240</v>
      </c>
      <c r="P466">
        <v>62.5</v>
      </c>
      <c r="R466" t="s">
        <v>3343</v>
      </c>
      <c r="T466" t="s">
        <v>3337</v>
      </c>
      <c r="U466">
        <v>-3</v>
      </c>
      <c r="V466" t="s">
        <v>3609</v>
      </c>
    </row>
    <row r="467" spans="1:22" ht="12.75" customHeight="1" x14ac:dyDescent="0.15">
      <c r="A467">
        <v>13</v>
      </c>
      <c r="B467">
        <v>2026</v>
      </c>
      <c r="C467" s="21">
        <v>46111</v>
      </c>
      <c r="D467" t="s">
        <v>68</v>
      </c>
      <c r="E467" t="s">
        <v>69</v>
      </c>
      <c r="F467" t="s">
        <v>21</v>
      </c>
      <c r="G467">
        <v>1</v>
      </c>
      <c r="H467" t="s">
        <v>3505</v>
      </c>
      <c r="I467" t="s">
        <v>29</v>
      </c>
      <c r="J467" s="1" t="s">
        <v>30</v>
      </c>
      <c r="K467" t="s">
        <v>181</v>
      </c>
      <c r="L467" t="s">
        <v>3340</v>
      </c>
      <c r="M467">
        <v>45</v>
      </c>
      <c r="N467">
        <v>1.25</v>
      </c>
      <c r="O467" t="s">
        <v>240</v>
      </c>
      <c r="P467">
        <v>62.5</v>
      </c>
      <c r="R467" t="s">
        <v>3377</v>
      </c>
      <c r="T467" t="s">
        <v>3337</v>
      </c>
      <c r="U467">
        <v>-3</v>
      </c>
      <c r="V467" t="s">
        <v>3609</v>
      </c>
    </row>
    <row r="468" spans="1:22" ht="12.75" customHeight="1" x14ac:dyDescent="0.15">
      <c r="A468">
        <v>13</v>
      </c>
      <c r="B468">
        <v>2026</v>
      </c>
      <c r="C468" s="21">
        <v>46111</v>
      </c>
      <c r="D468" t="s">
        <v>68</v>
      </c>
      <c r="E468" t="s">
        <v>69</v>
      </c>
      <c r="F468" t="s">
        <v>21</v>
      </c>
      <c r="G468">
        <v>1</v>
      </c>
      <c r="H468" t="s">
        <v>3505</v>
      </c>
      <c r="I468" t="s">
        <v>29</v>
      </c>
      <c r="J468" s="1" t="s">
        <v>30</v>
      </c>
      <c r="K468" t="s">
        <v>181</v>
      </c>
      <c r="L468" t="s">
        <v>3340</v>
      </c>
      <c r="M468">
        <v>81</v>
      </c>
      <c r="N468">
        <v>1.1399999999999999</v>
      </c>
      <c r="O468" t="s">
        <v>211</v>
      </c>
      <c r="P468">
        <v>62.5</v>
      </c>
      <c r="R468" t="s">
        <v>3374</v>
      </c>
      <c r="T468" t="s">
        <v>3337</v>
      </c>
      <c r="U468">
        <v>-3</v>
      </c>
      <c r="V468" t="s">
        <v>3609</v>
      </c>
    </row>
    <row r="469" spans="1:22" ht="12.75" customHeight="1" x14ac:dyDescent="0.15">
      <c r="A469">
        <v>13</v>
      </c>
      <c r="B469">
        <v>2026</v>
      </c>
      <c r="C469" s="21">
        <v>46111</v>
      </c>
      <c r="D469" t="s">
        <v>68</v>
      </c>
      <c r="E469" t="s">
        <v>69</v>
      </c>
      <c r="F469" t="s">
        <v>21</v>
      </c>
      <c r="G469">
        <v>1</v>
      </c>
      <c r="H469" t="s">
        <v>3505</v>
      </c>
      <c r="I469" t="s">
        <v>29</v>
      </c>
      <c r="J469" s="1" t="s">
        <v>30</v>
      </c>
      <c r="K469" t="s">
        <v>181</v>
      </c>
      <c r="L469" t="s">
        <v>3340</v>
      </c>
      <c r="M469">
        <v>62</v>
      </c>
      <c r="N469">
        <v>1.1399999999999999</v>
      </c>
      <c r="O469" t="s">
        <v>211</v>
      </c>
      <c r="P469">
        <v>62.5</v>
      </c>
      <c r="R469" t="s">
        <v>3375</v>
      </c>
      <c r="T469" t="s">
        <v>3337</v>
      </c>
      <c r="U469">
        <v>-3</v>
      </c>
      <c r="V469" t="s">
        <v>3609</v>
      </c>
    </row>
    <row r="470" spans="1:22" ht="12.75" customHeight="1" x14ac:dyDescent="0.15">
      <c r="A470">
        <v>13</v>
      </c>
      <c r="B470">
        <v>2026</v>
      </c>
      <c r="C470" s="21">
        <v>46111</v>
      </c>
      <c r="D470" t="s">
        <v>68</v>
      </c>
      <c r="E470" t="s">
        <v>69</v>
      </c>
      <c r="F470" t="s">
        <v>21</v>
      </c>
      <c r="G470">
        <v>1</v>
      </c>
      <c r="H470" t="s">
        <v>3505</v>
      </c>
      <c r="I470" t="s">
        <v>29</v>
      </c>
      <c r="J470" s="1" t="s">
        <v>30</v>
      </c>
      <c r="K470" t="s">
        <v>181</v>
      </c>
      <c r="L470" t="s">
        <v>3340</v>
      </c>
      <c r="M470">
        <v>53</v>
      </c>
      <c r="N470">
        <v>1.1399999999999999</v>
      </c>
      <c r="O470" t="s">
        <v>211</v>
      </c>
      <c r="P470">
        <v>62.5</v>
      </c>
      <c r="R470" t="s">
        <v>3373</v>
      </c>
      <c r="T470" t="s">
        <v>3337</v>
      </c>
      <c r="U470">
        <v>-3</v>
      </c>
      <c r="V470" t="s">
        <v>3609</v>
      </c>
    </row>
    <row r="471" spans="1:22" ht="12.75" customHeight="1" x14ac:dyDescent="0.15">
      <c r="A471">
        <v>13</v>
      </c>
      <c r="B471">
        <v>2026</v>
      </c>
      <c r="C471" s="21">
        <v>46111</v>
      </c>
      <c r="D471" t="s">
        <v>68</v>
      </c>
      <c r="E471" t="s">
        <v>69</v>
      </c>
      <c r="F471" t="s">
        <v>21</v>
      </c>
      <c r="G471">
        <v>1</v>
      </c>
      <c r="H471" t="s">
        <v>3505</v>
      </c>
      <c r="I471" t="s">
        <v>29</v>
      </c>
      <c r="J471" s="1" t="s">
        <v>30</v>
      </c>
      <c r="K471" t="s">
        <v>181</v>
      </c>
      <c r="L471" t="s">
        <v>3340</v>
      </c>
      <c r="M471">
        <v>132</v>
      </c>
      <c r="N471">
        <v>1.1399999999999999</v>
      </c>
      <c r="O471" t="s">
        <v>211</v>
      </c>
      <c r="P471">
        <v>62.5</v>
      </c>
      <c r="R471" t="s">
        <v>3368</v>
      </c>
      <c r="T471" t="s">
        <v>3337</v>
      </c>
      <c r="U471">
        <v>-3</v>
      </c>
      <c r="V471" t="s">
        <v>3609</v>
      </c>
    </row>
    <row r="472" spans="1:22" ht="12.75" customHeight="1" x14ac:dyDescent="0.15">
      <c r="A472">
        <v>13</v>
      </c>
      <c r="B472">
        <v>2026</v>
      </c>
      <c r="C472" s="21">
        <v>46111</v>
      </c>
      <c r="D472" t="s">
        <v>47</v>
      </c>
      <c r="E472" t="s">
        <v>48</v>
      </c>
      <c r="F472" t="s">
        <v>21</v>
      </c>
      <c r="G472">
        <v>2</v>
      </c>
      <c r="H472" t="s">
        <v>3391</v>
      </c>
      <c r="I472" t="s">
        <v>353</v>
      </c>
      <c r="J472" s="1" t="s">
        <v>253</v>
      </c>
      <c r="K472" t="s">
        <v>181</v>
      </c>
      <c r="L472" t="s">
        <v>3333</v>
      </c>
      <c r="M472">
        <v>2</v>
      </c>
      <c r="N472">
        <v>0.28000000000000003</v>
      </c>
      <c r="O472" t="s">
        <v>3440</v>
      </c>
      <c r="P472">
        <v>25</v>
      </c>
      <c r="R472" t="s">
        <v>3424</v>
      </c>
      <c r="T472" t="s">
        <v>3337</v>
      </c>
      <c r="U472">
        <v>39</v>
      </c>
      <c r="V472" t="s">
        <v>3610</v>
      </c>
    </row>
    <row r="473" spans="1:22" ht="12.75" customHeight="1" x14ac:dyDescent="0.15">
      <c r="A473">
        <v>13</v>
      </c>
      <c r="B473">
        <v>2026</v>
      </c>
      <c r="C473" s="21">
        <v>46111</v>
      </c>
      <c r="D473" t="s">
        <v>68</v>
      </c>
      <c r="E473" t="s">
        <v>69</v>
      </c>
      <c r="F473" t="s">
        <v>21</v>
      </c>
      <c r="G473">
        <v>1</v>
      </c>
      <c r="H473" t="s">
        <v>3505</v>
      </c>
      <c r="I473" t="s">
        <v>29</v>
      </c>
      <c r="J473" s="1" t="s">
        <v>30</v>
      </c>
      <c r="K473" t="s">
        <v>181</v>
      </c>
      <c r="L473" t="s">
        <v>3333</v>
      </c>
      <c r="M473">
        <v>2</v>
      </c>
      <c r="N473">
        <v>0.69</v>
      </c>
      <c r="O473" t="s">
        <v>3440</v>
      </c>
      <c r="P473">
        <v>62.5</v>
      </c>
      <c r="R473" t="s">
        <v>3424</v>
      </c>
      <c r="T473" t="s">
        <v>3337</v>
      </c>
      <c r="U473">
        <v>-3</v>
      </c>
      <c r="V473" t="s">
        <v>3609</v>
      </c>
    </row>
    <row r="474" spans="1:22" ht="12.75" customHeight="1" x14ac:dyDescent="0.15">
      <c r="A474">
        <v>13</v>
      </c>
      <c r="B474">
        <v>2026</v>
      </c>
      <c r="C474" s="21">
        <v>46111</v>
      </c>
      <c r="D474" t="s">
        <v>68</v>
      </c>
      <c r="E474" t="s">
        <v>69</v>
      </c>
      <c r="F474" t="s">
        <v>21</v>
      </c>
      <c r="G474">
        <v>1</v>
      </c>
      <c r="H474" t="s">
        <v>3423</v>
      </c>
      <c r="I474" t="s">
        <v>331</v>
      </c>
      <c r="J474" s="1" t="s">
        <v>30</v>
      </c>
      <c r="K474" t="s">
        <v>181</v>
      </c>
      <c r="L474" t="s">
        <v>3340</v>
      </c>
      <c r="M474">
        <v>72</v>
      </c>
      <c r="N474">
        <v>0.4</v>
      </c>
      <c r="O474" t="s">
        <v>240</v>
      </c>
      <c r="P474">
        <v>20</v>
      </c>
      <c r="Q474">
        <v>2</v>
      </c>
      <c r="R474" t="s">
        <v>3488</v>
      </c>
      <c r="T474" t="s">
        <v>3337</v>
      </c>
      <c r="U474">
        <v>-3</v>
      </c>
      <c r="V474" t="s">
        <v>257</v>
      </c>
    </row>
    <row r="475" spans="1:22" ht="12.75" customHeight="1" x14ac:dyDescent="0.15">
      <c r="A475">
        <v>13</v>
      </c>
      <c r="B475">
        <v>2026</v>
      </c>
      <c r="C475" s="21">
        <v>46111</v>
      </c>
      <c r="D475" t="s">
        <v>73</v>
      </c>
      <c r="E475" t="s">
        <v>74</v>
      </c>
      <c r="F475" t="s">
        <v>75</v>
      </c>
      <c r="G475">
        <v>2.2999999999999998</v>
      </c>
      <c r="H475" t="s">
        <v>3339</v>
      </c>
      <c r="I475" t="s">
        <v>187</v>
      </c>
      <c r="J475" s="1" t="s">
        <v>188</v>
      </c>
      <c r="K475" t="s">
        <v>181</v>
      </c>
      <c r="L475" t="s">
        <v>3333</v>
      </c>
      <c r="M475">
        <v>1</v>
      </c>
      <c r="N475">
        <v>1</v>
      </c>
      <c r="O475" t="s">
        <v>3358</v>
      </c>
      <c r="P475">
        <v>71.86</v>
      </c>
      <c r="Q475">
        <v>8</v>
      </c>
      <c r="R475" t="s">
        <v>3359</v>
      </c>
      <c r="T475" t="s">
        <v>3337</v>
      </c>
      <c r="U475">
        <v>-19</v>
      </c>
      <c r="V475" t="s">
        <v>3611</v>
      </c>
    </row>
    <row r="476" spans="1:22" ht="12.75" customHeight="1" x14ac:dyDescent="0.15">
      <c r="A476">
        <v>13</v>
      </c>
      <c r="B476">
        <v>2026</v>
      </c>
      <c r="C476" s="21">
        <v>46111</v>
      </c>
      <c r="D476" t="s">
        <v>80</v>
      </c>
      <c r="E476" t="s">
        <v>81</v>
      </c>
      <c r="F476" t="s">
        <v>21</v>
      </c>
      <c r="G476">
        <v>2.2999999999999998</v>
      </c>
      <c r="H476" t="s">
        <v>3339</v>
      </c>
      <c r="I476" t="s">
        <v>187</v>
      </c>
      <c r="J476" s="1" t="s">
        <v>188</v>
      </c>
      <c r="K476" t="s">
        <v>181</v>
      </c>
      <c r="L476" t="s">
        <v>3333</v>
      </c>
      <c r="M476">
        <v>6</v>
      </c>
      <c r="N476">
        <v>1</v>
      </c>
      <c r="O476" t="s">
        <v>3334</v>
      </c>
      <c r="P476">
        <v>81.58</v>
      </c>
      <c r="Q476">
        <v>8</v>
      </c>
      <c r="R476" t="s">
        <v>3335</v>
      </c>
      <c r="T476" t="s">
        <v>3337</v>
      </c>
      <c r="U476">
        <v>-3</v>
      </c>
      <c r="V476" t="s">
        <v>3612</v>
      </c>
    </row>
    <row r="477" spans="1:22" ht="12.75" customHeight="1" x14ac:dyDescent="0.15">
      <c r="A477">
        <v>13</v>
      </c>
      <c r="B477">
        <v>2026</v>
      </c>
      <c r="C477" s="21">
        <v>46111</v>
      </c>
      <c r="D477" t="s">
        <v>68</v>
      </c>
      <c r="E477" t="s">
        <v>69</v>
      </c>
      <c r="F477" t="s">
        <v>21</v>
      </c>
      <c r="G477">
        <v>1</v>
      </c>
      <c r="H477" t="s">
        <v>3495</v>
      </c>
      <c r="I477" t="s">
        <v>29</v>
      </c>
      <c r="J477" s="1" t="s">
        <v>30</v>
      </c>
      <c r="K477" t="s">
        <v>181</v>
      </c>
      <c r="L477" t="s">
        <v>3333</v>
      </c>
      <c r="M477">
        <v>67</v>
      </c>
      <c r="N477">
        <v>0.38</v>
      </c>
      <c r="O477" t="s">
        <v>3334</v>
      </c>
      <c r="P477">
        <v>30.59</v>
      </c>
      <c r="Q477">
        <v>3</v>
      </c>
      <c r="R477" t="s">
        <v>3404</v>
      </c>
      <c r="T477" t="s">
        <v>3402</v>
      </c>
      <c r="U477">
        <v>-3</v>
      </c>
      <c r="V477" t="s">
        <v>3491</v>
      </c>
    </row>
    <row r="478" spans="1:22" ht="12.75" customHeight="1" x14ac:dyDescent="0.15">
      <c r="A478">
        <v>13</v>
      </c>
      <c r="B478">
        <v>2026</v>
      </c>
      <c r="C478" s="21">
        <v>46111</v>
      </c>
      <c r="D478" t="s">
        <v>68</v>
      </c>
      <c r="E478" t="s">
        <v>69</v>
      </c>
      <c r="F478" t="s">
        <v>21</v>
      </c>
      <c r="G478">
        <v>1</v>
      </c>
      <c r="H478" t="s">
        <v>3495</v>
      </c>
      <c r="I478" t="s">
        <v>29</v>
      </c>
      <c r="J478" s="1" t="s">
        <v>30</v>
      </c>
      <c r="K478" t="s">
        <v>181</v>
      </c>
      <c r="L478" t="s">
        <v>3333</v>
      </c>
      <c r="M478">
        <v>19</v>
      </c>
      <c r="N478">
        <v>0.38</v>
      </c>
      <c r="O478" t="s">
        <v>3334</v>
      </c>
      <c r="P478">
        <v>30.59</v>
      </c>
      <c r="Q478">
        <v>3</v>
      </c>
      <c r="R478" t="s">
        <v>3403</v>
      </c>
      <c r="T478" t="s">
        <v>3402</v>
      </c>
      <c r="U478">
        <v>-3</v>
      </c>
      <c r="V478" t="s">
        <v>3491</v>
      </c>
    </row>
    <row r="479" spans="1:22" ht="12.75" customHeight="1" x14ac:dyDescent="0.15">
      <c r="A479">
        <v>13</v>
      </c>
      <c r="B479">
        <v>2026</v>
      </c>
      <c r="C479" s="21">
        <v>46111</v>
      </c>
      <c r="D479" t="s">
        <v>68</v>
      </c>
      <c r="E479" t="s">
        <v>69</v>
      </c>
      <c r="F479" t="s">
        <v>21</v>
      </c>
      <c r="G479">
        <v>1</v>
      </c>
      <c r="H479" t="s">
        <v>3495</v>
      </c>
      <c r="I479" t="s">
        <v>29</v>
      </c>
      <c r="J479" s="1" t="s">
        <v>30</v>
      </c>
      <c r="K479" t="s">
        <v>181</v>
      </c>
      <c r="L479" t="s">
        <v>3333</v>
      </c>
      <c r="M479">
        <v>91</v>
      </c>
      <c r="N479">
        <v>0.38</v>
      </c>
      <c r="O479" t="s">
        <v>3334</v>
      </c>
      <c r="P479">
        <v>30.59</v>
      </c>
      <c r="Q479">
        <v>3</v>
      </c>
      <c r="R479" t="s">
        <v>3412</v>
      </c>
      <c r="T479" t="s">
        <v>3402</v>
      </c>
      <c r="U479">
        <v>-3</v>
      </c>
      <c r="V479" t="s">
        <v>3491</v>
      </c>
    </row>
    <row r="480" spans="1:22" ht="12.75" customHeight="1" x14ac:dyDescent="0.15">
      <c r="A480">
        <v>13</v>
      </c>
      <c r="B480">
        <v>2026</v>
      </c>
      <c r="C480" s="21">
        <v>46111</v>
      </c>
      <c r="D480" t="s">
        <v>68</v>
      </c>
      <c r="E480" t="s">
        <v>69</v>
      </c>
      <c r="F480" t="s">
        <v>21</v>
      </c>
      <c r="G480">
        <v>1</v>
      </c>
      <c r="H480" t="s">
        <v>3495</v>
      </c>
      <c r="I480" t="s">
        <v>29</v>
      </c>
      <c r="J480" s="1" t="s">
        <v>30</v>
      </c>
      <c r="K480" t="s">
        <v>181</v>
      </c>
      <c r="L480" t="s">
        <v>3340</v>
      </c>
      <c r="M480">
        <v>78</v>
      </c>
      <c r="N480">
        <v>0.49</v>
      </c>
      <c r="O480" t="s">
        <v>211</v>
      </c>
      <c r="P480">
        <v>27</v>
      </c>
      <c r="Q480">
        <v>3</v>
      </c>
      <c r="R480" t="s">
        <v>3341</v>
      </c>
      <c r="T480" t="s">
        <v>3402</v>
      </c>
      <c r="U480">
        <v>-3</v>
      </c>
      <c r="V480" t="s">
        <v>273</v>
      </c>
    </row>
    <row r="481" spans="1:22" ht="12.75" customHeight="1" x14ac:dyDescent="0.15">
      <c r="A481">
        <v>13</v>
      </c>
      <c r="B481">
        <v>2026</v>
      </c>
      <c r="C481" s="21">
        <v>46111</v>
      </c>
      <c r="D481" t="s">
        <v>68</v>
      </c>
      <c r="E481" t="s">
        <v>69</v>
      </c>
      <c r="F481" t="s">
        <v>21</v>
      </c>
      <c r="G481">
        <v>1</v>
      </c>
      <c r="H481" t="s">
        <v>3495</v>
      </c>
      <c r="I481" t="s">
        <v>29</v>
      </c>
      <c r="J481" s="1" t="s">
        <v>30</v>
      </c>
      <c r="K481" t="s">
        <v>181</v>
      </c>
      <c r="L481" t="s">
        <v>3340</v>
      </c>
      <c r="M481">
        <v>49</v>
      </c>
      <c r="N481">
        <v>0.49</v>
      </c>
      <c r="O481" t="s">
        <v>211</v>
      </c>
      <c r="P481">
        <v>27</v>
      </c>
      <c r="Q481">
        <v>3</v>
      </c>
      <c r="R481" t="s">
        <v>3434</v>
      </c>
      <c r="T481" t="s">
        <v>3402</v>
      </c>
      <c r="U481">
        <v>-3</v>
      </c>
      <c r="V481" t="s">
        <v>273</v>
      </c>
    </row>
    <row r="482" spans="1:22" ht="12.75" customHeight="1" x14ac:dyDescent="0.15">
      <c r="A482">
        <v>13</v>
      </c>
      <c r="B482">
        <v>2026</v>
      </c>
      <c r="C482" s="21">
        <v>46111</v>
      </c>
      <c r="D482" t="s">
        <v>68</v>
      </c>
      <c r="E482" t="s">
        <v>69</v>
      </c>
      <c r="F482" t="s">
        <v>21</v>
      </c>
      <c r="G482">
        <v>1</v>
      </c>
      <c r="H482" t="s">
        <v>3495</v>
      </c>
      <c r="I482" t="s">
        <v>29</v>
      </c>
      <c r="J482" s="1" t="s">
        <v>30</v>
      </c>
      <c r="K482" t="s">
        <v>181</v>
      </c>
      <c r="L482" t="s">
        <v>3340</v>
      </c>
      <c r="M482">
        <v>67</v>
      </c>
      <c r="N482">
        <v>0.75</v>
      </c>
      <c r="O482" t="s">
        <v>211</v>
      </c>
      <c r="P482">
        <v>41.12</v>
      </c>
      <c r="R482" t="s">
        <v>3404</v>
      </c>
      <c r="T482" t="s">
        <v>3402</v>
      </c>
      <c r="U482">
        <v>-3</v>
      </c>
      <c r="V482" t="s">
        <v>3613</v>
      </c>
    </row>
    <row r="483" spans="1:22" ht="12.75" customHeight="1" x14ac:dyDescent="0.15">
      <c r="A483">
        <v>13</v>
      </c>
      <c r="B483">
        <v>2026</v>
      </c>
      <c r="C483" s="21">
        <v>46111</v>
      </c>
      <c r="D483" t="s">
        <v>68</v>
      </c>
      <c r="E483" t="s">
        <v>69</v>
      </c>
      <c r="F483" t="s">
        <v>21</v>
      </c>
      <c r="G483">
        <v>1</v>
      </c>
      <c r="H483" t="s">
        <v>3495</v>
      </c>
      <c r="I483" t="s">
        <v>29</v>
      </c>
      <c r="J483" s="1" t="s">
        <v>30</v>
      </c>
      <c r="K483" t="s">
        <v>181</v>
      </c>
      <c r="L483" t="s">
        <v>3340</v>
      </c>
      <c r="M483">
        <v>19</v>
      </c>
      <c r="N483">
        <v>0.75</v>
      </c>
      <c r="O483" t="s">
        <v>211</v>
      </c>
      <c r="P483">
        <v>41.12</v>
      </c>
      <c r="R483" t="s">
        <v>3403</v>
      </c>
      <c r="T483" t="s">
        <v>3402</v>
      </c>
      <c r="U483">
        <v>-3</v>
      </c>
      <c r="V483" t="s">
        <v>3613</v>
      </c>
    </row>
    <row r="484" spans="1:22" ht="12.75" customHeight="1" x14ac:dyDescent="0.15">
      <c r="A484">
        <v>13</v>
      </c>
      <c r="B484">
        <v>2026</v>
      </c>
      <c r="C484" s="21">
        <v>46111</v>
      </c>
      <c r="D484" t="s">
        <v>68</v>
      </c>
      <c r="E484" t="s">
        <v>69</v>
      </c>
      <c r="F484" t="s">
        <v>21</v>
      </c>
      <c r="G484">
        <v>1</v>
      </c>
      <c r="H484" t="s">
        <v>3495</v>
      </c>
      <c r="I484" t="s">
        <v>29</v>
      </c>
      <c r="J484" s="1" t="s">
        <v>30</v>
      </c>
      <c r="K484" t="s">
        <v>181</v>
      </c>
      <c r="L484" t="s">
        <v>3340</v>
      </c>
      <c r="M484">
        <v>91</v>
      </c>
      <c r="N484">
        <v>0.75</v>
      </c>
      <c r="O484" t="s">
        <v>211</v>
      </c>
      <c r="P484">
        <v>41.12</v>
      </c>
      <c r="R484" t="s">
        <v>3412</v>
      </c>
      <c r="T484" t="s">
        <v>3402</v>
      </c>
      <c r="U484">
        <v>-3</v>
      </c>
      <c r="V484" t="s">
        <v>3613</v>
      </c>
    </row>
    <row r="485" spans="1:22" ht="12.75" customHeight="1" x14ac:dyDescent="0.15">
      <c r="A485">
        <v>13</v>
      </c>
      <c r="B485">
        <v>2026</v>
      </c>
      <c r="C485" s="21">
        <v>46111</v>
      </c>
      <c r="D485" t="s">
        <v>68</v>
      </c>
      <c r="E485" t="s">
        <v>69</v>
      </c>
      <c r="F485" t="s">
        <v>21</v>
      </c>
      <c r="G485">
        <v>1</v>
      </c>
      <c r="H485" t="s">
        <v>3495</v>
      </c>
      <c r="I485" t="s">
        <v>29</v>
      </c>
      <c r="J485" s="1" t="s">
        <v>30</v>
      </c>
      <c r="K485" t="s">
        <v>181</v>
      </c>
      <c r="L485" t="s">
        <v>3340</v>
      </c>
      <c r="M485">
        <v>78</v>
      </c>
      <c r="N485">
        <v>2.2200000000000002</v>
      </c>
      <c r="O485" t="s">
        <v>211</v>
      </c>
      <c r="P485">
        <v>122</v>
      </c>
      <c r="R485" t="s">
        <v>3341</v>
      </c>
      <c r="T485" t="s">
        <v>3402</v>
      </c>
      <c r="U485">
        <v>-3</v>
      </c>
      <c r="V485" t="s">
        <v>339</v>
      </c>
    </row>
    <row r="486" spans="1:22" ht="12.75" customHeight="1" x14ac:dyDescent="0.15">
      <c r="A486">
        <v>13</v>
      </c>
      <c r="B486">
        <v>2026</v>
      </c>
      <c r="C486" s="21">
        <v>46111</v>
      </c>
      <c r="D486" t="s">
        <v>68</v>
      </c>
      <c r="E486" t="s">
        <v>69</v>
      </c>
      <c r="F486" t="s">
        <v>21</v>
      </c>
      <c r="G486">
        <v>1</v>
      </c>
      <c r="H486" t="s">
        <v>3495</v>
      </c>
      <c r="I486" t="s">
        <v>29</v>
      </c>
      <c r="J486" s="1" t="s">
        <v>30</v>
      </c>
      <c r="K486" t="s">
        <v>181</v>
      </c>
      <c r="L486" t="s">
        <v>3340</v>
      </c>
      <c r="M486">
        <v>49</v>
      </c>
      <c r="N486">
        <v>2.2200000000000002</v>
      </c>
      <c r="O486" t="s">
        <v>211</v>
      </c>
      <c r="P486">
        <v>122</v>
      </c>
      <c r="R486" t="s">
        <v>3434</v>
      </c>
      <c r="T486" t="s">
        <v>3402</v>
      </c>
      <c r="U486">
        <v>-3</v>
      </c>
      <c r="V486" t="s">
        <v>339</v>
      </c>
    </row>
    <row r="487" spans="1:22" ht="12.75" customHeight="1" x14ac:dyDescent="0.15">
      <c r="A487">
        <v>13</v>
      </c>
      <c r="B487">
        <v>2026</v>
      </c>
      <c r="C487" s="21">
        <v>46111</v>
      </c>
      <c r="D487" t="s">
        <v>68</v>
      </c>
      <c r="E487" t="s">
        <v>69</v>
      </c>
      <c r="F487" t="s">
        <v>21</v>
      </c>
      <c r="G487">
        <v>1</v>
      </c>
      <c r="H487" t="s">
        <v>3539</v>
      </c>
      <c r="I487" t="s">
        <v>3540</v>
      </c>
      <c r="J487" s="1" t="s">
        <v>3533</v>
      </c>
      <c r="K487" t="s">
        <v>181</v>
      </c>
      <c r="L487" t="s">
        <v>3477</v>
      </c>
      <c r="M487">
        <v>3</v>
      </c>
      <c r="N487">
        <v>0.05</v>
      </c>
      <c r="O487" t="s">
        <v>3334</v>
      </c>
      <c r="P487">
        <v>3.67</v>
      </c>
      <c r="Q487">
        <v>0.36</v>
      </c>
      <c r="R487" t="s">
        <v>3478</v>
      </c>
      <c r="T487" t="s">
        <v>3479</v>
      </c>
      <c r="U487">
        <v>-3</v>
      </c>
      <c r="V487" t="s">
        <v>3544</v>
      </c>
    </row>
    <row r="488" spans="1:22" ht="12.75" customHeight="1" x14ac:dyDescent="0.15">
      <c r="A488">
        <v>13</v>
      </c>
      <c r="B488">
        <v>2026</v>
      </c>
      <c r="C488" s="21">
        <v>46111</v>
      </c>
      <c r="D488" t="s">
        <v>68</v>
      </c>
      <c r="E488" t="s">
        <v>69</v>
      </c>
      <c r="F488" t="s">
        <v>21</v>
      </c>
      <c r="G488">
        <v>1</v>
      </c>
      <c r="H488" t="s">
        <v>3539</v>
      </c>
      <c r="I488" t="s">
        <v>3540</v>
      </c>
      <c r="J488" s="1" t="s">
        <v>3533</v>
      </c>
      <c r="K488" t="s">
        <v>181</v>
      </c>
      <c r="L488" t="s">
        <v>3481</v>
      </c>
      <c r="M488">
        <v>40</v>
      </c>
      <c r="N488">
        <v>0.05</v>
      </c>
      <c r="O488" t="s">
        <v>211</v>
      </c>
      <c r="P488">
        <v>2.97</v>
      </c>
      <c r="Q488">
        <v>0.33</v>
      </c>
      <c r="R488" t="s">
        <v>3482</v>
      </c>
      <c r="T488" t="s">
        <v>3479</v>
      </c>
      <c r="U488">
        <v>-3</v>
      </c>
      <c r="V488" t="s">
        <v>3543</v>
      </c>
    </row>
    <row r="489" spans="1:22" ht="12.75" customHeight="1" x14ac:dyDescent="0.15">
      <c r="A489">
        <v>13</v>
      </c>
      <c r="B489">
        <v>2026</v>
      </c>
      <c r="C489" s="21">
        <v>46111</v>
      </c>
      <c r="D489" t="s">
        <v>68</v>
      </c>
      <c r="E489" t="s">
        <v>69</v>
      </c>
      <c r="F489" t="s">
        <v>21</v>
      </c>
      <c r="G489">
        <v>1</v>
      </c>
      <c r="H489" t="s">
        <v>3552</v>
      </c>
      <c r="I489" t="s">
        <v>3553</v>
      </c>
      <c r="J489" s="1" t="s">
        <v>3533</v>
      </c>
      <c r="K489" t="s">
        <v>181</v>
      </c>
      <c r="L489" t="s">
        <v>3477</v>
      </c>
      <c r="M489">
        <v>3</v>
      </c>
      <c r="N489">
        <v>7.0000000000000007E-2</v>
      </c>
      <c r="O489" t="s">
        <v>3334</v>
      </c>
      <c r="P489">
        <v>5.61</v>
      </c>
      <c r="Q489">
        <v>0.55000000000000004</v>
      </c>
      <c r="R489" t="s">
        <v>3478</v>
      </c>
      <c r="T489" t="s">
        <v>3479</v>
      </c>
      <c r="U489">
        <v>-3</v>
      </c>
      <c r="V489" t="s">
        <v>3602</v>
      </c>
    </row>
    <row r="490" spans="1:22" ht="12.75" customHeight="1" x14ac:dyDescent="0.15">
      <c r="A490">
        <v>13</v>
      </c>
      <c r="B490">
        <v>2026</v>
      </c>
      <c r="C490" s="21">
        <v>46111</v>
      </c>
      <c r="D490" t="s">
        <v>68</v>
      </c>
      <c r="E490" t="s">
        <v>69</v>
      </c>
      <c r="F490" t="s">
        <v>21</v>
      </c>
      <c r="G490">
        <v>1</v>
      </c>
      <c r="H490" t="s">
        <v>3552</v>
      </c>
      <c r="I490" t="s">
        <v>3553</v>
      </c>
      <c r="J490" s="1" t="s">
        <v>3533</v>
      </c>
      <c r="K490" t="s">
        <v>181</v>
      </c>
      <c r="L490" t="s">
        <v>3481</v>
      </c>
      <c r="M490">
        <v>40</v>
      </c>
      <c r="N490">
        <v>0.08</v>
      </c>
      <c r="O490" t="s">
        <v>211</v>
      </c>
      <c r="P490">
        <v>4.41</v>
      </c>
      <c r="Q490">
        <v>0.49</v>
      </c>
      <c r="R490" t="s">
        <v>3482</v>
      </c>
      <c r="T490" t="s">
        <v>3479</v>
      </c>
      <c r="U490">
        <v>-3</v>
      </c>
      <c r="V490" t="s">
        <v>3603</v>
      </c>
    </row>
    <row r="491" spans="1:22" ht="12.75" customHeight="1" x14ac:dyDescent="0.15">
      <c r="A491">
        <v>13</v>
      </c>
      <c r="B491">
        <v>2026</v>
      </c>
      <c r="C491" s="21">
        <v>46111</v>
      </c>
      <c r="D491" t="s">
        <v>68</v>
      </c>
      <c r="E491" t="s">
        <v>69</v>
      </c>
      <c r="F491" t="s">
        <v>21</v>
      </c>
      <c r="G491">
        <v>1</v>
      </c>
      <c r="H491" t="s">
        <v>3614</v>
      </c>
      <c r="I491" t="s">
        <v>3615</v>
      </c>
      <c r="J491" s="1" t="s">
        <v>3533</v>
      </c>
      <c r="K491" t="s">
        <v>181</v>
      </c>
      <c r="L491" t="s">
        <v>3477</v>
      </c>
      <c r="M491">
        <v>3</v>
      </c>
      <c r="N491">
        <v>0.02</v>
      </c>
      <c r="O491" t="s">
        <v>3334</v>
      </c>
      <c r="P491">
        <v>1.84</v>
      </c>
      <c r="Q491">
        <v>0.18</v>
      </c>
      <c r="R491" t="s">
        <v>3478</v>
      </c>
      <c r="T491" t="s">
        <v>3479</v>
      </c>
      <c r="U491">
        <v>-3</v>
      </c>
      <c r="V491" t="s">
        <v>3480</v>
      </c>
    </row>
    <row r="492" spans="1:22" ht="12.75" customHeight="1" x14ac:dyDescent="0.15">
      <c r="A492">
        <v>13</v>
      </c>
      <c r="B492">
        <v>2026</v>
      </c>
      <c r="C492" s="21">
        <v>46111</v>
      </c>
      <c r="D492" t="s">
        <v>68</v>
      </c>
      <c r="E492" t="s">
        <v>69</v>
      </c>
      <c r="F492" t="s">
        <v>21</v>
      </c>
      <c r="G492">
        <v>1</v>
      </c>
      <c r="H492" t="s">
        <v>3614</v>
      </c>
      <c r="I492" t="s">
        <v>3615</v>
      </c>
      <c r="J492" s="1" t="s">
        <v>3533</v>
      </c>
      <c r="K492" t="s">
        <v>181</v>
      </c>
      <c r="L492" t="s">
        <v>3481</v>
      </c>
      <c r="M492">
        <v>40</v>
      </c>
      <c r="N492">
        <v>0.03</v>
      </c>
      <c r="O492" t="s">
        <v>211</v>
      </c>
      <c r="P492">
        <v>1.44</v>
      </c>
      <c r="Q492">
        <v>0.16</v>
      </c>
      <c r="R492" t="s">
        <v>3482</v>
      </c>
      <c r="T492" t="s">
        <v>3479</v>
      </c>
      <c r="U492">
        <v>-3</v>
      </c>
      <c r="V492" t="s">
        <v>3541</v>
      </c>
    </row>
    <row r="493" spans="1:22" ht="12.75" customHeight="1" x14ac:dyDescent="0.15">
      <c r="A493">
        <v>13</v>
      </c>
      <c r="B493">
        <v>2026</v>
      </c>
      <c r="C493" s="21">
        <v>46111</v>
      </c>
      <c r="D493" t="s">
        <v>68</v>
      </c>
      <c r="E493" t="s">
        <v>69</v>
      </c>
      <c r="F493" t="s">
        <v>21</v>
      </c>
      <c r="G493">
        <v>1</v>
      </c>
      <c r="H493" t="s">
        <v>3605</v>
      </c>
      <c r="I493" t="s">
        <v>335</v>
      </c>
      <c r="J493" s="1" t="s">
        <v>3533</v>
      </c>
      <c r="K493" t="s">
        <v>181</v>
      </c>
      <c r="L493" t="s">
        <v>3477</v>
      </c>
      <c r="M493">
        <v>3</v>
      </c>
      <c r="N493">
        <v>0.04</v>
      </c>
      <c r="O493" t="s">
        <v>3334</v>
      </c>
      <c r="P493">
        <v>3.06</v>
      </c>
      <c r="Q493">
        <v>0.3</v>
      </c>
      <c r="R493" t="s">
        <v>3478</v>
      </c>
      <c r="T493" t="s">
        <v>3479</v>
      </c>
      <c r="U493">
        <v>-3</v>
      </c>
      <c r="V493" t="s">
        <v>3538</v>
      </c>
    </row>
    <row r="494" spans="1:22" ht="12.75" customHeight="1" x14ac:dyDescent="0.15">
      <c r="A494">
        <v>13</v>
      </c>
      <c r="B494">
        <v>2026</v>
      </c>
      <c r="C494" s="21">
        <v>46111</v>
      </c>
      <c r="D494" t="s">
        <v>68</v>
      </c>
      <c r="E494" t="s">
        <v>69</v>
      </c>
      <c r="F494" t="s">
        <v>21</v>
      </c>
      <c r="G494">
        <v>1</v>
      </c>
      <c r="H494" t="s">
        <v>3605</v>
      </c>
      <c r="I494" t="s">
        <v>335</v>
      </c>
      <c r="J494" s="1" t="s">
        <v>3533</v>
      </c>
      <c r="K494" t="s">
        <v>181</v>
      </c>
      <c r="L494" t="s">
        <v>3481</v>
      </c>
      <c r="M494">
        <v>40</v>
      </c>
      <c r="N494">
        <v>0.04</v>
      </c>
      <c r="O494" t="s">
        <v>211</v>
      </c>
      <c r="P494">
        <v>2.25</v>
      </c>
      <c r="Q494">
        <v>0.25</v>
      </c>
      <c r="R494" t="s">
        <v>3482</v>
      </c>
      <c r="T494" t="s">
        <v>3479</v>
      </c>
      <c r="U494">
        <v>-3</v>
      </c>
      <c r="V494" t="s">
        <v>3534</v>
      </c>
    </row>
    <row r="495" spans="1:22" ht="12.75" customHeight="1" x14ac:dyDescent="0.15">
      <c r="A495">
        <v>13</v>
      </c>
      <c r="B495">
        <v>2026</v>
      </c>
      <c r="C495" s="21">
        <v>46111</v>
      </c>
      <c r="D495" t="s">
        <v>68</v>
      </c>
      <c r="E495" t="s">
        <v>69</v>
      </c>
      <c r="F495" t="s">
        <v>21</v>
      </c>
      <c r="G495">
        <v>1</v>
      </c>
      <c r="H495" t="s">
        <v>3605</v>
      </c>
      <c r="I495" t="s">
        <v>335</v>
      </c>
      <c r="J495" s="1" t="s">
        <v>3533</v>
      </c>
      <c r="K495" t="s">
        <v>181</v>
      </c>
      <c r="L495" t="s">
        <v>3477</v>
      </c>
      <c r="M495">
        <v>3</v>
      </c>
      <c r="N495">
        <v>0.05</v>
      </c>
      <c r="O495" t="s">
        <v>3334</v>
      </c>
      <c r="P495">
        <v>3.67</v>
      </c>
      <c r="Q495">
        <v>0.36</v>
      </c>
      <c r="R495" t="s">
        <v>3478</v>
      </c>
      <c r="T495" t="s">
        <v>3479</v>
      </c>
      <c r="U495">
        <v>-3</v>
      </c>
      <c r="V495" t="s">
        <v>3544</v>
      </c>
    </row>
    <row r="496" spans="1:22" ht="12.75" customHeight="1" x14ac:dyDescent="0.15">
      <c r="A496">
        <v>13</v>
      </c>
      <c r="B496">
        <v>2026</v>
      </c>
      <c r="C496" s="21">
        <v>46111</v>
      </c>
      <c r="D496" t="s">
        <v>68</v>
      </c>
      <c r="E496" t="s">
        <v>69</v>
      </c>
      <c r="F496" t="s">
        <v>21</v>
      </c>
      <c r="G496">
        <v>1</v>
      </c>
      <c r="H496" t="s">
        <v>3605</v>
      </c>
      <c r="I496" t="s">
        <v>335</v>
      </c>
      <c r="J496" s="1" t="s">
        <v>3533</v>
      </c>
      <c r="K496" t="s">
        <v>181</v>
      </c>
      <c r="L496" t="s">
        <v>3481</v>
      </c>
      <c r="M496">
        <v>40</v>
      </c>
      <c r="N496">
        <v>0.05</v>
      </c>
      <c r="O496" t="s">
        <v>211</v>
      </c>
      <c r="P496">
        <v>2.97</v>
      </c>
      <c r="Q496">
        <v>0.33</v>
      </c>
      <c r="R496" t="s">
        <v>3482</v>
      </c>
      <c r="T496" t="s">
        <v>3479</v>
      </c>
      <c r="U496">
        <v>-3</v>
      </c>
      <c r="V496" t="s">
        <v>3543</v>
      </c>
    </row>
    <row r="497" spans="1:22" ht="12.75" customHeight="1" x14ac:dyDescent="0.15">
      <c r="A497">
        <v>13</v>
      </c>
      <c r="B497">
        <v>2026</v>
      </c>
      <c r="C497" s="21">
        <v>46112</v>
      </c>
      <c r="D497" t="s">
        <v>47</v>
      </c>
      <c r="E497" t="s">
        <v>48</v>
      </c>
      <c r="F497" t="s">
        <v>21</v>
      </c>
      <c r="G497">
        <v>2</v>
      </c>
      <c r="H497" t="s">
        <v>3400</v>
      </c>
      <c r="I497" t="s">
        <v>353</v>
      </c>
      <c r="J497" s="1" t="s">
        <v>253</v>
      </c>
      <c r="K497" t="s">
        <v>181</v>
      </c>
      <c r="L497" t="s">
        <v>3333</v>
      </c>
      <c r="M497">
        <v>2</v>
      </c>
      <c r="N497">
        <v>0.38</v>
      </c>
      <c r="O497" t="s">
        <v>240</v>
      </c>
      <c r="P497">
        <v>18.75</v>
      </c>
      <c r="Q497">
        <v>3</v>
      </c>
      <c r="R497" t="s">
        <v>3424</v>
      </c>
      <c r="T497" t="s">
        <v>3337</v>
      </c>
      <c r="U497">
        <v>40</v>
      </c>
      <c r="V497" t="s">
        <v>3616</v>
      </c>
    </row>
    <row r="498" spans="1:22" ht="12.75" customHeight="1" x14ac:dyDescent="0.15">
      <c r="A498">
        <v>13</v>
      </c>
      <c r="B498">
        <v>2026</v>
      </c>
      <c r="C498" s="21">
        <v>46112</v>
      </c>
      <c r="D498" t="s">
        <v>73</v>
      </c>
      <c r="E498" t="s">
        <v>74</v>
      </c>
      <c r="F498" t="s">
        <v>75</v>
      </c>
      <c r="G498">
        <v>2.2999999999999998</v>
      </c>
      <c r="H498" t="s">
        <v>3339</v>
      </c>
      <c r="I498" t="s">
        <v>187</v>
      </c>
      <c r="J498" s="1" t="s">
        <v>188</v>
      </c>
      <c r="K498" t="s">
        <v>181</v>
      </c>
      <c r="L498" t="s">
        <v>3333</v>
      </c>
      <c r="M498">
        <v>1</v>
      </c>
      <c r="N498">
        <v>1</v>
      </c>
      <c r="O498" t="s">
        <v>3358</v>
      </c>
      <c r="P498">
        <v>71.86</v>
      </c>
      <c r="Q498">
        <v>8</v>
      </c>
      <c r="R498" t="s">
        <v>3359</v>
      </c>
      <c r="T498" t="s">
        <v>3337</v>
      </c>
      <c r="U498">
        <v>-18</v>
      </c>
      <c r="V498" t="s">
        <v>3611</v>
      </c>
    </row>
    <row r="499" spans="1:22" ht="12.75" customHeight="1" x14ac:dyDescent="0.15">
      <c r="A499">
        <v>13</v>
      </c>
      <c r="B499">
        <v>2026</v>
      </c>
      <c r="C499" s="21">
        <v>46112</v>
      </c>
      <c r="D499" t="s">
        <v>80</v>
      </c>
      <c r="E499" t="s">
        <v>81</v>
      </c>
      <c r="F499" t="s">
        <v>21</v>
      </c>
      <c r="G499">
        <v>2.2999999999999998</v>
      </c>
      <c r="H499" t="s">
        <v>3339</v>
      </c>
      <c r="I499" t="s">
        <v>187</v>
      </c>
      <c r="J499" s="1" t="s">
        <v>188</v>
      </c>
      <c r="K499" t="s">
        <v>181</v>
      </c>
      <c r="L499" t="s">
        <v>3333</v>
      </c>
      <c r="M499">
        <v>6</v>
      </c>
      <c r="N499">
        <v>1</v>
      </c>
      <c r="O499" t="s">
        <v>3334</v>
      </c>
      <c r="P499">
        <v>81.58</v>
      </c>
      <c r="Q499">
        <v>8</v>
      </c>
      <c r="R499" t="s">
        <v>3335</v>
      </c>
      <c r="T499" t="s">
        <v>3337</v>
      </c>
      <c r="U499">
        <v>-2</v>
      </c>
      <c r="V499" t="s">
        <v>3612</v>
      </c>
    </row>
    <row r="500" spans="1:22" ht="12.75" customHeight="1" x14ac:dyDescent="0.15">
      <c r="A500">
        <v>13</v>
      </c>
      <c r="B500">
        <v>2026</v>
      </c>
      <c r="C500" s="21">
        <v>46112</v>
      </c>
      <c r="D500" t="s">
        <v>47</v>
      </c>
      <c r="E500" t="s">
        <v>48</v>
      </c>
      <c r="F500" t="s">
        <v>21</v>
      </c>
      <c r="G500">
        <v>2</v>
      </c>
      <c r="H500" t="s">
        <v>3391</v>
      </c>
      <c r="I500" t="s">
        <v>353</v>
      </c>
      <c r="J500" s="1" t="s">
        <v>253</v>
      </c>
      <c r="K500" t="s">
        <v>181</v>
      </c>
      <c r="L500" t="s">
        <v>3340</v>
      </c>
      <c r="M500">
        <v>25</v>
      </c>
      <c r="N500">
        <v>0.41</v>
      </c>
      <c r="O500" t="s">
        <v>211</v>
      </c>
      <c r="P500">
        <v>22.5</v>
      </c>
      <c r="Q500">
        <v>2.5</v>
      </c>
      <c r="R500" t="s">
        <v>3413</v>
      </c>
      <c r="T500" t="s">
        <v>3402</v>
      </c>
      <c r="U500">
        <v>40</v>
      </c>
      <c r="V500" t="s">
        <v>3561</v>
      </c>
    </row>
    <row r="501" spans="1:22" ht="12.75" customHeight="1" x14ac:dyDescent="0.15">
      <c r="A501">
        <v>13</v>
      </c>
      <c r="B501">
        <v>2026</v>
      </c>
      <c r="C501" s="21">
        <v>46112</v>
      </c>
      <c r="D501" t="s">
        <v>68</v>
      </c>
      <c r="E501" t="s">
        <v>69</v>
      </c>
      <c r="F501" t="s">
        <v>21</v>
      </c>
      <c r="G501">
        <v>1</v>
      </c>
      <c r="H501" t="s">
        <v>3552</v>
      </c>
      <c r="I501" t="s">
        <v>3553</v>
      </c>
      <c r="J501" s="1" t="s">
        <v>3533</v>
      </c>
      <c r="K501" t="s">
        <v>181</v>
      </c>
      <c r="L501" t="s">
        <v>3477</v>
      </c>
      <c r="M501">
        <v>3</v>
      </c>
      <c r="N501">
        <v>0.02</v>
      </c>
      <c r="O501" t="s">
        <v>3334</v>
      </c>
      <c r="P501">
        <v>1.84</v>
      </c>
      <c r="Q501">
        <v>0.18</v>
      </c>
      <c r="R501" t="s">
        <v>3478</v>
      </c>
      <c r="T501" t="s">
        <v>3479</v>
      </c>
      <c r="U501">
        <v>-2</v>
      </c>
      <c r="V501" t="s">
        <v>3480</v>
      </c>
    </row>
    <row r="502" spans="1:22" ht="12.75" customHeight="1" x14ac:dyDescent="0.15">
      <c r="A502">
        <v>13</v>
      </c>
      <c r="B502">
        <v>2026</v>
      </c>
      <c r="C502" s="21">
        <v>46112</v>
      </c>
      <c r="D502" t="s">
        <v>68</v>
      </c>
      <c r="E502" t="s">
        <v>69</v>
      </c>
      <c r="F502" t="s">
        <v>21</v>
      </c>
      <c r="G502">
        <v>1</v>
      </c>
      <c r="H502" t="s">
        <v>3552</v>
      </c>
      <c r="I502" t="s">
        <v>3553</v>
      </c>
      <c r="J502" s="1" t="s">
        <v>3533</v>
      </c>
      <c r="K502" t="s">
        <v>181</v>
      </c>
      <c r="L502" t="s">
        <v>3481</v>
      </c>
      <c r="M502">
        <v>40</v>
      </c>
      <c r="N502">
        <v>0.03</v>
      </c>
      <c r="O502" t="s">
        <v>211</v>
      </c>
      <c r="P502">
        <v>1.44</v>
      </c>
      <c r="Q502">
        <v>0.16</v>
      </c>
      <c r="R502" t="s">
        <v>3482</v>
      </c>
      <c r="T502" t="s">
        <v>3479</v>
      </c>
      <c r="U502">
        <v>-2</v>
      </c>
      <c r="V502" t="s">
        <v>3541</v>
      </c>
    </row>
    <row r="503" spans="1:22" ht="12.75" customHeight="1" x14ac:dyDescent="0.15">
      <c r="A503">
        <v>13</v>
      </c>
      <c r="B503">
        <v>2026</v>
      </c>
      <c r="C503" s="21">
        <v>46112</v>
      </c>
      <c r="D503" t="s">
        <v>68</v>
      </c>
      <c r="E503" t="s">
        <v>69</v>
      </c>
      <c r="F503" t="s">
        <v>21</v>
      </c>
      <c r="G503">
        <v>1</v>
      </c>
      <c r="H503" t="s">
        <v>3605</v>
      </c>
      <c r="I503" t="s">
        <v>335</v>
      </c>
      <c r="J503" s="1" t="s">
        <v>3533</v>
      </c>
      <c r="K503" t="s">
        <v>181</v>
      </c>
      <c r="L503" t="s">
        <v>3477</v>
      </c>
      <c r="M503">
        <v>3</v>
      </c>
      <c r="N503">
        <v>0.04</v>
      </c>
      <c r="O503" t="s">
        <v>3334</v>
      </c>
      <c r="P503">
        <v>3.06</v>
      </c>
      <c r="Q503">
        <v>0.3</v>
      </c>
      <c r="R503" t="s">
        <v>3478</v>
      </c>
      <c r="T503" t="s">
        <v>3479</v>
      </c>
      <c r="U503">
        <v>-2</v>
      </c>
      <c r="V503" t="s">
        <v>3538</v>
      </c>
    </row>
    <row r="504" spans="1:22" ht="12.75" customHeight="1" x14ac:dyDescent="0.15">
      <c r="A504">
        <v>13</v>
      </c>
      <c r="B504">
        <v>2026</v>
      </c>
      <c r="C504" s="21">
        <v>46112</v>
      </c>
      <c r="D504" t="s">
        <v>68</v>
      </c>
      <c r="E504" t="s">
        <v>69</v>
      </c>
      <c r="F504" t="s">
        <v>21</v>
      </c>
      <c r="G504">
        <v>1</v>
      </c>
      <c r="H504" t="s">
        <v>3605</v>
      </c>
      <c r="I504" t="s">
        <v>335</v>
      </c>
      <c r="J504" s="1" t="s">
        <v>3533</v>
      </c>
      <c r="K504" t="s">
        <v>181</v>
      </c>
      <c r="L504" t="s">
        <v>3481</v>
      </c>
      <c r="M504">
        <v>40</v>
      </c>
      <c r="N504">
        <v>0.04</v>
      </c>
      <c r="O504" t="s">
        <v>211</v>
      </c>
      <c r="P504">
        <v>2.25</v>
      </c>
      <c r="Q504">
        <v>0.25</v>
      </c>
      <c r="R504" t="s">
        <v>3482</v>
      </c>
      <c r="T504" t="s">
        <v>3479</v>
      </c>
      <c r="U504">
        <v>-2</v>
      </c>
      <c r="V504" t="s">
        <v>3534</v>
      </c>
    </row>
    <row r="505" spans="1:22" ht="12.75" customHeight="1" x14ac:dyDescent="0.15">
      <c r="A505">
        <v>13</v>
      </c>
      <c r="B505">
        <v>2026</v>
      </c>
      <c r="C505" s="21">
        <v>46113</v>
      </c>
      <c r="D505" t="s">
        <v>73</v>
      </c>
      <c r="E505" t="s">
        <v>74</v>
      </c>
      <c r="F505" t="s">
        <v>75</v>
      </c>
      <c r="G505">
        <v>2.2999999999999998</v>
      </c>
      <c r="H505" t="s">
        <v>3495</v>
      </c>
      <c r="I505" t="s">
        <v>29</v>
      </c>
      <c r="J505" s="1" t="s">
        <v>30</v>
      </c>
      <c r="K505" t="s">
        <v>181</v>
      </c>
      <c r="L505" t="s">
        <v>3333</v>
      </c>
      <c r="M505">
        <v>2</v>
      </c>
      <c r="N505">
        <v>1</v>
      </c>
      <c r="O505" t="s">
        <v>3440</v>
      </c>
      <c r="P505">
        <v>90.49</v>
      </c>
      <c r="Q505">
        <v>8</v>
      </c>
      <c r="R505" t="s">
        <v>3424</v>
      </c>
      <c r="S505" t="s">
        <v>3617</v>
      </c>
      <c r="T505" t="s">
        <v>3337</v>
      </c>
      <c r="U505">
        <v>-17</v>
      </c>
      <c r="V505" t="s">
        <v>3618</v>
      </c>
    </row>
    <row r="506" spans="1:22" ht="12.75" customHeight="1" x14ac:dyDescent="0.15">
      <c r="A506">
        <v>13</v>
      </c>
      <c r="B506">
        <v>2026</v>
      </c>
      <c r="C506" s="21">
        <v>46113</v>
      </c>
      <c r="D506" t="s">
        <v>73</v>
      </c>
      <c r="E506" t="s">
        <v>74</v>
      </c>
      <c r="F506" t="s">
        <v>75</v>
      </c>
      <c r="G506">
        <v>2.2999999999999998</v>
      </c>
      <c r="H506" t="s">
        <v>3495</v>
      </c>
      <c r="I506" t="s">
        <v>29</v>
      </c>
      <c r="J506" s="1" t="s">
        <v>30</v>
      </c>
      <c r="K506" t="s">
        <v>181</v>
      </c>
      <c r="L506" t="s">
        <v>3340</v>
      </c>
      <c r="M506">
        <v>2</v>
      </c>
      <c r="N506">
        <v>1.54</v>
      </c>
      <c r="O506" t="s">
        <v>211</v>
      </c>
      <c r="P506">
        <v>84.51</v>
      </c>
      <c r="R506" t="s">
        <v>3424</v>
      </c>
      <c r="S506" t="s">
        <v>3619</v>
      </c>
      <c r="T506" t="s">
        <v>3337</v>
      </c>
      <c r="U506">
        <v>-17</v>
      </c>
      <c r="V506" t="s">
        <v>3620</v>
      </c>
    </row>
    <row r="507" spans="1:22" ht="12.75" customHeight="1" x14ac:dyDescent="0.15">
      <c r="A507">
        <v>13</v>
      </c>
      <c r="B507">
        <v>2026</v>
      </c>
      <c r="C507" s="21">
        <v>46113</v>
      </c>
      <c r="D507" t="s">
        <v>73</v>
      </c>
      <c r="E507" t="s">
        <v>74</v>
      </c>
      <c r="F507" t="s">
        <v>75</v>
      </c>
      <c r="G507">
        <v>2.2999999999999998</v>
      </c>
      <c r="H507" t="s">
        <v>3495</v>
      </c>
      <c r="I507" t="s">
        <v>29</v>
      </c>
      <c r="J507" s="1" t="s">
        <v>30</v>
      </c>
      <c r="K507" t="s">
        <v>181</v>
      </c>
      <c r="L507" t="s">
        <v>3340</v>
      </c>
      <c r="M507">
        <v>58</v>
      </c>
      <c r="N507">
        <v>3.18</v>
      </c>
      <c r="O507" t="s">
        <v>211</v>
      </c>
      <c r="P507">
        <v>175</v>
      </c>
      <c r="R507" t="s">
        <v>3343</v>
      </c>
      <c r="T507" t="s">
        <v>3337</v>
      </c>
      <c r="U507">
        <v>-17</v>
      </c>
      <c r="V507" t="s">
        <v>3621</v>
      </c>
    </row>
    <row r="508" spans="1:22" ht="12.75" customHeight="1" x14ac:dyDescent="0.15">
      <c r="A508">
        <v>13</v>
      </c>
      <c r="B508">
        <v>2026</v>
      </c>
      <c r="C508" s="21">
        <v>46113</v>
      </c>
      <c r="D508" t="s">
        <v>73</v>
      </c>
      <c r="E508" t="s">
        <v>74</v>
      </c>
      <c r="F508" t="s">
        <v>75</v>
      </c>
      <c r="G508">
        <v>2.2999999999999998</v>
      </c>
      <c r="H508" t="s">
        <v>3495</v>
      </c>
      <c r="I508" t="s">
        <v>29</v>
      </c>
      <c r="J508" s="1" t="s">
        <v>30</v>
      </c>
      <c r="K508" t="s">
        <v>181</v>
      </c>
      <c r="L508" t="s">
        <v>3340</v>
      </c>
      <c r="M508">
        <v>45</v>
      </c>
      <c r="N508">
        <v>3.18</v>
      </c>
      <c r="O508" t="s">
        <v>211</v>
      </c>
      <c r="P508">
        <v>175</v>
      </c>
      <c r="R508" t="s">
        <v>3377</v>
      </c>
      <c r="T508" t="s">
        <v>3337</v>
      </c>
      <c r="U508">
        <v>-17</v>
      </c>
      <c r="V508" t="s">
        <v>3621</v>
      </c>
    </row>
    <row r="509" spans="1:22" ht="12.75" customHeight="1" x14ac:dyDescent="0.15">
      <c r="A509">
        <v>13</v>
      </c>
      <c r="B509">
        <v>2026</v>
      </c>
      <c r="C509" s="21">
        <v>46113</v>
      </c>
      <c r="D509" t="s">
        <v>73</v>
      </c>
      <c r="E509" t="s">
        <v>74</v>
      </c>
      <c r="F509" t="s">
        <v>75</v>
      </c>
      <c r="G509">
        <v>2.2999999999999998</v>
      </c>
      <c r="H509" t="s">
        <v>3495</v>
      </c>
      <c r="I509" t="s">
        <v>29</v>
      </c>
      <c r="J509" s="1" t="s">
        <v>30</v>
      </c>
      <c r="K509" t="s">
        <v>181</v>
      </c>
      <c r="L509" t="s">
        <v>3340</v>
      </c>
      <c r="M509">
        <v>81</v>
      </c>
      <c r="N509">
        <v>3.18</v>
      </c>
      <c r="O509" t="s">
        <v>211</v>
      </c>
      <c r="P509">
        <v>175</v>
      </c>
      <c r="R509" t="s">
        <v>3374</v>
      </c>
      <c r="T509" t="s">
        <v>3337</v>
      </c>
      <c r="U509">
        <v>-17</v>
      </c>
      <c r="V509" t="s">
        <v>3621</v>
      </c>
    </row>
    <row r="510" spans="1:22" ht="12.75" customHeight="1" x14ac:dyDescent="0.15">
      <c r="A510">
        <v>13</v>
      </c>
      <c r="B510">
        <v>2026</v>
      </c>
      <c r="C510" s="21">
        <v>46113</v>
      </c>
      <c r="D510" t="s">
        <v>73</v>
      </c>
      <c r="E510" t="s">
        <v>74</v>
      </c>
      <c r="F510" t="s">
        <v>75</v>
      </c>
      <c r="G510">
        <v>2.2999999999999998</v>
      </c>
      <c r="H510" t="s">
        <v>3495</v>
      </c>
      <c r="I510" t="s">
        <v>29</v>
      </c>
      <c r="J510" s="1" t="s">
        <v>30</v>
      </c>
      <c r="K510" t="s">
        <v>181</v>
      </c>
      <c r="L510" t="s">
        <v>3340</v>
      </c>
      <c r="M510">
        <v>62</v>
      </c>
      <c r="N510">
        <v>3.5</v>
      </c>
      <c r="O510" t="s">
        <v>240</v>
      </c>
      <c r="P510">
        <v>175</v>
      </c>
      <c r="R510" t="s">
        <v>3375</v>
      </c>
      <c r="T510" t="s">
        <v>3337</v>
      </c>
      <c r="U510">
        <v>-17</v>
      </c>
      <c r="V510" t="s">
        <v>3621</v>
      </c>
    </row>
    <row r="511" spans="1:22" ht="12.75" customHeight="1" x14ac:dyDescent="0.15">
      <c r="A511">
        <v>13</v>
      </c>
      <c r="B511">
        <v>2026</v>
      </c>
      <c r="C511" s="21">
        <v>46113</v>
      </c>
      <c r="D511" t="s">
        <v>73</v>
      </c>
      <c r="E511" t="s">
        <v>74</v>
      </c>
      <c r="F511" t="s">
        <v>75</v>
      </c>
      <c r="G511">
        <v>2.2999999999999998</v>
      </c>
      <c r="H511" t="s">
        <v>3495</v>
      </c>
      <c r="I511" t="s">
        <v>29</v>
      </c>
      <c r="J511" s="1" t="s">
        <v>30</v>
      </c>
      <c r="K511" t="s">
        <v>181</v>
      </c>
      <c r="L511" t="s">
        <v>3340</v>
      </c>
      <c r="M511">
        <v>53</v>
      </c>
      <c r="N511">
        <v>3.5</v>
      </c>
      <c r="O511" t="s">
        <v>240</v>
      </c>
      <c r="P511">
        <v>175</v>
      </c>
      <c r="R511" t="s">
        <v>3373</v>
      </c>
      <c r="T511" t="s">
        <v>3337</v>
      </c>
      <c r="U511">
        <v>-17</v>
      </c>
      <c r="V511" t="s">
        <v>3621</v>
      </c>
    </row>
    <row r="512" spans="1:22" ht="12.75" customHeight="1" x14ac:dyDescent="0.15">
      <c r="A512">
        <v>13</v>
      </c>
      <c r="B512">
        <v>2026</v>
      </c>
      <c r="C512" s="21">
        <v>46113</v>
      </c>
      <c r="D512" t="s">
        <v>73</v>
      </c>
      <c r="E512" t="s">
        <v>74</v>
      </c>
      <c r="F512" t="s">
        <v>75</v>
      </c>
      <c r="G512">
        <v>2.2999999999999998</v>
      </c>
      <c r="H512" t="s">
        <v>3495</v>
      </c>
      <c r="I512" t="s">
        <v>29</v>
      </c>
      <c r="J512" s="1" t="s">
        <v>30</v>
      </c>
      <c r="K512" t="s">
        <v>181</v>
      </c>
      <c r="L512" t="s">
        <v>3340</v>
      </c>
      <c r="M512">
        <v>132</v>
      </c>
      <c r="N512">
        <v>3.18</v>
      </c>
      <c r="O512" t="s">
        <v>211</v>
      </c>
      <c r="P512">
        <v>175</v>
      </c>
      <c r="R512" t="s">
        <v>3368</v>
      </c>
      <c r="T512" t="s">
        <v>3337</v>
      </c>
      <c r="U512">
        <v>-17</v>
      </c>
      <c r="V512" t="s">
        <v>3621</v>
      </c>
    </row>
    <row r="513" spans="1:22" ht="12.75" customHeight="1" x14ac:dyDescent="0.15">
      <c r="A513">
        <v>13</v>
      </c>
      <c r="B513">
        <v>2026</v>
      </c>
      <c r="C513" s="21">
        <v>46113</v>
      </c>
      <c r="D513" t="s">
        <v>73</v>
      </c>
      <c r="E513" t="s">
        <v>74</v>
      </c>
      <c r="F513" t="s">
        <v>75</v>
      </c>
      <c r="G513">
        <v>2.2999999999999998</v>
      </c>
      <c r="H513" t="s">
        <v>3346</v>
      </c>
      <c r="I513" t="s">
        <v>212</v>
      </c>
      <c r="J513" s="1" t="s">
        <v>188</v>
      </c>
      <c r="K513" t="s">
        <v>181</v>
      </c>
      <c r="L513" t="s">
        <v>3333</v>
      </c>
      <c r="M513">
        <v>1</v>
      </c>
      <c r="N513">
        <v>1</v>
      </c>
      <c r="O513" t="s">
        <v>3358</v>
      </c>
      <c r="P513">
        <v>71.86</v>
      </c>
      <c r="Q513">
        <v>8</v>
      </c>
      <c r="R513" t="s">
        <v>3359</v>
      </c>
      <c r="T513" t="s">
        <v>3337</v>
      </c>
      <c r="U513">
        <v>-17</v>
      </c>
      <c r="V513" t="s">
        <v>3611</v>
      </c>
    </row>
    <row r="514" spans="1:22" ht="12.75" customHeight="1" x14ac:dyDescent="0.15">
      <c r="A514">
        <v>13</v>
      </c>
      <c r="B514">
        <v>2026</v>
      </c>
      <c r="C514" s="21">
        <v>46113</v>
      </c>
      <c r="D514" t="s">
        <v>80</v>
      </c>
      <c r="E514" t="s">
        <v>81</v>
      </c>
      <c r="F514" t="s">
        <v>21</v>
      </c>
      <c r="G514">
        <v>2.2999999999999998</v>
      </c>
      <c r="H514" t="s">
        <v>3339</v>
      </c>
      <c r="I514" t="s">
        <v>187</v>
      </c>
      <c r="J514" s="1" t="s">
        <v>188</v>
      </c>
      <c r="K514" t="s">
        <v>181</v>
      </c>
      <c r="L514" t="s">
        <v>3333</v>
      </c>
      <c r="M514">
        <v>6</v>
      </c>
      <c r="N514">
        <v>1</v>
      </c>
      <c r="O514" t="s">
        <v>3334</v>
      </c>
      <c r="P514">
        <v>81.58</v>
      </c>
      <c r="Q514">
        <v>8</v>
      </c>
      <c r="R514" t="s">
        <v>3335</v>
      </c>
      <c r="T514" t="s">
        <v>3337</v>
      </c>
      <c r="U514">
        <v>-1</v>
      </c>
      <c r="V514" t="s">
        <v>3612</v>
      </c>
    </row>
    <row r="515" spans="1:22" ht="12.75" customHeight="1" x14ac:dyDescent="0.15">
      <c r="A515">
        <v>13</v>
      </c>
      <c r="B515">
        <v>2026</v>
      </c>
      <c r="C515" s="21">
        <v>46113</v>
      </c>
      <c r="D515" t="s">
        <v>73</v>
      </c>
      <c r="E515" t="s">
        <v>74</v>
      </c>
      <c r="F515" t="s">
        <v>75</v>
      </c>
      <c r="G515">
        <v>2.2999999999999998</v>
      </c>
      <c r="H515" t="s">
        <v>3495</v>
      </c>
      <c r="I515" t="s">
        <v>29</v>
      </c>
      <c r="J515" s="1" t="s">
        <v>30</v>
      </c>
      <c r="K515" t="s">
        <v>181</v>
      </c>
      <c r="L515" t="s">
        <v>3333</v>
      </c>
      <c r="M515">
        <v>67</v>
      </c>
      <c r="N515">
        <v>1</v>
      </c>
      <c r="O515" t="s">
        <v>3334</v>
      </c>
      <c r="P515">
        <v>81.58</v>
      </c>
      <c r="Q515">
        <v>8</v>
      </c>
      <c r="R515" t="s">
        <v>3404</v>
      </c>
      <c r="T515" t="s">
        <v>3402</v>
      </c>
      <c r="U515">
        <v>-17</v>
      </c>
      <c r="V515" t="s">
        <v>3612</v>
      </c>
    </row>
    <row r="516" spans="1:22" ht="12.75" customHeight="1" x14ac:dyDescent="0.15">
      <c r="A516">
        <v>13</v>
      </c>
      <c r="B516">
        <v>2026</v>
      </c>
      <c r="C516" s="21">
        <v>46113</v>
      </c>
      <c r="D516" t="s">
        <v>73</v>
      </c>
      <c r="E516" t="s">
        <v>74</v>
      </c>
      <c r="F516" t="s">
        <v>75</v>
      </c>
      <c r="G516">
        <v>2.2999999999999998</v>
      </c>
      <c r="H516" t="s">
        <v>3495</v>
      </c>
      <c r="I516" t="s">
        <v>29</v>
      </c>
      <c r="J516" s="1" t="s">
        <v>30</v>
      </c>
      <c r="K516" t="s">
        <v>181</v>
      </c>
      <c r="L516" t="s">
        <v>3333</v>
      </c>
      <c r="M516">
        <v>19</v>
      </c>
      <c r="N516">
        <v>1</v>
      </c>
      <c r="O516" t="s">
        <v>3334</v>
      </c>
      <c r="P516">
        <v>81.58</v>
      </c>
      <c r="Q516">
        <v>8</v>
      </c>
      <c r="R516" t="s">
        <v>3403</v>
      </c>
      <c r="T516" t="s">
        <v>3402</v>
      </c>
      <c r="U516">
        <v>-17</v>
      </c>
      <c r="V516" t="s">
        <v>3612</v>
      </c>
    </row>
    <row r="517" spans="1:22" ht="12.75" customHeight="1" x14ac:dyDescent="0.15">
      <c r="A517">
        <v>13</v>
      </c>
      <c r="B517">
        <v>2026</v>
      </c>
      <c r="C517" s="21">
        <v>46113</v>
      </c>
      <c r="D517" t="s">
        <v>73</v>
      </c>
      <c r="E517" t="s">
        <v>74</v>
      </c>
      <c r="F517" t="s">
        <v>75</v>
      </c>
      <c r="G517">
        <v>2.2999999999999998</v>
      </c>
      <c r="H517" t="s">
        <v>3495</v>
      </c>
      <c r="I517" t="s">
        <v>29</v>
      </c>
      <c r="J517" s="1" t="s">
        <v>30</v>
      </c>
      <c r="K517" t="s">
        <v>181</v>
      </c>
      <c r="L517" t="s">
        <v>3333</v>
      </c>
      <c r="M517">
        <v>91</v>
      </c>
      <c r="N517">
        <v>1</v>
      </c>
      <c r="O517" t="s">
        <v>3334</v>
      </c>
      <c r="P517">
        <v>81.58</v>
      </c>
      <c r="Q517">
        <v>8</v>
      </c>
      <c r="R517" t="s">
        <v>3412</v>
      </c>
      <c r="T517" t="s">
        <v>3402</v>
      </c>
      <c r="U517">
        <v>-17</v>
      </c>
      <c r="V517" t="s">
        <v>3612</v>
      </c>
    </row>
    <row r="518" spans="1:22" ht="12.75" customHeight="1" x14ac:dyDescent="0.15">
      <c r="A518">
        <v>13</v>
      </c>
      <c r="B518">
        <v>2026</v>
      </c>
      <c r="C518" s="21">
        <v>46113</v>
      </c>
      <c r="D518" t="s">
        <v>73</v>
      </c>
      <c r="E518" t="s">
        <v>74</v>
      </c>
      <c r="F518" t="s">
        <v>75</v>
      </c>
      <c r="G518">
        <v>2.2999999999999998</v>
      </c>
      <c r="H518" t="s">
        <v>3495</v>
      </c>
      <c r="I518" t="s">
        <v>29</v>
      </c>
      <c r="J518" s="1" t="s">
        <v>30</v>
      </c>
      <c r="K518" t="s">
        <v>181</v>
      </c>
      <c r="L518" t="s">
        <v>3340</v>
      </c>
      <c r="M518">
        <v>78</v>
      </c>
      <c r="N518">
        <v>3.18</v>
      </c>
      <c r="O518" t="s">
        <v>211</v>
      </c>
      <c r="P518">
        <v>175</v>
      </c>
      <c r="Q518">
        <v>8</v>
      </c>
      <c r="R518" t="s">
        <v>3341</v>
      </c>
      <c r="T518" t="s">
        <v>3402</v>
      </c>
      <c r="U518">
        <v>-17</v>
      </c>
      <c r="V518" t="s">
        <v>3621</v>
      </c>
    </row>
    <row r="519" spans="1:22" ht="12.75" customHeight="1" x14ac:dyDescent="0.15">
      <c r="A519">
        <v>13</v>
      </c>
      <c r="B519">
        <v>2026</v>
      </c>
      <c r="C519" s="21">
        <v>46113</v>
      </c>
      <c r="D519" t="s">
        <v>73</v>
      </c>
      <c r="E519" t="s">
        <v>74</v>
      </c>
      <c r="F519" t="s">
        <v>75</v>
      </c>
      <c r="G519">
        <v>2.2999999999999998</v>
      </c>
      <c r="H519" t="s">
        <v>3495</v>
      </c>
      <c r="I519" t="s">
        <v>29</v>
      </c>
      <c r="J519" s="1" t="s">
        <v>30</v>
      </c>
      <c r="K519" t="s">
        <v>181</v>
      </c>
      <c r="L519" t="s">
        <v>3340</v>
      </c>
      <c r="M519">
        <v>25</v>
      </c>
      <c r="N519">
        <v>3.18</v>
      </c>
      <c r="O519" t="s">
        <v>211</v>
      </c>
      <c r="P519">
        <v>175</v>
      </c>
      <c r="Q519">
        <v>8</v>
      </c>
      <c r="R519" t="s">
        <v>3413</v>
      </c>
      <c r="T519" t="s">
        <v>3402</v>
      </c>
      <c r="U519">
        <v>-17</v>
      </c>
      <c r="V519" t="s">
        <v>3621</v>
      </c>
    </row>
    <row r="520" spans="1:22" ht="12.75" customHeight="1" x14ac:dyDescent="0.15">
      <c r="A520">
        <v>13</v>
      </c>
      <c r="B520">
        <v>2026</v>
      </c>
      <c r="C520" s="21">
        <v>46113</v>
      </c>
      <c r="D520" t="s">
        <v>73</v>
      </c>
      <c r="E520" t="s">
        <v>74</v>
      </c>
      <c r="F520" t="s">
        <v>75</v>
      </c>
      <c r="G520">
        <v>2.2999999999999998</v>
      </c>
      <c r="H520" t="s">
        <v>3495</v>
      </c>
      <c r="I520" t="s">
        <v>29</v>
      </c>
      <c r="J520" s="1" t="s">
        <v>30</v>
      </c>
      <c r="K520" t="s">
        <v>181</v>
      </c>
      <c r="L520" t="s">
        <v>3340</v>
      </c>
      <c r="M520">
        <v>67</v>
      </c>
      <c r="N520">
        <v>1.7</v>
      </c>
      <c r="O520" t="s">
        <v>211</v>
      </c>
      <c r="P520">
        <v>93.42</v>
      </c>
      <c r="R520" t="s">
        <v>3404</v>
      </c>
      <c r="T520" t="s">
        <v>3402</v>
      </c>
      <c r="U520">
        <v>-17</v>
      </c>
      <c r="V520" t="s">
        <v>3622</v>
      </c>
    </row>
    <row r="521" spans="1:22" ht="12.75" customHeight="1" x14ac:dyDescent="0.15">
      <c r="A521">
        <v>13</v>
      </c>
      <c r="B521">
        <v>2026</v>
      </c>
      <c r="C521" s="21">
        <v>46113</v>
      </c>
      <c r="D521" t="s">
        <v>73</v>
      </c>
      <c r="E521" t="s">
        <v>74</v>
      </c>
      <c r="F521" t="s">
        <v>75</v>
      </c>
      <c r="G521">
        <v>2.2999999999999998</v>
      </c>
      <c r="H521" t="s">
        <v>3495</v>
      </c>
      <c r="I521" t="s">
        <v>29</v>
      </c>
      <c r="J521" s="1" t="s">
        <v>30</v>
      </c>
      <c r="K521" t="s">
        <v>181</v>
      </c>
      <c r="L521" t="s">
        <v>3340</v>
      </c>
      <c r="M521">
        <v>19</v>
      </c>
      <c r="N521">
        <v>1.7</v>
      </c>
      <c r="O521" t="s">
        <v>211</v>
      </c>
      <c r="P521">
        <v>93.42</v>
      </c>
      <c r="R521" t="s">
        <v>3403</v>
      </c>
      <c r="T521" t="s">
        <v>3402</v>
      </c>
      <c r="U521">
        <v>-17</v>
      </c>
      <c r="V521" t="s">
        <v>3622</v>
      </c>
    </row>
    <row r="522" spans="1:22" ht="12.75" customHeight="1" x14ac:dyDescent="0.15">
      <c r="A522">
        <v>13</v>
      </c>
      <c r="B522">
        <v>2026</v>
      </c>
      <c r="C522" s="21">
        <v>46113</v>
      </c>
      <c r="D522" t="s">
        <v>73</v>
      </c>
      <c r="E522" t="s">
        <v>74</v>
      </c>
      <c r="F522" t="s">
        <v>75</v>
      </c>
      <c r="G522">
        <v>2.2999999999999998</v>
      </c>
      <c r="H522" t="s">
        <v>3495</v>
      </c>
      <c r="I522" t="s">
        <v>29</v>
      </c>
      <c r="J522" s="1" t="s">
        <v>30</v>
      </c>
      <c r="K522" t="s">
        <v>181</v>
      </c>
      <c r="L522" t="s">
        <v>3340</v>
      </c>
      <c r="M522">
        <v>91</v>
      </c>
      <c r="N522">
        <v>1.7</v>
      </c>
      <c r="O522" t="s">
        <v>211</v>
      </c>
      <c r="P522">
        <v>93.42</v>
      </c>
      <c r="R522" t="s">
        <v>3412</v>
      </c>
      <c r="T522" t="s">
        <v>3402</v>
      </c>
      <c r="U522">
        <v>-17</v>
      </c>
      <c r="V522" t="s">
        <v>3622</v>
      </c>
    </row>
    <row r="523" spans="1:22" ht="12.75" customHeight="1" x14ac:dyDescent="0.15">
      <c r="A523">
        <v>13</v>
      </c>
      <c r="B523">
        <v>2026</v>
      </c>
      <c r="C523" s="21">
        <v>46113</v>
      </c>
      <c r="D523" t="s">
        <v>53</v>
      </c>
      <c r="E523" t="s">
        <v>54</v>
      </c>
      <c r="F523" t="s">
        <v>21</v>
      </c>
      <c r="G523">
        <v>2</v>
      </c>
      <c r="H523" t="s">
        <v>3559</v>
      </c>
      <c r="I523" t="s">
        <v>344</v>
      </c>
      <c r="J523" s="1" t="s">
        <v>207</v>
      </c>
      <c r="K523" t="s">
        <v>181</v>
      </c>
      <c r="L523" t="s">
        <v>3333</v>
      </c>
      <c r="M523">
        <v>11</v>
      </c>
      <c r="N523">
        <v>1</v>
      </c>
      <c r="O523" t="s">
        <v>213</v>
      </c>
      <c r="P523">
        <v>90</v>
      </c>
      <c r="Q523">
        <v>8</v>
      </c>
      <c r="R523" t="s">
        <v>3564</v>
      </c>
      <c r="T523" t="s">
        <v>3402</v>
      </c>
      <c r="U523">
        <v>27</v>
      </c>
      <c r="V523" t="s">
        <v>3530</v>
      </c>
    </row>
    <row r="524" spans="1:22" ht="12.75" customHeight="1" x14ac:dyDescent="0.15">
      <c r="A524">
        <v>13</v>
      </c>
      <c r="B524">
        <v>2026</v>
      </c>
      <c r="C524" s="21">
        <v>46113</v>
      </c>
      <c r="D524" t="s">
        <v>68</v>
      </c>
      <c r="E524" t="s">
        <v>69</v>
      </c>
      <c r="F524" t="s">
        <v>21</v>
      </c>
      <c r="G524">
        <v>1</v>
      </c>
      <c r="H524" t="s">
        <v>3552</v>
      </c>
      <c r="I524" t="s">
        <v>3553</v>
      </c>
      <c r="J524" s="1" t="s">
        <v>3533</v>
      </c>
      <c r="K524" t="s">
        <v>181</v>
      </c>
      <c r="L524" t="s">
        <v>3477</v>
      </c>
      <c r="M524">
        <v>3</v>
      </c>
      <c r="N524">
        <v>0.05</v>
      </c>
      <c r="O524" t="s">
        <v>3334</v>
      </c>
      <c r="P524">
        <v>3.67</v>
      </c>
      <c r="Q524">
        <v>0.36</v>
      </c>
      <c r="R524" t="s">
        <v>3478</v>
      </c>
      <c r="T524" t="s">
        <v>3479</v>
      </c>
      <c r="U524">
        <v>-1</v>
      </c>
      <c r="V524" t="s">
        <v>3544</v>
      </c>
    </row>
    <row r="525" spans="1:22" ht="12.75" customHeight="1" x14ac:dyDescent="0.15">
      <c r="A525">
        <v>13</v>
      </c>
      <c r="B525">
        <v>2026</v>
      </c>
      <c r="C525" s="21">
        <v>46113</v>
      </c>
      <c r="D525" t="s">
        <v>68</v>
      </c>
      <c r="E525" t="s">
        <v>69</v>
      </c>
      <c r="F525" t="s">
        <v>21</v>
      </c>
      <c r="G525">
        <v>1</v>
      </c>
      <c r="H525" t="s">
        <v>3552</v>
      </c>
      <c r="I525" t="s">
        <v>3553</v>
      </c>
      <c r="J525" s="1" t="s">
        <v>3533</v>
      </c>
      <c r="K525" t="s">
        <v>181</v>
      </c>
      <c r="L525" t="s">
        <v>3481</v>
      </c>
      <c r="M525">
        <v>40</v>
      </c>
      <c r="N525">
        <v>0.05</v>
      </c>
      <c r="O525" t="s">
        <v>211</v>
      </c>
      <c r="P525">
        <v>2.97</v>
      </c>
      <c r="Q525">
        <v>0.33</v>
      </c>
      <c r="R525" t="s">
        <v>3482</v>
      </c>
      <c r="T525" t="s">
        <v>3479</v>
      </c>
      <c r="U525">
        <v>-1</v>
      </c>
      <c r="V525" t="s">
        <v>3543</v>
      </c>
    </row>
    <row r="526" spans="1:22" ht="12.75" customHeight="1" x14ac:dyDescent="0.15">
      <c r="A526">
        <v>13</v>
      </c>
      <c r="B526">
        <v>2026</v>
      </c>
      <c r="C526" s="21">
        <v>46113</v>
      </c>
      <c r="D526" t="s">
        <v>68</v>
      </c>
      <c r="E526" t="s">
        <v>69</v>
      </c>
      <c r="F526" t="s">
        <v>21</v>
      </c>
      <c r="G526">
        <v>1</v>
      </c>
      <c r="H526" t="s">
        <v>3605</v>
      </c>
      <c r="I526" t="s">
        <v>335</v>
      </c>
      <c r="J526" s="1" t="s">
        <v>3533</v>
      </c>
      <c r="K526" t="s">
        <v>181</v>
      </c>
      <c r="L526" t="s">
        <v>3477</v>
      </c>
      <c r="M526">
        <v>3</v>
      </c>
      <c r="N526">
        <v>0.04</v>
      </c>
      <c r="O526" t="s">
        <v>3334</v>
      </c>
      <c r="P526">
        <v>3.06</v>
      </c>
      <c r="Q526">
        <v>0.3</v>
      </c>
      <c r="R526" t="s">
        <v>3478</v>
      </c>
      <c r="T526" t="s">
        <v>3479</v>
      </c>
      <c r="U526">
        <v>-1</v>
      </c>
      <c r="V526" t="s">
        <v>3538</v>
      </c>
    </row>
    <row r="527" spans="1:22" ht="12.75" customHeight="1" x14ac:dyDescent="0.15">
      <c r="A527">
        <v>13</v>
      </c>
      <c r="B527">
        <v>2026</v>
      </c>
      <c r="C527" s="21">
        <v>46113</v>
      </c>
      <c r="D527" t="s">
        <v>68</v>
      </c>
      <c r="E527" t="s">
        <v>69</v>
      </c>
      <c r="F527" t="s">
        <v>21</v>
      </c>
      <c r="G527">
        <v>1</v>
      </c>
      <c r="H527" t="s">
        <v>3605</v>
      </c>
      <c r="I527" t="s">
        <v>335</v>
      </c>
      <c r="J527" s="1" t="s">
        <v>3533</v>
      </c>
      <c r="K527" t="s">
        <v>181</v>
      </c>
      <c r="L527" t="s">
        <v>3481</v>
      </c>
      <c r="M527">
        <v>40</v>
      </c>
      <c r="N527">
        <v>0.04</v>
      </c>
      <c r="O527" t="s">
        <v>211</v>
      </c>
      <c r="P527">
        <v>2.25</v>
      </c>
      <c r="Q527">
        <v>0.25</v>
      </c>
      <c r="R527" t="s">
        <v>3482</v>
      </c>
      <c r="T527" t="s">
        <v>3479</v>
      </c>
      <c r="U527">
        <v>-1</v>
      </c>
      <c r="V527" t="s">
        <v>3534</v>
      </c>
    </row>
    <row r="528" spans="1:22" ht="12.75" customHeight="1" x14ac:dyDescent="0.15">
      <c r="A528">
        <v>13</v>
      </c>
      <c r="B528">
        <v>2026</v>
      </c>
      <c r="C528" s="21">
        <v>46114</v>
      </c>
      <c r="D528" t="s">
        <v>80</v>
      </c>
      <c r="E528" t="s">
        <v>81</v>
      </c>
      <c r="F528" t="s">
        <v>21</v>
      </c>
      <c r="G528">
        <v>2.2999999999999998</v>
      </c>
      <c r="H528" t="s">
        <v>3346</v>
      </c>
      <c r="I528" t="s">
        <v>212</v>
      </c>
      <c r="J528" s="1" t="s">
        <v>188</v>
      </c>
      <c r="K528" t="s">
        <v>181</v>
      </c>
      <c r="L528" t="s">
        <v>3340</v>
      </c>
      <c r="M528">
        <v>6</v>
      </c>
      <c r="N528">
        <v>5.45</v>
      </c>
      <c r="O528" t="s">
        <v>211</v>
      </c>
      <c r="P528">
        <v>300</v>
      </c>
      <c r="R528" t="s">
        <v>3335</v>
      </c>
      <c r="S528" t="s">
        <v>3623</v>
      </c>
      <c r="T528" t="s">
        <v>3337</v>
      </c>
      <c r="U528">
        <v>0</v>
      </c>
      <c r="V528" t="s">
        <v>3624</v>
      </c>
    </row>
    <row r="529" spans="1:22" ht="12.75" customHeight="1" x14ac:dyDescent="0.15">
      <c r="A529">
        <v>13</v>
      </c>
      <c r="B529">
        <v>2026</v>
      </c>
      <c r="C529" s="21">
        <v>46114</v>
      </c>
      <c r="D529" t="s">
        <v>39</v>
      </c>
      <c r="E529" t="s">
        <v>40</v>
      </c>
      <c r="F529" t="s">
        <v>21</v>
      </c>
      <c r="G529">
        <v>1.91</v>
      </c>
      <c r="H529" t="s">
        <v>3346</v>
      </c>
      <c r="I529" t="s">
        <v>212</v>
      </c>
      <c r="J529" s="1" t="s">
        <v>188</v>
      </c>
      <c r="K529" t="s">
        <v>181</v>
      </c>
      <c r="L529" t="s">
        <v>3340</v>
      </c>
      <c r="M529">
        <v>6</v>
      </c>
      <c r="N529">
        <v>1.0900000000000001</v>
      </c>
      <c r="O529" t="s">
        <v>211</v>
      </c>
      <c r="P529">
        <v>60</v>
      </c>
      <c r="R529" t="s">
        <v>3335</v>
      </c>
      <c r="S529" t="s">
        <v>3623</v>
      </c>
      <c r="T529" t="s">
        <v>3337</v>
      </c>
      <c r="U529">
        <v>77</v>
      </c>
      <c r="V529" t="s">
        <v>3625</v>
      </c>
    </row>
    <row r="530" spans="1:22" ht="12.75" customHeight="1" x14ac:dyDescent="0.15">
      <c r="A530">
        <v>13</v>
      </c>
      <c r="B530">
        <v>2026</v>
      </c>
      <c r="C530" s="21">
        <v>46114</v>
      </c>
      <c r="D530" t="s">
        <v>73</v>
      </c>
      <c r="E530" t="s">
        <v>74</v>
      </c>
      <c r="F530" t="s">
        <v>75</v>
      </c>
      <c r="G530">
        <v>2.2999999999999998</v>
      </c>
      <c r="H530" t="s">
        <v>3626</v>
      </c>
      <c r="I530" t="s">
        <v>331</v>
      </c>
      <c r="J530" s="1" t="s">
        <v>30</v>
      </c>
      <c r="K530" t="s">
        <v>181</v>
      </c>
      <c r="L530" t="s">
        <v>3340</v>
      </c>
      <c r="M530">
        <v>72</v>
      </c>
      <c r="N530">
        <v>1.45</v>
      </c>
      <c r="O530" t="s">
        <v>211</v>
      </c>
      <c r="P530">
        <v>80</v>
      </c>
      <c r="R530" t="s">
        <v>3488</v>
      </c>
      <c r="T530" t="s">
        <v>3337</v>
      </c>
      <c r="U530">
        <v>-16</v>
      </c>
      <c r="V530" t="s">
        <v>3627</v>
      </c>
    </row>
    <row r="531" spans="1:22" ht="12.75" customHeight="1" x14ac:dyDescent="0.15">
      <c r="A531">
        <v>13</v>
      </c>
      <c r="B531">
        <v>2026</v>
      </c>
      <c r="C531" s="21">
        <v>46114</v>
      </c>
      <c r="D531" t="s">
        <v>73</v>
      </c>
      <c r="E531" t="s">
        <v>74</v>
      </c>
      <c r="F531" t="s">
        <v>75</v>
      </c>
      <c r="G531">
        <v>2.2999999999999998</v>
      </c>
      <c r="H531" t="s">
        <v>3346</v>
      </c>
      <c r="I531" t="s">
        <v>212</v>
      </c>
      <c r="J531" s="1" t="s">
        <v>188</v>
      </c>
      <c r="K531" t="s">
        <v>181</v>
      </c>
      <c r="L531" t="s">
        <v>3333</v>
      </c>
      <c r="M531">
        <v>1</v>
      </c>
      <c r="N531">
        <v>1</v>
      </c>
      <c r="O531" t="s">
        <v>3358</v>
      </c>
      <c r="P531">
        <v>71.86</v>
      </c>
      <c r="Q531">
        <v>8</v>
      </c>
      <c r="R531" t="s">
        <v>3359</v>
      </c>
      <c r="S531" t="s">
        <v>3628</v>
      </c>
      <c r="T531" t="s">
        <v>3337</v>
      </c>
      <c r="U531">
        <v>-16</v>
      </c>
      <c r="V531" t="s">
        <v>3611</v>
      </c>
    </row>
    <row r="532" spans="1:22" ht="12.75" customHeight="1" x14ac:dyDescent="0.15">
      <c r="A532">
        <v>13</v>
      </c>
      <c r="B532">
        <v>2026</v>
      </c>
      <c r="C532" s="21">
        <v>46114</v>
      </c>
      <c r="D532" t="s">
        <v>80</v>
      </c>
      <c r="E532" t="s">
        <v>81</v>
      </c>
      <c r="F532" t="s">
        <v>21</v>
      </c>
      <c r="G532">
        <v>2.2999999999999998</v>
      </c>
      <c r="H532" t="s">
        <v>3339</v>
      </c>
      <c r="I532" t="s">
        <v>187</v>
      </c>
      <c r="J532" s="1" t="s">
        <v>188</v>
      </c>
      <c r="K532" t="s">
        <v>181</v>
      </c>
      <c r="L532" t="s">
        <v>3333</v>
      </c>
      <c r="M532">
        <v>6</v>
      </c>
      <c r="N532">
        <v>1</v>
      </c>
      <c r="O532" t="s">
        <v>3334</v>
      </c>
      <c r="P532">
        <v>81.58</v>
      </c>
      <c r="Q532">
        <v>8</v>
      </c>
      <c r="R532" t="s">
        <v>3335</v>
      </c>
      <c r="S532" t="s">
        <v>3628</v>
      </c>
      <c r="T532" t="s">
        <v>3337</v>
      </c>
      <c r="U532">
        <v>0</v>
      </c>
      <c r="V532" t="s">
        <v>3612</v>
      </c>
    </row>
    <row r="533" spans="1:22" ht="12.75" customHeight="1" x14ac:dyDescent="0.15">
      <c r="A533">
        <v>13</v>
      </c>
      <c r="B533">
        <v>2026</v>
      </c>
      <c r="C533" s="21">
        <v>46114</v>
      </c>
      <c r="D533" t="s">
        <v>47</v>
      </c>
      <c r="E533" t="s">
        <v>48</v>
      </c>
      <c r="F533" t="s">
        <v>21</v>
      </c>
      <c r="G533">
        <v>2</v>
      </c>
      <c r="H533" t="s">
        <v>3391</v>
      </c>
      <c r="I533" t="s">
        <v>353</v>
      </c>
      <c r="J533" s="1" t="s">
        <v>253</v>
      </c>
      <c r="K533" t="s">
        <v>181</v>
      </c>
      <c r="L533" t="s">
        <v>3333</v>
      </c>
      <c r="M533">
        <v>2</v>
      </c>
      <c r="N533">
        <v>0.38</v>
      </c>
      <c r="O533" t="s">
        <v>3440</v>
      </c>
      <c r="P533">
        <v>33.93</v>
      </c>
      <c r="Q533">
        <v>3</v>
      </c>
      <c r="R533" t="s">
        <v>3424</v>
      </c>
      <c r="T533" t="s">
        <v>3337</v>
      </c>
      <c r="U533">
        <v>42</v>
      </c>
      <c r="V533" t="s">
        <v>3629</v>
      </c>
    </row>
    <row r="534" spans="1:22" ht="12.75" customHeight="1" x14ac:dyDescent="0.15">
      <c r="A534">
        <v>13</v>
      </c>
      <c r="B534">
        <v>2026</v>
      </c>
      <c r="C534" s="21">
        <v>46114</v>
      </c>
      <c r="D534" t="s">
        <v>53</v>
      </c>
      <c r="E534" t="s">
        <v>54</v>
      </c>
      <c r="F534" t="s">
        <v>21</v>
      </c>
      <c r="G534">
        <v>2</v>
      </c>
      <c r="H534" t="s">
        <v>3391</v>
      </c>
      <c r="I534" t="s">
        <v>353</v>
      </c>
      <c r="J534" s="1" t="s">
        <v>253</v>
      </c>
      <c r="K534" t="s">
        <v>181</v>
      </c>
      <c r="L534" t="s">
        <v>3333</v>
      </c>
      <c r="M534">
        <v>2</v>
      </c>
      <c r="N534">
        <v>0.5</v>
      </c>
      <c r="O534" t="s">
        <v>3440</v>
      </c>
      <c r="P534">
        <v>45.25</v>
      </c>
      <c r="Q534">
        <v>4</v>
      </c>
      <c r="R534" t="s">
        <v>3424</v>
      </c>
      <c r="T534" t="s">
        <v>3337</v>
      </c>
      <c r="U534">
        <v>28</v>
      </c>
      <c r="V534" t="s">
        <v>3630</v>
      </c>
    </row>
    <row r="535" spans="1:22" ht="12.75" customHeight="1" x14ac:dyDescent="0.15">
      <c r="A535">
        <v>13</v>
      </c>
      <c r="B535">
        <v>2026</v>
      </c>
      <c r="C535" s="21">
        <v>46114</v>
      </c>
      <c r="D535" t="s">
        <v>53</v>
      </c>
      <c r="E535" t="s">
        <v>54</v>
      </c>
      <c r="F535" t="s">
        <v>21</v>
      </c>
      <c r="G535">
        <v>2</v>
      </c>
      <c r="H535" t="s">
        <v>3388</v>
      </c>
      <c r="I535" t="s">
        <v>349</v>
      </c>
      <c r="J535" s="1" t="s">
        <v>3389</v>
      </c>
      <c r="K535" t="s">
        <v>181</v>
      </c>
      <c r="L535" t="s">
        <v>3333</v>
      </c>
      <c r="M535">
        <v>11</v>
      </c>
      <c r="N535">
        <v>1</v>
      </c>
      <c r="O535" t="s">
        <v>213</v>
      </c>
      <c r="P535">
        <v>90</v>
      </c>
      <c r="Q535">
        <v>8</v>
      </c>
      <c r="R535" t="s">
        <v>3564</v>
      </c>
      <c r="T535" t="s">
        <v>3402</v>
      </c>
      <c r="U535">
        <v>28</v>
      </c>
      <c r="V535" t="s">
        <v>3530</v>
      </c>
    </row>
    <row r="536" spans="1:22" ht="12.75" customHeight="1" x14ac:dyDescent="0.15">
      <c r="A536">
        <v>13</v>
      </c>
      <c r="B536">
        <v>2026</v>
      </c>
      <c r="C536" s="21">
        <v>46114</v>
      </c>
      <c r="D536" t="s">
        <v>53</v>
      </c>
      <c r="E536" t="s">
        <v>54</v>
      </c>
      <c r="F536" t="s">
        <v>21</v>
      </c>
      <c r="G536">
        <v>2</v>
      </c>
      <c r="H536" t="s">
        <v>3391</v>
      </c>
      <c r="I536" t="s">
        <v>353</v>
      </c>
      <c r="J536" s="1" t="s">
        <v>253</v>
      </c>
      <c r="K536" t="s">
        <v>181</v>
      </c>
      <c r="L536" t="s">
        <v>3340</v>
      </c>
      <c r="M536">
        <v>25</v>
      </c>
      <c r="N536">
        <v>0.74</v>
      </c>
      <c r="O536" t="s">
        <v>211</v>
      </c>
      <c r="P536">
        <v>40.5</v>
      </c>
      <c r="Q536">
        <v>4.5</v>
      </c>
      <c r="R536" t="s">
        <v>3413</v>
      </c>
      <c r="T536" t="s">
        <v>3402</v>
      </c>
      <c r="U536">
        <v>28</v>
      </c>
      <c r="V536" t="s">
        <v>3631</v>
      </c>
    </row>
    <row r="537" spans="1:22" ht="12.75" customHeight="1" x14ac:dyDescent="0.15">
      <c r="A537">
        <v>13</v>
      </c>
      <c r="B537">
        <v>2026</v>
      </c>
      <c r="C537" s="21">
        <v>46114</v>
      </c>
      <c r="D537" t="s">
        <v>47</v>
      </c>
      <c r="E537" t="s">
        <v>48</v>
      </c>
      <c r="F537" t="s">
        <v>21</v>
      </c>
      <c r="G537">
        <v>2</v>
      </c>
      <c r="H537" t="s">
        <v>3391</v>
      </c>
      <c r="I537" t="s">
        <v>353</v>
      </c>
      <c r="J537" s="1" t="s">
        <v>253</v>
      </c>
      <c r="K537" t="s">
        <v>181</v>
      </c>
      <c r="L537" t="s">
        <v>3340</v>
      </c>
      <c r="M537">
        <v>25</v>
      </c>
      <c r="N537">
        <v>0.41</v>
      </c>
      <c r="O537" t="s">
        <v>211</v>
      </c>
      <c r="P537">
        <v>22.5</v>
      </c>
      <c r="Q537">
        <v>2.5</v>
      </c>
      <c r="R537" t="s">
        <v>3413</v>
      </c>
      <c r="T537" t="s">
        <v>3402</v>
      </c>
      <c r="U537">
        <v>42</v>
      </c>
      <c r="V537" t="s">
        <v>3561</v>
      </c>
    </row>
    <row r="538" spans="1:22" ht="12.75" customHeight="1" x14ac:dyDescent="0.15">
      <c r="A538">
        <v>13</v>
      </c>
      <c r="B538">
        <v>2026</v>
      </c>
      <c r="C538" s="21">
        <v>46114</v>
      </c>
      <c r="D538" t="s">
        <v>47</v>
      </c>
      <c r="E538" t="s">
        <v>48</v>
      </c>
      <c r="F538" t="s">
        <v>21</v>
      </c>
      <c r="G538">
        <v>2</v>
      </c>
      <c r="H538" t="s">
        <v>3391</v>
      </c>
      <c r="I538" t="s">
        <v>353</v>
      </c>
      <c r="J538" s="1" t="s">
        <v>253</v>
      </c>
      <c r="K538" t="s">
        <v>181</v>
      </c>
      <c r="L538" t="s">
        <v>3340</v>
      </c>
      <c r="M538">
        <v>176</v>
      </c>
      <c r="N538">
        <v>2.91</v>
      </c>
      <c r="O538" t="s">
        <v>211</v>
      </c>
      <c r="P538">
        <v>160.30000000000001</v>
      </c>
      <c r="Q538">
        <v>2.5</v>
      </c>
      <c r="R538" t="s">
        <v>3632</v>
      </c>
      <c r="T538" t="s">
        <v>3402</v>
      </c>
      <c r="U538">
        <v>42</v>
      </c>
      <c r="V538" t="s">
        <v>3633</v>
      </c>
    </row>
    <row r="539" spans="1:22" ht="12.75" customHeight="1" x14ac:dyDescent="0.15">
      <c r="A539">
        <v>13</v>
      </c>
      <c r="B539">
        <v>2026</v>
      </c>
      <c r="C539" s="21">
        <v>46114</v>
      </c>
      <c r="D539" t="s">
        <v>53</v>
      </c>
      <c r="E539" t="s">
        <v>54</v>
      </c>
      <c r="F539" t="s">
        <v>21</v>
      </c>
      <c r="G539">
        <v>2</v>
      </c>
      <c r="H539" t="s">
        <v>3391</v>
      </c>
      <c r="I539" t="s">
        <v>353</v>
      </c>
      <c r="J539" s="1" t="s">
        <v>253</v>
      </c>
      <c r="K539" t="s">
        <v>181</v>
      </c>
      <c r="L539" t="s">
        <v>3340</v>
      </c>
      <c r="M539">
        <v>176</v>
      </c>
      <c r="N539">
        <v>2.91</v>
      </c>
      <c r="O539" t="s">
        <v>211</v>
      </c>
      <c r="P539">
        <v>160.30000000000001</v>
      </c>
      <c r="Q539">
        <v>2.5</v>
      </c>
      <c r="R539" t="s">
        <v>3632</v>
      </c>
      <c r="T539" t="s">
        <v>3402</v>
      </c>
      <c r="U539">
        <v>28</v>
      </c>
      <c r="V539" t="s">
        <v>3633</v>
      </c>
    </row>
    <row r="540" spans="1:22" ht="12.75" customHeight="1" x14ac:dyDescent="0.15">
      <c r="A540">
        <v>13</v>
      </c>
      <c r="B540">
        <v>2026</v>
      </c>
      <c r="C540" s="21">
        <v>46114</v>
      </c>
      <c r="D540" t="s">
        <v>68</v>
      </c>
      <c r="E540" t="s">
        <v>69</v>
      </c>
      <c r="F540" t="s">
        <v>21</v>
      </c>
      <c r="G540">
        <v>1</v>
      </c>
      <c r="H540" t="s">
        <v>3552</v>
      </c>
      <c r="I540" t="s">
        <v>3553</v>
      </c>
      <c r="J540" s="1" t="s">
        <v>3533</v>
      </c>
      <c r="K540" t="s">
        <v>181</v>
      </c>
      <c r="L540" t="s">
        <v>3477</v>
      </c>
      <c r="M540">
        <v>3</v>
      </c>
      <c r="N540">
        <v>0.02</v>
      </c>
      <c r="O540" t="s">
        <v>3334</v>
      </c>
      <c r="P540">
        <v>1.84</v>
      </c>
      <c r="Q540">
        <v>0.18</v>
      </c>
      <c r="R540" t="s">
        <v>3478</v>
      </c>
      <c r="T540" t="s">
        <v>3479</v>
      </c>
      <c r="U540">
        <v>0</v>
      </c>
      <c r="V540" t="s">
        <v>3480</v>
      </c>
    </row>
    <row r="541" spans="1:22" ht="12.75" customHeight="1" x14ac:dyDescent="0.15">
      <c r="A541">
        <v>13</v>
      </c>
      <c r="B541">
        <v>2026</v>
      </c>
      <c r="C541" s="21">
        <v>46114</v>
      </c>
      <c r="D541" t="s">
        <v>68</v>
      </c>
      <c r="E541" t="s">
        <v>69</v>
      </c>
      <c r="F541" t="s">
        <v>21</v>
      </c>
      <c r="G541">
        <v>1</v>
      </c>
      <c r="H541" t="s">
        <v>3552</v>
      </c>
      <c r="I541" t="s">
        <v>3553</v>
      </c>
      <c r="J541" s="1" t="s">
        <v>3533</v>
      </c>
      <c r="K541" t="s">
        <v>181</v>
      </c>
      <c r="L541" t="s">
        <v>3481</v>
      </c>
      <c r="M541">
        <v>40</v>
      </c>
      <c r="N541">
        <v>0.03</v>
      </c>
      <c r="O541" t="s">
        <v>211</v>
      </c>
      <c r="P541">
        <v>1.44</v>
      </c>
      <c r="Q541">
        <v>0.16</v>
      </c>
      <c r="R541" t="s">
        <v>3482</v>
      </c>
      <c r="T541" t="s">
        <v>3479</v>
      </c>
      <c r="U541">
        <v>0</v>
      </c>
      <c r="V541" t="s">
        <v>3541</v>
      </c>
    </row>
    <row r="542" spans="1:22" ht="12.75" customHeight="1" x14ac:dyDescent="0.15">
      <c r="A542">
        <v>13</v>
      </c>
      <c r="B542">
        <v>2026</v>
      </c>
      <c r="C542" s="21">
        <v>46114</v>
      </c>
      <c r="D542" t="s">
        <v>68</v>
      </c>
      <c r="E542" t="s">
        <v>69</v>
      </c>
      <c r="F542" t="s">
        <v>21</v>
      </c>
      <c r="G542">
        <v>1</v>
      </c>
      <c r="H542" t="s">
        <v>3605</v>
      </c>
      <c r="I542" t="s">
        <v>335</v>
      </c>
      <c r="J542" s="1" t="s">
        <v>3533</v>
      </c>
      <c r="K542" t="s">
        <v>181</v>
      </c>
      <c r="L542" t="s">
        <v>3477</v>
      </c>
      <c r="M542">
        <v>3</v>
      </c>
      <c r="N542">
        <v>0.02</v>
      </c>
      <c r="O542" t="s">
        <v>3334</v>
      </c>
      <c r="P542">
        <v>1.63</v>
      </c>
      <c r="Q542">
        <v>0.16</v>
      </c>
      <c r="R542" t="s">
        <v>3478</v>
      </c>
      <c r="T542" t="s">
        <v>3479</v>
      </c>
      <c r="U542">
        <v>0</v>
      </c>
      <c r="V542" t="s">
        <v>3634</v>
      </c>
    </row>
    <row r="543" spans="1:22" ht="12.75" customHeight="1" x14ac:dyDescent="0.15">
      <c r="A543">
        <v>13</v>
      </c>
      <c r="B543">
        <v>2026</v>
      </c>
      <c r="C543" s="21">
        <v>46114</v>
      </c>
      <c r="D543" t="s">
        <v>68</v>
      </c>
      <c r="E543" t="s">
        <v>69</v>
      </c>
      <c r="F543" t="s">
        <v>21</v>
      </c>
      <c r="G543">
        <v>1</v>
      </c>
      <c r="H543" t="s">
        <v>3605</v>
      </c>
      <c r="I543" t="s">
        <v>335</v>
      </c>
      <c r="J543" s="1" t="s">
        <v>3533</v>
      </c>
      <c r="K543" t="s">
        <v>181</v>
      </c>
      <c r="L543" t="s">
        <v>3481</v>
      </c>
      <c r="M543">
        <v>40</v>
      </c>
      <c r="N543">
        <v>0.03</v>
      </c>
      <c r="O543" t="s">
        <v>211</v>
      </c>
      <c r="P543">
        <v>1.44</v>
      </c>
      <c r="Q543">
        <v>0.16</v>
      </c>
      <c r="R543" t="s">
        <v>3482</v>
      </c>
      <c r="T543" t="s">
        <v>3479</v>
      </c>
      <c r="U543">
        <v>0</v>
      </c>
      <c r="V543" t="s">
        <v>3541</v>
      </c>
    </row>
    <row r="544" spans="1:22" ht="12.75" customHeight="1" x14ac:dyDescent="0.15">
      <c r="A544">
        <v>14</v>
      </c>
      <c r="B544">
        <v>2026</v>
      </c>
      <c r="C544" s="21">
        <v>46115</v>
      </c>
      <c r="D544" t="s">
        <v>139</v>
      </c>
      <c r="E544" t="s">
        <v>140</v>
      </c>
      <c r="F544" t="s">
        <v>75</v>
      </c>
      <c r="G544">
        <v>0.8</v>
      </c>
      <c r="H544" t="s">
        <v>3552</v>
      </c>
      <c r="I544" t="s">
        <v>3553</v>
      </c>
      <c r="J544" s="1" t="s">
        <v>3533</v>
      </c>
      <c r="K544" t="s">
        <v>181</v>
      </c>
      <c r="L544" t="s">
        <v>3477</v>
      </c>
      <c r="M544">
        <v>3</v>
      </c>
      <c r="N544">
        <v>0.03</v>
      </c>
      <c r="O544" t="s">
        <v>3334</v>
      </c>
      <c r="P544" s="1">
        <v>2.75</v>
      </c>
      <c r="Q544">
        <v>0.27</v>
      </c>
      <c r="R544" t="s">
        <v>3478</v>
      </c>
      <c r="T544" t="s">
        <v>3479</v>
      </c>
      <c r="U544">
        <v>-53</v>
      </c>
      <c r="V544" t="s">
        <v>3635</v>
      </c>
    </row>
    <row r="545" spans="1:22" ht="12.75" customHeight="1" x14ac:dyDescent="0.15">
      <c r="A545">
        <v>14</v>
      </c>
      <c r="B545">
        <v>2026</v>
      </c>
      <c r="C545" s="21">
        <v>46115</v>
      </c>
      <c r="D545" t="s">
        <v>139</v>
      </c>
      <c r="E545" t="s">
        <v>140</v>
      </c>
      <c r="F545" t="s">
        <v>75</v>
      </c>
      <c r="G545">
        <v>0.8</v>
      </c>
      <c r="H545" t="s">
        <v>3552</v>
      </c>
      <c r="I545" t="s">
        <v>3553</v>
      </c>
      <c r="J545" s="1" t="s">
        <v>3533</v>
      </c>
      <c r="K545" t="s">
        <v>181</v>
      </c>
      <c r="L545" t="s">
        <v>3481</v>
      </c>
      <c r="M545">
        <v>40</v>
      </c>
      <c r="N545">
        <v>0.04</v>
      </c>
      <c r="O545" t="s">
        <v>211</v>
      </c>
      <c r="P545" s="1">
        <v>2.25</v>
      </c>
      <c r="Q545">
        <v>0.25</v>
      </c>
      <c r="R545" t="s">
        <v>3482</v>
      </c>
      <c r="T545" t="s">
        <v>3479</v>
      </c>
      <c r="U545">
        <v>-53</v>
      </c>
      <c r="V545" t="s">
        <v>3636</v>
      </c>
    </row>
    <row r="546" spans="1:22" ht="12.75" customHeight="1" x14ac:dyDescent="0.15">
      <c r="A546">
        <v>14</v>
      </c>
      <c r="B546">
        <v>2026</v>
      </c>
      <c r="C546" s="21">
        <v>46115</v>
      </c>
      <c r="D546" t="s">
        <v>139</v>
      </c>
      <c r="E546" t="s">
        <v>140</v>
      </c>
      <c r="F546" t="s">
        <v>75</v>
      </c>
      <c r="G546">
        <v>0.8</v>
      </c>
      <c r="H546" t="s">
        <v>3547</v>
      </c>
      <c r="I546" t="s">
        <v>192</v>
      </c>
      <c r="J546" s="1" t="s">
        <v>188</v>
      </c>
      <c r="K546" t="s">
        <v>181</v>
      </c>
      <c r="L546" t="s">
        <v>3477</v>
      </c>
      <c r="M546">
        <v>3</v>
      </c>
      <c r="N546">
        <v>0.05</v>
      </c>
      <c r="O546" t="s">
        <v>3334</v>
      </c>
      <c r="P546" s="1">
        <v>3.67</v>
      </c>
      <c r="Q546">
        <v>0.36</v>
      </c>
      <c r="R546" t="s">
        <v>3478</v>
      </c>
      <c r="T546" t="s">
        <v>3479</v>
      </c>
      <c r="U546">
        <v>-53</v>
      </c>
      <c r="V546" t="s">
        <v>3637</v>
      </c>
    </row>
    <row r="547" spans="1:22" ht="12.75" customHeight="1" x14ac:dyDescent="0.15">
      <c r="A547">
        <v>14</v>
      </c>
      <c r="B547">
        <v>2026</v>
      </c>
      <c r="C547" s="21">
        <v>46115</v>
      </c>
      <c r="D547" t="s">
        <v>139</v>
      </c>
      <c r="E547" t="s">
        <v>140</v>
      </c>
      <c r="F547" t="s">
        <v>75</v>
      </c>
      <c r="G547">
        <v>0.8</v>
      </c>
      <c r="H547" t="s">
        <v>3547</v>
      </c>
      <c r="I547" t="s">
        <v>192</v>
      </c>
      <c r="J547" s="1" t="s">
        <v>188</v>
      </c>
      <c r="K547" t="s">
        <v>181</v>
      </c>
      <c r="L547" t="s">
        <v>3481</v>
      </c>
      <c r="M547">
        <v>40</v>
      </c>
      <c r="N547">
        <v>0.05</v>
      </c>
      <c r="O547" t="s">
        <v>211</v>
      </c>
      <c r="P547" s="1">
        <v>2.97</v>
      </c>
      <c r="Q547">
        <v>0.33</v>
      </c>
      <c r="R547" t="s">
        <v>3482</v>
      </c>
      <c r="T547" t="s">
        <v>3479</v>
      </c>
      <c r="U547">
        <v>-53</v>
      </c>
      <c r="V547" t="s">
        <v>3638</v>
      </c>
    </row>
    <row r="548" spans="1:22" ht="12.75" customHeight="1" x14ac:dyDescent="0.15">
      <c r="A548">
        <v>14</v>
      </c>
      <c r="B548">
        <v>2026</v>
      </c>
      <c r="C548" s="21">
        <v>46115</v>
      </c>
      <c r="D548" t="s">
        <v>139</v>
      </c>
      <c r="E548" t="s">
        <v>140</v>
      </c>
      <c r="F548" t="s">
        <v>75</v>
      </c>
      <c r="G548">
        <v>0.8</v>
      </c>
      <c r="H548" t="s">
        <v>3539</v>
      </c>
      <c r="I548" t="s">
        <v>3540</v>
      </c>
      <c r="J548" s="1" t="s">
        <v>3533</v>
      </c>
      <c r="K548" t="s">
        <v>181</v>
      </c>
      <c r="L548" t="s">
        <v>3477</v>
      </c>
      <c r="M548">
        <v>3</v>
      </c>
      <c r="N548">
        <v>0.04</v>
      </c>
      <c r="O548" t="s">
        <v>3334</v>
      </c>
      <c r="P548" s="1">
        <v>3.06</v>
      </c>
      <c r="Q548">
        <v>0.3</v>
      </c>
      <c r="R548" t="s">
        <v>3478</v>
      </c>
      <c r="T548" t="s">
        <v>3479</v>
      </c>
      <c r="U548">
        <v>-53</v>
      </c>
      <c r="V548" t="s">
        <v>3639</v>
      </c>
    </row>
    <row r="549" spans="1:22" ht="12.75" customHeight="1" x14ac:dyDescent="0.15">
      <c r="A549">
        <v>14</v>
      </c>
      <c r="B549">
        <v>2026</v>
      </c>
      <c r="C549" s="21">
        <v>46115</v>
      </c>
      <c r="D549" t="s">
        <v>139</v>
      </c>
      <c r="E549" t="s">
        <v>140</v>
      </c>
      <c r="F549" t="s">
        <v>75</v>
      </c>
      <c r="G549">
        <v>0.8</v>
      </c>
      <c r="H549" t="s">
        <v>3539</v>
      </c>
      <c r="I549" t="s">
        <v>3540</v>
      </c>
      <c r="J549" s="1" t="s">
        <v>3533</v>
      </c>
      <c r="K549" t="s">
        <v>181</v>
      </c>
      <c r="L549" t="s">
        <v>3481</v>
      </c>
      <c r="M549">
        <v>40</v>
      </c>
      <c r="N549">
        <v>0.04</v>
      </c>
      <c r="O549" t="s">
        <v>211</v>
      </c>
      <c r="P549" s="1">
        <v>2.25</v>
      </c>
      <c r="Q549">
        <v>0.25</v>
      </c>
      <c r="R549" t="s">
        <v>3482</v>
      </c>
      <c r="T549" t="s">
        <v>3479</v>
      </c>
      <c r="U549">
        <v>-53</v>
      </c>
      <c r="V549" t="s">
        <v>3636</v>
      </c>
    </row>
    <row r="550" spans="1:22" ht="12.75" customHeight="1" x14ac:dyDescent="0.15">
      <c r="A550">
        <v>14</v>
      </c>
      <c r="B550">
        <v>2026</v>
      </c>
      <c r="C550" s="21">
        <v>46116</v>
      </c>
      <c r="D550" t="s">
        <v>47</v>
      </c>
      <c r="E550" t="s">
        <v>48</v>
      </c>
      <c r="F550" t="s">
        <v>21</v>
      </c>
      <c r="G550">
        <v>2</v>
      </c>
      <c r="H550" t="s">
        <v>3453</v>
      </c>
      <c r="I550" t="s">
        <v>187</v>
      </c>
      <c r="J550" s="1" t="s">
        <v>188</v>
      </c>
      <c r="K550" t="s">
        <v>181</v>
      </c>
      <c r="L550" t="s">
        <v>3340</v>
      </c>
      <c r="M550">
        <v>6</v>
      </c>
      <c r="N550">
        <v>2</v>
      </c>
      <c r="O550" t="s">
        <v>211</v>
      </c>
      <c r="P550">
        <v>110</v>
      </c>
      <c r="R550" t="s">
        <v>3335</v>
      </c>
      <c r="S550" t="s">
        <v>3640</v>
      </c>
      <c r="T550" t="s">
        <v>3337</v>
      </c>
      <c r="U550">
        <v>44</v>
      </c>
      <c r="V550" t="s">
        <v>211</v>
      </c>
    </row>
    <row r="551" spans="1:22" ht="12.75" customHeight="1" x14ac:dyDescent="0.15">
      <c r="A551">
        <v>14</v>
      </c>
      <c r="B551">
        <v>2026</v>
      </c>
      <c r="C551" s="21">
        <v>46116</v>
      </c>
      <c r="D551" t="s">
        <v>89</v>
      </c>
      <c r="E551" t="s">
        <v>90</v>
      </c>
      <c r="F551" t="s">
        <v>21</v>
      </c>
      <c r="G551">
        <v>1</v>
      </c>
      <c r="H551" t="s">
        <v>3567</v>
      </c>
      <c r="I551" t="s">
        <v>321</v>
      </c>
      <c r="J551" s="1" t="s">
        <v>26</v>
      </c>
      <c r="K551" t="s">
        <v>181</v>
      </c>
      <c r="L551" t="s">
        <v>3333</v>
      </c>
      <c r="M551">
        <v>11</v>
      </c>
      <c r="N551">
        <v>0.75</v>
      </c>
      <c r="O551" t="s">
        <v>213</v>
      </c>
      <c r="P551">
        <v>67.5</v>
      </c>
      <c r="Q551">
        <v>6</v>
      </c>
      <c r="R551" t="s">
        <v>3564</v>
      </c>
      <c r="T551" t="s">
        <v>3402</v>
      </c>
      <c r="U551">
        <v>-11</v>
      </c>
      <c r="V551" t="s">
        <v>3641</v>
      </c>
    </row>
    <row r="552" spans="1:22" ht="12.75" customHeight="1" x14ac:dyDescent="0.15">
      <c r="A552">
        <v>14</v>
      </c>
      <c r="B552">
        <v>2026</v>
      </c>
      <c r="C552" s="21">
        <v>46116</v>
      </c>
      <c r="D552" t="s">
        <v>68</v>
      </c>
      <c r="E552" t="s">
        <v>69</v>
      </c>
      <c r="F552" t="s">
        <v>21</v>
      </c>
      <c r="G552">
        <v>1</v>
      </c>
      <c r="H552" t="s">
        <v>3550</v>
      </c>
      <c r="I552" t="s">
        <v>3551</v>
      </c>
      <c r="J552" s="1" t="s">
        <v>3533</v>
      </c>
      <c r="K552" t="s">
        <v>181</v>
      </c>
      <c r="L552" t="s">
        <v>3477</v>
      </c>
      <c r="M552">
        <v>3</v>
      </c>
      <c r="N552">
        <v>0.06</v>
      </c>
      <c r="O552" t="s">
        <v>3334</v>
      </c>
      <c r="P552">
        <v>4.8899999999999997</v>
      </c>
      <c r="Q552">
        <v>0.48</v>
      </c>
      <c r="R552" t="s">
        <v>3478</v>
      </c>
      <c r="T552" t="s">
        <v>3479</v>
      </c>
      <c r="U552">
        <v>2</v>
      </c>
      <c r="V552" t="s">
        <v>3642</v>
      </c>
    </row>
    <row r="553" spans="1:22" ht="12.75" customHeight="1" x14ac:dyDescent="0.15">
      <c r="A553">
        <v>14</v>
      </c>
      <c r="B553">
        <v>2026</v>
      </c>
      <c r="C553" s="21">
        <v>46116</v>
      </c>
      <c r="D553" t="s">
        <v>68</v>
      </c>
      <c r="E553" t="s">
        <v>69</v>
      </c>
      <c r="F553" t="s">
        <v>21</v>
      </c>
      <c r="G553">
        <v>1</v>
      </c>
      <c r="H553" t="s">
        <v>3550</v>
      </c>
      <c r="I553" t="s">
        <v>3551</v>
      </c>
      <c r="J553" s="1" t="s">
        <v>3533</v>
      </c>
      <c r="K553" t="s">
        <v>181</v>
      </c>
      <c r="L553" t="s">
        <v>3481</v>
      </c>
      <c r="M553">
        <v>40</v>
      </c>
      <c r="N553">
        <v>7.0000000000000007E-2</v>
      </c>
      <c r="O553" t="s">
        <v>211</v>
      </c>
      <c r="P553">
        <v>3.69</v>
      </c>
      <c r="Q553">
        <v>0.41</v>
      </c>
      <c r="R553" t="s">
        <v>3482</v>
      </c>
      <c r="T553" t="s">
        <v>3479</v>
      </c>
      <c r="U553">
        <v>2</v>
      </c>
      <c r="V553" t="s">
        <v>3643</v>
      </c>
    </row>
    <row r="554" spans="1:22" ht="12.75" customHeight="1" x14ac:dyDescent="0.15">
      <c r="A554">
        <v>14</v>
      </c>
      <c r="B554">
        <v>2026</v>
      </c>
      <c r="C554" s="21">
        <v>46116</v>
      </c>
      <c r="D554" t="s">
        <v>139</v>
      </c>
      <c r="E554" t="s">
        <v>140</v>
      </c>
      <c r="F554" t="s">
        <v>75</v>
      </c>
      <c r="G554">
        <v>0.8</v>
      </c>
      <c r="H554" t="s">
        <v>3547</v>
      </c>
      <c r="I554" t="s">
        <v>192</v>
      </c>
      <c r="J554" s="1" t="s">
        <v>188</v>
      </c>
      <c r="K554" t="s">
        <v>181</v>
      </c>
      <c r="L554" t="s">
        <v>3477</v>
      </c>
      <c r="M554">
        <v>3</v>
      </c>
      <c r="N554">
        <v>0.05</v>
      </c>
      <c r="O554" t="s">
        <v>3334</v>
      </c>
      <c r="P554" s="1">
        <v>3.67</v>
      </c>
      <c r="Q554">
        <v>0.36</v>
      </c>
      <c r="R554" t="s">
        <v>3478</v>
      </c>
      <c r="T554" t="s">
        <v>3479</v>
      </c>
      <c r="U554">
        <v>-52</v>
      </c>
      <c r="V554" t="s">
        <v>3637</v>
      </c>
    </row>
    <row r="555" spans="1:22" ht="12.75" customHeight="1" x14ac:dyDescent="0.15">
      <c r="A555">
        <v>14</v>
      </c>
      <c r="B555">
        <v>2026</v>
      </c>
      <c r="C555" s="21">
        <v>46116</v>
      </c>
      <c r="D555" t="s">
        <v>139</v>
      </c>
      <c r="E555" t="s">
        <v>140</v>
      </c>
      <c r="F555" t="s">
        <v>75</v>
      </c>
      <c r="G555">
        <v>0.8</v>
      </c>
      <c r="H555" t="s">
        <v>3547</v>
      </c>
      <c r="I555" t="s">
        <v>192</v>
      </c>
      <c r="J555" s="1" t="s">
        <v>188</v>
      </c>
      <c r="K555" t="s">
        <v>181</v>
      </c>
      <c r="L555" t="s">
        <v>3481</v>
      </c>
      <c r="M555">
        <v>40</v>
      </c>
      <c r="N555">
        <v>0.05</v>
      </c>
      <c r="O555" t="s">
        <v>211</v>
      </c>
      <c r="P555" s="1">
        <v>2.97</v>
      </c>
      <c r="Q555">
        <v>0.33</v>
      </c>
      <c r="R555" t="s">
        <v>3482</v>
      </c>
      <c r="T555" t="s">
        <v>3479</v>
      </c>
      <c r="U555">
        <v>-52</v>
      </c>
      <c r="V555" t="s">
        <v>3638</v>
      </c>
    </row>
    <row r="556" spans="1:22" ht="12.75" customHeight="1" x14ac:dyDescent="0.15">
      <c r="A556">
        <v>14</v>
      </c>
      <c r="B556">
        <v>2026</v>
      </c>
      <c r="C556" s="21">
        <v>46116</v>
      </c>
      <c r="D556" t="s">
        <v>139</v>
      </c>
      <c r="E556" t="s">
        <v>140</v>
      </c>
      <c r="F556" t="s">
        <v>75</v>
      </c>
      <c r="G556">
        <v>0.8</v>
      </c>
      <c r="H556" t="s">
        <v>3552</v>
      </c>
      <c r="I556" t="s">
        <v>3553</v>
      </c>
      <c r="J556" s="1" t="s">
        <v>3533</v>
      </c>
      <c r="K556" t="s">
        <v>181</v>
      </c>
      <c r="L556" t="s">
        <v>3477</v>
      </c>
      <c r="M556">
        <v>3</v>
      </c>
      <c r="N556">
        <v>0.02</v>
      </c>
      <c r="O556" t="s">
        <v>3334</v>
      </c>
      <c r="P556" s="1">
        <v>1.84</v>
      </c>
      <c r="Q556">
        <v>0.18</v>
      </c>
      <c r="R556" t="s">
        <v>3478</v>
      </c>
      <c r="T556" t="s">
        <v>3479</v>
      </c>
      <c r="U556">
        <v>-52</v>
      </c>
      <c r="V556" t="s">
        <v>3644</v>
      </c>
    </row>
    <row r="557" spans="1:22" ht="12.75" customHeight="1" x14ac:dyDescent="0.15">
      <c r="A557">
        <v>14</v>
      </c>
      <c r="B557">
        <v>2026</v>
      </c>
      <c r="C557" s="21">
        <v>46116</v>
      </c>
      <c r="D557" t="s">
        <v>139</v>
      </c>
      <c r="E557" t="s">
        <v>140</v>
      </c>
      <c r="F557" t="s">
        <v>75</v>
      </c>
      <c r="G557">
        <v>0.8</v>
      </c>
      <c r="H557" t="s">
        <v>3552</v>
      </c>
      <c r="I557" t="s">
        <v>3553</v>
      </c>
      <c r="J557" s="1" t="s">
        <v>3533</v>
      </c>
      <c r="K557" t="s">
        <v>181</v>
      </c>
      <c r="L557" t="s">
        <v>3481</v>
      </c>
      <c r="M557">
        <v>40</v>
      </c>
      <c r="N557">
        <v>0.03</v>
      </c>
      <c r="O557" t="s">
        <v>211</v>
      </c>
      <c r="P557" s="1">
        <v>1.44</v>
      </c>
      <c r="Q557">
        <v>0.16</v>
      </c>
      <c r="R557" t="s">
        <v>3482</v>
      </c>
      <c r="T557" t="s">
        <v>3479</v>
      </c>
      <c r="U557">
        <v>-52</v>
      </c>
      <c r="V557" t="s">
        <v>3645</v>
      </c>
    </row>
    <row r="558" spans="1:22" ht="12.75" customHeight="1" x14ac:dyDescent="0.15">
      <c r="A558">
        <v>14</v>
      </c>
      <c r="B558">
        <v>2026</v>
      </c>
      <c r="C558" s="21">
        <v>46118</v>
      </c>
      <c r="D558" t="s">
        <v>47</v>
      </c>
      <c r="E558" t="s">
        <v>48</v>
      </c>
      <c r="F558" t="s">
        <v>21</v>
      </c>
      <c r="G558">
        <v>2</v>
      </c>
      <c r="H558" t="s">
        <v>3490</v>
      </c>
      <c r="I558" t="s">
        <v>382</v>
      </c>
      <c r="J558" s="1" t="s">
        <v>188</v>
      </c>
      <c r="K558" t="s">
        <v>181</v>
      </c>
      <c r="L558" t="s">
        <v>3333</v>
      </c>
      <c r="M558">
        <v>6</v>
      </c>
      <c r="N558">
        <v>0.5</v>
      </c>
      <c r="O558" t="s">
        <v>3334</v>
      </c>
      <c r="P558">
        <v>40.79</v>
      </c>
      <c r="Q558">
        <v>4</v>
      </c>
      <c r="R558" t="s">
        <v>3335</v>
      </c>
      <c r="T558" t="s">
        <v>3337</v>
      </c>
      <c r="U558">
        <v>46</v>
      </c>
      <c r="V558" t="s">
        <v>3474</v>
      </c>
    </row>
    <row r="559" spans="1:22" ht="12.75" customHeight="1" x14ac:dyDescent="0.15">
      <c r="A559">
        <v>14</v>
      </c>
      <c r="B559">
        <v>2026</v>
      </c>
      <c r="C559" s="21">
        <v>46118</v>
      </c>
      <c r="D559" t="s">
        <v>47</v>
      </c>
      <c r="E559" t="s">
        <v>48</v>
      </c>
      <c r="F559" t="s">
        <v>21</v>
      </c>
      <c r="G559">
        <v>2</v>
      </c>
      <c r="H559" t="s">
        <v>3454</v>
      </c>
      <c r="I559" t="s">
        <v>212</v>
      </c>
      <c r="J559" s="1" t="s">
        <v>188</v>
      </c>
      <c r="K559" t="s">
        <v>181</v>
      </c>
      <c r="L559" t="s">
        <v>3333</v>
      </c>
      <c r="M559">
        <v>6</v>
      </c>
      <c r="N559">
        <v>0.5</v>
      </c>
      <c r="O559" t="s">
        <v>3334</v>
      </c>
      <c r="P559">
        <v>40.79</v>
      </c>
      <c r="Q559">
        <v>4</v>
      </c>
      <c r="R559" t="s">
        <v>3335</v>
      </c>
      <c r="T559" t="s">
        <v>3337</v>
      </c>
      <c r="U559">
        <v>46</v>
      </c>
      <c r="V559" t="s">
        <v>3474</v>
      </c>
    </row>
    <row r="560" spans="1:22" ht="12.75" customHeight="1" x14ac:dyDescent="0.15">
      <c r="A560">
        <v>14</v>
      </c>
      <c r="B560">
        <v>2026</v>
      </c>
      <c r="C560" s="21">
        <v>46118</v>
      </c>
      <c r="D560" t="s">
        <v>47</v>
      </c>
      <c r="E560" t="s">
        <v>48</v>
      </c>
      <c r="F560" t="s">
        <v>21</v>
      </c>
      <c r="G560">
        <v>2</v>
      </c>
      <c r="H560" t="s">
        <v>3490</v>
      </c>
      <c r="I560" t="s">
        <v>382</v>
      </c>
      <c r="J560" s="1" t="s">
        <v>188</v>
      </c>
      <c r="K560" t="s">
        <v>181</v>
      </c>
      <c r="L560" t="s">
        <v>3333</v>
      </c>
      <c r="M560">
        <v>1</v>
      </c>
      <c r="N560">
        <v>0.5</v>
      </c>
      <c r="O560" t="s">
        <v>3358</v>
      </c>
      <c r="P560">
        <v>35.93</v>
      </c>
      <c r="Q560">
        <v>4</v>
      </c>
      <c r="R560" t="s">
        <v>3359</v>
      </c>
      <c r="T560" t="s">
        <v>3337</v>
      </c>
      <c r="U560">
        <v>46</v>
      </c>
      <c r="V560" t="s">
        <v>3450</v>
      </c>
    </row>
    <row r="561" spans="1:22" ht="12.75" customHeight="1" x14ac:dyDescent="0.15">
      <c r="A561">
        <v>14</v>
      </c>
      <c r="B561">
        <v>2026</v>
      </c>
      <c r="C561" s="21">
        <v>46118</v>
      </c>
      <c r="D561" t="s">
        <v>47</v>
      </c>
      <c r="E561" t="s">
        <v>48</v>
      </c>
      <c r="F561" t="s">
        <v>21</v>
      </c>
      <c r="G561">
        <v>2</v>
      </c>
      <c r="H561" t="s">
        <v>3454</v>
      </c>
      <c r="I561" t="s">
        <v>212</v>
      </c>
      <c r="J561" s="1" t="s">
        <v>188</v>
      </c>
      <c r="K561" t="s">
        <v>181</v>
      </c>
      <c r="L561" t="s">
        <v>3333</v>
      </c>
      <c r="M561">
        <v>1</v>
      </c>
      <c r="N561">
        <v>0.5</v>
      </c>
      <c r="O561" t="s">
        <v>3358</v>
      </c>
      <c r="P561">
        <v>35.93</v>
      </c>
      <c r="Q561">
        <v>4</v>
      </c>
      <c r="R561" t="s">
        <v>3359</v>
      </c>
      <c r="T561" t="s">
        <v>3337</v>
      </c>
      <c r="U561">
        <v>46</v>
      </c>
      <c r="V561" t="s">
        <v>3450</v>
      </c>
    </row>
    <row r="562" spans="1:22" ht="12.75" customHeight="1" x14ac:dyDescent="0.15">
      <c r="A562">
        <v>14</v>
      </c>
      <c r="B562">
        <v>2026</v>
      </c>
      <c r="C562" s="21">
        <v>46118</v>
      </c>
      <c r="D562" t="s">
        <v>19</v>
      </c>
      <c r="E562" t="s">
        <v>20</v>
      </c>
      <c r="F562" t="s">
        <v>21</v>
      </c>
      <c r="G562">
        <v>3.8</v>
      </c>
      <c r="H562" t="s">
        <v>3514</v>
      </c>
      <c r="I562" t="s">
        <v>366</v>
      </c>
      <c r="J562" s="1" t="s">
        <v>215</v>
      </c>
      <c r="K562" t="s">
        <v>181</v>
      </c>
      <c r="L562" t="s">
        <v>3340</v>
      </c>
      <c r="M562">
        <v>58</v>
      </c>
      <c r="N562">
        <v>1.18</v>
      </c>
      <c r="O562" t="s">
        <v>211</v>
      </c>
      <c r="P562">
        <v>65</v>
      </c>
      <c r="R562" t="s">
        <v>3343</v>
      </c>
      <c r="S562" t="s">
        <v>3646</v>
      </c>
      <c r="T562" t="s">
        <v>3337</v>
      </c>
      <c r="U562">
        <v>118</v>
      </c>
      <c r="V562" t="s">
        <v>3435</v>
      </c>
    </row>
    <row r="563" spans="1:22" ht="12.75" customHeight="1" x14ac:dyDescent="0.15">
      <c r="A563">
        <v>14</v>
      </c>
      <c r="B563">
        <v>2026</v>
      </c>
      <c r="C563" s="21">
        <v>46118</v>
      </c>
      <c r="D563" t="s">
        <v>19</v>
      </c>
      <c r="E563" t="s">
        <v>20</v>
      </c>
      <c r="F563" t="s">
        <v>21</v>
      </c>
      <c r="G563">
        <v>3.8</v>
      </c>
      <c r="H563" t="s">
        <v>3514</v>
      </c>
      <c r="I563" t="s">
        <v>366</v>
      </c>
      <c r="J563" s="1" t="s">
        <v>215</v>
      </c>
      <c r="K563" t="s">
        <v>181</v>
      </c>
      <c r="L563" t="s">
        <v>3340</v>
      </c>
      <c r="M563">
        <v>45</v>
      </c>
      <c r="N563">
        <v>1.18</v>
      </c>
      <c r="O563" t="s">
        <v>211</v>
      </c>
      <c r="P563">
        <v>65</v>
      </c>
      <c r="R563" t="s">
        <v>3377</v>
      </c>
      <c r="T563" t="s">
        <v>3337</v>
      </c>
      <c r="U563">
        <v>118</v>
      </c>
      <c r="V563" t="s">
        <v>3435</v>
      </c>
    </row>
    <row r="564" spans="1:22" ht="12.75" customHeight="1" x14ac:dyDescent="0.15">
      <c r="A564">
        <v>14</v>
      </c>
      <c r="B564">
        <v>2026</v>
      </c>
      <c r="C564" s="21">
        <v>46118</v>
      </c>
      <c r="D564" t="s">
        <v>19</v>
      </c>
      <c r="E564" t="s">
        <v>20</v>
      </c>
      <c r="F564" t="s">
        <v>21</v>
      </c>
      <c r="G564">
        <v>3.8</v>
      </c>
      <c r="H564" t="s">
        <v>3514</v>
      </c>
      <c r="I564" t="s">
        <v>366</v>
      </c>
      <c r="J564" s="1" t="s">
        <v>215</v>
      </c>
      <c r="K564" t="s">
        <v>181</v>
      </c>
      <c r="L564" t="s">
        <v>3340</v>
      </c>
      <c r="M564">
        <v>81</v>
      </c>
      <c r="N564">
        <v>1.18</v>
      </c>
      <c r="O564" t="s">
        <v>211</v>
      </c>
      <c r="P564">
        <v>65</v>
      </c>
      <c r="R564" t="s">
        <v>3374</v>
      </c>
      <c r="T564" t="s">
        <v>3337</v>
      </c>
      <c r="U564">
        <v>118</v>
      </c>
      <c r="V564" t="s">
        <v>3435</v>
      </c>
    </row>
    <row r="565" spans="1:22" ht="12.75" customHeight="1" x14ac:dyDescent="0.15">
      <c r="A565">
        <v>14</v>
      </c>
      <c r="B565">
        <v>2026</v>
      </c>
      <c r="C565" s="21">
        <v>46118</v>
      </c>
      <c r="D565" t="s">
        <v>19</v>
      </c>
      <c r="E565" t="s">
        <v>20</v>
      </c>
      <c r="F565" t="s">
        <v>21</v>
      </c>
      <c r="G565">
        <v>3.8</v>
      </c>
      <c r="H565" t="s">
        <v>3514</v>
      </c>
      <c r="I565" t="s">
        <v>366</v>
      </c>
      <c r="J565" s="1" t="s">
        <v>215</v>
      </c>
      <c r="K565" t="s">
        <v>181</v>
      </c>
      <c r="L565" t="s">
        <v>3340</v>
      </c>
      <c r="M565">
        <v>62</v>
      </c>
      <c r="N565">
        <v>1.18</v>
      </c>
      <c r="O565" t="s">
        <v>211</v>
      </c>
      <c r="P565">
        <v>65</v>
      </c>
      <c r="R565" t="s">
        <v>3375</v>
      </c>
      <c r="T565" t="s">
        <v>3337</v>
      </c>
      <c r="U565">
        <v>118</v>
      </c>
      <c r="V565" t="s">
        <v>3435</v>
      </c>
    </row>
    <row r="566" spans="1:22" ht="12.75" customHeight="1" x14ac:dyDescent="0.15">
      <c r="A566">
        <v>14</v>
      </c>
      <c r="B566">
        <v>2026</v>
      </c>
      <c r="C566" s="21">
        <v>46118</v>
      </c>
      <c r="D566" t="s">
        <v>19</v>
      </c>
      <c r="E566" t="s">
        <v>20</v>
      </c>
      <c r="F566" t="s">
        <v>21</v>
      </c>
      <c r="G566">
        <v>3.8</v>
      </c>
      <c r="H566" t="s">
        <v>3514</v>
      </c>
      <c r="I566" t="s">
        <v>366</v>
      </c>
      <c r="J566" s="1" t="s">
        <v>215</v>
      </c>
      <c r="K566" t="s">
        <v>181</v>
      </c>
      <c r="L566" t="s">
        <v>3340</v>
      </c>
      <c r="M566">
        <v>53</v>
      </c>
      <c r="N566">
        <v>1.18</v>
      </c>
      <c r="O566" t="s">
        <v>211</v>
      </c>
      <c r="P566">
        <v>65</v>
      </c>
      <c r="R566" t="s">
        <v>3373</v>
      </c>
      <c r="T566" t="s">
        <v>3337</v>
      </c>
      <c r="U566">
        <v>118</v>
      </c>
      <c r="V566" t="s">
        <v>3435</v>
      </c>
    </row>
    <row r="567" spans="1:22" ht="12.75" customHeight="1" x14ac:dyDescent="0.15">
      <c r="A567">
        <v>14</v>
      </c>
      <c r="B567">
        <v>2026</v>
      </c>
      <c r="C567" s="21">
        <v>46118</v>
      </c>
      <c r="D567" t="s">
        <v>19</v>
      </c>
      <c r="E567" t="s">
        <v>20</v>
      </c>
      <c r="F567" t="s">
        <v>21</v>
      </c>
      <c r="G567">
        <v>3.8</v>
      </c>
      <c r="H567" t="s">
        <v>3514</v>
      </c>
      <c r="I567" t="s">
        <v>366</v>
      </c>
      <c r="J567" s="1" t="s">
        <v>215</v>
      </c>
      <c r="K567" t="s">
        <v>181</v>
      </c>
      <c r="L567" t="s">
        <v>3340</v>
      </c>
      <c r="M567">
        <v>132</v>
      </c>
      <c r="N567">
        <v>1.18</v>
      </c>
      <c r="O567" t="s">
        <v>211</v>
      </c>
      <c r="P567">
        <v>65</v>
      </c>
      <c r="R567" t="s">
        <v>3368</v>
      </c>
      <c r="T567" t="s">
        <v>3337</v>
      </c>
      <c r="U567">
        <v>118</v>
      </c>
      <c r="V567" t="s">
        <v>3435</v>
      </c>
    </row>
    <row r="568" spans="1:22" ht="12.75" customHeight="1" x14ac:dyDescent="0.15">
      <c r="A568">
        <v>14</v>
      </c>
      <c r="B568">
        <v>2026</v>
      </c>
      <c r="C568" s="21">
        <v>46118</v>
      </c>
      <c r="D568" t="s">
        <v>60</v>
      </c>
      <c r="E568" t="s">
        <v>61</v>
      </c>
      <c r="F568" t="s">
        <v>21</v>
      </c>
      <c r="G568">
        <v>1.6</v>
      </c>
      <c r="H568" t="s">
        <v>3519</v>
      </c>
      <c r="I568" t="s">
        <v>214</v>
      </c>
      <c r="J568" s="1" t="s">
        <v>215</v>
      </c>
      <c r="K568" t="s">
        <v>181</v>
      </c>
      <c r="L568" t="s">
        <v>3340</v>
      </c>
      <c r="M568">
        <v>58</v>
      </c>
      <c r="N568">
        <v>0.24</v>
      </c>
      <c r="O568" t="s">
        <v>211</v>
      </c>
      <c r="P568">
        <v>13.3</v>
      </c>
      <c r="R568" t="s">
        <v>3343</v>
      </c>
      <c r="S568" t="s">
        <v>3647</v>
      </c>
      <c r="T568" t="s">
        <v>3337</v>
      </c>
      <c r="U568">
        <v>10</v>
      </c>
      <c r="V568" t="s">
        <v>3648</v>
      </c>
    </row>
    <row r="569" spans="1:22" ht="12.75" customHeight="1" x14ac:dyDescent="0.15">
      <c r="A569">
        <v>14</v>
      </c>
      <c r="B569">
        <v>2026</v>
      </c>
      <c r="C569" s="21">
        <v>46118</v>
      </c>
      <c r="D569" t="s">
        <v>60</v>
      </c>
      <c r="E569" t="s">
        <v>61</v>
      </c>
      <c r="F569" t="s">
        <v>21</v>
      </c>
      <c r="G569">
        <v>1.6</v>
      </c>
      <c r="H569" t="s">
        <v>3519</v>
      </c>
      <c r="I569" t="s">
        <v>214</v>
      </c>
      <c r="J569" s="1" t="s">
        <v>215</v>
      </c>
      <c r="K569" t="s">
        <v>181</v>
      </c>
      <c r="L569" t="s">
        <v>3340</v>
      </c>
      <c r="M569">
        <v>45</v>
      </c>
      <c r="N569">
        <v>0.24</v>
      </c>
      <c r="O569" t="s">
        <v>211</v>
      </c>
      <c r="P569">
        <v>13.3</v>
      </c>
      <c r="R569" t="s">
        <v>3377</v>
      </c>
      <c r="T569" t="s">
        <v>3337</v>
      </c>
      <c r="U569">
        <v>10</v>
      </c>
      <c r="V569" t="s">
        <v>3648</v>
      </c>
    </row>
    <row r="570" spans="1:22" ht="12.75" customHeight="1" x14ac:dyDescent="0.15">
      <c r="A570">
        <v>14</v>
      </c>
      <c r="B570">
        <v>2026</v>
      </c>
      <c r="C570" s="21">
        <v>46118</v>
      </c>
      <c r="D570" t="s">
        <v>60</v>
      </c>
      <c r="E570" t="s">
        <v>61</v>
      </c>
      <c r="F570" t="s">
        <v>21</v>
      </c>
      <c r="G570">
        <v>1.6</v>
      </c>
      <c r="H570" t="s">
        <v>3519</v>
      </c>
      <c r="I570" t="s">
        <v>214</v>
      </c>
      <c r="J570" s="1" t="s">
        <v>215</v>
      </c>
      <c r="K570" t="s">
        <v>181</v>
      </c>
      <c r="L570" t="s">
        <v>3340</v>
      </c>
      <c r="M570">
        <v>81</v>
      </c>
      <c r="N570">
        <v>0.24</v>
      </c>
      <c r="O570" t="s">
        <v>211</v>
      </c>
      <c r="P570">
        <v>13.3</v>
      </c>
      <c r="R570" t="s">
        <v>3374</v>
      </c>
      <c r="T570" t="s">
        <v>3337</v>
      </c>
      <c r="U570">
        <v>10</v>
      </c>
      <c r="V570" t="s">
        <v>3648</v>
      </c>
    </row>
    <row r="571" spans="1:22" ht="12.75" customHeight="1" x14ac:dyDescent="0.15">
      <c r="A571">
        <v>14</v>
      </c>
      <c r="B571">
        <v>2026</v>
      </c>
      <c r="C571" s="21">
        <v>46118</v>
      </c>
      <c r="D571" t="s">
        <v>60</v>
      </c>
      <c r="E571" t="s">
        <v>61</v>
      </c>
      <c r="F571" t="s">
        <v>21</v>
      </c>
      <c r="G571">
        <v>1.6</v>
      </c>
      <c r="H571" t="s">
        <v>3519</v>
      </c>
      <c r="I571" t="s">
        <v>214</v>
      </c>
      <c r="J571" s="1" t="s">
        <v>215</v>
      </c>
      <c r="K571" t="s">
        <v>181</v>
      </c>
      <c r="L571" t="s">
        <v>3340</v>
      </c>
      <c r="M571">
        <v>62</v>
      </c>
      <c r="N571">
        <v>0.24</v>
      </c>
      <c r="O571" t="s">
        <v>211</v>
      </c>
      <c r="P571">
        <v>13.3</v>
      </c>
      <c r="R571" t="s">
        <v>3375</v>
      </c>
      <c r="T571" t="s">
        <v>3337</v>
      </c>
      <c r="U571">
        <v>10</v>
      </c>
      <c r="V571" t="s">
        <v>3648</v>
      </c>
    </row>
    <row r="572" spans="1:22" ht="12.75" customHeight="1" x14ac:dyDescent="0.15">
      <c r="A572">
        <v>14</v>
      </c>
      <c r="B572">
        <v>2026</v>
      </c>
      <c r="C572" s="21">
        <v>46118</v>
      </c>
      <c r="D572" t="s">
        <v>60</v>
      </c>
      <c r="E572" t="s">
        <v>61</v>
      </c>
      <c r="F572" t="s">
        <v>21</v>
      </c>
      <c r="G572">
        <v>1.6</v>
      </c>
      <c r="H572" t="s">
        <v>3519</v>
      </c>
      <c r="I572" t="s">
        <v>214</v>
      </c>
      <c r="J572" s="1" t="s">
        <v>215</v>
      </c>
      <c r="K572" t="s">
        <v>181</v>
      </c>
      <c r="L572" t="s">
        <v>3340</v>
      </c>
      <c r="M572">
        <v>53</v>
      </c>
      <c r="N572">
        <v>0.24</v>
      </c>
      <c r="O572" t="s">
        <v>211</v>
      </c>
      <c r="P572">
        <v>13.3</v>
      </c>
      <c r="R572" t="s">
        <v>3373</v>
      </c>
      <c r="T572" t="s">
        <v>3337</v>
      </c>
      <c r="U572">
        <v>10</v>
      </c>
      <c r="V572" t="s">
        <v>3648</v>
      </c>
    </row>
    <row r="573" spans="1:22" ht="12.75" customHeight="1" x14ac:dyDescent="0.15">
      <c r="A573">
        <v>14</v>
      </c>
      <c r="B573">
        <v>2026</v>
      </c>
      <c r="C573" s="21">
        <v>46118</v>
      </c>
      <c r="D573" t="s">
        <v>60</v>
      </c>
      <c r="E573" t="s">
        <v>61</v>
      </c>
      <c r="F573" t="s">
        <v>21</v>
      </c>
      <c r="G573">
        <v>1.6</v>
      </c>
      <c r="H573" t="s">
        <v>3519</v>
      </c>
      <c r="I573" t="s">
        <v>214</v>
      </c>
      <c r="J573" s="1" t="s">
        <v>215</v>
      </c>
      <c r="K573" t="s">
        <v>181</v>
      </c>
      <c r="L573" t="s">
        <v>3340</v>
      </c>
      <c r="M573">
        <v>132</v>
      </c>
      <c r="N573">
        <v>0.24</v>
      </c>
      <c r="O573" t="s">
        <v>211</v>
      </c>
      <c r="P573">
        <v>13.3</v>
      </c>
      <c r="R573" t="s">
        <v>3368</v>
      </c>
      <c r="T573" t="s">
        <v>3337</v>
      </c>
      <c r="U573">
        <v>10</v>
      </c>
      <c r="V573" t="s">
        <v>3648</v>
      </c>
    </row>
    <row r="574" spans="1:22" ht="12.75" customHeight="1" x14ac:dyDescent="0.15">
      <c r="A574">
        <v>14</v>
      </c>
      <c r="B574">
        <v>2026</v>
      </c>
      <c r="C574" s="21">
        <v>46118</v>
      </c>
      <c r="D574" t="s">
        <v>60</v>
      </c>
      <c r="E574" t="s">
        <v>61</v>
      </c>
      <c r="F574" t="s">
        <v>21</v>
      </c>
      <c r="G574">
        <v>1.6</v>
      </c>
      <c r="H574" t="s">
        <v>3400</v>
      </c>
      <c r="I574" t="s">
        <v>353</v>
      </c>
      <c r="J574" s="1" t="s">
        <v>253</v>
      </c>
      <c r="K574" t="s">
        <v>181</v>
      </c>
      <c r="L574" t="s">
        <v>3333</v>
      </c>
      <c r="M574">
        <v>2</v>
      </c>
      <c r="N574">
        <v>0.38</v>
      </c>
      <c r="O574" t="s">
        <v>3440</v>
      </c>
      <c r="P574">
        <v>33.93</v>
      </c>
      <c r="Q574">
        <v>3</v>
      </c>
      <c r="R574" t="s">
        <v>3424</v>
      </c>
      <c r="T574" t="s">
        <v>3337</v>
      </c>
      <c r="U574">
        <v>10</v>
      </c>
      <c r="V574" t="s">
        <v>3649</v>
      </c>
    </row>
    <row r="575" spans="1:22" ht="12.75" customHeight="1" x14ac:dyDescent="0.15">
      <c r="A575">
        <v>14</v>
      </c>
      <c r="B575">
        <v>2026</v>
      </c>
      <c r="C575" s="21">
        <v>46118</v>
      </c>
      <c r="D575" t="s">
        <v>53</v>
      </c>
      <c r="E575" t="s">
        <v>54</v>
      </c>
      <c r="F575" t="s">
        <v>21</v>
      </c>
      <c r="G575">
        <v>2</v>
      </c>
      <c r="H575" t="s">
        <v>3391</v>
      </c>
      <c r="I575" t="s">
        <v>353</v>
      </c>
      <c r="J575" s="1" t="s">
        <v>253</v>
      </c>
      <c r="K575" t="s">
        <v>181</v>
      </c>
      <c r="L575" t="s">
        <v>3333</v>
      </c>
      <c r="M575">
        <v>2</v>
      </c>
      <c r="N575">
        <v>0.47</v>
      </c>
      <c r="O575" t="s">
        <v>3440</v>
      </c>
      <c r="P575">
        <v>42.42</v>
      </c>
      <c r="Q575">
        <v>3.75</v>
      </c>
      <c r="R575" t="s">
        <v>3424</v>
      </c>
      <c r="T575" t="s">
        <v>3402</v>
      </c>
      <c r="U575">
        <v>32</v>
      </c>
      <c r="V575" t="s">
        <v>3649</v>
      </c>
    </row>
    <row r="576" spans="1:22" ht="12.75" customHeight="1" x14ac:dyDescent="0.15">
      <c r="A576">
        <v>14</v>
      </c>
      <c r="B576">
        <v>2026</v>
      </c>
      <c r="C576" s="21">
        <v>46118</v>
      </c>
      <c r="D576" t="s">
        <v>53</v>
      </c>
      <c r="E576" t="s">
        <v>54</v>
      </c>
      <c r="F576" t="s">
        <v>21</v>
      </c>
      <c r="G576">
        <v>2</v>
      </c>
      <c r="H576" t="s">
        <v>3391</v>
      </c>
      <c r="I576" t="s">
        <v>353</v>
      </c>
      <c r="J576" s="1" t="s">
        <v>253</v>
      </c>
      <c r="K576" t="s">
        <v>181</v>
      </c>
      <c r="L576" t="s">
        <v>3333</v>
      </c>
      <c r="M576">
        <v>67</v>
      </c>
      <c r="N576">
        <v>0.19</v>
      </c>
      <c r="O576" t="s">
        <v>3334</v>
      </c>
      <c r="P576">
        <v>15.3</v>
      </c>
      <c r="Q576">
        <v>1.5</v>
      </c>
      <c r="R576" t="s">
        <v>3404</v>
      </c>
      <c r="T576" t="s">
        <v>3402</v>
      </c>
      <c r="U576">
        <v>32</v>
      </c>
      <c r="V576" t="s">
        <v>3650</v>
      </c>
    </row>
    <row r="577" spans="1:22" ht="12.75" customHeight="1" x14ac:dyDescent="0.15">
      <c r="A577">
        <v>14</v>
      </c>
      <c r="B577">
        <v>2026</v>
      </c>
      <c r="C577" s="21">
        <v>46118</v>
      </c>
      <c r="D577" t="s">
        <v>53</v>
      </c>
      <c r="E577" t="s">
        <v>54</v>
      </c>
      <c r="F577" t="s">
        <v>21</v>
      </c>
      <c r="G577">
        <v>2</v>
      </c>
      <c r="H577" t="s">
        <v>3391</v>
      </c>
      <c r="I577" t="s">
        <v>353</v>
      </c>
      <c r="J577" s="1" t="s">
        <v>253</v>
      </c>
      <c r="K577" t="s">
        <v>181</v>
      </c>
      <c r="L577" t="s">
        <v>3333</v>
      </c>
      <c r="M577">
        <v>91</v>
      </c>
      <c r="N577">
        <v>0.19</v>
      </c>
      <c r="O577" t="s">
        <v>3334</v>
      </c>
      <c r="P577">
        <v>15.3</v>
      </c>
      <c r="Q577">
        <v>1.5</v>
      </c>
      <c r="R577" t="s">
        <v>3412</v>
      </c>
      <c r="T577" t="s">
        <v>3402</v>
      </c>
      <c r="U577">
        <v>32</v>
      </c>
      <c r="V577" t="s">
        <v>3650</v>
      </c>
    </row>
    <row r="578" spans="1:22" ht="12.75" customHeight="1" x14ac:dyDescent="0.15">
      <c r="A578">
        <v>14</v>
      </c>
      <c r="B578">
        <v>2026</v>
      </c>
      <c r="C578" s="21">
        <v>46118</v>
      </c>
      <c r="D578" t="s">
        <v>53</v>
      </c>
      <c r="E578" t="s">
        <v>54</v>
      </c>
      <c r="F578" t="s">
        <v>21</v>
      </c>
      <c r="G578">
        <v>2</v>
      </c>
      <c r="H578" t="s">
        <v>3391</v>
      </c>
      <c r="I578" t="s">
        <v>353</v>
      </c>
      <c r="J578" s="1" t="s">
        <v>253</v>
      </c>
      <c r="K578" t="s">
        <v>181</v>
      </c>
      <c r="L578" t="s">
        <v>3333</v>
      </c>
      <c r="M578">
        <v>19</v>
      </c>
      <c r="N578">
        <v>0.47</v>
      </c>
      <c r="O578" t="s">
        <v>3334</v>
      </c>
      <c r="P578">
        <v>38.24</v>
      </c>
      <c r="Q578">
        <v>3.75</v>
      </c>
      <c r="R578" t="s">
        <v>3403</v>
      </c>
      <c r="T578" t="s">
        <v>3402</v>
      </c>
      <c r="U578">
        <v>32</v>
      </c>
      <c r="V578" t="s">
        <v>3582</v>
      </c>
    </row>
    <row r="579" spans="1:22" ht="12.75" customHeight="1" x14ac:dyDescent="0.15">
      <c r="A579">
        <v>14</v>
      </c>
      <c r="B579">
        <v>2026</v>
      </c>
      <c r="C579" s="21">
        <v>46118</v>
      </c>
      <c r="D579" t="s">
        <v>53</v>
      </c>
      <c r="E579" t="s">
        <v>54</v>
      </c>
      <c r="F579" t="s">
        <v>21</v>
      </c>
      <c r="G579">
        <v>2</v>
      </c>
      <c r="H579" t="s">
        <v>3391</v>
      </c>
      <c r="I579" t="s">
        <v>353</v>
      </c>
      <c r="J579" s="1" t="s">
        <v>253</v>
      </c>
      <c r="K579" t="s">
        <v>181</v>
      </c>
      <c r="L579" t="s">
        <v>3340</v>
      </c>
      <c r="M579">
        <v>25</v>
      </c>
      <c r="N579">
        <v>0.61</v>
      </c>
      <c r="O579" t="s">
        <v>211</v>
      </c>
      <c r="P579">
        <v>33.75</v>
      </c>
      <c r="Q579">
        <v>3.75</v>
      </c>
      <c r="R579" t="s">
        <v>3413</v>
      </c>
      <c r="T579" t="s">
        <v>3402</v>
      </c>
      <c r="U579">
        <v>32</v>
      </c>
      <c r="V579" t="s">
        <v>3651</v>
      </c>
    </row>
    <row r="580" spans="1:22" ht="12.75" customHeight="1" x14ac:dyDescent="0.15">
      <c r="A580">
        <v>14</v>
      </c>
      <c r="B580">
        <v>2026</v>
      </c>
      <c r="C580" s="21">
        <v>46118</v>
      </c>
      <c r="D580" t="s">
        <v>89</v>
      </c>
      <c r="E580" t="s">
        <v>90</v>
      </c>
      <c r="F580" t="s">
        <v>21</v>
      </c>
      <c r="G580">
        <v>1</v>
      </c>
      <c r="H580" t="s">
        <v>3567</v>
      </c>
      <c r="I580" t="s">
        <v>321</v>
      </c>
      <c r="J580" s="1" t="s">
        <v>26</v>
      </c>
      <c r="K580" t="s">
        <v>181</v>
      </c>
      <c r="L580" t="s">
        <v>3333</v>
      </c>
      <c r="M580">
        <v>11</v>
      </c>
      <c r="N580">
        <v>0.75</v>
      </c>
      <c r="O580" t="s">
        <v>213</v>
      </c>
      <c r="P580">
        <v>67.5</v>
      </c>
      <c r="Q580">
        <v>6</v>
      </c>
      <c r="R580" t="s">
        <v>3564</v>
      </c>
      <c r="T580" t="s">
        <v>3402</v>
      </c>
      <c r="U580">
        <v>-9</v>
      </c>
      <c r="V580" t="s">
        <v>3641</v>
      </c>
    </row>
    <row r="581" spans="1:22" ht="12.75" customHeight="1" x14ac:dyDescent="0.15">
      <c r="A581">
        <v>14</v>
      </c>
      <c r="B581">
        <v>2026</v>
      </c>
      <c r="C581" s="21">
        <v>46118</v>
      </c>
      <c r="D581" t="s">
        <v>139</v>
      </c>
      <c r="E581" t="s">
        <v>140</v>
      </c>
      <c r="F581" t="s">
        <v>75</v>
      </c>
      <c r="G581">
        <v>0.8</v>
      </c>
      <c r="H581" t="s">
        <v>3552</v>
      </c>
      <c r="I581" t="s">
        <v>3553</v>
      </c>
      <c r="J581" s="1" t="s">
        <v>3533</v>
      </c>
      <c r="K581" t="s">
        <v>181</v>
      </c>
      <c r="L581" t="s">
        <v>3481</v>
      </c>
      <c r="M581">
        <v>40</v>
      </c>
      <c r="N581">
        <v>0.08</v>
      </c>
      <c r="O581" t="s">
        <v>211</v>
      </c>
      <c r="P581" s="1">
        <v>4.41</v>
      </c>
      <c r="Q581">
        <v>0.49</v>
      </c>
      <c r="R581" t="s">
        <v>3482</v>
      </c>
      <c r="T581" t="s">
        <v>3479</v>
      </c>
      <c r="U581">
        <v>-50</v>
      </c>
      <c r="V581" t="s">
        <v>3652</v>
      </c>
    </row>
    <row r="582" spans="1:22" ht="12.75" customHeight="1" x14ac:dyDescent="0.15">
      <c r="A582">
        <v>14</v>
      </c>
      <c r="B582">
        <v>2026</v>
      </c>
      <c r="C582" s="21">
        <v>46119</v>
      </c>
      <c r="D582" t="s">
        <v>47</v>
      </c>
      <c r="E582" t="s">
        <v>48</v>
      </c>
      <c r="F582" t="s">
        <v>21</v>
      </c>
      <c r="G582">
        <v>2</v>
      </c>
      <c r="H582" t="s">
        <v>3454</v>
      </c>
      <c r="I582" t="s">
        <v>212</v>
      </c>
      <c r="J582" s="1" t="s">
        <v>188</v>
      </c>
      <c r="K582" t="s">
        <v>181</v>
      </c>
      <c r="L582" t="s">
        <v>3333</v>
      </c>
      <c r="M582">
        <v>6</v>
      </c>
      <c r="N582">
        <v>1</v>
      </c>
      <c r="O582" t="s">
        <v>3334</v>
      </c>
      <c r="P582">
        <v>81.58</v>
      </c>
      <c r="Q582">
        <v>8</v>
      </c>
      <c r="R582" t="s">
        <v>3335</v>
      </c>
      <c r="T582" t="s">
        <v>3337</v>
      </c>
      <c r="U582">
        <v>47</v>
      </c>
      <c r="V582" t="s">
        <v>3456</v>
      </c>
    </row>
    <row r="583" spans="1:22" ht="12.75" customHeight="1" x14ac:dyDescent="0.15">
      <c r="A583">
        <v>14</v>
      </c>
      <c r="B583">
        <v>2026</v>
      </c>
      <c r="C583" s="21">
        <v>46119</v>
      </c>
      <c r="D583" t="s">
        <v>60</v>
      </c>
      <c r="E583" t="s">
        <v>61</v>
      </c>
      <c r="F583" t="s">
        <v>21</v>
      </c>
      <c r="G583">
        <v>1.6</v>
      </c>
      <c r="H583" t="s">
        <v>3400</v>
      </c>
      <c r="I583" t="s">
        <v>353</v>
      </c>
      <c r="J583" s="1" t="s">
        <v>253</v>
      </c>
      <c r="K583" t="s">
        <v>181</v>
      </c>
      <c r="L583" t="s">
        <v>3333</v>
      </c>
      <c r="M583">
        <v>2</v>
      </c>
      <c r="N583">
        <v>0.25</v>
      </c>
      <c r="O583" t="s">
        <v>3440</v>
      </c>
      <c r="P583">
        <v>22.62</v>
      </c>
      <c r="Q583">
        <v>2</v>
      </c>
      <c r="R583" t="s">
        <v>3424</v>
      </c>
      <c r="T583" t="s">
        <v>3337</v>
      </c>
      <c r="U583">
        <v>11</v>
      </c>
      <c r="V583" t="s">
        <v>3524</v>
      </c>
    </row>
    <row r="584" spans="1:22" ht="12.75" customHeight="1" x14ac:dyDescent="0.15">
      <c r="A584">
        <v>14</v>
      </c>
      <c r="B584">
        <v>2026</v>
      </c>
      <c r="C584" s="21">
        <v>46119</v>
      </c>
      <c r="D584" t="s">
        <v>53</v>
      </c>
      <c r="E584" t="s">
        <v>54</v>
      </c>
      <c r="F584" t="s">
        <v>21</v>
      </c>
      <c r="G584">
        <v>2</v>
      </c>
      <c r="H584" t="s">
        <v>3391</v>
      </c>
      <c r="I584" t="s">
        <v>353</v>
      </c>
      <c r="J584" s="1" t="s">
        <v>253</v>
      </c>
      <c r="K584" t="s">
        <v>181</v>
      </c>
      <c r="L584" t="s">
        <v>3333</v>
      </c>
      <c r="M584">
        <v>67</v>
      </c>
      <c r="N584">
        <v>0.38</v>
      </c>
      <c r="O584" t="s">
        <v>3334</v>
      </c>
      <c r="P584">
        <v>30.59</v>
      </c>
      <c r="Q584">
        <v>3</v>
      </c>
      <c r="R584" t="s">
        <v>3404</v>
      </c>
      <c r="T584" t="s">
        <v>3402</v>
      </c>
      <c r="U584">
        <v>33</v>
      </c>
      <c r="V584" t="s">
        <v>3475</v>
      </c>
    </row>
    <row r="585" spans="1:22" ht="12.75" customHeight="1" x14ac:dyDescent="0.15">
      <c r="A585">
        <v>14</v>
      </c>
      <c r="B585">
        <v>2026</v>
      </c>
      <c r="C585" s="21">
        <v>46119</v>
      </c>
      <c r="D585" t="s">
        <v>53</v>
      </c>
      <c r="E585" t="s">
        <v>54</v>
      </c>
      <c r="F585" t="s">
        <v>21</v>
      </c>
      <c r="G585">
        <v>2</v>
      </c>
      <c r="H585" t="s">
        <v>3391</v>
      </c>
      <c r="I585" t="s">
        <v>353</v>
      </c>
      <c r="J585" s="1" t="s">
        <v>253</v>
      </c>
      <c r="K585" t="s">
        <v>181</v>
      </c>
      <c r="L585" t="s">
        <v>3333</v>
      </c>
      <c r="M585">
        <v>19</v>
      </c>
      <c r="N585">
        <v>0.38</v>
      </c>
      <c r="O585" t="s">
        <v>3334</v>
      </c>
      <c r="P585">
        <v>30.59</v>
      </c>
      <c r="Q585">
        <v>3</v>
      </c>
      <c r="R585" t="s">
        <v>3403</v>
      </c>
      <c r="T585" t="s">
        <v>3402</v>
      </c>
      <c r="U585">
        <v>33</v>
      </c>
      <c r="V585" t="s">
        <v>3475</v>
      </c>
    </row>
    <row r="586" spans="1:22" ht="12.75" customHeight="1" x14ac:dyDescent="0.15">
      <c r="A586">
        <v>14</v>
      </c>
      <c r="B586">
        <v>2026</v>
      </c>
      <c r="C586" s="21">
        <v>46119</v>
      </c>
      <c r="D586" t="s">
        <v>53</v>
      </c>
      <c r="E586" t="s">
        <v>54</v>
      </c>
      <c r="F586" t="s">
        <v>21</v>
      </c>
      <c r="G586">
        <v>2</v>
      </c>
      <c r="H586" t="s">
        <v>3391</v>
      </c>
      <c r="I586" t="s">
        <v>353</v>
      </c>
      <c r="J586" s="1" t="s">
        <v>253</v>
      </c>
      <c r="K586" t="s">
        <v>181</v>
      </c>
      <c r="L586" t="s">
        <v>3333</v>
      </c>
      <c r="M586">
        <v>91</v>
      </c>
      <c r="N586">
        <v>0.38</v>
      </c>
      <c r="O586" t="s">
        <v>3334</v>
      </c>
      <c r="P586">
        <v>30.59</v>
      </c>
      <c r="Q586">
        <v>3</v>
      </c>
      <c r="R586" t="s">
        <v>3412</v>
      </c>
      <c r="T586" t="s">
        <v>3402</v>
      </c>
      <c r="U586">
        <v>33</v>
      </c>
      <c r="V586" t="s">
        <v>3475</v>
      </c>
    </row>
    <row r="587" spans="1:22" ht="12.75" customHeight="1" x14ac:dyDescent="0.15">
      <c r="A587">
        <v>14</v>
      </c>
      <c r="B587">
        <v>2026</v>
      </c>
      <c r="C587" s="21">
        <v>46119</v>
      </c>
      <c r="D587" t="s">
        <v>53</v>
      </c>
      <c r="E587" t="s">
        <v>54</v>
      </c>
      <c r="F587" t="s">
        <v>21</v>
      </c>
      <c r="G587">
        <v>2</v>
      </c>
      <c r="H587" t="s">
        <v>3391</v>
      </c>
      <c r="I587" t="s">
        <v>353</v>
      </c>
      <c r="J587" s="1" t="s">
        <v>253</v>
      </c>
      <c r="K587" t="s">
        <v>181</v>
      </c>
      <c r="L587" t="s">
        <v>3340</v>
      </c>
      <c r="M587">
        <v>78</v>
      </c>
      <c r="N587">
        <v>0.49</v>
      </c>
      <c r="O587" t="s">
        <v>211</v>
      </c>
      <c r="P587">
        <v>27</v>
      </c>
      <c r="Q587">
        <v>3</v>
      </c>
      <c r="R587" t="s">
        <v>3341</v>
      </c>
      <c r="T587" t="s">
        <v>3402</v>
      </c>
      <c r="U587">
        <v>33</v>
      </c>
      <c r="V587" t="s">
        <v>3476</v>
      </c>
    </row>
    <row r="588" spans="1:22" ht="12.75" customHeight="1" x14ac:dyDescent="0.15">
      <c r="A588">
        <v>14</v>
      </c>
      <c r="B588">
        <v>2026</v>
      </c>
      <c r="C588" s="21">
        <v>46119</v>
      </c>
      <c r="D588" t="s">
        <v>53</v>
      </c>
      <c r="E588" t="s">
        <v>54</v>
      </c>
      <c r="F588" t="s">
        <v>21</v>
      </c>
      <c r="G588">
        <v>2</v>
      </c>
      <c r="H588" t="s">
        <v>3391</v>
      </c>
      <c r="I588" t="s">
        <v>353</v>
      </c>
      <c r="J588" s="1" t="s">
        <v>253</v>
      </c>
      <c r="K588" t="s">
        <v>181</v>
      </c>
      <c r="L588" t="s">
        <v>3340</v>
      </c>
      <c r="M588">
        <v>25</v>
      </c>
      <c r="N588">
        <v>0.33</v>
      </c>
      <c r="O588" t="s">
        <v>211</v>
      </c>
      <c r="P588">
        <v>18</v>
      </c>
      <c r="Q588">
        <v>2</v>
      </c>
      <c r="R588" t="s">
        <v>3413</v>
      </c>
      <c r="T588" t="s">
        <v>3402</v>
      </c>
      <c r="U588">
        <v>33</v>
      </c>
      <c r="V588" t="s">
        <v>3473</v>
      </c>
    </row>
    <row r="589" spans="1:22" ht="12.75" customHeight="1" x14ac:dyDescent="0.15">
      <c r="A589">
        <v>14</v>
      </c>
      <c r="B589">
        <v>2026</v>
      </c>
      <c r="C589" s="21">
        <v>46119</v>
      </c>
      <c r="D589" t="s">
        <v>68</v>
      </c>
      <c r="E589" t="s">
        <v>69</v>
      </c>
      <c r="F589" t="s">
        <v>21</v>
      </c>
      <c r="G589">
        <v>1</v>
      </c>
      <c r="H589" t="s">
        <v>3653</v>
      </c>
      <c r="I589" t="s">
        <v>3566</v>
      </c>
      <c r="J589" s="1" t="s">
        <v>3389</v>
      </c>
      <c r="K589" t="s">
        <v>181</v>
      </c>
      <c r="L589" t="s">
        <v>3333</v>
      </c>
      <c r="M589">
        <v>11</v>
      </c>
      <c r="N589">
        <v>0.25</v>
      </c>
      <c r="O589" t="s">
        <v>213</v>
      </c>
      <c r="P589">
        <v>22.5</v>
      </c>
      <c r="Q589">
        <v>2</v>
      </c>
      <c r="R589" t="s">
        <v>3564</v>
      </c>
      <c r="T589" t="s">
        <v>3402</v>
      </c>
      <c r="U589">
        <v>5</v>
      </c>
      <c r="V589" t="s">
        <v>3523</v>
      </c>
    </row>
    <row r="590" spans="1:22" ht="12.75" customHeight="1" x14ac:dyDescent="0.15">
      <c r="A590">
        <v>14</v>
      </c>
      <c r="B590">
        <v>2026</v>
      </c>
      <c r="C590" s="21">
        <v>46120</v>
      </c>
      <c r="D590" t="s">
        <v>137</v>
      </c>
      <c r="E590" t="s">
        <v>138</v>
      </c>
      <c r="F590" t="s">
        <v>21</v>
      </c>
      <c r="G590">
        <v>1</v>
      </c>
      <c r="H590" t="s">
        <v>3654</v>
      </c>
      <c r="I590" t="s">
        <v>3655</v>
      </c>
      <c r="J590" s="1" t="s">
        <v>3389</v>
      </c>
      <c r="K590" t="s">
        <v>181</v>
      </c>
      <c r="L590" t="s">
        <v>3340</v>
      </c>
      <c r="M590">
        <v>58</v>
      </c>
      <c r="N590">
        <v>1.51</v>
      </c>
      <c r="O590" t="s">
        <v>211</v>
      </c>
      <c r="P590">
        <v>83.3</v>
      </c>
      <c r="R590" t="s">
        <v>3343</v>
      </c>
      <c r="S590" t="s">
        <v>3656</v>
      </c>
      <c r="T590" t="s">
        <v>3337</v>
      </c>
      <c r="U590">
        <v>-86</v>
      </c>
      <c r="V590" t="s">
        <v>3657</v>
      </c>
    </row>
    <row r="591" spans="1:22" ht="12.75" customHeight="1" x14ac:dyDescent="0.15">
      <c r="A591">
        <v>14</v>
      </c>
      <c r="B591">
        <v>2026</v>
      </c>
      <c r="C591" s="21">
        <v>46120</v>
      </c>
      <c r="D591" t="s">
        <v>137</v>
      </c>
      <c r="E591" t="s">
        <v>138</v>
      </c>
      <c r="F591" t="s">
        <v>21</v>
      </c>
      <c r="G591">
        <v>1</v>
      </c>
      <c r="H591" t="s">
        <v>3654</v>
      </c>
      <c r="I591" t="s">
        <v>3655</v>
      </c>
      <c r="J591" s="1" t="s">
        <v>3389</v>
      </c>
      <c r="K591" t="s">
        <v>181</v>
      </c>
      <c r="L591" t="s">
        <v>3340</v>
      </c>
      <c r="M591">
        <v>45</v>
      </c>
      <c r="N591">
        <v>1.51</v>
      </c>
      <c r="O591" t="s">
        <v>211</v>
      </c>
      <c r="P591">
        <v>83.3</v>
      </c>
      <c r="R591" t="s">
        <v>3377</v>
      </c>
      <c r="T591" t="s">
        <v>3337</v>
      </c>
      <c r="U591">
        <v>-86</v>
      </c>
      <c r="V591" t="s">
        <v>3657</v>
      </c>
    </row>
    <row r="592" spans="1:22" ht="12.75" customHeight="1" x14ac:dyDescent="0.15">
      <c r="A592">
        <v>14</v>
      </c>
      <c r="B592">
        <v>2026</v>
      </c>
      <c r="C592" s="21">
        <v>46120</v>
      </c>
      <c r="D592" t="s">
        <v>137</v>
      </c>
      <c r="E592" t="s">
        <v>138</v>
      </c>
      <c r="F592" t="s">
        <v>21</v>
      </c>
      <c r="G592">
        <v>1</v>
      </c>
      <c r="H592" t="s">
        <v>3654</v>
      </c>
      <c r="I592" t="s">
        <v>3655</v>
      </c>
      <c r="J592" s="1" t="s">
        <v>3389</v>
      </c>
      <c r="K592" t="s">
        <v>181</v>
      </c>
      <c r="L592" t="s">
        <v>3340</v>
      </c>
      <c r="M592">
        <v>81</v>
      </c>
      <c r="N592">
        <v>1.51</v>
      </c>
      <c r="O592" t="s">
        <v>211</v>
      </c>
      <c r="P592">
        <v>83.3</v>
      </c>
      <c r="R592" t="s">
        <v>3374</v>
      </c>
      <c r="T592" t="s">
        <v>3337</v>
      </c>
      <c r="U592">
        <v>-86</v>
      </c>
      <c r="V592" t="s">
        <v>3657</v>
      </c>
    </row>
    <row r="593" spans="1:22" ht="12.75" customHeight="1" x14ac:dyDescent="0.15">
      <c r="A593">
        <v>14</v>
      </c>
      <c r="B593">
        <v>2026</v>
      </c>
      <c r="C593" s="21">
        <v>46120</v>
      </c>
      <c r="D593" t="s">
        <v>137</v>
      </c>
      <c r="E593" t="s">
        <v>138</v>
      </c>
      <c r="F593" t="s">
        <v>21</v>
      </c>
      <c r="G593">
        <v>1</v>
      </c>
      <c r="H593" t="s">
        <v>3654</v>
      </c>
      <c r="I593" t="s">
        <v>3655</v>
      </c>
      <c r="J593" s="1" t="s">
        <v>3389</v>
      </c>
      <c r="K593" t="s">
        <v>181</v>
      </c>
      <c r="L593" t="s">
        <v>3340</v>
      </c>
      <c r="M593">
        <v>62</v>
      </c>
      <c r="N593">
        <v>1.51</v>
      </c>
      <c r="O593" t="s">
        <v>211</v>
      </c>
      <c r="P593">
        <v>83.3</v>
      </c>
      <c r="R593" t="s">
        <v>3375</v>
      </c>
      <c r="T593" t="s">
        <v>3337</v>
      </c>
      <c r="U593">
        <v>-86</v>
      </c>
      <c r="V593" t="s">
        <v>3657</v>
      </c>
    </row>
    <row r="594" spans="1:22" ht="12.75" customHeight="1" x14ac:dyDescent="0.15">
      <c r="A594">
        <v>14</v>
      </c>
      <c r="B594">
        <v>2026</v>
      </c>
      <c r="C594" s="21">
        <v>46120</v>
      </c>
      <c r="D594" t="s">
        <v>137</v>
      </c>
      <c r="E594" t="s">
        <v>138</v>
      </c>
      <c r="F594" t="s">
        <v>21</v>
      </c>
      <c r="G594">
        <v>1</v>
      </c>
      <c r="H594" t="s">
        <v>3654</v>
      </c>
      <c r="I594" t="s">
        <v>3655</v>
      </c>
      <c r="J594" s="1" t="s">
        <v>3389</v>
      </c>
      <c r="K594" t="s">
        <v>181</v>
      </c>
      <c r="L594" t="s">
        <v>3340</v>
      </c>
      <c r="M594">
        <v>53</v>
      </c>
      <c r="N594">
        <v>1.51</v>
      </c>
      <c r="O594" t="s">
        <v>211</v>
      </c>
      <c r="P594">
        <v>83.3</v>
      </c>
      <c r="R594" t="s">
        <v>3373</v>
      </c>
      <c r="T594" t="s">
        <v>3337</v>
      </c>
      <c r="U594">
        <v>-86</v>
      </c>
      <c r="V594" t="s">
        <v>3657</v>
      </c>
    </row>
    <row r="595" spans="1:22" ht="12.75" customHeight="1" x14ac:dyDescent="0.15">
      <c r="A595">
        <v>14</v>
      </c>
      <c r="B595">
        <v>2026</v>
      </c>
      <c r="C595" s="21">
        <v>46120</v>
      </c>
      <c r="D595" t="s">
        <v>137</v>
      </c>
      <c r="E595" t="s">
        <v>138</v>
      </c>
      <c r="F595" t="s">
        <v>21</v>
      </c>
      <c r="G595">
        <v>1</v>
      </c>
      <c r="H595" t="s">
        <v>3654</v>
      </c>
      <c r="I595" t="s">
        <v>3655</v>
      </c>
      <c r="J595" s="1" t="s">
        <v>3389</v>
      </c>
      <c r="K595" t="s">
        <v>181</v>
      </c>
      <c r="L595" t="s">
        <v>3340</v>
      </c>
      <c r="M595">
        <v>132</v>
      </c>
      <c r="N595">
        <v>1.51</v>
      </c>
      <c r="O595" t="s">
        <v>211</v>
      </c>
      <c r="P595">
        <v>83.3</v>
      </c>
      <c r="R595" t="s">
        <v>3368</v>
      </c>
      <c r="T595" t="s">
        <v>3337</v>
      </c>
      <c r="U595">
        <v>-86</v>
      </c>
      <c r="V595" t="s">
        <v>3657</v>
      </c>
    </row>
    <row r="596" spans="1:22" ht="12.75" customHeight="1" x14ac:dyDescent="0.15">
      <c r="A596">
        <v>14</v>
      </c>
      <c r="B596">
        <v>2026</v>
      </c>
      <c r="C596" s="21">
        <v>46120</v>
      </c>
      <c r="D596" t="s">
        <v>84</v>
      </c>
      <c r="E596" t="s">
        <v>85</v>
      </c>
      <c r="F596" t="s">
        <v>21</v>
      </c>
      <c r="G596">
        <v>2</v>
      </c>
      <c r="H596" t="s">
        <v>3658</v>
      </c>
      <c r="I596" t="s">
        <v>3659</v>
      </c>
      <c r="J596" s="1" t="s">
        <v>3660</v>
      </c>
      <c r="K596" t="s">
        <v>181</v>
      </c>
      <c r="L596" t="s">
        <v>3340</v>
      </c>
      <c r="M596">
        <v>78</v>
      </c>
      <c r="N596">
        <v>1.75</v>
      </c>
      <c r="O596" t="s">
        <v>211</v>
      </c>
      <c r="P596">
        <v>96</v>
      </c>
      <c r="R596" t="s">
        <v>3341</v>
      </c>
      <c r="S596" t="s">
        <v>3661</v>
      </c>
      <c r="T596" t="s">
        <v>3402</v>
      </c>
      <c r="U596">
        <v>-12</v>
      </c>
      <c r="V596" t="s">
        <v>3662</v>
      </c>
    </row>
    <row r="597" spans="1:22" ht="12.75" customHeight="1" x14ac:dyDescent="0.15">
      <c r="A597">
        <v>14</v>
      </c>
      <c r="B597">
        <v>2026</v>
      </c>
      <c r="C597" s="21">
        <v>46120</v>
      </c>
      <c r="D597" t="s">
        <v>139</v>
      </c>
      <c r="E597" t="s">
        <v>140</v>
      </c>
      <c r="F597" t="s">
        <v>75</v>
      </c>
      <c r="G597">
        <v>0.8</v>
      </c>
      <c r="H597" t="s">
        <v>3547</v>
      </c>
      <c r="I597" t="s">
        <v>192</v>
      </c>
      <c r="J597" s="1" t="s">
        <v>188</v>
      </c>
      <c r="K597" t="s">
        <v>181</v>
      </c>
      <c r="L597" t="s">
        <v>3477</v>
      </c>
      <c r="M597">
        <v>3</v>
      </c>
      <c r="N597">
        <v>0.05</v>
      </c>
      <c r="O597" t="s">
        <v>3334</v>
      </c>
      <c r="P597" s="1">
        <v>3.67</v>
      </c>
      <c r="Q597">
        <v>0.36</v>
      </c>
      <c r="R597" t="s">
        <v>3478</v>
      </c>
      <c r="T597" t="s">
        <v>3479</v>
      </c>
      <c r="U597">
        <v>-48</v>
      </c>
      <c r="V597" t="s">
        <v>3637</v>
      </c>
    </row>
    <row r="598" spans="1:22" ht="12.75" customHeight="1" x14ac:dyDescent="0.15">
      <c r="A598">
        <v>14</v>
      </c>
      <c r="B598">
        <v>2026</v>
      </c>
      <c r="C598" s="21">
        <v>46120</v>
      </c>
      <c r="D598" t="s">
        <v>139</v>
      </c>
      <c r="E598" t="s">
        <v>140</v>
      </c>
      <c r="F598" t="s">
        <v>75</v>
      </c>
      <c r="G598">
        <v>0.8</v>
      </c>
      <c r="H598" t="s">
        <v>3547</v>
      </c>
      <c r="I598" t="s">
        <v>192</v>
      </c>
      <c r="J598" s="1" t="s">
        <v>188</v>
      </c>
      <c r="K598" t="s">
        <v>181</v>
      </c>
      <c r="L598" t="s">
        <v>3481</v>
      </c>
      <c r="M598">
        <v>40</v>
      </c>
      <c r="N598">
        <v>0.05</v>
      </c>
      <c r="O598" t="s">
        <v>211</v>
      </c>
      <c r="P598" s="1">
        <v>2.97</v>
      </c>
      <c r="Q598">
        <v>0.33</v>
      </c>
      <c r="R598" t="s">
        <v>3482</v>
      </c>
      <c r="T598" t="s">
        <v>3479</v>
      </c>
      <c r="U598">
        <v>-48</v>
      </c>
      <c r="V598" t="s">
        <v>3638</v>
      </c>
    </row>
    <row r="599" spans="1:22" ht="12.75" customHeight="1" x14ac:dyDescent="0.15">
      <c r="A599">
        <v>14</v>
      </c>
      <c r="B599">
        <v>2026</v>
      </c>
      <c r="C599" s="21">
        <v>46121</v>
      </c>
      <c r="D599" t="s">
        <v>80</v>
      </c>
      <c r="E599" t="s">
        <v>81</v>
      </c>
      <c r="F599" t="s">
        <v>21</v>
      </c>
      <c r="G599">
        <v>2.2999999999999998</v>
      </c>
      <c r="H599" t="s">
        <v>3519</v>
      </c>
      <c r="I599" t="s">
        <v>214</v>
      </c>
      <c r="J599" s="1" t="s">
        <v>215</v>
      </c>
      <c r="K599" t="s">
        <v>181</v>
      </c>
      <c r="L599" t="s">
        <v>3340</v>
      </c>
      <c r="M599">
        <v>58</v>
      </c>
      <c r="N599">
        <v>0.24</v>
      </c>
      <c r="O599" t="s">
        <v>211</v>
      </c>
      <c r="P599">
        <v>13.3</v>
      </c>
      <c r="R599" t="s">
        <v>3343</v>
      </c>
      <c r="S599" t="s">
        <v>3520</v>
      </c>
      <c r="T599" t="s">
        <v>3337</v>
      </c>
      <c r="U599">
        <v>7</v>
      </c>
      <c r="V599" t="s">
        <v>3663</v>
      </c>
    </row>
    <row r="600" spans="1:22" ht="12.75" customHeight="1" x14ac:dyDescent="0.15">
      <c r="A600">
        <v>14</v>
      </c>
      <c r="B600">
        <v>2026</v>
      </c>
      <c r="C600" s="21">
        <v>46121</v>
      </c>
      <c r="D600" t="s">
        <v>80</v>
      </c>
      <c r="E600" t="s">
        <v>81</v>
      </c>
      <c r="F600" t="s">
        <v>21</v>
      </c>
      <c r="G600">
        <v>2.2999999999999998</v>
      </c>
      <c r="H600" t="s">
        <v>3519</v>
      </c>
      <c r="I600" t="s">
        <v>214</v>
      </c>
      <c r="J600" s="1" t="s">
        <v>215</v>
      </c>
      <c r="K600" t="s">
        <v>181</v>
      </c>
      <c r="L600" t="s">
        <v>3340</v>
      </c>
      <c r="M600">
        <v>45</v>
      </c>
      <c r="N600">
        <v>0.24</v>
      </c>
      <c r="O600" t="s">
        <v>211</v>
      </c>
      <c r="P600">
        <v>13.3</v>
      </c>
      <c r="R600" t="s">
        <v>3377</v>
      </c>
      <c r="T600" t="s">
        <v>3337</v>
      </c>
      <c r="U600">
        <v>7</v>
      </c>
      <c r="V600" t="s">
        <v>3663</v>
      </c>
    </row>
    <row r="601" spans="1:22" ht="12.75" customHeight="1" x14ac:dyDescent="0.15">
      <c r="A601">
        <v>14</v>
      </c>
      <c r="B601">
        <v>2026</v>
      </c>
      <c r="C601" s="21">
        <v>46121</v>
      </c>
      <c r="D601" t="s">
        <v>80</v>
      </c>
      <c r="E601" t="s">
        <v>81</v>
      </c>
      <c r="F601" t="s">
        <v>21</v>
      </c>
      <c r="G601">
        <v>2.2999999999999998</v>
      </c>
      <c r="H601" t="s">
        <v>3519</v>
      </c>
      <c r="I601" t="s">
        <v>214</v>
      </c>
      <c r="J601" s="1" t="s">
        <v>215</v>
      </c>
      <c r="K601" t="s">
        <v>181</v>
      </c>
      <c r="L601" t="s">
        <v>3340</v>
      </c>
      <c r="M601">
        <v>81</v>
      </c>
      <c r="N601">
        <v>0.24</v>
      </c>
      <c r="O601" t="s">
        <v>211</v>
      </c>
      <c r="P601">
        <v>13.3</v>
      </c>
      <c r="R601" t="s">
        <v>3374</v>
      </c>
      <c r="T601" t="s">
        <v>3337</v>
      </c>
      <c r="U601">
        <v>7</v>
      </c>
      <c r="V601" t="s">
        <v>3663</v>
      </c>
    </row>
    <row r="602" spans="1:22" ht="12.75" customHeight="1" x14ac:dyDescent="0.15">
      <c r="A602">
        <v>14</v>
      </c>
      <c r="B602">
        <v>2026</v>
      </c>
      <c r="C602" s="21">
        <v>46121</v>
      </c>
      <c r="D602" t="s">
        <v>80</v>
      </c>
      <c r="E602" t="s">
        <v>81</v>
      </c>
      <c r="F602" t="s">
        <v>21</v>
      </c>
      <c r="G602">
        <v>2.2999999999999998</v>
      </c>
      <c r="H602" t="s">
        <v>3519</v>
      </c>
      <c r="I602" t="s">
        <v>214</v>
      </c>
      <c r="J602" s="1" t="s">
        <v>215</v>
      </c>
      <c r="K602" t="s">
        <v>181</v>
      </c>
      <c r="L602" t="s">
        <v>3340</v>
      </c>
      <c r="M602">
        <v>62</v>
      </c>
      <c r="N602">
        <v>0.24</v>
      </c>
      <c r="O602" t="s">
        <v>211</v>
      </c>
      <c r="P602">
        <v>13.3</v>
      </c>
      <c r="R602" t="s">
        <v>3375</v>
      </c>
      <c r="T602" t="s">
        <v>3337</v>
      </c>
      <c r="U602">
        <v>7</v>
      </c>
      <c r="V602" t="s">
        <v>3663</v>
      </c>
    </row>
    <row r="603" spans="1:22" ht="12.75" customHeight="1" x14ac:dyDescent="0.15">
      <c r="A603">
        <v>14</v>
      </c>
      <c r="B603">
        <v>2026</v>
      </c>
      <c r="C603" s="21">
        <v>46121</v>
      </c>
      <c r="D603" t="s">
        <v>80</v>
      </c>
      <c r="E603" t="s">
        <v>81</v>
      </c>
      <c r="F603" t="s">
        <v>21</v>
      </c>
      <c r="G603">
        <v>2.2999999999999998</v>
      </c>
      <c r="H603" t="s">
        <v>3519</v>
      </c>
      <c r="I603" t="s">
        <v>214</v>
      </c>
      <c r="J603" s="1" t="s">
        <v>215</v>
      </c>
      <c r="K603" t="s">
        <v>181</v>
      </c>
      <c r="L603" t="s">
        <v>3340</v>
      </c>
      <c r="M603">
        <v>53</v>
      </c>
      <c r="N603">
        <v>0.24</v>
      </c>
      <c r="O603" t="s">
        <v>211</v>
      </c>
      <c r="P603">
        <v>13.3</v>
      </c>
      <c r="R603" t="s">
        <v>3373</v>
      </c>
      <c r="T603" t="s">
        <v>3337</v>
      </c>
      <c r="U603">
        <v>7</v>
      </c>
      <c r="V603" t="s">
        <v>3663</v>
      </c>
    </row>
    <row r="604" spans="1:22" ht="12.75" customHeight="1" x14ac:dyDescent="0.15">
      <c r="A604">
        <v>14</v>
      </c>
      <c r="B604">
        <v>2026</v>
      </c>
      <c r="C604" s="21">
        <v>46121</v>
      </c>
      <c r="D604" t="s">
        <v>80</v>
      </c>
      <c r="E604" t="s">
        <v>81</v>
      </c>
      <c r="F604" t="s">
        <v>21</v>
      </c>
      <c r="G604">
        <v>2.2999999999999998</v>
      </c>
      <c r="H604" t="s">
        <v>3519</v>
      </c>
      <c r="I604" t="s">
        <v>214</v>
      </c>
      <c r="J604" s="1" t="s">
        <v>215</v>
      </c>
      <c r="K604" t="s">
        <v>181</v>
      </c>
      <c r="L604" t="s">
        <v>3340</v>
      </c>
      <c r="M604">
        <v>132</v>
      </c>
      <c r="N604">
        <v>0.24</v>
      </c>
      <c r="O604" t="s">
        <v>211</v>
      </c>
      <c r="P604">
        <v>13.3</v>
      </c>
      <c r="R604" t="s">
        <v>3368</v>
      </c>
      <c r="T604" t="s">
        <v>3337</v>
      </c>
      <c r="U604">
        <v>7</v>
      </c>
      <c r="V604" t="s">
        <v>3663</v>
      </c>
    </row>
    <row r="605" spans="1:22" ht="12.75" customHeight="1" x14ac:dyDescent="0.15">
      <c r="A605">
        <v>14</v>
      </c>
      <c r="B605">
        <v>2026</v>
      </c>
      <c r="C605" s="21">
        <v>46121</v>
      </c>
      <c r="D605" t="s">
        <v>73</v>
      </c>
      <c r="E605" t="s">
        <v>74</v>
      </c>
      <c r="F605" t="s">
        <v>75</v>
      </c>
      <c r="G605">
        <v>2.2999999999999998</v>
      </c>
      <c r="H605" t="s">
        <v>3519</v>
      </c>
      <c r="I605" t="s">
        <v>214</v>
      </c>
      <c r="J605" s="1" t="s">
        <v>215</v>
      </c>
      <c r="K605" t="s">
        <v>181</v>
      </c>
      <c r="L605" t="s">
        <v>3340</v>
      </c>
      <c r="M605">
        <v>58</v>
      </c>
      <c r="N605">
        <v>0.16</v>
      </c>
      <c r="O605" t="s">
        <v>211</v>
      </c>
      <c r="P605">
        <v>8.6</v>
      </c>
      <c r="R605" t="s">
        <v>3343</v>
      </c>
      <c r="S605" t="s">
        <v>3664</v>
      </c>
      <c r="T605" t="s">
        <v>3337</v>
      </c>
      <c r="U605">
        <v>-9</v>
      </c>
      <c r="V605" t="s">
        <v>3665</v>
      </c>
    </row>
    <row r="606" spans="1:22" ht="12.75" customHeight="1" x14ac:dyDescent="0.15">
      <c r="A606">
        <v>14</v>
      </c>
      <c r="B606">
        <v>2026</v>
      </c>
      <c r="C606" s="21">
        <v>46121</v>
      </c>
      <c r="D606" t="s">
        <v>73</v>
      </c>
      <c r="E606" t="s">
        <v>74</v>
      </c>
      <c r="F606" t="s">
        <v>75</v>
      </c>
      <c r="G606">
        <v>2.2999999999999998</v>
      </c>
      <c r="H606" t="s">
        <v>3519</v>
      </c>
      <c r="I606" t="s">
        <v>214</v>
      </c>
      <c r="J606" s="1" t="s">
        <v>215</v>
      </c>
      <c r="K606" t="s">
        <v>181</v>
      </c>
      <c r="L606" t="s">
        <v>3340</v>
      </c>
      <c r="M606">
        <v>45</v>
      </c>
      <c r="N606">
        <v>0.16</v>
      </c>
      <c r="O606" t="s">
        <v>211</v>
      </c>
      <c r="P606">
        <v>8.6</v>
      </c>
      <c r="R606" t="s">
        <v>3377</v>
      </c>
      <c r="T606" t="s">
        <v>3337</v>
      </c>
      <c r="U606">
        <v>-9</v>
      </c>
      <c r="V606" t="s">
        <v>3665</v>
      </c>
    </row>
    <row r="607" spans="1:22" ht="12.75" customHeight="1" x14ac:dyDescent="0.15">
      <c r="A607">
        <v>14</v>
      </c>
      <c r="B607">
        <v>2026</v>
      </c>
      <c r="C607" s="21">
        <v>46121</v>
      </c>
      <c r="D607" t="s">
        <v>73</v>
      </c>
      <c r="E607" t="s">
        <v>74</v>
      </c>
      <c r="F607" t="s">
        <v>75</v>
      </c>
      <c r="G607">
        <v>2.2999999999999998</v>
      </c>
      <c r="H607" t="s">
        <v>3519</v>
      </c>
      <c r="I607" t="s">
        <v>214</v>
      </c>
      <c r="J607" s="1" t="s">
        <v>215</v>
      </c>
      <c r="K607" t="s">
        <v>181</v>
      </c>
      <c r="L607" t="s">
        <v>3340</v>
      </c>
      <c r="M607">
        <v>81</v>
      </c>
      <c r="N607">
        <v>0.16</v>
      </c>
      <c r="O607" t="s">
        <v>211</v>
      </c>
      <c r="P607">
        <v>8.6</v>
      </c>
      <c r="R607" t="s">
        <v>3374</v>
      </c>
      <c r="T607" t="s">
        <v>3337</v>
      </c>
      <c r="U607">
        <v>-9</v>
      </c>
      <c r="V607" t="s">
        <v>3665</v>
      </c>
    </row>
    <row r="608" spans="1:22" ht="12.75" customHeight="1" x14ac:dyDescent="0.15">
      <c r="A608">
        <v>14</v>
      </c>
      <c r="B608">
        <v>2026</v>
      </c>
      <c r="C608" s="21">
        <v>46121</v>
      </c>
      <c r="D608" t="s">
        <v>73</v>
      </c>
      <c r="E608" t="s">
        <v>74</v>
      </c>
      <c r="F608" t="s">
        <v>75</v>
      </c>
      <c r="G608">
        <v>2.2999999999999998</v>
      </c>
      <c r="H608" t="s">
        <v>3519</v>
      </c>
      <c r="I608" t="s">
        <v>214</v>
      </c>
      <c r="J608" s="1" t="s">
        <v>215</v>
      </c>
      <c r="K608" t="s">
        <v>181</v>
      </c>
      <c r="L608" t="s">
        <v>3340</v>
      </c>
      <c r="M608">
        <v>62</v>
      </c>
      <c r="N608">
        <v>0.16</v>
      </c>
      <c r="O608" t="s">
        <v>211</v>
      </c>
      <c r="P608">
        <v>8.6</v>
      </c>
      <c r="R608" t="s">
        <v>3375</v>
      </c>
      <c r="T608" t="s">
        <v>3337</v>
      </c>
      <c r="U608">
        <v>-9</v>
      </c>
      <c r="V608" t="s">
        <v>3665</v>
      </c>
    </row>
    <row r="609" spans="1:22" ht="12.75" customHeight="1" x14ac:dyDescent="0.15">
      <c r="A609">
        <v>14</v>
      </c>
      <c r="B609">
        <v>2026</v>
      </c>
      <c r="C609" s="21">
        <v>46121</v>
      </c>
      <c r="D609" t="s">
        <v>73</v>
      </c>
      <c r="E609" t="s">
        <v>74</v>
      </c>
      <c r="F609" t="s">
        <v>75</v>
      </c>
      <c r="G609">
        <v>2.2999999999999998</v>
      </c>
      <c r="H609" t="s">
        <v>3519</v>
      </c>
      <c r="I609" t="s">
        <v>214</v>
      </c>
      <c r="J609" s="1" t="s">
        <v>215</v>
      </c>
      <c r="K609" t="s">
        <v>181</v>
      </c>
      <c r="L609" t="s">
        <v>3340</v>
      </c>
      <c r="M609">
        <v>53</v>
      </c>
      <c r="N609">
        <v>0.16</v>
      </c>
      <c r="O609" t="s">
        <v>211</v>
      </c>
      <c r="P609">
        <v>8.6</v>
      </c>
      <c r="R609" t="s">
        <v>3373</v>
      </c>
      <c r="T609" t="s">
        <v>3337</v>
      </c>
      <c r="U609">
        <v>-9</v>
      </c>
      <c r="V609" t="s">
        <v>3665</v>
      </c>
    </row>
    <row r="610" spans="1:22" ht="12.75" customHeight="1" x14ac:dyDescent="0.15">
      <c r="A610">
        <v>14</v>
      </c>
      <c r="B610">
        <v>2026</v>
      </c>
      <c r="C610" s="21">
        <v>46121</v>
      </c>
      <c r="D610" t="s">
        <v>73</v>
      </c>
      <c r="E610" t="s">
        <v>74</v>
      </c>
      <c r="F610" t="s">
        <v>75</v>
      </c>
      <c r="G610">
        <v>2.2999999999999998</v>
      </c>
      <c r="H610" t="s">
        <v>3519</v>
      </c>
      <c r="I610" t="s">
        <v>214</v>
      </c>
      <c r="J610" s="1" t="s">
        <v>215</v>
      </c>
      <c r="K610" t="s">
        <v>181</v>
      </c>
      <c r="L610" t="s">
        <v>3340</v>
      </c>
      <c r="M610">
        <v>132</v>
      </c>
      <c r="N610">
        <v>0.16</v>
      </c>
      <c r="O610" t="s">
        <v>211</v>
      </c>
      <c r="P610">
        <v>8.6</v>
      </c>
      <c r="R610" t="s">
        <v>3368</v>
      </c>
      <c r="T610" t="s">
        <v>3337</v>
      </c>
      <c r="U610">
        <v>-9</v>
      </c>
      <c r="V610" t="s">
        <v>3665</v>
      </c>
    </row>
    <row r="611" spans="1:22" ht="12.75" customHeight="1" x14ac:dyDescent="0.15">
      <c r="A611">
        <v>14</v>
      </c>
      <c r="B611">
        <v>2026</v>
      </c>
      <c r="C611" s="21">
        <v>46121</v>
      </c>
      <c r="D611" t="s">
        <v>53</v>
      </c>
      <c r="E611" t="s">
        <v>54</v>
      </c>
      <c r="F611" t="s">
        <v>21</v>
      </c>
      <c r="G611">
        <v>2</v>
      </c>
      <c r="H611" t="s">
        <v>3666</v>
      </c>
      <c r="I611" t="s">
        <v>3667</v>
      </c>
      <c r="J611" s="1" t="s">
        <v>3668</v>
      </c>
      <c r="K611" t="s">
        <v>181</v>
      </c>
      <c r="L611" t="s">
        <v>3333</v>
      </c>
      <c r="M611">
        <v>1</v>
      </c>
      <c r="N611">
        <v>1</v>
      </c>
      <c r="O611" t="s">
        <v>3358</v>
      </c>
      <c r="P611">
        <v>71.86</v>
      </c>
      <c r="Q611">
        <v>8</v>
      </c>
      <c r="R611" t="s">
        <v>3359</v>
      </c>
      <c r="T611" t="s">
        <v>3337</v>
      </c>
      <c r="U611">
        <v>35</v>
      </c>
      <c r="V611" t="s">
        <v>3452</v>
      </c>
    </row>
    <row r="612" spans="1:22" ht="12.75" customHeight="1" x14ac:dyDescent="0.15">
      <c r="A612">
        <v>14</v>
      </c>
      <c r="B612">
        <v>2026</v>
      </c>
      <c r="C612" s="21">
        <v>46121</v>
      </c>
      <c r="D612" t="s">
        <v>137</v>
      </c>
      <c r="E612" t="s">
        <v>138</v>
      </c>
      <c r="F612" t="s">
        <v>75</v>
      </c>
      <c r="G612">
        <v>1</v>
      </c>
      <c r="H612" t="s">
        <v>3669</v>
      </c>
      <c r="I612" t="s">
        <v>3670</v>
      </c>
      <c r="J612" s="1" t="s">
        <v>3660</v>
      </c>
      <c r="K612" t="s">
        <v>181</v>
      </c>
      <c r="L612" t="s">
        <v>3340</v>
      </c>
      <c r="M612">
        <v>60</v>
      </c>
      <c r="N612">
        <v>6.36</v>
      </c>
      <c r="O612" t="s">
        <v>211</v>
      </c>
      <c r="P612">
        <v>350</v>
      </c>
      <c r="Q612">
        <v>8</v>
      </c>
      <c r="R612" t="s">
        <v>3671</v>
      </c>
      <c r="T612" t="s">
        <v>3337</v>
      </c>
      <c r="U612">
        <v>-85</v>
      </c>
      <c r="V612">
        <f>+P612/G612</f>
        <v>350</v>
      </c>
    </row>
    <row r="613" spans="1:22" ht="12.75" customHeight="1" x14ac:dyDescent="0.15">
      <c r="A613">
        <v>14</v>
      </c>
      <c r="B613">
        <v>2026</v>
      </c>
      <c r="C613" s="21">
        <v>46121</v>
      </c>
      <c r="D613" t="s">
        <v>89</v>
      </c>
      <c r="E613" t="s">
        <v>90</v>
      </c>
      <c r="F613" t="s">
        <v>21</v>
      </c>
      <c r="G613">
        <v>1</v>
      </c>
      <c r="H613" t="s">
        <v>3672</v>
      </c>
      <c r="I613" t="s">
        <v>3673</v>
      </c>
      <c r="J613" s="1" t="s">
        <v>26</v>
      </c>
      <c r="K613" t="s">
        <v>181</v>
      </c>
      <c r="L613" t="s">
        <v>3333</v>
      </c>
      <c r="M613">
        <v>80</v>
      </c>
      <c r="N613">
        <v>0.5</v>
      </c>
      <c r="O613" t="s">
        <v>213</v>
      </c>
      <c r="P613">
        <v>45</v>
      </c>
      <c r="Q613">
        <v>4</v>
      </c>
      <c r="R613" t="s">
        <v>3560</v>
      </c>
      <c r="T613" t="s">
        <v>3402</v>
      </c>
      <c r="U613">
        <v>-6</v>
      </c>
      <c r="V613" t="s">
        <v>3530</v>
      </c>
    </row>
    <row r="614" spans="1:22" ht="12.75" customHeight="1" x14ac:dyDescent="0.15">
      <c r="A614">
        <v>14</v>
      </c>
      <c r="B614">
        <v>2026</v>
      </c>
      <c r="C614" s="21">
        <v>46121</v>
      </c>
      <c r="D614" t="s">
        <v>68</v>
      </c>
      <c r="E614" t="s">
        <v>69</v>
      </c>
      <c r="F614" t="s">
        <v>21</v>
      </c>
      <c r="G614">
        <v>1</v>
      </c>
      <c r="H614" t="s">
        <v>3653</v>
      </c>
      <c r="I614" t="s">
        <v>3566</v>
      </c>
      <c r="J614" s="1" t="s">
        <v>3389</v>
      </c>
      <c r="K614" t="s">
        <v>181</v>
      </c>
      <c r="L614" t="s">
        <v>3333</v>
      </c>
      <c r="M614">
        <v>80</v>
      </c>
      <c r="N614">
        <v>0.25</v>
      </c>
      <c r="O614" t="s">
        <v>213</v>
      </c>
      <c r="P614">
        <v>22.5</v>
      </c>
      <c r="Q614">
        <v>2</v>
      </c>
      <c r="R614" t="s">
        <v>3560</v>
      </c>
      <c r="T614" t="s">
        <v>3402</v>
      </c>
      <c r="U614">
        <v>7</v>
      </c>
      <c r="V614" t="s">
        <v>3523</v>
      </c>
    </row>
    <row r="615" spans="1:22" ht="12.75" customHeight="1" x14ac:dyDescent="0.15">
      <c r="A615">
        <v>15</v>
      </c>
      <c r="B615">
        <v>2026</v>
      </c>
      <c r="C615" s="21">
        <v>46122</v>
      </c>
      <c r="D615" t="s">
        <v>53</v>
      </c>
      <c r="E615" t="s">
        <v>54</v>
      </c>
      <c r="F615" t="s">
        <v>21</v>
      </c>
      <c r="G615">
        <v>2</v>
      </c>
      <c r="H615" t="s">
        <v>3453</v>
      </c>
      <c r="I615" t="s">
        <v>187</v>
      </c>
      <c r="J615" s="1" t="s">
        <v>188</v>
      </c>
      <c r="K615" t="s">
        <v>181</v>
      </c>
      <c r="L615" t="s">
        <v>3333</v>
      </c>
      <c r="M615">
        <v>1</v>
      </c>
      <c r="N615">
        <v>1</v>
      </c>
      <c r="O615" t="s">
        <v>3358</v>
      </c>
      <c r="P615">
        <v>71.86</v>
      </c>
      <c r="Q615">
        <v>8</v>
      </c>
      <c r="R615" t="s">
        <v>3359</v>
      </c>
      <c r="T615" t="s">
        <v>3337</v>
      </c>
      <c r="U615">
        <v>36</v>
      </c>
      <c r="V615" t="s">
        <v>3452</v>
      </c>
    </row>
    <row r="616" spans="1:22" ht="12.75" customHeight="1" x14ac:dyDescent="0.15">
      <c r="A616">
        <v>15</v>
      </c>
      <c r="B616">
        <v>2026</v>
      </c>
      <c r="C616" s="21">
        <v>46122</v>
      </c>
      <c r="D616" t="s">
        <v>53</v>
      </c>
      <c r="E616" t="s">
        <v>54</v>
      </c>
      <c r="F616" t="s">
        <v>21</v>
      </c>
      <c r="G616">
        <v>2</v>
      </c>
      <c r="H616" t="s">
        <v>3453</v>
      </c>
      <c r="I616" t="s">
        <v>187</v>
      </c>
      <c r="J616" s="1" t="s">
        <v>188</v>
      </c>
      <c r="K616" t="s">
        <v>181</v>
      </c>
      <c r="L616" t="s">
        <v>3333</v>
      </c>
      <c r="M616">
        <v>6</v>
      </c>
      <c r="N616">
        <v>1</v>
      </c>
      <c r="O616" t="s">
        <v>3334</v>
      </c>
      <c r="P616">
        <v>81.58</v>
      </c>
      <c r="Q616">
        <v>8</v>
      </c>
      <c r="R616" t="s">
        <v>3335</v>
      </c>
      <c r="T616" t="s">
        <v>3337</v>
      </c>
      <c r="U616">
        <v>36</v>
      </c>
      <c r="V616" t="s">
        <v>3456</v>
      </c>
    </row>
    <row r="617" spans="1:22" ht="12.75" customHeight="1" x14ac:dyDescent="0.15">
      <c r="A617">
        <v>15</v>
      </c>
      <c r="B617">
        <v>2026</v>
      </c>
      <c r="C617" s="21">
        <v>46122</v>
      </c>
      <c r="D617" t="s">
        <v>89</v>
      </c>
      <c r="E617" t="s">
        <v>90</v>
      </c>
      <c r="F617" t="s">
        <v>21</v>
      </c>
      <c r="G617">
        <v>1</v>
      </c>
      <c r="H617" t="s">
        <v>3552</v>
      </c>
      <c r="I617" t="s">
        <v>3553</v>
      </c>
      <c r="J617" s="1" t="s">
        <v>3533</v>
      </c>
      <c r="K617" t="s">
        <v>181</v>
      </c>
      <c r="L617" t="s">
        <v>3477</v>
      </c>
      <c r="M617">
        <v>3</v>
      </c>
      <c r="N617">
        <v>0.01</v>
      </c>
      <c r="O617" t="s">
        <v>3334</v>
      </c>
      <c r="P617">
        <v>0.92</v>
      </c>
      <c r="Q617">
        <v>0.09</v>
      </c>
      <c r="R617" t="s">
        <v>3478</v>
      </c>
      <c r="T617" t="s">
        <v>3479</v>
      </c>
      <c r="U617">
        <v>-5</v>
      </c>
      <c r="V617" t="s">
        <v>3674</v>
      </c>
    </row>
    <row r="618" spans="1:22" ht="12.75" customHeight="1" x14ac:dyDescent="0.15">
      <c r="A618">
        <v>15</v>
      </c>
      <c r="B618">
        <v>2026</v>
      </c>
      <c r="C618" s="21">
        <v>46122</v>
      </c>
      <c r="D618" t="s">
        <v>89</v>
      </c>
      <c r="E618" t="s">
        <v>90</v>
      </c>
      <c r="F618" t="s">
        <v>21</v>
      </c>
      <c r="G618">
        <v>1</v>
      </c>
      <c r="H618" t="s">
        <v>3552</v>
      </c>
      <c r="I618" t="s">
        <v>3553</v>
      </c>
      <c r="J618" s="1" t="s">
        <v>3533</v>
      </c>
      <c r="K618" t="s">
        <v>181</v>
      </c>
      <c r="L618" t="s">
        <v>3481</v>
      </c>
      <c r="M618">
        <v>40</v>
      </c>
      <c r="N618">
        <v>0.01</v>
      </c>
      <c r="O618" t="s">
        <v>211</v>
      </c>
      <c r="P618">
        <v>0.72</v>
      </c>
      <c r="Q618">
        <v>0.08</v>
      </c>
      <c r="R618" t="s">
        <v>3482</v>
      </c>
      <c r="T618" t="s">
        <v>3479</v>
      </c>
      <c r="U618">
        <v>-5</v>
      </c>
      <c r="V618" t="s">
        <v>3675</v>
      </c>
    </row>
    <row r="619" spans="1:22" ht="12.75" customHeight="1" x14ac:dyDescent="0.15">
      <c r="A619">
        <v>15</v>
      </c>
      <c r="B619">
        <v>2026</v>
      </c>
      <c r="C619" s="21">
        <v>46122</v>
      </c>
      <c r="D619" t="s">
        <v>89</v>
      </c>
      <c r="E619" t="s">
        <v>90</v>
      </c>
      <c r="F619" t="s">
        <v>21</v>
      </c>
      <c r="G619">
        <v>1</v>
      </c>
      <c r="H619" t="s">
        <v>3536</v>
      </c>
      <c r="I619" t="s">
        <v>3676</v>
      </c>
      <c r="J619" s="1" t="s">
        <v>3533</v>
      </c>
      <c r="K619" t="s">
        <v>181</v>
      </c>
      <c r="L619" t="s">
        <v>3477</v>
      </c>
      <c r="M619">
        <v>3</v>
      </c>
      <c r="N619">
        <v>0.02</v>
      </c>
      <c r="O619" t="s">
        <v>3334</v>
      </c>
      <c r="P619">
        <v>1.84</v>
      </c>
      <c r="Q619">
        <v>0.18</v>
      </c>
      <c r="R619" t="s">
        <v>3478</v>
      </c>
      <c r="T619" t="s">
        <v>3479</v>
      </c>
      <c r="U619">
        <v>-5</v>
      </c>
      <c r="V619" t="s">
        <v>3480</v>
      </c>
    </row>
    <row r="620" spans="1:22" ht="12.75" customHeight="1" x14ac:dyDescent="0.15">
      <c r="A620">
        <v>15</v>
      </c>
      <c r="B620">
        <v>2026</v>
      </c>
      <c r="C620" s="21">
        <v>46122</v>
      </c>
      <c r="D620" t="s">
        <v>89</v>
      </c>
      <c r="E620" t="s">
        <v>90</v>
      </c>
      <c r="F620" t="s">
        <v>21</v>
      </c>
      <c r="G620">
        <v>1</v>
      </c>
      <c r="H620" t="s">
        <v>3536</v>
      </c>
      <c r="I620" t="s">
        <v>3676</v>
      </c>
      <c r="J620" s="1" t="s">
        <v>3533</v>
      </c>
      <c r="K620" t="s">
        <v>181</v>
      </c>
      <c r="L620" t="s">
        <v>3481</v>
      </c>
      <c r="M620">
        <v>40</v>
      </c>
      <c r="N620">
        <v>0.03</v>
      </c>
      <c r="O620" t="s">
        <v>211</v>
      </c>
      <c r="P620">
        <v>1.44</v>
      </c>
      <c r="Q620">
        <v>0.16</v>
      </c>
      <c r="R620" t="s">
        <v>3482</v>
      </c>
      <c r="T620" t="s">
        <v>3479</v>
      </c>
      <c r="U620">
        <v>-5</v>
      </c>
      <c r="V620" t="s">
        <v>3541</v>
      </c>
    </row>
    <row r="621" spans="1:22" ht="12.75" customHeight="1" x14ac:dyDescent="0.15">
      <c r="A621">
        <v>15</v>
      </c>
      <c r="B621">
        <v>2026</v>
      </c>
      <c r="C621" s="21">
        <v>46123</v>
      </c>
      <c r="D621" t="s">
        <v>47</v>
      </c>
      <c r="E621" t="s">
        <v>48</v>
      </c>
      <c r="F621" t="s">
        <v>21</v>
      </c>
      <c r="G621">
        <v>2</v>
      </c>
      <c r="H621" t="s">
        <v>3514</v>
      </c>
      <c r="I621" t="s">
        <v>366</v>
      </c>
      <c r="J621" s="1" t="s">
        <v>215</v>
      </c>
      <c r="K621" t="s">
        <v>181</v>
      </c>
      <c r="L621" t="s">
        <v>3340</v>
      </c>
      <c r="M621">
        <v>58</v>
      </c>
      <c r="N621">
        <v>0.76</v>
      </c>
      <c r="O621" t="s">
        <v>211</v>
      </c>
      <c r="P621">
        <v>42</v>
      </c>
      <c r="R621" t="s">
        <v>3343</v>
      </c>
      <c r="S621" t="s">
        <v>3677</v>
      </c>
      <c r="T621" t="s">
        <v>3337</v>
      </c>
      <c r="U621">
        <v>51</v>
      </c>
      <c r="V621" t="s">
        <v>3678</v>
      </c>
    </row>
    <row r="622" spans="1:22" ht="12.75" customHeight="1" x14ac:dyDescent="0.15">
      <c r="A622">
        <v>15</v>
      </c>
      <c r="B622">
        <v>2026</v>
      </c>
      <c r="C622" s="21">
        <v>46123</v>
      </c>
      <c r="D622" t="s">
        <v>47</v>
      </c>
      <c r="E622" t="s">
        <v>48</v>
      </c>
      <c r="F622" t="s">
        <v>21</v>
      </c>
      <c r="G622">
        <v>2</v>
      </c>
      <c r="H622" t="s">
        <v>3514</v>
      </c>
      <c r="I622" t="s">
        <v>366</v>
      </c>
      <c r="J622" s="1" t="s">
        <v>215</v>
      </c>
      <c r="K622" t="s">
        <v>181</v>
      </c>
      <c r="L622" t="s">
        <v>3340</v>
      </c>
      <c r="M622">
        <v>45</v>
      </c>
      <c r="N622">
        <v>0.76</v>
      </c>
      <c r="O622" t="s">
        <v>211</v>
      </c>
      <c r="P622">
        <v>42</v>
      </c>
      <c r="R622" t="s">
        <v>3377</v>
      </c>
      <c r="T622" t="s">
        <v>3337</v>
      </c>
      <c r="U622">
        <v>51</v>
      </c>
      <c r="V622" t="s">
        <v>3678</v>
      </c>
    </row>
    <row r="623" spans="1:22" ht="12.75" customHeight="1" x14ac:dyDescent="0.15">
      <c r="A623">
        <v>15</v>
      </c>
      <c r="B623">
        <v>2026</v>
      </c>
      <c r="C623" s="21">
        <v>46123</v>
      </c>
      <c r="D623" t="s">
        <v>47</v>
      </c>
      <c r="E623" t="s">
        <v>48</v>
      </c>
      <c r="F623" t="s">
        <v>21</v>
      </c>
      <c r="G623">
        <v>2</v>
      </c>
      <c r="H623" t="s">
        <v>3514</v>
      </c>
      <c r="I623" t="s">
        <v>366</v>
      </c>
      <c r="J623" s="1" t="s">
        <v>215</v>
      </c>
      <c r="K623" t="s">
        <v>181</v>
      </c>
      <c r="L623" t="s">
        <v>3340</v>
      </c>
      <c r="M623">
        <v>81</v>
      </c>
      <c r="N623">
        <v>0.76</v>
      </c>
      <c r="O623" t="s">
        <v>211</v>
      </c>
      <c r="P623">
        <v>42</v>
      </c>
      <c r="R623" t="s">
        <v>3374</v>
      </c>
      <c r="T623" t="s">
        <v>3337</v>
      </c>
      <c r="U623">
        <v>51</v>
      </c>
      <c r="V623" t="s">
        <v>3678</v>
      </c>
    </row>
    <row r="624" spans="1:22" ht="12.75" customHeight="1" x14ac:dyDescent="0.15">
      <c r="A624">
        <v>15</v>
      </c>
      <c r="B624">
        <v>2026</v>
      </c>
      <c r="C624" s="21">
        <v>46123</v>
      </c>
      <c r="D624" t="s">
        <v>47</v>
      </c>
      <c r="E624" t="s">
        <v>48</v>
      </c>
      <c r="F624" t="s">
        <v>21</v>
      </c>
      <c r="G624">
        <v>2</v>
      </c>
      <c r="H624" t="s">
        <v>3514</v>
      </c>
      <c r="I624" t="s">
        <v>366</v>
      </c>
      <c r="J624" s="1" t="s">
        <v>215</v>
      </c>
      <c r="K624" t="s">
        <v>181</v>
      </c>
      <c r="L624" t="s">
        <v>3340</v>
      </c>
      <c r="M624">
        <v>62</v>
      </c>
      <c r="N624">
        <v>0.76</v>
      </c>
      <c r="O624" t="s">
        <v>211</v>
      </c>
      <c r="P624">
        <v>42</v>
      </c>
      <c r="R624" t="s">
        <v>3375</v>
      </c>
      <c r="T624" t="s">
        <v>3337</v>
      </c>
      <c r="U624">
        <v>51</v>
      </c>
      <c r="V624" t="s">
        <v>3678</v>
      </c>
    </row>
    <row r="625" spans="1:22" ht="12.75" customHeight="1" x14ac:dyDescent="0.15">
      <c r="A625">
        <v>15</v>
      </c>
      <c r="B625">
        <v>2026</v>
      </c>
      <c r="C625" s="21">
        <v>46123</v>
      </c>
      <c r="D625" t="s">
        <v>47</v>
      </c>
      <c r="E625" t="s">
        <v>48</v>
      </c>
      <c r="F625" t="s">
        <v>21</v>
      </c>
      <c r="G625">
        <v>2</v>
      </c>
      <c r="H625" t="s">
        <v>3514</v>
      </c>
      <c r="I625" t="s">
        <v>366</v>
      </c>
      <c r="J625" s="1" t="s">
        <v>215</v>
      </c>
      <c r="K625" t="s">
        <v>181</v>
      </c>
      <c r="L625" t="s">
        <v>3340</v>
      </c>
      <c r="M625">
        <v>53</v>
      </c>
      <c r="N625">
        <v>0.76</v>
      </c>
      <c r="O625" t="s">
        <v>211</v>
      </c>
      <c r="P625">
        <v>42</v>
      </c>
      <c r="R625" t="s">
        <v>3373</v>
      </c>
      <c r="T625" t="s">
        <v>3337</v>
      </c>
      <c r="U625">
        <v>51</v>
      </c>
      <c r="V625" t="s">
        <v>3678</v>
      </c>
    </row>
    <row r="626" spans="1:22" ht="12.75" customHeight="1" x14ac:dyDescent="0.15">
      <c r="A626">
        <v>15</v>
      </c>
      <c r="B626">
        <v>2026</v>
      </c>
      <c r="C626" s="21">
        <v>46123</v>
      </c>
      <c r="D626" t="s">
        <v>47</v>
      </c>
      <c r="E626" t="s">
        <v>48</v>
      </c>
      <c r="F626" t="s">
        <v>21</v>
      </c>
      <c r="G626">
        <v>2</v>
      </c>
      <c r="H626" t="s">
        <v>3514</v>
      </c>
      <c r="I626" t="s">
        <v>366</v>
      </c>
      <c r="J626" s="1" t="s">
        <v>215</v>
      </c>
      <c r="K626" t="s">
        <v>181</v>
      </c>
      <c r="L626" t="s">
        <v>3340</v>
      </c>
      <c r="M626">
        <v>132</v>
      </c>
      <c r="N626">
        <v>0.76</v>
      </c>
      <c r="O626" t="s">
        <v>211</v>
      </c>
      <c r="P626">
        <v>42</v>
      </c>
      <c r="R626" t="s">
        <v>3368</v>
      </c>
      <c r="T626" t="s">
        <v>3337</v>
      </c>
      <c r="U626">
        <v>51</v>
      </c>
      <c r="V626" t="s">
        <v>3678</v>
      </c>
    </row>
    <row r="627" spans="1:22" ht="12.75" customHeight="1" x14ac:dyDescent="0.15">
      <c r="A627">
        <v>15</v>
      </c>
      <c r="B627">
        <v>2026</v>
      </c>
      <c r="C627" s="21">
        <v>46123</v>
      </c>
      <c r="D627" t="s">
        <v>53</v>
      </c>
      <c r="E627" t="s">
        <v>54</v>
      </c>
      <c r="F627" t="s">
        <v>21</v>
      </c>
      <c r="G627">
        <v>2</v>
      </c>
      <c r="H627" t="s">
        <v>3514</v>
      </c>
      <c r="I627" t="s">
        <v>366</v>
      </c>
      <c r="J627" s="1" t="s">
        <v>215</v>
      </c>
      <c r="K627" t="s">
        <v>181</v>
      </c>
      <c r="L627" t="s">
        <v>3340</v>
      </c>
      <c r="M627">
        <v>58</v>
      </c>
      <c r="N627">
        <v>0.76</v>
      </c>
      <c r="O627" t="s">
        <v>211</v>
      </c>
      <c r="P627">
        <v>42</v>
      </c>
      <c r="R627" t="s">
        <v>3343</v>
      </c>
      <c r="S627" t="s">
        <v>3579</v>
      </c>
      <c r="T627" t="s">
        <v>3337</v>
      </c>
      <c r="U627">
        <v>37</v>
      </c>
      <c r="V627" t="s">
        <v>3678</v>
      </c>
    </row>
    <row r="628" spans="1:22" ht="12.75" customHeight="1" x14ac:dyDescent="0.15">
      <c r="A628">
        <v>15</v>
      </c>
      <c r="B628">
        <v>2026</v>
      </c>
      <c r="C628" s="21">
        <v>46123</v>
      </c>
      <c r="D628" t="s">
        <v>53</v>
      </c>
      <c r="E628" t="s">
        <v>54</v>
      </c>
      <c r="F628" t="s">
        <v>21</v>
      </c>
      <c r="G628">
        <v>2</v>
      </c>
      <c r="H628" t="s">
        <v>3514</v>
      </c>
      <c r="I628" t="s">
        <v>366</v>
      </c>
      <c r="J628" s="1" t="s">
        <v>215</v>
      </c>
      <c r="K628" t="s">
        <v>181</v>
      </c>
      <c r="L628" t="s">
        <v>3340</v>
      </c>
      <c r="M628">
        <v>45</v>
      </c>
      <c r="N628">
        <v>0.76</v>
      </c>
      <c r="O628" t="s">
        <v>211</v>
      </c>
      <c r="P628">
        <v>42</v>
      </c>
      <c r="R628" t="s">
        <v>3377</v>
      </c>
      <c r="T628" t="s">
        <v>3337</v>
      </c>
      <c r="U628">
        <v>37</v>
      </c>
      <c r="V628" t="s">
        <v>3678</v>
      </c>
    </row>
    <row r="629" spans="1:22" ht="12.75" customHeight="1" x14ac:dyDescent="0.15">
      <c r="A629">
        <v>15</v>
      </c>
      <c r="B629">
        <v>2026</v>
      </c>
      <c r="C629" s="21">
        <v>46123</v>
      </c>
      <c r="D629" t="s">
        <v>53</v>
      </c>
      <c r="E629" t="s">
        <v>54</v>
      </c>
      <c r="F629" t="s">
        <v>21</v>
      </c>
      <c r="G629">
        <v>2</v>
      </c>
      <c r="H629" t="s">
        <v>3514</v>
      </c>
      <c r="I629" t="s">
        <v>366</v>
      </c>
      <c r="J629" s="1" t="s">
        <v>215</v>
      </c>
      <c r="K629" t="s">
        <v>181</v>
      </c>
      <c r="L629" t="s">
        <v>3340</v>
      </c>
      <c r="M629">
        <v>81</v>
      </c>
      <c r="N629">
        <v>0.76</v>
      </c>
      <c r="O629" t="s">
        <v>211</v>
      </c>
      <c r="P629">
        <v>42</v>
      </c>
      <c r="R629" t="s">
        <v>3374</v>
      </c>
      <c r="T629" t="s">
        <v>3337</v>
      </c>
      <c r="U629">
        <v>37</v>
      </c>
      <c r="V629" t="s">
        <v>3678</v>
      </c>
    </row>
    <row r="630" spans="1:22" ht="12.75" customHeight="1" x14ac:dyDescent="0.15">
      <c r="A630">
        <v>15</v>
      </c>
      <c r="B630">
        <v>2026</v>
      </c>
      <c r="C630" s="21">
        <v>46123</v>
      </c>
      <c r="D630" t="s">
        <v>53</v>
      </c>
      <c r="E630" t="s">
        <v>54</v>
      </c>
      <c r="F630" t="s">
        <v>21</v>
      </c>
      <c r="G630">
        <v>2</v>
      </c>
      <c r="H630" t="s">
        <v>3514</v>
      </c>
      <c r="I630" t="s">
        <v>366</v>
      </c>
      <c r="J630" s="1" t="s">
        <v>215</v>
      </c>
      <c r="K630" t="s">
        <v>181</v>
      </c>
      <c r="L630" t="s">
        <v>3340</v>
      </c>
      <c r="M630">
        <v>62</v>
      </c>
      <c r="N630">
        <v>0.76</v>
      </c>
      <c r="O630" t="s">
        <v>211</v>
      </c>
      <c r="P630">
        <v>42</v>
      </c>
      <c r="R630" t="s">
        <v>3375</v>
      </c>
      <c r="T630" t="s">
        <v>3337</v>
      </c>
      <c r="U630">
        <v>37</v>
      </c>
      <c r="V630" t="s">
        <v>3678</v>
      </c>
    </row>
    <row r="631" spans="1:22" ht="12.75" customHeight="1" x14ac:dyDescent="0.15">
      <c r="A631">
        <v>15</v>
      </c>
      <c r="B631">
        <v>2026</v>
      </c>
      <c r="C631" s="21">
        <v>46123</v>
      </c>
      <c r="D631" t="s">
        <v>53</v>
      </c>
      <c r="E631" t="s">
        <v>54</v>
      </c>
      <c r="F631" t="s">
        <v>21</v>
      </c>
      <c r="G631">
        <v>2</v>
      </c>
      <c r="H631" t="s">
        <v>3514</v>
      </c>
      <c r="I631" t="s">
        <v>366</v>
      </c>
      <c r="J631" s="1" t="s">
        <v>215</v>
      </c>
      <c r="K631" t="s">
        <v>181</v>
      </c>
      <c r="L631" t="s">
        <v>3340</v>
      </c>
      <c r="M631">
        <v>53</v>
      </c>
      <c r="N631">
        <v>0.76</v>
      </c>
      <c r="O631" t="s">
        <v>211</v>
      </c>
      <c r="P631">
        <v>42</v>
      </c>
      <c r="R631" t="s">
        <v>3373</v>
      </c>
      <c r="T631" t="s">
        <v>3337</v>
      </c>
      <c r="U631">
        <v>37</v>
      </c>
      <c r="V631" t="s">
        <v>3678</v>
      </c>
    </row>
    <row r="632" spans="1:22" ht="12.75" customHeight="1" x14ac:dyDescent="0.15">
      <c r="A632">
        <v>15</v>
      </c>
      <c r="B632">
        <v>2026</v>
      </c>
      <c r="C632" s="21">
        <v>46123</v>
      </c>
      <c r="D632" t="s">
        <v>53</v>
      </c>
      <c r="E632" t="s">
        <v>54</v>
      </c>
      <c r="F632" t="s">
        <v>21</v>
      </c>
      <c r="G632">
        <v>2</v>
      </c>
      <c r="H632" t="s">
        <v>3514</v>
      </c>
      <c r="I632" t="s">
        <v>366</v>
      </c>
      <c r="J632" s="1" t="s">
        <v>215</v>
      </c>
      <c r="K632" t="s">
        <v>181</v>
      </c>
      <c r="L632" t="s">
        <v>3340</v>
      </c>
      <c r="M632">
        <v>132</v>
      </c>
      <c r="N632">
        <v>0.76</v>
      </c>
      <c r="O632" t="s">
        <v>211</v>
      </c>
      <c r="P632">
        <v>42</v>
      </c>
      <c r="R632" t="s">
        <v>3368</v>
      </c>
      <c r="T632" t="s">
        <v>3337</v>
      </c>
      <c r="U632">
        <v>37</v>
      </c>
      <c r="V632" t="s">
        <v>3678</v>
      </c>
    </row>
    <row r="633" spans="1:22" ht="12.75" customHeight="1" x14ac:dyDescent="0.15">
      <c r="A633">
        <v>15</v>
      </c>
      <c r="B633">
        <v>2026</v>
      </c>
      <c r="C633" s="21">
        <v>46123</v>
      </c>
      <c r="D633" t="s">
        <v>437</v>
      </c>
      <c r="E633" t="s">
        <v>3679</v>
      </c>
      <c r="H633" t="s">
        <v>3514</v>
      </c>
      <c r="I633" t="s">
        <v>366</v>
      </c>
      <c r="J633" s="1" t="s">
        <v>215</v>
      </c>
      <c r="K633" t="s">
        <v>181</v>
      </c>
      <c r="L633" t="s">
        <v>3340</v>
      </c>
      <c r="M633">
        <v>58</v>
      </c>
      <c r="N633">
        <v>0.51</v>
      </c>
      <c r="O633" t="s">
        <v>211</v>
      </c>
      <c r="P633">
        <v>28</v>
      </c>
      <c r="R633" t="s">
        <v>3343</v>
      </c>
      <c r="S633" t="s">
        <v>3520</v>
      </c>
      <c r="T633" t="s">
        <v>3337</v>
      </c>
      <c r="U633">
        <v>100</v>
      </c>
      <c r="V633" t="e">
        <f>+P633/G633</f>
        <v>#DIV/0!</v>
      </c>
    </row>
    <row r="634" spans="1:22" ht="12.75" customHeight="1" x14ac:dyDescent="0.15">
      <c r="A634">
        <v>15</v>
      </c>
      <c r="B634">
        <v>2026</v>
      </c>
      <c r="C634" s="21">
        <v>46123</v>
      </c>
      <c r="D634" t="s">
        <v>437</v>
      </c>
      <c r="E634" t="s">
        <v>3679</v>
      </c>
      <c r="H634" t="s">
        <v>3514</v>
      </c>
      <c r="I634" t="s">
        <v>366</v>
      </c>
      <c r="J634" s="1" t="s">
        <v>215</v>
      </c>
      <c r="K634" t="s">
        <v>181</v>
      </c>
      <c r="L634" t="s">
        <v>3340</v>
      </c>
      <c r="M634">
        <v>45</v>
      </c>
      <c r="N634">
        <v>0.51</v>
      </c>
      <c r="O634" t="s">
        <v>211</v>
      </c>
      <c r="P634">
        <v>28</v>
      </c>
      <c r="R634" t="s">
        <v>3377</v>
      </c>
      <c r="S634" t="s">
        <v>3680</v>
      </c>
      <c r="T634" t="s">
        <v>3337</v>
      </c>
      <c r="U634">
        <v>100</v>
      </c>
      <c r="V634" t="e">
        <f>+P634/G634</f>
        <v>#DIV/0!</v>
      </c>
    </row>
    <row r="635" spans="1:22" ht="12.75" customHeight="1" x14ac:dyDescent="0.15">
      <c r="A635">
        <v>15</v>
      </c>
      <c r="B635">
        <v>2026</v>
      </c>
      <c r="C635" s="21">
        <v>46123</v>
      </c>
      <c r="D635" t="s">
        <v>437</v>
      </c>
      <c r="E635" t="s">
        <v>3679</v>
      </c>
      <c r="H635" t="s">
        <v>3514</v>
      </c>
      <c r="I635" t="s">
        <v>366</v>
      </c>
      <c r="J635" s="1" t="s">
        <v>215</v>
      </c>
      <c r="K635" t="s">
        <v>181</v>
      </c>
      <c r="L635" t="s">
        <v>3340</v>
      </c>
      <c r="M635">
        <v>81</v>
      </c>
      <c r="N635">
        <v>0.51</v>
      </c>
      <c r="O635" t="s">
        <v>211</v>
      </c>
      <c r="P635">
        <v>28</v>
      </c>
      <c r="R635" t="s">
        <v>3374</v>
      </c>
      <c r="T635" t="s">
        <v>3337</v>
      </c>
      <c r="U635">
        <v>100</v>
      </c>
      <c r="V635" t="e">
        <f>+P635/G635</f>
        <v>#DIV/0!</v>
      </c>
    </row>
    <row r="636" spans="1:22" ht="12.75" customHeight="1" x14ac:dyDescent="0.15">
      <c r="A636">
        <v>15</v>
      </c>
      <c r="B636">
        <v>2026</v>
      </c>
      <c r="C636" s="21">
        <v>46123</v>
      </c>
      <c r="D636" t="s">
        <v>437</v>
      </c>
      <c r="E636" t="s">
        <v>3679</v>
      </c>
      <c r="H636" t="s">
        <v>3514</v>
      </c>
      <c r="I636" t="s">
        <v>366</v>
      </c>
      <c r="J636" s="1" t="s">
        <v>215</v>
      </c>
      <c r="K636" t="s">
        <v>181</v>
      </c>
      <c r="L636" t="s">
        <v>3340</v>
      </c>
      <c r="M636">
        <v>132</v>
      </c>
      <c r="N636">
        <v>0.51</v>
      </c>
      <c r="O636" t="s">
        <v>211</v>
      </c>
      <c r="P636">
        <v>28</v>
      </c>
      <c r="R636" t="s">
        <v>3368</v>
      </c>
      <c r="T636" t="s">
        <v>3337</v>
      </c>
      <c r="U636">
        <v>100</v>
      </c>
      <c r="V636" t="e">
        <f>+P636/G636</f>
        <v>#DIV/0!</v>
      </c>
    </row>
    <row r="637" spans="1:22" ht="12.75" customHeight="1" x14ac:dyDescent="0.15">
      <c r="A637">
        <v>15</v>
      </c>
      <c r="B637">
        <v>2026</v>
      </c>
      <c r="C637" s="21">
        <v>46123</v>
      </c>
      <c r="D637" t="s">
        <v>437</v>
      </c>
      <c r="E637" t="s">
        <v>3679</v>
      </c>
      <c r="H637" t="s">
        <v>3514</v>
      </c>
      <c r="I637" t="s">
        <v>366</v>
      </c>
      <c r="J637" s="1" t="s">
        <v>215</v>
      </c>
      <c r="K637" t="s">
        <v>181</v>
      </c>
      <c r="L637" t="s">
        <v>3340</v>
      </c>
      <c r="M637">
        <v>53</v>
      </c>
      <c r="N637">
        <v>0.51</v>
      </c>
      <c r="O637" t="s">
        <v>211</v>
      </c>
      <c r="P637">
        <v>28</v>
      </c>
      <c r="R637" t="s">
        <v>3373</v>
      </c>
      <c r="T637" t="s">
        <v>3337</v>
      </c>
      <c r="U637">
        <v>100</v>
      </c>
      <c r="V637" t="e">
        <f>+P637/G637</f>
        <v>#DIV/0!</v>
      </c>
    </row>
    <row r="638" spans="1:22" ht="12.75" customHeight="1" x14ac:dyDescent="0.15">
      <c r="A638">
        <v>15</v>
      </c>
      <c r="B638">
        <v>2026</v>
      </c>
      <c r="C638" s="21">
        <v>46123</v>
      </c>
      <c r="D638" t="s">
        <v>139</v>
      </c>
      <c r="E638" t="s">
        <v>140</v>
      </c>
      <c r="F638" t="s">
        <v>75</v>
      </c>
      <c r="G638">
        <v>0.8</v>
      </c>
      <c r="H638" t="s">
        <v>3550</v>
      </c>
      <c r="I638" t="s">
        <v>3551</v>
      </c>
      <c r="J638" s="1" t="s">
        <v>3533</v>
      </c>
      <c r="K638" t="s">
        <v>181</v>
      </c>
      <c r="L638" t="s">
        <v>3477</v>
      </c>
      <c r="M638">
        <v>3</v>
      </c>
      <c r="N638">
        <v>0.06</v>
      </c>
      <c r="O638" t="s">
        <v>3334</v>
      </c>
      <c r="P638" s="1">
        <v>4.59</v>
      </c>
      <c r="Q638">
        <v>0.45</v>
      </c>
      <c r="R638" t="s">
        <v>3478</v>
      </c>
      <c r="T638" t="s">
        <v>3479</v>
      </c>
      <c r="U638">
        <v>-45</v>
      </c>
      <c r="V638" t="s">
        <v>3681</v>
      </c>
    </row>
    <row r="639" spans="1:22" ht="12.75" customHeight="1" x14ac:dyDescent="0.15">
      <c r="A639">
        <v>15</v>
      </c>
      <c r="B639">
        <v>2026</v>
      </c>
      <c r="C639" s="21">
        <v>46123</v>
      </c>
      <c r="D639" t="s">
        <v>139</v>
      </c>
      <c r="E639" t="s">
        <v>140</v>
      </c>
      <c r="F639" t="s">
        <v>75</v>
      </c>
      <c r="G639">
        <v>0.8</v>
      </c>
      <c r="H639" t="s">
        <v>3550</v>
      </c>
      <c r="I639" t="s">
        <v>3551</v>
      </c>
      <c r="J639" s="1" t="s">
        <v>3533</v>
      </c>
      <c r="K639" t="s">
        <v>181</v>
      </c>
      <c r="L639" t="s">
        <v>3481</v>
      </c>
      <c r="M639">
        <v>40</v>
      </c>
      <c r="N639">
        <v>7.0000000000000007E-2</v>
      </c>
      <c r="O639" t="s">
        <v>211</v>
      </c>
      <c r="P639" s="1">
        <v>3.69</v>
      </c>
      <c r="Q639">
        <v>0.41</v>
      </c>
      <c r="R639" t="s">
        <v>3482</v>
      </c>
      <c r="T639" t="s">
        <v>3479</v>
      </c>
      <c r="U639">
        <v>-45</v>
      </c>
      <c r="V639" t="s">
        <v>3682</v>
      </c>
    </row>
    <row r="640" spans="1:22" ht="12.75" customHeight="1" x14ac:dyDescent="0.15">
      <c r="A640">
        <v>15</v>
      </c>
      <c r="B640">
        <v>2026</v>
      </c>
      <c r="C640" s="21">
        <v>46123</v>
      </c>
      <c r="D640" t="s">
        <v>89</v>
      </c>
      <c r="E640" t="s">
        <v>90</v>
      </c>
      <c r="F640" t="s">
        <v>21</v>
      </c>
      <c r="G640">
        <v>1</v>
      </c>
      <c r="H640" t="s">
        <v>3536</v>
      </c>
      <c r="I640" t="s">
        <v>3676</v>
      </c>
      <c r="J640" s="1" t="s">
        <v>3533</v>
      </c>
      <c r="K640" t="s">
        <v>181</v>
      </c>
      <c r="L640" t="s">
        <v>3477</v>
      </c>
      <c r="M640">
        <v>3</v>
      </c>
      <c r="N640">
        <v>0.04</v>
      </c>
      <c r="O640" t="s">
        <v>3334</v>
      </c>
      <c r="P640">
        <v>3.06</v>
      </c>
      <c r="Q640">
        <v>0.3</v>
      </c>
      <c r="R640" t="s">
        <v>3478</v>
      </c>
      <c r="T640" t="s">
        <v>3479</v>
      </c>
      <c r="U640">
        <v>-4</v>
      </c>
      <c r="V640" t="s">
        <v>3538</v>
      </c>
    </row>
    <row r="641" spans="1:22" ht="12.75" customHeight="1" x14ac:dyDescent="0.15">
      <c r="A641">
        <v>15</v>
      </c>
      <c r="B641">
        <v>2026</v>
      </c>
      <c r="C641" s="21">
        <v>46123</v>
      </c>
      <c r="D641" t="s">
        <v>89</v>
      </c>
      <c r="E641" t="s">
        <v>90</v>
      </c>
      <c r="F641" t="s">
        <v>21</v>
      </c>
      <c r="G641">
        <v>1</v>
      </c>
      <c r="H641" t="s">
        <v>3536</v>
      </c>
      <c r="I641" t="s">
        <v>3676</v>
      </c>
      <c r="J641" s="1" t="s">
        <v>3533</v>
      </c>
      <c r="K641" t="s">
        <v>181</v>
      </c>
      <c r="L641" t="s">
        <v>3481</v>
      </c>
      <c r="M641">
        <v>40</v>
      </c>
      <c r="N641">
        <v>0.04</v>
      </c>
      <c r="O641" t="s">
        <v>211</v>
      </c>
      <c r="P641">
        <v>2.25</v>
      </c>
      <c r="Q641">
        <v>0.25</v>
      </c>
      <c r="R641" t="s">
        <v>3482</v>
      </c>
      <c r="T641" t="s">
        <v>3479</v>
      </c>
      <c r="U641">
        <v>-4</v>
      </c>
      <c r="V641" t="s">
        <v>3534</v>
      </c>
    </row>
    <row r="642" spans="1:22" ht="12.75" customHeight="1" x14ac:dyDescent="0.15">
      <c r="A642">
        <v>15</v>
      </c>
      <c r="B642">
        <v>2026</v>
      </c>
      <c r="C642" s="21">
        <v>46125</v>
      </c>
      <c r="D642" t="s">
        <v>437</v>
      </c>
      <c r="E642" t="s">
        <v>3679</v>
      </c>
      <c r="H642" t="s">
        <v>3666</v>
      </c>
      <c r="I642" t="s">
        <v>3667</v>
      </c>
      <c r="J642" s="1" t="s">
        <v>3668</v>
      </c>
      <c r="K642" t="s">
        <v>181</v>
      </c>
      <c r="L642" t="s">
        <v>3340</v>
      </c>
      <c r="M642">
        <v>58</v>
      </c>
      <c r="N642">
        <v>1</v>
      </c>
      <c r="O642" t="s">
        <v>211</v>
      </c>
      <c r="P642">
        <v>55</v>
      </c>
      <c r="R642" t="s">
        <v>3343</v>
      </c>
      <c r="T642" t="s">
        <v>3337</v>
      </c>
      <c r="U642">
        <v>102</v>
      </c>
      <c r="V642" t="e">
        <f t="shared" ref="V642:V647" si="0">+P642/G642</f>
        <v>#DIV/0!</v>
      </c>
    </row>
    <row r="643" spans="1:22" ht="12.75" customHeight="1" x14ac:dyDescent="0.15">
      <c r="A643">
        <v>15</v>
      </c>
      <c r="B643">
        <v>2026</v>
      </c>
      <c r="C643" s="21">
        <v>46125</v>
      </c>
      <c r="D643" t="s">
        <v>437</v>
      </c>
      <c r="E643" t="s">
        <v>3679</v>
      </c>
      <c r="H643" t="s">
        <v>3666</v>
      </c>
      <c r="I643" t="s">
        <v>3667</v>
      </c>
      <c r="J643" s="1" t="s">
        <v>3668</v>
      </c>
      <c r="K643" t="s">
        <v>181</v>
      </c>
      <c r="L643" t="s">
        <v>3340</v>
      </c>
      <c r="M643">
        <v>45</v>
      </c>
      <c r="N643">
        <v>1</v>
      </c>
      <c r="O643" t="s">
        <v>211</v>
      </c>
      <c r="P643">
        <v>55</v>
      </c>
      <c r="R643" t="s">
        <v>3377</v>
      </c>
      <c r="T643" t="s">
        <v>3337</v>
      </c>
      <c r="U643">
        <v>102</v>
      </c>
      <c r="V643" t="e">
        <f t="shared" si="0"/>
        <v>#DIV/0!</v>
      </c>
    </row>
    <row r="644" spans="1:22" ht="12.75" customHeight="1" x14ac:dyDescent="0.15">
      <c r="A644">
        <v>15</v>
      </c>
      <c r="B644">
        <v>2026</v>
      </c>
      <c r="C644" s="21">
        <v>46125</v>
      </c>
      <c r="D644" t="s">
        <v>437</v>
      </c>
      <c r="E644" t="s">
        <v>3679</v>
      </c>
      <c r="H644" t="s">
        <v>3666</v>
      </c>
      <c r="I644" t="s">
        <v>3667</v>
      </c>
      <c r="J644" s="1" t="s">
        <v>3668</v>
      </c>
      <c r="K644" t="s">
        <v>181</v>
      </c>
      <c r="L644" t="s">
        <v>3340</v>
      </c>
      <c r="M644">
        <v>132</v>
      </c>
      <c r="N644">
        <v>1</v>
      </c>
      <c r="O644" t="s">
        <v>211</v>
      </c>
      <c r="P644">
        <v>55</v>
      </c>
      <c r="R644" t="s">
        <v>3368</v>
      </c>
      <c r="T644" t="s">
        <v>3337</v>
      </c>
      <c r="U644">
        <v>102</v>
      </c>
      <c r="V644" t="e">
        <f t="shared" si="0"/>
        <v>#DIV/0!</v>
      </c>
    </row>
    <row r="645" spans="1:22" ht="12.75" customHeight="1" x14ac:dyDescent="0.15">
      <c r="A645">
        <v>15</v>
      </c>
      <c r="B645">
        <v>2026</v>
      </c>
      <c r="C645" s="21">
        <v>46125</v>
      </c>
      <c r="D645" t="s">
        <v>437</v>
      </c>
      <c r="E645" t="s">
        <v>3679</v>
      </c>
      <c r="H645" t="s">
        <v>3666</v>
      </c>
      <c r="I645" t="s">
        <v>3667</v>
      </c>
      <c r="J645" s="1" t="s">
        <v>3668</v>
      </c>
      <c r="K645" t="s">
        <v>181</v>
      </c>
      <c r="L645" t="s">
        <v>3340</v>
      </c>
      <c r="M645">
        <v>62</v>
      </c>
      <c r="N645">
        <v>1</v>
      </c>
      <c r="O645" t="s">
        <v>211</v>
      </c>
      <c r="P645">
        <v>55</v>
      </c>
      <c r="R645" t="s">
        <v>3375</v>
      </c>
      <c r="T645" t="s">
        <v>3337</v>
      </c>
      <c r="U645">
        <v>102</v>
      </c>
      <c r="V645" t="e">
        <f t="shared" si="0"/>
        <v>#DIV/0!</v>
      </c>
    </row>
    <row r="646" spans="1:22" ht="12.75" customHeight="1" x14ac:dyDescent="0.15">
      <c r="A646">
        <v>15</v>
      </c>
      <c r="B646">
        <v>2026</v>
      </c>
      <c r="C646" s="21">
        <v>46125</v>
      </c>
      <c r="D646" t="s">
        <v>137</v>
      </c>
      <c r="E646" t="s">
        <v>138</v>
      </c>
      <c r="F646" t="s">
        <v>75</v>
      </c>
      <c r="G646">
        <v>1</v>
      </c>
      <c r="H646" t="s">
        <v>3683</v>
      </c>
      <c r="I646" t="s">
        <v>3684</v>
      </c>
      <c r="J646" s="1" t="s">
        <v>3668</v>
      </c>
      <c r="K646" t="s">
        <v>181</v>
      </c>
      <c r="L646" t="s">
        <v>3340</v>
      </c>
      <c r="M646">
        <v>60</v>
      </c>
      <c r="N646">
        <v>0.85</v>
      </c>
      <c r="O646" t="s">
        <v>211</v>
      </c>
      <c r="P646">
        <v>46.8</v>
      </c>
      <c r="Q646">
        <v>5</v>
      </c>
      <c r="R646" t="s">
        <v>3671</v>
      </c>
      <c r="T646" t="s">
        <v>3337</v>
      </c>
      <c r="U646">
        <v>-95</v>
      </c>
      <c r="V646">
        <f t="shared" si="0"/>
        <v>46.8</v>
      </c>
    </row>
    <row r="647" spans="1:22" ht="12.75" customHeight="1" x14ac:dyDescent="0.15">
      <c r="A647">
        <v>15</v>
      </c>
      <c r="B647">
        <v>2026</v>
      </c>
      <c r="C647" s="21">
        <v>46125</v>
      </c>
      <c r="D647" t="s">
        <v>437</v>
      </c>
      <c r="E647" t="s">
        <v>3679</v>
      </c>
      <c r="H647" t="s">
        <v>3685</v>
      </c>
      <c r="I647" t="s">
        <v>3686</v>
      </c>
      <c r="J647" s="1" t="s">
        <v>3437</v>
      </c>
      <c r="K647" t="s">
        <v>181</v>
      </c>
      <c r="L647" t="s">
        <v>3333</v>
      </c>
      <c r="M647">
        <v>2</v>
      </c>
      <c r="N647">
        <v>1</v>
      </c>
      <c r="O647" t="s">
        <v>3440</v>
      </c>
      <c r="P647">
        <v>90.49</v>
      </c>
      <c r="Q647">
        <v>8</v>
      </c>
      <c r="R647" t="s">
        <v>3424</v>
      </c>
      <c r="T647" t="s">
        <v>3337</v>
      </c>
      <c r="U647">
        <v>102</v>
      </c>
      <c r="V647" t="e">
        <f t="shared" si="0"/>
        <v>#DIV/0!</v>
      </c>
    </row>
    <row r="648" spans="1:22" ht="12.75" customHeight="1" x14ac:dyDescent="0.15">
      <c r="A648">
        <v>15</v>
      </c>
      <c r="B648">
        <v>2026</v>
      </c>
      <c r="C648" s="21">
        <v>46125</v>
      </c>
      <c r="D648" t="s">
        <v>91</v>
      </c>
      <c r="E648" t="s">
        <v>92</v>
      </c>
      <c r="F648" t="s">
        <v>21</v>
      </c>
      <c r="G648">
        <v>1.3</v>
      </c>
      <c r="H648" t="s">
        <v>3536</v>
      </c>
      <c r="I648" t="s">
        <v>3676</v>
      </c>
      <c r="J648" s="1" t="s">
        <v>3533</v>
      </c>
      <c r="K648" t="s">
        <v>181</v>
      </c>
      <c r="L648" t="s">
        <v>3477</v>
      </c>
      <c r="M648">
        <v>3</v>
      </c>
      <c r="N648">
        <v>0.05</v>
      </c>
      <c r="O648" t="s">
        <v>3334</v>
      </c>
      <c r="P648">
        <v>3.67</v>
      </c>
      <c r="Q648">
        <v>0.36</v>
      </c>
      <c r="R648" t="s">
        <v>3478</v>
      </c>
      <c r="T648" t="s">
        <v>3479</v>
      </c>
      <c r="U648">
        <v>-5</v>
      </c>
      <c r="V648" t="s">
        <v>3687</v>
      </c>
    </row>
    <row r="649" spans="1:22" ht="12.75" customHeight="1" x14ac:dyDescent="0.15">
      <c r="A649">
        <v>15</v>
      </c>
      <c r="B649">
        <v>2026</v>
      </c>
      <c r="C649" s="21">
        <v>46125</v>
      </c>
      <c r="D649" t="s">
        <v>91</v>
      </c>
      <c r="E649" t="s">
        <v>92</v>
      </c>
      <c r="F649" t="s">
        <v>21</v>
      </c>
      <c r="G649">
        <v>1.3</v>
      </c>
      <c r="H649" t="s">
        <v>3536</v>
      </c>
      <c r="I649" t="s">
        <v>3676</v>
      </c>
      <c r="J649" s="1" t="s">
        <v>3533</v>
      </c>
      <c r="K649" t="s">
        <v>181</v>
      </c>
      <c r="L649" t="s">
        <v>3481</v>
      </c>
      <c r="M649">
        <v>40</v>
      </c>
      <c r="N649">
        <v>0.05</v>
      </c>
      <c r="O649" t="s">
        <v>211</v>
      </c>
      <c r="P649">
        <v>2.97</v>
      </c>
      <c r="Q649">
        <v>0.33</v>
      </c>
      <c r="R649" t="s">
        <v>3482</v>
      </c>
      <c r="T649" t="s">
        <v>3479</v>
      </c>
      <c r="U649">
        <v>-5</v>
      </c>
      <c r="V649" t="s">
        <v>3688</v>
      </c>
    </row>
    <row r="650" spans="1:22" ht="12.75" customHeight="1" x14ac:dyDescent="0.15">
      <c r="A650">
        <v>15</v>
      </c>
      <c r="B650">
        <v>2026</v>
      </c>
      <c r="C650" s="21">
        <v>46125</v>
      </c>
      <c r="D650" t="s">
        <v>84</v>
      </c>
      <c r="E650" t="s">
        <v>85</v>
      </c>
      <c r="F650" t="s">
        <v>21</v>
      </c>
      <c r="G650">
        <v>2</v>
      </c>
      <c r="H650" t="s">
        <v>3563</v>
      </c>
      <c r="I650" t="s">
        <v>3553</v>
      </c>
      <c r="J650" s="1" t="s">
        <v>3533</v>
      </c>
      <c r="K650" t="s">
        <v>181</v>
      </c>
      <c r="L650" t="s">
        <v>3477</v>
      </c>
      <c r="M650">
        <v>3</v>
      </c>
      <c r="N650">
        <v>0.12</v>
      </c>
      <c r="O650" t="s">
        <v>3334</v>
      </c>
      <c r="P650">
        <v>10</v>
      </c>
      <c r="Q650">
        <v>0.18</v>
      </c>
      <c r="R650" t="s">
        <v>3478</v>
      </c>
      <c r="T650" t="s">
        <v>3479</v>
      </c>
      <c r="U650">
        <v>-7</v>
      </c>
      <c r="V650" t="s">
        <v>3504</v>
      </c>
    </row>
    <row r="651" spans="1:22" ht="12.75" customHeight="1" x14ac:dyDescent="0.15">
      <c r="A651">
        <v>15</v>
      </c>
      <c r="B651">
        <v>2026</v>
      </c>
      <c r="C651" s="21">
        <v>46125</v>
      </c>
      <c r="D651" t="s">
        <v>84</v>
      </c>
      <c r="E651" t="s">
        <v>85</v>
      </c>
      <c r="F651" t="s">
        <v>21</v>
      </c>
      <c r="G651">
        <v>2</v>
      </c>
      <c r="H651" t="s">
        <v>3605</v>
      </c>
      <c r="I651" t="s">
        <v>335</v>
      </c>
      <c r="J651" s="1" t="s">
        <v>3533</v>
      </c>
      <c r="K651" t="s">
        <v>181</v>
      </c>
      <c r="L651" t="s">
        <v>3481</v>
      </c>
      <c r="M651">
        <v>40</v>
      </c>
      <c r="N651">
        <v>0.16</v>
      </c>
      <c r="O651" t="s">
        <v>211</v>
      </c>
      <c r="P651">
        <v>9</v>
      </c>
      <c r="Q651">
        <v>0.16</v>
      </c>
      <c r="R651" t="s">
        <v>3482</v>
      </c>
      <c r="T651" t="s">
        <v>3479</v>
      </c>
      <c r="U651">
        <v>-7</v>
      </c>
      <c r="V651" t="s">
        <v>3464</v>
      </c>
    </row>
    <row r="652" spans="1:22" ht="12.75" customHeight="1" x14ac:dyDescent="0.15">
      <c r="A652">
        <v>15</v>
      </c>
      <c r="B652">
        <v>2026</v>
      </c>
      <c r="C652" s="21">
        <v>46125</v>
      </c>
      <c r="D652" t="s">
        <v>84</v>
      </c>
      <c r="E652" t="s">
        <v>85</v>
      </c>
      <c r="F652" t="s">
        <v>21</v>
      </c>
      <c r="G652">
        <v>2</v>
      </c>
      <c r="H652" t="s">
        <v>3563</v>
      </c>
      <c r="I652" t="s">
        <v>3553</v>
      </c>
      <c r="J652" s="1" t="s">
        <v>3533</v>
      </c>
      <c r="K652" t="s">
        <v>181</v>
      </c>
      <c r="L652" t="s">
        <v>3477</v>
      </c>
      <c r="M652">
        <v>3</v>
      </c>
      <c r="N652">
        <v>0.12</v>
      </c>
      <c r="O652" t="s">
        <v>3334</v>
      </c>
      <c r="P652">
        <v>10</v>
      </c>
      <c r="Q652">
        <v>0.18</v>
      </c>
      <c r="R652" t="s">
        <v>3478</v>
      </c>
      <c r="T652" t="s">
        <v>3479</v>
      </c>
      <c r="U652">
        <v>-7</v>
      </c>
      <c r="V652" t="s">
        <v>3504</v>
      </c>
    </row>
    <row r="653" spans="1:22" ht="12.75" customHeight="1" x14ac:dyDescent="0.15">
      <c r="A653">
        <v>15</v>
      </c>
      <c r="B653">
        <v>2026</v>
      </c>
      <c r="C653" s="21">
        <v>46125</v>
      </c>
      <c r="D653" t="s">
        <v>84</v>
      </c>
      <c r="E653" t="s">
        <v>85</v>
      </c>
      <c r="F653" t="s">
        <v>21</v>
      </c>
      <c r="G653">
        <v>2</v>
      </c>
      <c r="H653" t="s">
        <v>3605</v>
      </c>
      <c r="I653" t="s">
        <v>335</v>
      </c>
      <c r="J653" s="1" t="s">
        <v>3533</v>
      </c>
      <c r="K653" t="s">
        <v>181</v>
      </c>
      <c r="L653" t="s">
        <v>3481</v>
      </c>
      <c r="M653">
        <v>40</v>
      </c>
      <c r="N653">
        <v>0.16</v>
      </c>
      <c r="O653" t="s">
        <v>211</v>
      </c>
      <c r="P653">
        <v>9</v>
      </c>
      <c r="Q653">
        <v>0.16</v>
      </c>
      <c r="R653" t="s">
        <v>3482</v>
      </c>
      <c r="T653" t="s">
        <v>3479</v>
      </c>
      <c r="U653">
        <v>-7</v>
      </c>
      <c r="V653" t="s">
        <v>3464</v>
      </c>
    </row>
    <row r="654" spans="1:22" ht="12.75" customHeight="1" x14ac:dyDescent="0.15">
      <c r="A654">
        <v>15</v>
      </c>
      <c r="B654">
        <v>2026</v>
      </c>
      <c r="C654" s="21">
        <v>46125</v>
      </c>
      <c r="D654" t="s">
        <v>84</v>
      </c>
      <c r="E654" t="s">
        <v>85</v>
      </c>
      <c r="F654" t="s">
        <v>21</v>
      </c>
      <c r="G654">
        <v>2</v>
      </c>
      <c r="H654" t="s">
        <v>3563</v>
      </c>
      <c r="I654" t="s">
        <v>3553</v>
      </c>
      <c r="J654" s="1" t="s">
        <v>3533</v>
      </c>
      <c r="K654" t="s">
        <v>181</v>
      </c>
      <c r="L654" t="s">
        <v>3477</v>
      </c>
      <c r="M654">
        <v>3</v>
      </c>
      <c r="N654">
        <v>0.12</v>
      </c>
      <c r="O654" t="s">
        <v>3334</v>
      </c>
      <c r="P654">
        <v>10</v>
      </c>
      <c r="Q654">
        <v>0.18</v>
      </c>
      <c r="R654" t="s">
        <v>3478</v>
      </c>
      <c r="T654" t="s">
        <v>3479</v>
      </c>
      <c r="U654">
        <v>-7</v>
      </c>
      <c r="V654" t="s">
        <v>3504</v>
      </c>
    </row>
    <row r="655" spans="1:22" ht="12.75" customHeight="1" x14ac:dyDescent="0.15">
      <c r="A655">
        <v>15</v>
      </c>
      <c r="B655">
        <v>2026</v>
      </c>
      <c r="C655" s="21">
        <v>46125</v>
      </c>
      <c r="D655" t="s">
        <v>84</v>
      </c>
      <c r="E655" t="s">
        <v>85</v>
      </c>
      <c r="F655" t="s">
        <v>21</v>
      </c>
      <c r="G655">
        <v>2</v>
      </c>
      <c r="H655" t="s">
        <v>3605</v>
      </c>
      <c r="I655" t="s">
        <v>335</v>
      </c>
      <c r="J655" s="1" t="s">
        <v>3533</v>
      </c>
      <c r="K655" t="s">
        <v>181</v>
      </c>
      <c r="L655" t="s">
        <v>3481</v>
      </c>
      <c r="M655">
        <v>40</v>
      </c>
      <c r="N655">
        <v>0.16</v>
      </c>
      <c r="O655" t="s">
        <v>211</v>
      </c>
      <c r="P655">
        <v>9</v>
      </c>
      <c r="Q655">
        <v>0.16</v>
      </c>
      <c r="R655" t="s">
        <v>3482</v>
      </c>
      <c r="T655" t="s">
        <v>3479</v>
      </c>
      <c r="U655">
        <v>-7</v>
      </c>
      <c r="V655" t="s">
        <v>3464</v>
      </c>
    </row>
    <row r="656" spans="1:22" ht="12.75" customHeight="1" x14ac:dyDescent="0.15">
      <c r="A656">
        <v>15</v>
      </c>
      <c r="B656">
        <v>2026</v>
      </c>
      <c r="C656" s="21">
        <v>46125</v>
      </c>
      <c r="D656" t="s">
        <v>84</v>
      </c>
      <c r="E656" t="s">
        <v>85</v>
      </c>
      <c r="F656" t="s">
        <v>21</v>
      </c>
      <c r="G656">
        <v>2</v>
      </c>
      <c r="H656" t="s">
        <v>3563</v>
      </c>
      <c r="I656" t="s">
        <v>3553</v>
      </c>
      <c r="J656" s="1" t="s">
        <v>3533</v>
      </c>
      <c r="K656" t="s">
        <v>181</v>
      </c>
      <c r="L656" t="s">
        <v>3477</v>
      </c>
      <c r="M656">
        <v>3</v>
      </c>
      <c r="N656">
        <v>0.12</v>
      </c>
      <c r="O656" t="s">
        <v>3334</v>
      </c>
      <c r="P656">
        <v>10</v>
      </c>
      <c r="Q656">
        <v>0.18</v>
      </c>
      <c r="R656" t="s">
        <v>3478</v>
      </c>
      <c r="T656" t="s">
        <v>3479</v>
      </c>
      <c r="U656">
        <v>-7</v>
      </c>
      <c r="V656" t="s">
        <v>3504</v>
      </c>
    </row>
    <row r="657" spans="1:22" ht="12.75" customHeight="1" x14ac:dyDescent="0.15">
      <c r="A657">
        <v>15</v>
      </c>
      <c r="B657">
        <v>2026</v>
      </c>
      <c r="C657" s="21">
        <v>46125</v>
      </c>
      <c r="D657" t="s">
        <v>84</v>
      </c>
      <c r="E657" t="s">
        <v>85</v>
      </c>
      <c r="F657" t="s">
        <v>21</v>
      </c>
      <c r="G657">
        <v>2</v>
      </c>
      <c r="H657" t="s">
        <v>3605</v>
      </c>
      <c r="I657" t="s">
        <v>335</v>
      </c>
      <c r="J657" s="1" t="s">
        <v>3533</v>
      </c>
      <c r="K657" t="s">
        <v>181</v>
      </c>
      <c r="L657" t="s">
        <v>3481</v>
      </c>
      <c r="M657">
        <v>40</v>
      </c>
      <c r="N657">
        <v>0.16</v>
      </c>
      <c r="O657" t="s">
        <v>211</v>
      </c>
      <c r="P657">
        <v>9</v>
      </c>
      <c r="Q657">
        <v>0.16</v>
      </c>
      <c r="R657" t="s">
        <v>3482</v>
      </c>
      <c r="T657" t="s">
        <v>3479</v>
      </c>
      <c r="U657">
        <v>-7</v>
      </c>
      <c r="V657" t="s">
        <v>3464</v>
      </c>
    </row>
    <row r="658" spans="1:22" ht="12.75" customHeight="1" x14ac:dyDescent="0.15">
      <c r="A658">
        <v>15</v>
      </c>
      <c r="B658">
        <v>2026</v>
      </c>
      <c r="C658" s="21">
        <v>46125</v>
      </c>
      <c r="D658" t="s">
        <v>91</v>
      </c>
      <c r="E658" t="s">
        <v>92</v>
      </c>
      <c r="F658" t="s">
        <v>21</v>
      </c>
      <c r="G658">
        <v>1.3</v>
      </c>
      <c r="H658" t="s">
        <v>3552</v>
      </c>
      <c r="I658" t="s">
        <v>3553</v>
      </c>
      <c r="J658" s="1" t="s">
        <v>3533</v>
      </c>
      <c r="K658" t="s">
        <v>181</v>
      </c>
      <c r="L658" t="s">
        <v>3477</v>
      </c>
      <c r="M658">
        <v>3</v>
      </c>
      <c r="N658">
        <v>0.02</v>
      </c>
      <c r="O658" t="s">
        <v>3334</v>
      </c>
      <c r="P658">
        <v>1.22</v>
      </c>
      <c r="Q658">
        <v>0.12</v>
      </c>
      <c r="R658" t="s">
        <v>3478</v>
      </c>
      <c r="T658" t="s">
        <v>3479</v>
      </c>
      <c r="U658">
        <v>-5</v>
      </c>
      <c r="V658" t="s">
        <v>3689</v>
      </c>
    </row>
    <row r="659" spans="1:22" ht="12.75" customHeight="1" x14ac:dyDescent="0.15">
      <c r="A659">
        <v>15</v>
      </c>
      <c r="B659">
        <v>2026</v>
      </c>
      <c r="C659" s="21">
        <v>46125</v>
      </c>
      <c r="D659" t="s">
        <v>91</v>
      </c>
      <c r="E659" t="s">
        <v>92</v>
      </c>
      <c r="F659" t="s">
        <v>21</v>
      </c>
      <c r="G659">
        <v>1.3</v>
      </c>
      <c r="H659" t="s">
        <v>3563</v>
      </c>
      <c r="I659" t="s">
        <v>3553</v>
      </c>
      <c r="J659" s="1" t="s">
        <v>3533</v>
      </c>
      <c r="K659" t="s">
        <v>181</v>
      </c>
      <c r="L659" t="s">
        <v>3481</v>
      </c>
      <c r="M659">
        <v>40</v>
      </c>
      <c r="N659">
        <v>0.01</v>
      </c>
      <c r="O659" t="s">
        <v>211</v>
      </c>
      <c r="P659">
        <v>0.72</v>
      </c>
      <c r="Q659">
        <v>0.08</v>
      </c>
      <c r="R659" t="s">
        <v>3482</v>
      </c>
      <c r="T659" t="s">
        <v>3479</v>
      </c>
      <c r="U659">
        <v>-5</v>
      </c>
      <c r="V659" t="s">
        <v>3690</v>
      </c>
    </row>
    <row r="660" spans="1:22" ht="12.75" customHeight="1" x14ac:dyDescent="0.15">
      <c r="A660">
        <v>15</v>
      </c>
      <c r="B660">
        <v>2026</v>
      </c>
      <c r="C660" s="21">
        <v>46126</v>
      </c>
      <c r="D660" t="s">
        <v>60</v>
      </c>
      <c r="E660" t="s">
        <v>61</v>
      </c>
      <c r="F660" t="s">
        <v>21</v>
      </c>
      <c r="G660">
        <v>1.6</v>
      </c>
      <c r="H660" t="s">
        <v>3691</v>
      </c>
      <c r="I660" t="s">
        <v>3692</v>
      </c>
      <c r="J660" s="1" t="s">
        <v>26</v>
      </c>
      <c r="K660" t="s">
        <v>181</v>
      </c>
      <c r="L660" t="s">
        <v>3340</v>
      </c>
      <c r="M660">
        <v>58</v>
      </c>
      <c r="N660">
        <v>0.3</v>
      </c>
      <c r="O660" t="s">
        <v>211</v>
      </c>
      <c r="P660">
        <v>16.5</v>
      </c>
      <c r="R660" t="s">
        <v>3343</v>
      </c>
      <c r="T660" t="s">
        <v>3337</v>
      </c>
      <c r="U660">
        <v>18</v>
      </c>
      <c r="V660" t="s">
        <v>3693</v>
      </c>
    </row>
    <row r="661" spans="1:22" ht="12.75" customHeight="1" x14ac:dyDescent="0.15">
      <c r="A661">
        <v>15</v>
      </c>
      <c r="B661">
        <v>2026</v>
      </c>
      <c r="C661" s="21">
        <v>46126</v>
      </c>
      <c r="D661" t="s">
        <v>60</v>
      </c>
      <c r="E661" t="s">
        <v>61</v>
      </c>
      <c r="F661" t="s">
        <v>21</v>
      </c>
      <c r="G661">
        <v>1.6</v>
      </c>
      <c r="H661" t="s">
        <v>3691</v>
      </c>
      <c r="I661" t="s">
        <v>3692</v>
      </c>
      <c r="J661" s="1" t="s">
        <v>26</v>
      </c>
      <c r="K661" t="s">
        <v>181</v>
      </c>
      <c r="L661" t="s">
        <v>3340</v>
      </c>
      <c r="M661">
        <v>45</v>
      </c>
      <c r="N661">
        <v>0.3</v>
      </c>
      <c r="O661" t="s">
        <v>211</v>
      </c>
      <c r="P661">
        <v>16.5</v>
      </c>
      <c r="R661" t="s">
        <v>3377</v>
      </c>
      <c r="T661" t="s">
        <v>3337</v>
      </c>
      <c r="U661">
        <v>18</v>
      </c>
      <c r="V661" t="s">
        <v>3693</v>
      </c>
    </row>
    <row r="662" spans="1:22" ht="12.75" customHeight="1" x14ac:dyDescent="0.15">
      <c r="A662">
        <v>15</v>
      </c>
      <c r="B662">
        <v>2026</v>
      </c>
      <c r="C662" s="21">
        <v>46126</v>
      </c>
      <c r="D662" t="s">
        <v>60</v>
      </c>
      <c r="E662" t="s">
        <v>61</v>
      </c>
      <c r="F662" t="s">
        <v>21</v>
      </c>
      <c r="G662">
        <v>1.6</v>
      </c>
      <c r="H662" t="s">
        <v>3691</v>
      </c>
      <c r="I662" t="s">
        <v>3692</v>
      </c>
      <c r="J662" s="1" t="s">
        <v>26</v>
      </c>
      <c r="K662" t="s">
        <v>181</v>
      </c>
      <c r="L662" t="s">
        <v>3340</v>
      </c>
      <c r="M662">
        <v>132</v>
      </c>
      <c r="N662">
        <v>0.3</v>
      </c>
      <c r="O662" t="s">
        <v>211</v>
      </c>
      <c r="P662">
        <v>16.5</v>
      </c>
      <c r="R662" t="s">
        <v>3368</v>
      </c>
      <c r="T662" t="s">
        <v>3337</v>
      </c>
      <c r="U662">
        <v>18</v>
      </c>
      <c r="V662" t="s">
        <v>3693</v>
      </c>
    </row>
    <row r="663" spans="1:22" ht="12.75" customHeight="1" x14ac:dyDescent="0.15">
      <c r="A663">
        <v>15</v>
      </c>
      <c r="B663">
        <v>2026</v>
      </c>
      <c r="C663" s="21">
        <v>46126</v>
      </c>
      <c r="D663" t="s">
        <v>60</v>
      </c>
      <c r="E663" t="s">
        <v>61</v>
      </c>
      <c r="F663" t="s">
        <v>21</v>
      </c>
      <c r="G663">
        <v>1.6</v>
      </c>
      <c r="H663" t="s">
        <v>3691</v>
      </c>
      <c r="I663" t="s">
        <v>3692</v>
      </c>
      <c r="J663" s="1" t="s">
        <v>26</v>
      </c>
      <c r="K663" t="s">
        <v>181</v>
      </c>
      <c r="L663" t="s">
        <v>3340</v>
      </c>
      <c r="M663">
        <v>62</v>
      </c>
      <c r="N663">
        <v>0.3</v>
      </c>
      <c r="O663" t="s">
        <v>211</v>
      </c>
      <c r="P663">
        <v>16.5</v>
      </c>
      <c r="R663" t="s">
        <v>3375</v>
      </c>
      <c r="T663" t="s">
        <v>3337</v>
      </c>
      <c r="U663">
        <v>18</v>
      </c>
      <c r="V663" t="s">
        <v>3693</v>
      </c>
    </row>
    <row r="664" spans="1:22" ht="12.75" customHeight="1" x14ac:dyDescent="0.15">
      <c r="A664">
        <v>15</v>
      </c>
      <c r="B664">
        <v>2026</v>
      </c>
      <c r="C664" s="21">
        <v>46126</v>
      </c>
      <c r="D664" t="s">
        <v>60</v>
      </c>
      <c r="E664" t="s">
        <v>61</v>
      </c>
      <c r="F664" t="s">
        <v>21</v>
      </c>
      <c r="G664">
        <v>1.6</v>
      </c>
      <c r="H664" t="s">
        <v>3691</v>
      </c>
      <c r="I664" t="s">
        <v>3692</v>
      </c>
      <c r="J664" s="1" t="s">
        <v>26</v>
      </c>
      <c r="K664" t="s">
        <v>181</v>
      </c>
      <c r="L664" t="s">
        <v>3340</v>
      </c>
      <c r="M664">
        <v>81</v>
      </c>
      <c r="N664">
        <v>0.3</v>
      </c>
      <c r="O664" t="s">
        <v>211</v>
      </c>
      <c r="P664">
        <v>16.5</v>
      </c>
      <c r="R664" t="s">
        <v>3374</v>
      </c>
      <c r="T664" t="s">
        <v>3337</v>
      </c>
      <c r="U664">
        <v>18</v>
      </c>
      <c r="V664" t="s">
        <v>3693</v>
      </c>
    </row>
    <row r="665" spans="1:22" ht="12.75" customHeight="1" x14ac:dyDescent="0.15">
      <c r="A665">
        <v>15</v>
      </c>
      <c r="B665">
        <v>2026</v>
      </c>
      <c r="C665" s="21">
        <v>46126</v>
      </c>
      <c r="D665" t="s">
        <v>437</v>
      </c>
      <c r="E665" t="s">
        <v>3679</v>
      </c>
      <c r="H665" t="s">
        <v>3685</v>
      </c>
      <c r="I665" t="s">
        <v>3686</v>
      </c>
      <c r="J665" s="1" t="s">
        <v>3437</v>
      </c>
      <c r="K665" t="s">
        <v>181</v>
      </c>
      <c r="L665" t="s">
        <v>3333</v>
      </c>
      <c r="M665">
        <v>2</v>
      </c>
      <c r="N665">
        <v>1</v>
      </c>
      <c r="O665" t="s">
        <v>3440</v>
      </c>
      <c r="P665">
        <v>90.49</v>
      </c>
      <c r="Q665">
        <v>8</v>
      </c>
      <c r="R665" t="s">
        <v>3424</v>
      </c>
      <c r="T665" t="s">
        <v>3337</v>
      </c>
      <c r="U665">
        <v>103</v>
      </c>
      <c r="V665" t="e">
        <f>+P665/G665</f>
        <v>#DIV/0!</v>
      </c>
    </row>
    <row r="666" spans="1:22" ht="12.75" customHeight="1" x14ac:dyDescent="0.15">
      <c r="A666">
        <v>15</v>
      </c>
      <c r="B666">
        <v>2026</v>
      </c>
      <c r="C666" s="21">
        <v>46126</v>
      </c>
      <c r="D666" t="s">
        <v>73</v>
      </c>
      <c r="E666" t="s">
        <v>74</v>
      </c>
      <c r="F666" t="s">
        <v>75</v>
      </c>
      <c r="G666">
        <v>2.2999999999999998</v>
      </c>
      <c r="H666" t="s">
        <v>3694</v>
      </c>
      <c r="I666" t="s">
        <v>3695</v>
      </c>
      <c r="J666" s="1" t="s">
        <v>3696</v>
      </c>
      <c r="K666" t="s">
        <v>181</v>
      </c>
      <c r="L666" t="s">
        <v>3333</v>
      </c>
      <c r="M666">
        <v>67</v>
      </c>
      <c r="N666">
        <v>0.81</v>
      </c>
      <c r="O666" t="s">
        <v>3334</v>
      </c>
      <c r="P666">
        <v>66.28</v>
      </c>
      <c r="Q666">
        <v>6.5</v>
      </c>
      <c r="R666" t="s">
        <v>3404</v>
      </c>
      <c r="T666" t="s">
        <v>3402</v>
      </c>
      <c r="U666">
        <v>-4</v>
      </c>
      <c r="V666" t="s">
        <v>3697</v>
      </c>
    </row>
    <row r="667" spans="1:22" ht="12.75" customHeight="1" x14ac:dyDescent="0.15">
      <c r="A667">
        <v>15</v>
      </c>
      <c r="B667">
        <v>2026</v>
      </c>
      <c r="C667" s="21">
        <v>46126</v>
      </c>
      <c r="D667" t="s">
        <v>73</v>
      </c>
      <c r="E667" t="s">
        <v>74</v>
      </c>
      <c r="F667" t="s">
        <v>75</v>
      </c>
      <c r="G667">
        <v>2.2999999999999998</v>
      </c>
      <c r="H667" t="s">
        <v>3694</v>
      </c>
      <c r="I667" t="s">
        <v>3695</v>
      </c>
      <c r="J667" s="1" t="s">
        <v>3696</v>
      </c>
      <c r="K667" t="s">
        <v>181</v>
      </c>
      <c r="L667" t="s">
        <v>3333</v>
      </c>
      <c r="M667">
        <v>91</v>
      </c>
      <c r="N667">
        <v>0.81</v>
      </c>
      <c r="O667" t="s">
        <v>3334</v>
      </c>
      <c r="P667">
        <v>66.28</v>
      </c>
      <c r="Q667">
        <v>6.5</v>
      </c>
      <c r="R667" t="s">
        <v>3412</v>
      </c>
      <c r="T667" t="s">
        <v>3402</v>
      </c>
      <c r="U667">
        <v>-4</v>
      </c>
      <c r="V667" t="s">
        <v>3697</v>
      </c>
    </row>
    <row r="668" spans="1:22" ht="12.75" customHeight="1" x14ac:dyDescent="0.15">
      <c r="A668">
        <v>15</v>
      </c>
      <c r="B668">
        <v>2026</v>
      </c>
      <c r="C668" s="21">
        <v>46126</v>
      </c>
      <c r="D668" t="s">
        <v>73</v>
      </c>
      <c r="E668" t="s">
        <v>74</v>
      </c>
      <c r="F668" t="s">
        <v>75</v>
      </c>
      <c r="G668">
        <v>2.2999999999999998</v>
      </c>
      <c r="H668" t="s">
        <v>3694</v>
      </c>
      <c r="I668" t="s">
        <v>3695</v>
      </c>
      <c r="J668" s="1" t="s">
        <v>3696</v>
      </c>
      <c r="K668" t="s">
        <v>181</v>
      </c>
      <c r="L668" t="s">
        <v>3333</v>
      </c>
      <c r="M668">
        <v>19</v>
      </c>
      <c r="N668">
        <v>0.81</v>
      </c>
      <c r="O668" t="s">
        <v>3334</v>
      </c>
      <c r="P668">
        <v>66.28</v>
      </c>
      <c r="Q668">
        <v>6.5</v>
      </c>
      <c r="R668" t="s">
        <v>3403</v>
      </c>
      <c r="T668" t="s">
        <v>3402</v>
      </c>
      <c r="U668">
        <v>-4</v>
      </c>
      <c r="V668" t="s">
        <v>3697</v>
      </c>
    </row>
    <row r="669" spans="1:22" ht="12.75" customHeight="1" x14ac:dyDescent="0.15">
      <c r="A669">
        <v>15</v>
      </c>
      <c r="B669">
        <v>2026</v>
      </c>
      <c r="C669" s="21">
        <v>46126</v>
      </c>
      <c r="D669" t="s">
        <v>73</v>
      </c>
      <c r="E669" t="s">
        <v>74</v>
      </c>
      <c r="F669" t="s">
        <v>75</v>
      </c>
      <c r="G669">
        <v>2.2999999999999998</v>
      </c>
      <c r="H669" t="s">
        <v>3694</v>
      </c>
      <c r="I669" t="s">
        <v>3695</v>
      </c>
      <c r="J669" s="1" t="s">
        <v>3696</v>
      </c>
      <c r="K669" t="s">
        <v>181</v>
      </c>
      <c r="L669" t="s">
        <v>3340</v>
      </c>
      <c r="M669">
        <v>78</v>
      </c>
      <c r="N669">
        <v>1.06</v>
      </c>
      <c r="O669" t="s">
        <v>211</v>
      </c>
      <c r="P669">
        <v>58.5</v>
      </c>
      <c r="Q669">
        <v>6.5</v>
      </c>
      <c r="R669" t="s">
        <v>3341</v>
      </c>
      <c r="T669" t="s">
        <v>3402</v>
      </c>
      <c r="U669">
        <v>-4</v>
      </c>
      <c r="V669" t="s">
        <v>3698</v>
      </c>
    </row>
    <row r="670" spans="1:22" ht="12.75" customHeight="1" x14ac:dyDescent="0.15">
      <c r="A670">
        <v>15</v>
      </c>
      <c r="B670">
        <v>2026</v>
      </c>
      <c r="C670" s="21">
        <v>46126</v>
      </c>
      <c r="D670" t="s">
        <v>73</v>
      </c>
      <c r="E670" t="s">
        <v>74</v>
      </c>
      <c r="F670" t="s">
        <v>75</v>
      </c>
      <c r="G670">
        <v>2.2999999999999998</v>
      </c>
      <c r="H670" t="s">
        <v>3694</v>
      </c>
      <c r="I670" t="s">
        <v>3695</v>
      </c>
      <c r="J670" s="1" t="s">
        <v>3696</v>
      </c>
      <c r="K670" t="s">
        <v>181</v>
      </c>
      <c r="L670" t="s">
        <v>3340</v>
      </c>
      <c r="M670">
        <v>67</v>
      </c>
      <c r="N670">
        <v>0.51</v>
      </c>
      <c r="O670" t="s">
        <v>211</v>
      </c>
      <c r="P670">
        <v>28</v>
      </c>
      <c r="R670" t="s">
        <v>3404</v>
      </c>
      <c r="S670" t="s">
        <v>3699</v>
      </c>
      <c r="T670" t="s">
        <v>3402</v>
      </c>
      <c r="U670">
        <v>-4</v>
      </c>
      <c r="V670" t="s">
        <v>3700</v>
      </c>
    </row>
    <row r="671" spans="1:22" ht="12.75" customHeight="1" x14ac:dyDescent="0.15">
      <c r="A671">
        <v>15</v>
      </c>
      <c r="B671">
        <v>2026</v>
      </c>
      <c r="C671" s="21">
        <v>46126</v>
      </c>
      <c r="D671" t="s">
        <v>73</v>
      </c>
      <c r="E671" t="s">
        <v>74</v>
      </c>
      <c r="F671" t="s">
        <v>75</v>
      </c>
      <c r="G671">
        <v>2.2999999999999998</v>
      </c>
      <c r="H671" t="s">
        <v>3694</v>
      </c>
      <c r="I671" t="s">
        <v>3695</v>
      </c>
      <c r="J671" s="1" t="s">
        <v>3696</v>
      </c>
      <c r="K671" t="s">
        <v>181</v>
      </c>
      <c r="L671" t="s">
        <v>3340</v>
      </c>
      <c r="M671">
        <v>19</v>
      </c>
      <c r="N671">
        <v>0.51</v>
      </c>
      <c r="O671" t="s">
        <v>211</v>
      </c>
      <c r="P671">
        <v>28</v>
      </c>
      <c r="R671" t="s">
        <v>3403</v>
      </c>
      <c r="S671" t="s">
        <v>3699</v>
      </c>
      <c r="T671" t="s">
        <v>3402</v>
      </c>
      <c r="U671">
        <v>-4</v>
      </c>
      <c r="V671" t="s">
        <v>3700</v>
      </c>
    </row>
    <row r="672" spans="1:22" ht="12.75" customHeight="1" x14ac:dyDescent="0.15">
      <c r="A672">
        <v>15</v>
      </c>
      <c r="B672">
        <v>2026</v>
      </c>
      <c r="C672" s="21">
        <v>46126</v>
      </c>
      <c r="D672" t="s">
        <v>73</v>
      </c>
      <c r="E672" t="s">
        <v>74</v>
      </c>
      <c r="F672" t="s">
        <v>75</v>
      </c>
      <c r="G672">
        <v>2.2999999999999998</v>
      </c>
      <c r="H672" t="s">
        <v>3694</v>
      </c>
      <c r="I672" t="s">
        <v>3695</v>
      </c>
      <c r="J672" s="1" t="s">
        <v>3696</v>
      </c>
      <c r="K672" t="s">
        <v>181</v>
      </c>
      <c r="L672" t="s">
        <v>3340</v>
      </c>
      <c r="M672">
        <v>91</v>
      </c>
      <c r="N672">
        <v>0.51</v>
      </c>
      <c r="O672" t="s">
        <v>211</v>
      </c>
      <c r="P672">
        <v>28</v>
      </c>
      <c r="R672" t="s">
        <v>3412</v>
      </c>
      <c r="S672" t="s">
        <v>3699</v>
      </c>
      <c r="T672" t="s">
        <v>3402</v>
      </c>
      <c r="U672">
        <v>-4</v>
      </c>
      <c r="V672" t="s">
        <v>3700</v>
      </c>
    </row>
    <row r="673" spans="1:22" ht="12.75" customHeight="1" x14ac:dyDescent="0.15">
      <c r="A673">
        <v>15</v>
      </c>
      <c r="B673">
        <v>2026</v>
      </c>
      <c r="C673" s="21">
        <v>46126</v>
      </c>
      <c r="D673" t="s">
        <v>73</v>
      </c>
      <c r="E673" t="s">
        <v>74</v>
      </c>
      <c r="F673" t="s">
        <v>75</v>
      </c>
      <c r="G673">
        <v>2.2999999999999998</v>
      </c>
      <c r="H673" t="s">
        <v>3694</v>
      </c>
      <c r="I673" t="s">
        <v>3695</v>
      </c>
      <c r="J673" s="1" t="s">
        <v>3696</v>
      </c>
      <c r="K673" t="s">
        <v>181</v>
      </c>
      <c r="L673" t="s">
        <v>3340</v>
      </c>
      <c r="M673">
        <v>78</v>
      </c>
      <c r="N673">
        <v>2</v>
      </c>
      <c r="O673" t="s">
        <v>211</v>
      </c>
      <c r="P673">
        <v>110</v>
      </c>
      <c r="R673" t="s">
        <v>3341</v>
      </c>
      <c r="S673" t="s">
        <v>3699</v>
      </c>
      <c r="T673" t="s">
        <v>3402</v>
      </c>
      <c r="U673">
        <v>-4</v>
      </c>
      <c r="V673" t="s">
        <v>3701</v>
      </c>
    </row>
    <row r="674" spans="1:22" ht="12.75" customHeight="1" x14ac:dyDescent="0.15">
      <c r="A674">
        <v>15</v>
      </c>
      <c r="B674">
        <v>2026</v>
      </c>
      <c r="C674" s="21">
        <v>46126</v>
      </c>
      <c r="D674" t="s">
        <v>91</v>
      </c>
      <c r="E674" t="s">
        <v>92</v>
      </c>
      <c r="F674" t="s">
        <v>21</v>
      </c>
      <c r="G674">
        <v>1.3</v>
      </c>
      <c r="H674" t="s">
        <v>3567</v>
      </c>
      <c r="I674" t="s">
        <v>321</v>
      </c>
      <c r="J674" s="1" t="s">
        <v>26</v>
      </c>
      <c r="K674" t="s">
        <v>181</v>
      </c>
      <c r="L674" t="s">
        <v>3340</v>
      </c>
      <c r="M674">
        <v>11</v>
      </c>
      <c r="N674">
        <v>0.93</v>
      </c>
      <c r="O674" t="s">
        <v>211</v>
      </c>
      <c r="P674">
        <v>51</v>
      </c>
      <c r="Q674">
        <v>2.5</v>
      </c>
      <c r="R674" t="s">
        <v>3564</v>
      </c>
      <c r="T674" t="s">
        <v>3402</v>
      </c>
      <c r="U674">
        <v>-4</v>
      </c>
      <c r="V674" t="s">
        <v>3702</v>
      </c>
    </row>
    <row r="675" spans="1:22" ht="12.75" customHeight="1" x14ac:dyDescent="0.15">
      <c r="A675">
        <v>15</v>
      </c>
      <c r="B675">
        <v>2026</v>
      </c>
      <c r="C675" s="21">
        <v>46126</v>
      </c>
      <c r="D675" t="s">
        <v>91</v>
      </c>
      <c r="E675" t="s">
        <v>92</v>
      </c>
      <c r="F675" t="s">
        <v>21</v>
      </c>
      <c r="G675">
        <v>1.3</v>
      </c>
      <c r="H675" t="s">
        <v>3672</v>
      </c>
      <c r="I675" t="s">
        <v>3673</v>
      </c>
      <c r="J675" s="1" t="s">
        <v>26</v>
      </c>
      <c r="K675" t="s">
        <v>181</v>
      </c>
      <c r="L675" t="s">
        <v>3340</v>
      </c>
      <c r="M675">
        <v>80</v>
      </c>
      <c r="N675">
        <v>0.46</v>
      </c>
      <c r="O675" t="s">
        <v>211</v>
      </c>
      <c r="P675">
        <v>25.5</v>
      </c>
      <c r="Q675">
        <v>2.5</v>
      </c>
      <c r="R675" t="s">
        <v>3560</v>
      </c>
      <c r="T675" t="s">
        <v>3402</v>
      </c>
      <c r="U675">
        <v>-4</v>
      </c>
      <c r="V675" t="s">
        <v>3703</v>
      </c>
    </row>
    <row r="676" spans="1:22" ht="12.75" customHeight="1" x14ac:dyDescent="0.15">
      <c r="A676">
        <v>15</v>
      </c>
      <c r="B676">
        <v>2026</v>
      </c>
      <c r="C676" s="21">
        <v>46126</v>
      </c>
      <c r="D676" t="s">
        <v>91</v>
      </c>
      <c r="E676" t="s">
        <v>92</v>
      </c>
      <c r="F676" t="s">
        <v>21</v>
      </c>
      <c r="G676">
        <v>1.3</v>
      </c>
      <c r="H676" t="s">
        <v>3536</v>
      </c>
      <c r="I676" t="s">
        <v>3676</v>
      </c>
      <c r="J676" s="1" t="s">
        <v>3533</v>
      </c>
      <c r="K676" t="s">
        <v>181</v>
      </c>
      <c r="L676" t="s">
        <v>3477</v>
      </c>
      <c r="M676">
        <v>3</v>
      </c>
      <c r="N676">
        <v>0.16</v>
      </c>
      <c r="O676" t="s">
        <v>3334</v>
      </c>
      <c r="P676">
        <v>13.26</v>
      </c>
      <c r="Q676">
        <v>1.3</v>
      </c>
      <c r="R676" t="s">
        <v>3478</v>
      </c>
      <c r="T676" t="s">
        <v>3479</v>
      </c>
      <c r="U676">
        <v>-4</v>
      </c>
      <c r="V676" t="s">
        <v>3472</v>
      </c>
    </row>
    <row r="677" spans="1:22" ht="12.75" customHeight="1" x14ac:dyDescent="0.15">
      <c r="A677">
        <v>15</v>
      </c>
      <c r="B677">
        <v>2026</v>
      </c>
      <c r="C677" s="21">
        <v>46126</v>
      </c>
      <c r="D677" t="s">
        <v>91</v>
      </c>
      <c r="E677" t="s">
        <v>92</v>
      </c>
      <c r="F677" t="s">
        <v>21</v>
      </c>
      <c r="G677">
        <v>1.3</v>
      </c>
      <c r="H677" t="s">
        <v>3536</v>
      </c>
      <c r="I677" t="s">
        <v>3676</v>
      </c>
      <c r="J677" s="1" t="s">
        <v>3533</v>
      </c>
      <c r="K677" t="s">
        <v>181</v>
      </c>
      <c r="L677" t="s">
        <v>3481</v>
      </c>
      <c r="M677">
        <v>40</v>
      </c>
      <c r="N677">
        <v>0.19</v>
      </c>
      <c r="O677" t="s">
        <v>211</v>
      </c>
      <c r="P677">
        <v>10.35</v>
      </c>
      <c r="Q677">
        <v>1.1499999999999999</v>
      </c>
      <c r="R677" t="s">
        <v>3482</v>
      </c>
      <c r="T677" t="s">
        <v>3479</v>
      </c>
      <c r="U677">
        <v>-4</v>
      </c>
      <c r="V677" t="s">
        <v>3704</v>
      </c>
    </row>
    <row r="678" spans="1:22" ht="12.75" customHeight="1" x14ac:dyDescent="0.15">
      <c r="A678">
        <v>15</v>
      </c>
      <c r="B678">
        <v>2026</v>
      </c>
      <c r="C678" s="21">
        <v>46127</v>
      </c>
      <c r="D678" t="s">
        <v>89</v>
      </c>
      <c r="E678" t="s">
        <v>90</v>
      </c>
      <c r="F678" t="s">
        <v>21</v>
      </c>
      <c r="G678">
        <v>1</v>
      </c>
      <c r="H678" t="s">
        <v>3495</v>
      </c>
      <c r="I678" t="s">
        <v>29</v>
      </c>
      <c r="J678" s="1" t="s">
        <v>30</v>
      </c>
      <c r="K678" t="s">
        <v>3705</v>
      </c>
      <c r="L678" t="s">
        <v>3340</v>
      </c>
      <c r="M678">
        <v>45</v>
      </c>
      <c r="N678">
        <v>2.95</v>
      </c>
      <c r="O678" t="s">
        <v>211</v>
      </c>
      <c r="P678">
        <v>162</v>
      </c>
      <c r="R678" t="s">
        <v>3377</v>
      </c>
      <c r="T678" t="s">
        <v>3337</v>
      </c>
      <c r="U678">
        <v>0</v>
      </c>
      <c r="V678" t="s">
        <v>3706</v>
      </c>
    </row>
    <row r="679" spans="1:22" ht="12.75" customHeight="1" x14ac:dyDescent="0.15">
      <c r="A679">
        <v>15</v>
      </c>
      <c r="B679">
        <v>2026</v>
      </c>
      <c r="C679" s="21">
        <v>46127</v>
      </c>
      <c r="D679" t="s">
        <v>89</v>
      </c>
      <c r="E679" t="s">
        <v>90</v>
      </c>
      <c r="F679" t="s">
        <v>21</v>
      </c>
      <c r="G679">
        <v>1</v>
      </c>
      <c r="H679" t="s">
        <v>3495</v>
      </c>
      <c r="I679" t="s">
        <v>29</v>
      </c>
      <c r="J679" s="1" t="s">
        <v>30</v>
      </c>
      <c r="K679" t="s">
        <v>3705</v>
      </c>
      <c r="L679" t="s">
        <v>3340</v>
      </c>
      <c r="M679">
        <v>132</v>
      </c>
      <c r="N679">
        <v>2.95</v>
      </c>
      <c r="O679" t="s">
        <v>211</v>
      </c>
      <c r="P679">
        <v>162</v>
      </c>
      <c r="R679" t="s">
        <v>3368</v>
      </c>
      <c r="T679" t="s">
        <v>3337</v>
      </c>
      <c r="U679">
        <v>0</v>
      </c>
      <c r="V679" t="s">
        <v>3706</v>
      </c>
    </row>
    <row r="680" spans="1:22" ht="12.75" customHeight="1" x14ac:dyDescent="0.15">
      <c r="A680">
        <v>15</v>
      </c>
      <c r="B680">
        <v>2026</v>
      </c>
      <c r="C680" s="21">
        <v>46127</v>
      </c>
      <c r="D680" t="s">
        <v>89</v>
      </c>
      <c r="E680" t="s">
        <v>90</v>
      </c>
      <c r="F680" t="s">
        <v>21</v>
      </c>
      <c r="G680">
        <v>1</v>
      </c>
      <c r="H680" t="s">
        <v>3495</v>
      </c>
      <c r="I680" t="s">
        <v>29</v>
      </c>
      <c r="J680" s="1" t="s">
        <v>30</v>
      </c>
      <c r="K680" t="s">
        <v>3705</v>
      </c>
      <c r="L680" t="s">
        <v>3340</v>
      </c>
      <c r="M680">
        <v>62</v>
      </c>
      <c r="N680">
        <v>2.95</v>
      </c>
      <c r="O680" t="s">
        <v>211</v>
      </c>
      <c r="P680">
        <v>162</v>
      </c>
      <c r="R680" t="s">
        <v>3375</v>
      </c>
      <c r="T680" t="s">
        <v>3337</v>
      </c>
      <c r="U680">
        <v>0</v>
      </c>
      <c r="V680" t="s">
        <v>3706</v>
      </c>
    </row>
    <row r="681" spans="1:22" ht="12.75" customHeight="1" x14ac:dyDescent="0.15">
      <c r="A681">
        <v>15</v>
      </c>
      <c r="B681">
        <v>2026</v>
      </c>
      <c r="C681" s="21">
        <v>46127</v>
      </c>
      <c r="D681" t="s">
        <v>89</v>
      </c>
      <c r="E681" t="s">
        <v>90</v>
      </c>
      <c r="F681" t="s">
        <v>21</v>
      </c>
      <c r="G681">
        <v>1</v>
      </c>
      <c r="H681" t="s">
        <v>3495</v>
      </c>
      <c r="I681" t="s">
        <v>29</v>
      </c>
      <c r="J681" s="1" t="s">
        <v>30</v>
      </c>
      <c r="K681" t="s">
        <v>3705</v>
      </c>
      <c r="L681" t="s">
        <v>3340</v>
      </c>
      <c r="M681">
        <v>58</v>
      </c>
      <c r="N681">
        <v>2.95</v>
      </c>
      <c r="O681" t="s">
        <v>211</v>
      </c>
      <c r="P681">
        <v>162</v>
      </c>
      <c r="R681" t="s">
        <v>3343</v>
      </c>
      <c r="T681" t="s">
        <v>3337</v>
      </c>
      <c r="U681">
        <v>0</v>
      </c>
      <c r="V681" t="s">
        <v>3706</v>
      </c>
    </row>
    <row r="682" spans="1:22" ht="12.75" customHeight="1" x14ac:dyDescent="0.15">
      <c r="A682">
        <v>15</v>
      </c>
      <c r="B682">
        <v>2026</v>
      </c>
      <c r="C682" s="21">
        <v>46127</v>
      </c>
      <c r="D682" t="s">
        <v>89</v>
      </c>
      <c r="E682" t="s">
        <v>90</v>
      </c>
      <c r="F682" t="s">
        <v>21</v>
      </c>
      <c r="G682">
        <v>1</v>
      </c>
      <c r="H682" t="s">
        <v>3495</v>
      </c>
      <c r="I682" t="s">
        <v>29</v>
      </c>
      <c r="J682" s="1" t="s">
        <v>30</v>
      </c>
      <c r="K682" t="s">
        <v>3705</v>
      </c>
      <c r="L682" t="s">
        <v>3340</v>
      </c>
      <c r="M682">
        <v>81</v>
      </c>
      <c r="N682">
        <v>2.95</v>
      </c>
      <c r="O682" t="s">
        <v>211</v>
      </c>
      <c r="P682">
        <v>162</v>
      </c>
      <c r="R682" t="s">
        <v>3374</v>
      </c>
      <c r="T682" t="s">
        <v>3337</v>
      </c>
      <c r="U682">
        <v>0</v>
      </c>
      <c r="V682" t="s">
        <v>3706</v>
      </c>
    </row>
    <row r="683" spans="1:22" ht="12.75" customHeight="1" x14ac:dyDescent="0.15">
      <c r="A683">
        <v>15</v>
      </c>
      <c r="B683">
        <v>2026</v>
      </c>
      <c r="C683" s="21">
        <v>46127</v>
      </c>
      <c r="D683" t="s">
        <v>89</v>
      </c>
      <c r="E683" t="s">
        <v>90</v>
      </c>
      <c r="F683" t="s">
        <v>21</v>
      </c>
      <c r="G683">
        <v>1</v>
      </c>
      <c r="H683" t="s">
        <v>3495</v>
      </c>
      <c r="I683" t="s">
        <v>29</v>
      </c>
      <c r="J683" s="1" t="s">
        <v>30</v>
      </c>
      <c r="K683" t="s">
        <v>3705</v>
      </c>
      <c r="L683" t="s">
        <v>3340</v>
      </c>
      <c r="M683">
        <v>53</v>
      </c>
      <c r="N683">
        <v>2.95</v>
      </c>
      <c r="O683" t="s">
        <v>211</v>
      </c>
      <c r="P683">
        <v>162</v>
      </c>
      <c r="R683" t="s">
        <v>3373</v>
      </c>
      <c r="T683" t="s">
        <v>3337</v>
      </c>
      <c r="U683">
        <v>0</v>
      </c>
      <c r="V683" t="s">
        <v>3706</v>
      </c>
    </row>
    <row r="684" spans="1:22" ht="12.75" customHeight="1" x14ac:dyDescent="0.15">
      <c r="A684">
        <v>15</v>
      </c>
      <c r="B684">
        <v>2026</v>
      </c>
      <c r="C684" s="21">
        <v>46127</v>
      </c>
      <c r="D684" t="s">
        <v>84</v>
      </c>
      <c r="E684" t="s">
        <v>85</v>
      </c>
      <c r="F684" t="s">
        <v>21</v>
      </c>
      <c r="G684">
        <v>2</v>
      </c>
      <c r="H684" t="s">
        <v>3672</v>
      </c>
      <c r="I684" t="s">
        <v>3673</v>
      </c>
      <c r="J684" s="1" t="s">
        <v>26</v>
      </c>
      <c r="K684" t="s">
        <v>181</v>
      </c>
      <c r="L684" t="s">
        <v>3333</v>
      </c>
      <c r="M684">
        <v>80</v>
      </c>
      <c r="N684">
        <v>0.5</v>
      </c>
      <c r="O684" t="s">
        <v>213</v>
      </c>
      <c r="P684">
        <v>45</v>
      </c>
      <c r="Q684">
        <v>4</v>
      </c>
      <c r="R684" t="s">
        <v>3560</v>
      </c>
      <c r="T684" t="s">
        <v>3402</v>
      </c>
      <c r="U684">
        <v>-5</v>
      </c>
      <c r="V684" t="s">
        <v>3523</v>
      </c>
    </row>
    <row r="685" spans="1:22" ht="12.75" customHeight="1" x14ac:dyDescent="0.15">
      <c r="A685">
        <v>15</v>
      </c>
      <c r="B685">
        <v>2026</v>
      </c>
      <c r="C685" s="21">
        <v>46127</v>
      </c>
      <c r="D685" t="s">
        <v>89</v>
      </c>
      <c r="E685" t="s">
        <v>90</v>
      </c>
      <c r="F685" t="s">
        <v>21</v>
      </c>
      <c r="G685">
        <v>1</v>
      </c>
      <c r="H685" t="s">
        <v>3495</v>
      </c>
      <c r="I685" t="s">
        <v>29</v>
      </c>
      <c r="J685" s="1" t="s">
        <v>30</v>
      </c>
      <c r="K685" t="s">
        <v>3705</v>
      </c>
      <c r="L685" t="s">
        <v>3333</v>
      </c>
      <c r="M685">
        <v>67</v>
      </c>
      <c r="N685">
        <v>1</v>
      </c>
      <c r="O685" t="s">
        <v>3334</v>
      </c>
      <c r="P685">
        <v>81.58</v>
      </c>
      <c r="Q685">
        <v>8</v>
      </c>
      <c r="R685" t="s">
        <v>3404</v>
      </c>
      <c r="T685" t="s">
        <v>3402</v>
      </c>
      <c r="U685">
        <v>0</v>
      </c>
      <c r="V685" t="s">
        <v>3334</v>
      </c>
    </row>
    <row r="686" spans="1:22" ht="12.75" customHeight="1" x14ac:dyDescent="0.15">
      <c r="A686">
        <v>15</v>
      </c>
      <c r="B686">
        <v>2026</v>
      </c>
      <c r="C686" s="21">
        <v>46127</v>
      </c>
      <c r="D686" t="s">
        <v>89</v>
      </c>
      <c r="E686" t="s">
        <v>90</v>
      </c>
      <c r="F686" t="s">
        <v>21</v>
      </c>
      <c r="G686">
        <v>1</v>
      </c>
      <c r="H686" t="s">
        <v>3495</v>
      </c>
      <c r="I686" t="s">
        <v>29</v>
      </c>
      <c r="J686" s="1" t="s">
        <v>30</v>
      </c>
      <c r="K686" t="s">
        <v>3705</v>
      </c>
      <c r="L686" t="s">
        <v>3333</v>
      </c>
      <c r="M686">
        <v>19</v>
      </c>
      <c r="N686">
        <v>1</v>
      </c>
      <c r="O686" t="s">
        <v>3334</v>
      </c>
      <c r="P686">
        <v>81.58</v>
      </c>
      <c r="Q686">
        <v>8</v>
      </c>
      <c r="R686" t="s">
        <v>3403</v>
      </c>
      <c r="T686" t="s">
        <v>3402</v>
      </c>
      <c r="U686">
        <v>0</v>
      </c>
      <c r="V686" t="s">
        <v>3334</v>
      </c>
    </row>
    <row r="687" spans="1:22" ht="12.75" customHeight="1" x14ac:dyDescent="0.15">
      <c r="A687">
        <v>15</v>
      </c>
      <c r="B687">
        <v>2026</v>
      </c>
      <c r="C687" s="21">
        <v>46127</v>
      </c>
      <c r="D687" t="s">
        <v>89</v>
      </c>
      <c r="E687" t="s">
        <v>90</v>
      </c>
      <c r="F687" t="s">
        <v>21</v>
      </c>
      <c r="G687">
        <v>1</v>
      </c>
      <c r="H687" t="s">
        <v>3495</v>
      </c>
      <c r="I687" t="s">
        <v>29</v>
      </c>
      <c r="J687" s="1" t="s">
        <v>30</v>
      </c>
      <c r="K687" t="s">
        <v>3705</v>
      </c>
      <c r="L687" t="s">
        <v>3333</v>
      </c>
      <c r="M687">
        <v>91</v>
      </c>
      <c r="N687">
        <v>1</v>
      </c>
      <c r="O687" t="s">
        <v>3334</v>
      </c>
      <c r="P687">
        <v>81.58</v>
      </c>
      <c r="Q687">
        <v>8</v>
      </c>
      <c r="R687" t="s">
        <v>3412</v>
      </c>
      <c r="T687" t="s">
        <v>3402</v>
      </c>
      <c r="U687">
        <v>0</v>
      </c>
      <c r="V687" t="s">
        <v>3334</v>
      </c>
    </row>
    <row r="688" spans="1:22" ht="12.75" customHeight="1" x14ac:dyDescent="0.15">
      <c r="A688">
        <v>15</v>
      </c>
      <c r="B688">
        <v>2026</v>
      </c>
      <c r="C688" s="21">
        <v>46127</v>
      </c>
      <c r="D688" t="s">
        <v>89</v>
      </c>
      <c r="E688" t="s">
        <v>90</v>
      </c>
      <c r="F688" t="s">
        <v>21</v>
      </c>
      <c r="G688">
        <v>1</v>
      </c>
      <c r="H688" t="s">
        <v>3495</v>
      </c>
      <c r="I688" t="s">
        <v>29</v>
      </c>
      <c r="J688" s="1" t="s">
        <v>30</v>
      </c>
      <c r="K688" t="s">
        <v>3705</v>
      </c>
      <c r="L688" t="s">
        <v>3340</v>
      </c>
      <c r="M688">
        <v>78</v>
      </c>
      <c r="N688">
        <v>1.82</v>
      </c>
      <c r="O688" t="s">
        <v>211</v>
      </c>
      <c r="P688">
        <v>100</v>
      </c>
      <c r="Q688">
        <v>8</v>
      </c>
      <c r="R688" t="s">
        <v>3341</v>
      </c>
      <c r="T688" t="s">
        <v>3402</v>
      </c>
      <c r="U688">
        <v>0</v>
      </c>
      <c r="V688" t="s">
        <v>3707</v>
      </c>
    </row>
    <row r="689" spans="1:22" ht="12.75" customHeight="1" x14ac:dyDescent="0.15">
      <c r="A689">
        <v>15</v>
      </c>
      <c r="B689">
        <v>2026</v>
      </c>
      <c r="C689" s="21">
        <v>46127</v>
      </c>
      <c r="D689" t="s">
        <v>89</v>
      </c>
      <c r="E689" t="s">
        <v>90</v>
      </c>
      <c r="F689" t="s">
        <v>21</v>
      </c>
      <c r="G689">
        <v>1</v>
      </c>
      <c r="H689" t="s">
        <v>3495</v>
      </c>
      <c r="I689" t="s">
        <v>29</v>
      </c>
      <c r="J689" s="1" t="s">
        <v>30</v>
      </c>
      <c r="K689" t="s">
        <v>3705</v>
      </c>
      <c r="L689" t="s">
        <v>3340</v>
      </c>
      <c r="M689">
        <v>67</v>
      </c>
      <c r="N689">
        <v>0.33</v>
      </c>
      <c r="O689" t="s">
        <v>211</v>
      </c>
      <c r="P689">
        <v>18</v>
      </c>
      <c r="R689" t="s">
        <v>3404</v>
      </c>
      <c r="T689" t="s">
        <v>3402</v>
      </c>
      <c r="U689">
        <v>0</v>
      </c>
      <c r="V689" t="s">
        <v>260</v>
      </c>
    </row>
    <row r="690" spans="1:22" ht="12.75" customHeight="1" x14ac:dyDescent="0.15">
      <c r="A690">
        <v>15</v>
      </c>
      <c r="B690">
        <v>2026</v>
      </c>
      <c r="C690" s="21">
        <v>46127</v>
      </c>
      <c r="D690" t="s">
        <v>89</v>
      </c>
      <c r="E690" t="s">
        <v>90</v>
      </c>
      <c r="F690" t="s">
        <v>21</v>
      </c>
      <c r="G690">
        <v>1</v>
      </c>
      <c r="H690" t="s">
        <v>3495</v>
      </c>
      <c r="I690" t="s">
        <v>29</v>
      </c>
      <c r="J690" s="1" t="s">
        <v>30</v>
      </c>
      <c r="K690" t="s">
        <v>3705</v>
      </c>
      <c r="L690" t="s">
        <v>3340</v>
      </c>
      <c r="M690">
        <v>19</v>
      </c>
      <c r="N690">
        <v>0.33</v>
      </c>
      <c r="O690" t="s">
        <v>211</v>
      </c>
      <c r="P690">
        <v>18</v>
      </c>
      <c r="R690" t="s">
        <v>3403</v>
      </c>
      <c r="T690" t="s">
        <v>3402</v>
      </c>
      <c r="U690">
        <v>0</v>
      </c>
      <c r="V690" t="s">
        <v>260</v>
      </c>
    </row>
    <row r="691" spans="1:22" ht="12.75" customHeight="1" x14ac:dyDescent="0.15">
      <c r="A691">
        <v>15</v>
      </c>
      <c r="B691">
        <v>2026</v>
      </c>
      <c r="C691" s="21">
        <v>46127</v>
      </c>
      <c r="D691" t="s">
        <v>89</v>
      </c>
      <c r="E691" t="s">
        <v>90</v>
      </c>
      <c r="F691" t="s">
        <v>21</v>
      </c>
      <c r="G691">
        <v>1</v>
      </c>
      <c r="H691" t="s">
        <v>3495</v>
      </c>
      <c r="I691" t="s">
        <v>29</v>
      </c>
      <c r="J691" s="1" t="s">
        <v>30</v>
      </c>
      <c r="K691" t="s">
        <v>3705</v>
      </c>
      <c r="L691" t="s">
        <v>3340</v>
      </c>
      <c r="M691">
        <v>91</v>
      </c>
      <c r="N691">
        <v>0.33</v>
      </c>
      <c r="O691" t="s">
        <v>211</v>
      </c>
      <c r="P691">
        <v>18</v>
      </c>
      <c r="R691" t="s">
        <v>3412</v>
      </c>
      <c r="T691" t="s">
        <v>3402</v>
      </c>
      <c r="U691">
        <v>0</v>
      </c>
      <c r="V691" t="s">
        <v>260</v>
      </c>
    </row>
    <row r="692" spans="1:22" ht="12.75" customHeight="1" x14ac:dyDescent="0.15">
      <c r="A692">
        <v>15</v>
      </c>
      <c r="B692">
        <v>2026</v>
      </c>
      <c r="C692" s="21">
        <v>46127</v>
      </c>
      <c r="D692" t="s">
        <v>91</v>
      </c>
      <c r="E692" t="s">
        <v>92</v>
      </c>
      <c r="F692" t="s">
        <v>21</v>
      </c>
      <c r="G692">
        <v>1.3</v>
      </c>
      <c r="H692" t="s">
        <v>3563</v>
      </c>
      <c r="I692" t="s">
        <v>3553</v>
      </c>
      <c r="J692" s="1" t="s">
        <v>3533</v>
      </c>
      <c r="K692" t="s">
        <v>181</v>
      </c>
      <c r="L692" t="s">
        <v>3477</v>
      </c>
      <c r="M692">
        <v>3</v>
      </c>
      <c r="N692">
        <v>0.04</v>
      </c>
      <c r="O692" t="s">
        <v>3334</v>
      </c>
      <c r="P692">
        <v>3.06</v>
      </c>
      <c r="Q692">
        <v>0.3</v>
      </c>
      <c r="R692" t="s">
        <v>3478</v>
      </c>
      <c r="T692" t="s">
        <v>3479</v>
      </c>
      <c r="U692">
        <v>-3</v>
      </c>
      <c r="V692" t="s">
        <v>3708</v>
      </c>
    </row>
    <row r="693" spans="1:22" ht="12.75" customHeight="1" x14ac:dyDescent="0.15">
      <c r="A693">
        <v>15</v>
      </c>
      <c r="B693">
        <v>2026</v>
      </c>
      <c r="C693" s="21">
        <v>46127</v>
      </c>
      <c r="D693" t="s">
        <v>91</v>
      </c>
      <c r="E693" t="s">
        <v>92</v>
      </c>
      <c r="F693" t="s">
        <v>21</v>
      </c>
      <c r="G693">
        <v>1.3</v>
      </c>
      <c r="H693" t="s">
        <v>3563</v>
      </c>
      <c r="I693" t="s">
        <v>3553</v>
      </c>
      <c r="J693" s="1" t="s">
        <v>3533</v>
      </c>
      <c r="K693" t="s">
        <v>181</v>
      </c>
      <c r="L693" t="s">
        <v>3481</v>
      </c>
      <c r="M693">
        <v>40</v>
      </c>
      <c r="N693">
        <v>0.04</v>
      </c>
      <c r="O693" t="s">
        <v>211</v>
      </c>
      <c r="P693">
        <v>2.25</v>
      </c>
      <c r="Q693">
        <v>0.25</v>
      </c>
      <c r="R693" t="s">
        <v>3482</v>
      </c>
      <c r="T693" t="s">
        <v>3479</v>
      </c>
      <c r="U693">
        <v>-3</v>
      </c>
      <c r="V693" t="s">
        <v>3709</v>
      </c>
    </row>
    <row r="694" spans="1:22" ht="12.75" customHeight="1" x14ac:dyDescent="0.15">
      <c r="A694">
        <v>15</v>
      </c>
      <c r="B694">
        <v>2026</v>
      </c>
      <c r="C694" s="21">
        <v>46127</v>
      </c>
      <c r="D694" t="s">
        <v>89</v>
      </c>
      <c r="E694" t="s">
        <v>90</v>
      </c>
      <c r="F694" t="s">
        <v>21</v>
      </c>
      <c r="G694">
        <v>1</v>
      </c>
      <c r="H694" t="s">
        <v>3552</v>
      </c>
      <c r="I694" t="s">
        <v>3553</v>
      </c>
      <c r="J694" s="1" t="s">
        <v>3533</v>
      </c>
      <c r="K694" t="s">
        <v>181</v>
      </c>
      <c r="L694" t="s">
        <v>3477</v>
      </c>
      <c r="M694">
        <v>3</v>
      </c>
      <c r="N694">
        <v>0.02</v>
      </c>
      <c r="O694" t="s">
        <v>3334</v>
      </c>
      <c r="P694">
        <v>1.84</v>
      </c>
      <c r="Q694">
        <v>0.18</v>
      </c>
      <c r="R694" t="s">
        <v>3478</v>
      </c>
      <c r="T694" t="s">
        <v>3479</v>
      </c>
      <c r="U694">
        <v>0</v>
      </c>
      <c r="V694" t="s">
        <v>3480</v>
      </c>
    </row>
    <row r="695" spans="1:22" ht="12.75" customHeight="1" x14ac:dyDescent="0.15">
      <c r="A695">
        <v>15</v>
      </c>
      <c r="B695">
        <v>2026</v>
      </c>
      <c r="C695" s="21">
        <v>46127</v>
      </c>
      <c r="D695" t="s">
        <v>89</v>
      </c>
      <c r="E695" t="s">
        <v>90</v>
      </c>
      <c r="F695" t="s">
        <v>21</v>
      </c>
      <c r="G695">
        <v>1</v>
      </c>
      <c r="H695" t="s">
        <v>3552</v>
      </c>
      <c r="I695" t="s">
        <v>3553</v>
      </c>
      <c r="J695" s="1" t="s">
        <v>3533</v>
      </c>
      <c r="K695" t="s">
        <v>181</v>
      </c>
      <c r="L695" t="s">
        <v>3481</v>
      </c>
      <c r="M695">
        <v>40</v>
      </c>
      <c r="N695">
        <v>0.03</v>
      </c>
      <c r="O695" t="s">
        <v>211</v>
      </c>
      <c r="P695">
        <v>1.44</v>
      </c>
      <c r="Q695">
        <v>0.16</v>
      </c>
      <c r="R695" t="s">
        <v>3482</v>
      </c>
      <c r="T695" t="s">
        <v>3479</v>
      </c>
      <c r="U695">
        <v>0</v>
      </c>
      <c r="V695" t="s">
        <v>3541</v>
      </c>
    </row>
    <row r="696" spans="1:22" ht="12.75" customHeight="1" x14ac:dyDescent="0.15">
      <c r="A696">
        <v>15</v>
      </c>
      <c r="B696">
        <v>2026</v>
      </c>
      <c r="C696" s="21">
        <v>46127</v>
      </c>
      <c r="D696" t="s">
        <v>89</v>
      </c>
      <c r="E696" t="s">
        <v>90</v>
      </c>
      <c r="F696" t="s">
        <v>21</v>
      </c>
      <c r="G696">
        <v>1</v>
      </c>
      <c r="H696" t="s">
        <v>3531</v>
      </c>
      <c r="I696" t="s">
        <v>3532</v>
      </c>
      <c r="J696" s="1" t="s">
        <v>3533</v>
      </c>
      <c r="K696" t="s">
        <v>181</v>
      </c>
      <c r="L696" t="s">
        <v>3477</v>
      </c>
      <c r="M696">
        <v>3</v>
      </c>
      <c r="N696">
        <v>0.02</v>
      </c>
      <c r="O696" t="s">
        <v>3334</v>
      </c>
      <c r="P696">
        <v>1.84</v>
      </c>
      <c r="Q696">
        <v>0.18</v>
      </c>
      <c r="R696" t="s">
        <v>3478</v>
      </c>
      <c r="T696" t="s">
        <v>3479</v>
      </c>
      <c r="U696">
        <v>0</v>
      </c>
      <c r="V696" t="s">
        <v>3480</v>
      </c>
    </row>
    <row r="697" spans="1:22" ht="12.75" customHeight="1" x14ac:dyDescent="0.15">
      <c r="A697">
        <v>15</v>
      </c>
      <c r="B697">
        <v>2026</v>
      </c>
      <c r="C697" s="21">
        <v>46127</v>
      </c>
      <c r="D697" t="s">
        <v>89</v>
      </c>
      <c r="E697" t="s">
        <v>90</v>
      </c>
      <c r="F697" t="s">
        <v>21</v>
      </c>
      <c r="G697">
        <v>1</v>
      </c>
      <c r="H697" t="s">
        <v>3531</v>
      </c>
      <c r="I697" t="s">
        <v>3532</v>
      </c>
      <c r="J697" s="1" t="s">
        <v>3533</v>
      </c>
      <c r="K697" t="s">
        <v>181</v>
      </c>
      <c r="L697" t="s">
        <v>3481</v>
      </c>
      <c r="M697">
        <v>40</v>
      </c>
      <c r="N697">
        <v>0.03</v>
      </c>
      <c r="O697" t="s">
        <v>211</v>
      </c>
      <c r="P697">
        <v>1.44</v>
      </c>
      <c r="Q697">
        <v>0.16</v>
      </c>
      <c r="R697" t="s">
        <v>3482</v>
      </c>
      <c r="T697" t="s">
        <v>3479</v>
      </c>
      <c r="U697">
        <v>0</v>
      </c>
      <c r="V697" t="s">
        <v>3541</v>
      </c>
    </row>
    <row r="698" spans="1:22" ht="12.75" customHeight="1" x14ac:dyDescent="0.15">
      <c r="A698">
        <v>15</v>
      </c>
      <c r="B698">
        <v>2026</v>
      </c>
      <c r="C698" s="21">
        <v>46127</v>
      </c>
      <c r="D698" t="s">
        <v>89</v>
      </c>
      <c r="E698" t="s">
        <v>90</v>
      </c>
      <c r="F698" t="s">
        <v>21</v>
      </c>
      <c r="G698">
        <v>1</v>
      </c>
      <c r="H698" t="s">
        <v>3605</v>
      </c>
      <c r="I698" t="s">
        <v>335</v>
      </c>
      <c r="J698" s="1" t="s">
        <v>3533</v>
      </c>
      <c r="K698" t="s">
        <v>181</v>
      </c>
      <c r="L698" t="s">
        <v>3477</v>
      </c>
      <c r="M698">
        <v>3</v>
      </c>
      <c r="N698">
        <v>7.0000000000000007E-2</v>
      </c>
      <c r="O698" t="s">
        <v>3334</v>
      </c>
      <c r="P698">
        <v>5.61</v>
      </c>
      <c r="Q698">
        <v>0.55000000000000004</v>
      </c>
      <c r="R698" t="s">
        <v>3478</v>
      </c>
      <c r="T698" t="s">
        <v>3479</v>
      </c>
      <c r="U698">
        <v>0</v>
      </c>
      <c r="V698" t="s">
        <v>3602</v>
      </c>
    </row>
    <row r="699" spans="1:22" ht="12.75" customHeight="1" x14ac:dyDescent="0.15">
      <c r="A699">
        <v>15</v>
      </c>
      <c r="B699">
        <v>2026</v>
      </c>
      <c r="C699" s="21">
        <v>46127</v>
      </c>
      <c r="D699" t="s">
        <v>89</v>
      </c>
      <c r="E699" t="s">
        <v>90</v>
      </c>
      <c r="F699" t="s">
        <v>21</v>
      </c>
      <c r="G699">
        <v>1</v>
      </c>
      <c r="H699" t="s">
        <v>3605</v>
      </c>
      <c r="I699" t="s">
        <v>335</v>
      </c>
      <c r="J699" s="1" t="s">
        <v>3533</v>
      </c>
      <c r="K699" t="s">
        <v>181</v>
      </c>
      <c r="L699" t="s">
        <v>3481</v>
      </c>
      <c r="M699">
        <v>40</v>
      </c>
      <c r="N699">
        <v>0.08</v>
      </c>
      <c r="O699" t="s">
        <v>211</v>
      </c>
      <c r="P699">
        <v>4.41</v>
      </c>
      <c r="Q699">
        <v>0.49</v>
      </c>
      <c r="R699" t="s">
        <v>3482</v>
      </c>
      <c r="T699" t="s">
        <v>3479</v>
      </c>
      <c r="U699">
        <v>0</v>
      </c>
      <c r="V699" t="s">
        <v>3603</v>
      </c>
    </row>
    <row r="700" spans="1:22" ht="12.75" customHeight="1" x14ac:dyDescent="0.15">
      <c r="A700">
        <v>15</v>
      </c>
      <c r="B700">
        <v>2026</v>
      </c>
      <c r="C700" s="21">
        <v>46127</v>
      </c>
      <c r="D700" t="s">
        <v>89</v>
      </c>
      <c r="E700" t="s">
        <v>90</v>
      </c>
      <c r="F700" t="s">
        <v>21</v>
      </c>
      <c r="G700">
        <v>1</v>
      </c>
      <c r="H700" t="s">
        <v>3539</v>
      </c>
      <c r="I700" t="s">
        <v>3540</v>
      </c>
      <c r="J700" s="1" t="s">
        <v>3533</v>
      </c>
      <c r="K700" t="s">
        <v>181</v>
      </c>
      <c r="L700" t="s">
        <v>3477</v>
      </c>
      <c r="M700">
        <v>3</v>
      </c>
      <c r="N700">
        <v>0.02</v>
      </c>
      <c r="O700" t="s">
        <v>3334</v>
      </c>
      <c r="P700">
        <v>1.84</v>
      </c>
      <c r="Q700">
        <v>0.18</v>
      </c>
      <c r="R700" t="s">
        <v>3478</v>
      </c>
      <c r="T700" t="s">
        <v>3479</v>
      </c>
      <c r="U700">
        <v>0</v>
      </c>
      <c r="V700" t="s">
        <v>3480</v>
      </c>
    </row>
    <row r="701" spans="1:22" ht="12.75" customHeight="1" x14ac:dyDescent="0.15">
      <c r="A701">
        <v>15</v>
      </c>
      <c r="B701">
        <v>2026</v>
      </c>
      <c r="C701" s="21">
        <v>46127</v>
      </c>
      <c r="D701" t="s">
        <v>89</v>
      </c>
      <c r="E701" t="s">
        <v>90</v>
      </c>
      <c r="F701" t="s">
        <v>21</v>
      </c>
      <c r="G701">
        <v>1</v>
      </c>
      <c r="H701" t="s">
        <v>3539</v>
      </c>
      <c r="I701" t="s">
        <v>3540</v>
      </c>
      <c r="J701" s="1" t="s">
        <v>3533</v>
      </c>
      <c r="K701" t="s">
        <v>181</v>
      </c>
      <c r="L701" t="s">
        <v>3481</v>
      </c>
      <c r="M701">
        <v>40</v>
      </c>
      <c r="N701">
        <v>0.03</v>
      </c>
      <c r="O701" t="s">
        <v>211</v>
      </c>
      <c r="P701">
        <v>1.44</v>
      </c>
      <c r="Q701">
        <v>0.16</v>
      </c>
      <c r="R701" t="s">
        <v>3482</v>
      </c>
      <c r="T701" t="s">
        <v>3479</v>
      </c>
      <c r="U701">
        <v>0</v>
      </c>
      <c r="V701" t="s">
        <v>3541</v>
      </c>
    </row>
    <row r="702" spans="1:22" ht="12.75" customHeight="1" x14ac:dyDescent="0.15">
      <c r="A702">
        <v>15</v>
      </c>
      <c r="B702">
        <v>2026</v>
      </c>
      <c r="C702" s="21">
        <v>46128</v>
      </c>
      <c r="D702" t="s">
        <v>68</v>
      </c>
      <c r="E702" t="s">
        <v>69</v>
      </c>
      <c r="F702" t="s">
        <v>21</v>
      </c>
      <c r="G702">
        <v>1</v>
      </c>
      <c r="H702" t="s">
        <v>3519</v>
      </c>
      <c r="I702" t="s">
        <v>214</v>
      </c>
      <c r="J702" s="1" t="s">
        <v>215</v>
      </c>
      <c r="K702" t="s">
        <v>181</v>
      </c>
      <c r="L702" t="s">
        <v>3340</v>
      </c>
      <c r="M702">
        <v>45</v>
      </c>
      <c r="N702">
        <v>0.18</v>
      </c>
      <c r="O702" t="s">
        <v>211</v>
      </c>
      <c r="P702">
        <v>10</v>
      </c>
      <c r="R702" t="s">
        <v>3377</v>
      </c>
      <c r="S702" t="s">
        <v>3710</v>
      </c>
      <c r="T702" t="s">
        <v>3337</v>
      </c>
      <c r="U702">
        <v>14</v>
      </c>
      <c r="V702" t="s">
        <v>3711</v>
      </c>
    </row>
    <row r="703" spans="1:22" ht="12.75" customHeight="1" x14ac:dyDescent="0.15">
      <c r="A703">
        <v>15</v>
      </c>
      <c r="B703">
        <v>2026</v>
      </c>
      <c r="C703" s="21">
        <v>46128</v>
      </c>
      <c r="D703" t="s">
        <v>68</v>
      </c>
      <c r="E703" t="s">
        <v>69</v>
      </c>
      <c r="F703" t="s">
        <v>21</v>
      </c>
      <c r="G703">
        <v>1</v>
      </c>
      <c r="H703" t="s">
        <v>3519</v>
      </c>
      <c r="I703" t="s">
        <v>214</v>
      </c>
      <c r="J703" s="1" t="s">
        <v>215</v>
      </c>
      <c r="K703" t="s">
        <v>181</v>
      </c>
      <c r="L703" t="s">
        <v>3340</v>
      </c>
      <c r="M703">
        <v>132</v>
      </c>
      <c r="N703">
        <v>0.18</v>
      </c>
      <c r="O703" t="s">
        <v>211</v>
      </c>
      <c r="P703">
        <v>10</v>
      </c>
      <c r="R703" t="s">
        <v>3368</v>
      </c>
      <c r="T703" t="s">
        <v>3337</v>
      </c>
      <c r="U703">
        <v>14</v>
      </c>
      <c r="V703" t="s">
        <v>3711</v>
      </c>
    </row>
    <row r="704" spans="1:22" ht="12.75" customHeight="1" x14ac:dyDescent="0.15">
      <c r="A704">
        <v>15</v>
      </c>
      <c r="B704">
        <v>2026</v>
      </c>
      <c r="C704" s="21">
        <v>46128</v>
      </c>
      <c r="D704" t="s">
        <v>68</v>
      </c>
      <c r="E704" t="s">
        <v>69</v>
      </c>
      <c r="F704" t="s">
        <v>21</v>
      </c>
      <c r="G704">
        <v>1</v>
      </c>
      <c r="H704" t="s">
        <v>3519</v>
      </c>
      <c r="I704" t="s">
        <v>214</v>
      </c>
      <c r="J704" s="1" t="s">
        <v>215</v>
      </c>
      <c r="K704" t="s">
        <v>181</v>
      </c>
      <c r="L704" t="s">
        <v>3340</v>
      </c>
      <c r="M704">
        <v>62</v>
      </c>
      <c r="N704">
        <v>0.18</v>
      </c>
      <c r="O704" t="s">
        <v>211</v>
      </c>
      <c r="P704">
        <v>10</v>
      </c>
      <c r="R704" t="s">
        <v>3375</v>
      </c>
      <c r="T704" t="s">
        <v>3337</v>
      </c>
      <c r="U704">
        <v>14</v>
      </c>
      <c r="V704" t="s">
        <v>3711</v>
      </c>
    </row>
    <row r="705" spans="1:22" ht="12.75" customHeight="1" x14ac:dyDescent="0.15">
      <c r="A705">
        <v>15</v>
      </c>
      <c r="B705">
        <v>2026</v>
      </c>
      <c r="C705" s="21">
        <v>46128</v>
      </c>
      <c r="D705" t="s">
        <v>68</v>
      </c>
      <c r="E705" t="s">
        <v>69</v>
      </c>
      <c r="F705" t="s">
        <v>21</v>
      </c>
      <c r="G705">
        <v>1</v>
      </c>
      <c r="H705" t="s">
        <v>3519</v>
      </c>
      <c r="I705" t="s">
        <v>214</v>
      </c>
      <c r="J705" s="1" t="s">
        <v>215</v>
      </c>
      <c r="K705" t="s">
        <v>181</v>
      </c>
      <c r="L705" t="s">
        <v>3340</v>
      </c>
      <c r="M705">
        <v>81</v>
      </c>
      <c r="N705">
        <v>0.18</v>
      </c>
      <c r="O705" t="s">
        <v>211</v>
      </c>
      <c r="P705">
        <v>10</v>
      </c>
      <c r="R705" t="s">
        <v>3374</v>
      </c>
      <c r="T705" t="s">
        <v>3337</v>
      </c>
      <c r="U705">
        <v>14</v>
      </c>
      <c r="V705" t="s">
        <v>3711</v>
      </c>
    </row>
    <row r="706" spans="1:22" ht="12.75" customHeight="1" x14ac:dyDescent="0.15">
      <c r="A706">
        <v>15</v>
      </c>
      <c r="B706">
        <v>2026</v>
      </c>
      <c r="C706" s="21">
        <v>46128</v>
      </c>
      <c r="D706" t="s">
        <v>68</v>
      </c>
      <c r="E706" t="s">
        <v>69</v>
      </c>
      <c r="F706" t="s">
        <v>21</v>
      </c>
      <c r="G706">
        <v>1</v>
      </c>
      <c r="H706" t="s">
        <v>3519</v>
      </c>
      <c r="I706" t="s">
        <v>214</v>
      </c>
      <c r="J706" s="1" t="s">
        <v>215</v>
      </c>
      <c r="K706" t="s">
        <v>181</v>
      </c>
      <c r="L706" t="s">
        <v>3340</v>
      </c>
      <c r="M706">
        <v>53</v>
      </c>
      <c r="N706">
        <v>0.18</v>
      </c>
      <c r="O706" t="s">
        <v>211</v>
      </c>
      <c r="P706">
        <v>10</v>
      </c>
      <c r="R706" t="s">
        <v>3373</v>
      </c>
      <c r="T706" t="s">
        <v>3337</v>
      </c>
      <c r="U706">
        <v>14</v>
      </c>
      <c r="V706" t="s">
        <v>3711</v>
      </c>
    </row>
    <row r="707" spans="1:22" ht="12.75" customHeight="1" x14ac:dyDescent="0.15">
      <c r="A707">
        <v>15</v>
      </c>
      <c r="B707">
        <v>2026</v>
      </c>
      <c r="C707" s="21">
        <v>46128</v>
      </c>
      <c r="D707" t="s">
        <v>68</v>
      </c>
      <c r="E707" t="s">
        <v>69</v>
      </c>
      <c r="F707" t="s">
        <v>21</v>
      </c>
      <c r="G707">
        <v>1</v>
      </c>
      <c r="H707" t="s">
        <v>3519</v>
      </c>
      <c r="I707" t="s">
        <v>214</v>
      </c>
      <c r="J707" s="1" t="s">
        <v>215</v>
      </c>
      <c r="K707" t="s">
        <v>181</v>
      </c>
      <c r="L707" t="s">
        <v>3340</v>
      </c>
      <c r="M707">
        <v>58</v>
      </c>
      <c r="N707">
        <v>0.18</v>
      </c>
      <c r="O707" t="s">
        <v>211</v>
      </c>
      <c r="P707">
        <v>10</v>
      </c>
      <c r="R707" t="s">
        <v>3343</v>
      </c>
      <c r="T707" t="s">
        <v>3337</v>
      </c>
      <c r="U707">
        <v>14</v>
      </c>
      <c r="V707" t="s">
        <v>3711</v>
      </c>
    </row>
    <row r="708" spans="1:22" ht="12.75" customHeight="1" x14ac:dyDescent="0.15">
      <c r="A708">
        <v>15</v>
      </c>
      <c r="B708">
        <v>2026</v>
      </c>
      <c r="C708" s="21">
        <v>46128</v>
      </c>
      <c r="D708" t="s">
        <v>80</v>
      </c>
      <c r="E708" t="s">
        <v>81</v>
      </c>
      <c r="F708" t="s">
        <v>21</v>
      </c>
      <c r="G708">
        <v>2.2999999999999998</v>
      </c>
      <c r="H708" t="s">
        <v>3519</v>
      </c>
      <c r="I708" t="s">
        <v>214</v>
      </c>
      <c r="J708" s="1" t="s">
        <v>215</v>
      </c>
      <c r="K708" t="s">
        <v>181</v>
      </c>
      <c r="L708" t="s">
        <v>3340</v>
      </c>
      <c r="M708">
        <v>45</v>
      </c>
      <c r="N708">
        <v>0.24</v>
      </c>
      <c r="O708" t="s">
        <v>211</v>
      </c>
      <c r="P708">
        <v>13.3</v>
      </c>
      <c r="R708" t="s">
        <v>3377</v>
      </c>
      <c r="S708" t="s">
        <v>3520</v>
      </c>
      <c r="T708" t="s">
        <v>3337</v>
      </c>
      <c r="U708">
        <v>14</v>
      </c>
      <c r="V708" t="s">
        <v>3663</v>
      </c>
    </row>
    <row r="709" spans="1:22" ht="12.75" customHeight="1" x14ac:dyDescent="0.15">
      <c r="A709">
        <v>15</v>
      </c>
      <c r="B709">
        <v>2026</v>
      </c>
      <c r="C709" s="21">
        <v>46128</v>
      </c>
      <c r="D709" t="s">
        <v>80</v>
      </c>
      <c r="E709" t="s">
        <v>81</v>
      </c>
      <c r="F709" t="s">
        <v>21</v>
      </c>
      <c r="G709">
        <v>2.2999999999999998</v>
      </c>
      <c r="H709" t="s">
        <v>3519</v>
      </c>
      <c r="I709" t="s">
        <v>214</v>
      </c>
      <c r="J709" s="1" t="s">
        <v>215</v>
      </c>
      <c r="K709" t="s">
        <v>181</v>
      </c>
      <c r="L709" t="s">
        <v>3340</v>
      </c>
      <c r="M709">
        <v>132</v>
      </c>
      <c r="N709">
        <v>0.24</v>
      </c>
      <c r="O709" t="s">
        <v>211</v>
      </c>
      <c r="P709">
        <v>13.3</v>
      </c>
      <c r="R709" t="s">
        <v>3368</v>
      </c>
      <c r="T709" t="s">
        <v>3337</v>
      </c>
      <c r="U709">
        <v>14</v>
      </c>
      <c r="V709" t="s">
        <v>3663</v>
      </c>
    </row>
    <row r="710" spans="1:22" ht="12.75" customHeight="1" x14ac:dyDescent="0.15">
      <c r="A710">
        <v>15</v>
      </c>
      <c r="B710">
        <v>2026</v>
      </c>
      <c r="C710" s="21">
        <v>46128</v>
      </c>
      <c r="D710" t="s">
        <v>80</v>
      </c>
      <c r="E710" t="s">
        <v>81</v>
      </c>
      <c r="F710" t="s">
        <v>21</v>
      </c>
      <c r="G710">
        <v>2.2999999999999998</v>
      </c>
      <c r="H710" t="s">
        <v>3519</v>
      </c>
      <c r="I710" t="s">
        <v>214</v>
      </c>
      <c r="J710" s="1" t="s">
        <v>215</v>
      </c>
      <c r="K710" t="s">
        <v>181</v>
      </c>
      <c r="L710" t="s">
        <v>3340</v>
      </c>
      <c r="M710">
        <v>62</v>
      </c>
      <c r="N710">
        <v>0.24</v>
      </c>
      <c r="O710" t="s">
        <v>211</v>
      </c>
      <c r="P710">
        <v>13.3</v>
      </c>
      <c r="R710" t="s">
        <v>3375</v>
      </c>
      <c r="T710" t="s">
        <v>3337</v>
      </c>
      <c r="U710">
        <v>14</v>
      </c>
      <c r="V710" t="s">
        <v>3663</v>
      </c>
    </row>
    <row r="711" spans="1:22" ht="12.75" customHeight="1" x14ac:dyDescent="0.15">
      <c r="A711">
        <v>15</v>
      </c>
      <c r="B711">
        <v>2026</v>
      </c>
      <c r="C711" s="21">
        <v>46128</v>
      </c>
      <c r="D711" t="s">
        <v>80</v>
      </c>
      <c r="E711" t="s">
        <v>81</v>
      </c>
      <c r="F711" t="s">
        <v>21</v>
      </c>
      <c r="G711">
        <v>2.2999999999999998</v>
      </c>
      <c r="H711" t="s">
        <v>3519</v>
      </c>
      <c r="I711" t="s">
        <v>214</v>
      </c>
      <c r="J711" s="1" t="s">
        <v>215</v>
      </c>
      <c r="K711" t="s">
        <v>181</v>
      </c>
      <c r="L711" t="s">
        <v>3340</v>
      </c>
      <c r="M711">
        <v>81</v>
      </c>
      <c r="N711">
        <v>0.24</v>
      </c>
      <c r="O711" t="s">
        <v>211</v>
      </c>
      <c r="P711">
        <v>13.3</v>
      </c>
      <c r="R711" t="s">
        <v>3374</v>
      </c>
      <c r="T711" t="s">
        <v>3337</v>
      </c>
      <c r="U711">
        <v>14</v>
      </c>
      <c r="V711" t="s">
        <v>3663</v>
      </c>
    </row>
    <row r="712" spans="1:22" ht="12.75" customHeight="1" x14ac:dyDescent="0.15">
      <c r="A712">
        <v>15</v>
      </c>
      <c r="B712">
        <v>2026</v>
      </c>
      <c r="C712" s="21">
        <v>46128</v>
      </c>
      <c r="D712" t="s">
        <v>80</v>
      </c>
      <c r="E712" t="s">
        <v>81</v>
      </c>
      <c r="F712" t="s">
        <v>21</v>
      </c>
      <c r="G712">
        <v>2.2999999999999998</v>
      </c>
      <c r="H712" t="s">
        <v>3519</v>
      </c>
      <c r="I712" t="s">
        <v>214</v>
      </c>
      <c r="J712" s="1" t="s">
        <v>215</v>
      </c>
      <c r="K712" t="s">
        <v>181</v>
      </c>
      <c r="L712" t="s">
        <v>3340</v>
      </c>
      <c r="M712">
        <v>53</v>
      </c>
      <c r="N712">
        <v>0.24</v>
      </c>
      <c r="O712" t="s">
        <v>211</v>
      </c>
      <c r="P712">
        <v>13.3</v>
      </c>
      <c r="R712" t="s">
        <v>3373</v>
      </c>
      <c r="T712" t="s">
        <v>3337</v>
      </c>
      <c r="U712">
        <v>14</v>
      </c>
      <c r="V712" t="s">
        <v>3663</v>
      </c>
    </row>
    <row r="713" spans="1:22" ht="12.75" customHeight="1" x14ac:dyDescent="0.15">
      <c r="A713">
        <v>15</v>
      </c>
      <c r="B713">
        <v>2026</v>
      </c>
      <c r="C713" s="21">
        <v>46128</v>
      </c>
      <c r="D713" t="s">
        <v>80</v>
      </c>
      <c r="E713" t="s">
        <v>81</v>
      </c>
      <c r="F713" t="s">
        <v>21</v>
      </c>
      <c r="G713">
        <v>2.2999999999999998</v>
      </c>
      <c r="H713" t="s">
        <v>3519</v>
      </c>
      <c r="I713" t="s">
        <v>214</v>
      </c>
      <c r="J713" s="1" t="s">
        <v>215</v>
      </c>
      <c r="K713" t="s">
        <v>181</v>
      </c>
      <c r="L713" t="s">
        <v>3340</v>
      </c>
      <c r="M713">
        <v>58</v>
      </c>
      <c r="N713">
        <v>0.24</v>
      </c>
      <c r="O713" t="s">
        <v>211</v>
      </c>
      <c r="P713">
        <v>13.3</v>
      </c>
      <c r="R713" t="s">
        <v>3343</v>
      </c>
      <c r="T713" t="s">
        <v>3337</v>
      </c>
      <c r="U713">
        <v>14</v>
      </c>
      <c r="V713" t="s">
        <v>3663</v>
      </c>
    </row>
    <row r="714" spans="1:22" ht="12.75" customHeight="1" x14ac:dyDescent="0.15">
      <c r="A714">
        <v>15</v>
      </c>
      <c r="B714">
        <v>2026</v>
      </c>
      <c r="C714" s="21">
        <v>46128</v>
      </c>
      <c r="D714" t="s">
        <v>73</v>
      </c>
      <c r="E714" t="s">
        <v>74</v>
      </c>
      <c r="F714" t="s">
        <v>75</v>
      </c>
      <c r="G714">
        <v>2.2999999999999998</v>
      </c>
      <c r="H714" t="s">
        <v>3492</v>
      </c>
      <c r="I714" t="s">
        <v>194</v>
      </c>
      <c r="J714" s="1" t="s">
        <v>188</v>
      </c>
      <c r="K714" t="s">
        <v>181</v>
      </c>
      <c r="L714" t="s">
        <v>3333</v>
      </c>
      <c r="M714">
        <v>1</v>
      </c>
      <c r="N714">
        <v>0.13</v>
      </c>
      <c r="O714" t="s">
        <v>3358</v>
      </c>
      <c r="P714">
        <v>8.98</v>
      </c>
      <c r="Q714">
        <v>1</v>
      </c>
      <c r="R714" t="s">
        <v>3359</v>
      </c>
      <c r="T714" t="s">
        <v>3337</v>
      </c>
      <c r="U714">
        <v>-2</v>
      </c>
      <c r="V714" t="s">
        <v>3712</v>
      </c>
    </row>
    <row r="715" spans="1:22" ht="12.75" customHeight="1" x14ac:dyDescent="0.15">
      <c r="A715">
        <v>15</v>
      </c>
      <c r="B715">
        <v>2026</v>
      </c>
      <c r="C715" s="21">
        <v>46128</v>
      </c>
      <c r="D715" t="s">
        <v>73</v>
      </c>
      <c r="E715" t="s">
        <v>74</v>
      </c>
      <c r="F715" t="s">
        <v>75</v>
      </c>
      <c r="G715">
        <v>2.2999999999999998</v>
      </c>
      <c r="H715" t="s">
        <v>3492</v>
      </c>
      <c r="I715" t="s">
        <v>194</v>
      </c>
      <c r="J715" s="1" t="s">
        <v>188</v>
      </c>
      <c r="K715" t="s">
        <v>181</v>
      </c>
      <c r="L715" t="s">
        <v>3333</v>
      </c>
      <c r="M715">
        <v>6</v>
      </c>
      <c r="N715">
        <v>0.13</v>
      </c>
      <c r="O715" t="s">
        <v>3334</v>
      </c>
      <c r="P715">
        <v>10.199999999999999</v>
      </c>
      <c r="Q715">
        <v>1</v>
      </c>
      <c r="R715" t="s">
        <v>3335</v>
      </c>
      <c r="T715" t="s">
        <v>3337</v>
      </c>
      <c r="U715">
        <v>-2</v>
      </c>
      <c r="V715" t="s">
        <v>3713</v>
      </c>
    </row>
    <row r="716" spans="1:22" ht="12.75" customHeight="1" x14ac:dyDescent="0.15">
      <c r="A716">
        <v>15</v>
      </c>
      <c r="B716">
        <v>2026</v>
      </c>
      <c r="C716" s="21">
        <v>46128</v>
      </c>
      <c r="D716" t="s">
        <v>89</v>
      </c>
      <c r="E716" t="s">
        <v>90</v>
      </c>
      <c r="F716" t="s">
        <v>21</v>
      </c>
      <c r="G716">
        <v>1</v>
      </c>
      <c r="H716" t="s">
        <v>3495</v>
      </c>
      <c r="I716" t="s">
        <v>29</v>
      </c>
      <c r="J716" s="1" t="s">
        <v>30</v>
      </c>
      <c r="K716" t="s">
        <v>3705</v>
      </c>
      <c r="L716" t="s">
        <v>3340</v>
      </c>
      <c r="M716">
        <v>78</v>
      </c>
      <c r="N716">
        <v>1.1399999999999999</v>
      </c>
      <c r="O716" t="s">
        <v>211</v>
      </c>
      <c r="P716">
        <v>62.8</v>
      </c>
      <c r="R716" t="s">
        <v>3341</v>
      </c>
      <c r="T716" t="s">
        <v>3402</v>
      </c>
      <c r="U716">
        <v>1</v>
      </c>
      <c r="V716" t="s">
        <v>3714</v>
      </c>
    </row>
    <row r="717" spans="1:22" ht="12.75" customHeight="1" x14ac:dyDescent="0.15">
      <c r="A717">
        <v>15</v>
      </c>
      <c r="B717">
        <v>2026</v>
      </c>
      <c r="C717" s="21">
        <v>46128</v>
      </c>
      <c r="D717" t="s">
        <v>89</v>
      </c>
      <c r="E717" t="s">
        <v>90</v>
      </c>
      <c r="F717" t="s">
        <v>21</v>
      </c>
      <c r="G717">
        <v>1</v>
      </c>
      <c r="H717" t="s">
        <v>3495</v>
      </c>
      <c r="I717" t="s">
        <v>29</v>
      </c>
      <c r="J717" s="1" t="s">
        <v>30</v>
      </c>
      <c r="K717" t="s">
        <v>3705</v>
      </c>
      <c r="L717" t="s">
        <v>3333</v>
      </c>
      <c r="M717">
        <v>67</v>
      </c>
      <c r="N717">
        <v>0.75</v>
      </c>
      <c r="O717" t="s">
        <v>3334</v>
      </c>
      <c r="P717">
        <v>61.19</v>
      </c>
      <c r="Q717">
        <v>6</v>
      </c>
      <c r="R717" t="s">
        <v>3404</v>
      </c>
      <c r="T717" t="s">
        <v>3402</v>
      </c>
      <c r="U717">
        <v>1</v>
      </c>
      <c r="V717" t="s">
        <v>3715</v>
      </c>
    </row>
    <row r="718" spans="1:22" ht="12.75" customHeight="1" x14ac:dyDescent="0.15">
      <c r="A718">
        <v>15</v>
      </c>
      <c r="B718">
        <v>2026</v>
      </c>
      <c r="C718" s="21">
        <v>46128</v>
      </c>
      <c r="D718" t="s">
        <v>89</v>
      </c>
      <c r="E718" t="s">
        <v>90</v>
      </c>
      <c r="F718" t="s">
        <v>21</v>
      </c>
      <c r="G718">
        <v>1</v>
      </c>
      <c r="H718" t="s">
        <v>3495</v>
      </c>
      <c r="I718" t="s">
        <v>29</v>
      </c>
      <c r="J718" s="1" t="s">
        <v>30</v>
      </c>
      <c r="K718" t="s">
        <v>3705</v>
      </c>
      <c r="L718" t="s">
        <v>3333</v>
      </c>
      <c r="M718">
        <v>91</v>
      </c>
      <c r="N718">
        <v>0.75</v>
      </c>
      <c r="O718" t="s">
        <v>3334</v>
      </c>
      <c r="P718">
        <v>61.19</v>
      </c>
      <c r="Q718">
        <v>6</v>
      </c>
      <c r="R718" t="s">
        <v>3412</v>
      </c>
      <c r="T718" t="s">
        <v>3402</v>
      </c>
      <c r="U718">
        <v>1</v>
      </c>
      <c r="V718" t="s">
        <v>3715</v>
      </c>
    </row>
    <row r="719" spans="1:22" ht="12.75" customHeight="1" x14ac:dyDescent="0.15">
      <c r="A719">
        <v>15</v>
      </c>
      <c r="B719">
        <v>2026</v>
      </c>
      <c r="C719" s="21">
        <v>46128</v>
      </c>
      <c r="D719" t="s">
        <v>89</v>
      </c>
      <c r="E719" t="s">
        <v>90</v>
      </c>
      <c r="F719" t="s">
        <v>21</v>
      </c>
      <c r="G719">
        <v>1</v>
      </c>
      <c r="H719" t="s">
        <v>3495</v>
      </c>
      <c r="I719" t="s">
        <v>29</v>
      </c>
      <c r="J719" s="1" t="s">
        <v>30</v>
      </c>
      <c r="K719" t="s">
        <v>3705</v>
      </c>
      <c r="L719" t="s">
        <v>3333</v>
      </c>
      <c r="M719">
        <v>19</v>
      </c>
      <c r="N719">
        <v>0.75</v>
      </c>
      <c r="O719" t="s">
        <v>3334</v>
      </c>
      <c r="P719">
        <v>61.19</v>
      </c>
      <c r="Q719">
        <v>6</v>
      </c>
      <c r="R719" t="s">
        <v>3403</v>
      </c>
      <c r="T719" t="s">
        <v>3402</v>
      </c>
      <c r="U719">
        <v>1</v>
      </c>
      <c r="V719" t="s">
        <v>3715</v>
      </c>
    </row>
    <row r="720" spans="1:22" ht="12.75" customHeight="1" x14ac:dyDescent="0.15">
      <c r="A720">
        <v>15</v>
      </c>
      <c r="B720">
        <v>2026</v>
      </c>
      <c r="C720" s="21">
        <v>46128</v>
      </c>
      <c r="D720" t="s">
        <v>89</v>
      </c>
      <c r="E720" t="s">
        <v>90</v>
      </c>
      <c r="F720" t="s">
        <v>21</v>
      </c>
      <c r="G720">
        <v>1</v>
      </c>
      <c r="H720" t="s">
        <v>3495</v>
      </c>
      <c r="I720" t="s">
        <v>29</v>
      </c>
      <c r="J720" s="1" t="s">
        <v>30</v>
      </c>
      <c r="K720" t="s">
        <v>3705</v>
      </c>
      <c r="L720" t="s">
        <v>3333</v>
      </c>
      <c r="M720">
        <v>2</v>
      </c>
      <c r="N720">
        <v>0.75</v>
      </c>
      <c r="O720" t="s">
        <v>3440</v>
      </c>
      <c r="P720">
        <v>67.87</v>
      </c>
      <c r="Q720">
        <v>6</v>
      </c>
      <c r="R720" t="s">
        <v>3424</v>
      </c>
      <c r="T720" t="s">
        <v>3402</v>
      </c>
      <c r="U720">
        <v>1</v>
      </c>
      <c r="V720" t="s">
        <v>3716</v>
      </c>
    </row>
    <row r="721" spans="1:22" ht="12.75" customHeight="1" x14ac:dyDescent="0.15">
      <c r="A721">
        <v>15</v>
      </c>
      <c r="B721">
        <v>2026</v>
      </c>
      <c r="C721" s="21">
        <v>46128</v>
      </c>
      <c r="D721" t="s">
        <v>73</v>
      </c>
      <c r="E721" t="s">
        <v>74</v>
      </c>
      <c r="F721" t="s">
        <v>75</v>
      </c>
      <c r="G721">
        <v>2.2999999999999998</v>
      </c>
      <c r="H721" t="s">
        <v>3672</v>
      </c>
      <c r="I721" t="s">
        <v>3673</v>
      </c>
      <c r="J721" s="1" t="s">
        <v>26</v>
      </c>
      <c r="K721" t="s">
        <v>181</v>
      </c>
      <c r="L721" t="s">
        <v>3333</v>
      </c>
      <c r="M721">
        <v>86</v>
      </c>
      <c r="N721">
        <v>0.38</v>
      </c>
      <c r="O721" t="s">
        <v>3334</v>
      </c>
      <c r="P721">
        <v>30.59</v>
      </c>
      <c r="Q721">
        <v>3</v>
      </c>
      <c r="R721" t="s">
        <v>3386</v>
      </c>
      <c r="T721" t="s">
        <v>3402</v>
      </c>
      <c r="U721">
        <v>-2</v>
      </c>
      <c r="V721" t="s">
        <v>358</v>
      </c>
    </row>
    <row r="722" spans="1:22" ht="12.75" customHeight="1" x14ac:dyDescent="0.15">
      <c r="A722">
        <v>15</v>
      </c>
      <c r="B722">
        <v>2026</v>
      </c>
      <c r="C722" s="21">
        <v>46128</v>
      </c>
      <c r="D722" t="s">
        <v>91</v>
      </c>
      <c r="E722" t="s">
        <v>92</v>
      </c>
      <c r="F722" t="s">
        <v>21</v>
      </c>
      <c r="G722">
        <v>1.3</v>
      </c>
      <c r="H722" t="s">
        <v>3536</v>
      </c>
      <c r="I722" t="s">
        <v>3676</v>
      </c>
      <c r="J722" s="1" t="s">
        <v>3533</v>
      </c>
      <c r="K722" t="s">
        <v>181</v>
      </c>
      <c r="L722" t="s">
        <v>3477</v>
      </c>
      <c r="M722">
        <v>3</v>
      </c>
      <c r="N722">
        <v>0.02</v>
      </c>
      <c r="O722" t="s">
        <v>3334</v>
      </c>
      <c r="P722">
        <v>1.84</v>
      </c>
      <c r="Q722">
        <v>0.18</v>
      </c>
      <c r="R722" t="s">
        <v>3478</v>
      </c>
      <c r="T722" t="s">
        <v>3479</v>
      </c>
      <c r="U722">
        <v>-2</v>
      </c>
      <c r="V722" t="s">
        <v>3717</v>
      </c>
    </row>
    <row r="723" spans="1:22" ht="12.75" customHeight="1" x14ac:dyDescent="0.15">
      <c r="A723">
        <v>15</v>
      </c>
      <c r="B723">
        <v>2026</v>
      </c>
      <c r="C723" s="21">
        <v>46128</v>
      </c>
      <c r="D723" t="s">
        <v>91</v>
      </c>
      <c r="E723" t="s">
        <v>92</v>
      </c>
      <c r="F723" t="s">
        <v>21</v>
      </c>
      <c r="G723">
        <v>1.3</v>
      </c>
      <c r="H723" t="s">
        <v>3536</v>
      </c>
      <c r="I723" t="s">
        <v>3676</v>
      </c>
      <c r="J723" s="1" t="s">
        <v>3533</v>
      </c>
      <c r="K723" t="s">
        <v>181</v>
      </c>
      <c r="L723" t="s">
        <v>3481</v>
      </c>
      <c r="M723">
        <v>40</v>
      </c>
      <c r="N723">
        <v>0.03</v>
      </c>
      <c r="O723" t="s">
        <v>211</v>
      </c>
      <c r="P723">
        <v>1.44</v>
      </c>
      <c r="Q723">
        <v>0.16</v>
      </c>
      <c r="R723" t="s">
        <v>3482</v>
      </c>
      <c r="T723" t="s">
        <v>3479</v>
      </c>
      <c r="U723">
        <v>-2</v>
      </c>
      <c r="V723" t="s">
        <v>3718</v>
      </c>
    </row>
    <row r="724" spans="1:22" ht="12.75" customHeight="1" x14ac:dyDescent="0.15">
      <c r="A724">
        <v>15</v>
      </c>
      <c r="B724">
        <v>2026</v>
      </c>
      <c r="C724" s="21">
        <v>46128</v>
      </c>
      <c r="D724" t="s">
        <v>89</v>
      </c>
      <c r="E724" t="s">
        <v>90</v>
      </c>
      <c r="F724" t="s">
        <v>21</v>
      </c>
      <c r="G724">
        <v>1</v>
      </c>
      <c r="H724" t="s">
        <v>3552</v>
      </c>
      <c r="I724" t="s">
        <v>3553</v>
      </c>
      <c r="J724" s="1" t="s">
        <v>3533</v>
      </c>
      <c r="K724" t="s">
        <v>181</v>
      </c>
      <c r="L724" t="s">
        <v>3477</v>
      </c>
      <c r="M724">
        <v>3</v>
      </c>
      <c r="N724">
        <v>0.04</v>
      </c>
      <c r="O724" t="s">
        <v>3334</v>
      </c>
      <c r="P724">
        <v>3.06</v>
      </c>
      <c r="Q724">
        <v>0.3</v>
      </c>
      <c r="R724" t="s">
        <v>3478</v>
      </c>
      <c r="T724" t="s">
        <v>3479</v>
      </c>
      <c r="U724">
        <v>1</v>
      </c>
      <c r="V724" t="s">
        <v>3538</v>
      </c>
    </row>
    <row r="725" spans="1:22" ht="12.75" customHeight="1" x14ac:dyDescent="0.15">
      <c r="A725">
        <v>15</v>
      </c>
      <c r="B725">
        <v>2026</v>
      </c>
      <c r="C725" s="21">
        <v>46128</v>
      </c>
      <c r="D725" t="s">
        <v>89</v>
      </c>
      <c r="E725" t="s">
        <v>90</v>
      </c>
      <c r="F725" t="s">
        <v>21</v>
      </c>
      <c r="G725">
        <v>1</v>
      </c>
      <c r="H725" t="s">
        <v>3552</v>
      </c>
      <c r="I725" t="s">
        <v>3553</v>
      </c>
      <c r="J725" s="1" t="s">
        <v>3533</v>
      </c>
      <c r="K725" t="s">
        <v>181</v>
      </c>
      <c r="L725" t="s">
        <v>3481</v>
      </c>
      <c r="M725">
        <v>40</v>
      </c>
      <c r="N725">
        <v>0.04</v>
      </c>
      <c r="O725" t="s">
        <v>211</v>
      </c>
      <c r="P725">
        <v>2.25</v>
      </c>
      <c r="Q725">
        <v>0.25</v>
      </c>
      <c r="R725" t="s">
        <v>3482</v>
      </c>
      <c r="T725" t="s">
        <v>3479</v>
      </c>
      <c r="U725">
        <v>1</v>
      </c>
      <c r="V725" t="s">
        <v>3534</v>
      </c>
    </row>
    <row r="726" spans="1:22" ht="12.75" customHeight="1" x14ac:dyDescent="0.15">
      <c r="A726">
        <v>15</v>
      </c>
      <c r="B726">
        <v>2026</v>
      </c>
      <c r="C726" s="21">
        <v>46128</v>
      </c>
      <c r="D726" t="s">
        <v>89</v>
      </c>
      <c r="E726" t="s">
        <v>90</v>
      </c>
      <c r="F726" t="s">
        <v>21</v>
      </c>
      <c r="G726">
        <v>1</v>
      </c>
      <c r="H726" t="s">
        <v>3605</v>
      </c>
      <c r="I726" t="s">
        <v>335</v>
      </c>
      <c r="J726" s="1" t="s">
        <v>3533</v>
      </c>
      <c r="K726" t="s">
        <v>181</v>
      </c>
      <c r="L726" t="s">
        <v>3477</v>
      </c>
      <c r="M726">
        <v>3</v>
      </c>
      <c r="N726">
        <v>0.08</v>
      </c>
      <c r="O726" t="s">
        <v>3334</v>
      </c>
      <c r="P726">
        <v>6.53</v>
      </c>
      <c r="Q726">
        <v>0.64</v>
      </c>
      <c r="R726" t="s">
        <v>3478</v>
      </c>
      <c r="T726" t="s">
        <v>3479</v>
      </c>
      <c r="U726">
        <v>1</v>
      </c>
      <c r="V726" t="s">
        <v>3719</v>
      </c>
    </row>
    <row r="727" spans="1:22" ht="12.75" customHeight="1" x14ac:dyDescent="0.15">
      <c r="A727">
        <v>15</v>
      </c>
      <c r="B727">
        <v>2026</v>
      </c>
      <c r="C727" s="21">
        <v>46128</v>
      </c>
      <c r="D727" t="s">
        <v>89</v>
      </c>
      <c r="E727" t="s">
        <v>90</v>
      </c>
      <c r="F727" t="s">
        <v>21</v>
      </c>
      <c r="G727">
        <v>1</v>
      </c>
      <c r="H727" t="s">
        <v>3605</v>
      </c>
      <c r="I727" t="s">
        <v>335</v>
      </c>
      <c r="J727" s="1" t="s">
        <v>3533</v>
      </c>
      <c r="K727" t="s">
        <v>181</v>
      </c>
      <c r="L727" t="s">
        <v>3481</v>
      </c>
      <c r="M727">
        <v>40</v>
      </c>
      <c r="N727">
        <v>0.09</v>
      </c>
      <c r="O727" t="s">
        <v>211</v>
      </c>
      <c r="P727">
        <v>5.13</v>
      </c>
      <c r="Q727">
        <v>0.56999999999999995</v>
      </c>
      <c r="R727" t="s">
        <v>3482</v>
      </c>
      <c r="T727" t="s">
        <v>3479</v>
      </c>
      <c r="U727">
        <v>1</v>
      </c>
      <c r="V727" t="s">
        <v>3720</v>
      </c>
    </row>
    <row r="728" spans="1:22" ht="12.75" customHeight="1" x14ac:dyDescent="0.15">
      <c r="A728">
        <v>15</v>
      </c>
      <c r="B728">
        <v>2026</v>
      </c>
      <c r="C728" s="21">
        <v>46128</v>
      </c>
      <c r="D728" t="s">
        <v>89</v>
      </c>
      <c r="E728" t="s">
        <v>90</v>
      </c>
      <c r="F728" t="s">
        <v>21</v>
      </c>
      <c r="G728">
        <v>1</v>
      </c>
      <c r="H728" t="s">
        <v>3539</v>
      </c>
      <c r="I728" t="s">
        <v>3540</v>
      </c>
      <c r="J728" s="1" t="s">
        <v>3533</v>
      </c>
      <c r="K728" t="s">
        <v>181</v>
      </c>
      <c r="L728" t="s">
        <v>3477</v>
      </c>
      <c r="M728">
        <v>3</v>
      </c>
      <c r="N728">
        <v>0.02</v>
      </c>
      <c r="O728" t="s">
        <v>3334</v>
      </c>
      <c r="P728">
        <v>1.84</v>
      </c>
      <c r="Q728">
        <v>0.18</v>
      </c>
      <c r="R728" t="s">
        <v>3478</v>
      </c>
      <c r="T728" t="s">
        <v>3479</v>
      </c>
      <c r="U728">
        <v>1</v>
      </c>
      <c r="V728" t="s">
        <v>3480</v>
      </c>
    </row>
    <row r="729" spans="1:22" ht="12.75" customHeight="1" x14ac:dyDescent="0.15">
      <c r="A729">
        <v>15</v>
      </c>
      <c r="B729">
        <v>2026</v>
      </c>
      <c r="C729" s="21">
        <v>46128</v>
      </c>
      <c r="D729" t="s">
        <v>89</v>
      </c>
      <c r="E729" t="s">
        <v>90</v>
      </c>
      <c r="F729" t="s">
        <v>21</v>
      </c>
      <c r="G729">
        <v>1</v>
      </c>
      <c r="H729" t="s">
        <v>3539</v>
      </c>
      <c r="I729" t="s">
        <v>3540</v>
      </c>
      <c r="J729" s="1" t="s">
        <v>3533</v>
      </c>
      <c r="K729" t="s">
        <v>181</v>
      </c>
      <c r="L729" t="s">
        <v>3481</v>
      </c>
      <c r="M729">
        <v>40</v>
      </c>
      <c r="N729">
        <v>0.03</v>
      </c>
      <c r="O729" t="s">
        <v>211</v>
      </c>
      <c r="P729">
        <v>1.44</v>
      </c>
      <c r="Q729">
        <v>0.16</v>
      </c>
      <c r="R729" t="s">
        <v>3482</v>
      </c>
      <c r="T729" t="s">
        <v>3479</v>
      </c>
      <c r="U729">
        <v>1</v>
      </c>
      <c r="V729" t="s">
        <v>3541</v>
      </c>
    </row>
    <row r="730" spans="1:22" ht="12.75" customHeight="1" x14ac:dyDescent="0.15">
      <c r="A730">
        <v>16</v>
      </c>
      <c r="B730">
        <v>2026</v>
      </c>
      <c r="C730" s="21">
        <v>46129</v>
      </c>
      <c r="D730" t="s">
        <v>437</v>
      </c>
      <c r="E730" t="s">
        <v>3679</v>
      </c>
      <c r="H730" t="s">
        <v>3666</v>
      </c>
      <c r="I730" t="s">
        <v>3667</v>
      </c>
      <c r="J730" s="1" t="s">
        <v>3668</v>
      </c>
      <c r="K730" t="s">
        <v>181</v>
      </c>
      <c r="L730" t="s">
        <v>3340</v>
      </c>
      <c r="M730">
        <v>45</v>
      </c>
      <c r="N730">
        <v>0.89</v>
      </c>
      <c r="O730" t="s">
        <v>211</v>
      </c>
      <c r="P730">
        <v>48.8</v>
      </c>
      <c r="R730" t="s">
        <v>3377</v>
      </c>
      <c r="T730" t="s">
        <v>3337</v>
      </c>
      <c r="U730">
        <v>106</v>
      </c>
      <c r="V730" t="e">
        <f t="shared" ref="V730:V738" si="1">+P730/G730</f>
        <v>#DIV/0!</v>
      </c>
    </row>
    <row r="731" spans="1:22" ht="12.75" customHeight="1" x14ac:dyDescent="0.15">
      <c r="A731">
        <v>16</v>
      </c>
      <c r="B731">
        <v>2026</v>
      </c>
      <c r="C731" s="21">
        <v>46129</v>
      </c>
      <c r="D731" t="s">
        <v>437</v>
      </c>
      <c r="E731" t="s">
        <v>3679</v>
      </c>
      <c r="H731" t="s">
        <v>3666</v>
      </c>
      <c r="I731" t="s">
        <v>3667</v>
      </c>
      <c r="J731" s="1" t="s">
        <v>3668</v>
      </c>
      <c r="K731" t="s">
        <v>181</v>
      </c>
      <c r="L731" t="s">
        <v>3340</v>
      </c>
      <c r="M731">
        <v>132</v>
      </c>
      <c r="N731">
        <v>0.89</v>
      </c>
      <c r="O731" t="s">
        <v>211</v>
      </c>
      <c r="P731">
        <v>48.8</v>
      </c>
      <c r="R731" t="s">
        <v>3368</v>
      </c>
      <c r="T731" t="s">
        <v>3337</v>
      </c>
      <c r="U731">
        <v>106</v>
      </c>
      <c r="V731" t="e">
        <f t="shared" si="1"/>
        <v>#DIV/0!</v>
      </c>
    </row>
    <row r="732" spans="1:22" ht="12.75" customHeight="1" x14ac:dyDescent="0.15">
      <c r="A732">
        <v>16</v>
      </c>
      <c r="B732">
        <v>2026</v>
      </c>
      <c r="C732" s="21">
        <v>46129</v>
      </c>
      <c r="D732" t="s">
        <v>437</v>
      </c>
      <c r="E732" t="s">
        <v>3679</v>
      </c>
      <c r="H732" t="s">
        <v>3666</v>
      </c>
      <c r="I732" t="s">
        <v>3667</v>
      </c>
      <c r="J732" s="1" t="s">
        <v>3668</v>
      </c>
      <c r="K732" t="s">
        <v>181</v>
      </c>
      <c r="L732" t="s">
        <v>3340</v>
      </c>
      <c r="M732">
        <v>62</v>
      </c>
      <c r="N732">
        <v>0.89</v>
      </c>
      <c r="O732" t="s">
        <v>211</v>
      </c>
      <c r="P732">
        <v>48.8</v>
      </c>
      <c r="R732" t="s">
        <v>3375</v>
      </c>
      <c r="T732" t="s">
        <v>3337</v>
      </c>
      <c r="U732">
        <v>106</v>
      </c>
      <c r="V732" t="e">
        <f t="shared" si="1"/>
        <v>#DIV/0!</v>
      </c>
    </row>
    <row r="733" spans="1:22" ht="12.75" customHeight="1" x14ac:dyDescent="0.15">
      <c r="A733">
        <v>16</v>
      </c>
      <c r="B733">
        <v>2026</v>
      </c>
      <c r="C733" s="21">
        <v>46129</v>
      </c>
      <c r="D733" t="s">
        <v>437</v>
      </c>
      <c r="E733" t="s">
        <v>3679</v>
      </c>
      <c r="H733" t="s">
        <v>3666</v>
      </c>
      <c r="I733" t="s">
        <v>3667</v>
      </c>
      <c r="J733" s="1" t="s">
        <v>3668</v>
      </c>
      <c r="K733" t="s">
        <v>181</v>
      </c>
      <c r="L733" t="s">
        <v>3340</v>
      </c>
      <c r="M733">
        <v>81</v>
      </c>
      <c r="N733">
        <v>0.89</v>
      </c>
      <c r="O733" t="s">
        <v>211</v>
      </c>
      <c r="P733">
        <v>48.8</v>
      </c>
      <c r="R733" t="s">
        <v>3374</v>
      </c>
      <c r="T733" t="s">
        <v>3337</v>
      </c>
      <c r="U733">
        <v>106</v>
      </c>
      <c r="V733" t="e">
        <f t="shared" si="1"/>
        <v>#DIV/0!</v>
      </c>
    </row>
    <row r="734" spans="1:22" ht="12.75" customHeight="1" x14ac:dyDescent="0.15">
      <c r="A734">
        <v>16</v>
      </c>
      <c r="B734">
        <v>2026</v>
      </c>
      <c r="C734" s="21">
        <v>46129</v>
      </c>
      <c r="D734" t="s">
        <v>437</v>
      </c>
      <c r="E734" t="s">
        <v>3679</v>
      </c>
      <c r="H734" t="s">
        <v>3666</v>
      </c>
      <c r="I734" t="s">
        <v>3667</v>
      </c>
      <c r="J734" s="1" t="s">
        <v>3668</v>
      </c>
      <c r="K734" t="s">
        <v>181</v>
      </c>
      <c r="L734" t="s">
        <v>3340</v>
      </c>
      <c r="M734">
        <v>53</v>
      </c>
      <c r="N734">
        <v>0.89</v>
      </c>
      <c r="O734" t="s">
        <v>211</v>
      </c>
      <c r="P734">
        <v>48.8</v>
      </c>
      <c r="R734" t="s">
        <v>3373</v>
      </c>
      <c r="T734" t="s">
        <v>3337</v>
      </c>
      <c r="U734">
        <v>106</v>
      </c>
      <c r="V734" t="e">
        <f t="shared" si="1"/>
        <v>#DIV/0!</v>
      </c>
    </row>
    <row r="735" spans="1:22" ht="12.75" customHeight="1" x14ac:dyDescent="0.15">
      <c r="A735">
        <v>16</v>
      </c>
      <c r="B735">
        <v>2026</v>
      </c>
      <c r="C735" s="21">
        <v>46129</v>
      </c>
      <c r="D735" t="s">
        <v>437</v>
      </c>
      <c r="E735" t="s">
        <v>3679</v>
      </c>
      <c r="H735" t="s">
        <v>3666</v>
      </c>
      <c r="I735" t="s">
        <v>3667</v>
      </c>
      <c r="J735" s="1" t="s">
        <v>3668</v>
      </c>
      <c r="K735" t="s">
        <v>181</v>
      </c>
      <c r="L735" t="s">
        <v>3340</v>
      </c>
      <c r="M735">
        <v>58</v>
      </c>
      <c r="N735">
        <v>0.89</v>
      </c>
      <c r="O735" t="s">
        <v>211</v>
      </c>
      <c r="P735">
        <v>48.8</v>
      </c>
      <c r="R735" t="s">
        <v>3343</v>
      </c>
      <c r="T735" t="s">
        <v>3337</v>
      </c>
      <c r="U735">
        <v>106</v>
      </c>
      <c r="V735" t="e">
        <f t="shared" si="1"/>
        <v>#DIV/0!</v>
      </c>
    </row>
    <row r="736" spans="1:22" ht="12.75" customHeight="1" x14ac:dyDescent="0.15">
      <c r="A736">
        <v>16</v>
      </c>
      <c r="B736">
        <v>2026</v>
      </c>
      <c r="C736" s="21">
        <v>46129</v>
      </c>
      <c r="D736" t="s">
        <v>437</v>
      </c>
      <c r="E736" t="s">
        <v>3679</v>
      </c>
      <c r="H736" t="s">
        <v>3666</v>
      </c>
      <c r="I736" t="s">
        <v>3667</v>
      </c>
      <c r="J736" s="1" t="s">
        <v>3668</v>
      </c>
      <c r="K736" t="s">
        <v>181</v>
      </c>
      <c r="L736" t="s">
        <v>3340</v>
      </c>
      <c r="M736">
        <v>78</v>
      </c>
      <c r="N736">
        <v>0.89</v>
      </c>
      <c r="O736" t="s">
        <v>211</v>
      </c>
      <c r="P736">
        <v>48.8</v>
      </c>
      <c r="R736" t="s">
        <v>3341</v>
      </c>
      <c r="T736" t="s">
        <v>3337</v>
      </c>
      <c r="U736">
        <v>106</v>
      </c>
      <c r="V736" t="e">
        <f t="shared" si="1"/>
        <v>#DIV/0!</v>
      </c>
    </row>
    <row r="737" spans="1:22" ht="12.75" customHeight="1" x14ac:dyDescent="0.15">
      <c r="A737">
        <v>16</v>
      </c>
      <c r="B737">
        <v>2026</v>
      </c>
      <c r="C737" s="21">
        <v>46129</v>
      </c>
      <c r="D737" t="s">
        <v>437</v>
      </c>
      <c r="E737" t="s">
        <v>3679</v>
      </c>
      <c r="H737" t="s">
        <v>3666</v>
      </c>
      <c r="I737" t="s">
        <v>3667</v>
      </c>
      <c r="J737" s="1" t="s">
        <v>3668</v>
      </c>
      <c r="K737" t="s">
        <v>181</v>
      </c>
      <c r="L737" t="s">
        <v>3333</v>
      </c>
      <c r="M737">
        <v>1</v>
      </c>
      <c r="N737">
        <v>0.68</v>
      </c>
      <c r="O737" t="s">
        <v>3358</v>
      </c>
      <c r="P737">
        <v>48.8</v>
      </c>
      <c r="R737" t="s">
        <v>3359</v>
      </c>
      <c r="T737" t="s">
        <v>3337</v>
      </c>
      <c r="U737">
        <v>106</v>
      </c>
      <c r="V737" t="e">
        <f t="shared" si="1"/>
        <v>#DIV/0!</v>
      </c>
    </row>
    <row r="738" spans="1:22" ht="12.75" customHeight="1" x14ac:dyDescent="0.15">
      <c r="A738">
        <v>16</v>
      </c>
      <c r="B738">
        <v>2026</v>
      </c>
      <c r="C738" s="21">
        <v>46129</v>
      </c>
      <c r="D738" t="s">
        <v>437</v>
      </c>
      <c r="E738" t="s">
        <v>3679</v>
      </c>
      <c r="H738" t="s">
        <v>3666</v>
      </c>
      <c r="I738" t="s">
        <v>3667</v>
      </c>
      <c r="J738" s="1" t="s">
        <v>3668</v>
      </c>
      <c r="K738" t="s">
        <v>181</v>
      </c>
      <c r="L738" t="s">
        <v>3333</v>
      </c>
      <c r="M738">
        <v>6</v>
      </c>
      <c r="N738">
        <v>0.6</v>
      </c>
      <c r="O738" t="s">
        <v>3334</v>
      </c>
      <c r="P738">
        <v>48.8</v>
      </c>
      <c r="R738" t="s">
        <v>3335</v>
      </c>
      <c r="T738" t="s">
        <v>3337</v>
      </c>
      <c r="U738">
        <v>106</v>
      </c>
      <c r="V738" t="e">
        <f t="shared" si="1"/>
        <v>#DIV/0!</v>
      </c>
    </row>
    <row r="739" spans="1:22" ht="12.75" customHeight="1" x14ac:dyDescent="0.15">
      <c r="A739">
        <v>16</v>
      </c>
      <c r="B739">
        <v>2026</v>
      </c>
      <c r="C739" s="21">
        <v>46129</v>
      </c>
      <c r="D739" t="s">
        <v>73</v>
      </c>
      <c r="E739" t="s">
        <v>74</v>
      </c>
      <c r="F739" t="s">
        <v>75</v>
      </c>
      <c r="G739">
        <v>2.2999999999999998</v>
      </c>
      <c r="H739" t="s">
        <v>3495</v>
      </c>
      <c r="I739" t="s">
        <v>29</v>
      </c>
      <c r="J739" s="1" t="s">
        <v>30</v>
      </c>
      <c r="K739" t="s">
        <v>3705</v>
      </c>
      <c r="L739" t="s">
        <v>3340</v>
      </c>
      <c r="M739">
        <v>62</v>
      </c>
      <c r="N739">
        <v>0.56000000000000005</v>
      </c>
      <c r="O739" t="s">
        <v>211</v>
      </c>
      <c r="P739">
        <v>30.55</v>
      </c>
      <c r="R739" t="s">
        <v>3375</v>
      </c>
      <c r="S739" t="s">
        <v>3721</v>
      </c>
      <c r="T739" t="s">
        <v>3337</v>
      </c>
      <c r="U739">
        <v>-1</v>
      </c>
      <c r="V739" t="s">
        <v>3722</v>
      </c>
    </row>
    <row r="740" spans="1:22" ht="12.75" customHeight="1" x14ac:dyDescent="0.15">
      <c r="A740">
        <v>16</v>
      </c>
      <c r="B740">
        <v>2026</v>
      </c>
      <c r="C740" s="21">
        <v>46129</v>
      </c>
      <c r="D740" t="s">
        <v>73</v>
      </c>
      <c r="E740" t="s">
        <v>74</v>
      </c>
      <c r="F740" t="s">
        <v>75</v>
      </c>
      <c r="G740">
        <v>2.2999999999999998</v>
      </c>
      <c r="H740" t="s">
        <v>3495</v>
      </c>
      <c r="I740" t="s">
        <v>29</v>
      </c>
      <c r="J740" s="1" t="s">
        <v>30</v>
      </c>
      <c r="K740" t="s">
        <v>3705</v>
      </c>
      <c r="L740" t="s">
        <v>3340</v>
      </c>
      <c r="M740">
        <v>45</v>
      </c>
      <c r="N740">
        <v>0.33</v>
      </c>
      <c r="O740" t="s">
        <v>211</v>
      </c>
      <c r="P740">
        <v>18</v>
      </c>
      <c r="R740" t="s">
        <v>3377</v>
      </c>
      <c r="S740" t="s">
        <v>3723</v>
      </c>
      <c r="T740" t="s">
        <v>3337</v>
      </c>
      <c r="U740">
        <v>-1</v>
      </c>
      <c r="V740" t="s">
        <v>3724</v>
      </c>
    </row>
    <row r="741" spans="1:22" ht="12.75" customHeight="1" x14ac:dyDescent="0.15">
      <c r="A741">
        <v>16</v>
      </c>
      <c r="B741">
        <v>2026</v>
      </c>
      <c r="C741" s="21">
        <v>46129</v>
      </c>
      <c r="D741" t="s">
        <v>73</v>
      </c>
      <c r="E741" t="s">
        <v>74</v>
      </c>
      <c r="F741" t="s">
        <v>75</v>
      </c>
      <c r="G741">
        <v>2.2999999999999998</v>
      </c>
      <c r="H741" t="s">
        <v>3505</v>
      </c>
      <c r="I741" t="s">
        <v>29</v>
      </c>
      <c r="J741" s="1" t="s">
        <v>30</v>
      </c>
      <c r="K741" t="s">
        <v>3705</v>
      </c>
      <c r="L741" t="s">
        <v>3340</v>
      </c>
      <c r="M741">
        <v>132</v>
      </c>
      <c r="N741">
        <v>1.07</v>
      </c>
      <c r="O741" t="s">
        <v>211</v>
      </c>
      <c r="P741">
        <v>59.1</v>
      </c>
      <c r="R741" t="s">
        <v>3368</v>
      </c>
      <c r="S741" t="s">
        <v>3725</v>
      </c>
      <c r="T741" t="s">
        <v>3337</v>
      </c>
      <c r="U741">
        <v>-1</v>
      </c>
      <c r="V741" t="s">
        <v>3726</v>
      </c>
    </row>
    <row r="742" spans="1:22" ht="12.75" customHeight="1" x14ac:dyDescent="0.15">
      <c r="A742">
        <v>16</v>
      </c>
      <c r="B742">
        <v>2026</v>
      </c>
      <c r="C742" s="21">
        <v>46129</v>
      </c>
      <c r="D742" t="s">
        <v>73</v>
      </c>
      <c r="E742" t="s">
        <v>74</v>
      </c>
      <c r="F742" t="s">
        <v>75</v>
      </c>
      <c r="G742">
        <v>2.2999999999999998</v>
      </c>
      <c r="H742" t="s">
        <v>3505</v>
      </c>
      <c r="I742" t="s">
        <v>29</v>
      </c>
      <c r="J742" s="1" t="s">
        <v>30</v>
      </c>
      <c r="K742" t="s">
        <v>3705</v>
      </c>
      <c r="L742" t="s">
        <v>3340</v>
      </c>
      <c r="M742">
        <v>58</v>
      </c>
      <c r="N742">
        <v>1.07</v>
      </c>
      <c r="O742" t="s">
        <v>211</v>
      </c>
      <c r="P742">
        <v>59.1</v>
      </c>
      <c r="R742" t="s">
        <v>3343</v>
      </c>
      <c r="T742" t="s">
        <v>3337</v>
      </c>
      <c r="U742">
        <v>-1</v>
      </c>
      <c r="V742" t="s">
        <v>3726</v>
      </c>
    </row>
    <row r="743" spans="1:22" ht="12.75" customHeight="1" x14ac:dyDescent="0.15">
      <c r="A743">
        <v>16</v>
      </c>
      <c r="B743">
        <v>2026</v>
      </c>
      <c r="C743" s="21">
        <v>46129</v>
      </c>
      <c r="D743" t="s">
        <v>73</v>
      </c>
      <c r="E743" t="s">
        <v>74</v>
      </c>
      <c r="F743" t="s">
        <v>75</v>
      </c>
      <c r="G743">
        <v>2.2999999999999998</v>
      </c>
      <c r="H743" t="s">
        <v>3505</v>
      </c>
      <c r="I743" t="s">
        <v>29</v>
      </c>
      <c r="J743" s="1" t="s">
        <v>30</v>
      </c>
      <c r="K743" t="s">
        <v>3705</v>
      </c>
      <c r="L743" t="s">
        <v>3340</v>
      </c>
      <c r="M743">
        <v>53</v>
      </c>
      <c r="N743">
        <v>1.07</v>
      </c>
      <c r="O743" t="s">
        <v>211</v>
      </c>
      <c r="P743">
        <v>59.1</v>
      </c>
      <c r="R743" t="s">
        <v>3373</v>
      </c>
      <c r="T743" t="s">
        <v>3337</v>
      </c>
      <c r="U743">
        <v>-1</v>
      </c>
      <c r="V743" t="s">
        <v>3726</v>
      </c>
    </row>
    <row r="744" spans="1:22" ht="12.75" customHeight="1" x14ac:dyDescent="0.15">
      <c r="A744">
        <v>16</v>
      </c>
      <c r="B744">
        <v>2026</v>
      </c>
      <c r="C744" s="21">
        <v>46129</v>
      </c>
      <c r="D744" t="s">
        <v>73</v>
      </c>
      <c r="E744" t="s">
        <v>74</v>
      </c>
      <c r="F744" t="s">
        <v>75</v>
      </c>
      <c r="G744">
        <v>2.2999999999999998</v>
      </c>
      <c r="H744" t="s">
        <v>3505</v>
      </c>
      <c r="I744" t="s">
        <v>29</v>
      </c>
      <c r="J744" s="1" t="s">
        <v>30</v>
      </c>
      <c r="K744" t="s">
        <v>3705</v>
      </c>
      <c r="L744" t="s">
        <v>3340</v>
      </c>
      <c r="M744">
        <v>81</v>
      </c>
      <c r="N744">
        <v>1.07</v>
      </c>
      <c r="O744" t="s">
        <v>211</v>
      </c>
      <c r="P744">
        <v>59.1</v>
      </c>
      <c r="R744" t="s">
        <v>3374</v>
      </c>
      <c r="T744" t="s">
        <v>3337</v>
      </c>
      <c r="U744">
        <v>-1</v>
      </c>
      <c r="V744" t="s">
        <v>3726</v>
      </c>
    </row>
    <row r="745" spans="1:22" ht="12.75" customHeight="1" x14ac:dyDescent="0.15">
      <c r="A745">
        <v>16</v>
      </c>
      <c r="B745">
        <v>2026</v>
      </c>
      <c r="C745" s="21">
        <v>46129</v>
      </c>
      <c r="D745" t="s">
        <v>73</v>
      </c>
      <c r="E745" t="s">
        <v>74</v>
      </c>
      <c r="F745" t="s">
        <v>75</v>
      </c>
      <c r="G745">
        <v>2.2999999999999998</v>
      </c>
      <c r="H745" t="s">
        <v>3505</v>
      </c>
      <c r="I745" t="s">
        <v>29</v>
      </c>
      <c r="J745" s="1" t="s">
        <v>30</v>
      </c>
      <c r="K745" t="s">
        <v>3705</v>
      </c>
      <c r="L745" t="s">
        <v>3340</v>
      </c>
      <c r="M745">
        <v>78</v>
      </c>
      <c r="N745">
        <v>1.07</v>
      </c>
      <c r="O745" t="s">
        <v>211</v>
      </c>
      <c r="P745">
        <v>59.1</v>
      </c>
      <c r="R745" t="s">
        <v>3341</v>
      </c>
      <c r="T745" t="s">
        <v>3337</v>
      </c>
      <c r="U745">
        <v>-1</v>
      </c>
      <c r="V745" t="s">
        <v>3726</v>
      </c>
    </row>
    <row r="746" spans="1:22" ht="12.75" customHeight="1" x14ac:dyDescent="0.15">
      <c r="A746">
        <v>16</v>
      </c>
      <c r="B746">
        <v>2026</v>
      </c>
      <c r="C746" s="21">
        <v>46129</v>
      </c>
      <c r="D746" t="s">
        <v>73</v>
      </c>
      <c r="E746" t="s">
        <v>74</v>
      </c>
      <c r="F746" t="s">
        <v>75</v>
      </c>
      <c r="G746">
        <v>2.2999999999999998</v>
      </c>
      <c r="H746" t="s">
        <v>3505</v>
      </c>
      <c r="I746" t="s">
        <v>29</v>
      </c>
      <c r="J746" s="1" t="s">
        <v>30</v>
      </c>
      <c r="K746" t="s">
        <v>3705</v>
      </c>
      <c r="L746" t="s">
        <v>3333</v>
      </c>
      <c r="M746">
        <v>2</v>
      </c>
      <c r="N746">
        <v>1</v>
      </c>
      <c r="O746" t="s">
        <v>3440</v>
      </c>
      <c r="P746">
        <v>90.49</v>
      </c>
      <c r="Q746">
        <v>8</v>
      </c>
      <c r="R746" t="s">
        <v>3424</v>
      </c>
      <c r="T746" t="s">
        <v>3337</v>
      </c>
      <c r="U746">
        <v>-1</v>
      </c>
      <c r="V746" t="s">
        <v>3618</v>
      </c>
    </row>
    <row r="747" spans="1:22" ht="12.75" customHeight="1" x14ac:dyDescent="0.15">
      <c r="A747">
        <v>16</v>
      </c>
      <c r="B747">
        <v>2026</v>
      </c>
      <c r="C747" s="21">
        <v>46129</v>
      </c>
      <c r="D747" t="s">
        <v>73</v>
      </c>
      <c r="E747" t="s">
        <v>74</v>
      </c>
      <c r="F747" t="s">
        <v>75</v>
      </c>
      <c r="G747">
        <v>2.2999999999999998</v>
      </c>
      <c r="H747" t="s">
        <v>3453</v>
      </c>
      <c r="I747" t="s">
        <v>187</v>
      </c>
      <c r="J747" s="1" t="s">
        <v>188</v>
      </c>
      <c r="K747" t="s">
        <v>181</v>
      </c>
      <c r="L747" t="s">
        <v>3333</v>
      </c>
      <c r="M747">
        <v>1</v>
      </c>
      <c r="N747">
        <v>0.32</v>
      </c>
      <c r="O747" t="s">
        <v>3358</v>
      </c>
      <c r="P747">
        <v>23.06</v>
      </c>
      <c r="R747" t="s">
        <v>3359</v>
      </c>
      <c r="T747" t="s">
        <v>3337</v>
      </c>
      <c r="U747">
        <v>-1</v>
      </c>
      <c r="V747" t="s">
        <v>3727</v>
      </c>
    </row>
    <row r="748" spans="1:22" ht="12.75" customHeight="1" x14ac:dyDescent="0.15">
      <c r="A748">
        <v>16</v>
      </c>
      <c r="B748">
        <v>2026</v>
      </c>
      <c r="C748" s="21">
        <v>46129</v>
      </c>
      <c r="D748" t="s">
        <v>73</v>
      </c>
      <c r="E748" t="s">
        <v>74</v>
      </c>
      <c r="F748" t="s">
        <v>75</v>
      </c>
      <c r="G748">
        <v>2.2999999999999998</v>
      </c>
      <c r="H748" t="s">
        <v>3453</v>
      </c>
      <c r="I748" t="s">
        <v>187</v>
      </c>
      <c r="J748" s="1" t="s">
        <v>188</v>
      </c>
      <c r="K748" t="s">
        <v>181</v>
      </c>
      <c r="L748" t="s">
        <v>3333</v>
      </c>
      <c r="M748">
        <v>6</v>
      </c>
      <c r="N748">
        <v>0.4</v>
      </c>
      <c r="O748" t="s">
        <v>3334</v>
      </c>
      <c r="P748">
        <v>32.78</v>
      </c>
      <c r="R748" t="s">
        <v>3335</v>
      </c>
      <c r="T748" t="s">
        <v>3337</v>
      </c>
      <c r="U748">
        <v>-1</v>
      </c>
      <c r="V748" t="s">
        <v>3728</v>
      </c>
    </row>
    <row r="749" spans="1:22" ht="12.75" customHeight="1" x14ac:dyDescent="0.15">
      <c r="A749">
        <v>16</v>
      </c>
      <c r="B749">
        <v>2026</v>
      </c>
      <c r="C749" s="21">
        <v>46129</v>
      </c>
      <c r="D749" t="s">
        <v>73</v>
      </c>
      <c r="E749" t="s">
        <v>74</v>
      </c>
      <c r="F749" t="s">
        <v>75</v>
      </c>
      <c r="G749">
        <v>2.2999999999999998</v>
      </c>
      <c r="H749" t="s">
        <v>3672</v>
      </c>
      <c r="I749" t="s">
        <v>3673</v>
      </c>
      <c r="J749" s="1" t="s">
        <v>26</v>
      </c>
      <c r="K749" t="s">
        <v>181</v>
      </c>
      <c r="L749" t="s">
        <v>3333</v>
      </c>
      <c r="M749">
        <v>86</v>
      </c>
      <c r="N749">
        <v>0.38</v>
      </c>
      <c r="O749" t="s">
        <v>3334</v>
      </c>
      <c r="P749">
        <v>30.59</v>
      </c>
      <c r="Q749">
        <v>3</v>
      </c>
      <c r="R749" t="s">
        <v>3386</v>
      </c>
      <c r="T749" t="s">
        <v>3402</v>
      </c>
      <c r="U749">
        <v>-1</v>
      </c>
      <c r="V749" t="s">
        <v>358</v>
      </c>
    </row>
    <row r="750" spans="1:22" ht="12.75" customHeight="1" x14ac:dyDescent="0.15">
      <c r="A750">
        <v>16</v>
      </c>
      <c r="B750">
        <v>2026</v>
      </c>
      <c r="C750" s="21">
        <v>46129</v>
      </c>
      <c r="D750" t="s">
        <v>68</v>
      </c>
      <c r="E750" t="s">
        <v>69</v>
      </c>
      <c r="F750" t="s">
        <v>21</v>
      </c>
      <c r="G750">
        <v>1</v>
      </c>
      <c r="H750" t="s">
        <v>3729</v>
      </c>
      <c r="I750" t="s">
        <v>327</v>
      </c>
      <c r="J750" s="1" t="s">
        <v>26</v>
      </c>
      <c r="K750" t="s">
        <v>181</v>
      </c>
      <c r="L750" t="s">
        <v>3333</v>
      </c>
      <c r="M750">
        <v>86</v>
      </c>
      <c r="N750">
        <v>0.63</v>
      </c>
      <c r="O750" t="s">
        <v>3334</v>
      </c>
      <c r="P750">
        <v>50.99</v>
      </c>
      <c r="Q750">
        <v>5</v>
      </c>
      <c r="R750" t="s">
        <v>3386</v>
      </c>
      <c r="T750" t="s">
        <v>3402</v>
      </c>
      <c r="U750">
        <v>15</v>
      </c>
      <c r="V750" t="s">
        <v>3574</v>
      </c>
    </row>
    <row r="751" spans="1:22" ht="12.75" customHeight="1" x14ac:dyDescent="0.15">
      <c r="A751">
        <v>16</v>
      </c>
      <c r="B751">
        <v>2026</v>
      </c>
      <c r="C751" s="21">
        <v>46129</v>
      </c>
      <c r="D751" t="s">
        <v>73</v>
      </c>
      <c r="E751" t="s">
        <v>74</v>
      </c>
      <c r="F751" t="s">
        <v>75</v>
      </c>
      <c r="G751">
        <v>2.2999999999999998</v>
      </c>
      <c r="H751" t="s">
        <v>3730</v>
      </c>
      <c r="I751" t="s">
        <v>3731</v>
      </c>
      <c r="J751" s="1" t="s">
        <v>3732</v>
      </c>
      <c r="K751" t="s">
        <v>181</v>
      </c>
      <c r="L751" t="s">
        <v>3333</v>
      </c>
      <c r="M751">
        <v>67</v>
      </c>
      <c r="N751">
        <v>0.19</v>
      </c>
      <c r="O751" t="s">
        <v>3334</v>
      </c>
      <c r="P751">
        <v>15.3</v>
      </c>
      <c r="Q751">
        <v>1.5</v>
      </c>
      <c r="R751" t="s">
        <v>3404</v>
      </c>
      <c r="T751" t="s">
        <v>3402</v>
      </c>
      <c r="U751">
        <v>-1</v>
      </c>
      <c r="V751" t="s">
        <v>3558</v>
      </c>
    </row>
    <row r="752" spans="1:22" ht="12.75" customHeight="1" x14ac:dyDescent="0.15">
      <c r="A752">
        <v>16</v>
      </c>
      <c r="B752">
        <v>2026</v>
      </c>
      <c r="C752" s="21">
        <v>46129</v>
      </c>
      <c r="D752" t="s">
        <v>73</v>
      </c>
      <c r="E752" t="s">
        <v>74</v>
      </c>
      <c r="F752" t="s">
        <v>75</v>
      </c>
      <c r="G752">
        <v>2.2999999999999998</v>
      </c>
      <c r="H752" t="s">
        <v>3730</v>
      </c>
      <c r="I752" t="s">
        <v>3731</v>
      </c>
      <c r="J752" s="1" t="s">
        <v>3732</v>
      </c>
      <c r="K752" t="s">
        <v>181</v>
      </c>
      <c r="L752" t="s">
        <v>3333</v>
      </c>
      <c r="M752">
        <v>19</v>
      </c>
      <c r="N752">
        <v>0.19</v>
      </c>
      <c r="O752" t="s">
        <v>3334</v>
      </c>
      <c r="P752">
        <v>15.3</v>
      </c>
      <c r="Q752">
        <v>1.5</v>
      </c>
      <c r="R752" t="s">
        <v>3403</v>
      </c>
      <c r="T752" t="s">
        <v>3402</v>
      </c>
      <c r="U752">
        <v>-1</v>
      </c>
      <c r="V752" t="s">
        <v>3558</v>
      </c>
    </row>
    <row r="753" spans="1:22" ht="12.75" customHeight="1" x14ac:dyDescent="0.15">
      <c r="A753">
        <v>16</v>
      </c>
      <c r="B753">
        <v>2026</v>
      </c>
      <c r="C753" s="21">
        <v>46129</v>
      </c>
      <c r="D753" t="s">
        <v>73</v>
      </c>
      <c r="E753" t="s">
        <v>74</v>
      </c>
      <c r="F753" t="s">
        <v>75</v>
      </c>
      <c r="G753">
        <v>2.2999999999999998</v>
      </c>
      <c r="H753" t="s">
        <v>3730</v>
      </c>
      <c r="I753" t="s">
        <v>3731</v>
      </c>
      <c r="J753" s="1" t="s">
        <v>3732</v>
      </c>
      <c r="K753" t="s">
        <v>181</v>
      </c>
      <c r="L753" t="s">
        <v>3333</v>
      </c>
      <c r="M753">
        <v>91</v>
      </c>
      <c r="N753">
        <v>0.19</v>
      </c>
      <c r="O753" t="s">
        <v>3334</v>
      </c>
      <c r="P753">
        <v>15.3</v>
      </c>
      <c r="Q753">
        <v>1.5</v>
      </c>
      <c r="R753" t="s">
        <v>3412</v>
      </c>
      <c r="T753" t="s">
        <v>3402</v>
      </c>
      <c r="U753">
        <v>-1</v>
      </c>
      <c r="V753" t="s">
        <v>3558</v>
      </c>
    </row>
    <row r="754" spans="1:22" ht="12.75" customHeight="1" x14ac:dyDescent="0.15">
      <c r="A754">
        <v>16</v>
      </c>
      <c r="B754">
        <v>2026</v>
      </c>
      <c r="C754" s="21">
        <v>46129</v>
      </c>
      <c r="D754" t="s">
        <v>73</v>
      </c>
      <c r="E754" t="s">
        <v>74</v>
      </c>
      <c r="F754" t="s">
        <v>75</v>
      </c>
      <c r="G754">
        <v>2.2999999999999998</v>
      </c>
      <c r="H754" t="s">
        <v>3495</v>
      </c>
      <c r="I754" t="s">
        <v>29</v>
      </c>
      <c r="J754" s="1" t="s">
        <v>30</v>
      </c>
      <c r="K754" t="s">
        <v>3705</v>
      </c>
      <c r="L754" t="s">
        <v>3333</v>
      </c>
      <c r="M754">
        <v>67</v>
      </c>
      <c r="N754">
        <v>0.38</v>
      </c>
      <c r="O754" t="s">
        <v>3334</v>
      </c>
      <c r="P754">
        <v>30.59</v>
      </c>
      <c r="Q754">
        <v>3</v>
      </c>
      <c r="R754" t="s">
        <v>3404</v>
      </c>
      <c r="T754" t="s">
        <v>3402</v>
      </c>
      <c r="U754">
        <v>-1</v>
      </c>
      <c r="V754" t="s">
        <v>358</v>
      </c>
    </row>
    <row r="755" spans="1:22" ht="12.75" customHeight="1" x14ac:dyDescent="0.15">
      <c r="A755">
        <v>16</v>
      </c>
      <c r="B755">
        <v>2026</v>
      </c>
      <c r="C755" s="21">
        <v>46129</v>
      </c>
      <c r="D755" t="s">
        <v>73</v>
      </c>
      <c r="E755" t="s">
        <v>74</v>
      </c>
      <c r="F755" t="s">
        <v>75</v>
      </c>
      <c r="G755">
        <v>2.2999999999999998</v>
      </c>
      <c r="H755" t="s">
        <v>3495</v>
      </c>
      <c r="I755" t="s">
        <v>29</v>
      </c>
      <c r="J755" s="1" t="s">
        <v>30</v>
      </c>
      <c r="K755" t="s">
        <v>3705</v>
      </c>
      <c r="L755" t="s">
        <v>3333</v>
      </c>
      <c r="M755">
        <v>19</v>
      </c>
      <c r="N755">
        <v>0.38</v>
      </c>
      <c r="O755" t="s">
        <v>3334</v>
      </c>
      <c r="P755">
        <v>30.59</v>
      </c>
      <c r="Q755">
        <v>3</v>
      </c>
      <c r="R755" t="s">
        <v>3403</v>
      </c>
      <c r="T755" t="s">
        <v>3402</v>
      </c>
      <c r="U755">
        <v>-1</v>
      </c>
      <c r="V755" t="s">
        <v>358</v>
      </c>
    </row>
    <row r="756" spans="1:22" ht="12.75" customHeight="1" x14ac:dyDescent="0.15">
      <c r="A756">
        <v>16</v>
      </c>
      <c r="B756">
        <v>2026</v>
      </c>
      <c r="C756" s="21">
        <v>46129</v>
      </c>
      <c r="D756" t="s">
        <v>73</v>
      </c>
      <c r="E756" t="s">
        <v>74</v>
      </c>
      <c r="F756" t="s">
        <v>75</v>
      </c>
      <c r="G756">
        <v>2.2999999999999998</v>
      </c>
      <c r="H756" t="s">
        <v>3495</v>
      </c>
      <c r="I756" t="s">
        <v>29</v>
      </c>
      <c r="J756" s="1" t="s">
        <v>30</v>
      </c>
      <c r="K756" t="s">
        <v>3705</v>
      </c>
      <c r="L756" t="s">
        <v>3333</v>
      </c>
      <c r="M756">
        <v>91</v>
      </c>
      <c r="N756">
        <v>0.38</v>
      </c>
      <c r="O756" t="s">
        <v>3334</v>
      </c>
      <c r="P756">
        <v>30.59</v>
      </c>
      <c r="Q756">
        <v>3</v>
      </c>
      <c r="R756" t="s">
        <v>3412</v>
      </c>
      <c r="T756" t="s">
        <v>3402</v>
      </c>
      <c r="U756">
        <v>-1</v>
      </c>
      <c r="V756" t="s">
        <v>358</v>
      </c>
    </row>
    <row r="757" spans="1:22" ht="12.75" customHeight="1" x14ac:dyDescent="0.15">
      <c r="A757">
        <v>16</v>
      </c>
      <c r="B757">
        <v>2026</v>
      </c>
      <c r="C757" s="21">
        <v>46129</v>
      </c>
      <c r="D757" t="s">
        <v>73</v>
      </c>
      <c r="E757" t="s">
        <v>74</v>
      </c>
      <c r="F757" t="s">
        <v>75</v>
      </c>
      <c r="G757">
        <v>2.2999999999999998</v>
      </c>
      <c r="H757" t="s">
        <v>3495</v>
      </c>
      <c r="I757" t="s">
        <v>29</v>
      </c>
      <c r="J757" s="1" t="s">
        <v>30</v>
      </c>
      <c r="K757" t="s">
        <v>3705</v>
      </c>
      <c r="L757" t="s">
        <v>3340</v>
      </c>
      <c r="M757">
        <v>78</v>
      </c>
      <c r="N757">
        <v>1.07</v>
      </c>
      <c r="O757" t="s">
        <v>211</v>
      </c>
      <c r="P757">
        <v>59.1</v>
      </c>
      <c r="R757" t="s">
        <v>3341</v>
      </c>
      <c r="T757" t="s">
        <v>3402</v>
      </c>
      <c r="U757">
        <v>-1</v>
      </c>
      <c r="V757" t="s">
        <v>3726</v>
      </c>
    </row>
    <row r="758" spans="1:22" ht="12.75" customHeight="1" x14ac:dyDescent="0.15">
      <c r="A758">
        <v>16</v>
      </c>
      <c r="B758">
        <v>2026</v>
      </c>
      <c r="C758" s="21">
        <v>46129</v>
      </c>
      <c r="D758" t="s">
        <v>89</v>
      </c>
      <c r="E758" t="s">
        <v>3733</v>
      </c>
      <c r="F758" t="s">
        <v>21</v>
      </c>
      <c r="G758">
        <v>1</v>
      </c>
      <c r="H758" t="s">
        <v>3614</v>
      </c>
      <c r="I758" t="s">
        <v>3615</v>
      </c>
      <c r="J758" s="1" t="s">
        <v>3533</v>
      </c>
      <c r="K758" t="s">
        <v>181</v>
      </c>
      <c r="L758" t="s">
        <v>3333</v>
      </c>
      <c r="M758">
        <v>3</v>
      </c>
      <c r="N758">
        <v>0.18</v>
      </c>
      <c r="P758">
        <v>10</v>
      </c>
      <c r="R758" t="s">
        <v>3478</v>
      </c>
      <c r="T758" t="s">
        <v>3402</v>
      </c>
      <c r="U758">
        <v>2</v>
      </c>
      <c r="V758" t="s">
        <v>3711</v>
      </c>
    </row>
    <row r="759" spans="1:22" ht="12.75" customHeight="1" x14ac:dyDescent="0.15">
      <c r="A759">
        <v>16</v>
      </c>
      <c r="B759">
        <v>2026</v>
      </c>
      <c r="C759" s="21">
        <v>46129</v>
      </c>
      <c r="D759" t="s">
        <v>89</v>
      </c>
      <c r="E759" t="s">
        <v>3733</v>
      </c>
      <c r="F759" t="s">
        <v>21</v>
      </c>
      <c r="G759">
        <v>1</v>
      </c>
      <c r="H759" t="s">
        <v>3614</v>
      </c>
      <c r="I759" t="s">
        <v>3615</v>
      </c>
      <c r="J759" s="1" t="s">
        <v>3533</v>
      </c>
      <c r="K759" t="s">
        <v>181</v>
      </c>
      <c r="L759" t="s">
        <v>3340</v>
      </c>
      <c r="M759">
        <v>40</v>
      </c>
      <c r="N759">
        <v>0.16</v>
      </c>
      <c r="P759">
        <v>9</v>
      </c>
      <c r="R759" t="s">
        <v>3482</v>
      </c>
      <c r="T759" t="s">
        <v>3402</v>
      </c>
      <c r="U759">
        <v>2</v>
      </c>
      <c r="V759" t="s">
        <v>3473</v>
      </c>
    </row>
    <row r="760" spans="1:22" ht="12.75" customHeight="1" x14ac:dyDescent="0.15">
      <c r="A760">
        <v>16</v>
      </c>
      <c r="B760">
        <v>2026</v>
      </c>
      <c r="C760" s="21">
        <v>46129</v>
      </c>
      <c r="D760" t="s">
        <v>91</v>
      </c>
      <c r="E760" t="s">
        <v>92</v>
      </c>
      <c r="F760" t="s">
        <v>21</v>
      </c>
      <c r="G760">
        <v>1</v>
      </c>
      <c r="H760" t="s">
        <v>3552</v>
      </c>
      <c r="I760" t="s">
        <v>3734</v>
      </c>
      <c r="J760" s="1" t="s">
        <v>3533</v>
      </c>
      <c r="K760" t="s">
        <v>181</v>
      </c>
      <c r="L760" t="s">
        <v>3333</v>
      </c>
      <c r="M760">
        <v>3</v>
      </c>
      <c r="N760">
        <v>0.36</v>
      </c>
      <c r="P760">
        <v>20</v>
      </c>
      <c r="R760" t="s">
        <v>3478</v>
      </c>
      <c r="T760" t="s">
        <v>3402</v>
      </c>
      <c r="U760">
        <v>-1</v>
      </c>
      <c r="V760" t="s">
        <v>257</v>
      </c>
    </row>
    <row r="761" spans="1:22" ht="12.75" customHeight="1" x14ac:dyDescent="0.15">
      <c r="A761">
        <v>16</v>
      </c>
      <c r="B761">
        <v>2026</v>
      </c>
      <c r="C761" s="21">
        <v>46129</v>
      </c>
      <c r="D761" t="s">
        <v>91</v>
      </c>
      <c r="E761" t="s">
        <v>92</v>
      </c>
      <c r="F761" t="s">
        <v>21</v>
      </c>
      <c r="G761">
        <v>1</v>
      </c>
      <c r="H761" t="s">
        <v>3552</v>
      </c>
      <c r="I761" t="s">
        <v>3734</v>
      </c>
      <c r="J761" s="1" t="s">
        <v>3533</v>
      </c>
      <c r="K761" t="s">
        <v>181</v>
      </c>
      <c r="L761" t="s">
        <v>3340</v>
      </c>
      <c r="M761">
        <v>40</v>
      </c>
      <c r="N761">
        <v>0.33</v>
      </c>
      <c r="P761">
        <v>18</v>
      </c>
      <c r="R761" t="s">
        <v>3482</v>
      </c>
      <c r="T761" t="s">
        <v>3402</v>
      </c>
      <c r="U761">
        <v>-1</v>
      </c>
      <c r="V761" t="s">
        <v>260</v>
      </c>
    </row>
    <row r="762" spans="1:22" ht="12.75" customHeight="1" x14ac:dyDescent="0.15">
      <c r="A762">
        <v>16</v>
      </c>
      <c r="B762">
        <v>2026</v>
      </c>
      <c r="C762" s="21">
        <v>46129</v>
      </c>
      <c r="D762" t="s">
        <v>73</v>
      </c>
      <c r="E762" t="s">
        <v>74</v>
      </c>
      <c r="F762" t="s">
        <v>75</v>
      </c>
      <c r="G762">
        <v>2.2999999999999998</v>
      </c>
      <c r="H762" t="s">
        <v>3735</v>
      </c>
      <c r="I762" t="s">
        <v>212</v>
      </c>
      <c r="J762" s="1" t="s">
        <v>188</v>
      </c>
      <c r="K762" t="s">
        <v>181</v>
      </c>
      <c r="L762" t="s">
        <v>3333</v>
      </c>
      <c r="M762">
        <v>3</v>
      </c>
      <c r="N762">
        <v>0.48</v>
      </c>
      <c r="P762">
        <v>26.5</v>
      </c>
      <c r="R762" t="s">
        <v>3478</v>
      </c>
      <c r="S762" t="s">
        <v>3736</v>
      </c>
      <c r="T762" t="s">
        <v>3402</v>
      </c>
      <c r="U762">
        <v>-1</v>
      </c>
      <c r="V762" t="s">
        <v>3737</v>
      </c>
    </row>
    <row r="763" spans="1:22" ht="12.75" customHeight="1" x14ac:dyDescent="0.15">
      <c r="A763">
        <v>16</v>
      </c>
      <c r="B763">
        <v>2026</v>
      </c>
      <c r="C763" s="21">
        <v>46129</v>
      </c>
      <c r="D763" t="s">
        <v>73</v>
      </c>
      <c r="E763" t="s">
        <v>74</v>
      </c>
      <c r="F763" t="s">
        <v>75</v>
      </c>
      <c r="G763">
        <v>2.2999999999999998</v>
      </c>
      <c r="H763" t="s">
        <v>3735</v>
      </c>
      <c r="I763" t="s">
        <v>212</v>
      </c>
      <c r="J763" s="1" t="s">
        <v>188</v>
      </c>
      <c r="K763" t="s">
        <v>181</v>
      </c>
      <c r="L763" t="s">
        <v>3340</v>
      </c>
      <c r="M763">
        <v>40</v>
      </c>
      <c r="N763">
        <v>0.41</v>
      </c>
      <c r="P763">
        <v>22.5</v>
      </c>
      <c r="R763" t="s">
        <v>3482</v>
      </c>
      <c r="S763" t="s">
        <v>3736</v>
      </c>
      <c r="T763" t="s">
        <v>3402</v>
      </c>
      <c r="U763">
        <v>-1</v>
      </c>
      <c r="V763" t="s">
        <v>3738</v>
      </c>
    </row>
    <row r="764" spans="1:22" ht="12.75" customHeight="1" x14ac:dyDescent="0.15">
      <c r="A764">
        <v>16</v>
      </c>
      <c r="B764">
        <v>2026</v>
      </c>
      <c r="C764" s="21">
        <v>46129</v>
      </c>
      <c r="D764" t="s">
        <v>89</v>
      </c>
      <c r="E764" t="s">
        <v>90</v>
      </c>
      <c r="F764" t="s">
        <v>21</v>
      </c>
      <c r="G764">
        <v>1</v>
      </c>
      <c r="H764" t="s">
        <v>3614</v>
      </c>
      <c r="I764" t="s">
        <v>3615</v>
      </c>
      <c r="J764" s="1" t="s">
        <v>3533</v>
      </c>
      <c r="K764" t="s">
        <v>181</v>
      </c>
      <c r="L764" t="s">
        <v>3477</v>
      </c>
      <c r="M764">
        <v>3</v>
      </c>
      <c r="N764">
        <v>0.02</v>
      </c>
      <c r="O764" t="s">
        <v>3334</v>
      </c>
      <c r="P764">
        <v>1.84</v>
      </c>
      <c r="Q764">
        <v>0.18</v>
      </c>
      <c r="R764" t="s">
        <v>3478</v>
      </c>
      <c r="T764" t="s">
        <v>3479</v>
      </c>
      <c r="U764">
        <v>2</v>
      </c>
      <c r="V764" t="s">
        <v>3480</v>
      </c>
    </row>
    <row r="765" spans="1:22" ht="12.75" customHeight="1" x14ac:dyDescent="0.15">
      <c r="A765">
        <v>16</v>
      </c>
      <c r="B765">
        <v>2026</v>
      </c>
      <c r="C765" s="21">
        <v>46129</v>
      </c>
      <c r="D765" t="s">
        <v>89</v>
      </c>
      <c r="E765" t="s">
        <v>90</v>
      </c>
      <c r="F765" t="s">
        <v>21</v>
      </c>
      <c r="G765">
        <v>1</v>
      </c>
      <c r="H765" t="s">
        <v>3614</v>
      </c>
      <c r="I765" t="s">
        <v>3615</v>
      </c>
      <c r="J765" s="1" t="s">
        <v>3533</v>
      </c>
      <c r="K765" t="s">
        <v>181</v>
      </c>
      <c r="L765" t="s">
        <v>3481</v>
      </c>
      <c r="M765">
        <v>40</v>
      </c>
      <c r="N765">
        <v>0.03</v>
      </c>
      <c r="O765" t="s">
        <v>211</v>
      </c>
      <c r="P765">
        <v>1.44</v>
      </c>
      <c r="Q765">
        <v>0.16</v>
      </c>
      <c r="R765" t="s">
        <v>3482</v>
      </c>
      <c r="T765" t="s">
        <v>3479</v>
      </c>
      <c r="U765">
        <v>2</v>
      </c>
      <c r="V765" t="s">
        <v>3541</v>
      </c>
    </row>
    <row r="766" spans="1:22" ht="12.75" customHeight="1" x14ac:dyDescent="0.15">
      <c r="A766">
        <v>16</v>
      </c>
      <c r="B766">
        <v>2026</v>
      </c>
      <c r="C766" s="21">
        <v>46129</v>
      </c>
      <c r="D766" t="s">
        <v>91</v>
      </c>
      <c r="E766" t="s">
        <v>92</v>
      </c>
      <c r="F766" t="s">
        <v>21</v>
      </c>
      <c r="G766">
        <v>1.3</v>
      </c>
      <c r="H766" t="s">
        <v>3552</v>
      </c>
      <c r="I766" t="s">
        <v>3553</v>
      </c>
      <c r="J766" s="1" t="s">
        <v>3533</v>
      </c>
      <c r="K766" t="s">
        <v>181</v>
      </c>
      <c r="L766" t="s">
        <v>3477</v>
      </c>
      <c r="M766">
        <v>3</v>
      </c>
      <c r="N766">
        <v>0.05</v>
      </c>
      <c r="O766" t="s">
        <v>3334</v>
      </c>
      <c r="P766">
        <v>3.67</v>
      </c>
      <c r="Q766">
        <v>0.36</v>
      </c>
      <c r="R766" t="s">
        <v>3478</v>
      </c>
      <c r="T766" t="s">
        <v>3479</v>
      </c>
      <c r="U766">
        <v>-1</v>
      </c>
      <c r="V766" t="s">
        <v>3687</v>
      </c>
    </row>
    <row r="767" spans="1:22" ht="12.75" customHeight="1" x14ac:dyDescent="0.15">
      <c r="A767">
        <v>16</v>
      </c>
      <c r="B767">
        <v>2026</v>
      </c>
      <c r="C767" s="21">
        <v>46129</v>
      </c>
      <c r="D767" t="s">
        <v>91</v>
      </c>
      <c r="E767" t="s">
        <v>92</v>
      </c>
      <c r="F767" t="s">
        <v>21</v>
      </c>
      <c r="G767">
        <v>1.3</v>
      </c>
      <c r="H767" t="s">
        <v>3552</v>
      </c>
      <c r="I767" t="s">
        <v>3553</v>
      </c>
      <c r="J767" s="1" t="s">
        <v>3533</v>
      </c>
      <c r="K767" t="s">
        <v>181</v>
      </c>
      <c r="L767" t="s">
        <v>3481</v>
      </c>
      <c r="M767">
        <v>40</v>
      </c>
      <c r="N767">
        <v>0.05</v>
      </c>
      <c r="O767" t="s">
        <v>211</v>
      </c>
      <c r="P767">
        <v>2.97</v>
      </c>
      <c r="Q767">
        <v>0.33</v>
      </c>
      <c r="R767" t="s">
        <v>3482</v>
      </c>
      <c r="T767" t="s">
        <v>3479</v>
      </c>
      <c r="U767">
        <v>-1</v>
      </c>
      <c r="V767" t="s">
        <v>3688</v>
      </c>
    </row>
    <row r="768" spans="1:22" ht="12.75" customHeight="1" x14ac:dyDescent="0.15">
      <c r="A768">
        <v>16</v>
      </c>
      <c r="B768">
        <v>2026</v>
      </c>
      <c r="C768" s="21">
        <v>46130</v>
      </c>
      <c r="D768" t="s">
        <v>73</v>
      </c>
      <c r="E768" t="s">
        <v>74</v>
      </c>
      <c r="F768" t="s">
        <v>75</v>
      </c>
      <c r="G768">
        <v>2.2999999999999998</v>
      </c>
      <c r="H768" t="s">
        <v>3505</v>
      </c>
      <c r="I768" t="s">
        <v>29</v>
      </c>
      <c r="J768" s="1" t="s">
        <v>30</v>
      </c>
      <c r="K768" t="s">
        <v>3705</v>
      </c>
      <c r="L768" t="s">
        <v>3340</v>
      </c>
      <c r="M768">
        <v>45</v>
      </c>
      <c r="N768">
        <v>2.1</v>
      </c>
      <c r="O768" t="s">
        <v>211</v>
      </c>
      <c r="P768">
        <v>115.5</v>
      </c>
      <c r="R768" t="s">
        <v>3377</v>
      </c>
      <c r="T768" t="s">
        <v>3337</v>
      </c>
      <c r="U768">
        <v>0</v>
      </c>
      <c r="V768" t="s">
        <v>3739</v>
      </c>
    </row>
    <row r="769" spans="1:22" ht="12.75" customHeight="1" x14ac:dyDescent="0.15">
      <c r="A769">
        <v>16</v>
      </c>
      <c r="B769">
        <v>2026</v>
      </c>
      <c r="C769" s="21">
        <v>46130</v>
      </c>
      <c r="D769" t="s">
        <v>73</v>
      </c>
      <c r="E769" t="s">
        <v>74</v>
      </c>
      <c r="F769" t="s">
        <v>75</v>
      </c>
      <c r="G769">
        <v>2.2999999999999998</v>
      </c>
      <c r="H769" t="s">
        <v>3505</v>
      </c>
      <c r="I769" t="s">
        <v>29</v>
      </c>
      <c r="J769" s="1" t="s">
        <v>30</v>
      </c>
      <c r="K769" t="s">
        <v>3705</v>
      </c>
      <c r="L769" t="s">
        <v>3340</v>
      </c>
      <c r="M769">
        <v>132</v>
      </c>
      <c r="N769">
        <v>2.1</v>
      </c>
      <c r="O769" t="s">
        <v>211</v>
      </c>
      <c r="P769">
        <v>115.5</v>
      </c>
      <c r="R769" t="s">
        <v>3368</v>
      </c>
      <c r="T769" t="s">
        <v>3337</v>
      </c>
      <c r="U769">
        <v>0</v>
      </c>
      <c r="V769" t="s">
        <v>3739</v>
      </c>
    </row>
    <row r="770" spans="1:22" ht="12.75" customHeight="1" x14ac:dyDescent="0.15">
      <c r="A770">
        <v>16</v>
      </c>
      <c r="B770">
        <v>2026</v>
      </c>
      <c r="C770" s="21">
        <v>46130</v>
      </c>
      <c r="D770" t="s">
        <v>73</v>
      </c>
      <c r="E770" t="s">
        <v>74</v>
      </c>
      <c r="F770" t="s">
        <v>75</v>
      </c>
      <c r="G770">
        <v>2.2999999999999998</v>
      </c>
      <c r="H770" t="s">
        <v>3505</v>
      </c>
      <c r="I770" t="s">
        <v>29</v>
      </c>
      <c r="J770" s="1" t="s">
        <v>30</v>
      </c>
      <c r="K770" t="s">
        <v>3705</v>
      </c>
      <c r="L770" t="s">
        <v>3340</v>
      </c>
      <c r="M770">
        <v>58</v>
      </c>
      <c r="N770">
        <v>2.1</v>
      </c>
      <c r="O770" t="s">
        <v>211</v>
      </c>
      <c r="P770">
        <v>115.5</v>
      </c>
      <c r="R770" t="s">
        <v>3343</v>
      </c>
      <c r="T770" t="s">
        <v>3337</v>
      </c>
      <c r="U770">
        <v>0</v>
      </c>
      <c r="V770" t="s">
        <v>3739</v>
      </c>
    </row>
    <row r="771" spans="1:22" ht="12.75" customHeight="1" x14ac:dyDescent="0.15">
      <c r="A771">
        <v>16</v>
      </c>
      <c r="B771">
        <v>2026</v>
      </c>
      <c r="C771" s="21">
        <v>46130</v>
      </c>
      <c r="D771" t="s">
        <v>73</v>
      </c>
      <c r="E771" t="s">
        <v>74</v>
      </c>
      <c r="F771" t="s">
        <v>75</v>
      </c>
      <c r="G771">
        <v>2.2999999999999998</v>
      </c>
      <c r="H771" t="s">
        <v>3505</v>
      </c>
      <c r="I771" t="s">
        <v>29</v>
      </c>
      <c r="J771" s="1" t="s">
        <v>30</v>
      </c>
      <c r="K771" t="s">
        <v>3705</v>
      </c>
      <c r="L771" t="s">
        <v>3340</v>
      </c>
      <c r="M771">
        <v>53</v>
      </c>
      <c r="N771">
        <v>2.1</v>
      </c>
      <c r="O771" t="s">
        <v>211</v>
      </c>
      <c r="P771">
        <v>115.5</v>
      </c>
      <c r="R771" t="s">
        <v>3373</v>
      </c>
      <c r="T771" t="s">
        <v>3337</v>
      </c>
      <c r="U771">
        <v>0</v>
      </c>
      <c r="V771" t="s">
        <v>3739</v>
      </c>
    </row>
    <row r="772" spans="1:22" ht="12.75" customHeight="1" x14ac:dyDescent="0.15">
      <c r="A772">
        <v>16</v>
      </c>
      <c r="B772">
        <v>2026</v>
      </c>
      <c r="C772" s="21">
        <v>46130</v>
      </c>
      <c r="D772" t="s">
        <v>73</v>
      </c>
      <c r="E772" t="s">
        <v>74</v>
      </c>
      <c r="F772" t="s">
        <v>75</v>
      </c>
      <c r="G772">
        <v>2.2999999999999998</v>
      </c>
      <c r="H772" t="s">
        <v>3505</v>
      </c>
      <c r="I772" t="s">
        <v>29</v>
      </c>
      <c r="J772" s="1" t="s">
        <v>30</v>
      </c>
      <c r="K772" t="s">
        <v>3705</v>
      </c>
      <c r="L772" t="s">
        <v>3340</v>
      </c>
      <c r="M772">
        <v>81</v>
      </c>
      <c r="N772">
        <v>2.1</v>
      </c>
      <c r="O772" t="s">
        <v>211</v>
      </c>
      <c r="P772">
        <v>115.5</v>
      </c>
      <c r="R772" t="s">
        <v>3374</v>
      </c>
      <c r="T772" t="s">
        <v>3337</v>
      </c>
      <c r="U772">
        <v>0</v>
      </c>
      <c r="V772" t="s">
        <v>3739</v>
      </c>
    </row>
    <row r="773" spans="1:22" ht="12.75" customHeight="1" x14ac:dyDescent="0.15">
      <c r="A773">
        <v>16</v>
      </c>
      <c r="B773">
        <v>2026</v>
      </c>
      <c r="C773" s="21">
        <v>46130</v>
      </c>
      <c r="D773" t="s">
        <v>73</v>
      </c>
      <c r="E773" t="s">
        <v>74</v>
      </c>
      <c r="F773" t="s">
        <v>75</v>
      </c>
      <c r="G773">
        <v>2.2999999999999998</v>
      </c>
      <c r="H773" t="s">
        <v>3505</v>
      </c>
      <c r="I773" t="s">
        <v>29</v>
      </c>
      <c r="J773" s="1" t="s">
        <v>30</v>
      </c>
      <c r="K773" t="s">
        <v>3705</v>
      </c>
      <c r="L773" t="s">
        <v>3333</v>
      </c>
      <c r="M773">
        <v>2</v>
      </c>
      <c r="N773">
        <v>1</v>
      </c>
      <c r="O773" t="s">
        <v>3440</v>
      </c>
      <c r="P773">
        <v>90.49</v>
      </c>
      <c r="Q773">
        <v>8</v>
      </c>
      <c r="R773" t="s">
        <v>3424</v>
      </c>
      <c r="T773" t="s">
        <v>3337</v>
      </c>
      <c r="U773">
        <v>0</v>
      </c>
      <c r="V773" t="s">
        <v>3618</v>
      </c>
    </row>
    <row r="774" spans="1:22" ht="12.75" customHeight="1" x14ac:dyDescent="0.15">
      <c r="A774">
        <v>16</v>
      </c>
      <c r="B774">
        <v>2026</v>
      </c>
      <c r="C774" s="21">
        <v>46130</v>
      </c>
      <c r="D774" t="s">
        <v>73</v>
      </c>
      <c r="E774" t="s">
        <v>74</v>
      </c>
      <c r="F774" t="s">
        <v>75</v>
      </c>
      <c r="G774">
        <v>2.2999999999999998</v>
      </c>
      <c r="H774" t="s">
        <v>3505</v>
      </c>
      <c r="I774" t="s">
        <v>29</v>
      </c>
      <c r="J774" s="1" t="s">
        <v>30</v>
      </c>
      <c r="K774" t="s">
        <v>3705</v>
      </c>
      <c r="L774" t="s">
        <v>3340</v>
      </c>
      <c r="M774">
        <v>2</v>
      </c>
      <c r="N774">
        <v>0.45</v>
      </c>
      <c r="O774" t="s">
        <v>211</v>
      </c>
      <c r="P774">
        <v>25.01</v>
      </c>
      <c r="R774" t="s">
        <v>3424</v>
      </c>
      <c r="T774" t="s">
        <v>3337</v>
      </c>
      <c r="U774">
        <v>0</v>
      </c>
      <c r="V774" t="s">
        <v>3740</v>
      </c>
    </row>
    <row r="775" spans="1:22" ht="12.75" customHeight="1" x14ac:dyDescent="0.15">
      <c r="A775">
        <v>16</v>
      </c>
      <c r="B775">
        <v>2026</v>
      </c>
      <c r="C775" s="21">
        <v>46130</v>
      </c>
      <c r="D775" t="s">
        <v>73</v>
      </c>
      <c r="E775" t="s">
        <v>74</v>
      </c>
      <c r="F775" t="s">
        <v>75</v>
      </c>
      <c r="G775">
        <v>2.2999999999999998</v>
      </c>
      <c r="H775" t="s">
        <v>3453</v>
      </c>
      <c r="I775" t="s">
        <v>187</v>
      </c>
      <c r="J775" s="1" t="s">
        <v>188</v>
      </c>
      <c r="K775" t="s">
        <v>181</v>
      </c>
      <c r="L775" t="s">
        <v>3333</v>
      </c>
      <c r="M775">
        <v>1</v>
      </c>
      <c r="N775">
        <v>1</v>
      </c>
      <c r="O775" t="s">
        <v>3358</v>
      </c>
      <c r="P775">
        <v>71.86</v>
      </c>
      <c r="Q775">
        <v>8</v>
      </c>
      <c r="R775" t="s">
        <v>3359</v>
      </c>
      <c r="T775" t="s">
        <v>3337</v>
      </c>
      <c r="U775">
        <v>0</v>
      </c>
      <c r="V775" t="s">
        <v>3611</v>
      </c>
    </row>
    <row r="776" spans="1:22" ht="12.75" customHeight="1" x14ac:dyDescent="0.15">
      <c r="A776">
        <v>16</v>
      </c>
      <c r="B776">
        <v>2026</v>
      </c>
      <c r="C776" s="21">
        <v>46130</v>
      </c>
      <c r="D776" t="s">
        <v>73</v>
      </c>
      <c r="E776" t="s">
        <v>74</v>
      </c>
      <c r="F776" t="s">
        <v>75</v>
      </c>
      <c r="G776">
        <v>2.2999999999999998</v>
      </c>
      <c r="H776" t="s">
        <v>3454</v>
      </c>
      <c r="I776" t="s">
        <v>212</v>
      </c>
      <c r="J776" s="1" t="s">
        <v>188</v>
      </c>
      <c r="K776" t="s">
        <v>181</v>
      </c>
      <c r="L776" t="s">
        <v>3333</v>
      </c>
      <c r="M776">
        <v>6</v>
      </c>
      <c r="N776">
        <v>1</v>
      </c>
      <c r="O776" t="s">
        <v>3334</v>
      </c>
      <c r="P776">
        <v>81.58</v>
      </c>
      <c r="Q776">
        <v>8</v>
      </c>
      <c r="R776" t="s">
        <v>3335</v>
      </c>
      <c r="S776" t="s">
        <v>3741</v>
      </c>
      <c r="T776" t="s">
        <v>3337</v>
      </c>
      <c r="U776">
        <v>0</v>
      </c>
      <c r="V776" t="s">
        <v>3612</v>
      </c>
    </row>
    <row r="777" spans="1:22" ht="12.75" customHeight="1" x14ac:dyDescent="0.15">
      <c r="A777">
        <v>16</v>
      </c>
      <c r="B777">
        <v>2026</v>
      </c>
      <c r="C777" s="21">
        <v>46130</v>
      </c>
      <c r="D777" t="s">
        <v>73</v>
      </c>
      <c r="E777" t="s">
        <v>74</v>
      </c>
      <c r="F777" t="s">
        <v>75</v>
      </c>
      <c r="G777">
        <v>2.2999999999999998</v>
      </c>
      <c r="H777" t="s">
        <v>3454</v>
      </c>
      <c r="I777" t="s">
        <v>212</v>
      </c>
      <c r="J777" s="1" t="s">
        <v>188</v>
      </c>
      <c r="K777" t="s">
        <v>181</v>
      </c>
      <c r="L777" t="s">
        <v>3340</v>
      </c>
      <c r="M777">
        <v>1</v>
      </c>
      <c r="N777">
        <v>0.25</v>
      </c>
      <c r="O777" t="s">
        <v>211</v>
      </c>
      <c r="P777">
        <v>13.5</v>
      </c>
      <c r="Q777">
        <v>1.5</v>
      </c>
      <c r="R777" t="s">
        <v>3359</v>
      </c>
      <c r="T777" t="s">
        <v>3337</v>
      </c>
      <c r="U777">
        <v>0</v>
      </c>
      <c r="V777" t="s">
        <v>3742</v>
      </c>
    </row>
    <row r="778" spans="1:22" ht="12.75" customHeight="1" x14ac:dyDescent="0.15">
      <c r="A778">
        <v>16</v>
      </c>
      <c r="B778">
        <v>2026</v>
      </c>
      <c r="C778" s="21">
        <v>46130</v>
      </c>
      <c r="D778" t="s">
        <v>73</v>
      </c>
      <c r="E778" t="s">
        <v>74</v>
      </c>
      <c r="F778" t="s">
        <v>75</v>
      </c>
      <c r="G778">
        <v>2.2999999999999998</v>
      </c>
      <c r="H778" t="s">
        <v>3743</v>
      </c>
      <c r="I778" t="s">
        <v>3744</v>
      </c>
      <c r="J778" s="56" t="s">
        <v>30</v>
      </c>
      <c r="K778" t="s">
        <v>181</v>
      </c>
      <c r="L778" t="s">
        <v>3340</v>
      </c>
      <c r="M778">
        <v>72</v>
      </c>
      <c r="N778">
        <v>0.27</v>
      </c>
      <c r="O778" t="s">
        <v>211</v>
      </c>
      <c r="P778">
        <v>15</v>
      </c>
      <c r="Q778">
        <v>1.5</v>
      </c>
      <c r="R778" t="s">
        <v>3488</v>
      </c>
      <c r="T778" t="s">
        <v>3337</v>
      </c>
      <c r="U778">
        <v>0</v>
      </c>
      <c r="V778" t="s">
        <v>3745</v>
      </c>
    </row>
    <row r="779" spans="1:22" ht="12.75" customHeight="1" x14ac:dyDescent="0.15">
      <c r="A779">
        <v>16</v>
      </c>
      <c r="B779">
        <v>2026</v>
      </c>
      <c r="C779" s="21">
        <v>46130</v>
      </c>
      <c r="D779" t="s">
        <v>91</v>
      </c>
      <c r="E779" t="s">
        <v>92</v>
      </c>
      <c r="F779" t="s">
        <v>21</v>
      </c>
      <c r="G779">
        <v>1.3</v>
      </c>
      <c r="H779" t="s">
        <v>3505</v>
      </c>
      <c r="I779" t="s">
        <v>29</v>
      </c>
      <c r="J779" s="1" t="s">
        <v>30</v>
      </c>
      <c r="K779" t="s">
        <v>3705</v>
      </c>
      <c r="L779" t="s">
        <v>23</v>
      </c>
      <c r="M779">
        <v>198</v>
      </c>
      <c r="P779">
        <v>1500</v>
      </c>
      <c r="R779" t="s">
        <v>3746</v>
      </c>
      <c r="S779" t="s">
        <v>3747</v>
      </c>
      <c r="T779" t="s">
        <v>3337</v>
      </c>
      <c r="U779">
        <v>0</v>
      </c>
      <c r="V779" t="s">
        <v>3748</v>
      </c>
    </row>
    <row r="780" spans="1:22" ht="12.75" customHeight="1" x14ac:dyDescent="0.15">
      <c r="A780">
        <v>16</v>
      </c>
      <c r="B780">
        <v>2026</v>
      </c>
      <c r="C780" s="21">
        <v>46130</v>
      </c>
      <c r="D780" t="s">
        <v>3749</v>
      </c>
      <c r="E780" t="s">
        <v>676</v>
      </c>
      <c r="H780" t="s">
        <v>3750</v>
      </c>
      <c r="I780" t="s">
        <v>3751</v>
      </c>
      <c r="J780" s="1" t="s">
        <v>676</v>
      </c>
      <c r="K780" t="s">
        <v>181</v>
      </c>
      <c r="L780" t="s">
        <v>3340</v>
      </c>
      <c r="M780">
        <v>45</v>
      </c>
      <c r="N780">
        <v>0.38</v>
      </c>
      <c r="O780" t="s">
        <v>211</v>
      </c>
      <c r="P780">
        <v>20.68</v>
      </c>
      <c r="R780" t="s">
        <v>3377</v>
      </c>
      <c r="S780" t="s">
        <v>3752</v>
      </c>
      <c r="T780" t="s">
        <v>3337</v>
      </c>
      <c r="U780">
        <v>107</v>
      </c>
      <c r="V780" t="e">
        <f t="shared" ref="V780:V785" si="2">+P780/G780</f>
        <v>#DIV/0!</v>
      </c>
    </row>
    <row r="781" spans="1:22" ht="12.75" customHeight="1" x14ac:dyDescent="0.15">
      <c r="A781">
        <v>16</v>
      </c>
      <c r="B781">
        <v>2026</v>
      </c>
      <c r="C781" s="21">
        <v>46130</v>
      </c>
      <c r="D781" t="s">
        <v>3749</v>
      </c>
      <c r="E781" t="s">
        <v>676</v>
      </c>
      <c r="H781" t="s">
        <v>3750</v>
      </c>
      <c r="I781" t="s">
        <v>3751</v>
      </c>
      <c r="J781" s="1" t="s">
        <v>676</v>
      </c>
      <c r="K781" t="s">
        <v>181</v>
      </c>
      <c r="L781" t="s">
        <v>3340</v>
      </c>
      <c r="M781">
        <v>132</v>
      </c>
      <c r="N781">
        <v>0.38</v>
      </c>
      <c r="O781" t="s">
        <v>211</v>
      </c>
      <c r="P781">
        <v>20.68</v>
      </c>
      <c r="R781" t="s">
        <v>3368</v>
      </c>
      <c r="T781" t="s">
        <v>3337</v>
      </c>
      <c r="U781">
        <v>107</v>
      </c>
      <c r="V781" t="e">
        <f t="shared" si="2"/>
        <v>#DIV/0!</v>
      </c>
    </row>
    <row r="782" spans="1:22" ht="12.75" customHeight="1" x14ac:dyDescent="0.15">
      <c r="A782">
        <v>16</v>
      </c>
      <c r="B782">
        <v>2026</v>
      </c>
      <c r="C782" s="21">
        <v>46130</v>
      </c>
      <c r="D782" t="s">
        <v>3749</v>
      </c>
      <c r="E782" t="s">
        <v>676</v>
      </c>
      <c r="H782" t="s">
        <v>3750</v>
      </c>
      <c r="I782" t="s">
        <v>3751</v>
      </c>
      <c r="J782" s="1" t="s">
        <v>676</v>
      </c>
      <c r="K782" t="s">
        <v>181</v>
      </c>
      <c r="L782" t="s">
        <v>3340</v>
      </c>
      <c r="M782">
        <v>58</v>
      </c>
      <c r="N782">
        <v>0.38</v>
      </c>
      <c r="O782" t="s">
        <v>211</v>
      </c>
      <c r="P782">
        <v>20.68</v>
      </c>
      <c r="R782" t="s">
        <v>3343</v>
      </c>
      <c r="T782" t="s">
        <v>3337</v>
      </c>
      <c r="U782">
        <v>107</v>
      </c>
      <c r="V782" t="e">
        <f t="shared" si="2"/>
        <v>#DIV/0!</v>
      </c>
    </row>
    <row r="783" spans="1:22" ht="12.75" customHeight="1" x14ac:dyDescent="0.15">
      <c r="A783">
        <v>16</v>
      </c>
      <c r="B783">
        <v>2026</v>
      </c>
      <c r="C783" s="21">
        <v>46130</v>
      </c>
      <c r="D783" t="s">
        <v>3749</v>
      </c>
      <c r="E783" t="s">
        <v>676</v>
      </c>
      <c r="H783" t="s">
        <v>3750</v>
      </c>
      <c r="I783" t="s">
        <v>3751</v>
      </c>
      <c r="J783" s="1" t="s">
        <v>676</v>
      </c>
      <c r="K783" t="s">
        <v>181</v>
      </c>
      <c r="L783" t="s">
        <v>3340</v>
      </c>
      <c r="M783">
        <v>53</v>
      </c>
      <c r="N783">
        <v>0.38</v>
      </c>
      <c r="O783" t="s">
        <v>211</v>
      </c>
      <c r="P783">
        <v>20.68</v>
      </c>
      <c r="R783" t="s">
        <v>3373</v>
      </c>
      <c r="T783" t="s">
        <v>3337</v>
      </c>
      <c r="U783">
        <v>107</v>
      </c>
      <c r="V783" t="e">
        <f t="shared" si="2"/>
        <v>#DIV/0!</v>
      </c>
    </row>
    <row r="784" spans="1:22" ht="12.75" customHeight="1" x14ac:dyDescent="0.15">
      <c r="A784">
        <v>16</v>
      </c>
      <c r="B784">
        <v>2026</v>
      </c>
      <c r="C784" s="21">
        <v>46130</v>
      </c>
      <c r="D784" t="s">
        <v>3749</v>
      </c>
      <c r="E784" t="s">
        <v>676</v>
      </c>
      <c r="H784" t="s">
        <v>3750</v>
      </c>
      <c r="I784" t="s">
        <v>3751</v>
      </c>
      <c r="J784" s="1" t="s">
        <v>676</v>
      </c>
      <c r="K784" t="s">
        <v>181</v>
      </c>
      <c r="L784" t="s">
        <v>3340</v>
      </c>
      <c r="M784">
        <v>81</v>
      </c>
      <c r="N784">
        <v>0.38</v>
      </c>
      <c r="O784" t="s">
        <v>211</v>
      </c>
      <c r="P784">
        <v>20.68</v>
      </c>
      <c r="R784" t="s">
        <v>3374</v>
      </c>
      <c r="T784" t="s">
        <v>3337</v>
      </c>
      <c r="U784">
        <v>107</v>
      </c>
      <c r="V784" t="e">
        <f t="shared" si="2"/>
        <v>#DIV/0!</v>
      </c>
    </row>
    <row r="785" spans="1:22" ht="12.75" customHeight="1" x14ac:dyDescent="0.15">
      <c r="A785">
        <v>16</v>
      </c>
      <c r="B785">
        <v>2026</v>
      </c>
      <c r="C785" s="21">
        <v>46130</v>
      </c>
      <c r="D785" t="s">
        <v>3749</v>
      </c>
      <c r="E785" t="s">
        <v>676</v>
      </c>
      <c r="H785" t="s">
        <v>3750</v>
      </c>
      <c r="I785" t="s">
        <v>3751</v>
      </c>
      <c r="J785" s="1" t="s">
        <v>676</v>
      </c>
      <c r="K785" t="s">
        <v>181</v>
      </c>
      <c r="L785" t="s">
        <v>3340</v>
      </c>
      <c r="M785">
        <v>2</v>
      </c>
      <c r="N785">
        <v>0.38</v>
      </c>
      <c r="O785" t="s">
        <v>211</v>
      </c>
      <c r="P785">
        <v>20.68</v>
      </c>
      <c r="R785" t="s">
        <v>3424</v>
      </c>
      <c r="T785" t="s">
        <v>3337</v>
      </c>
      <c r="U785">
        <v>107</v>
      </c>
      <c r="V785" t="e">
        <f t="shared" si="2"/>
        <v>#DIV/0!</v>
      </c>
    </row>
    <row r="786" spans="1:22" ht="12.75" customHeight="1" x14ac:dyDescent="0.15">
      <c r="A786">
        <v>16</v>
      </c>
      <c r="B786">
        <v>2026</v>
      </c>
      <c r="C786" s="21">
        <v>46130</v>
      </c>
      <c r="D786" t="s">
        <v>139</v>
      </c>
      <c r="E786" t="s">
        <v>140</v>
      </c>
      <c r="F786" t="s">
        <v>75</v>
      </c>
      <c r="G786">
        <v>0.8</v>
      </c>
      <c r="H786" t="s">
        <v>3753</v>
      </c>
      <c r="I786" t="s">
        <v>3659</v>
      </c>
      <c r="J786" s="1" t="s">
        <v>3660</v>
      </c>
      <c r="K786" t="s">
        <v>181</v>
      </c>
      <c r="L786" t="s">
        <v>3340</v>
      </c>
      <c r="M786">
        <v>60</v>
      </c>
      <c r="N786">
        <v>2.4500000000000002</v>
      </c>
      <c r="O786" t="s">
        <v>211</v>
      </c>
      <c r="P786" s="1">
        <v>135</v>
      </c>
      <c r="R786" t="s">
        <v>3671</v>
      </c>
      <c r="T786" t="s">
        <v>3337</v>
      </c>
      <c r="U786">
        <v>-38</v>
      </c>
      <c r="V786" t="s">
        <v>3754</v>
      </c>
    </row>
    <row r="787" spans="1:22" ht="12.75" customHeight="1" x14ac:dyDescent="0.15">
      <c r="A787">
        <v>16</v>
      </c>
      <c r="B787">
        <v>2026</v>
      </c>
      <c r="C787" s="21">
        <v>46130</v>
      </c>
      <c r="D787" t="s">
        <v>84</v>
      </c>
      <c r="E787" t="s">
        <v>85</v>
      </c>
      <c r="F787" t="s">
        <v>21</v>
      </c>
      <c r="G787">
        <v>2</v>
      </c>
      <c r="H787" t="s">
        <v>3552</v>
      </c>
      <c r="I787" t="s">
        <v>3734</v>
      </c>
      <c r="J787" s="1" t="s">
        <v>3533</v>
      </c>
      <c r="K787" t="s">
        <v>181</v>
      </c>
      <c r="L787" t="s">
        <v>3333</v>
      </c>
      <c r="M787">
        <v>3</v>
      </c>
      <c r="N787">
        <v>0.18</v>
      </c>
      <c r="P787">
        <v>10</v>
      </c>
      <c r="R787" t="s">
        <v>3478</v>
      </c>
      <c r="T787" t="s">
        <v>3402</v>
      </c>
      <c r="U787">
        <v>-2</v>
      </c>
      <c r="V787" t="s">
        <v>3504</v>
      </c>
    </row>
    <row r="788" spans="1:22" ht="12.75" customHeight="1" x14ac:dyDescent="0.15">
      <c r="A788">
        <v>16</v>
      </c>
      <c r="B788">
        <v>2026</v>
      </c>
      <c r="C788" s="21">
        <v>46130</v>
      </c>
      <c r="D788" t="s">
        <v>84</v>
      </c>
      <c r="E788" t="s">
        <v>85</v>
      </c>
      <c r="F788" t="s">
        <v>21</v>
      </c>
      <c r="G788">
        <v>2</v>
      </c>
      <c r="H788" t="s">
        <v>3552</v>
      </c>
      <c r="I788" t="s">
        <v>3734</v>
      </c>
      <c r="J788" s="1" t="s">
        <v>3533</v>
      </c>
      <c r="K788" t="s">
        <v>181</v>
      </c>
      <c r="L788" t="s">
        <v>3340</v>
      </c>
      <c r="M788">
        <v>40</v>
      </c>
      <c r="N788">
        <v>0.16</v>
      </c>
      <c r="P788">
        <v>9</v>
      </c>
      <c r="R788" t="s">
        <v>3482</v>
      </c>
      <c r="T788" t="s">
        <v>3402</v>
      </c>
      <c r="U788">
        <v>-2</v>
      </c>
      <c r="V788" t="s">
        <v>3464</v>
      </c>
    </row>
    <row r="789" spans="1:22" ht="12.75" customHeight="1" x14ac:dyDescent="0.15">
      <c r="A789">
        <v>16</v>
      </c>
      <c r="B789">
        <v>2026</v>
      </c>
      <c r="C789" s="21">
        <v>46130</v>
      </c>
      <c r="D789" t="s">
        <v>91</v>
      </c>
      <c r="E789" t="s">
        <v>92</v>
      </c>
      <c r="F789" t="s">
        <v>21</v>
      </c>
      <c r="G789">
        <v>1</v>
      </c>
      <c r="H789" t="s">
        <v>3605</v>
      </c>
      <c r="I789" t="s">
        <v>212</v>
      </c>
      <c r="J789" s="1" t="s">
        <v>3533</v>
      </c>
      <c r="K789" t="s">
        <v>181</v>
      </c>
      <c r="L789" t="s">
        <v>3333</v>
      </c>
      <c r="M789">
        <v>3</v>
      </c>
      <c r="N789">
        <v>0.39</v>
      </c>
      <c r="P789">
        <v>21.5</v>
      </c>
      <c r="R789" t="s">
        <v>3478</v>
      </c>
      <c r="T789" t="s">
        <v>3402</v>
      </c>
      <c r="U789">
        <v>0</v>
      </c>
      <c r="V789" t="s">
        <v>3755</v>
      </c>
    </row>
    <row r="790" spans="1:22" ht="12.75" customHeight="1" x14ac:dyDescent="0.15">
      <c r="A790">
        <v>16</v>
      </c>
      <c r="B790">
        <v>2026</v>
      </c>
      <c r="C790" s="21">
        <v>46130</v>
      </c>
      <c r="D790" t="s">
        <v>91</v>
      </c>
      <c r="E790" t="s">
        <v>92</v>
      </c>
      <c r="F790" t="s">
        <v>21</v>
      </c>
      <c r="G790">
        <v>1</v>
      </c>
      <c r="H790" t="s">
        <v>3605</v>
      </c>
      <c r="I790" t="s">
        <v>212</v>
      </c>
      <c r="J790" s="1" t="s">
        <v>3533</v>
      </c>
      <c r="K790" t="s">
        <v>181</v>
      </c>
      <c r="L790" t="s">
        <v>3340</v>
      </c>
      <c r="M790">
        <v>40</v>
      </c>
      <c r="N790">
        <v>0.33</v>
      </c>
      <c r="P790">
        <v>18</v>
      </c>
      <c r="R790" t="s">
        <v>3482</v>
      </c>
      <c r="T790" t="s">
        <v>3402</v>
      </c>
      <c r="U790">
        <v>0</v>
      </c>
      <c r="V790" t="s">
        <v>260</v>
      </c>
    </row>
    <row r="791" spans="1:22" ht="12.75" customHeight="1" x14ac:dyDescent="0.15">
      <c r="A791">
        <v>16</v>
      </c>
      <c r="B791">
        <v>2026</v>
      </c>
      <c r="C791" s="21">
        <v>46130</v>
      </c>
      <c r="D791" t="s">
        <v>89</v>
      </c>
      <c r="E791" t="s">
        <v>3733</v>
      </c>
      <c r="F791" t="s">
        <v>21</v>
      </c>
      <c r="G791">
        <v>1</v>
      </c>
      <c r="H791" t="s">
        <v>3614</v>
      </c>
      <c r="I791" t="s">
        <v>3615</v>
      </c>
      <c r="J791" s="1" t="s">
        <v>3533</v>
      </c>
      <c r="K791" t="s">
        <v>181</v>
      </c>
      <c r="L791" t="s">
        <v>3333</v>
      </c>
      <c r="M791">
        <v>3</v>
      </c>
      <c r="N791">
        <v>0.18</v>
      </c>
      <c r="P791">
        <v>10</v>
      </c>
      <c r="R791" t="s">
        <v>3478</v>
      </c>
      <c r="T791" t="s">
        <v>3402</v>
      </c>
      <c r="U791">
        <v>3</v>
      </c>
      <c r="V791" t="s">
        <v>3711</v>
      </c>
    </row>
    <row r="792" spans="1:22" ht="12.75" customHeight="1" x14ac:dyDescent="0.15">
      <c r="A792">
        <v>16</v>
      </c>
      <c r="B792">
        <v>2026</v>
      </c>
      <c r="C792" s="21">
        <v>46130</v>
      </c>
      <c r="D792" t="s">
        <v>89</v>
      </c>
      <c r="E792" t="s">
        <v>3733</v>
      </c>
      <c r="F792" t="s">
        <v>21</v>
      </c>
      <c r="G792">
        <v>1</v>
      </c>
      <c r="H792" t="s">
        <v>3614</v>
      </c>
      <c r="I792" t="s">
        <v>3615</v>
      </c>
      <c r="J792" s="1" t="s">
        <v>3533</v>
      </c>
      <c r="K792" t="s">
        <v>181</v>
      </c>
      <c r="L792" t="s">
        <v>3340</v>
      </c>
      <c r="M792">
        <v>40</v>
      </c>
      <c r="N792">
        <v>0.16</v>
      </c>
      <c r="P792">
        <v>9</v>
      </c>
      <c r="R792" t="s">
        <v>3482</v>
      </c>
      <c r="T792" t="s">
        <v>3402</v>
      </c>
      <c r="U792">
        <v>3</v>
      </c>
      <c r="V792" t="s">
        <v>3473</v>
      </c>
    </row>
    <row r="793" spans="1:22" ht="12.75" customHeight="1" x14ac:dyDescent="0.15">
      <c r="A793">
        <v>16</v>
      </c>
      <c r="B793">
        <v>2026</v>
      </c>
      <c r="C793" s="21">
        <v>46130</v>
      </c>
      <c r="D793" t="s">
        <v>91</v>
      </c>
      <c r="E793" t="s">
        <v>92</v>
      </c>
      <c r="F793" t="s">
        <v>21</v>
      </c>
      <c r="G793">
        <v>1</v>
      </c>
      <c r="H793" t="s">
        <v>3539</v>
      </c>
      <c r="I793" t="s">
        <v>3540</v>
      </c>
      <c r="J793" s="1" t="s">
        <v>3533</v>
      </c>
      <c r="K793" t="s">
        <v>181</v>
      </c>
      <c r="L793" t="s">
        <v>3340</v>
      </c>
      <c r="M793">
        <v>3</v>
      </c>
      <c r="N793">
        <v>0.36</v>
      </c>
      <c r="P793">
        <v>20</v>
      </c>
      <c r="R793" t="s">
        <v>3478</v>
      </c>
      <c r="S793" t="s">
        <v>3756</v>
      </c>
      <c r="T793" t="s">
        <v>3402</v>
      </c>
      <c r="U793">
        <v>0</v>
      </c>
      <c r="V793" t="s">
        <v>257</v>
      </c>
    </row>
    <row r="794" spans="1:22" ht="12.75" customHeight="1" x14ac:dyDescent="0.15">
      <c r="A794">
        <v>16</v>
      </c>
      <c r="B794">
        <v>2026</v>
      </c>
      <c r="C794" s="21">
        <v>46130</v>
      </c>
      <c r="D794" t="s">
        <v>91</v>
      </c>
      <c r="E794" t="s">
        <v>92</v>
      </c>
      <c r="F794" t="s">
        <v>21</v>
      </c>
      <c r="G794">
        <v>1</v>
      </c>
      <c r="H794" t="s">
        <v>3539</v>
      </c>
      <c r="I794" t="s">
        <v>3540</v>
      </c>
      <c r="J794" s="1" t="s">
        <v>3533</v>
      </c>
      <c r="K794" t="s">
        <v>181</v>
      </c>
      <c r="L794" t="s">
        <v>3340</v>
      </c>
      <c r="M794">
        <v>40</v>
      </c>
      <c r="N794">
        <v>0.33</v>
      </c>
      <c r="P794">
        <v>18</v>
      </c>
      <c r="R794" t="s">
        <v>3482</v>
      </c>
      <c r="S794" t="s">
        <v>3757</v>
      </c>
      <c r="T794" t="s">
        <v>3402</v>
      </c>
      <c r="U794">
        <v>0</v>
      </c>
      <c r="V794" t="s">
        <v>260</v>
      </c>
    </row>
    <row r="795" spans="1:22" ht="12.75" customHeight="1" x14ac:dyDescent="0.15">
      <c r="A795">
        <v>16</v>
      </c>
      <c r="B795">
        <v>2026</v>
      </c>
      <c r="C795" s="21">
        <v>46130</v>
      </c>
      <c r="D795" t="s">
        <v>73</v>
      </c>
      <c r="E795" t="s">
        <v>74</v>
      </c>
      <c r="F795" t="s">
        <v>75</v>
      </c>
      <c r="G795">
        <v>2.2999999999999998</v>
      </c>
      <c r="H795" t="s">
        <v>3495</v>
      </c>
      <c r="I795" t="s">
        <v>29</v>
      </c>
      <c r="J795" s="1" t="s">
        <v>30</v>
      </c>
      <c r="K795" t="s">
        <v>3705</v>
      </c>
      <c r="L795" t="s">
        <v>3333</v>
      </c>
      <c r="M795">
        <v>67</v>
      </c>
      <c r="N795">
        <v>0.88</v>
      </c>
      <c r="O795" t="s">
        <v>3334</v>
      </c>
      <c r="P795">
        <v>71.38</v>
      </c>
      <c r="Q795">
        <v>7</v>
      </c>
      <c r="R795" t="s">
        <v>3404</v>
      </c>
      <c r="T795" t="s">
        <v>3402</v>
      </c>
      <c r="U795">
        <v>0</v>
      </c>
      <c r="V795" t="s">
        <v>3758</v>
      </c>
    </row>
    <row r="796" spans="1:22" ht="12.75" customHeight="1" x14ac:dyDescent="0.15">
      <c r="A796">
        <v>16</v>
      </c>
      <c r="B796">
        <v>2026</v>
      </c>
      <c r="C796" s="21">
        <v>46130</v>
      </c>
      <c r="D796" t="s">
        <v>73</v>
      </c>
      <c r="E796" t="s">
        <v>74</v>
      </c>
      <c r="F796" t="s">
        <v>75</v>
      </c>
      <c r="G796">
        <v>2.2999999999999998</v>
      </c>
      <c r="H796" t="s">
        <v>3495</v>
      </c>
      <c r="I796" t="s">
        <v>29</v>
      </c>
      <c r="J796" s="1" t="s">
        <v>30</v>
      </c>
      <c r="K796" t="s">
        <v>3705</v>
      </c>
      <c r="L796" t="s">
        <v>3333</v>
      </c>
      <c r="M796">
        <v>19</v>
      </c>
      <c r="N796">
        <v>0.88</v>
      </c>
      <c r="O796" t="s">
        <v>3334</v>
      </c>
      <c r="P796">
        <v>71.38</v>
      </c>
      <c r="Q796">
        <v>7</v>
      </c>
      <c r="R796" t="s">
        <v>3403</v>
      </c>
      <c r="T796" t="s">
        <v>3402</v>
      </c>
      <c r="U796">
        <v>0</v>
      </c>
      <c r="V796" t="s">
        <v>3758</v>
      </c>
    </row>
    <row r="797" spans="1:22" ht="12.75" customHeight="1" x14ac:dyDescent="0.15">
      <c r="A797">
        <v>16</v>
      </c>
      <c r="B797">
        <v>2026</v>
      </c>
      <c r="C797" s="21">
        <v>46130</v>
      </c>
      <c r="D797" t="s">
        <v>73</v>
      </c>
      <c r="E797" t="s">
        <v>74</v>
      </c>
      <c r="F797" t="s">
        <v>75</v>
      </c>
      <c r="G797">
        <v>2.2999999999999998</v>
      </c>
      <c r="H797" t="s">
        <v>3495</v>
      </c>
      <c r="I797" t="s">
        <v>29</v>
      </c>
      <c r="J797" s="1" t="s">
        <v>30</v>
      </c>
      <c r="K797" t="s">
        <v>3705</v>
      </c>
      <c r="L797" t="s">
        <v>3333</v>
      </c>
      <c r="M797">
        <v>91</v>
      </c>
      <c r="N797">
        <v>0.88</v>
      </c>
      <c r="O797" t="s">
        <v>3334</v>
      </c>
      <c r="P797">
        <v>71.38</v>
      </c>
      <c r="Q797">
        <v>7</v>
      </c>
      <c r="R797" t="s">
        <v>3412</v>
      </c>
      <c r="T797" t="s">
        <v>3402</v>
      </c>
      <c r="U797">
        <v>0</v>
      </c>
      <c r="V797" t="s">
        <v>3758</v>
      </c>
    </row>
    <row r="798" spans="1:22" ht="12.75" customHeight="1" x14ac:dyDescent="0.15">
      <c r="A798">
        <v>16</v>
      </c>
      <c r="B798">
        <v>2026</v>
      </c>
      <c r="C798" s="21">
        <v>46130</v>
      </c>
      <c r="D798" t="s">
        <v>73</v>
      </c>
      <c r="E798" t="s">
        <v>74</v>
      </c>
      <c r="F798" t="s">
        <v>75</v>
      </c>
      <c r="G798">
        <v>2.2999999999999998</v>
      </c>
      <c r="H798" t="s">
        <v>3495</v>
      </c>
      <c r="I798" t="s">
        <v>29</v>
      </c>
      <c r="J798" s="1" t="s">
        <v>30</v>
      </c>
      <c r="K798" t="s">
        <v>3705</v>
      </c>
      <c r="L798" t="s">
        <v>3340</v>
      </c>
      <c r="M798">
        <v>78</v>
      </c>
      <c r="N798">
        <v>1.1499999999999999</v>
      </c>
      <c r="O798" t="s">
        <v>211</v>
      </c>
      <c r="P798">
        <v>63</v>
      </c>
      <c r="Q798">
        <v>7</v>
      </c>
      <c r="R798" t="s">
        <v>3341</v>
      </c>
      <c r="T798" t="s">
        <v>3402</v>
      </c>
      <c r="U798">
        <v>0</v>
      </c>
      <c r="V798" t="s">
        <v>3759</v>
      </c>
    </row>
    <row r="799" spans="1:22" ht="12.75" customHeight="1" x14ac:dyDescent="0.15">
      <c r="A799">
        <v>16</v>
      </c>
      <c r="B799">
        <v>2026</v>
      </c>
      <c r="C799" s="21">
        <v>46130</v>
      </c>
      <c r="D799" t="s">
        <v>73</v>
      </c>
      <c r="E799" t="s">
        <v>74</v>
      </c>
      <c r="F799" t="s">
        <v>75</v>
      </c>
      <c r="G799">
        <v>2.2999999999999998</v>
      </c>
      <c r="H799" t="s">
        <v>3495</v>
      </c>
      <c r="I799" t="s">
        <v>29</v>
      </c>
      <c r="J799" s="1" t="s">
        <v>30</v>
      </c>
      <c r="K799" t="s">
        <v>3705</v>
      </c>
      <c r="L799" t="s">
        <v>3340</v>
      </c>
      <c r="M799">
        <v>67</v>
      </c>
      <c r="N799">
        <v>0.99</v>
      </c>
      <c r="O799" t="s">
        <v>211</v>
      </c>
      <c r="P799">
        <v>54.18</v>
      </c>
      <c r="R799" t="s">
        <v>3404</v>
      </c>
      <c r="S799" t="s">
        <v>3760</v>
      </c>
      <c r="T799" t="s">
        <v>3402</v>
      </c>
      <c r="U799">
        <v>0</v>
      </c>
      <c r="V799" t="s">
        <v>3447</v>
      </c>
    </row>
    <row r="800" spans="1:22" ht="12.75" customHeight="1" x14ac:dyDescent="0.15">
      <c r="A800">
        <v>16</v>
      </c>
      <c r="B800">
        <v>2026</v>
      </c>
      <c r="C800" s="21">
        <v>46130</v>
      </c>
      <c r="D800" t="s">
        <v>73</v>
      </c>
      <c r="E800" t="s">
        <v>74</v>
      </c>
      <c r="F800" t="s">
        <v>75</v>
      </c>
      <c r="G800">
        <v>2.2999999999999998</v>
      </c>
      <c r="H800" t="s">
        <v>3495</v>
      </c>
      <c r="I800" t="s">
        <v>29</v>
      </c>
      <c r="J800" s="1" t="s">
        <v>30</v>
      </c>
      <c r="K800" t="s">
        <v>3705</v>
      </c>
      <c r="L800" t="s">
        <v>3340</v>
      </c>
      <c r="M800">
        <v>19</v>
      </c>
      <c r="N800">
        <v>0.99</v>
      </c>
      <c r="O800" t="s">
        <v>211</v>
      </c>
      <c r="P800">
        <v>54.18</v>
      </c>
      <c r="R800" t="s">
        <v>3403</v>
      </c>
      <c r="S800" t="s">
        <v>3760</v>
      </c>
      <c r="T800" t="s">
        <v>3402</v>
      </c>
      <c r="U800">
        <v>0</v>
      </c>
      <c r="V800" t="s">
        <v>3447</v>
      </c>
    </row>
    <row r="801" spans="1:22" ht="12.75" customHeight="1" x14ac:dyDescent="0.15">
      <c r="A801">
        <v>16</v>
      </c>
      <c r="B801">
        <v>2026</v>
      </c>
      <c r="C801" s="21">
        <v>46130</v>
      </c>
      <c r="D801" t="s">
        <v>73</v>
      </c>
      <c r="E801" t="s">
        <v>74</v>
      </c>
      <c r="F801" t="s">
        <v>75</v>
      </c>
      <c r="G801">
        <v>2.2999999999999998</v>
      </c>
      <c r="H801" t="s">
        <v>3495</v>
      </c>
      <c r="I801" t="s">
        <v>29</v>
      </c>
      <c r="J801" s="1" t="s">
        <v>30</v>
      </c>
      <c r="K801" t="s">
        <v>3705</v>
      </c>
      <c r="L801" t="s">
        <v>3340</v>
      </c>
      <c r="M801">
        <v>91</v>
      </c>
      <c r="N801">
        <v>0.99</v>
      </c>
      <c r="O801" t="s">
        <v>211</v>
      </c>
      <c r="P801">
        <v>54.18</v>
      </c>
      <c r="R801" t="s">
        <v>3412</v>
      </c>
      <c r="S801" t="s">
        <v>3760</v>
      </c>
      <c r="T801" t="s">
        <v>3402</v>
      </c>
      <c r="U801">
        <v>0</v>
      </c>
      <c r="V801" t="s">
        <v>3447</v>
      </c>
    </row>
    <row r="802" spans="1:22" ht="12.75" customHeight="1" x14ac:dyDescent="0.15">
      <c r="A802">
        <v>16</v>
      </c>
      <c r="B802">
        <v>2026</v>
      </c>
      <c r="C802" s="21">
        <v>46130</v>
      </c>
      <c r="D802" t="s">
        <v>73</v>
      </c>
      <c r="E802" t="s">
        <v>74</v>
      </c>
      <c r="F802" t="s">
        <v>75</v>
      </c>
      <c r="G802">
        <v>2.2999999999999998</v>
      </c>
      <c r="H802" t="s">
        <v>3495</v>
      </c>
      <c r="I802" t="s">
        <v>29</v>
      </c>
      <c r="J802" s="1" t="s">
        <v>30</v>
      </c>
      <c r="K802" t="s">
        <v>3705</v>
      </c>
      <c r="L802" t="s">
        <v>3340</v>
      </c>
      <c r="M802">
        <v>78</v>
      </c>
      <c r="N802">
        <v>2.09</v>
      </c>
      <c r="O802" t="s">
        <v>211</v>
      </c>
      <c r="P802">
        <v>115</v>
      </c>
      <c r="R802" t="s">
        <v>3341</v>
      </c>
      <c r="S802" t="s">
        <v>3760</v>
      </c>
      <c r="T802" t="s">
        <v>3402</v>
      </c>
      <c r="U802">
        <v>0</v>
      </c>
      <c r="V802" t="s">
        <v>240</v>
      </c>
    </row>
    <row r="803" spans="1:22" ht="12.75" customHeight="1" x14ac:dyDescent="0.15">
      <c r="A803">
        <v>16</v>
      </c>
      <c r="B803">
        <v>2026</v>
      </c>
      <c r="C803" s="21">
        <v>46130</v>
      </c>
      <c r="D803" t="s">
        <v>84</v>
      </c>
      <c r="E803" t="s">
        <v>85</v>
      </c>
      <c r="F803" t="s">
        <v>21</v>
      </c>
      <c r="G803">
        <v>2</v>
      </c>
      <c r="H803" t="s">
        <v>3552</v>
      </c>
      <c r="I803" t="s">
        <v>3553</v>
      </c>
      <c r="J803" s="1" t="s">
        <v>3533</v>
      </c>
      <c r="K803" t="s">
        <v>181</v>
      </c>
      <c r="L803" t="s">
        <v>3477</v>
      </c>
      <c r="M803">
        <v>3</v>
      </c>
      <c r="N803">
        <v>0.12</v>
      </c>
      <c r="O803" t="s">
        <v>3334</v>
      </c>
      <c r="P803">
        <v>10</v>
      </c>
      <c r="Q803">
        <v>0.18</v>
      </c>
      <c r="R803" t="s">
        <v>3478</v>
      </c>
      <c r="T803" t="s">
        <v>3479</v>
      </c>
      <c r="U803">
        <v>-2</v>
      </c>
      <c r="V803" t="s">
        <v>3504</v>
      </c>
    </row>
    <row r="804" spans="1:22" ht="12.75" customHeight="1" x14ac:dyDescent="0.15">
      <c r="A804">
        <v>16</v>
      </c>
      <c r="B804">
        <v>2026</v>
      </c>
      <c r="C804" s="21">
        <v>46130</v>
      </c>
      <c r="D804" t="s">
        <v>84</v>
      </c>
      <c r="E804" t="s">
        <v>85</v>
      </c>
      <c r="F804" t="s">
        <v>21</v>
      </c>
      <c r="G804">
        <v>2</v>
      </c>
      <c r="H804" t="s">
        <v>3552</v>
      </c>
      <c r="I804" t="s">
        <v>3553</v>
      </c>
      <c r="J804" s="1" t="s">
        <v>3533</v>
      </c>
      <c r="K804" t="s">
        <v>181</v>
      </c>
      <c r="L804" t="s">
        <v>3481</v>
      </c>
      <c r="M804">
        <v>40</v>
      </c>
      <c r="N804">
        <v>0.16</v>
      </c>
      <c r="O804" t="s">
        <v>211</v>
      </c>
      <c r="P804">
        <v>9</v>
      </c>
      <c r="Q804">
        <v>0.16</v>
      </c>
      <c r="R804" t="s">
        <v>3482</v>
      </c>
      <c r="T804" t="s">
        <v>3479</v>
      </c>
      <c r="U804">
        <v>-2</v>
      </c>
      <c r="V804" t="s">
        <v>3464</v>
      </c>
    </row>
    <row r="805" spans="1:22" ht="12.75" customHeight="1" x14ac:dyDescent="0.15">
      <c r="A805">
        <v>16</v>
      </c>
      <c r="B805">
        <v>2026</v>
      </c>
      <c r="C805" s="21">
        <v>46130</v>
      </c>
      <c r="D805" t="s">
        <v>91</v>
      </c>
      <c r="E805" t="s">
        <v>92</v>
      </c>
      <c r="F805" t="s">
        <v>21</v>
      </c>
      <c r="G805">
        <v>1.3</v>
      </c>
      <c r="H805" t="s">
        <v>3605</v>
      </c>
      <c r="I805" t="s">
        <v>335</v>
      </c>
      <c r="J805" s="1" t="s">
        <v>3533</v>
      </c>
      <c r="K805" t="s">
        <v>181</v>
      </c>
      <c r="L805" t="s">
        <v>3477</v>
      </c>
      <c r="M805">
        <v>3</v>
      </c>
      <c r="N805">
        <v>0.05</v>
      </c>
      <c r="O805" t="s">
        <v>3334</v>
      </c>
      <c r="P805">
        <v>3.98</v>
      </c>
      <c r="Q805">
        <v>0.39</v>
      </c>
      <c r="R805" t="s">
        <v>3478</v>
      </c>
      <c r="T805" t="s">
        <v>3479</v>
      </c>
      <c r="U805">
        <v>0</v>
      </c>
      <c r="V805" t="s">
        <v>3538</v>
      </c>
    </row>
    <row r="806" spans="1:22" ht="12.75" customHeight="1" x14ac:dyDescent="0.15">
      <c r="A806">
        <v>16</v>
      </c>
      <c r="B806">
        <v>2026</v>
      </c>
      <c r="C806" s="21">
        <v>46130</v>
      </c>
      <c r="D806" t="s">
        <v>91</v>
      </c>
      <c r="E806" t="s">
        <v>92</v>
      </c>
      <c r="F806" t="s">
        <v>21</v>
      </c>
      <c r="G806">
        <v>1.3</v>
      </c>
      <c r="H806" t="s">
        <v>3605</v>
      </c>
      <c r="I806" t="s">
        <v>335</v>
      </c>
      <c r="J806" s="1" t="s">
        <v>3533</v>
      </c>
      <c r="K806" t="s">
        <v>181</v>
      </c>
      <c r="L806" t="s">
        <v>3481</v>
      </c>
      <c r="M806">
        <v>40</v>
      </c>
      <c r="N806">
        <v>0.05</v>
      </c>
      <c r="O806" t="s">
        <v>211</v>
      </c>
      <c r="P806">
        <v>2.97</v>
      </c>
      <c r="Q806">
        <v>0.33</v>
      </c>
      <c r="R806" t="s">
        <v>3482</v>
      </c>
      <c r="T806" t="s">
        <v>3479</v>
      </c>
      <c r="U806">
        <v>0</v>
      </c>
      <c r="V806" t="s">
        <v>3688</v>
      </c>
    </row>
    <row r="807" spans="1:22" ht="12.75" customHeight="1" x14ac:dyDescent="0.15">
      <c r="A807">
        <v>16</v>
      </c>
      <c r="B807">
        <v>2026</v>
      </c>
      <c r="C807" s="21">
        <v>46130</v>
      </c>
      <c r="D807" t="s">
        <v>89</v>
      </c>
      <c r="E807" t="s">
        <v>90</v>
      </c>
      <c r="F807" t="s">
        <v>21</v>
      </c>
      <c r="G807">
        <v>1</v>
      </c>
      <c r="H807" t="s">
        <v>3614</v>
      </c>
      <c r="I807" t="s">
        <v>3615</v>
      </c>
      <c r="J807" s="1" t="s">
        <v>3533</v>
      </c>
      <c r="K807" t="s">
        <v>181</v>
      </c>
      <c r="L807" t="s">
        <v>3477</v>
      </c>
      <c r="M807">
        <v>3</v>
      </c>
      <c r="N807">
        <v>0.02</v>
      </c>
      <c r="O807" t="s">
        <v>3334</v>
      </c>
      <c r="P807">
        <v>1.84</v>
      </c>
      <c r="Q807">
        <v>0.18</v>
      </c>
      <c r="R807" t="s">
        <v>3478</v>
      </c>
      <c r="T807" t="s">
        <v>3479</v>
      </c>
      <c r="U807">
        <v>3</v>
      </c>
      <c r="V807" t="s">
        <v>3480</v>
      </c>
    </row>
    <row r="808" spans="1:22" ht="12.75" customHeight="1" x14ac:dyDescent="0.15">
      <c r="A808">
        <v>16</v>
      </c>
      <c r="B808">
        <v>2026</v>
      </c>
      <c r="C808" s="21">
        <v>46130</v>
      </c>
      <c r="D808" t="s">
        <v>89</v>
      </c>
      <c r="E808" t="s">
        <v>90</v>
      </c>
      <c r="F808" t="s">
        <v>21</v>
      </c>
      <c r="G808">
        <v>1</v>
      </c>
      <c r="H808" t="s">
        <v>3614</v>
      </c>
      <c r="I808" t="s">
        <v>3615</v>
      </c>
      <c r="J808" s="1" t="s">
        <v>3533</v>
      </c>
      <c r="K808" t="s">
        <v>181</v>
      </c>
      <c r="L808" t="s">
        <v>3481</v>
      </c>
      <c r="M808">
        <v>40</v>
      </c>
      <c r="N808">
        <v>0.03</v>
      </c>
      <c r="O808" t="s">
        <v>211</v>
      </c>
      <c r="P808">
        <v>1.44</v>
      </c>
      <c r="Q808">
        <v>0.16</v>
      </c>
      <c r="R808" t="s">
        <v>3482</v>
      </c>
      <c r="T808" t="s">
        <v>3479</v>
      </c>
      <c r="U808">
        <v>3</v>
      </c>
      <c r="V808" t="s">
        <v>3541</v>
      </c>
    </row>
    <row r="809" spans="1:22" ht="12.75" customHeight="1" x14ac:dyDescent="0.15">
      <c r="A809">
        <v>16</v>
      </c>
      <c r="B809">
        <v>2026</v>
      </c>
      <c r="C809" s="21">
        <v>46130</v>
      </c>
      <c r="D809" t="s">
        <v>91</v>
      </c>
      <c r="E809" t="s">
        <v>92</v>
      </c>
      <c r="F809" t="s">
        <v>21</v>
      </c>
      <c r="G809">
        <v>1.3</v>
      </c>
      <c r="H809" t="s">
        <v>3539</v>
      </c>
      <c r="I809" t="s">
        <v>3540</v>
      </c>
      <c r="J809" s="1" t="s">
        <v>3533</v>
      </c>
      <c r="K809" t="s">
        <v>181</v>
      </c>
      <c r="L809" t="s">
        <v>3477</v>
      </c>
      <c r="M809">
        <v>3</v>
      </c>
      <c r="N809">
        <v>0.05</v>
      </c>
      <c r="O809" t="s">
        <v>3334</v>
      </c>
      <c r="P809">
        <v>3.67</v>
      </c>
      <c r="Q809">
        <v>0.36</v>
      </c>
      <c r="R809" t="s">
        <v>3478</v>
      </c>
      <c r="T809" t="s">
        <v>3479</v>
      </c>
      <c r="U809">
        <v>0</v>
      </c>
      <c r="V809" t="s">
        <v>3687</v>
      </c>
    </row>
    <row r="810" spans="1:22" ht="12.75" customHeight="1" x14ac:dyDescent="0.15">
      <c r="A810">
        <v>16</v>
      </c>
      <c r="B810">
        <v>2026</v>
      </c>
      <c r="C810" s="21">
        <v>46130</v>
      </c>
      <c r="D810" t="s">
        <v>91</v>
      </c>
      <c r="E810" t="s">
        <v>92</v>
      </c>
      <c r="F810" t="s">
        <v>21</v>
      </c>
      <c r="G810">
        <v>1.3</v>
      </c>
      <c r="H810" t="s">
        <v>3539</v>
      </c>
      <c r="I810" t="s">
        <v>3540</v>
      </c>
      <c r="J810" s="1" t="s">
        <v>3533</v>
      </c>
      <c r="K810" t="s">
        <v>181</v>
      </c>
      <c r="L810" t="s">
        <v>3481</v>
      </c>
      <c r="M810">
        <v>40</v>
      </c>
      <c r="N810">
        <v>0.05</v>
      </c>
      <c r="O810" t="s">
        <v>211</v>
      </c>
      <c r="P810">
        <v>2.97</v>
      </c>
      <c r="Q810">
        <v>0.33</v>
      </c>
      <c r="R810" t="s">
        <v>3482</v>
      </c>
      <c r="T810" t="s">
        <v>3479</v>
      </c>
      <c r="U810">
        <v>0</v>
      </c>
      <c r="V810" t="s">
        <v>3688</v>
      </c>
    </row>
    <row r="811" spans="1:22" ht="12.75" customHeight="1" x14ac:dyDescent="0.15">
      <c r="A811">
        <v>16</v>
      </c>
      <c r="B811">
        <v>2026</v>
      </c>
      <c r="C811" s="21">
        <v>46131</v>
      </c>
      <c r="D811" t="s">
        <v>73</v>
      </c>
      <c r="E811" t="s">
        <v>74</v>
      </c>
      <c r="F811" t="s">
        <v>75</v>
      </c>
      <c r="G811">
        <v>2.2999999999999998</v>
      </c>
      <c r="H811" t="s">
        <v>3505</v>
      </c>
      <c r="I811" t="s">
        <v>29</v>
      </c>
      <c r="J811" s="1" t="s">
        <v>30</v>
      </c>
      <c r="K811" t="s">
        <v>3705</v>
      </c>
      <c r="L811" t="s">
        <v>3340</v>
      </c>
      <c r="M811">
        <v>45</v>
      </c>
      <c r="N811">
        <v>3.78</v>
      </c>
      <c r="O811" t="s">
        <v>211</v>
      </c>
      <c r="P811">
        <v>208</v>
      </c>
      <c r="R811" t="s">
        <v>3377</v>
      </c>
      <c r="T811" t="s">
        <v>3337</v>
      </c>
      <c r="U811">
        <v>1</v>
      </c>
      <c r="V811" t="s">
        <v>3761</v>
      </c>
    </row>
    <row r="812" spans="1:22" ht="12.75" customHeight="1" x14ac:dyDescent="0.15">
      <c r="A812">
        <v>16</v>
      </c>
      <c r="B812">
        <v>2026</v>
      </c>
      <c r="C812" s="21">
        <v>46131</v>
      </c>
      <c r="D812" t="s">
        <v>73</v>
      </c>
      <c r="E812" t="s">
        <v>74</v>
      </c>
      <c r="F812" t="s">
        <v>75</v>
      </c>
      <c r="G812">
        <v>2.2999999999999998</v>
      </c>
      <c r="H812" t="s">
        <v>3505</v>
      </c>
      <c r="I812" t="s">
        <v>29</v>
      </c>
      <c r="J812" s="1" t="s">
        <v>30</v>
      </c>
      <c r="K812" t="s">
        <v>3705</v>
      </c>
      <c r="L812" t="s">
        <v>3340</v>
      </c>
      <c r="M812">
        <v>132</v>
      </c>
      <c r="N812">
        <v>3.78</v>
      </c>
      <c r="O812" t="s">
        <v>211</v>
      </c>
      <c r="P812">
        <v>208</v>
      </c>
      <c r="R812" t="s">
        <v>3368</v>
      </c>
      <c r="T812" t="s">
        <v>3337</v>
      </c>
      <c r="U812">
        <v>1</v>
      </c>
      <c r="V812" t="s">
        <v>3761</v>
      </c>
    </row>
    <row r="813" spans="1:22" ht="12.75" customHeight="1" x14ac:dyDescent="0.15">
      <c r="A813">
        <v>16</v>
      </c>
      <c r="B813">
        <v>2026</v>
      </c>
      <c r="C813" s="21">
        <v>46131</v>
      </c>
      <c r="D813" t="s">
        <v>73</v>
      </c>
      <c r="E813" t="s">
        <v>74</v>
      </c>
      <c r="F813" t="s">
        <v>75</v>
      </c>
      <c r="G813">
        <v>2.2999999999999998</v>
      </c>
      <c r="H813" t="s">
        <v>3505</v>
      </c>
      <c r="I813" t="s">
        <v>29</v>
      </c>
      <c r="J813" s="1" t="s">
        <v>30</v>
      </c>
      <c r="K813" t="s">
        <v>3705</v>
      </c>
      <c r="L813" t="s">
        <v>3340</v>
      </c>
      <c r="M813">
        <v>58</v>
      </c>
      <c r="N813">
        <v>3.78</v>
      </c>
      <c r="O813" t="s">
        <v>211</v>
      </c>
      <c r="P813">
        <v>208</v>
      </c>
      <c r="R813" t="s">
        <v>3343</v>
      </c>
      <c r="T813" t="s">
        <v>3337</v>
      </c>
      <c r="U813">
        <v>1</v>
      </c>
      <c r="V813" t="s">
        <v>3761</v>
      </c>
    </row>
    <row r="814" spans="1:22" ht="12.75" customHeight="1" x14ac:dyDescent="0.15">
      <c r="A814">
        <v>16</v>
      </c>
      <c r="B814">
        <v>2026</v>
      </c>
      <c r="C814" s="21">
        <v>46131</v>
      </c>
      <c r="D814" t="s">
        <v>73</v>
      </c>
      <c r="E814" t="s">
        <v>74</v>
      </c>
      <c r="F814" t="s">
        <v>75</v>
      </c>
      <c r="G814">
        <v>2.2999999999999998</v>
      </c>
      <c r="H814" t="s">
        <v>3505</v>
      </c>
      <c r="I814" t="s">
        <v>29</v>
      </c>
      <c r="J814" s="1" t="s">
        <v>30</v>
      </c>
      <c r="K814" t="s">
        <v>3705</v>
      </c>
      <c r="L814" t="s">
        <v>3340</v>
      </c>
      <c r="M814">
        <v>53</v>
      </c>
      <c r="N814">
        <v>3.78</v>
      </c>
      <c r="O814" t="s">
        <v>211</v>
      </c>
      <c r="P814">
        <v>208</v>
      </c>
      <c r="R814" t="s">
        <v>3373</v>
      </c>
      <c r="T814" t="s">
        <v>3337</v>
      </c>
      <c r="U814">
        <v>1</v>
      </c>
      <c r="V814" t="s">
        <v>3761</v>
      </c>
    </row>
    <row r="815" spans="1:22" ht="12.75" customHeight="1" x14ac:dyDescent="0.15">
      <c r="A815">
        <v>16</v>
      </c>
      <c r="B815">
        <v>2026</v>
      </c>
      <c r="C815" s="21">
        <v>46131</v>
      </c>
      <c r="D815" t="s">
        <v>73</v>
      </c>
      <c r="E815" t="s">
        <v>74</v>
      </c>
      <c r="F815" t="s">
        <v>75</v>
      </c>
      <c r="G815">
        <v>2.2999999999999998</v>
      </c>
      <c r="H815" t="s">
        <v>3505</v>
      </c>
      <c r="I815" t="s">
        <v>29</v>
      </c>
      <c r="J815" s="1" t="s">
        <v>30</v>
      </c>
      <c r="K815" t="s">
        <v>3705</v>
      </c>
      <c r="L815" t="s">
        <v>3340</v>
      </c>
      <c r="M815">
        <v>81</v>
      </c>
      <c r="N815">
        <v>3.78</v>
      </c>
      <c r="O815" t="s">
        <v>211</v>
      </c>
      <c r="P815">
        <v>208</v>
      </c>
      <c r="R815" t="s">
        <v>3374</v>
      </c>
      <c r="T815" t="s">
        <v>3337</v>
      </c>
      <c r="U815">
        <v>1</v>
      </c>
      <c r="V815" t="s">
        <v>3761</v>
      </c>
    </row>
    <row r="816" spans="1:22" ht="12.75" customHeight="1" x14ac:dyDescent="0.15">
      <c r="A816">
        <v>16</v>
      </c>
      <c r="B816">
        <v>2026</v>
      </c>
      <c r="C816" s="21">
        <v>46131</v>
      </c>
      <c r="D816" t="s">
        <v>73</v>
      </c>
      <c r="E816" t="s">
        <v>74</v>
      </c>
      <c r="F816" t="s">
        <v>75</v>
      </c>
      <c r="G816">
        <v>2.2999999999999998</v>
      </c>
      <c r="H816" t="s">
        <v>3505</v>
      </c>
      <c r="I816" t="s">
        <v>29</v>
      </c>
      <c r="J816" s="1" t="s">
        <v>30</v>
      </c>
      <c r="K816" t="s">
        <v>3705</v>
      </c>
      <c r="L816" t="s">
        <v>3340</v>
      </c>
      <c r="M816">
        <v>2</v>
      </c>
      <c r="N816">
        <v>3.78</v>
      </c>
      <c r="O816" t="s">
        <v>211</v>
      </c>
      <c r="P816">
        <v>208</v>
      </c>
      <c r="R816" t="s">
        <v>3424</v>
      </c>
      <c r="T816" t="s">
        <v>3337</v>
      </c>
      <c r="U816">
        <v>1</v>
      </c>
      <c r="V816" t="s">
        <v>3761</v>
      </c>
    </row>
    <row r="817" spans="1:22" ht="12.75" customHeight="1" x14ac:dyDescent="0.15">
      <c r="A817">
        <v>16</v>
      </c>
      <c r="B817">
        <v>2026</v>
      </c>
      <c r="C817" s="21">
        <v>46131</v>
      </c>
      <c r="D817" t="s">
        <v>73</v>
      </c>
      <c r="E817" t="s">
        <v>74</v>
      </c>
      <c r="F817" t="s">
        <v>75</v>
      </c>
      <c r="G817">
        <v>2.2999999999999998</v>
      </c>
      <c r="H817" t="s">
        <v>3454</v>
      </c>
      <c r="I817" t="s">
        <v>212</v>
      </c>
      <c r="J817" s="1" t="s">
        <v>188</v>
      </c>
      <c r="K817" t="s">
        <v>181</v>
      </c>
      <c r="L817" t="s">
        <v>3340</v>
      </c>
      <c r="M817">
        <v>1</v>
      </c>
      <c r="N817">
        <v>2.73</v>
      </c>
      <c r="O817" t="s">
        <v>211</v>
      </c>
      <c r="P817">
        <v>150</v>
      </c>
      <c r="R817" t="s">
        <v>3359</v>
      </c>
      <c r="T817" t="s">
        <v>3337</v>
      </c>
      <c r="U817">
        <v>1</v>
      </c>
      <c r="V817" t="s">
        <v>3762</v>
      </c>
    </row>
    <row r="818" spans="1:22" ht="12.75" customHeight="1" x14ac:dyDescent="0.15">
      <c r="A818">
        <v>16</v>
      </c>
      <c r="B818">
        <v>2026</v>
      </c>
      <c r="C818" s="21">
        <v>46131</v>
      </c>
      <c r="D818" t="s">
        <v>73</v>
      </c>
      <c r="E818" t="s">
        <v>74</v>
      </c>
      <c r="F818" t="s">
        <v>75</v>
      </c>
      <c r="G818">
        <v>2.2999999999999998</v>
      </c>
      <c r="H818" t="s">
        <v>3743</v>
      </c>
      <c r="I818" t="s">
        <v>3744</v>
      </c>
      <c r="J818" s="56" t="s">
        <v>30</v>
      </c>
      <c r="K818" t="s">
        <v>181</v>
      </c>
      <c r="L818" t="s">
        <v>3340</v>
      </c>
      <c r="M818">
        <v>72</v>
      </c>
      <c r="N818">
        <v>2.1800000000000002</v>
      </c>
      <c r="O818" t="s">
        <v>211</v>
      </c>
      <c r="P818">
        <v>120</v>
      </c>
      <c r="R818" t="s">
        <v>3488</v>
      </c>
      <c r="S818" t="s">
        <v>3763</v>
      </c>
      <c r="T818" t="s">
        <v>3337</v>
      </c>
      <c r="U818">
        <v>1</v>
      </c>
      <c r="V818" t="s">
        <v>3764</v>
      </c>
    </row>
    <row r="819" spans="1:22" ht="12.75" customHeight="1" x14ac:dyDescent="0.15">
      <c r="A819">
        <v>16</v>
      </c>
      <c r="B819">
        <v>2026</v>
      </c>
      <c r="C819" s="21">
        <v>46131</v>
      </c>
      <c r="D819" t="s">
        <v>91</v>
      </c>
      <c r="E819" t="s">
        <v>92</v>
      </c>
      <c r="F819" t="s">
        <v>21</v>
      </c>
      <c r="G819">
        <v>1</v>
      </c>
      <c r="H819" t="s">
        <v>3605</v>
      </c>
      <c r="I819" t="s">
        <v>212</v>
      </c>
      <c r="J819" s="1" t="s">
        <v>3533</v>
      </c>
      <c r="K819" t="s">
        <v>181</v>
      </c>
      <c r="L819" t="s">
        <v>3340</v>
      </c>
      <c r="M819">
        <v>3</v>
      </c>
      <c r="N819">
        <v>1.45</v>
      </c>
      <c r="P819">
        <v>80</v>
      </c>
      <c r="R819" t="s">
        <v>3478</v>
      </c>
      <c r="T819" t="s">
        <v>3402</v>
      </c>
      <c r="U819">
        <v>1</v>
      </c>
      <c r="V819" t="s">
        <v>216</v>
      </c>
    </row>
    <row r="820" spans="1:22" ht="12.75" customHeight="1" x14ac:dyDescent="0.15">
      <c r="A820">
        <v>16</v>
      </c>
      <c r="B820">
        <v>2026</v>
      </c>
      <c r="C820" s="21">
        <v>46131</v>
      </c>
      <c r="D820" t="s">
        <v>91</v>
      </c>
      <c r="E820" t="s">
        <v>92</v>
      </c>
      <c r="F820" t="s">
        <v>21</v>
      </c>
      <c r="G820">
        <v>1</v>
      </c>
      <c r="H820" t="s">
        <v>3605</v>
      </c>
      <c r="I820" t="s">
        <v>212</v>
      </c>
      <c r="J820" s="1" t="s">
        <v>3533</v>
      </c>
      <c r="K820" t="s">
        <v>181</v>
      </c>
      <c r="L820" t="s">
        <v>3340</v>
      </c>
      <c r="M820">
        <v>3</v>
      </c>
      <c r="N820">
        <v>1.0900000000000001</v>
      </c>
      <c r="P820">
        <v>60</v>
      </c>
      <c r="R820" t="s">
        <v>3478</v>
      </c>
      <c r="S820" t="s">
        <v>3765</v>
      </c>
      <c r="T820" t="s">
        <v>3402</v>
      </c>
      <c r="U820">
        <v>1</v>
      </c>
      <c r="V820" t="s">
        <v>189</v>
      </c>
    </row>
    <row r="821" spans="1:22" ht="12.75" customHeight="1" x14ac:dyDescent="0.15">
      <c r="A821">
        <v>16</v>
      </c>
      <c r="B821">
        <v>2026</v>
      </c>
      <c r="C821" s="21">
        <v>46131</v>
      </c>
      <c r="D821" t="s">
        <v>73</v>
      </c>
      <c r="E821" t="s">
        <v>74</v>
      </c>
      <c r="F821" t="s">
        <v>75</v>
      </c>
      <c r="G821">
        <v>2.2999999999999998</v>
      </c>
      <c r="H821" t="s">
        <v>3495</v>
      </c>
      <c r="I821" t="s">
        <v>29</v>
      </c>
      <c r="J821" s="1" t="s">
        <v>30</v>
      </c>
      <c r="K821" t="s">
        <v>3705</v>
      </c>
      <c r="L821" t="s">
        <v>3340</v>
      </c>
      <c r="M821">
        <v>67</v>
      </c>
      <c r="N821">
        <v>3.78</v>
      </c>
      <c r="O821" t="s">
        <v>211</v>
      </c>
      <c r="P821">
        <v>208</v>
      </c>
      <c r="R821" t="s">
        <v>3404</v>
      </c>
      <c r="T821" t="s">
        <v>3402</v>
      </c>
      <c r="U821">
        <v>1</v>
      </c>
      <c r="V821" t="s">
        <v>3761</v>
      </c>
    </row>
    <row r="822" spans="1:22" ht="12.75" customHeight="1" x14ac:dyDescent="0.15">
      <c r="A822">
        <v>16</v>
      </c>
      <c r="B822">
        <v>2026</v>
      </c>
      <c r="C822" s="21">
        <v>46131</v>
      </c>
      <c r="D822" t="s">
        <v>73</v>
      </c>
      <c r="E822" t="s">
        <v>74</v>
      </c>
      <c r="F822" t="s">
        <v>75</v>
      </c>
      <c r="G822">
        <v>2.2999999999999998</v>
      </c>
      <c r="H822" t="s">
        <v>3495</v>
      </c>
      <c r="I822" t="s">
        <v>29</v>
      </c>
      <c r="J822" s="1" t="s">
        <v>30</v>
      </c>
      <c r="K822" t="s">
        <v>3705</v>
      </c>
      <c r="L822" t="s">
        <v>3340</v>
      </c>
      <c r="M822">
        <v>19</v>
      </c>
      <c r="N822">
        <v>3.78</v>
      </c>
      <c r="O822" t="s">
        <v>211</v>
      </c>
      <c r="P822">
        <v>208</v>
      </c>
      <c r="R822" t="s">
        <v>3403</v>
      </c>
      <c r="T822" t="s">
        <v>3402</v>
      </c>
      <c r="U822">
        <v>1</v>
      </c>
      <c r="V822" t="s">
        <v>3761</v>
      </c>
    </row>
    <row r="823" spans="1:22" ht="12.75" customHeight="1" x14ac:dyDescent="0.15">
      <c r="A823">
        <v>16</v>
      </c>
      <c r="B823">
        <v>2026</v>
      </c>
      <c r="C823" s="21">
        <v>46131</v>
      </c>
      <c r="D823" t="s">
        <v>73</v>
      </c>
      <c r="E823" t="s">
        <v>74</v>
      </c>
      <c r="F823" t="s">
        <v>75</v>
      </c>
      <c r="G823">
        <v>2.2999999999999998</v>
      </c>
      <c r="H823" t="s">
        <v>3495</v>
      </c>
      <c r="I823" t="s">
        <v>29</v>
      </c>
      <c r="J823" s="1" t="s">
        <v>30</v>
      </c>
      <c r="K823" t="s">
        <v>3705</v>
      </c>
      <c r="L823" t="s">
        <v>3340</v>
      </c>
      <c r="M823">
        <v>91</v>
      </c>
      <c r="N823">
        <v>3.78</v>
      </c>
      <c r="O823" t="s">
        <v>211</v>
      </c>
      <c r="P823">
        <v>208</v>
      </c>
      <c r="R823" t="s">
        <v>3412</v>
      </c>
      <c r="T823" t="s">
        <v>3402</v>
      </c>
      <c r="U823">
        <v>1</v>
      </c>
      <c r="V823" t="s">
        <v>3761</v>
      </c>
    </row>
    <row r="824" spans="1:22" ht="12.75" customHeight="1" x14ac:dyDescent="0.15">
      <c r="A824">
        <v>16</v>
      </c>
      <c r="B824">
        <v>2026</v>
      </c>
      <c r="C824" s="21">
        <v>46131</v>
      </c>
      <c r="D824" t="s">
        <v>73</v>
      </c>
      <c r="E824" t="s">
        <v>74</v>
      </c>
      <c r="F824" t="s">
        <v>75</v>
      </c>
      <c r="G824">
        <v>2.2999999999999998</v>
      </c>
      <c r="H824" t="s">
        <v>3495</v>
      </c>
      <c r="I824" t="s">
        <v>29</v>
      </c>
      <c r="J824" s="1" t="s">
        <v>30</v>
      </c>
      <c r="K824" t="s">
        <v>3705</v>
      </c>
      <c r="L824" t="s">
        <v>3340</v>
      </c>
      <c r="M824">
        <v>78</v>
      </c>
      <c r="N824">
        <v>3.78</v>
      </c>
      <c r="O824" t="s">
        <v>211</v>
      </c>
      <c r="P824">
        <v>208</v>
      </c>
      <c r="R824" t="s">
        <v>3341</v>
      </c>
      <c r="T824" t="s">
        <v>3402</v>
      </c>
      <c r="U824">
        <v>1</v>
      </c>
      <c r="V824" t="s">
        <v>3761</v>
      </c>
    </row>
    <row r="825" spans="1:22" ht="12.75" customHeight="1" x14ac:dyDescent="0.15">
      <c r="A825">
        <v>16</v>
      </c>
      <c r="B825">
        <v>2026</v>
      </c>
      <c r="C825" s="21">
        <v>46131</v>
      </c>
      <c r="D825" t="s">
        <v>91</v>
      </c>
      <c r="E825" t="s">
        <v>92</v>
      </c>
      <c r="F825" t="s">
        <v>21</v>
      </c>
      <c r="G825">
        <v>1.3</v>
      </c>
      <c r="H825" t="s">
        <v>3605</v>
      </c>
      <c r="I825" t="s">
        <v>335</v>
      </c>
      <c r="J825" s="1" t="s">
        <v>3533</v>
      </c>
      <c r="K825" t="s">
        <v>181</v>
      </c>
      <c r="L825" t="s">
        <v>3477</v>
      </c>
      <c r="M825">
        <v>3</v>
      </c>
      <c r="N825">
        <v>0.18</v>
      </c>
      <c r="O825" t="s">
        <v>3334</v>
      </c>
      <c r="P825">
        <v>14.79</v>
      </c>
      <c r="Q825">
        <v>1.45</v>
      </c>
      <c r="R825" t="s">
        <v>3478</v>
      </c>
      <c r="T825" t="s">
        <v>3479</v>
      </c>
      <c r="U825">
        <v>1</v>
      </c>
      <c r="V825" t="s">
        <v>3766</v>
      </c>
    </row>
    <row r="826" spans="1:22" ht="12.75" customHeight="1" x14ac:dyDescent="0.15">
      <c r="A826">
        <v>16</v>
      </c>
      <c r="B826">
        <v>2026</v>
      </c>
      <c r="C826" s="21">
        <v>46131</v>
      </c>
      <c r="D826" t="s">
        <v>91</v>
      </c>
      <c r="E826" t="s">
        <v>92</v>
      </c>
      <c r="F826" t="s">
        <v>21</v>
      </c>
      <c r="G826">
        <v>1.3</v>
      </c>
      <c r="H826" t="s">
        <v>3605</v>
      </c>
      <c r="I826" t="s">
        <v>335</v>
      </c>
      <c r="J826" s="1" t="s">
        <v>3533</v>
      </c>
      <c r="K826" t="s">
        <v>181</v>
      </c>
      <c r="L826" t="s">
        <v>3477</v>
      </c>
      <c r="M826">
        <v>3</v>
      </c>
      <c r="N826">
        <v>0.14000000000000001</v>
      </c>
      <c r="O826" t="s">
        <v>3334</v>
      </c>
      <c r="P826">
        <v>11.12</v>
      </c>
      <c r="Q826">
        <v>1.0900000000000001</v>
      </c>
      <c r="R826" t="s">
        <v>3478</v>
      </c>
      <c r="T826" t="s">
        <v>3479</v>
      </c>
      <c r="U826">
        <v>1</v>
      </c>
      <c r="V826" t="s">
        <v>3767</v>
      </c>
    </row>
    <row r="827" spans="1:22" ht="12.75" customHeight="1" x14ac:dyDescent="0.15">
      <c r="A827">
        <v>16</v>
      </c>
      <c r="B827">
        <v>2026</v>
      </c>
      <c r="C827" s="21">
        <v>46132</v>
      </c>
      <c r="D827" t="s">
        <v>84</v>
      </c>
      <c r="E827" t="s">
        <v>85</v>
      </c>
      <c r="F827" t="s">
        <v>21</v>
      </c>
      <c r="G827">
        <v>2</v>
      </c>
      <c r="H827" t="s">
        <v>3505</v>
      </c>
      <c r="I827" t="s">
        <v>29</v>
      </c>
      <c r="J827" s="1" t="s">
        <v>30</v>
      </c>
      <c r="K827" t="s">
        <v>3705</v>
      </c>
      <c r="L827" t="s">
        <v>3340</v>
      </c>
      <c r="M827">
        <v>81</v>
      </c>
      <c r="N827">
        <v>1.55</v>
      </c>
      <c r="O827" t="s">
        <v>211</v>
      </c>
      <c r="P827">
        <v>85</v>
      </c>
      <c r="R827" t="s">
        <v>3374</v>
      </c>
      <c r="T827" t="s">
        <v>3337</v>
      </c>
      <c r="U827">
        <v>0</v>
      </c>
      <c r="V827" t="s">
        <v>3768</v>
      </c>
    </row>
    <row r="828" spans="1:22" ht="12.75" customHeight="1" x14ac:dyDescent="0.15">
      <c r="A828">
        <v>16</v>
      </c>
      <c r="B828">
        <v>2026</v>
      </c>
      <c r="C828" s="21">
        <v>46132</v>
      </c>
      <c r="D828" t="s">
        <v>84</v>
      </c>
      <c r="E828" t="s">
        <v>85</v>
      </c>
      <c r="F828" t="s">
        <v>21</v>
      </c>
      <c r="G828">
        <v>2</v>
      </c>
      <c r="H828" t="s">
        <v>3505</v>
      </c>
      <c r="I828" t="s">
        <v>29</v>
      </c>
      <c r="J828" s="1" t="s">
        <v>30</v>
      </c>
      <c r="K828" t="s">
        <v>3705</v>
      </c>
      <c r="L828" t="s">
        <v>3340</v>
      </c>
      <c r="M828">
        <v>58</v>
      </c>
      <c r="N828">
        <v>1.55</v>
      </c>
      <c r="O828" t="s">
        <v>211</v>
      </c>
      <c r="P828">
        <v>85</v>
      </c>
      <c r="R828" t="s">
        <v>3343</v>
      </c>
      <c r="T828" t="s">
        <v>3337</v>
      </c>
      <c r="U828">
        <v>0</v>
      </c>
      <c r="V828" t="s">
        <v>3768</v>
      </c>
    </row>
    <row r="829" spans="1:22" ht="12.75" customHeight="1" x14ac:dyDescent="0.15">
      <c r="A829">
        <v>16</v>
      </c>
      <c r="B829">
        <v>2026</v>
      </c>
      <c r="C829" s="21">
        <v>46132</v>
      </c>
      <c r="D829" t="s">
        <v>84</v>
      </c>
      <c r="E829" t="s">
        <v>85</v>
      </c>
      <c r="F829" t="s">
        <v>21</v>
      </c>
      <c r="G829">
        <v>2</v>
      </c>
      <c r="H829" t="s">
        <v>3505</v>
      </c>
      <c r="I829" t="s">
        <v>29</v>
      </c>
      <c r="J829" s="1" t="s">
        <v>30</v>
      </c>
      <c r="K829" t="s">
        <v>3705</v>
      </c>
      <c r="L829" t="s">
        <v>3340</v>
      </c>
      <c r="M829">
        <v>62</v>
      </c>
      <c r="N829">
        <v>1.55</v>
      </c>
      <c r="O829" t="s">
        <v>211</v>
      </c>
      <c r="P829">
        <v>85</v>
      </c>
      <c r="R829" t="s">
        <v>3375</v>
      </c>
      <c r="T829" t="s">
        <v>3337</v>
      </c>
      <c r="U829">
        <v>0</v>
      </c>
      <c r="V829" t="s">
        <v>3768</v>
      </c>
    </row>
    <row r="830" spans="1:22" ht="12.75" customHeight="1" x14ac:dyDescent="0.15">
      <c r="A830">
        <v>16</v>
      </c>
      <c r="B830">
        <v>2026</v>
      </c>
      <c r="C830" s="21">
        <v>46132</v>
      </c>
      <c r="D830" t="s">
        <v>84</v>
      </c>
      <c r="E830" t="s">
        <v>85</v>
      </c>
      <c r="F830" t="s">
        <v>21</v>
      </c>
      <c r="G830">
        <v>2</v>
      </c>
      <c r="H830" t="s">
        <v>3505</v>
      </c>
      <c r="I830" t="s">
        <v>29</v>
      </c>
      <c r="J830" s="1" t="s">
        <v>30</v>
      </c>
      <c r="K830" t="s">
        <v>3705</v>
      </c>
      <c r="L830" t="s">
        <v>3340</v>
      </c>
      <c r="M830">
        <v>132</v>
      </c>
      <c r="N830">
        <v>1.55</v>
      </c>
      <c r="O830" t="s">
        <v>211</v>
      </c>
      <c r="P830">
        <v>85</v>
      </c>
      <c r="R830" t="s">
        <v>3368</v>
      </c>
      <c r="T830" t="s">
        <v>3337</v>
      </c>
      <c r="U830">
        <v>0</v>
      </c>
      <c r="V830" t="s">
        <v>3768</v>
      </c>
    </row>
    <row r="831" spans="1:22" ht="12.75" customHeight="1" x14ac:dyDescent="0.15">
      <c r="A831">
        <v>16</v>
      </c>
      <c r="B831">
        <v>2026</v>
      </c>
      <c r="C831" s="21">
        <v>46132</v>
      </c>
      <c r="D831" t="s">
        <v>84</v>
      </c>
      <c r="E831" t="s">
        <v>85</v>
      </c>
      <c r="F831" t="s">
        <v>21</v>
      </c>
      <c r="G831">
        <v>2</v>
      </c>
      <c r="H831" t="s">
        <v>3505</v>
      </c>
      <c r="I831" t="s">
        <v>29</v>
      </c>
      <c r="J831" s="1" t="s">
        <v>30</v>
      </c>
      <c r="K831" t="s">
        <v>3705</v>
      </c>
      <c r="L831" t="s">
        <v>3340</v>
      </c>
      <c r="M831">
        <v>53</v>
      </c>
      <c r="N831">
        <v>1.55</v>
      </c>
      <c r="O831" t="s">
        <v>211</v>
      </c>
      <c r="P831">
        <v>85</v>
      </c>
      <c r="R831" t="s">
        <v>3373</v>
      </c>
      <c r="T831" t="s">
        <v>3337</v>
      </c>
      <c r="U831">
        <v>0</v>
      </c>
      <c r="V831" t="s">
        <v>3768</v>
      </c>
    </row>
    <row r="832" spans="1:22" ht="12.75" customHeight="1" x14ac:dyDescent="0.15">
      <c r="A832">
        <v>16</v>
      </c>
      <c r="B832">
        <v>2026</v>
      </c>
      <c r="C832" s="21">
        <v>46132</v>
      </c>
      <c r="D832" t="s">
        <v>84</v>
      </c>
      <c r="E832" t="s">
        <v>85</v>
      </c>
      <c r="F832" t="s">
        <v>21</v>
      </c>
      <c r="G832">
        <v>2</v>
      </c>
      <c r="H832" t="s">
        <v>3505</v>
      </c>
      <c r="I832" t="s">
        <v>29</v>
      </c>
      <c r="J832" s="1" t="s">
        <v>30</v>
      </c>
      <c r="K832" t="s">
        <v>3705</v>
      </c>
      <c r="L832" t="s">
        <v>3333</v>
      </c>
      <c r="M832">
        <v>2</v>
      </c>
      <c r="N832">
        <v>0.94</v>
      </c>
      <c r="O832" t="s">
        <v>3440</v>
      </c>
      <c r="P832">
        <v>85</v>
      </c>
      <c r="R832" t="s">
        <v>3424</v>
      </c>
      <c r="T832" t="s">
        <v>3337</v>
      </c>
      <c r="U832">
        <v>0</v>
      </c>
      <c r="V832" t="s">
        <v>3768</v>
      </c>
    </row>
    <row r="833" spans="1:22" ht="12.75" customHeight="1" x14ac:dyDescent="0.15">
      <c r="A833">
        <v>16</v>
      </c>
      <c r="B833">
        <v>2026</v>
      </c>
      <c r="C833" s="21">
        <v>46132</v>
      </c>
      <c r="D833" t="s">
        <v>73</v>
      </c>
      <c r="E833" t="s">
        <v>74</v>
      </c>
      <c r="F833" t="s">
        <v>75</v>
      </c>
      <c r="G833">
        <v>2.2999999999999998</v>
      </c>
      <c r="H833" t="s">
        <v>3454</v>
      </c>
      <c r="I833" t="s">
        <v>212</v>
      </c>
      <c r="J833" s="1" t="s">
        <v>188</v>
      </c>
      <c r="K833" t="s">
        <v>181</v>
      </c>
      <c r="L833" t="s">
        <v>3333</v>
      </c>
      <c r="M833">
        <v>6</v>
      </c>
      <c r="N833">
        <v>1</v>
      </c>
      <c r="O833" t="s">
        <v>3334</v>
      </c>
      <c r="P833">
        <v>81.58</v>
      </c>
      <c r="Q833">
        <v>8</v>
      </c>
      <c r="R833" t="s">
        <v>3335</v>
      </c>
      <c r="T833" t="s">
        <v>3337</v>
      </c>
      <c r="U833">
        <v>2</v>
      </c>
      <c r="V833" t="s">
        <v>3612</v>
      </c>
    </row>
    <row r="834" spans="1:22" ht="12.75" customHeight="1" x14ac:dyDescent="0.15">
      <c r="A834">
        <v>16</v>
      </c>
      <c r="B834">
        <v>2026</v>
      </c>
      <c r="C834" s="21">
        <v>46132</v>
      </c>
      <c r="E834" t="s">
        <v>138</v>
      </c>
      <c r="F834" t="s">
        <v>75</v>
      </c>
      <c r="G834">
        <v>1</v>
      </c>
      <c r="H834" t="s">
        <v>3769</v>
      </c>
      <c r="I834" t="s">
        <v>3670</v>
      </c>
      <c r="J834" s="1" t="s">
        <v>3660</v>
      </c>
      <c r="K834" t="s">
        <v>181</v>
      </c>
      <c r="L834" t="s">
        <v>3340</v>
      </c>
      <c r="M834">
        <v>60</v>
      </c>
      <c r="N834">
        <v>6.36</v>
      </c>
      <c r="O834" t="s">
        <v>211</v>
      </c>
      <c r="P834">
        <v>350</v>
      </c>
      <c r="R834" t="s">
        <v>3671</v>
      </c>
      <c r="T834" t="s">
        <v>3337</v>
      </c>
      <c r="V834">
        <f>+P834/G834</f>
        <v>350</v>
      </c>
    </row>
    <row r="835" spans="1:22" ht="12.75" customHeight="1" x14ac:dyDescent="0.15">
      <c r="A835">
        <v>16</v>
      </c>
      <c r="B835">
        <v>2026</v>
      </c>
      <c r="C835" s="21">
        <v>46132</v>
      </c>
      <c r="D835" t="s">
        <v>84</v>
      </c>
      <c r="E835" t="s">
        <v>85</v>
      </c>
      <c r="F835" t="s">
        <v>21</v>
      </c>
      <c r="G835">
        <v>2</v>
      </c>
      <c r="H835" t="s">
        <v>3770</v>
      </c>
      <c r="I835" t="s">
        <v>3771</v>
      </c>
      <c r="J835" s="1" t="s">
        <v>3533</v>
      </c>
      <c r="K835" t="s">
        <v>181</v>
      </c>
      <c r="L835" t="s">
        <v>3333</v>
      </c>
      <c r="M835">
        <v>3</v>
      </c>
      <c r="N835">
        <v>0.91</v>
      </c>
      <c r="P835">
        <v>50</v>
      </c>
      <c r="R835" t="s">
        <v>3478</v>
      </c>
      <c r="T835" t="s">
        <v>3402</v>
      </c>
      <c r="U835">
        <v>0</v>
      </c>
      <c r="V835" t="s">
        <v>3608</v>
      </c>
    </row>
    <row r="836" spans="1:22" ht="12.75" customHeight="1" x14ac:dyDescent="0.15">
      <c r="A836">
        <v>16</v>
      </c>
      <c r="B836">
        <v>2026</v>
      </c>
      <c r="C836" s="21">
        <v>46132</v>
      </c>
      <c r="D836" t="s">
        <v>84</v>
      </c>
      <c r="E836" t="s">
        <v>85</v>
      </c>
      <c r="F836" t="s">
        <v>21</v>
      </c>
      <c r="G836">
        <v>2</v>
      </c>
      <c r="H836" t="s">
        <v>3563</v>
      </c>
      <c r="I836" t="s">
        <v>3734</v>
      </c>
      <c r="J836" s="1" t="s">
        <v>3533</v>
      </c>
      <c r="K836" t="s">
        <v>181</v>
      </c>
      <c r="L836" t="s">
        <v>3333</v>
      </c>
      <c r="M836">
        <v>3</v>
      </c>
      <c r="N836">
        <v>0.56999999999999995</v>
      </c>
      <c r="P836">
        <v>31.5</v>
      </c>
      <c r="R836" t="s">
        <v>3478</v>
      </c>
      <c r="T836" t="s">
        <v>3402</v>
      </c>
      <c r="U836">
        <v>0</v>
      </c>
      <c r="V836" t="s">
        <v>3451</v>
      </c>
    </row>
    <row r="837" spans="1:22" ht="12.75" customHeight="1" x14ac:dyDescent="0.15">
      <c r="A837">
        <v>16</v>
      </c>
      <c r="B837">
        <v>2026</v>
      </c>
      <c r="C837" s="21">
        <v>46132</v>
      </c>
      <c r="D837" t="s">
        <v>84</v>
      </c>
      <c r="E837" t="s">
        <v>85</v>
      </c>
      <c r="F837" t="s">
        <v>21</v>
      </c>
      <c r="G837">
        <v>2</v>
      </c>
      <c r="H837" t="s">
        <v>3605</v>
      </c>
      <c r="I837" t="s">
        <v>212</v>
      </c>
      <c r="J837" s="1" t="s">
        <v>3533</v>
      </c>
      <c r="K837" t="s">
        <v>181</v>
      </c>
      <c r="L837" t="s">
        <v>3340</v>
      </c>
      <c r="M837">
        <v>3</v>
      </c>
      <c r="N837">
        <v>0.36</v>
      </c>
      <c r="P837">
        <v>20</v>
      </c>
      <c r="R837" t="s">
        <v>3478</v>
      </c>
      <c r="S837" t="s">
        <v>3772</v>
      </c>
      <c r="T837" t="s">
        <v>3402</v>
      </c>
      <c r="U837">
        <v>0</v>
      </c>
      <c r="V837" t="s">
        <v>3711</v>
      </c>
    </row>
    <row r="838" spans="1:22" ht="12.75" customHeight="1" x14ac:dyDescent="0.15">
      <c r="A838">
        <v>16</v>
      </c>
      <c r="B838">
        <v>2026</v>
      </c>
      <c r="C838" s="21">
        <v>46132</v>
      </c>
      <c r="D838" t="s">
        <v>84</v>
      </c>
      <c r="E838" t="s">
        <v>85</v>
      </c>
      <c r="F838" t="s">
        <v>21</v>
      </c>
      <c r="G838">
        <v>2</v>
      </c>
      <c r="H838" t="s">
        <v>3495</v>
      </c>
      <c r="I838" t="s">
        <v>29</v>
      </c>
      <c r="J838" s="1" t="s">
        <v>30</v>
      </c>
      <c r="K838" t="s">
        <v>3705</v>
      </c>
      <c r="L838" t="s">
        <v>3333</v>
      </c>
      <c r="M838">
        <v>19</v>
      </c>
      <c r="N838">
        <v>1</v>
      </c>
      <c r="O838" t="s">
        <v>3334</v>
      </c>
      <c r="P838">
        <v>81.58</v>
      </c>
      <c r="Q838">
        <v>8</v>
      </c>
      <c r="R838" t="s">
        <v>3403</v>
      </c>
      <c r="T838" t="s">
        <v>3402</v>
      </c>
      <c r="U838">
        <v>0</v>
      </c>
      <c r="V838" t="s">
        <v>3456</v>
      </c>
    </row>
    <row r="839" spans="1:22" ht="12.75" customHeight="1" x14ac:dyDescent="0.15">
      <c r="A839">
        <v>16</v>
      </c>
      <c r="B839">
        <v>2026</v>
      </c>
      <c r="C839" s="21">
        <v>46132</v>
      </c>
      <c r="D839" t="s">
        <v>84</v>
      </c>
      <c r="E839" t="s">
        <v>85</v>
      </c>
      <c r="F839" t="s">
        <v>21</v>
      </c>
      <c r="G839">
        <v>2</v>
      </c>
      <c r="H839" t="s">
        <v>3495</v>
      </c>
      <c r="I839" t="s">
        <v>29</v>
      </c>
      <c r="J839" s="1" t="s">
        <v>30</v>
      </c>
      <c r="K839" t="s">
        <v>3705</v>
      </c>
      <c r="L839" t="s">
        <v>3333</v>
      </c>
      <c r="M839">
        <v>91</v>
      </c>
      <c r="N839">
        <v>1</v>
      </c>
      <c r="O839" t="s">
        <v>3334</v>
      </c>
      <c r="P839">
        <v>81.58</v>
      </c>
      <c r="Q839">
        <v>8</v>
      </c>
      <c r="R839" t="s">
        <v>3412</v>
      </c>
      <c r="T839" t="s">
        <v>3402</v>
      </c>
      <c r="U839">
        <v>0</v>
      </c>
      <c r="V839" t="s">
        <v>3456</v>
      </c>
    </row>
    <row r="840" spans="1:22" ht="12.75" customHeight="1" x14ac:dyDescent="0.15">
      <c r="A840">
        <v>16</v>
      </c>
      <c r="B840">
        <v>2026</v>
      </c>
      <c r="C840" s="21">
        <v>46132</v>
      </c>
      <c r="D840" t="s">
        <v>84</v>
      </c>
      <c r="E840" t="s">
        <v>85</v>
      </c>
      <c r="F840" t="s">
        <v>21</v>
      </c>
      <c r="G840">
        <v>2</v>
      </c>
      <c r="H840" t="s">
        <v>3495</v>
      </c>
      <c r="I840" t="s">
        <v>29</v>
      </c>
      <c r="J840" s="1" t="s">
        <v>30</v>
      </c>
      <c r="K840" t="s">
        <v>3705</v>
      </c>
      <c r="L840" t="s">
        <v>3333</v>
      </c>
      <c r="M840">
        <v>67</v>
      </c>
      <c r="N840">
        <v>1</v>
      </c>
      <c r="O840" t="s">
        <v>3334</v>
      </c>
      <c r="P840">
        <v>81.58</v>
      </c>
      <c r="Q840">
        <v>8</v>
      </c>
      <c r="R840" t="s">
        <v>3404</v>
      </c>
      <c r="T840" t="s">
        <v>3402</v>
      </c>
      <c r="U840">
        <v>0</v>
      </c>
      <c r="V840" t="s">
        <v>3456</v>
      </c>
    </row>
    <row r="841" spans="1:22" ht="12.75" customHeight="1" x14ac:dyDescent="0.15">
      <c r="A841">
        <v>16</v>
      </c>
      <c r="B841">
        <v>2026</v>
      </c>
      <c r="C841" s="21">
        <v>46132</v>
      </c>
      <c r="D841" t="s">
        <v>84</v>
      </c>
      <c r="E841" t="s">
        <v>85</v>
      </c>
      <c r="F841" t="s">
        <v>21</v>
      </c>
      <c r="G841">
        <v>2</v>
      </c>
      <c r="H841" t="s">
        <v>3563</v>
      </c>
      <c r="I841" t="s">
        <v>3553</v>
      </c>
      <c r="J841" s="1" t="s">
        <v>3533</v>
      </c>
      <c r="K841" t="s">
        <v>181</v>
      </c>
      <c r="L841" t="s">
        <v>3333</v>
      </c>
      <c r="M841">
        <v>4</v>
      </c>
      <c r="N841">
        <v>1.1299999999999999</v>
      </c>
      <c r="O841" t="s">
        <v>3334</v>
      </c>
      <c r="P841">
        <v>91.78</v>
      </c>
      <c r="Q841">
        <v>9</v>
      </c>
      <c r="R841" t="s">
        <v>3773</v>
      </c>
      <c r="T841" t="s">
        <v>3402</v>
      </c>
      <c r="U841">
        <v>0</v>
      </c>
      <c r="V841" t="s">
        <v>3774</v>
      </c>
    </row>
    <row r="842" spans="1:22" ht="12.75" customHeight="1" x14ac:dyDescent="0.15">
      <c r="A842">
        <v>16</v>
      </c>
      <c r="B842">
        <v>2026</v>
      </c>
      <c r="C842" s="21">
        <v>46132</v>
      </c>
      <c r="D842" t="s">
        <v>84</v>
      </c>
      <c r="E842" t="s">
        <v>85</v>
      </c>
      <c r="F842" t="s">
        <v>21</v>
      </c>
      <c r="G842">
        <v>2</v>
      </c>
      <c r="H842" t="s">
        <v>3563</v>
      </c>
      <c r="I842" t="s">
        <v>3553</v>
      </c>
      <c r="J842" s="1" t="s">
        <v>3533</v>
      </c>
      <c r="K842" t="s">
        <v>181</v>
      </c>
      <c r="L842" t="s">
        <v>3333</v>
      </c>
      <c r="M842">
        <v>86</v>
      </c>
      <c r="N842">
        <v>1</v>
      </c>
      <c r="O842" t="s">
        <v>3334</v>
      </c>
      <c r="P842">
        <v>81.58</v>
      </c>
      <c r="Q842">
        <v>8</v>
      </c>
      <c r="R842" t="s">
        <v>3386</v>
      </c>
      <c r="T842" t="s">
        <v>3402</v>
      </c>
      <c r="U842">
        <v>0</v>
      </c>
      <c r="V842" t="s">
        <v>3456</v>
      </c>
    </row>
    <row r="843" spans="1:22" ht="12.75" customHeight="1" x14ac:dyDescent="0.15">
      <c r="A843">
        <v>16</v>
      </c>
      <c r="B843">
        <v>2026</v>
      </c>
      <c r="C843" s="21">
        <v>46132</v>
      </c>
      <c r="D843" t="s">
        <v>84</v>
      </c>
      <c r="E843" t="s">
        <v>85</v>
      </c>
      <c r="F843" t="s">
        <v>21</v>
      </c>
      <c r="G843">
        <v>2</v>
      </c>
      <c r="H843" t="s">
        <v>3770</v>
      </c>
      <c r="I843" t="s">
        <v>3593</v>
      </c>
      <c r="J843" s="1" t="s">
        <v>3533</v>
      </c>
      <c r="K843" t="s">
        <v>181</v>
      </c>
      <c r="L843" t="s">
        <v>3477</v>
      </c>
      <c r="M843">
        <v>3</v>
      </c>
      <c r="N843">
        <v>0.61</v>
      </c>
      <c r="O843" t="s">
        <v>3334</v>
      </c>
      <c r="P843">
        <v>50</v>
      </c>
      <c r="Q843">
        <v>0.91</v>
      </c>
      <c r="R843" t="s">
        <v>3478</v>
      </c>
      <c r="T843" t="s">
        <v>3479</v>
      </c>
      <c r="U843">
        <v>0</v>
      </c>
      <c r="V843" t="s">
        <v>3608</v>
      </c>
    </row>
    <row r="844" spans="1:22" ht="12.75" customHeight="1" x14ac:dyDescent="0.15">
      <c r="A844">
        <v>16</v>
      </c>
      <c r="B844">
        <v>2026</v>
      </c>
      <c r="C844" s="21">
        <v>46132</v>
      </c>
      <c r="D844" t="s">
        <v>84</v>
      </c>
      <c r="E844" t="s">
        <v>85</v>
      </c>
      <c r="F844" t="s">
        <v>21</v>
      </c>
      <c r="G844">
        <v>2</v>
      </c>
      <c r="H844" t="s">
        <v>3563</v>
      </c>
      <c r="I844" t="s">
        <v>3553</v>
      </c>
      <c r="J844" s="1" t="s">
        <v>3533</v>
      </c>
      <c r="K844" t="s">
        <v>181</v>
      </c>
      <c r="L844" t="s">
        <v>3477</v>
      </c>
      <c r="M844">
        <v>3</v>
      </c>
      <c r="N844">
        <v>0.39</v>
      </c>
      <c r="O844" t="s">
        <v>3334</v>
      </c>
      <c r="P844">
        <v>31.5</v>
      </c>
      <c r="Q844">
        <v>0.56999999999999995</v>
      </c>
      <c r="R844" t="s">
        <v>3478</v>
      </c>
      <c r="T844" t="s">
        <v>3479</v>
      </c>
      <c r="U844">
        <v>0</v>
      </c>
      <c r="V844" t="s">
        <v>3451</v>
      </c>
    </row>
    <row r="845" spans="1:22" ht="12.75" customHeight="1" x14ac:dyDescent="0.15">
      <c r="A845">
        <v>16</v>
      </c>
      <c r="B845">
        <v>2026</v>
      </c>
      <c r="C845" s="21">
        <v>46132</v>
      </c>
      <c r="D845" t="s">
        <v>84</v>
      </c>
      <c r="E845" t="s">
        <v>85</v>
      </c>
      <c r="F845" t="s">
        <v>21</v>
      </c>
      <c r="G845">
        <v>2</v>
      </c>
      <c r="H845" t="s">
        <v>3605</v>
      </c>
      <c r="I845" t="s">
        <v>335</v>
      </c>
      <c r="J845" s="1" t="s">
        <v>3533</v>
      </c>
      <c r="K845" t="s">
        <v>181</v>
      </c>
      <c r="L845" t="s">
        <v>3477</v>
      </c>
      <c r="M845">
        <v>3</v>
      </c>
      <c r="N845">
        <v>0.25</v>
      </c>
      <c r="O845" t="s">
        <v>3334</v>
      </c>
      <c r="P845">
        <v>20</v>
      </c>
      <c r="Q845">
        <v>0.36</v>
      </c>
      <c r="R845" t="s">
        <v>3478</v>
      </c>
      <c r="T845" t="s">
        <v>3479</v>
      </c>
      <c r="U845">
        <v>0</v>
      </c>
      <c r="V845" t="s">
        <v>3711</v>
      </c>
    </row>
    <row r="846" spans="1:22" ht="12.75" customHeight="1" x14ac:dyDescent="0.15">
      <c r="A846">
        <v>16</v>
      </c>
      <c r="B846">
        <v>2026</v>
      </c>
      <c r="C846" s="21">
        <v>46133</v>
      </c>
      <c r="D846" t="s">
        <v>84</v>
      </c>
      <c r="E846" t="s">
        <v>85</v>
      </c>
      <c r="F846" t="s">
        <v>21</v>
      </c>
      <c r="G846">
        <v>2</v>
      </c>
      <c r="H846" t="s">
        <v>3505</v>
      </c>
      <c r="I846" t="s">
        <v>29</v>
      </c>
      <c r="J846" s="1" t="s">
        <v>30</v>
      </c>
      <c r="K846" t="s">
        <v>3705</v>
      </c>
      <c r="L846" t="s">
        <v>3333</v>
      </c>
      <c r="M846">
        <v>2</v>
      </c>
      <c r="N846">
        <v>0.25</v>
      </c>
      <c r="O846" t="s">
        <v>3440</v>
      </c>
      <c r="P846">
        <v>22.62</v>
      </c>
      <c r="Q846">
        <v>2</v>
      </c>
      <c r="R846" t="s">
        <v>3424</v>
      </c>
      <c r="T846" t="s">
        <v>3337</v>
      </c>
      <c r="U846">
        <v>1</v>
      </c>
      <c r="V846" t="s">
        <v>3775</v>
      </c>
    </row>
    <row r="847" spans="1:22" ht="12.75" customHeight="1" x14ac:dyDescent="0.15">
      <c r="A847">
        <v>16</v>
      </c>
      <c r="B847">
        <v>2026</v>
      </c>
      <c r="C847" s="21">
        <v>46133</v>
      </c>
      <c r="D847" t="s">
        <v>84</v>
      </c>
      <c r="E847" t="s">
        <v>85</v>
      </c>
      <c r="F847" t="s">
        <v>21</v>
      </c>
      <c r="G847">
        <v>2</v>
      </c>
      <c r="H847" t="s">
        <v>3505</v>
      </c>
      <c r="I847" t="s">
        <v>29</v>
      </c>
      <c r="J847" s="1" t="s">
        <v>30</v>
      </c>
      <c r="K847" t="s">
        <v>3705</v>
      </c>
      <c r="L847" t="s">
        <v>3340</v>
      </c>
      <c r="M847">
        <v>81</v>
      </c>
      <c r="N847">
        <v>0.37</v>
      </c>
      <c r="O847" t="s">
        <v>211</v>
      </c>
      <c r="P847">
        <v>20.399999999999999</v>
      </c>
      <c r="R847" t="s">
        <v>3374</v>
      </c>
      <c r="T847" t="s">
        <v>3337</v>
      </c>
      <c r="U847">
        <v>1</v>
      </c>
      <c r="V847" t="s">
        <v>3472</v>
      </c>
    </row>
    <row r="848" spans="1:22" ht="12.75" customHeight="1" x14ac:dyDescent="0.15">
      <c r="A848">
        <v>16</v>
      </c>
      <c r="B848">
        <v>2026</v>
      </c>
      <c r="C848" s="21">
        <v>46133</v>
      </c>
      <c r="D848" t="s">
        <v>84</v>
      </c>
      <c r="E848" t="s">
        <v>85</v>
      </c>
      <c r="F848" t="s">
        <v>21</v>
      </c>
      <c r="G848">
        <v>2</v>
      </c>
      <c r="H848" t="s">
        <v>3505</v>
      </c>
      <c r="I848" t="s">
        <v>29</v>
      </c>
      <c r="J848" s="1" t="s">
        <v>30</v>
      </c>
      <c r="K848" t="s">
        <v>3705</v>
      </c>
      <c r="L848" t="s">
        <v>3340</v>
      </c>
      <c r="M848">
        <v>58</v>
      </c>
      <c r="N848">
        <v>0.37</v>
      </c>
      <c r="O848" t="s">
        <v>211</v>
      </c>
      <c r="P848">
        <v>20.399999999999999</v>
      </c>
      <c r="R848" t="s">
        <v>3343</v>
      </c>
      <c r="T848" t="s">
        <v>3337</v>
      </c>
      <c r="U848">
        <v>1</v>
      </c>
      <c r="V848" t="s">
        <v>3472</v>
      </c>
    </row>
    <row r="849" spans="1:22" ht="12.75" customHeight="1" x14ac:dyDescent="0.15">
      <c r="A849">
        <v>16</v>
      </c>
      <c r="B849">
        <v>2026</v>
      </c>
      <c r="C849" s="21">
        <v>46133</v>
      </c>
      <c r="D849" t="s">
        <v>84</v>
      </c>
      <c r="E849" t="s">
        <v>85</v>
      </c>
      <c r="F849" t="s">
        <v>21</v>
      </c>
      <c r="G849">
        <v>2</v>
      </c>
      <c r="H849" t="s">
        <v>3505</v>
      </c>
      <c r="I849" t="s">
        <v>29</v>
      </c>
      <c r="J849" s="1" t="s">
        <v>30</v>
      </c>
      <c r="K849" t="s">
        <v>3705</v>
      </c>
      <c r="L849" t="s">
        <v>3340</v>
      </c>
      <c r="M849">
        <v>62</v>
      </c>
      <c r="N849">
        <v>0.37</v>
      </c>
      <c r="O849" t="s">
        <v>211</v>
      </c>
      <c r="P849">
        <v>20.399999999999999</v>
      </c>
      <c r="R849" t="s">
        <v>3375</v>
      </c>
      <c r="T849" t="s">
        <v>3337</v>
      </c>
      <c r="U849">
        <v>1</v>
      </c>
      <c r="V849" t="s">
        <v>3472</v>
      </c>
    </row>
    <row r="850" spans="1:22" ht="12.75" customHeight="1" x14ac:dyDescent="0.15">
      <c r="A850">
        <v>16</v>
      </c>
      <c r="B850">
        <v>2026</v>
      </c>
      <c r="C850" s="21">
        <v>46133</v>
      </c>
      <c r="D850" t="s">
        <v>84</v>
      </c>
      <c r="E850" t="s">
        <v>85</v>
      </c>
      <c r="F850" t="s">
        <v>21</v>
      </c>
      <c r="G850">
        <v>2</v>
      </c>
      <c r="H850" t="s">
        <v>3505</v>
      </c>
      <c r="I850" t="s">
        <v>29</v>
      </c>
      <c r="J850" s="1" t="s">
        <v>30</v>
      </c>
      <c r="K850" t="s">
        <v>3705</v>
      </c>
      <c r="L850" t="s">
        <v>3340</v>
      </c>
      <c r="M850">
        <v>132</v>
      </c>
      <c r="N850">
        <v>0.37</v>
      </c>
      <c r="O850" t="s">
        <v>211</v>
      </c>
      <c r="P850">
        <v>20.399999999999999</v>
      </c>
      <c r="R850" t="s">
        <v>3368</v>
      </c>
      <c r="T850" t="s">
        <v>3337</v>
      </c>
      <c r="U850">
        <v>1</v>
      </c>
      <c r="V850" t="s">
        <v>3472</v>
      </c>
    </row>
    <row r="851" spans="1:22" ht="12.75" customHeight="1" x14ac:dyDescent="0.15">
      <c r="A851">
        <v>16</v>
      </c>
      <c r="B851">
        <v>2026</v>
      </c>
      <c r="C851" s="21">
        <v>46133</v>
      </c>
      <c r="D851" t="s">
        <v>84</v>
      </c>
      <c r="E851" t="s">
        <v>85</v>
      </c>
      <c r="F851" t="s">
        <v>21</v>
      </c>
      <c r="G851">
        <v>2</v>
      </c>
      <c r="H851" t="s">
        <v>3505</v>
      </c>
      <c r="I851" t="s">
        <v>29</v>
      </c>
      <c r="J851" s="1" t="s">
        <v>30</v>
      </c>
      <c r="K851" t="s">
        <v>3705</v>
      </c>
      <c r="L851" t="s">
        <v>3340</v>
      </c>
      <c r="M851">
        <v>53</v>
      </c>
      <c r="N851">
        <v>0.19</v>
      </c>
      <c r="O851" t="s">
        <v>211</v>
      </c>
      <c r="P851">
        <v>10.199999999999999</v>
      </c>
      <c r="R851" t="s">
        <v>3373</v>
      </c>
      <c r="T851" t="s">
        <v>3337</v>
      </c>
      <c r="U851">
        <v>1</v>
      </c>
      <c r="V851" t="s">
        <v>3463</v>
      </c>
    </row>
    <row r="852" spans="1:22" ht="12.75" customHeight="1" x14ac:dyDescent="0.15">
      <c r="A852">
        <v>16</v>
      </c>
      <c r="B852">
        <v>2026</v>
      </c>
      <c r="C852" s="21">
        <v>46133</v>
      </c>
      <c r="D852" t="s">
        <v>84</v>
      </c>
      <c r="E852" t="s">
        <v>85</v>
      </c>
      <c r="F852" t="s">
        <v>21</v>
      </c>
      <c r="G852">
        <v>2</v>
      </c>
      <c r="H852" t="s">
        <v>3505</v>
      </c>
      <c r="I852" t="s">
        <v>29</v>
      </c>
      <c r="J852" s="1" t="s">
        <v>30</v>
      </c>
      <c r="K852" t="s">
        <v>3705</v>
      </c>
      <c r="L852" t="s">
        <v>3340</v>
      </c>
      <c r="M852">
        <v>45</v>
      </c>
      <c r="N852">
        <v>0.19</v>
      </c>
      <c r="O852" t="s">
        <v>211</v>
      </c>
      <c r="P852">
        <v>10.199999999999999</v>
      </c>
      <c r="R852" t="s">
        <v>3377</v>
      </c>
      <c r="T852" t="s">
        <v>3337</v>
      </c>
      <c r="U852">
        <v>1</v>
      </c>
      <c r="V852" t="s">
        <v>3463</v>
      </c>
    </row>
    <row r="853" spans="1:22" ht="12.75" customHeight="1" x14ac:dyDescent="0.15">
      <c r="A853">
        <v>16</v>
      </c>
      <c r="B853">
        <v>2026</v>
      </c>
      <c r="C853" s="21">
        <v>46133</v>
      </c>
      <c r="D853" t="s">
        <v>60</v>
      </c>
      <c r="E853" t="s">
        <v>61</v>
      </c>
      <c r="F853" t="s">
        <v>21</v>
      </c>
      <c r="G853">
        <v>1.6</v>
      </c>
      <c r="H853" t="s">
        <v>3776</v>
      </c>
      <c r="I853" t="s">
        <v>3777</v>
      </c>
      <c r="J853" s="1" t="s">
        <v>215</v>
      </c>
      <c r="K853" t="s">
        <v>181</v>
      </c>
      <c r="L853" t="s">
        <v>3333</v>
      </c>
      <c r="M853">
        <v>1</v>
      </c>
      <c r="N853">
        <v>0.19</v>
      </c>
      <c r="O853" t="s">
        <v>3358</v>
      </c>
      <c r="P853">
        <v>13.47</v>
      </c>
      <c r="Q853">
        <v>1.5</v>
      </c>
      <c r="R853" t="s">
        <v>3359</v>
      </c>
      <c r="T853" t="s">
        <v>3337</v>
      </c>
      <c r="U853">
        <v>25</v>
      </c>
      <c r="V853" t="s">
        <v>3778</v>
      </c>
    </row>
    <row r="854" spans="1:22" ht="12.75" customHeight="1" x14ac:dyDescent="0.15">
      <c r="A854">
        <v>16</v>
      </c>
      <c r="B854">
        <v>2026</v>
      </c>
      <c r="C854" s="21">
        <v>46133</v>
      </c>
      <c r="D854" t="s">
        <v>80</v>
      </c>
      <c r="E854" t="s">
        <v>81</v>
      </c>
      <c r="F854" t="s">
        <v>21</v>
      </c>
      <c r="G854">
        <v>2.2999999999999998</v>
      </c>
      <c r="H854" t="s">
        <v>3776</v>
      </c>
      <c r="I854" t="s">
        <v>3777</v>
      </c>
      <c r="J854" s="1" t="s">
        <v>215</v>
      </c>
      <c r="K854" t="s">
        <v>181</v>
      </c>
      <c r="L854" t="s">
        <v>3333</v>
      </c>
      <c r="M854">
        <v>1</v>
      </c>
      <c r="N854">
        <v>0.31</v>
      </c>
      <c r="O854" t="s">
        <v>3358</v>
      </c>
      <c r="P854">
        <v>22.46</v>
      </c>
      <c r="Q854">
        <v>2.5</v>
      </c>
      <c r="R854" t="s">
        <v>3359</v>
      </c>
      <c r="T854" t="s">
        <v>3337</v>
      </c>
      <c r="U854">
        <v>19</v>
      </c>
      <c r="V854" t="s">
        <v>3779</v>
      </c>
    </row>
    <row r="855" spans="1:22" ht="12.75" customHeight="1" x14ac:dyDescent="0.15">
      <c r="A855">
        <v>16</v>
      </c>
      <c r="B855">
        <v>2026</v>
      </c>
      <c r="C855" s="21">
        <v>46133</v>
      </c>
      <c r="D855" t="s">
        <v>39</v>
      </c>
      <c r="E855" t="s">
        <v>40</v>
      </c>
      <c r="F855" t="s">
        <v>21</v>
      </c>
      <c r="G855">
        <v>1.91</v>
      </c>
      <c r="H855" t="s">
        <v>3666</v>
      </c>
      <c r="I855" t="s">
        <v>3667</v>
      </c>
      <c r="J855" s="1" t="s">
        <v>3668</v>
      </c>
      <c r="K855" t="s">
        <v>181</v>
      </c>
      <c r="L855" t="s">
        <v>3333</v>
      </c>
      <c r="M855">
        <v>1</v>
      </c>
      <c r="N855">
        <v>0.5</v>
      </c>
      <c r="O855" t="s">
        <v>3358</v>
      </c>
      <c r="P855">
        <v>35.93</v>
      </c>
      <c r="Q855">
        <v>4</v>
      </c>
      <c r="R855" t="s">
        <v>3359</v>
      </c>
      <c r="T855" t="s">
        <v>3337</v>
      </c>
      <c r="U855">
        <v>96</v>
      </c>
      <c r="V855" t="s">
        <v>3511</v>
      </c>
    </row>
    <row r="856" spans="1:22" ht="12.75" customHeight="1" x14ac:dyDescent="0.15">
      <c r="A856">
        <v>16</v>
      </c>
      <c r="B856">
        <v>2026</v>
      </c>
      <c r="C856" s="21">
        <v>46133</v>
      </c>
      <c r="D856" t="s">
        <v>60</v>
      </c>
      <c r="E856" t="s">
        <v>61</v>
      </c>
      <c r="F856" t="s">
        <v>21</v>
      </c>
      <c r="G856">
        <v>1.6</v>
      </c>
      <c r="H856" t="s">
        <v>3780</v>
      </c>
      <c r="I856" t="s">
        <v>206</v>
      </c>
      <c r="J856" s="1" t="s">
        <v>207</v>
      </c>
      <c r="K856" t="s">
        <v>181</v>
      </c>
      <c r="L856" t="s">
        <v>3333</v>
      </c>
      <c r="M856">
        <v>2</v>
      </c>
      <c r="N856">
        <v>0.31</v>
      </c>
      <c r="O856" t="s">
        <v>3440</v>
      </c>
      <c r="P856">
        <v>28.28</v>
      </c>
      <c r="Q856">
        <v>2.5</v>
      </c>
      <c r="R856" t="s">
        <v>3424</v>
      </c>
      <c r="T856" t="s">
        <v>3337</v>
      </c>
      <c r="U856">
        <v>25</v>
      </c>
      <c r="V856" t="s">
        <v>3781</v>
      </c>
    </row>
    <row r="857" spans="1:22" ht="12.75" customHeight="1" x14ac:dyDescent="0.15">
      <c r="A857">
        <v>16</v>
      </c>
      <c r="B857">
        <v>2026</v>
      </c>
      <c r="C857" s="21">
        <v>46133</v>
      </c>
      <c r="D857" t="s">
        <v>80</v>
      </c>
      <c r="E857" t="s">
        <v>81</v>
      </c>
      <c r="F857" t="s">
        <v>21</v>
      </c>
      <c r="G857">
        <v>2.2999999999999998</v>
      </c>
      <c r="H857" t="s">
        <v>3780</v>
      </c>
      <c r="I857" t="s">
        <v>206</v>
      </c>
      <c r="J857" s="1" t="s">
        <v>207</v>
      </c>
      <c r="K857" t="s">
        <v>181</v>
      </c>
      <c r="L857" t="s">
        <v>3333</v>
      </c>
      <c r="M857">
        <v>2</v>
      </c>
      <c r="N857">
        <v>0.44</v>
      </c>
      <c r="O857" t="s">
        <v>3440</v>
      </c>
      <c r="P857">
        <v>39.590000000000003</v>
      </c>
      <c r="Q857">
        <v>3.5</v>
      </c>
      <c r="R857" t="s">
        <v>3424</v>
      </c>
      <c r="T857" t="s">
        <v>3337</v>
      </c>
      <c r="U857">
        <v>19</v>
      </c>
      <c r="V857" t="s">
        <v>3782</v>
      </c>
    </row>
    <row r="858" spans="1:22" ht="12.75" customHeight="1" x14ac:dyDescent="0.15">
      <c r="A858">
        <v>16</v>
      </c>
      <c r="B858">
        <v>2026</v>
      </c>
      <c r="C858" s="21">
        <v>46133</v>
      </c>
      <c r="D858" t="s">
        <v>60</v>
      </c>
      <c r="E858" t="s">
        <v>61</v>
      </c>
      <c r="F858" t="s">
        <v>21</v>
      </c>
      <c r="G858">
        <v>1.6</v>
      </c>
      <c r="H858" t="s">
        <v>3776</v>
      </c>
      <c r="I858" t="s">
        <v>3777</v>
      </c>
      <c r="J858" s="1" t="s">
        <v>215</v>
      </c>
      <c r="K858" t="s">
        <v>181</v>
      </c>
      <c r="L858" t="s">
        <v>3333</v>
      </c>
      <c r="M858">
        <v>6</v>
      </c>
      <c r="N858">
        <v>0.19</v>
      </c>
      <c r="O858" t="s">
        <v>3334</v>
      </c>
      <c r="P858">
        <v>15.3</v>
      </c>
      <c r="Q858">
        <v>1.5</v>
      </c>
      <c r="R858" t="s">
        <v>3335</v>
      </c>
      <c r="T858" t="s">
        <v>3337</v>
      </c>
      <c r="U858">
        <v>25</v>
      </c>
      <c r="V858" t="s">
        <v>3783</v>
      </c>
    </row>
    <row r="859" spans="1:22" ht="12.75" customHeight="1" x14ac:dyDescent="0.15">
      <c r="A859">
        <v>16</v>
      </c>
      <c r="B859">
        <v>2026</v>
      </c>
      <c r="C859" s="21">
        <v>46133</v>
      </c>
      <c r="D859" t="s">
        <v>80</v>
      </c>
      <c r="E859" t="s">
        <v>81</v>
      </c>
      <c r="F859" t="s">
        <v>21</v>
      </c>
      <c r="G859">
        <v>2.2999999999999998</v>
      </c>
      <c r="H859" t="s">
        <v>3776</v>
      </c>
      <c r="I859" t="s">
        <v>3777</v>
      </c>
      <c r="J859" s="1" t="s">
        <v>215</v>
      </c>
      <c r="K859" t="s">
        <v>181</v>
      </c>
      <c r="L859" t="s">
        <v>3333</v>
      </c>
      <c r="M859">
        <v>6</v>
      </c>
      <c r="N859">
        <v>0.31</v>
      </c>
      <c r="O859" t="s">
        <v>3334</v>
      </c>
      <c r="P859">
        <v>25.49</v>
      </c>
      <c r="Q859">
        <v>2.5</v>
      </c>
      <c r="R859" t="s">
        <v>3335</v>
      </c>
      <c r="T859" t="s">
        <v>3337</v>
      </c>
      <c r="U859">
        <v>19</v>
      </c>
      <c r="V859" t="s">
        <v>3784</v>
      </c>
    </row>
    <row r="860" spans="1:22" ht="12.75" customHeight="1" x14ac:dyDescent="0.15">
      <c r="A860">
        <v>16</v>
      </c>
      <c r="B860">
        <v>2026</v>
      </c>
      <c r="C860" s="21">
        <v>46133</v>
      </c>
      <c r="D860" t="s">
        <v>39</v>
      </c>
      <c r="E860" t="s">
        <v>40</v>
      </c>
      <c r="F860" t="s">
        <v>21</v>
      </c>
      <c r="G860">
        <v>1.91</v>
      </c>
      <c r="H860" t="s">
        <v>3666</v>
      </c>
      <c r="I860" t="s">
        <v>3667</v>
      </c>
      <c r="J860" s="1" t="s">
        <v>3668</v>
      </c>
      <c r="K860" t="s">
        <v>181</v>
      </c>
      <c r="L860" t="s">
        <v>3333</v>
      </c>
      <c r="M860">
        <v>6</v>
      </c>
      <c r="N860">
        <v>0.5</v>
      </c>
      <c r="O860" t="s">
        <v>3334</v>
      </c>
      <c r="P860">
        <v>40.79</v>
      </c>
      <c r="Q860">
        <v>4</v>
      </c>
      <c r="R860" t="s">
        <v>3335</v>
      </c>
      <c r="T860" t="s">
        <v>3337</v>
      </c>
      <c r="U860">
        <v>96</v>
      </c>
      <c r="V860" t="s">
        <v>3510</v>
      </c>
    </row>
    <row r="861" spans="1:22" ht="12.75" customHeight="1" x14ac:dyDescent="0.15">
      <c r="A861">
        <v>16</v>
      </c>
      <c r="B861">
        <v>2026</v>
      </c>
      <c r="C861" s="21">
        <v>46133</v>
      </c>
      <c r="D861" t="s">
        <v>60</v>
      </c>
      <c r="E861" t="s">
        <v>61</v>
      </c>
      <c r="F861" t="s">
        <v>21</v>
      </c>
      <c r="G861">
        <v>1.6</v>
      </c>
      <c r="H861" t="s">
        <v>3785</v>
      </c>
      <c r="I861" t="s">
        <v>206</v>
      </c>
      <c r="J861" s="1" t="s">
        <v>207</v>
      </c>
      <c r="K861" t="s">
        <v>181</v>
      </c>
      <c r="L861" t="s">
        <v>3333</v>
      </c>
      <c r="M861">
        <v>67</v>
      </c>
      <c r="N861">
        <v>0.38</v>
      </c>
      <c r="O861" t="s">
        <v>3334</v>
      </c>
      <c r="P861">
        <v>30.59</v>
      </c>
      <c r="Q861">
        <v>3</v>
      </c>
      <c r="R861" t="s">
        <v>3404</v>
      </c>
      <c r="T861" t="s">
        <v>3402</v>
      </c>
      <c r="U861">
        <v>25</v>
      </c>
      <c r="V861" t="s">
        <v>3582</v>
      </c>
    </row>
    <row r="862" spans="1:22" ht="12.75" customHeight="1" x14ac:dyDescent="0.15">
      <c r="A862">
        <v>16</v>
      </c>
      <c r="B862">
        <v>2026</v>
      </c>
      <c r="C862" s="21">
        <v>46133</v>
      </c>
      <c r="D862" t="s">
        <v>60</v>
      </c>
      <c r="E862" t="s">
        <v>61</v>
      </c>
      <c r="F862" t="s">
        <v>21</v>
      </c>
      <c r="G862">
        <v>1.6</v>
      </c>
      <c r="H862" t="s">
        <v>3785</v>
      </c>
      <c r="I862" t="s">
        <v>206</v>
      </c>
      <c r="J862" s="1" t="s">
        <v>207</v>
      </c>
      <c r="K862" t="s">
        <v>181</v>
      </c>
      <c r="L862" t="s">
        <v>3333</v>
      </c>
      <c r="M862">
        <v>19</v>
      </c>
      <c r="N862">
        <v>0.38</v>
      </c>
      <c r="O862" t="s">
        <v>3334</v>
      </c>
      <c r="P862">
        <v>30.59</v>
      </c>
      <c r="Q862">
        <v>3</v>
      </c>
      <c r="R862" t="s">
        <v>3403</v>
      </c>
      <c r="T862" t="s">
        <v>3402</v>
      </c>
      <c r="U862">
        <v>25</v>
      </c>
      <c r="V862" t="s">
        <v>3582</v>
      </c>
    </row>
    <row r="863" spans="1:22" ht="12.75" customHeight="1" x14ac:dyDescent="0.15">
      <c r="A863">
        <v>16</v>
      </c>
      <c r="B863">
        <v>2026</v>
      </c>
      <c r="C863" s="21">
        <v>46133</v>
      </c>
      <c r="D863" t="s">
        <v>60</v>
      </c>
      <c r="E863" t="s">
        <v>61</v>
      </c>
      <c r="F863" t="s">
        <v>21</v>
      </c>
      <c r="G863">
        <v>1.6</v>
      </c>
      <c r="H863" t="s">
        <v>3785</v>
      </c>
      <c r="I863" t="s">
        <v>206</v>
      </c>
      <c r="J863" s="1" t="s">
        <v>207</v>
      </c>
      <c r="K863" t="s">
        <v>181</v>
      </c>
      <c r="L863" t="s">
        <v>3333</v>
      </c>
      <c r="M863">
        <v>91</v>
      </c>
      <c r="N863">
        <v>0.38</v>
      </c>
      <c r="O863" t="s">
        <v>3334</v>
      </c>
      <c r="P863">
        <v>30.59</v>
      </c>
      <c r="Q863">
        <v>3</v>
      </c>
      <c r="R863" t="s">
        <v>3412</v>
      </c>
      <c r="T863" t="s">
        <v>3402</v>
      </c>
      <c r="U863">
        <v>25</v>
      </c>
      <c r="V863" t="s">
        <v>3582</v>
      </c>
    </row>
    <row r="864" spans="1:22" ht="12.75" customHeight="1" x14ac:dyDescent="0.15">
      <c r="A864">
        <v>16</v>
      </c>
      <c r="B864">
        <v>2026</v>
      </c>
      <c r="C864" s="21">
        <v>46133</v>
      </c>
      <c r="D864" t="s">
        <v>60</v>
      </c>
      <c r="E864" t="s">
        <v>61</v>
      </c>
      <c r="F864" t="s">
        <v>21</v>
      </c>
      <c r="G864">
        <v>1.6</v>
      </c>
      <c r="H864" t="s">
        <v>3786</v>
      </c>
      <c r="I864" t="s">
        <v>3787</v>
      </c>
      <c r="J864" s="1" t="s">
        <v>26</v>
      </c>
      <c r="K864" t="s">
        <v>181</v>
      </c>
      <c r="L864" t="s">
        <v>3333</v>
      </c>
      <c r="M864">
        <v>86</v>
      </c>
      <c r="N864">
        <v>0.13</v>
      </c>
      <c r="O864" t="s">
        <v>3334</v>
      </c>
      <c r="P864">
        <v>10.199999999999999</v>
      </c>
      <c r="Q864">
        <v>1</v>
      </c>
      <c r="R864" t="s">
        <v>3386</v>
      </c>
      <c r="T864" t="s">
        <v>3402</v>
      </c>
      <c r="U864">
        <v>25</v>
      </c>
      <c r="V864" t="s">
        <v>3788</v>
      </c>
    </row>
    <row r="865" spans="1:22" ht="12.75" customHeight="1" x14ac:dyDescent="0.15">
      <c r="A865">
        <v>16</v>
      </c>
      <c r="B865">
        <v>2026</v>
      </c>
      <c r="C865" s="21">
        <v>46133</v>
      </c>
      <c r="D865" t="s">
        <v>84</v>
      </c>
      <c r="E865" t="s">
        <v>85</v>
      </c>
      <c r="F865" t="s">
        <v>21</v>
      </c>
      <c r="G865">
        <v>2</v>
      </c>
      <c r="H865" t="s">
        <v>3495</v>
      </c>
      <c r="I865" t="s">
        <v>29</v>
      </c>
      <c r="J865" s="1" t="s">
        <v>30</v>
      </c>
      <c r="K865" t="s">
        <v>3705</v>
      </c>
      <c r="L865" t="s">
        <v>3340</v>
      </c>
      <c r="M865">
        <v>78</v>
      </c>
      <c r="N865">
        <v>0.37</v>
      </c>
      <c r="O865" t="s">
        <v>211</v>
      </c>
      <c r="P865">
        <v>20.399999999999999</v>
      </c>
      <c r="R865" t="s">
        <v>3341</v>
      </c>
      <c r="T865" t="s">
        <v>3402</v>
      </c>
      <c r="U865">
        <v>1</v>
      </c>
      <c r="V865" t="s">
        <v>3472</v>
      </c>
    </row>
    <row r="866" spans="1:22" ht="12.75" customHeight="1" x14ac:dyDescent="0.15">
      <c r="A866">
        <v>16</v>
      </c>
      <c r="B866">
        <v>2026</v>
      </c>
      <c r="C866" s="21">
        <v>46133</v>
      </c>
      <c r="D866" t="s">
        <v>84</v>
      </c>
      <c r="E866" t="s">
        <v>85</v>
      </c>
      <c r="F866" t="s">
        <v>21</v>
      </c>
      <c r="G866">
        <v>2</v>
      </c>
      <c r="H866" t="s">
        <v>3495</v>
      </c>
      <c r="I866" t="s">
        <v>29</v>
      </c>
      <c r="J866" s="1" t="s">
        <v>30</v>
      </c>
      <c r="K866" t="s">
        <v>3705</v>
      </c>
      <c r="L866" t="s">
        <v>3333</v>
      </c>
      <c r="M866">
        <v>67</v>
      </c>
      <c r="N866">
        <v>0.25</v>
      </c>
      <c r="O866" t="s">
        <v>3334</v>
      </c>
      <c r="P866">
        <v>20.399999999999999</v>
      </c>
      <c r="Q866">
        <v>2</v>
      </c>
      <c r="R866" t="s">
        <v>3404</v>
      </c>
      <c r="T866" t="s">
        <v>3402</v>
      </c>
      <c r="U866">
        <v>1</v>
      </c>
      <c r="V866" t="s">
        <v>3472</v>
      </c>
    </row>
    <row r="867" spans="1:22" ht="12.75" customHeight="1" x14ac:dyDescent="0.15">
      <c r="A867">
        <v>16</v>
      </c>
      <c r="B867">
        <v>2026</v>
      </c>
      <c r="C867" s="21">
        <v>46133</v>
      </c>
      <c r="D867" t="s">
        <v>84</v>
      </c>
      <c r="E867" t="s">
        <v>85</v>
      </c>
      <c r="F867" t="s">
        <v>21</v>
      </c>
      <c r="G867">
        <v>2</v>
      </c>
      <c r="H867" t="s">
        <v>3495</v>
      </c>
      <c r="I867" t="s">
        <v>29</v>
      </c>
      <c r="J867" s="1" t="s">
        <v>30</v>
      </c>
      <c r="K867" t="s">
        <v>3705</v>
      </c>
      <c r="L867" t="s">
        <v>3333</v>
      </c>
      <c r="M867">
        <v>19</v>
      </c>
      <c r="N867">
        <v>0.25</v>
      </c>
      <c r="O867" t="s">
        <v>3334</v>
      </c>
      <c r="P867">
        <v>20.399999999999999</v>
      </c>
      <c r="Q867">
        <v>2</v>
      </c>
      <c r="R867" t="s">
        <v>3403</v>
      </c>
      <c r="T867" t="s">
        <v>3402</v>
      </c>
      <c r="U867">
        <v>1</v>
      </c>
      <c r="V867" t="s">
        <v>3472</v>
      </c>
    </row>
    <row r="868" spans="1:22" ht="12.75" customHeight="1" x14ac:dyDescent="0.15">
      <c r="A868">
        <v>16</v>
      </c>
      <c r="B868">
        <v>2026</v>
      </c>
      <c r="C868" s="21">
        <v>46133</v>
      </c>
      <c r="D868" t="s">
        <v>84</v>
      </c>
      <c r="E868" t="s">
        <v>85</v>
      </c>
      <c r="F868" t="s">
        <v>21</v>
      </c>
      <c r="G868">
        <v>2</v>
      </c>
      <c r="H868" t="s">
        <v>3495</v>
      </c>
      <c r="I868" t="s">
        <v>29</v>
      </c>
      <c r="J868" s="1" t="s">
        <v>30</v>
      </c>
      <c r="K868" t="s">
        <v>3705</v>
      </c>
      <c r="L868" t="s">
        <v>3333</v>
      </c>
      <c r="M868">
        <v>91</v>
      </c>
      <c r="N868">
        <v>0.25</v>
      </c>
      <c r="O868" t="s">
        <v>3334</v>
      </c>
      <c r="P868">
        <v>20.399999999999999</v>
      </c>
      <c r="Q868">
        <v>2</v>
      </c>
      <c r="R868" t="s">
        <v>3412</v>
      </c>
      <c r="T868" t="s">
        <v>3402</v>
      </c>
      <c r="U868">
        <v>1</v>
      </c>
      <c r="V868" t="s">
        <v>3472</v>
      </c>
    </row>
    <row r="869" spans="1:22" ht="12.75" customHeight="1" x14ac:dyDescent="0.15">
      <c r="A869">
        <v>16</v>
      </c>
      <c r="B869">
        <v>2026</v>
      </c>
      <c r="C869" s="21">
        <v>46133</v>
      </c>
      <c r="D869" t="s">
        <v>60</v>
      </c>
      <c r="E869" t="s">
        <v>61</v>
      </c>
      <c r="F869" t="s">
        <v>21</v>
      </c>
      <c r="G869">
        <v>1.6</v>
      </c>
      <c r="H869" t="s">
        <v>3789</v>
      </c>
      <c r="I869" t="s">
        <v>3790</v>
      </c>
      <c r="J869" s="1" t="s">
        <v>207</v>
      </c>
      <c r="K869" t="s">
        <v>181</v>
      </c>
      <c r="L869" t="s">
        <v>3333</v>
      </c>
      <c r="M869">
        <v>86</v>
      </c>
      <c r="N869">
        <v>0.19</v>
      </c>
      <c r="O869" t="s">
        <v>3334</v>
      </c>
      <c r="P869">
        <v>15.3</v>
      </c>
      <c r="Q869">
        <v>1.5</v>
      </c>
      <c r="R869" t="s">
        <v>3386</v>
      </c>
      <c r="T869" t="s">
        <v>3402</v>
      </c>
      <c r="U869">
        <v>25</v>
      </c>
      <c r="V869" t="s">
        <v>3783</v>
      </c>
    </row>
    <row r="870" spans="1:22" ht="12.75" customHeight="1" x14ac:dyDescent="0.15">
      <c r="A870">
        <v>16</v>
      </c>
      <c r="B870">
        <v>2026</v>
      </c>
      <c r="C870" s="21">
        <v>46133</v>
      </c>
      <c r="D870" t="s">
        <v>80</v>
      </c>
      <c r="E870" t="s">
        <v>81</v>
      </c>
      <c r="F870" t="s">
        <v>21</v>
      </c>
      <c r="G870">
        <v>2.2999999999999998</v>
      </c>
      <c r="H870" t="s">
        <v>3789</v>
      </c>
      <c r="I870" t="s">
        <v>3790</v>
      </c>
      <c r="J870" s="1" t="s">
        <v>207</v>
      </c>
      <c r="K870" t="s">
        <v>181</v>
      </c>
      <c r="L870" t="s">
        <v>3333</v>
      </c>
      <c r="M870">
        <v>86</v>
      </c>
      <c r="N870">
        <v>0.31</v>
      </c>
      <c r="O870" t="s">
        <v>3334</v>
      </c>
      <c r="P870">
        <v>25.49</v>
      </c>
      <c r="Q870">
        <v>2.5</v>
      </c>
      <c r="R870" t="s">
        <v>3386</v>
      </c>
      <c r="T870" t="s">
        <v>3402</v>
      </c>
      <c r="U870">
        <v>19</v>
      </c>
      <c r="V870" t="s">
        <v>3784</v>
      </c>
    </row>
    <row r="871" spans="1:22" ht="12.75" customHeight="1" x14ac:dyDescent="0.15">
      <c r="A871">
        <v>16</v>
      </c>
      <c r="B871">
        <v>2026</v>
      </c>
      <c r="C871" s="21">
        <v>46133</v>
      </c>
      <c r="D871" t="s">
        <v>60</v>
      </c>
      <c r="E871" t="s">
        <v>61</v>
      </c>
      <c r="F871" t="s">
        <v>21</v>
      </c>
      <c r="G871">
        <v>1.6</v>
      </c>
      <c r="H871" t="s">
        <v>3791</v>
      </c>
      <c r="I871" t="s">
        <v>3792</v>
      </c>
      <c r="J871" s="1" t="s">
        <v>207</v>
      </c>
      <c r="K871" t="s">
        <v>181</v>
      </c>
      <c r="L871" t="s">
        <v>3333</v>
      </c>
      <c r="M871">
        <v>86</v>
      </c>
      <c r="N871">
        <v>0.13</v>
      </c>
      <c r="O871" t="s">
        <v>3334</v>
      </c>
      <c r="P871">
        <v>10.199999999999999</v>
      </c>
      <c r="Q871">
        <v>1</v>
      </c>
      <c r="R871" t="s">
        <v>3386</v>
      </c>
      <c r="T871" t="s">
        <v>3402</v>
      </c>
      <c r="U871">
        <v>25</v>
      </c>
      <c r="V871" t="s">
        <v>3788</v>
      </c>
    </row>
    <row r="872" spans="1:22" ht="12.75" customHeight="1" x14ac:dyDescent="0.15">
      <c r="A872">
        <v>16</v>
      </c>
      <c r="B872">
        <v>2026</v>
      </c>
      <c r="C872" s="21">
        <v>46133</v>
      </c>
      <c r="D872" t="s">
        <v>80</v>
      </c>
      <c r="E872" t="s">
        <v>81</v>
      </c>
      <c r="F872" t="s">
        <v>21</v>
      </c>
      <c r="G872">
        <v>2.2999999999999998</v>
      </c>
      <c r="H872" t="s">
        <v>3791</v>
      </c>
      <c r="I872" t="s">
        <v>3792</v>
      </c>
      <c r="J872" s="1" t="s">
        <v>207</v>
      </c>
      <c r="K872" t="s">
        <v>181</v>
      </c>
      <c r="L872" t="s">
        <v>3333</v>
      </c>
      <c r="M872">
        <v>86</v>
      </c>
      <c r="N872">
        <v>0.19</v>
      </c>
      <c r="O872" t="s">
        <v>3334</v>
      </c>
      <c r="P872">
        <v>15.3</v>
      </c>
      <c r="Q872">
        <v>1.5</v>
      </c>
      <c r="R872" t="s">
        <v>3386</v>
      </c>
      <c r="T872" t="s">
        <v>3402</v>
      </c>
      <c r="U872">
        <v>19</v>
      </c>
      <c r="V872" t="s">
        <v>3558</v>
      </c>
    </row>
    <row r="873" spans="1:22" ht="12.75" customHeight="1" x14ac:dyDescent="0.15">
      <c r="A873">
        <v>16</v>
      </c>
      <c r="B873">
        <v>2026</v>
      </c>
      <c r="C873" s="21">
        <v>46133</v>
      </c>
      <c r="D873" t="s">
        <v>80</v>
      </c>
      <c r="E873" t="s">
        <v>81</v>
      </c>
      <c r="F873" t="s">
        <v>21</v>
      </c>
      <c r="G873">
        <v>2.2999999999999998</v>
      </c>
      <c r="H873" t="s">
        <v>3785</v>
      </c>
      <c r="I873" t="s">
        <v>206</v>
      </c>
      <c r="J873" s="1" t="s">
        <v>207</v>
      </c>
      <c r="K873" t="s">
        <v>181</v>
      </c>
      <c r="L873" t="s">
        <v>3333</v>
      </c>
      <c r="M873">
        <v>67</v>
      </c>
      <c r="N873">
        <v>0.38</v>
      </c>
      <c r="O873" t="s">
        <v>3334</v>
      </c>
      <c r="P873">
        <v>30.59</v>
      </c>
      <c r="Q873">
        <v>3</v>
      </c>
      <c r="R873" t="s">
        <v>3404</v>
      </c>
      <c r="T873" t="s">
        <v>3402</v>
      </c>
      <c r="U873">
        <v>19</v>
      </c>
      <c r="V873" t="s">
        <v>358</v>
      </c>
    </row>
    <row r="874" spans="1:22" ht="12.75" customHeight="1" x14ac:dyDescent="0.15">
      <c r="A874">
        <v>16</v>
      </c>
      <c r="B874">
        <v>2026</v>
      </c>
      <c r="C874" s="21">
        <v>46133</v>
      </c>
      <c r="D874" t="s">
        <v>80</v>
      </c>
      <c r="E874" t="s">
        <v>81</v>
      </c>
      <c r="F874" t="s">
        <v>21</v>
      </c>
      <c r="G874">
        <v>2.2999999999999998</v>
      </c>
      <c r="H874" t="s">
        <v>3785</v>
      </c>
      <c r="I874" t="s">
        <v>206</v>
      </c>
      <c r="J874" s="1" t="s">
        <v>207</v>
      </c>
      <c r="K874" t="s">
        <v>181</v>
      </c>
      <c r="L874" t="s">
        <v>3333</v>
      </c>
      <c r="M874">
        <v>19</v>
      </c>
      <c r="N874">
        <v>0.38</v>
      </c>
      <c r="O874" t="s">
        <v>3334</v>
      </c>
      <c r="P874">
        <v>30.59</v>
      </c>
      <c r="Q874">
        <v>3</v>
      </c>
      <c r="R874" t="s">
        <v>3403</v>
      </c>
      <c r="T874" t="s">
        <v>3402</v>
      </c>
      <c r="U874">
        <v>19</v>
      </c>
      <c r="V874" t="s">
        <v>358</v>
      </c>
    </row>
    <row r="875" spans="1:22" ht="12.75" customHeight="1" x14ac:dyDescent="0.15">
      <c r="A875">
        <v>16</v>
      </c>
      <c r="B875">
        <v>2026</v>
      </c>
      <c r="C875" s="21">
        <v>46133</v>
      </c>
      <c r="D875" t="s">
        <v>80</v>
      </c>
      <c r="E875" t="s">
        <v>81</v>
      </c>
      <c r="F875" t="s">
        <v>21</v>
      </c>
      <c r="G875">
        <v>2.2999999999999998</v>
      </c>
      <c r="H875" t="s">
        <v>3785</v>
      </c>
      <c r="I875" t="s">
        <v>206</v>
      </c>
      <c r="J875" s="1" t="s">
        <v>207</v>
      </c>
      <c r="K875" t="s">
        <v>181</v>
      </c>
      <c r="L875" t="s">
        <v>3333</v>
      </c>
      <c r="M875">
        <v>91</v>
      </c>
      <c r="N875">
        <v>0.38</v>
      </c>
      <c r="O875" t="s">
        <v>3334</v>
      </c>
      <c r="P875">
        <v>30.59</v>
      </c>
      <c r="Q875">
        <v>3</v>
      </c>
      <c r="R875" t="s">
        <v>3412</v>
      </c>
      <c r="T875" t="s">
        <v>3402</v>
      </c>
      <c r="U875">
        <v>19</v>
      </c>
      <c r="V875" t="s">
        <v>358</v>
      </c>
    </row>
    <row r="876" spans="1:22" ht="12.75" customHeight="1" x14ac:dyDescent="0.15">
      <c r="A876">
        <v>16</v>
      </c>
      <c r="B876">
        <v>2026</v>
      </c>
      <c r="C876" s="21">
        <v>46133</v>
      </c>
      <c r="D876" t="s">
        <v>84</v>
      </c>
      <c r="E876" t="s">
        <v>85</v>
      </c>
      <c r="F876" t="s">
        <v>21</v>
      </c>
      <c r="G876">
        <v>2</v>
      </c>
      <c r="H876" t="s">
        <v>3495</v>
      </c>
      <c r="I876" t="s">
        <v>29</v>
      </c>
      <c r="J876" s="1" t="s">
        <v>30</v>
      </c>
      <c r="K876" t="s">
        <v>3705</v>
      </c>
      <c r="L876" t="s">
        <v>3340</v>
      </c>
      <c r="M876">
        <v>67</v>
      </c>
      <c r="N876">
        <v>0.15</v>
      </c>
      <c r="O876" t="s">
        <v>211</v>
      </c>
      <c r="P876">
        <v>8.1</v>
      </c>
      <c r="R876" t="s">
        <v>3404</v>
      </c>
      <c r="T876" t="s">
        <v>3402</v>
      </c>
      <c r="U876">
        <v>1</v>
      </c>
      <c r="V876" t="s">
        <v>3793</v>
      </c>
    </row>
    <row r="877" spans="1:22" ht="12.75" customHeight="1" x14ac:dyDescent="0.15">
      <c r="A877">
        <v>16</v>
      </c>
      <c r="B877">
        <v>2026</v>
      </c>
      <c r="C877" s="21">
        <v>46133</v>
      </c>
      <c r="D877" t="s">
        <v>84</v>
      </c>
      <c r="E877" t="s">
        <v>85</v>
      </c>
      <c r="F877" t="s">
        <v>21</v>
      </c>
      <c r="G877">
        <v>2</v>
      </c>
      <c r="H877" t="s">
        <v>3495</v>
      </c>
      <c r="I877" t="s">
        <v>29</v>
      </c>
      <c r="J877" s="1" t="s">
        <v>30</v>
      </c>
      <c r="K877" t="s">
        <v>3705</v>
      </c>
      <c r="L877" t="s">
        <v>3340</v>
      </c>
      <c r="M877">
        <v>19</v>
      </c>
      <c r="N877">
        <v>0.15</v>
      </c>
      <c r="O877" t="s">
        <v>211</v>
      </c>
      <c r="P877">
        <v>8.1</v>
      </c>
      <c r="R877" t="s">
        <v>3403</v>
      </c>
      <c r="T877" t="s">
        <v>3402</v>
      </c>
      <c r="U877">
        <v>1</v>
      </c>
      <c r="V877" t="s">
        <v>3793</v>
      </c>
    </row>
    <row r="878" spans="1:22" ht="12.75" customHeight="1" x14ac:dyDescent="0.15">
      <c r="A878">
        <v>16</v>
      </c>
      <c r="B878">
        <v>2026</v>
      </c>
      <c r="C878" s="21">
        <v>46133</v>
      </c>
      <c r="D878" t="s">
        <v>84</v>
      </c>
      <c r="E878" t="s">
        <v>85</v>
      </c>
      <c r="F878" t="s">
        <v>21</v>
      </c>
      <c r="G878">
        <v>2</v>
      </c>
      <c r="H878" t="s">
        <v>3495</v>
      </c>
      <c r="I878" t="s">
        <v>29</v>
      </c>
      <c r="J878" s="1" t="s">
        <v>30</v>
      </c>
      <c r="K878" t="s">
        <v>3705</v>
      </c>
      <c r="L878" t="s">
        <v>3340</v>
      </c>
      <c r="M878">
        <v>91</v>
      </c>
      <c r="N878">
        <v>0.15</v>
      </c>
      <c r="O878" t="s">
        <v>211</v>
      </c>
      <c r="P878">
        <v>8.1</v>
      </c>
      <c r="R878" t="s">
        <v>3412</v>
      </c>
      <c r="T878" t="s">
        <v>3402</v>
      </c>
      <c r="U878">
        <v>1</v>
      </c>
      <c r="V878" t="s">
        <v>3793</v>
      </c>
    </row>
    <row r="879" spans="1:22" ht="12.75" customHeight="1" x14ac:dyDescent="0.15">
      <c r="A879">
        <v>16</v>
      </c>
      <c r="B879">
        <v>2026</v>
      </c>
      <c r="C879" s="21">
        <v>46133</v>
      </c>
      <c r="D879" t="s">
        <v>91</v>
      </c>
      <c r="E879" t="s">
        <v>92</v>
      </c>
      <c r="F879" t="s">
        <v>21</v>
      </c>
      <c r="G879">
        <v>1.3</v>
      </c>
      <c r="H879" t="s">
        <v>3605</v>
      </c>
      <c r="I879" t="s">
        <v>335</v>
      </c>
      <c r="J879" s="1" t="s">
        <v>3533</v>
      </c>
      <c r="K879" t="s">
        <v>181</v>
      </c>
      <c r="L879" t="s">
        <v>3333</v>
      </c>
      <c r="M879">
        <v>3</v>
      </c>
      <c r="N879">
        <v>0.13</v>
      </c>
      <c r="O879" t="s">
        <v>3334</v>
      </c>
      <c r="P879">
        <v>10.199999999999999</v>
      </c>
      <c r="Q879">
        <v>1</v>
      </c>
      <c r="R879" t="s">
        <v>3478</v>
      </c>
      <c r="T879" t="s">
        <v>3402</v>
      </c>
      <c r="U879">
        <v>3</v>
      </c>
      <c r="V879" t="s">
        <v>3794</v>
      </c>
    </row>
    <row r="880" spans="1:22" ht="12.75" customHeight="1" x14ac:dyDescent="0.15">
      <c r="A880">
        <v>16</v>
      </c>
      <c r="B880">
        <v>2026</v>
      </c>
      <c r="C880" s="21">
        <v>46133</v>
      </c>
      <c r="D880" t="s">
        <v>84</v>
      </c>
      <c r="E880" t="s">
        <v>85</v>
      </c>
      <c r="F880" t="s">
        <v>21</v>
      </c>
      <c r="G880">
        <v>2</v>
      </c>
      <c r="H880" t="s">
        <v>3563</v>
      </c>
      <c r="I880" t="s">
        <v>3553</v>
      </c>
      <c r="J880" s="1" t="s">
        <v>3533</v>
      </c>
      <c r="K880" t="s">
        <v>181</v>
      </c>
      <c r="L880" t="s">
        <v>3333</v>
      </c>
      <c r="M880">
        <v>3</v>
      </c>
      <c r="N880">
        <v>0.88</v>
      </c>
      <c r="O880" t="s">
        <v>3334</v>
      </c>
      <c r="P880">
        <v>71.38</v>
      </c>
      <c r="Q880">
        <v>7</v>
      </c>
      <c r="R880" t="s">
        <v>3478</v>
      </c>
      <c r="T880" t="s">
        <v>3402</v>
      </c>
      <c r="U880">
        <v>1</v>
      </c>
      <c r="V880" t="s">
        <v>3469</v>
      </c>
    </row>
    <row r="881" spans="1:22" ht="12.75" customHeight="1" x14ac:dyDescent="0.15">
      <c r="A881">
        <v>16</v>
      </c>
      <c r="B881">
        <v>2026</v>
      </c>
      <c r="C881" s="21">
        <v>46133</v>
      </c>
      <c r="D881" t="s">
        <v>91</v>
      </c>
      <c r="E881" t="s">
        <v>92</v>
      </c>
      <c r="F881" t="s">
        <v>21</v>
      </c>
      <c r="G881">
        <v>1.3</v>
      </c>
      <c r="H881" t="s">
        <v>3605</v>
      </c>
      <c r="I881" t="s">
        <v>335</v>
      </c>
      <c r="J881" s="1" t="s">
        <v>3533</v>
      </c>
      <c r="K881" t="s">
        <v>181</v>
      </c>
      <c r="L881" t="s">
        <v>3333</v>
      </c>
      <c r="M881">
        <v>4</v>
      </c>
      <c r="N881">
        <v>0.13</v>
      </c>
      <c r="O881" t="s">
        <v>3334</v>
      </c>
      <c r="P881">
        <v>10.199999999999999</v>
      </c>
      <c r="Q881">
        <v>1</v>
      </c>
      <c r="R881" t="s">
        <v>3773</v>
      </c>
      <c r="T881" t="s">
        <v>3402</v>
      </c>
      <c r="U881">
        <v>3</v>
      </c>
      <c r="V881" t="s">
        <v>3794</v>
      </c>
    </row>
    <row r="882" spans="1:22" ht="12.75" customHeight="1" x14ac:dyDescent="0.15">
      <c r="A882">
        <v>16</v>
      </c>
      <c r="B882">
        <v>2026</v>
      </c>
      <c r="C882" s="21">
        <v>46133</v>
      </c>
      <c r="D882" t="s">
        <v>84</v>
      </c>
      <c r="E882" t="s">
        <v>85</v>
      </c>
      <c r="F882" t="s">
        <v>21</v>
      </c>
      <c r="G882">
        <v>2</v>
      </c>
      <c r="H882" t="s">
        <v>3563</v>
      </c>
      <c r="I882" t="s">
        <v>3553</v>
      </c>
      <c r="J882" s="1" t="s">
        <v>3533</v>
      </c>
      <c r="K882" t="s">
        <v>181</v>
      </c>
      <c r="L882" t="s">
        <v>3333</v>
      </c>
      <c r="M882">
        <v>4</v>
      </c>
      <c r="N882">
        <v>0.88</v>
      </c>
      <c r="O882" t="s">
        <v>3334</v>
      </c>
      <c r="P882">
        <v>71.38</v>
      </c>
      <c r="Q882">
        <v>7</v>
      </c>
      <c r="R882" t="s">
        <v>3773</v>
      </c>
      <c r="T882" t="s">
        <v>3402</v>
      </c>
      <c r="U882">
        <v>1</v>
      </c>
      <c r="V882" t="s">
        <v>3469</v>
      </c>
    </row>
    <row r="883" spans="1:22" ht="12.75" customHeight="1" x14ac:dyDescent="0.15">
      <c r="A883">
        <v>16</v>
      </c>
      <c r="B883">
        <v>2026</v>
      </c>
      <c r="C883" s="21">
        <v>46133</v>
      </c>
      <c r="D883" t="s">
        <v>60</v>
      </c>
      <c r="E883" t="s">
        <v>61</v>
      </c>
      <c r="F883" t="s">
        <v>21</v>
      </c>
      <c r="G883">
        <v>1.6</v>
      </c>
      <c r="H883" t="s">
        <v>3394</v>
      </c>
      <c r="I883" t="s">
        <v>3395</v>
      </c>
      <c r="J883" s="1" t="s">
        <v>26</v>
      </c>
      <c r="K883" t="s">
        <v>181</v>
      </c>
      <c r="L883" t="s">
        <v>3333</v>
      </c>
      <c r="M883">
        <v>80</v>
      </c>
      <c r="N883">
        <v>0.5</v>
      </c>
      <c r="O883" t="s">
        <v>213</v>
      </c>
      <c r="P883">
        <v>45</v>
      </c>
      <c r="Q883">
        <v>4</v>
      </c>
      <c r="R883" t="s">
        <v>3560</v>
      </c>
      <c r="T883" t="s">
        <v>3402</v>
      </c>
      <c r="U883">
        <v>25</v>
      </c>
      <c r="V883" t="s">
        <v>3795</v>
      </c>
    </row>
    <row r="884" spans="1:22" ht="12.75" customHeight="1" x14ac:dyDescent="0.15">
      <c r="A884">
        <v>16</v>
      </c>
      <c r="B884">
        <v>2026</v>
      </c>
      <c r="C884" s="21">
        <v>46134</v>
      </c>
      <c r="D884" t="s">
        <v>19</v>
      </c>
      <c r="E884" t="s">
        <v>20</v>
      </c>
      <c r="F884" t="s">
        <v>21</v>
      </c>
      <c r="G884">
        <v>3.8</v>
      </c>
      <c r="H884" t="s">
        <v>3796</v>
      </c>
      <c r="I884" t="s">
        <v>3667</v>
      </c>
      <c r="J884" s="1" t="s">
        <v>3668</v>
      </c>
      <c r="K884" t="s">
        <v>181</v>
      </c>
      <c r="L884" t="s">
        <v>3333</v>
      </c>
      <c r="M884">
        <v>1</v>
      </c>
      <c r="N884">
        <v>1</v>
      </c>
      <c r="O884" t="s">
        <v>3358</v>
      </c>
      <c r="P884">
        <v>71.86</v>
      </c>
      <c r="Q884">
        <v>8</v>
      </c>
      <c r="R884" t="s">
        <v>3359</v>
      </c>
      <c r="T884" t="s">
        <v>3337</v>
      </c>
      <c r="U884">
        <v>134</v>
      </c>
      <c r="V884" t="s">
        <v>3457</v>
      </c>
    </row>
    <row r="885" spans="1:22" ht="12.75" customHeight="1" x14ac:dyDescent="0.15">
      <c r="A885">
        <v>16</v>
      </c>
      <c r="B885">
        <v>2026</v>
      </c>
      <c r="C885" s="21">
        <v>46134</v>
      </c>
      <c r="D885" t="s">
        <v>19</v>
      </c>
      <c r="E885" t="s">
        <v>20</v>
      </c>
      <c r="F885" t="s">
        <v>21</v>
      </c>
      <c r="G885">
        <v>3.8</v>
      </c>
      <c r="H885" t="s">
        <v>3796</v>
      </c>
      <c r="I885" t="s">
        <v>3667</v>
      </c>
      <c r="J885" s="1" t="s">
        <v>3668</v>
      </c>
      <c r="K885" t="s">
        <v>181</v>
      </c>
      <c r="L885" t="s">
        <v>3333</v>
      </c>
      <c r="M885">
        <v>6</v>
      </c>
      <c r="N885">
        <v>1</v>
      </c>
      <c r="O885" t="s">
        <v>3334</v>
      </c>
      <c r="P885">
        <v>81.58</v>
      </c>
      <c r="Q885">
        <v>8</v>
      </c>
      <c r="R885" t="s">
        <v>3335</v>
      </c>
      <c r="T885" t="s">
        <v>3337</v>
      </c>
      <c r="U885">
        <v>134</v>
      </c>
      <c r="V885" t="s">
        <v>3797</v>
      </c>
    </row>
    <row r="886" spans="1:22" ht="12.75" customHeight="1" x14ac:dyDescent="0.15">
      <c r="A886">
        <v>16</v>
      </c>
      <c r="B886">
        <v>2026</v>
      </c>
      <c r="C886" s="21">
        <v>46134</v>
      </c>
      <c r="D886" t="s">
        <v>68</v>
      </c>
      <c r="E886" t="s">
        <v>69</v>
      </c>
      <c r="F886" t="s">
        <v>21</v>
      </c>
      <c r="G886">
        <v>1</v>
      </c>
      <c r="H886" t="s">
        <v>3391</v>
      </c>
      <c r="I886" t="s">
        <v>353</v>
      </c>
      <c r="J886" s="1" t="s">
        <v>253</v>
      </c>
      <c r="K886" t="s">
        <v>181</v>
      </c>
      <c r="L886" t="s">
        <v>3333</v>
      </c>
      <c r="M886">
        <v>2</v>
      </c>
      <c r="N886">
        <v>1</v>
      </c>
      <c r="O886" t="s">
        <v>3440</v>
      </c>
      <c r="P886">
        <v>90.49</v>
      </c>
      <c r="Q886">
        <v>8</v>
      </c>
      <c r="R886" t="s">
        <v>3424</v>
      </c>
      <c r="T886" t="s">
        <v>3337</v>
      </c>
      <c r="U886">
        <v>20</v>
      </c>
      <c r="V886" t="s">
        <v>3440</v>
      </c>
    </row>
    <row r="887" spans="1:22" ht="12.75" customHeight="1" x14ac:dyDescent="0.15">
      <c r="A887">
        <v>16</v>
      </c>
      <c r="B887">
        <v>2026</v>
      </c>
      <c r="C887" s="21">
        <v>46134</v>
      </c>
      <c r="D887" t="s">
        <v>68</v>
      </c>
      <c r="E887" t="s">
        <v>69</v>
      </c>
      <c r="F887" t="s">
        <v>21</v>
      </c>
      <c r="G887">
        <v>1</v>
      </c>
      <c r="H887" t="s">
        <v>3391</v>
      </c>
      <c r="I887" t="s">
        <v>353</v>
      </c>
      <c r="J887" s="1" t="s">
        <v>253</v>
      </c>
      <c r="K887" t="s">
        <v>181</v>
      </c>
      <c r="L887" t="s">
        <v>3333</v>
      </c>
      <c r="M887">
        <v>67</v>
      </c>
      <c r="N887">
        <v>1</v>
      </c>
      <c r="O887" t="s">
        <v>3334</v>
      </c>
      <c r="P887">
        <v>81.58</v>
      </c>
      <c r="Q887">
        <v>8</v>
      </c>
      <c r="R887" t="s">
        <v>3404</v>
      </c>
      <c r="T887" t="s">
        <v>3402</v>
      </c>
      <c r="U887">
        <v>20</v>
      </c>
      <c r="V887" t="s">
        <v>3334</v>
      </c>
    </row>
    <row r="888" spans="1:22" ht="12.75" customHeight="1" x14ac:dyDescent="0.15">
      <c r="A888">
        <v>16</v>
      </c>
      <c r="B888">
        <v>2026</v>
      </c>
      <c r="C888" s="21">
        <v>46134</v>
      </c>
      <c r="D888" t="s">
        <v>68</v>
      </c>
      <c r="E888" t="s">
        <v>69</v>
      </c>
      <c r="F888" t="s">
        <v>21</v>
      </c>
      <c r="G888">
        <v>1</v>
      </c>
      <c r="H888" t="s">
        <v>3391</v>
      </c>
      <c r="I888" t="s">
        <v>353</v>
      </c>
      <c r="J888" s="1" t="s">
        <v>253</v>
      </c>
      <c r="K888" t="s">
        <v>181</v>
      </c>
      <c r="L888" t="s">
        <v>3333</v>
      </c>
      <c r="M888">
        <v>19</v>
      </c>
      <c r="N888">
        <v>1</v>
      </c>
      <c r="O888" t="s">
        <v>3334</v>
      </c>
      <c r="P888">
        <v>81.58</v>
      </c>
      <c r="Q888">
        <v>8</v>
      </c>
      <c r="R888" t="s">
        <v>3403</v>
      </c>
      <c r="T888" t="s">
        <v>3402</v>
      </c>
      <c r="U888">
        <v>20</v>
      </c>
      <c r="V888" t="s">
        <v>3334</v>
      </c>
    </row>
    <row r="889" spans="1:22" ht="12.75" customHeight="1" x14ac:dyDescent="0.15">
      <c r="A889">
        <v>16</v>
      </c>
      <c r="B889">
        <v>2026</v>
      </c>
      <c r="C889" s="21">
        <v>46134</v>
      </c>
      <c r="D889" t="s">
        <v>68</v>
      </c>
      <c r="E889" t="s">
        <v>69</v>
      </c>
      <c r="F889" t="s">
        <v>21</v>
      </c>
      <c r="G889">
        <v>1</v>
      </c>
      <c r="H889" t="s">
        <v>3391</v>
      </c>
      <c r="I889" t="s">
        <v>353</v>
      </c>
      <c r="J889" s="1" t="s">
        <v>253</v>
      </c>
      <c r="K889" t="s">
        <v>181</v>
      </c>
      <c r="L889" t="s">
        <v>3333</v>
      </c>
      <c r="M889">
        <v>91</v>
      </c>
      <c r="N889">
        <v>1</v>
      </c>
      <c r="O889" t="s">
        <v>3334</v>
      </c>
      <c r="P889">
        <v>81.58</v>
      </c>
      <c r="Q889">
        <v>8</v>
      </c>
      <c r="R889" t="s">
        <v>3412</v>
      </c>
      <c r="T889" t="s">
        <v>3402</v>
      </c>
      <c r="U889">
        <v>20</v>
      </c>
      <c r="V889" t="s">
        <v>3334</v>
      </c>
    </row>
    <row r="890" spans="1:22" ht="12.75" customHeight="1" x14ac:dyDescent="0.15">
      <c r="A890">
        <v>16</v>
      </c>
      <c r="B890">
        <v>2026</v>
      </c>
      <c r="C890" s="21">
        <v>46134</v>
      </c>
      <c r="D890" t="s">
        <v>60</v>
      </c>
      <c r="E890" t="s">
        <v>61</v>
      </c>
      <c r="F890" t="s">
        <v>21</v>
      </c>
      <c r="G890">
        <v>1.6</v>
      </c>
      <c r="H890" t="s">
        <v>3394</v>
      </c>
      <c r="I890" t="s">
        <v>3395</v>
      </c>
      <c r="J890" s="1" t="s">
        <v>26</v>
      </c>
      <c r="K890" t="s">
        <v>181</v>
      </c>
      <c r="L890" t="s">
        <v>3333</v>
      </c>
      <c r="M890">
        <v>80</v>
      </c>
      <c r="N890">
        <v>0.38</v>
      </c>
      <c r="O890" t="s">
        <v>213</v>
      </c>
      <c r="P890">
        <v>33.75</v>
      </c>
      <c r="Q890">
        <v>3</v>
      </c>
      <c r="R890" t="s">
        <v>3560</v>
      </c>
      <c r="T890" t="s">
        <v>3402</v>
      </c>
      <c r="U890">
        <v>26</v>
      </c>
      <c r="V890" t="s">
        <v>3798</v>
      </c>
    </row>
    <row r="891" spans="1:22" ht="12.75" customHeight="1" x14ac:dyDescent="0.15">
      <c r="A891">
        <v>16</v>
      </c>
      <c r="B891">
        <v>2026</v>
      </c>
      <c r="C891" s="21">
        <v>46134</v>
      </c>
      <c r="D891" t="s">
        <v>89</v>
      </c>
      <c r="E891" t="s">
        <v>90</v>
      </c>
      <c r="F891" t="s">
        <v>21</v>
      </c>
      <c r="G891">
        <v>1</v>
      </c>
      <c r="H891" t="s">
        <v>3519</v>
      </c>
      <c r="I891" t="s">
        <v>214</v>
      </c>
      <c r="J891" s="1" t="s">
        <v>215</v>
      </c>
      <c r="K891" t="s">
        <v>181</v>
      </c>
      <c r="L891" t="s">
        <v>3333</v>
      </c>
      <c r="M891">
        <v>3</v>
      </c>
      <c r="N891">
        <v>0.63</v>
      </c>
      <c r="O891" t="s">
        <v>3334</v>
      </c>
      <c r="P891">
        <v>50.99</v>
      </c>
      <c r="Q891">
        <v>5</v>
      </c>
      <c r="R891" t="s">
        <v>3478</v>
      </c>
      <c r="T891" t="s">
        <v>3402</v>
      </c>
      <c r="U891">
        <v>7</v>
      </c>
      <c r="V891" t="s">
        <v>3574</v>
      </c>
    </row>
    <row r="892" spans="1:22" ht="12.75" customHeight="1" x14ac:dyDescent="0.15">
      <c r="A892">
        <v>16</v>
      </c>
      <c r="B892">
        <v>2026</v>
      </c>
      <c r="C892" s="21">
        <v>46134</v>
      </c>
      <c r="D892" t="s">
        <v>89</v>
      </c>
      <c r="E892" t="s">
        <v>90</v>
      </c>
      <c r="F892" t="s">
        <v>21</v>
      </c>
      <c r="G892">
        <v>1</v>
      </c>
      <c r="H892" t="s">
        <v>3799</v>
      </c>
      <c r="I892" t="s">
        <v>3551</v>
      </c>
      <c r="J892" s="1" t="s">
        <v>3533</v>
      </c>
      <c r="K892" t="s">
        <v>181</v>
      </c>
      <c r="L892" t="s">
        <v>3333</v>
      </c>
      <c r="M892">
        <v>86</v>
      </c>
      <c r="N892">
        <v>0.25</v>
      </c>
      <c r="O892" t="s">
        <v>3334</v>
      </c>
      <c r="P892">
        <v>20.399999999999999</v>
      </c>
      <c r="Q892">
        <v>2</v>
      </c>
      <c r="R892" t="s">
        <v>3386</v>
      </c>
      <c r="T892" t="s">
        <v>3402</v>
      </c>
      <c r="U892">
        <v>7</v>
      </c>
      <c r="V892" t="s">
        <v>3474</v>
      </c>
    </row>
    <row r="893" spans="1:22" ht="12.75" customHeight="1" x14ac:dyDescent="0.15">
      <c r="A893">
        <v>16</v>
      </c>
      <c r="B893">
        <v>2026</v>
      </c>
      <c r="C893" s="21">
        <v>46134</v>
      </c>
      <c r="D893" t="s">
        <v>89</v>
      </c>
      <c r="E893" t="s">
        <v>90</v>
      </c>
      <c r="F893" t="s">
        <v>21</v>
      </c>
      <c r="G893">
        <v>1</v>
      </c>
      <c r="H893" t="s">
        <v>3378</v>
      </c>
      <c r="I893" t="s">
        <v>214</v>
      </c>
      <c r="J893" s="1" t="s">
        <v>215</v>
      </c>
      <c r="K893" t="s">
        <v>181</v>
      </c>
      <c r="L893" t="s">
        <v>3333</v>
      </c>
      <c r="M893">
        <v>86</v>
      </c>
      <c r="N893">
        <v>0.63</v>
      </c>
      <c r="O893" t="s">
        <v>3334</v>
      </c>
      <c r="P893">
        <v>50.99</v>
      </c>
      <c r="Q893">
        <v>5</v>
      </c>
      <c r="R893" t="s">
        <v>3386</v>
      </c>
      <c r="T893" t="s">
        <v>3402</v>
      </c>
      <c r="U893">
        <v>7</v>
      </c>
      <c r="V893" t="s">
        <v>3574</v>
      </c>
    </row>
    <row r="894" spans="1:22" ht="12.75" customHeight="1" x14ac:dyDescent="0.15">
      <c r="A894">
        <v>16</v>
      </c>
      <c r="B894">
        <v>2026</v>
      </c>
      <c r="C894" s="21">
        <v>46135</v>
      </c>
      <c r="D894" t="s">
        <v>84</v>
      </c>
      <c r="E894" t="s">
        <v>85</v>
      </c>
      <c r="F894" t="s">
        <v>21</v>
      </c>
      <c r="G894">
        <v>2</v>
      </c>
      <c r="H894" t="s">
        <v>3495</v>
      </c>
      <c r="I894" t="s">
        <v>29</v>
      </c>
      <c r="J894" s="1" t="s">
        <v>30</v>
      </c>
      <c r="K894" t="s">
        <v>3705</v>
      </c>
      <c r="L894" t="s">
        <v>3333</v>
      </c>
      <c r="M894">
        <v>2</v>
      </c>
      <c r="N894">
        <v>0.31</v>
      </c>
      <c r="O894" t="s">
        <v>3440</v>
      </c>
      <c r="P894">
        <v>28.28</v>
      </c>
      <c r="Q894">
        <v>2.5</v>
      </c>
      <c r="R894" t="s">
        <v>3424</v>
      </c>
      <c r="T894" t="s">
        <v>3337</v>
      </c>
      <c r="U894">
        <v>3</v>
      </c>
      <c r="V894" t="s">
        <v>3524</v>
      </c>
    </row>
    <row r="895" spans="1:22" ht="12.75" customHeight="1" x14ac:dyDescent="0.15">
      <c r="A895">
        <v>16</v>
      </c>
      <c r="B895">
        <v>2026</v>
      </c>
      <c r="C895" s="21">
        <v>46135</v>
      </c>
      <c r="D895" t="s">
        <v>84</v>
      </c>
      <c r="E895" t="s">
        <v>85</v>
      </c>
      <c r="F895" t="s">
        <v>21</v>
      </c>
      <c r="G895">
        <v>2</v>
      </c>
      <c r="H895" t="s">
        <v>3495</v>
      </c>
      <c r="I895" t="s">
        <v>29</v>
      </c>
      <c r="J895" s="1" t="s">
        <v>30</v>
      </c>
      <c r="K895" t="s">
        <v>3705</v>
      </c>
      <c r="L895" t="s">
        <v>3340</v>
      </c>
      <c r="M895">
        <v>58</v>
      </c>
      <c r="N895">
        <v>1.55</v>
      </c>
      <c r="O895" t="s">
        <v>211</v>
      </c>
      <c r="P895">
        <v>85.5</v>
      </c>
      <c r="R895" t="s">
        <v>3343</v>
      </c>
      <c r="T895" t="s">
        <v>3337</v>
      </c>
      <c r="U895">
        <v>3</v>
      </c>
      <c r="V895" t="s">
        <v>3800</v>
      </c>
    </row>
    <row r="896" spans="1:22" ht="12.75" customHeight="1" x14ac:dyDescent="0.15">
      <c r="A896">
        <v>16</v>
      </c>
      <c r="B896">
        <v>2026</v>
      </c>
      <c r="C896" s="21">
        <v>46135</v>
      </c>
      <c r="D896" t="s">
        <v>84</v>
      </c>
      <c r="E896" t="s">
        <v>85</v>
      </c>
      <c r="F896" t="s">
        <v>21</v>
      </c>
      <c r="G896">
        <v>2</v>
      </c>
      <c r="H896" t="s">
        <v>3495</v>
      </c>
      <c r="I896" t="s">
        <v>29</v>
      </c>
      <c r="J896" s="1" t="s">
        <v>30</v>
      </c>
      <c r="K896" t="s">
        <v>3705</v>
      </c>
      <c r="L896" t="s">
        <v>3340</v>
      </c>
      <c r="M896">
        <v>45</v>
      </c>
      <c r="N896">
        <v>1.55</v>
      </c>
      <c r="O896" t="s">
        <v>211</v>
      </c>
      <c r="P896">
        <v>85.5</v>
      </c>
      <c r="R896" t="s">
        <v>3377</v>
      </c>
      <c r="T896" t="s">
        <v>3337</v>
      </c>
      <c r="U896">
        <v>3</v>
      </c>
      <c r="V896" t="s">
        <v>3800</v>
      </c>
    </row>
    <row r="897" spans="1:22" ht="12.75" customHeight="1" x14ac:dyDescent="0.15">
      <c r="A897">
        <v>16</v>
      </c>
      <c r="B897">
        <v>2026</v>
      </c>
      <c r="C897" s="21">
        <v>46135</v>
      </c>
      <c r="D897" t="s">
        <v>84</v>
      </c>
      <c r="E897" t="s">
        <v>85</v>
      </c>
      <c r="F897" t="s">
        <v>21</v>
      </c>
      <c r="G897">
        <v>2</v>
      </c>
      <c r="H897" t="s">
        <v>3495</v>
      </c>
      <c r="I897" t="s">
        <v>29</v>
      </c>
      <c r="J897" s="1" t="s">
        <v>30</v>
      </c>
      <c r="K897" t="s">
        <v>3705</v>
      </c>
      <c r="L897" t="s">
        <v>3340</v>
      </c>
      <c r="M897">
        <v>62</v>
      </c>
      <c r="N897">
        <v>1.55</v>
      </c>
      <c r="O897" t="s">
        <v>211</v>
      </c>
      <c r="P897">
        <v>85.5</v>
      </c>
      <c r="R897" t="s">
        <v>3375</v>
      </c>
      <c r="T897" t="s">
        <v>3337</v>
      </c>
      <c r="U897">
        <v>3</v>
      </c>
      <c r="V897" t="s">
        <v>3800</v>
      </c>
    </row>
    <row r="898" spans="1:22" ht="12.75" customHeight="1" x14ac:dyDescent="0.15">
      <c r="A898">
        <v>16</v>
      </c>
      <c r="B898">
        <v>2026</v>
      </c>
      <c r="C898" s="21">
        <v>46135</v>
      </c>
      <c r="D898" t="s">
        <v>84</v>
      </c>
      <c r="E898" t="s">
        <v>85</v>
      </c>
      <c r="F898" t="s">
        <v>21</v>
      </c>
      <c r="G898">
        <v>2</v>
      </c>
      <c r="H898" t="s">
        <v>3495</v>
      </c>
      <c r="I898" t="s">
        <v>29</v>
      </c>
      <c r="J898" s="1" t="s">
        <v>30</v>
      </c>
      <c r="K898" t="s">
        <v>3705</v>
      </c>
      <c r="L898" t="s">
        <v>3340</v>
      </c>
      <c r="M898">
        <v>81</v>
      </c>
      <c r="N898">
        <v>1.55</v>
      </c>
      <c r="O898" t="s">
        <v>211</v>
      </c>
      <c r="P898">
        <v>85.5</v>
      </c>
      <c r="R898" t="s">
        <v>3374</v>
      </c>
      <c r="T898" t="s">
        <v>3337</v>
      </c>
      <c r="U898">
        <v>3</v>
      </c>
      <c r="V898" t="s">
        <v>3800</v>
      </c>
    </row>
    <row r="899" spans="1:22" ht="12.75" customHeight="1" x14ac:dyDescent="0.15">
      <c r="A899">
        <v>16</v>
      </c>
      <c r="B899">
        <v>2026</v>
      </c>
      <c r="C899" s="21">
        <v>46135</v>
      </c>
      <c r="D899" t="s">
        <v>84</v>
      </c>
      <c r="E899" t="s">
        <v>85</v>
      </c>
      <c r="F899" t="s">
        <v>21</v>
      </c>
      <c r="G899">
        <v>2</v>
      </c>
      <c r="H899" t="s">
        <v>3495</v>
      </c>
      <c r="I899" t="s">
        <v>29</v>
      </c>
      <c r="J899" s="1" t="s">
        <v>30</v>
      </c>
      <c r="K899" t="s">
        <v>3705</v>
      </c>
      <c r="L899" t="s">
        <v>3340</v>
      </c>
      <c r="M899">
        <v>132</v>
      </c>
      <c r="N899">
        <v>1.55</v>
      </c>
      <c r="O899" t="s">
        <v>211</v>
      </c>
      <c r="P899">
        <v>85.5</v>
      </c>
      <c r="R899" t="s">
        <v>3368</v>
      </c>
      <c r="T899" t="s">
        <v>3337</v>
      </c>
      <c r="U899">
        <v>3</v>
      </c>
      <c r="V899" t="s">
        <v>3800</v>
      </c>
    </row>
    <row r="900" spans="1:22" ht="12.75" customHeight="1" x14ac:dyDescent="0.15">
      <c r="A900">
        <v>16</v>
      </c>
      <c r="B900">
        <v>2026</v>
      </c>
      <c r="C900" s="21">
        <v>46135</v>
      </c>
      <c r="D900" t="s">
        <v>19</v>
      </c>
      <c r="E900" t="s">
        <v>20</v>
      </c>
      <c r="F900" t="s">
        <v>21</v>
      </c>
      <c r="G900">
        <v>3.8</v>
      </c>
      <c r="H900" t="s">
        <v>3796</v>
      </c>
      <c r="I900" t="s">
        <v>3667</v>
      </c>
      <c r="J900" s="1" t="s">
        <v>3668</v>
      </c>
      <c r="K900" t="s">
        <v>181</v>
      </c>
      <c r="L900" t="s">
        <v>3333</v>
      </c>
      <c r="M900">
        <v>1</v>
      </c>
      <c r="N900">
        <v>1</v>
      </c>
      <c r="O900" t="s">
        <v>3358</v>
      </c>
      <c r="P900">
        <v>71.86</v>
      </c>
      <c r="Q900">
        <v>8</v>
      </c>
      <c r="R900" t="s">
        <v>3359</v>
      </c>
      <c r="T900" t="s">
        <v>3337</v>
      </c>
      <c r="U900">
        <v>135</v>
      </c>
      <c r="V900" t="s">
        <v>3457</v>
      </c>
    </row>
    <row r="901" spans="1:22" ht="12.75" customHeight="1" x14ac:dyDescent="0.15">
      <c r="A901">
        <v>16</v>
      </c>
      <c r="B901">
        <v>2026</v>
      </c>
      <c r="C901" s="21">
        <v>46135</v>
      </c>
      <c r="D901" t="s">
        <v>19</v>
      </c>
      <c r="E901" t="s">
        <v>20</v>
      </c>
      <c r="F901" t="s">
        <v>21</v>
      </c>
      <c r="G901">
        <v>3.8</v>
      </c>
      <c r="H901" t="s">
        <v>3346</v>
      </c>
      <c r="I901" t="s">
        <v>212</v>
      </c>
      <c r="J901" s="1" t="s">
        <v>188</v>
      </c>
      <c r="K901" t="s">
        <v>181</v>
      </c>
      <c r="L901" t="s">
        <v>3333</v>
      </c>
      <c r="M901">
        <v>6</v>
      </c>
      <c r="N901">
        <v>0.63</v>
      </c>
      <c r="O901" t="s">
        <v>3334</v>
      </c>
      <c r="P901">
        <v>50.99</v>
      </c>
      <c r="Q901">
        <v>5</v>
      </c>
      <c r="R901" t="s">
        <v>3335</v>
      </c>
      <c r="T901" t="s">
        <v>3337</v>
      </c>
      <c r="U901">
        <v>135</v>
      </c>
      <c r="V901" t="s">
        <v>3352</v>
      </c>
    </row>
    <row r="902" spans="1:22" ht="12.75" customHeight="1" x14ac:dyDescent="0.15">
      <c r="A902">
        <v>16</v>
      </c>
      <c r="B902">
        <v>2026</v>
      </c>
      <c r="C902" s="21">
        <v>46135</v>
      </c>
      <c r="D902" t="s">
        <v>19</v>
      </c>
      <c r="E902" t="s">
        <v>20</v>
      </c>
      <c r="F902" t="s">
        <v>21</v>
      </c>
      <c r="G902">
        <v>3.8</v>
      </c>
      <c r="H902" t="s">
        <v>3796</v>
      </c>
      <c r="I902" t="s">
        <v>3667</v>
      </c>
      <c r="J902" s="1" t="s">
        <v>3668</v>
      </c>
      <c r="K902" t="s">
        <v>181</v>
      </c>
      <c r="L902" t="s">
        <v>3333</v>
      </c>
      <c r="M902">
        <v>6</v>
      </c>
      <c r="N902">
        <v>0.38</v>
      </c>
      <c r="O902" t="s">
        <v>3334</v>
      </c>
      <c r="P902">
        <v>30.59</v>
      </c>
      <c r="Q902">
        <v>3</v>
      </c>
      <c r="R902" t="s">
        <v>3335</v>
      </c>
      <c r="T902" t="s">
        <v>3337</v>
      </c>
      <c r="U902">
        <v>135</v>
      </c>
      <c r="V902" t="s">
        <v>3354</v>
      </c>
    </row>
    <row r="903" spans="1:22" ht="12.75" customHeight="1" x14ac:dyDescent="0.15">
      <c r="A903">
        <v>16</v>
      </c>
      <c r="B903">
        <v>2026</v>
      </c>
      <c r="C903" s="21">
        <v>46135</v>
      </c>
      <c r="D903" t="s">
        <v>84</v>
      </c>
      <c r="E903" t="s">
        <v>85</v>
      </c>
      <c r="F903" t="s">
        <v>21</v>
      </c>
      <c r="G903">
        <v>2</v>
      </c>
      <c r="H903" t="s">
        <v>3495</v>
      </c>
      <c r="I903" t="s">
        <v>29</v>
      </c>
      <c r="J903" s="1" t="s">
        <v>30</v>
      </c>
      <c r="K903" t="s">
        <v>3705</v>
      </c>
      <c r="L903" t="s">
        <v>3333</v>
      </c>
      <c r="M903">
        <v>67</v>
      </c>
      <c r="N903">
        <v>1</v>
      </c>
      <c r="O903" t="s">
        <v>3334</v>
      </c>
      <c r="P903">
        <v>81.58</v>
      </c>
      <c r="Q903">
        <v>8</v>
      </c>
      <c r="R903" t="s">
        <v>3404</v>
      </c>
      <c r="T903" t="s">
        <v>3402</v>
      </c>
      <c r="U903">
        <v>3</v>
      </c>
      <c r="V903" t="s">
        <v>3456</v>
      </c>
    </row>
    <row r="904" spans="1:22" ht="12.75" customHeight="1" x14ac:dyDescent="0.15">
      <c r="A904">
        <v>16</v>
      </c>
      <c r="B904">
        <v>2026</v>
      </c>
      <c r="C904" s="21">
        <v>46135</v>
      </c>
      <c r="D904" t="s">
        <v>84</v>
      </c>
      <c r="E904" t="s">
        <v>85</v>
      </c>
      <c r="F904" t="s">
        <v>21</v>
      </c>
      <c r="G904">
        <v>2</v>
      </c>
      <c r="H904" t="s">
        <v>3495</v>
      </c>
      <c r="I904" t="s">
        <v>29</v>
      </c>
      <c r="J904" s="1" t="s">
        <v>30</v>
      </c>
      <c r="K904" t="s">
        <v>3705</v>
      </c>
      <c r="L904" t="s">
        <v>3333</v>
      </c>
      <c r="M904">
        <v>91</v>
      </c>
      <c r="N904">
        <v>1</v>
      </c>
      <c r="O904" t="s">
        <v>3334</v>
      </c>
      <c r="P904">
        <v>81.58</v>
      </c>
      <c r="Q904">
        <v>8</v>
      </c>
      <c r="R904" t="s">
        <v>3412</v>
      </c>
      <c r="T904" t="s">
        <v>3402</v>
      </c>
      <c r="U904">
        <v>3</v>
      </c>
      <c r="V904" t="s">
        <v>3456</v>
      </c>
    </row>
    <row r="905" spans="1:22" ht="12.75" customHeight="1" x14ac:dyDescent="0.15">
      <c r="A905">
        <v>16</v>
      </c>
      <c r="B905">
        <v>2026</v>
      </c>
      <c r="C905" s="21">
        <v>46135</v>
      </c>
      <c r="D905" t="s">
        <v>84</v>
      </c>
      <c r="E905" t="s">
        <v>85</v>
      </c>
      <c r="F905" t="s">
        <v>21</v>
      </c>
      <c r="G905">
        <v>2</v>
      </c>
      <c r="H905" t="s">
        <v>3495</v>
      </c>
      <c r="I905" t="s">
        <v>29</v>
      </c>
      <c r="J905" s="1" t="s">
        <v>30</v>
      </c>
      <c r="K905" t="s">
        <v>3705</v>
      </c>
      <c r="L905" t="s">
        <v>3333</v>
      </c>
      <c r="M905">
        <v>19</v>
      </c>
      <c r="N905">
        <v>1</v>
      </c>
      <c r="O905" t="s">
        <v>3334</v>
      </c>
      <c r="P905">
        <v>81.58</v>
      </c>
      <c r="Q905">
        <v>8</v>
      </c>
      <c r="R905" t="s">
        <v>3403</v>
      </c>
      <c r="T905" t="s">
        <v>3402</v>
      </c>
      <c r="U905">
        <v>3</v>
      </c>
      <c r="V905" t="s">
        <v>3456</v>
      </c>
    </row>
    <row r="906" spans="1:22" ht="12.75" customHeight="1" x14ac:dyDescent="0.15">
      <c r="A906">
        <v>16</v>
      </c>
      <c r="B906">
        <v>2026</v>
      </c>
      <c r="C906" s="21">
        <v>46135</v>
      </c>
      <c r="D906" t="s">
        <v>84</v>
      </c>
      <c r="E906" t="s">
        <v>85</v>
      </c>
      <c r="F906" t="s">
        <v>21</v>
      </c>
      <c r="G906">
        <v>2</v>
      </c>
      <c r="H906" t="s">
        <v>3495</v>
      </c>
      <c r="I906" t="s">
        <v>29</v>
      </c>
      <c r="J906" s="1" t="s">
        <v>30</v>
      </c>
      <c r="K906" t="s">
        <v>3705</v>
      </c>
      <c r="L906" t="s">
        <v>3340</v>
      </c>
      <c r="M906">
        <v>78</v>
      </c>
      <c r="N906">
        <v>1.55</v>
      </c>
      <c r="O906" t="s">
        <v>211</v>
      </c>
      <c r="P906">
        <v>85.5</v>
      </c>
      <c r="R906" t="s">
        <v>3341</v>
      </c>
      <c r="T906" t="s">
        <v>3402</v>
      </c>
      <c r="U906">
        <v>3</v>
      </c>
      <c r="V906" t="s">
        <v>3800</v>
      </c>
    </row>
    <row r="907" spans="1:22" ht="12.75" customHeight="1" x14ac:dyDescent="0.15">
      <c r="A907">
        <v>16</v>
      </c>
      <c r="B907">
        <v>2026</v>
      </c>
      <c r="C907" s="21">
        <v>46135</v>
      </c>
      <c r="D907" t="s">
        <v>84</v>
      </c>
      <c r="E907" t="s">
        <v>85</v>
      </c>
      <c r="F907" t="s">
        <v>21</v>
      </c>
      <c r="G907">
        <v>2</v>
      </c>
      <c r="H907" t="s">
        <v>3495</v>
      </c>
      <c r="I907" t="s">
        <v>29</v>
      </c>
      <c r="J907" s="1" t="s">
        <v>30</v>
      </c>
      <c r="K907" t="s">
        <v>3705</v>
      </c>
      <c r="L907" t="s">
        <v>3340</v>
      </c>
      <c r="M907">
        <v>67</v>
      </c>
      <c r="N907">
        <v>7.0000000000000007E-2</v>
      </c>
      <c r="O907" t="s">
        <v>211</v>
      </c>
      <c r="P907">
        <v>4</v>
      </c>
      <c r="R907" t="s">
        <v>3404</v>
      </c>
      <c r="T907" t="s">
        <v>3402</v>
      </c>
      <c r="U907">
        <v>3</v>
      </c>
      <c r="V907" t="s">
        <v>3801</v>
      </c>
    </row>
    <row r="908" spans="1:22" ht="12.75" customHeight="1" x14ac:dyDescent="0.15">
      <c r="A908">
        <v>16</v>
      </c>
      <c r="B908">
        <v>2026</v>
      </c>
      <c r="C908" s="21">
        <v>46135</v>
      </c>
      <c r="D908" t="s">
        <v>84</v>
      </c>
      <c r="E908" t="s">
        <v>85</v>
      </c>
      <c r="F908" t="s">
        <v>21</v>
      </c>
      <c r="G908">
        <v>2</v>
      </c>
      <c r="H908" t="s">
        <v>3495</v>
      </c>
      <c r="I908" t="s">
        <v>29</v>
      </c>
      <c r="J908" s="1" t="s">
        <v>30</v>
      </c>
      <c r="K908" t="s">
        <v>3705</v>
      </c>
      <c r="L908" t="s">
        <v>3340</v>
      </c>
      <c r="M908">
        <v>91</v>
      </c>
      <c r="N908">
        <v>7.0000000000000007E-2</v>
      </c>
      <c r="O908" t="s">
        <v>211</v>
      </c>
      <c r="P908">
        <v>4</v>
      </c>
      <c r="R908" t="s">
        <v>3412</v>
      </c>
      <c r="T908" t="s">
        <v>3402</v>
      </c>
      <c r="U908">
        <v>3</v>
      </c>
      <c r="V908" t="s">
        <v>3801</v>
      </c>
    </row>
    <row r="909" spans="1:22" ht="12.75" customHeight="1" x14ac:dyDescent="0.15">
      <c r="A909">
        <v>16</v>
      </c>
      <c r="B909">
        <v>2026</v>
      </c>
      <c r="C909" s="21">
        <v>46135</v>
      </c>
      <c r="D909" t="s">
        <v>84</v>
      </c>
      <c r="E909" t="s">
        <v>85</v>
      </c>
      <c r="F909" t="s">
        <v>21</v>
      </c>
      <c r="G909">
        <v>2</v>
      </c>
      <c r="H909" t="s">
        <v>3495</v>
      </c>
      <c r="I909" t="s">
        <v>29</v>
      </c>
      <c r="J909" s="1" t="s">
        <v>30</v>
      </c>
      <c r="K909" t="s">
        <v>3705</v>
      </c>
      <c r="L909" t="s">
        <v>3340</v>
      </c>
      <c r="M909">
        <v>19</v>
      </c>
      <c r="N909">
        <v>7.0000000000000007E-2</v>
      </c>
      <c r="O909" t="s">
        <v>211</v>
      </c>
      <c r="P909">
        <v>4</v>
      </c>
      <c r="R909" t="s">
        <v>3403</v>
      </c>
      <c r="T909" t="s">
        <v>3402</v>
      </c>
      <c r="U909">
        <v>3</v>
      </c>
      <c r="V909" t="s">
        <v>3801</v>
      </c>
    </row>
    <row r="910" spans="1:22" ht="12.75" customHeight="1" x14ac:dyDescent="0.15">
      <c r="A910">
        <v>16</v>
      </c>
      <c r="B910">
        <v>2026</v>
      </c>
      <c r="C910" s="21">
        <v>46135</v>
      </c>
      <c r="D910" t="s">
        <v>91</v>
      </c>
      <c r="E910" t="s">
        <v>92</v>
      </c>
      <c r="F910" t="s">
        <v>21</v>
      </c>
      <c r="G910">
        <v>1.3</v>
      </c>
      <c r="H910" t="s">
        <v>3799</v>
      </c>
      <c r="I910" t="s">
        <v>3551</v>
      </c>
      <c r="J910" s="1" t="s">
        <v>3533</v>
      </c>
      <c r="K910" t="s">
        <v>181</v>
      </c>
      <c r="L910" t="s">
        <v>3333</v>
      </c>
      <c r="M910">
        <v>3</v>
      </c>
      <c r="N910">
        <v>0.25</v>
      </c>
      <c r="O910" t="s">
        <v>3334</v>
      </c>
      <c r="P910">
        <v>20.399999999999999</v>
      </c>
      <c r="Q910">
        <v>2</v>
      </c>
      <c r="R910" t="s">
        <v>3478</v>
      </c>
      <c r="T910" t="s">
        <v>3402</v>
      </c>
      <c r="U910">
        <v>5</v>
      </c>
      <c r="V910" t="s">
        <v>3802</v>
      </c>
    </row>
    <row r="911" spans="1:22" ht="12.75" customHeight="1" x14ac:dyDescent="0.15">
      <c r="A911">
        <v>16</v>
      </c>
      <c r="B911">
        <v>2026</v>
      </c>
      <c r="C911" s="21">
        <v>46135</v>
      </c>
      <c r="D911" t="s">
        <v>91</v>
      </c>
      <c r="E911" t="s">
        <v>92</v>
      </c>
      <c r="F911" t="s">
        <v>21</v>
      </c>
      <c r="G911">
        <v>1.3</v>
      </c>
      <c r="H911" t="s">
        <v>3799</v>
      </c>
      <c r="I911" t="s">
        <v>3551</v>
      </c>
      <c r="J911" s="1" t="s">
        <v>3533</v>
      </c>
      <c r="K911" t="s">
        <v>181</v>
      </c>
      <c r="L911" t="s">
        <v>3333</v>
      </c>
      <c r="M911">
        <v>4</v>
      </c>
      <c r="N911">
        <v>0.25</v>
      </c>
      <c r="O911" t="s">
        <v>3334</v>
      </c>
      <c r="P911">
        <v>20.399999999999999</v>
      </c>
      <c r="Q911">
        <v>2</v>
      </c>
      <c r="R911" t="s">
        <v>3773</v>
      </c>
      <c r="T911" t="s">
        <v>3402</v>
      </c>
      <c r="U911">
        <v>5</v>
      </c>
      <c r="V911" t="s">
        <v>3802</v>
      </c>
    </row>
    <row r="912" spans="1:22" ht="12.75" customHeight="1" x14ac:dyDescent="0.15">
      <c r="A912">
        <v>16</v>
      </c>
      <c r="B912">
        <v>2026</v>
      </c>
      <c r="C912" s="21">
        <v>46135</v>
      </c>
      <c r="D912" t="s">
        <v>84</v>
      </c>
      <c r="E912" t="s">
        <v>85</v>
      </c>
      <c r="F912" t="s">
        <v>21</v>
      </c>
      <c r="G912">
        <v>2</v>
      </c>
      <c r="H912" t="s">
        <v>3803</v>
      </c>
      <c r="I912" t="s">
        <v>3676</v>
      </c>
      <c r="J912" s="1" t="s">
        <v>3533</v>
      </c>
      <c r="K912" t="s">
        <v>181</v>
      </c>
      <c r="L912" t="s">
        <v>3333</v>
      </c>
      <c r="M912">
        <v>3</v>
      </c>
      <c r="N912">
        <v>0.75</v>
      </c>
      <c r="O912" t="s">
        <v>3334</v>
      </c>
      <c r="P912">
        <v>61.19</v>
      </c>
      <c r="Q912">
        <v>6</v>
      </c>
      <c r="R912" t="s">
        <v>3478</v>
      </c>
      <c r="T912" t="s">
        <v>3402</v>
      </c>
      <c r="U912">
        <v>3</v>
      </c>
      <c r="V912" t="s">
        <v>3491</v>
      </c>
    </row>
    <row r="913" spans="1:22" ht="12.75" customHeight="1" x14ac:dyDescent="0.15">
      <c r="A913">
        <v>16</v>
      </c>
      <c r="B913">
        <v>2026</v>
      </c>
      <c r="C913" s="21">
        <v>46135</v>
      </c>
      <c r="D913" t="s">
        <v>84</v>
      </c>
      <c r="E913" t="s">
        <v>85</v>
      </c>
      <c r="F913" t="s">
        <v>21</v>
      </c>
      <c r="G913">
        <v>2</v>
      </c>
      <c r="H913" t="s">
        <v>3803</v>
      </c>
      <c r="I913" t="s">
        <v>3676</v>
      </c>
      <c r="J913" s="1" t="s">
        <v>3533</v>
      </c>
      <c r="K913" t="s">
        <v>181</v>
      </c>
      <c r="L913" t="s">
        <v>3333</v>
      </c>
      <c r="M913">
        <v>4</v>
      </c>
      <c r="N913">
        <v>0.75</v>
      </c>
      <c r="O913" t="s">
        <v>3334</v>
      </c>
      <c r="P913">
        <v>61.19</v>
      </c>
      <c r="Q913">
        <v>6</v>
      </c>
      <c r="R913" t="s">
        <v>3773</v>
      </c>
      <c r="T913" t="s">
        <v>3402</v>
      </c>
      <c r="U913">
        <v>3</v>
      </c>
      <c r="V913" t="s">
        <v>3491</v>
      </c>
    </row>
    <row r="914" spans="1:22" ht="12.75" customHeight="1" x14ac:dyDescent="0.15">
      <c r="A914">
        <v>16</v>
      </c>
      <c r="B914">
        <v>2026</v>
      </c>
      <c r="C914" s="21">
        <v>46135</v>
      </c>
      <c r="D914" t="s">
        <v>141</v>
      </c>
      <c r="E914" t="s">
        <v>142</v>
      </c>
      <c r="F914" t="s">
        <v>75</v>
      </c>
      <c r="G914">
        <v>1</v>
      </c>
      <c r="H914" t="s">
        <v>3804</v>
      </c>
      <c r="I914" t="s">
        <v>3805</v>
      </c>
      <c r="J914" s="1" t="s">
        <v>3660</v>
      </c>
      <c r="K914" t="s">
        <v>181</v>
      </c>
      <c r="L914" t="s">
        <v>3340</v>
      </c>
      <c r="M914">
        <v>3</v>
      </c>
      <c r="N914">
        <v>10.91</v>
      </c>
      <c r="O914" t="s">
        <v>211</v>
      </c>
      <c r="P914">
        <v>600</v>
      </c>
      <c r="R914" t="s">
        <v>3478</v>
      </c>
      <c r="T914" t="s">
        <v>3402</v>
      </c>
      <c r="U914">
        <v>-61</v>
      </c>
      <c r="V914" t="s">
        <v>3806</v>
      </c>
    </row>
    <row r="915" spans="1:22" ht="12.75" customHeight="1" x14ac:dyDescent="0.15">
      <c r="A915">
        <v>17</v>
      </c>
      <c r="B915">
        <v>2026</v>
      </c>
      <c r="C915" s="21">
        <v>46136</v>
      </c>
      <c r="D915" t="s">
        <v>80</v>
      </c>
      <c r="E915" t="s">
        <v>81</v>
      </c>
      <c r="F915" t="s">
        <v>21</v>
      </c>
      <c r="G915">
        <v>2.2999999999999998</v>
      </c>
      <c r="H915" t="s">
        <v>3807</v>
      </c>
      <c r="I915" t="s">
        <v>3808</v>
      </c>
      <c r="J915" s="1" t="s">
        <v>26</v>
      </c>
      <c r="K915" t="s">
        <v>181</v>
      </c>
      <c r="L915" t="s">
        <v>3340</v>
      </c>
      <c r="M915">
        <v>81</v>
      </c>
      <c r="N915">
        <v>2.1800000000000002</v>
      </c>
      <c r="O915" t="s">
        <v>211</v>
      </c>
      <c r="P915">
        <v>120</v>
      </c>
      <c r="R915" t="s">
        <v>3374</v>
      </c>
      <c r="T915" t="s">
        <v>3337</v>
      </c>
      <c r="U915">
        <v>22</v>
      </c>
      <c r="V915" t="s">
        <v>3764</v>
      </c>
    </row>
    <row r="916" spans="1:22" ht="12.75" customHeight="1" x14ac:dyDescent="0.15">
      <c r="A916">
        <v>17</v>
      </c>
      <c r="B916">
        <v>2026</v>
      </c>
      <c r="C916" s="21">
        <v>46136</v>
      </c>
      <c r="D916" t="s">
        <v>80</v>
      </c>
      <c r="E916" t="s">
        <v>81</v>
      </c>
      <c r="F916" t="s">
        <v>21</v>
      </c>
      <c r="G916">
        <v>2.2999999999999998</v>
      </c>
      <c r="H916" t="s">
        <v>3807</v>
      </c>
      <c r="I916" t="s">
        <v>3808</v>
      </c>
      <c r="J916" s="1" t="s">
        <v>26</v>
      </c>
      <c r="K916" t="s">
        <v>181</v>
      </c>
      <c r="L916" t="s">
        <v>3340</v>
      </c>
      <c r="M916">
        <v>45</v>
      </c>
      <c r="N916">
        <v>2.1800000000000002</v>
      </c>
      <c r="O916" t="s">
        <v>211</v>
      </c>
      <c r="P916">
        <v>120</v>
      </c>
      <c r="R916" t="s">
        <v>3377</v>
      </c>
      <c r="T916" t="s">
        <v>3337</v>
      </c>
      <c r="U916">
        <v>22</v>
      </c>
      <c r="V916" t="s">
        <v>3764</v>
      </c>
    </row>
    <row r="917" spans="1:22" ht="12.75" customHeight="1" x14ac:dyDescent="0.15">
      <c r="A917">
        <v>17</v>
      </c>
      <c r="B917">
        <v>2026</v>
      </c>
      <c r="C917" s="21">
        <v>46136</v>
      </c>
      <c r="D917" t="s">
        <v>80</v>
      </c>
      <c r="E917" t="s">
        <v>81</v>
      </c>
      <c r="F917" t="s">
        <v>21</v>
      </c>
      <c r="G917">
        <v>2.2999999999999998</v>
      </c>
      <c r="H917" t="s">
        <v>3807</v>
      </c>
      <c r="I917" t="s">
        <v>3808</v>
      </c>
      <c r="J917" s="1" t="s">
        <v>26</v>
      </c>
      <c r="K917" t="s">
        <v>181</v>
      </c>
      <c r="L917" t="s">
        <v>3340</v>
      </c>
      <c r="M917">
        <v>62</v>
      </c>
      <c r="N917">
        <v>2.1800000000000002</v>
      </c>
      <c r="O917" t="s">
        <v>211</v>
      </c>
      <c r="P917">
        <v>120</v>
      </c>
      <c r="R917" t="s">
        <v>3375</v>
      </c>
      <c r="T917" t="s">
        <v>3337</v>
      </c>
      <c r="U917">
        <v>22</v>
      </c>
      <c r="V917" t="s">
        <v>3764</v>
      </c>
    </row>
    <row r="918" spans="1:22" ht="12.75" customHeight="1" x14ac:dyDescent="0.15">
      <c r="A918">
        <v>17</v>
      </c>
      <c r="B918">
        <v>2026</v>
      </c>
      <c r="C918" s="21">
        <v>46136</v>
      </c>
      <c r="D918" t="s">
        <v>80</v>
      </c>
      <c r="E918" t="s">
        <v>81</v>
      </c>
      <c r="F918" t="s">
        <v>21</v>
      </c>
      <c r="G918">
        <v>2.2999999999999998</v>
      </c>
      <c r="H918" t="s">
        <v>3807</v>
      </c>
      <c r="I918" t="s">
        <v>3808</v>
      </c>
      <c r="J918" s="1" t="s">
        <v>26</v>
      </c>
      <c r="K918" t="s">
        <v>181</v>
      </c>
      <c r="L918" t="s">
        <v>3340</v>
      </c>
      <c r="M918">
        <v>132</v>
      </c>
      <c r="N918">
        <v>2.1800000000000002</v>
      </c>
      <c r="O918" t="s">
        <v>211</v>
      </c>
      <c r="P918">
        <v>120</v>
      </c>
      <c r="R918" t="s">
        <v>3368</v>
      </c>
      <c r="T918" t="s">
        <v>3337</v>
      </c>
      <c r="U918">
        <v>22</v>
      </c>
      <c r="V918" t="s">
        <v>3764</v>
      </c>
    </row>
    <row r="919" spans="1:22" ht="12.75" customHeight="1" x14ac:dyDescent="0.15">
      <c r="A919">
        <v>17</v>
      </c>
      <c r="B919">
        <v>2026</v>
      </c>
      <c r="C919" s="21">
        <v>46136</v>
      </c>
      <c r="D919" t="s">
        <v>84</v>
      </c>
      <c r="E919" t="s">
        <v>85</v>
      </c>
      <c r="F919" t="s">
        <v>21</v>
      </c>
      <c r="G919">
        <v>2</v>
      </c>
      <c r="H919" t="s">
        <v>3809</v>
      </c>
      <c r="I919" t="s">
        <v>3810</v>
      </c>
      <c r="J919" s="1" t="s">
        <v>30</v>
      </c>
      <c r="K919" t="s">
        <v>2666</v>
      </c>
      <c r="L919" t="s">
        <v>3340</v>
      </c>
      <c r="M919">
        <v>81</v>
      </c>
      <c r="N919">
        <v>0.18</v>
      </c>
      <c r="O919" t="s">
        <v>211</v>
      </c>
      <c r="P919">
        <v>10</v>
      </c>
      <c r="R919" t="s">
        <v>3374</v>
      </c>
      <c r="S919" t="s">
        <v>3811</v>
      </c>
      <c r="T919" t="s">
        <v>3337</v>
      </c>
      <c r="U919">
        <v>4</v>
      </c>
      <c r="V919" t="s">
        <v>3504</v>
      </c>
    </row>
    <row r="920" spans="1:22" ht="12.75" customHeight="1" x14ac:dyDescent="0.15">
      <c r="A920">
        <v>17</v>
      </c>
      <c r="B920">
        <v>2026</v>
      </c>
      <c r="C920" s="21">
        <v>46136</v>
      </c>
      <c r="D920" t="s">
        <v>84</v>
      </c>
      <c r="E920" t="s">
        <v>85</v>
      </c>
      <c r="F920" t="s">
        <v>21</v>
      </c>
      <c r="G920">
        <v>2</v>
      </c>
      <c r="H920" t="s">
        <v>3809</v>
      </c>
      <c r="I920" t="s">
        <v>3810</v>
      </c>
      <c r="J920" s="1" t="s">
        <v>30</v>
      </c>
      <c r="K920" t="s">
        <v>2666</v>
      </c>
      <c r="L920" t="s">
        <v>3340</v>
      </c>
      <c r="M920">
        <v>45</v>
      </c>
      <c r="N920">
        <v>0.18</v>
      </c>
      <c r="O920" t="s">
        <v>211</v>
      </c>
      <c r="P920">
        <v>10</v>
      </c>
      <c r="R920" t="s">
        <v>3377</v>
      </c>
      <c r="T920" t="s">
        <v>3337</v>
      </c>
      <c r="U920">
        <v>4</v>
      </c>
      <c r="V920" t="s">
        <v>3504</v>
      </c>
    </row>
    <row r="921" spans="1:22" ht="12.75" customHeight="1" x14ac:dyDescent="0.15">
      <c r="A921">
        <v>17</v>
      </c>
      <c r="B921">
        <v>2026</v>
      </c>
      <c r="C921" s="21">
        <v>46136</v>
      </c>
      <c r="D921" t="s">
        <v>84</v>
      </c>
      <c r="E921" t="s">
        <v>85</v>
      </c>
      <c r="F921" t="s">
        <v>21</v>
      </c>
      <c r="G921">
        <v>2</v>
      </c>
      <c r="H921" t="s">
        <v>3809</v>
      </c>
      <c r="I921" t="s">
        <v>3810</v>
      </c>
      <c r="J921" s="1" t="s">
        <v>30</v>
      </c>
      <c r="K921" t="s">
        <v>2666</v>
      </c>
      <c r="L921" t="s">
        <v>3340</v>
      </c>
      <c r="M921">
        <v>62</v>
      </c>
      <c r="N921">
        <v>0.18</v>
      </c>
      <c r="O921" t="s">
        <v>211</v>
      </c>
      <c r="P921">
        <v>10</v>
      </c>
      <c r="R921" t="s">
        <v>3375</v>
      </c>
      <c r="T921" t="s">
        <v>3337</v>
      </c>
      <c r="U921">
        <v>4</v>
      </c>
      <c r="V921" t="s">
        <v>3504</v>
      </c>
    </row>
    <row r="922" spans="1:22" ht="12.75" customHeight="1" x14ac:dyDescent="0.15">
      <c r="A922">
        <v>17</v>
      </c>
      <c r="B922">
        <v>2026</v>
      </c>
      <c r="C922" s="21">
        <v>46136</v>
      </c>
      <c r="D922" t="s">
        <v>84</v>
      </c>
      <c r="E922" t="s">
        <v>85</v>
      </c>
      <c r="F922" t="s">
        <v>21</v>
      </c>
      <c r="G922">
        <v>2</v>
      </c>
      <c r="H922" t="s">
        <v>3809</v>
      </c>
      <c r="I922" t="s">
        <v>3810</v>
      </c>
      <c r="J922" s="1" t="s">
        <v>30</v>
      </c>
      <c r="K922" t="s">
        <v>2666</v>
      </c>
      <c r="L922" t="s">
        <v>3340</v>
      </c>
      <c r="M922">
        <v>132</v>
      </c>
      <c r="N922">
        <v>0.18</v>
      </c>
      <c r="O922" t="s">
        <v>211</v>
      </c>
      <c r="P922">
        <v>10</v>
      </c>
      <c r="R922" t="s">
        <v>3368</v>
      </c>
      <c r="T922" t="s">
        <v>3337</v>
      </c>
      <c r="U922">
        <v>4</v>
      </c>
      <c r="V922" t="s">
        <v>3504</v>
      </c>
    </row>
    <row r="923" spans="1:22" ht="12.75" customHeight="1" x14ac:dyDescent="0.15">
      <c r="A923">
        <v>17</v>
      </c>
      <c r="B923">
        <v>2026</v>
      </c>
      <c r="C923" s="21">
        <v>46136</v>
      </c>
      <c r="D923" t="s">
        <v>84</v>
      </c>
      <c r="E923" t="s">
        <v>85</v>
      </c>
      <c r="F923" t="s">
        <v>21</v>
      </c>
      <c r="G923">
        <v>2</v>
      </c>
      <c r="H923" t="s">
        <v>3505</v>
      </c>
      <c r="I923" t="s">
        <v>29</v>
      </c>
      <c r="J923" s="1" t="s">
        <v>30</v>
      </c>
      <c r="K923" t="s">
        <v>3705</v>
      </c>
      <c r="L923" t="s">
        <v>23</v>
      </c>
      <c r="N923">
        <v>25.53</v>
      </c>
      <c r="O923" t="s">
        <v>211</v>
      </c>
      <c r="P923">
        <v>1404</v>
      </c>
      <c r="R923" t="s">
        <v>3812</v>
      </c>
      <c r="T923" t="s">
        <v>3337</v>
      </c>
      <c r="U923">
        <v>4</v>
      </c>
      <c r="V923" t="s">
        <v>3813</v>
      </c>
    </row>
    <row r="924" spans="1:22" ht="12.75" customHeight="1" x14ac:dyDescent="0.15">
      <c r="A924">
        <v>17</v>
      </c>
      <c r="B924">
        <v>2026</v>
      </c>
      <c r="C924" s="21">
        <v>46136</v>
      </c>
      <c r="D924" t="s">
        <v>91</v>
      </c>
      <c r="E924" t="s">
        <v>92</v>
      </c>
      <c r="F924" t="s">
        <v>21</v>
      </c>
      <c r="G924">
        <v>1.3</v>
      </c>
      <c r="H924" t="s">
        <v>3519</v>
      </c>
      <c r="I924" t="s">
        <v>214</v>
      </c>
      <c r="J924" s="1" t="s">
        <v>215</v>
      </c>
      <c r="K924" t="s">
        <v>181</v>
      </c>
      <c r="L924" t="s">
        <v>3340</v>
      </c>
      <c r="M924">
        <v>58</v>
      </c>
      <c r="N924">
        <v>0.95</v>
      </c>
      <c r="O924" t="s">
        <v>211</v>
      </c>
      <c r="P924">
        <v>52</v>
      </c>
      <c r="R924" t="s">
        <v>3343</v>
      </c>
      <c r="S924" t="s">
        <v>3664</v>
      </c>
      <c r="T924" t="s">
        <v>3337</v>
      </c>
      <c r="U924">
        <v>6</v>
      </c>
      <c r="V924" t="s">
        <v>229</v>
      </c>
    </row>
    <row r="925" spans="1:22" ht="12.75" customHeight="1" x14ac:dyDescent="0.15">
      <c r="A925">
        <v>17</v>
      </c>
      <c r="B925">
        <v>2026</v>
      </c>
      <c r="C925" s="21">
        <v>46136</v>
      </c>
      <c r="D925" t="s">
        <v>84</v>
      </c>
      <c r="E925" t="s">
        <v>85</v>
      </c>
      <c r="F925" t="s">
        <v>21</v>
      </c>
      <c r="G925">
        <v>2</v>
      </c>
      <c r="H925" t="s">
        <v>3519</v>
      </c>
      <c r="I925" t="s">
        <v>214</v>
      </c>
      <c r="J925" s="1" t="s">
        <v>215</v>
      </c>
      <c r="K925" t="s">
        <v>181</v>
      </c>
      <c r="L925" t="s">
        <v>3340</v>
      </c>
      <c r="M925">
        <v>58</v>
      </c>
      <c r="N925">
        <v>0.95</v>
      </c>
      <c r="O925" t="s">
        <v>211</v>
      </c>
      <c r="P925">
        <v>52</v>
      </c>
      <c r="R925" t="s">
        <v>3343</v>
      </c>
      <c r="S925" t="s">
        <v>3664</v>
      </c>
      <c r="T925" t="s">
        <v>3337</v>
      </c>
      <c r="U925">
        <v>4</v>
      </c>
      <c r="V925" t="s">
        <v>3814</v>
      </c>
    </row>
    <row r="926" spans="1:22" ht="12.75" customHeight="1" x14ac:dyDescent="0.15">
      <c r="A926">
        <v>17</v>
      </c>
      <c r="B926">
        <v>2026</v>
      </c>
      <c r="C926" s="21">
        <v>46136</v>
      </c>
      <c r="D926" t="s">
        <v>96</v>
      </c>
      <c r="E926" t="s">
        <v>97</v>
      </c>
      <c r="F926" t="s">
        <v>21</v>
      </c>
      <c r="G926">
        <v>4.5</v>
      </c>
      <c r="H926" t="s">
        <v>3332</v>
      </c>
      <c r="I926" t="s">
        <v>177</v>
      </c>
      <c r="J926" s="1" t="s">
        <v>26</v>
      </c>
      <c r="K926" t="s">
        <v>181</v>
      </c>
      <c r="L926" t="s">
        <v>3333</v>
      </c>
      <c r="M926">
        <v>6</v>
      </c>
      <c r="N926">
        <v>0.63</v>
      </c>
      <c r="O926" t="s">
        <v>3334</v>
      </c>
      <c r="P926">
        <v>50.99</v>
      </c>
      <c r="Q926">
        <v>5</v>
      </c>
      <c r="R926" t="s">
        <v>3335</v>
      </c>
      <c r="T926" t="s">
        <v>3337</v>
      </c>
      <c r="U926">
        <v>-7</v>
      </c>
      <c r="V926" t="s">
        <v>3815</v>
      </c>
    </row>
    <row r="927" spans="1:22" ht="12.75" customHeight="1" x14ac:dyDescent="0.15">
      <c r="A927">
        <v>17</v>
      </c>
      <c r="B927">
        <v>2026</v>
      </c>
      <c r="C927" s="21">
        <v>46136</v>
      </c>
      <c r="D927" t="s">
        <v>96</v>
      </c>
      <c r="E927" t="s">
        <v>97</v>
      </c>
      <c r="F927" t="s">
        <v>21</v>
      </c>
      <c r="G927">
        <v>4.5</v>
      </c>
      <c r="H927" t="s">
        <v>3339</v>
      </c>
      <c r="I927" t="s">
        <v>187</v>
      </c>
      <c r="J927" s="1" t="s">
        <v>188</v>
      </c>
      <c r="K927" t="s">
        <v>181</v>
      </c>
      <c r="L927" t="s">
        <v>3333</v>
      </c>
      <c r="M927">
        <v>6</v>
      </c>
      <c r="N927">
        <v>0.38</v>
      </c>
      <c r="O927" t="s">
        <v>3334</v>
      </c>
      <c r="P927">
        <v>30.59</v>
      </c>
      <c r="Q927">
        <v>3</v>
      </c>
      <c r="R927" t="s">
        <v>3335</v>
      </c>
      <c r="T927" t="s">
        <v>3337</v>
      </c>
      <c r="U927">
        <v>-7</v>
      </c>
      <c r="V927" t="s">
        <v>3816</v>
      </c>
    </row>
    <row r="928" spans="1:22" ht="12.75" customHeight="1" x14ac:dyDescent="0.15">
      <c r="A928">
        <v>17</v>
      </c>
      <c r="B928">
        <v>2026</v>
      </c>
      <c r="C928" s="21">
        <v>46136</v>
      </c>
      <c r="D928" t="s">
        <v>96</v>
      </c>
      <c r="E928" t="s">
        <v>97</v>
      </c>
      <c r="F928" t="s">
        <v>21</v>
      </c>
      <c r="G928">
        <v>4.5</v>
      </c>
      <c r="H928" t="s">
        <v>3339</v>
      </c>
      <c r="I928" t="s">
        <v>187</v>
      </c>
      <c r="J928" s="1" t="s">
        <v>188</v>
      </c>
      <c r="K928" t="s">
        <v>181</v>
      </c>
      <c r="L928" t="s">
        <v>3333</v>
      </c>
      <c r="M928">
        <v>1</v>
      </c>
      <c r="N928">
        <v>1</v>
      </c>
      <c r="O928" t="s">
        <v>3358</v>
      </c>
      <c r="P928">
        <v>71.86</v>
      </c>
      <c r="Q928">
        <v>8</v>
      </c>
      <c r="R928" t="s">
        <v>3359</v>
      </c>
      <c r="T928" t="s">
        <v>3337</v>
      </c>
      <c r="U928">
        <v>-7</v>
      </c>
      <c r="V928" t="s">
        <v>3817</v>
      </c>
    </row>
    <row r="929" spans="1:22" ht="12.75" customHeight="1" x14ac:dyDescent="0.15">
      <c r="A929">
        <v>17</v>
      </c>
      <c r="B929">
        <v>2026</v>
      </c>
      <c r="C929" s="21">
        <v>46136</v>
      </c>
      <c r="D929" t="s">
        <v>84</v>
      </c>
      <c r="E929" t="s">
        <v>85</v>
      </c>
      <c r="F929" t="s">
        <v>21</v>
      </c>
      <c r="G929">
        <v>2</v>
      </c>
      <c r="H929" t="s">
        <v>3626</v>
      </c>
      <c r="I929" t="s">
        <v>331</v>
      </c>
      <c r="J929" s="1" t="s">
        <v>30</v>
      </c>
      <c r="K929" t="s">
        <v>181</v>
      </c>
      <c r="L929" t="s">
        <v>3340</v>
      </c>
      <c r="M929">
        <v>72</v>
      </c>
      <c r="N929">
        <v>0.36</v>
      </c>
      <c r="O929" t="s">
        <v>211</v>
      </c>
      <c r="P929">
        <v>20</v>
      </c>
      <c r="R929" t="s">
        <v>3488</v>
      </c>
      <c r="T929" t="s">
        <v>3337</v>
      </c>
      <c r="U929">
        <v>4</v>
      </c>
      <c r="V929" t="s">
        <v>3711</v>
      </c>
    </row>
    <row r="930" spans="1:22" ht="12.75" customHeight="1" x14ac:dyDescent="0.15">
      <c r="A930">
        <v>17</v>
      </c>
      <c r="B930">
        <v>2026</v>
      </c>
      <c r="C930" s="21">
        <v>46136</v>
      </c>
      <c r="D930" t="s">
        <v>84</v>
      </c>
      <c r="E930" t="s">
        <v>85</v>
      </c>
      <c r="F930" t="s">
        <v>21</v>
      </c>
      <c r="G930">
        <v>2</v>
      </c>
      <c r="H930" t="s">
        <v>3803</v>
      </c>
      <c r="I930" t="s">
        <v>3676</v>
      </c>
      <c r="J930" s="1" t="s">
        <v>3533</v>
      </c>
      <c r="K930" t="s">
        <v>181</v>
      </c>
      <c r="L930" t="s">
        <v>3333</v>
      </c>
      <c r="M930">
        <v>3</v>
      </c>
      <c r="N930">
        <v>0.88</v>
      </c>
      <c r="O930" t="s">
        <v>3334</v>
      </c>
      <c r="P930">
        <v>71.38</v>
      </c>
      <c r="Q930">
        <v>7</v>
      </c>
      <c r="R930" t="s">
        <v>3478</v>
      </c>
      <c r="T930" t="s">
        <v>3402</v>
      </c>
      <c r="U930">
        <v>4</v>
      </c>
      <c r="V930" t="s">
        <v>3469</v>
      </c>
    </row>
    <row r="931" spans="1:22" ht="12.75" customHeight="1" x14ac:dyDescent="0.15">
      <c r="A931">
        <v>17</v>
      </c>
      <c r="B931">
        <v>2026</v>
      </c>
      <c r="C931" s="21">
        <v>46136</v>
      </c>
      <c r="D931" t="s">
        <v>91</v>
      </c>
      <c r="E931" t="s">
        <v>92</v>
      </c>
      <c r="F931" t="s">
        <v>21</v>
      </c>
      <c r="G931">
        <v>1.3</v>
      </c>
      <c r="H931" t="s">
        <v>3605</v>
      </c>
      <c r="I931" t="s">
        <v>335</v>
      </c>
      <c r="J931" s="1" t="s">
        <v>3533</v>
      </c>
      <c r="K931" t="s">
        <v>181</v>
      </c>
      <c r="L931" t="s">
        <v>3333</v>
      </c>
      <c r="M931">
        <v>3</v>
      </c>
      <c r="N931">
        <v>0.13</v>
      </c>
      <c r="O931" t="s">
        <v>3334</v>
      </c>
      <c r="P931">
        <v>10.199999999999999</v>
      </c>
      <c r="Q931">
        <v>1</v>
      </c>
      <c r="R931" t="s">
        <v>3478</v>
      </c>
      <c r="T931" t="s">
        <v>3402</v>
      </c>
      <c r="U931">
        <v>6</v>
      </c>
      <c r="V931" t="s">
        <v>3794</v>
      </c>
    </row>
    <row r="932" spans="1:22" ht="12.75" customHeight="1" x14ac:dyDescent="0.15">
      <c r="A932">
        <v>17</v>
      </c>
      <c r="B932">
        <v>2026</v>
      </c>
      <c r="C932" s="21">
        <v>46136</v>
      </c>
      <c r="D932" t="s">
        <v>84</v>
      </c>
      <c r="E932" t="s">
        <v>85</v>
      </c>
      <c r="F932" t="s">
        <v>21</v>
      </c>
      <c r="G932">
        <v>2</v>
      </c>
      <c r="H932" t="s">
        <v>3803</v>
      </c>
      <c r="I932" t="s">
        <v>3676</v>
      </c>
      <c r="J932" s="1" t="s">
        <v>3533</v>
      </c>
      <c r="K932" t="s">
        <v>181</v>
      </c>
      <c r="L932" t="s">
        <v>3340</v>
      </c>
      <c r="M932">
        <v>3</v>
      </c>
      <c r="N932">
        <v>0.25</v>
      </c>
      <c r="O932" t="s">
        <v>211</v>
      </c>
      <c r="P932">
        <v>13.5</v>
      </c>
      <c r="Q932">
        <v>1.5</v>
      </c>
      <c r="R932" t="s">
        <v>3478</v>
      </c>
      <c r="T932" t="s">
        <v>3402</v>
      </c>
      <c r="U932">
        <v>4</v>
      </c>
      <c r="V932" t="s">
        <v>3818</v>
      </c>
    </row>
    <row r="933" spans="1:22" ht="12.75" customHeight="1" x14ac:dyDescent="0.15">
      <c r="A933">
        <v>17</v>
      </c>
      <c r="B933">
        <v>2026</v>
      </c>
      <c r="C933" s="21">
        <v>46136</v>
      </c>
      <c r="D933" t="s">
        <v>84</v>
      </c>
      <c r="E933" t="s">
        <v>85</v>
      </c>
      <c r="F933" t="s">
        <v>21</v>
      </c>
      <c r="G933">
        <v>2</v>
      </c>
      <c r="H933" t="s">
        <v>3803</v>
      </c>
      <c r="I933" t="s">
        <v>3676</v>
      </c>
      <c r="J933" s="1" t="s">
        <v>3533</v>
      </c>
      <c r="K933" t="s">
        <v>181</v>
      </c>
      <c r="L933" t="s">
        <v>3333</v>
      </c>
      <c r="M933">
        <v>4</v>
      </c>
      <c r="N933">
        <v>1</v>
      </c>
      <c r="O933" t="s">
        <v>3334</v>
      </c>
      <c r="P933">
        <v>81.58</v>
      </c>
      <c r="Q933">
        <v>8</v>
      </c>
      <c r="R933" t="s">
        <v>3773</v>
      </c>
      <c r="T933" t="s">
        <v>3402</v>
      </c>
      <c r="U933">
        <v>4</v>
      </c>
      <c r="V933" t="s">
        <v>3456</v>
      </c>
    </row>
    <row r="934" spans="1:22" ht="12.75" customHeight="1" x14ac:dyDescent="0.15">
      <c r="A934">
        <v>17</v>
      </c>
      <c r="B934">
        <v>2026</v>
      </c>
      <c r="C934" s="21">
        <v>46136</v>
      </c>
      <c r="D934" t="s">
        <v>84</v>
      </c>
      <c r="E934" t="s">
        <v>85</v>
      </c>
      <c r="F934" t="s">
        <v>21</v>
      </c>
      <c r="G934">
        <v>2</v>
      </c>
      <c r="H934" t="s">
        <v>3803</v>
      </c>
      <c r="I934" t="s">
        <v>3676</v>
      </c>
      <c r="J934" s="1" t="s">
        <v>3533</v>
      </c>
      <c r="K934" t="s">
        <v>181</v>
      </c>
      <c r="L934" t="s">
        <v>3333</v>
      </c>
      <c r="M934">
        <v>86</v>
      </c>
      <c r="N934">
        <v>0.5</v>
      </c>
      <c r="O934" t="s">
        <v>3334</v>
      </c>
      <c r="P934">
        <v>40.79</v>
      </c>
      <c r="Q934">
        <v>4</v>
      </c>
      <c r="R934" t="s">
        <v>3386</v>
      </c>
      <c r="T934" t="s">
        <v>3402</v>
      </c>
      <c r="U934">
        <v>4</v>
      </c>
      <c r="V934" t="s">
        <v>3474</v>
      </c>
    </row>
    <row r="935" spans="1:22" ht="12.75" customHeight="1" x14ac:dyDescent="0.15">
      <c r="A935">
        <v>17</v>
      </c>
      <c r="B935">
        <v>2026</v>
      </c>
      <c r="C935" s="21">
        <v>46136</v>
      </c>
      <c r="D935" t="s">
        <v>84</v>
      </c>
      <c r="E935" t="s">
        <v>85</v>
      </c>
      <c r="F935" t="s">
        <v>21</v>
      </c>
      <c r="G935">
        <v>2</v>
      </c>
      <c r="H935" t="s">
        <v>3495</v>
      </c>
      <c r="I935" t="s">
        <v>29</v>
      </c>
      <c r="J935" s="1" t="s">
        <v>30</v>
      </c>
      <c r="K935" t="s">
        <v>3705</v>
      </c>
      <c r="L935" t="s">
        <v>3333</v>
      </c>
      <c r="M935">
        <v>86</v>
      </c>
      <c r="N935">
        <v>0</v>
      </c>
      <c r="O935" t="s">
        <v>3334</v>
      </c>
      <c r="P935">
        <v>20.399999999999999</v>
      </c>
      <c r="Q935">
        <v>2</v>
      </c>
      <c r="R935" t="s">
        <v>3386</v>
      </c>
      <c r="T935" t="s">
        <v>3402</v>
      </c>
      <c r="U935">
        <v>4</v>
      </c>
      <c r="V935" t="s">
        <v>3472</v>
      </c>
    </row>
    <row r="936" spans="1:22" ht="12.75" customHeight="1" x14ac:dyDescent="0.15">
      <c r="A936">
        <v>17</v>
      </c>
      <c r="B936">
        <v>2026</v>
      </c>
      <c r="C936" s="21">
        <v>46136</v>
      </c>
      <c r="D936" t="s">
        <v>139</v>
      </c>
      <c r="E936" t="s">
        <v>140</v>
      </c>
      <c r="F936" t="s">
        <v>75</v>
      </c>
      <c r="G936">
        <v>0.8</v>
      </c>
      <c r="H936" t="s">
        <v>3567</v>
      </c>
      <c r="I936" t="s">
        <v>321</v>
      </c>
      <c r="J936" s="1" t="s">
        <v>26</v>
      </c>
      <c r="K936" t="s">
        <v>181</v>
      </c>
      <c r="L936" t="s">
        <v>3333</v>
      </c>
      <c r="M936">
        <v>86</v>
      </c>
      <c r="N936">
        <v>0.13</v>
      </c>
      <c r="O936" t="s">
        <v>3334</v>
      </c>
      <c r="P936" s="1">
        <v>10.199999999999999</v>
      </c>
      <c r="Q936">
        <v>1</v>
      </c>
      <c r="R936" t="s">
        <v>3386</v>
      </c>
      <c r="T936" t="s">
        <v>3402</v>
      </c>
      <c r="U936">
        <v>-32</v>
      </c>
      <c r="V936" t="s">
        <v>3581</v>
      </c>
    </row>
    <row r="937" spans="1:22" ht="12.75" customHeight="1" x14ac:dyDescent="0.15">
      <c r="A937">
        <v>17</v>
      </c>
      <c r="B937">
        <v>2026</v>
      </c>
      <c r="C937" s="21">
        <v>46136</v>
      </c>
      <c r="D937" t="s">
        <v>139</v>
      </c>
      <c r="E937" t="s">
        <v>140</v>
      </c>
      <c r="F937" t="s">
        <v>75</v>
      </c>
      <c r="G937">
        <v>0.8</v>
      </c>
      <c r="H937" t="s">
        <v>3567</v>
      </c>
      <c r="I937" t="s">
        <v>321</v>
      </c>
      <c r="J937" s="1" t="s">
        <v>26</v>
      </c>
      <c r="K937" t="s">
        <v>181</v>
      </c>
      <c r="L937" t="s">
        <v>3333</v>
      </c>
      <c r="M937">
        <v>11</v>
      </c>
      <c r="N937">
        <v>0.63</v>
      </c>
      <c r="O937" t="s">
        <v>213</v>
      </c>
      <c r="P937" s="1">
        <v>56.25</v>
      </c>
      <c r="Q937">
        <v>5</v>
      </c>
      <c r="R937" t="s">
        <v>3564</v>
      </c>
      <c r="T937" t="s">
        <v>3402</v>
      </c>
      <c r="U937">
        <v>-32</v>
      </c>
      <c r="V937" t="s">
        <v>3819</v>
      </c>
    </row>
    <row r="938" spans="1:22" ht="12.75" customHeight="1" x14ac:dyDescent="0.15">
      <c r="A938">
        <v>17</v>
      </c>
      <c r="B938">
        <v>2026</v>
      </c>
      <c r="C938" s="21">
        <v>46136</v>
      </c>
      <c r="D938" t="s">
        <v>80</v>
      </c>
      <c r="E938" t="s">
        <v>81</v>
      </c>
      <c r="F938" t="s">
        <v>21</v>
      </c>
      <c r="G938">
        <v>2.2999999999999998</v>
      </c>
      <c r="H938" t="s">
        <v>3820</v>
      </c>
      <c r="I938" t="s">
        <v>3821</v>
      </c>
      <c r="J938" s="1" t="s">
        <v>207</v>
      </c>
      <c r="K938" t="s">
        <v>181</v>
      </c>
      <c r="L938" t="s">
        <v>3333</v>
      </c>
      <c r="M938">
        <v>80</v>
      </c>
      <c r="N938">
        <v>1</v>
      </c>
      <c r="O938" t="s">
        <v>213</v>
      </c>
      <c r="P938">
        <v>90</v>
      </c>
      <c r="Q938">
        <v>8</v>
      </c>
      <c r="R938" t="s">
        <v>3560</v>
      </c>
      <c r="T938" t="s">
        <v>3402</v>
      </c>
      <c r="U938">
        <v>22</v>
      </c>
      <c r="V938" t="s">
        <v>3822</v>
      </c>
    </row>
    <row r="939" spans="1:22" ht="12.75" customHeight="1" x14ac:dyDescent="0.15">
      <c r="A939">
        <v>17</v>
      </c>
      <c r="B939">
        <v>2026</v>
      </c>
      <c r="C939" s="21">
        <v>46137</v>
      </c>
      <c r="D939" t="s">
        <v>80</v>
      </c>
      <c r="E939" t="s">
        <v>81</v>
      </c>
      <c r="F939" t="s">
        <v>21</v>
      </c>
      <c r="G939">
        <v>2.2999999999999998</v>
      </c>
      <c r="H939" t="s">
        <v>3514</v>
      </c>
      <c r="I939" t="s">
        <v>366</v>
      </c>
      <c r="J939" s="1" t="s">
        <v>215</v>
      </c>
      <c r="K939" t="s">
        <v>181</v>
      </c>
      <c r="L939" t="s">
        <v>3340</v>
      </c>
      <c r="M939">
        <v>45</v>
      </c>
      <c r="N939">
        <v>0.76</v>
      </c>
      <c r="O939" t="s">
        <v>211</v>
      </c>
      <c r="P939">
        <v>42</v>
      </c>
      <c r="R939" t="s">
        <v>3377</v>
      </c>
      <c r="S939" t="s">
        <v>3579</v>
      </c>
      <c r="T939" t="s">
        <v>3337</v>
      </c>
      <c r="U939">
        <v>23</v>
      </c>
      <c r="V939" t="s">
        <v>3823</v>
      </c>
    </row>
    <row r="940" spans="1:22" ht="12.75" customHeight="1" x14ac:dyDescent="0.15">
      <c r="A940">
        <v>17</v>
      </c>
      <c r="B940">
        <v>2026</v>
      </c>
      <c r="C940" s="21">
        <v>46137</v>
      </c>
      <c r="D940" t="s">
        <v>80</v>
      </c>
      <c r="E940" t="s">
        <v>81</v>
      </c>
      <c r="F940" t="s">
        <v>21</v>
      </c>
      <c r="G940">
        <v>2.2999999999999998</v>
      </c>
      <c r="H940" t="s">
        <v>3514</v>
      </c>
      <c r="I940" t="s">
        <v>366</v>
      </c>
      <c r="J940" s="1" t="s">
        <v>215</v>
      </c>
      <c r="K940" t="s">
        <v>181</v>
      </c>
      <c r="L940" t="s">
        <v>3340</v>
      </c>
      <c r="M940">
        <v>81</v>
      </c>
      <c r="N940">
        <v>0.76</v>
      </c>
      <c r="O940" t="s">
        <v>211</v>
      </c>
      <c r="P940">
        <v>42</v>
      </c>
      <c r="R940" t="s">
        <v>3374</v>
      </c>
      <c r="T940" t="s">
        <v>3337</v>
      </c>
      <c r="U940">
        <v>23</v>
      </c>
      <c r="V940" t="s">
        <v>3823</v>
      </c>
    </row>
    <row r="941" spans="1:22" ht="12.75" customHeight="1" x14ac:dyDescent="0.15">
      <c r="A941">
        <v>17</v>
      </c>
      <c r="B941">
        <v>2026</v>
      </c>
      <c r="C941" s="21">
        <v>46137</v>
      </c>
      <c r="D941" t="s">
        <v>80</v>
      </c>
      <c r="E941" t="s">
        <v>81</v>
      </c>
      <c r="F941" t="s">
        <v>21</v>
      </c>
      <c r="G941">
        <v>2.2999999999999998</v>
      </c>
      <c r="H941" t="s">
        <v>3514</v>
      </c>
      <c r="I941" t="s">
        <v>366</v>
      </c>
      <c r="J941" s="1" t="s">
        <v>215</v>
      </c>
      <c r="K941" t="s">
        <v>181</v>
      </c>
      <c r="L941" t="s">
        <v>3340</v>
      </c>
      <c r="M941">
        <v>132</v>
      </c>
      <c r="N941">
        <v>0.76</v>
      </c>
      <c r="O941" t="s">
        <v>211</v>
      </c>
      <c r="P941">
        <v>42</v>
      </c>
      <c r="R941" t="s">
        <v>3368</v>
      </c>
      <c r="T941" t="s">
        <v>3337</v>
      </c>
      <c r="U941">
        <v>23</v>
      </c>
      <c r="V941" t="s">
        <v>3823</v>
      </c>
    </row>
    <row r="942" spans="1:22" ht="12.75" customHeight="1" x14ac:dyDescent="0.15">
      <c r="A942">
        <v>17</v>
      </c>
      <c r="B942">
        <v>2026</v>
      </c>
      <c r="C942" s="21">
        <v>46137</v>
      </c>
      <c r="D942" t="s">
        <v>80</v>
      </c>
      <c r="E942" t="s">
        <v>81</v>
      </c>
      <c r="F942" t="s">
        <v>21</v>
      </c>
      <c r="G942">
        <v>2.2999999999999998</v>
      </c>
      <c r="H942" t="s">
        <v>3514</v>
      </c>
      <c r="I942" t="s">
        <v>366</v>
      </c>
      <c r="J942" s="1" t="s">
        <v>215</v>
      </c>
      <c r="K942" t="s">
        <v>181</v>
      </c>
      <c r="L942" t="s">
        <v>3340</v>
      </c>
      <c r="M942">
        <v>62</v>
      </c>
      <c r="N942">
        <v>0.76</v>
      </c>
      <c r="O942" t="s">
        <v>211</v>
      </c>
      <c r="P942">
        <v>42</v>
      </c>
      <c r="R942" t="s">
        <v>3375</v>
      </c>
      <c r="T942" t="s">
        <v>3337</v>
      </c>
      <c r="U942">
        <v>23</v>
      </c>
      <c r="V942" t="s">
        <v>3823</v>
      </c>
    </row>
    <row r="943" spans="1:22" ht="12.75" customHeight="1" x14ac:dyDescent="0.15">
      <c r="A943">
        <v>17</v>
      </c>
      <c r="B943">
        <v>2026</v>
      </c>
      <c r="C943" s="21">
        <v>46137</v>
      </c>
      <c r="D943" t="s">
        <v>80</v>
      </c>
      <c r="E943" t="s">
        <v>81</v>
      </c>
      <c r="F943" t="s">
        <v>21</v>
      </c>
      <c r="G943">
        <v>2.2999999999999998</v>
      </c>
      <c r="H943" t="s">
        <v>3514</v>
      </c>
      <c r="I943" t="s">
        <v>366</v>
      </c>
      <c r="J943" s="1" t="s">
        <v>215</v>
      </c>
      <c r="K943" t="s">
        <v>181</v>
      </c>
      <c r="L943" t="s">
        <v>3340</v>
      </c>
      <c r="M943">
        <v>58</v>
      </c>
      <c r="N943">
        <v>0.76</v>
      </c>
      <c r="O943" t="s">
        <v>211</v>
      </c>
      <c r="P943">
        <v>42</v>
      </c>
      <c r="R943" t="s">
        <v>3343</v>
      </c>
      <c r="T943" t="s">
        <v>3337</v>
      </c>
      <c r="U943">
        <v>23</v>
      </c>
      <c r="V943" t="s">
        <v>3823</v>
      </c>
    </row>
    <row r="944" spans="1:22" ht="12.75" customHeight="1" x14ac:dyDescent="0.15">
      <c r="A944">
        <v>17</v>
      </c>
      <c r="B944">
        <v>2026</v>
      </c>
      <c r="C944" s="21">
        <v>46137</v>
      </c>
      <c r="D944" t="s">
        <v>68</v>
      </c>
      <c r="E944" t="s">
        <v>69</v>
      </c>
      <c r="F944" t="s">
        <v>21</v>
      </c>
      <c r="G944">
        <v>1</v>
      </c>
      <c r="H944" t="s">
        <v>3514</v>
      </c>
      <c r="I944" t="s">
        <v>366</v>
      </c>
      <c r="J944" s="1" t="s">
        <v>215</v>
      </c>
      <c r="K944" t="s">
        <v>181</v>
      </c>
      <c r="L944" t="s">
        <v>3340</v>
      </c>
      <c r="M944">
        <v>45</v>
      </c>
      <c r="N944">
        <v>0.38</v>
      </c>
      <c r="O944" t="s">
        <v>211</v>
      </c>
      <c r="P944">
        <v>21</v>
      </c>
      <c r="R944" t="s">
        <v>3377</v>
      </c>
      <c r="S944" t="s">
        <v>3710</v>
      </c>
      <c r="T944" t="s">
        <v>3337</v>
      </c>
      <c r="U944">
        <v>23</v>
      </c>
      <c r="V944" t="s">
        <v>3678</v>
      </c>
    </row>
    <row r="945" spans="1:22" ht="12.75" customHeight="1" x14ac:dyDescent="0.15">
      <c r="A945">
        <v>17</v>
      </c>
      <c r="B945">
        <v>2026</v>
      </c>
      <c r="C945" s="21">
        <v>46137</v>
      </c>
      <c r="D945" t="s">
        <v>68</v>
      </c>
      <c r="E945" t="s">
        <v>69</v>
      </c>
      <c r="F945" t="s">
        <v>21</v>
      </c>
      <c r="G945">
        <v>1</v>
      </c>
      <c r="H945" t="s">
        <v>3514</v>
      </c>
      <c r="I945" t="s">
        <v>366</v>
      </c>
      <c r="J945" s="1" t="s">
        <v>215</v>
      </c>
      <c r="K945" t="s">
        <v>181</v>
      </c>
      <c r="L945" t="s">
        <v>3340</v>
      </c>
      <c r="M945">
        <v>81</v>
      </c>
      <c r="N945">
        <v>0.38</v>
      </c>
      <c r="O945" t="s">
        <v>211</v>
      </c>
      <c r="P945">
        <v>21</v>
      </c>
      <c r="R945" t="s">
        <v>3374</v>
      </c>
      <c r="T945" t="s">
        <v>3337</v>
      </c>
      <c r="U945">
        <v>23</v>
      </c>
      <c r="V945" t="s">
        <v>3678</v>
      </c>
    </row>
    <row r="946" spans="1:22" ht="12.75" customHeight="1" x14ac:dyDescent="0.15">
      <c r="A946">
        <v>17</v>
      </c>
      <c r="B946">
        <v>2026</v>
      </c>
      <c r="C946" s="21">
        <v>46137</v>
      </c>
      <c r="D946" t="s">
        <v>68</v>
      </c>
      <c r="E946" t="s">
        <v>69</v>
      </c>
      <c r="F946" t="s">
        <v>21</v>
      </c>
      <c r="G946">
        <v>1</v>
      </c>
      <c r="H946" t="s">
        <v>3514</v>
      </c>
      <c r="I946" t="s">
        <v>366</v>
      </c>
      <c r="J946" s="1" t="s">
        <v>215</v>
      </c>
      <c r="K946" t="s">
        <v>181</v>
      </c>
      <c r="L946" t="s">
        <v>3340</v>
      </c>
      <c r="M946">
        <v>132</v>
      </c>
      <c r="N946">
        <v>0.38</v>
      </c>
      <c r="O946" t="s">
        <v>211</v>
      </c>
      <c r="P946">
        <v>21</v>
      </c>
      <c r="R946" t="s">
        <v>3368</v>
      </c>
      <c r="T946" t="s">
        <v>3337</v>
      </c>
      <c r="U946">
        <v>23</v>
      </c>
      <c r="V946" t="s">
        <v>3678</v>
      </c>
    </row>
    <row r="947" spans="1:22" ht="12.75" customHeight="1" x14ac:dyDescent="0.15">
      <c r="A947">
        <v>17</v>
      </c>
      <c r="B947">
        <v>2026</v>
      </c>
      <c r="C947" s="21">
        <v>46137</v>
      </c>
      <c r="D947" t="s">
        <v>68</v>
      </c>
      <c r="E947" t="s">
        <v>69</v>
      </c>
      <c r="F947" t="s">
        <v>21</v>
      </c>
      <c r="G947">
        <v>1</v>
      </c>
      <c r="H947" t="s">
        <v>3514</v>
      </c>
      <c r="I947" t="s">
        <v>366</v>
      </c>
      <c r="J947" s="1" t="s">
        <v>215</v>
      </c>
      <c r="K947" t="s">
        <v>181</v>
      </c>
      <c r="L947" t="s">
        <v>3340</v>
      </c>
      <c r="M947">
        <v>62</v>
      </c>
      <c r="N947">
        <v>0.38</v>
      </c>
      <c r="O947" t="s">
        <v>211</v>
      </c>
      <c r="P947">
        <v>21</v>
      </c>
      <c r="R947" t="s">
        <v>3375</v>
      </c>
      <c r="T947" t="s">
        <v>3337</v>
      </c>
      <c r="U947">
        <v>23</v>
      </c>
      <c r="V947" t="s">
        <v>3678</v>
      </c>
    </row>
    <row r="948" spans="1:22" ht="12.75" customHeight="1" x14ac:dyDescent="0.15">
      <c r="A948">
        <v>17</v>
      </c>
      <c r="B948">
        <v>2026</v>
      </c>
      <c r="C948" s="21">
        <v>46137</v>
      </c>
      <c r="D948" t="s">
        <v>68</v>
      </c>
      <c r="E948" t="s">
        <v>69</v>
      </c>
      <c r="F948" t="s">
        <v>21</v>
      </c>
      <c r="G948">
        <v>1</v>
      </c>
      <c r="H948" t="s">
        <v>3514</v>
      </c>
      <c r="I948" t="s">
        <v>366</v>
      </c>
      <c r="J948" s="1" t="s">
        <v>215</v>
      </c>
      <c r="K948" t="s">
        <v>181</v>
      </c>
      <c r="L948" t="s">
        <v>3340</v>
      </c>
      <c r="M948">
        <v>58</v>
      </c>
      <c r="N948">
        <v>0.38</v>
      </c>
      <c r="O948" t="s">
        <v>211</v>
      </c>
      <c r="P948">
        <v>21</v>
      </c>
      <c r="R948" t="s">
        <v>3343</v>
      </c>
      <c r="T948" t="s">
        <v>3337</v>
      </c>
      <c r="U948">
        <v>23</v>
      </c>
      <c r="V948" t="s">
        <v>3678</v>
      </c>
    </row>
    <row r="949" spans="1:22" ht="12.75" customHeight="1" x14ac:dyDescent="0.15">
      <c r="A949">
        <v>17</v>
      </c>
      <c r="B949">
        <v>2026</v>
      </c>
      <c r="C949" s="21">
        <v>46137</v>
      </c>
      <c r="D949" t="s">
        <v>73</v>
      </c>
      <c r="E949" t="s">
        <v>74</v>
      </c>
      <c r="F949" t="s">
        <v>75</v>
      </c>
      <c r="G949">
        <v>2.2999999999999998</v>
      </c>
      <c r="H949" t="s">
        <v>3519</v>
      </c>
      <c r="I949" t="s">
        <v>214</v>
      </c>
      <c r="J949" s="1" t="s">
        <v>215</v>
      </c>
      <c r="K949" t="s">
        <v>181</v>
      </c>
      <c r="L949" t="s">
        <v>3340</v>
      </c>
      <c r="M949">
        <v>45</v>
      </c>
      <c r="N949">
        <v>0.36</v>
      </c>
      <c r="O949" t="s">
        <v>211</v>
      </c>
      <c r="P949">
        <v>20</v>
      </c>
      <c r="R949" t="s">
        <v>3377</v>
      </c>
      <c r="S949" t="s">
        <v>3556</v>
      </c>
      <c r="T949" t="s">
        <v>3337</v>
      </c>
      <c r="U949">
        <v>7</v>
      </c>
      <c r="V949" t="s">
        <v>3824</v>
      </c>
    </row>
    <row r="950" spans="1:22" ht="12.75" customHeight="1" x14ac:dyDescent="0.15">
      <c r="A950">
        <v>17</v>
      </c>
      <c r="B950">
        <v>2026</v>
      </c>
      <c r="C950" s="21">
        <v>46137</v>
      </c>
      <c r="D950" t="s">
        <v>73</v>
      </c>
      <c r="E950" t="s">
        <v>74</v>
      </c>
      <c r="F950" t="s">
        <v>75</v>
      </c>
      <c r="G950">
        <v>2.2999999999999998</v>
      </c>
      <c r="H950" t="s">
        <v>3519</v>
      </c>
      <c r="I950" t="s">
        <v>214</v>
      </c>
      <c r="J950" s="1" t="s">
        <v>215</v>
      </c>
      <c r="K950" t="s">
        <v>181</v>
      </c>
      <c r="L950" t="s">
        <v>3340</v>
      </c>
      <c r="M950">
        <v>81</v>
      </c>
      <c r="N950">
        <v>0.36</v>
      </c>
      <c r="O950" t="s">
        <v>211</v>
      </c>
      <c r="P950">
        <v>20</v>
      </c>
      <c r="R950" t="s">
        <v>3374</v>
      </c>
      <c r="T950" t="s">
        <v>3337</v>
      </c>
      <c r="U950">
        <v>7</v>
      </c>
      <c r="V950" t="s">
        <v>3824</v>
      </c>
    </row>
    <row r="951" spans="1:22" ht="12.75" customHeight="1" x14ac:dyDescent="0.15">
      <c r="A951">
        <v>17</v>
      </c>
      <c r="B951">
        <v>2026</v>
      </c>
      <c r="C951" s="21">
        <v>46137</v>
      </c>
      <c r="D951" t="s">
        <v>73</v>
      </c>
      <c r="E951" t="s">
        <v>74</v>
      </c>
      <c r="F951" t="s">
        <v>75</v>
      </c>
      <c r="G951">
        <v>2.2999999999999998</v>
      </c>
      <c r="H951" t="s">
        <v>3519</v>
      </c>
      <c r="I951" t="s">
        <v>214</v>
      </c>
      <c r="J951" s="1" t="s">
        <v>215</v>
      </c>
      <c r="K951" t="s">
        <v>181</v>
      </c>
      <c r="L951" t="s">
        <v>3340</v>
      </c>
      <c r="M951">
        <v>132</v>
      </c>
      <c r="N951">
        <v>0.36</v>
      </c>
      <c r="O951" t="s">
        <v>211</v>
      </c>
      <c r="P951">
        <v>20</v>
      </c>
      <c r="R951" t="s">
        <v>3368</v>
      </c>
      <c r="T951" t="s">
        <v>3337</v>
      </c>
      <c r="U951">
        <v>7</v>
      </c>
      <c r="V951" t="s">
        <v>3824</v>
      </c>
    </row>
    <row r="952" spans="1:22" ht="12.75" customHeight="1" x14ac:dyDescent="0.15">
      <c r="A952">
        <v>17</v>
      </c>
      <c r="B952">
        <v>2026</v>
      </c>
      <c r="C952" s="21">
        <v>46137</v>
      </c>
      <c r="D952" t="s">
        <v>73</v>
      </c>
      <c r="E952" t="s">
        <v>74</v>
      </c>
      <c r="F952" t="s">
        <v>75</v>
      </c>
      <c r="G952">
        <v>2.2999999999999998</v>
      </c>
      <c r="H952" t="s">
        <v>3519</v>
      </c>
      <c r="I952" t="s">
        <v>214</v>
      </c>
      <c r="J952" s="1" t="s">
        <v>215</v>
      </c>
      <c r="K952" t="s">
        <v>181</v>
      </c>
      <c r="L952" t="s">
        <v>3340</v>
      </c>
      <c r="M952">
        <v>62</v>
      </c>
      <c r="N952">
        <v>0.36</v>
      </c>
      <c r="O952" t="s">
        <v>211</v>
      </c>
      <c r="P952">
        <v>20</v>
      </c>
      <c r="R952" t="s">
        <v>3375</v>
      </c>
      <c r="T952" t="s">
        <v>3337</v>
      </c>
      <c r="U952">
        <v>7</v>
      </c>
      <c r="V952" t="s">
        <v>3824</v>
      </c>
    </row>
    <row r="953" spans="1:22" ht="12.75" customHeight="1" x14ac:dyDescent="0.15">
      <c r="A953">
        <v>17</v>
      </c>
      <c r="B953">
        <v>2026</v>
      </c>
      <c r="C953" s="21">
        <v>46137</v>
      </c>
      <c r="D953" t="s">
        <v>73</v>
      </c>
      <c r="E953" t="s">
        <v>74</v>
      </c>
      <c r="F953" t="s">
        <v>75</v>
      </c>
      <c r="G953">
        <v>2.2999999999999998</v>
      </c>
      <c r="H953" t="s">
        <v>3519</v>
      </c>
      <c r="I953" t="s">
        <v>214</v>
      </c>
      <c r="J953" s="1" t="s">
        <v>215</v>
      </c>
      <c r="K953" t="s">
        <v>181</v>
      </c>
      <c r="L953" t="s">
        <v>3340</v>
      </c>
      <c r="M953">
        <v>58</v>
      </c>
      <c r="N953">
        <v>0.36</v>
      </c>
      <c r="O953" t="s">
        <v>211</v>
      </c>
      <c r="P953">
        <v>20</v>
      </c>
      <c r="R953" t="s">
        <v>3343</v>
      </c>
      <c r="T953" t="s">
        <v>3337</v>
      </c>
      <c r="U953">
        <v>7</v>
      </c>
      <c r="V953" t="s">
        <v>3824</v>
      </c>
    </row>
    <row r="954" spans="1:22" ht="12.75" customHeight="1" x14ac:dyDescent="0.15">
      <c r="A954">
        <v>17</v>
      </c>
      <c r="B954">
        <v>2026</v>
      </c>
      <c r="C954" s="21">
        <v>46137</v>
      </c>
      <c r="D954" t="s">
        <v>47</v>
      </c>
      <c r="E954" t="s">
        <v>48</v>
      </c>
      <c r="F954" t="s">
        <v>21</v>
      </c>
      <c r="G954">
        <v>2</v>
      </c>
      <c r="H954" t="s">
        <v>3514</v>
      </c>
      <c r="I954" t="s">
        <v>366</v>
      </c>
      <c r="J954" s="1" t="s">
        <v>215</v>
      </c>
      <c r="K954" t="s">
        <v>181</v>
      </c>
      <c r="L954" t="s">
        <v>3340</v>
      </c>
      <c r="M954">
        <v>45</v>
      </c>
      <c r="N954">
        <v>1.02</v>
      </c>
      <c r="O954" t="s">
        <v>211</v>
      </c>
      <c r="P954">
        <v>56</v>
      </c>
      <c r="R954" t="s">
        <v>3377</v>
      </c>
      <c r="S954" t="s">
        <v>3515</v>
      </c>
      <c r="T954" t="s">
        <v>3337</v>
      </c>
      <c r="U954">
        <v>65</v>
      </c>
      <c r="V954" t="s">
        <v>3825</v>
      </c>
    </row>
    <row r="955" spans="1:22" ht="12.75" customHeight="1" x14ac:dyDescent="0.15">
      <c r="A955">
        <v>17</v>
      </c>
      <c r="B955">
        <v>2026</v>
      </c>
      <c r="C955" s="21">
        <v>46137</v>
      </c>
      <c r="D955" t="s">
        <v>47</v>
      </c>
      <c r="E955" t="s">
        <v>48</v>
      </c>
      <c r="F955" t="s">
        <v>21</v>
      </c>
      <c r="G955">
        <v>2</v>
      </c>
      <c r="H955" t="s">
        <v>3514</v>
      </c>
      <c r="I955" t="s">
        <v>366</v>
      </c>
      <c r="J955" s="1" t="s">
        <v>215</v>
      </c>
      <c r="K955" t="s">
        <v>181</v>
      </c>
      <c r="L955" t="s">
        <v>3340</v>
      </c>
      <c r="M955">
        <v>81</v>
      </c>
      <c r="N955">
        <v>1.02</v>
      </c>
      <c r="O955" t="s">
        <v>211</v>
      </c>
      <c r="P955">
        <v>56</v>
      </c>
      <c r="R955" t="s">
        <v>3374</v>
      </c>
      <c r="T955" t="s">
        <v>3337</v>
      </c>
      <c r="U955">
        <v>65</v>
      </c>
      <c r="V955" t="s">
        <v>3825</v>
      </c>
    </row>
    <row r="956" spans="1:22" ht="12.75" customHeight="1" x14ac:dyDescent="0.15">
      <c r="A956">
        <v>17</v>
      </c>
      <c r="B956">
        <v>2026</v>
      </c>
      <c r="C956" s="21">
        <v>46137</v>
      </c>
      <c r="D956" t="s">
        <v>47</v>
      </c>
      <c r="E956" t="s">
        <v>48</v>
      </c>
      <c r="F956" t="s">
        <v>21</v>
      </c>
      <c r="G956">
        <v>2</v>
      </c>
      <c r="H956" t="s">
        <v>3514</v>
      </c>
      <c r="I956" t="s">
        <v>366</v>
      </c>
      <c r="J956" s="1" t="s">
        <v>215</v>
      </c>
      <c r="K956" t="s">
        <v>181</v>
      </c>
      <c r="L956" t="s">
        <v>3340</v>
      </c>
      <c r="M956">
        <v>132</v>
      </c>
      <c r="N956">
        <v>1.02</v>
      </c>
      <c r="O956" t="s">
        <v>211</v>
      </c>
      <c r="P956">
        <v>56</v>
      </c>
      <c r="R956" t="s">
        <v>3368</v>
      </c>
      <c r="T956" t="s">
        <v>3337</v>
      </c>
      <c r="U956">
        <v>65</v>
      </c>
      <c r="V956" t="s">
        <v>3825</v>
      </c>
    </row>
    <row r="957" spans="1:22" ht="12.75" customHeight="1" x14ac:dyDescent="0.15">
      <c r="A957">
        <v>17</v>
      </c>
      <c r="B957">
        <v>2026</v>
      </c>
      <c r="C957" s="21">
        <v>46137</v>
      </c>
      <c r="D957" t="s">
        <v>47</v>
      </c>
      <c r="E957" t="s">
        <v>48</v>
      </c>
      <c r="F957" t="s">
        <v>21</v>
      </c>
      <c r="G957">
        <v>2</v>
      </c>
      <c r="H957" t="s">
        <v>3514</v>
      </c>
      <c r="I957" t="s">
        <v>366</v>
      </c>
      <c r="J957" s="1" t="s">
        <v>215</v>
      </c>
      <c r="K957" t="s">
        <v>181</v>
      </c>
      <c r="L957" t="s">
        <v>3340</v>
      </c>
      <c r="M957">
        <v>62</v>
      </c>
      <c r="N957">
        <v>1.02</v>
      </c>
      <c r="O957" t="s">
        <v>211</v>
      </c>
      <c r="P957">
        <v>56</v>
      </c>
      <c r="R957" t="s">
        <v>3375</v>
      </c>
      <c r="T957" t="s">
        <v>3337</v>
      </c>
      <c r="U957">
        <v>65</v>
      </c>
      <c r="V957" t="s">
        <v>3825</v>
      </c>
    </row>
    <row r="958" spans="1:22" ht="12.75" customHeight="1" x14ac:dyDescent="0.15">
      <c r="A958">
        <v>17</v>
      </c>
      <c r="B958">
        <v>2026</v>
      </c>
      <c r="C958" s="21">
        <v>46137</v>
      </c>
      <c r="D958" t="s">
        <v>47</v>
      </c>
      <c r="E958" t="s">
        <v>48</v>
      </c>
      <c r="F958" t="s">
        <v>21</v>
      </c>
      <c r="G958">
        <v>2</v>
      </c>
      <c r="H958" t="s">
        <v>3514</v>
      </c>
      <c r="I958" t="s">
        <v>366</v>
      </c>
      <c r="J958" s="1" t="s">
        <v>215</v>
      </c>
      <c r="K958" t="s">
        <v>181</v>
      </c>
      <c r="L958" t="s">
        <v>3340</v>
      </c>
      <c r="M958">
        <v>58</v>
      </c>
      <c r="N958">
        <v>1.02</v>
      </c>
      <c r="O958" t="s">
        <v>211</v>
      </c>
      <c r="P958">
        <v>56</v>
      </c>
      <c r="R958" t="s">
        <v>3343</v>
      </c>
      <c r="T958" t="s">
        <v>3337</v>
      </c>
      <c r="U958">
        <v>65</v>
      </c>
      <c r="V958" t="s">
        <v>3825</v>
      </c>
    </row>
    <row r="959" spans="1:22" ht="12.75" customHeight="1" x14ac:dyDescent="0.15">
      <c r="A959">
        <v>17</v>
      </c>
      <c r="B959">
        <v>2026</v>
      </c>
      <c r="C959" s="21">
        <v>46137</v>
      </c>
      <c r="D959" t="s">
        <v>96</v>
      </c>
      <c r="E959" t="s">
        <v>97</v>
      </c>
      <c r="F959" t="s">
        <v>21</v>
      </c>
      <c r="G959">
        <v>4.5</v>
      </c>
      <c r="H959" t="s">
        <v>3453</v>
      </c>
      <c r="I959" t="s">
        <v>187</v>
      </c>
      <c r="J959" s="1" t="s">
        <v>188</v>
      </c>
      <c r="K959" t="s">
        <v>181</v>
      </c>
      <c r="L959" t="s">
        <v>3333</v>
      </c>
      <c r="M959">
        <v>1</v>
      </c>
      <c r="N959">
        <v>1</v>
      </c>
      <c r="O959" t="s">
        <v>3358</v>
      </c>
      <c r="P959">
        <v>71.86</v>
      </c>
      <c r="Q959">
        <v>8</v>
      </c>
      <c r="R959" t="s">
        <v>3359</v>
      </c>
      <c r="T959" t="s">
        <v>3337</v>
      </c>
      <c r="U959">
        <v>-6</v>
      </c>
      <c r="V959" t="s">
        <v>3817</v>
      </c>
    </row>
    <row r="960" spans="1:22" ht="12.75" customHeight="1" x14ac:dyDescent="0.15">
      <c r="A960">
        <v>17</v>
      </c>
      <c r="B960">
        <v>2026</v>
      </c>
      <c r="C960" s="21">
        <v>46137</v>
      </c>
      <c r="D960" t="s">
        <v>96</v>
      </c>
      <c r="E960" t="s">
        <v>97</v>
      </c>
      <c r="F960" t="s">
        <v>21</v>
      </c>
      <c r="G960">
        <v>4.5</v>
      </c>
      <c r="H960" t="s">
        <v>3453</v>
      </c>
      <c r="I960" t="s">
        <v>187</v>
      </c>
      <c r="J960" s="1" t="s">
        <v>188</v>
      </c>
      <c r="K960" t="s">
        <v>181</v>
      </c>
      <c r="L960" t="s">
        <v>3333</v>
      </c>
      <c r="M960">
        <v>6</v>
      </c>
      <c r="N960">
        <v>1</v>
      </c>
      <c r="O960" t="s">
        <v>3334</v>
      </c>
      <c r="P960">
        <v>81.58</v>
      </c>
      <c r="Q960">
        <v>8</v>
      </c>
      <c r="R960" t="s">
        <v>3335</v>
      </c>
      <c r="T960" t="s">
        <v>3337</v>
      </c>
      <c r="U960">
        <v>-6</v>
      </c>
      <c r="V960" t="s">
        <v>3826</v>
      </c>
    </row>
    <row r="961" spans="1:22" ht="12.75" customHeight="1" x14ac:dyDescent="0.15">
      <c r="A961">
        <v>17</v>
      </c>
      <c r="B961">
        <v>2026</v>
      </c>
      <c r="C961" s="21">
        <v>46137</v>
      </c>
      <c r="D961" t="s">
        <v>84</v>
      </c>
      <c r="E961" t="s">
        <v>85</v>
      </c>
      <c r="F961" t="s">
        <v>21</v>
      </c>
      <c r="G961">
        <v>2</v>
      </c>
      <c r="H961" t="s">
        <v>3803</v>
      </c>
      <c r="I961" t="s">
        <v>3676</v>
      </c>
      <c r="J961" s="1" t="s">
        <v>3533</v>
      </c>
      <c r="K961" t="s">
        <v>181</v>
      </c>
      <c r="L961" t="s">
        <v>3333</v>
      </c>
      <c r="M961">
        <v>3</v>
      </c>
      <c r="N961">
        <v>1</v>
      </c>
      <c r="O961" t="s">
        <v>3334</v>
      </c>
      <c r="P961">
        <v>81.58</v>
      </c>
      <c r="Q961">
        <v>8</v>
      </c>
      <c r="R961" t="s">
        <v>3478</v>
      </c>
      <c r="T961" t="s">
        <v>3402</v>
      </c>
      <c r="U961">
        <v>5</v>
      </c>
      <c r="V961" t="s">
        <v>3456</v>
      </c>
    </row>
    <row r="962" spans="1:22" ht="12.75" customHeight="1" x14ac:dyDescent="0.15">
      <c r="A962">
        <v>17</v>
      </c>
      <c r="B962">
        <v>2026</v>
      </c>
      <c r="C962" s="21">
        <v>46137</v>
      </c>
      <c r="D962" t="s">
        <v>84</v>
      </c>
      <c r="E962" t="s">
        <v>85</v>
      </c>
      <c r="F962" t="s">
        <v>21</v>
      </c>
      <c r="G962">
        <v>2</v>
      </c>
      <c r="H962" t="s">
        <v>3803</v>
      </c>
      <c r="I962" t="s">
        <v>3676</v>
      </c>
      <c r="J962" s="1" t="s">
        <v>3533</v>
      </c>
      <c r="K962" t="s">
        <v>181</v>
      </c>
      <c r="L962" t="s">
        <v>3333</v>
      </c>
      <c r="M962">
        <v>4</v>
      </c>
      <c r="N962">
        <v>1</v>
      </c>
      <c r="O962" t="s">
        <v>3334</v>
      </c>
      <c r="P962">
        <v>81.58</v>
      </c>
      <c r="Q962">
        <v>8</v>
      </c>
      <c r="R962" t="s">
        <v>3773</v>
      </c>
      <c r="T962" t="s">
        <v>3402</v>
      </c>
      <c r="U962">
        <v>5</v>
      </c>
      <c r="V962" t="s">
        <v>3456</v>
      </c>
    </row>
    <row r="963" spans="1:22" ht="12.75" customHeight="1" x14ac:dyDescent="0.15">
      <c r="A963">
        <v>17</v>
      </c>
      <c r="B963">
        <v>2026</v>
      </c>
      <c r="C963" s="21">
        <v>46137</v>
      </c>
      <c r="D963" t="s">
        <v>84</v>
      </c>
      <c r="E963" t="s">
        <v>85</v>
      </c>
      <c r="F963" t="s">
        <v>21</v>
      </c>
      <c r="G963">
        <v>2</v>
      </c>
      <c r="H963" t="s">
        <v>3803</v>
      </c>
      <c r="I963" t="s">
        <v>3676</v>
      </c>
      <c r="J963" s="1" t="s">
        <v>3533</v>
      </c>
      <c r="K963" t="s">
        <v>181</v>
      </c>
      <c r="L963" t="s">
        <v>3333</v>
      </c>
      <c r="M963">
        <v>86</v>
      </c>
      <c r="N963">
        <v>1</v>
      </c>
      <c r="O963" t="s">
        <v>3334</v>
      </c>
      <c r="P963">
        <v>81.58</v>
      </c>
      <c r="Q963">
        <v>8</v>
      </c>
      <c r="R963" t="s">
        <v>3386</v>
      </c>
      <c r="T963" t="s">
        <v>3402</v>
      </c>
      <c r="U963">
        <v>5</v>
      </c>
      <c r="V963" t="s">
        <v>3456</v>
      </c>
    </row>
    <row r="964" spans="1:22" ht="12.75" customHeight="1" x14ac:dyDescent="0.15">
      <c r="A964">
        <v>17</v>
      </c>
      <c r="B964">
        <v>2026</v>
      </c>
      <c r="C964" s="21">
        <v>46137</v>
      </c>
      <c r="D964" t="s">
        <v>80</v>
      </c>
      <c r="E964" t="s">
        <v>81</v>
      </c>
      <c r="F964" t="s">
        <v>21</v>
      </c>
      <c r="G964">
        <v>2.2999999999999998</v>
      </c>
      <c r="H964" t="s">
        <v>3653</v>
      </c>
      <c r="I964" t="s">
        <v>3566</v>
      </c>
      <c r="J964" s="1" t="s">
        <v>3389</v>
      </c>
      <c r="K964" t="s">
        <v>181</v>
      </c>
      <c r="L964" t="s">
        <v>3333</v>
      </c>
      <c r="M964">
        <v>80</v>
      </c>
      <c r="N964">
        <v>0.63</v>
      </c>
      <c r="O964" t="s">
        <v>213</v>
      </c>
      <c r="P964">
        <v>56.25</v>
      </c>
      <c r="Q964">
        <v>5</v>
      </c>
      <c r="R964" t="s">
        <v>3560</v>
      </c>
      <c r="T964" t="s">
        <v>3402</v>
      </c>
      <c r="U964">
        <v>23</v>
      </c>
      <c r="V964" t="s">
        <v>3827</v>
      </c>
    </row>
    <row r="965" spans="1:22" ht="12.75" customHeight="1" x14ac:dyDescent="0.15">
      <c r="A965">
        <v>17</v>
      </c>
      <c r="B965">
        <v>2026</v>
      </c>
      <c r="C965" s="21">
        <v>46139</v>
      </c>
      <c r="D965" t="s">
        <v>19</v>
      </c>
      <c r="E965" t="s">
        <v>20</v>
      </c>
      <c r="F965" t="s">
        <v>21</v>
      </c>
      <c r="G965">
        <v>3.8</v>
      </c>
      <c r="H965" t="s">
        <v>3408</v>
      </c>
      <c r="I965" t="s">
        <v>366</v>
      </c>
      <c r="J965" s="1" t="s">
        <v>215</v>
      </c>
      <c r="K965" t="s">
        <v>181</v>
      </c>
      <c r="L965" t="s">
        <v>3340</v>
      </c>
      <c r="M965">
        <v>132</v>
      </c>
      <c r="N965">
        <v>1.53</v>
      </c>
      <c r="O965" t="s">
        <v>211</v>
      </c>
      <c r="P965">
        <v>84</v>
      </c>
      <c r="R965" t="s">
        <v>3368</v>
      </c>
      <c r="S965" t="s">
        <v>3484</v>
      </c>
      <c r="T965" t="s">
        <v>3337</v>
      </c>
      <c r="U965">
        <v>139</v>
      </c>
      <c r="V965" t="s">
        <v>3828</v>
      </c>
    </row>
    <row r="966" spans="1:22" ht="12.75" customHeight="1" x14ac:dyDescent="0.15">
      <c r="A966">
        <v>17</v>
      </c>
      <c r="B966">
        <v>2026</v>
      </c>
      <c r="C966" s="21">
        <v>46139</v>
      </c>
      <c r="D966" t="s">
        <v>19</v>
      </c>
      <c r="E966" t="s">
        <v>20</v>
      </c>
      <c r="F966" t="s">
        <v>21</v>
      </c>
      <c r="G966">
        <v>3.8</v>
      </c>
      <c r="H966" t="s">
        <v>3408</v>
      </c>
      <c r="I966" t="s">
        <v>366</v>
      </c>
      <c r="J966" s="1" t="s">
        <v>215</v>
      </c>
      <c r="K966" t="s">
        <v>181</v>
      </c>
      <c r="L966" t="s">
        <v>3340</v>
      </c>
      <c r="M966">
        <v>45</v>
      </c>
      <c r="N966">
        <v>1.53</v>
      </c>
      <c r="O966" t="s">
        <v>211</v>
      </c>
      <c r="P966">
        <v>84</v>
      </c>
      <c r="R966" t="s">
        <v>3377</v>
      </c>
      <c r="T966" t="s">
        <v>3337</v>
      </c>
      <c r="U966">
        <v>139</v>
      </c>
      <c r="V966" t="s">
        <v>3828</v>
      </c>
    </row>
    <row r="967" spans="1:22" ht="12.75" customHeight="1" x14ac:dyDescent="0.15">
      <c r="A967">
        <v>17</v>
      </c>
      <c r="B967">
        <v>2026</v>
      </c>
      <c r="C967" s="21">
        <v>46139</v>
      </c>
      <c r="D967" t="s">
        <v>19</v>
      </c>
      <c r="E967" t="s">
        <v>20</v>
      </c>
      <c r="F967" t="s">
        <v>21</v>
      </c>
      <c r="G967">
        <v>3.8</v>
      </c>
      <c r="H967" t="s">
        <v>3408</v>
      </c>
      <c r="I967" t="s">
        <v>366</v>
      </c>
      <c r="J967" s="1" t="s">
        <v>215</v>
      </c>
      <c r="K967" t="s">
        <v>181</v>
      </c>
      <c r="L967" t="s">
        <v>3340</v>
      </c>
      <c r="M967">
        <v>81</v>
      </c>
      <c r="N967">
        <v>1.53</v>
      </c>
      <c r="O967" t="s">
        <v>211</v>
      </c>
      <c r="P967">
        <v>84</v>
      </c>
      <c r="R967" t="s">
        <v>3374</v>
      </c>
      <c r="T967" t="s">
        <v>3337</v>
      </c>
      <c r="U967">
        <v>139</v>
      </c>
      <c r="V967" t="s">
        <v>3828</v>
      </c>
    </row>
    <row r="968" spans="1:22" ht="12.75" customHeight="1" x14ac:dyDescent="0.15">
      <c r="A968">
        <v>17</v>
      </c>
      <c r="B968">
        <v>2026</v>
      </c>
      <c r="C968" s="21">
        <v>46139</v>
      </c>
      <c r="D968" t="s">
        <v>19</v>
      </c>
      <c r="E968" t="s">
        <v>20</v>
      </c>
      <c r="F968" t="s">
        <v>21</v>
      </c>
      <c r="G968">
        <v>3.8</v>
      </c>
      <c r="H968" t="s">
        <v>3408</v>
      </c>
      <c r="I968" t="s">
        <v>366</v>
      </c>
      <c r="J968" s="1" t="s">
        <v>215</v>
      </c>
      <c r="K968" t="s">
        <v>181</v>
      </c>
      <c r="L968" t="s">
        <v>3340</v>
      </c>
      <c r="M968">
        <v>62</v>
      </c>
      <c r="N968">
        <v>1.53</v>
      </c>
      <c r="O968" t="s">
        <v>211</v>
      </c>
      <c r="P968">
        <v>84</v>
      </c>
      <c r="R968" t="s">
        <v>3375</v>
      </c>
      <c r="T968" t="s">
        <v>3337</v>
      </c>
      <c r="U968">
        <v>139</v>
      </c>
      <c r="V968" t="s">
        <v>3828</v>
      </c>
    </row>
    <row r="969" spans="1:22" ht="12.75" customHeight="1" x14ac:dyDescent="0.15">
      <c r="A969">
        <v>17</v>
      </c>
      <c r="B969">
        <v>2026</v>
      </c>
      <c r="C969" s="21">
        <v>46139</v>
      </c>
      <c r="D969" t="s">
        <v>19</v>
      </c>
      <c r="E969" t="s">
        <v>20</v>
      </c>
      <c r="F969" t="s">
        <v>21</v>
      </c>
      <c r="G969">
        <v>3.8</v>
      </c>
      <c r="H969" t="s">
        <v>3408</v>
      </c>
      <c r="I969" t="s">
        <v>366</v>
      </c>
      <c r="J969" s="1" t="s">
        <v>215</v>
      </c>
      <c r="K969" t="s">
        <v>181</v>
      </c>
      <c r="L969" t="s">
        <v>3340</v>
      </c>
      <c r="M969">
        <v>58</v>
      </c>
      <c r="N969">
        <v>1.53</v>
      </c>
      <c r="O969" t="s">
        <v>211</v>
      </c>
      <c r="P969">
        <v>84</v>
      </c>
      <c r="R969" t="s">
        <v>3343</v>
      </c>
      <c r="T969" t="s">
        <v>3337</v>
      </c>
      <c r="U969">
        <v>139</v>
      </c>
      <c r="V969" t="s">
        <v>3828</v>
      </c>
    </row>
    <row r="970" spans="1:22" ht="12.75" customHeight="1" x14ac:dyDescent="0.15">
      <c r="A970">
        <v>17</v>
      </c>
      <c r="B970">
        <v>2026</v>
      </c>
      <c r="C970" s="21">
        <v>46139</v>
      </c>
      <c r="D970" t="s">
        <v>101</v>
      </c>
      <c r="E970" t="s">
        <v>102</v>
      </c>
      <c r="F970" t="s">
        <v>75</v>
      </c>
      <c r="G970">
        <v>7.6</v>
      </c>
      <c r="H970" t="s">
        <v>3829</v>
      </c>
      <c r="I970" t="s">
        <v>190</v>
      </c>
      <c r="J970" s="1" t="s">
        <v>30</v>
      </c>
      <c r="K970" t="s">
        <v>181</v>
      </c>
      <c r="L970" t="s">
        <v>3340</v>
      </c>
      <c r="M970">
        <v>132</v>
      </c>
      <c r="N970">
        <v>1.05</v>
      </c>
      <c r="O970" t="s">
        <v>211</v>
      </c>
      <c r="P970">
        <v>57.8</v>
      </c>
      <c r="R970" t="s">
        <v>3368</v>
      </c>
      <c r="S970" t="s">
        <v>3830</v>
      </c>
      <c r="T970" t="s">
        <v>3337</v>
      </c>
      <c r="U970">
        <v>-1</v>
      </c>
      <c r="V970" t="s">
        <v>3831</v>
      </c>
    </row>
    <row r="971" spans="1:22" ht="12.75" customHeight="1" x14ac:dyDescent="0.15">
      <c r="A971">
        <v>17</v>
      </c>
      <c r="B971">
        <v>2026</v>
      </c>
      <c r="C971" s="21">
        <v>46139</v>
      </c>
      <c r="D971" t="s">
        <v>101</v>
      </c>
      <c r="E971" t="s">
        <v>102</v>
      </c>
      <c r="F971" t="s">
        <v>75</v>
      </c>
      <c r="G971">
        <v>7.6</v>
      </c>
      <c r="H971" t="s">
        <v>3829</v>
      </c>
      <c r="I971" t="s">
        <v>190</v>
      </c>
      <c r="J971" s="1" t="s">
        <v>30</v>
      </c>
      <c r="K971" t="s">
        <v>181</v>
      </c>
      <c r="L971" t="s">
        <v>3340</v>
      </c>
      <c r="M971">
        <v>45</v>
      </c>
      <c r="N971">
        <v>1.05</v>
      </c>
      <c r="O971" t="s">
        <v>211</v>
      </c>
      <c r="P971">
        <v>57.8</v>
      </c>
      <c r="R971" t="s">
        <v>3377</v>
      </c>
      <c r="T971" t="s">
        <v>3337</v>
      </c>
      <c r="U971">
        <v>-1</v>
      </c>
      <c r="V971" t="s">
        <v>3831</v>
      </c>
    </row>
    <row r="972" spans="1:22" ht="12.75" customHeight="1" x14ac:dyDescent="0.15">
      <c r="A972">
        <v>17</v>
      </c>
      <c r="B972">
        <v>2026</v>
      </c>
      <c r="C972" s="21">
        <v>46139</v>
      </c>
      <c r="D972" t="s">
        <v>101</v>
      </c>
      <c r="E972" t="s">
        <v>102</v>
      </c>
      <c r="F972" t="s">
        <v>75</v>
      </c>
      <c r="G972">
        <v>7.6</v>
      </c>
      <c r="H972" t="s">
        <v>3829</v>
      </c>
      <c r="I972" t="s">
        <v>190</v>
      </c>
      <c r="J972" s="1" t="s">
        <v>30</v>
      </c>
      <c r="K972" t="s">
        <v>181</v>
      </c>
      <c r="L972" t="s">
        <v>3340</v>
      </c>
      <c r="M972">
        <v>81</v>
      </c>
      <c r="N972">
        <v>1.05</v>
      </c>
      <c r="O972" t="s">
        <v>211</v>
      </c>
      <c r="P972">
        <v>57.8</v>
      </c>
      <c r="R972" t="s">
        <v>3374</v>
      </c>
      <c r="T972" t="s">
        <v>3337</v>
      </c>
      <c r="U972">
        <v>-1</v>
      </c>
      <c r="V972" t="s">
        <v>3831</v>
      </c>
    </row>
    <row r="973" spans="1:22" ht="12.75" customHeight="1" x14ac:dyDescent="0.15">
      <c r="A973">
        <v>17</v>
      </c>
      <c r="B973">
        <v>2026</v>
      </c>
      <c r="C973" s="21">
        <v>46139</v>
      </c>
      <c r="D973" t="s">
        <v>101</v>
      </c>
      <c r="E973" t="s">
        <v>102</v>
      </c>
      <c r="F973" t="s">
        <v>75</v>
      </c>
      <c r="G973">
        <v>7.6</v>
      </c>
      <c r="H973" t="s">
        <v>3829</v>
      </c>
      <c r="I973" t="s">
        <v>190</v>
      </c>
      <c r="J973" s="1" t="s">
        <v>30</v>
      </c>
      <c r="K973" t="s">
        <v>181</v>
      </c>
      <c r="L973" t="s">
        <v>3340</v>
      </c>
      <c r="M973">
        <v>62</v>
      </c>
      <c r="N973">
        <v>1.05</v>
      </c>
      <c r="O973" t="s">
        <v>211</v>
      </c>
      <c r="P973">
        <v>57.8</v>
      </c>
      <c r="R973" t="s">
        <v>3375</v>
      </c>
      <c r="T973" t="s">
        <v>3337</v>
      </c>
      <c r="U973">
        <v>-1</v>
      </c>
      <c r="V973" t="s">
        <v>3831</v>
      </c>
    </row>
    <row r="974" spans="1:22" ht="12.75" customHeight="1" x14ac:dyDescent="0.15">
      <c r="A974">
        <v>17</v>
      </c>
      <c r="B974">
        <v>2026</v>
      </c>
      <c r="C974" s="21">
        <v>46139</v>
      </c>
      <c r="D974" t="s">
        <v>101</v>
      </c>
      <c r="E974" t="s">
        <v>102</v>
      </c>
      <c r="F974" t="s">
        <v>75</v>
      </c>
      <c r="G974">
        <v>7.6</v>
      </c>
      <c r="H974" t="s">
        <v>3829</v>
      </c>
      <c r="I974" t="s">
        <v>190</v>
      </c>
      <c r="J974" s="1" t="s">
        <v>30</v>
      </c>
      <c r="K974" t="s">
        <v>181</v>
      </c>
      <c r="L974" t="s">
        <v>3340</v>
      </c>
      <c r="M974">
        <v>58</v>
      </c>
      <c r="N974">
        <v>1.05</v>
      </c>
      <c r="O974" t="s">
        <v>211</v>
      </c>
      <c r="P974">
        <v>57.8</v>
      </c>
      <c r="R974" t="s">
        <v>3343</v>
      </c>
      <c r="T974" t="s">
        <v>3337</v>
      </c>
      <c r="U974">
        <v>-1</v>
      </c>
      <c r="V974" t="s">
        <v>3831</v>
      </c>
    </row>
    <row r="975" spans="1:22" ht="12.75" customHeight="1" x14ac:dyDescent="0.15">
      <c r="A975">
        <v>17</v>
      </c>
      <c r="B975">
        <v>2026</v>
      </c>
      <c r="C975" s="21">
        <v>46139</v>
      </c>
      <c r="D975" t="s">
        <v>101</v>
      </c>
      <c r="E975" t="s">
        <v>102</v>
      </c>
      <c r="F975" t="s">
        <v>75</v>
      </c>
      <c r="G975">
        <v>7.6</v>
      </c>
      <c r="H975" t="s">
        <v>3453</v>
      </c>
      <c r="I975" t="s">
        <v>187</v>
      </c>
      <c r="J975" s="1" t="s">
        <v>188</v>
      </c>
      <c r="K975" t="s">
        <v>181</v>
      </c>
      <c r="L975" t="s">
        <v>3333</v>
      </c>
      <c r="M975">
        <v>1</v>
      </c>
      <c r="N975">
        <v>0.38</v>
      </c>
      <c r="O975" t="s">
        <v>3358</v>
      </c>
      <c r="P975">
        <v>26.95</v>
      </c>
      <c r="Q975">
        <v>3</v>
      </c>
      <c r="R975" t="s">
        <v>3359</v>
      </c>
      <c r="T975" t="s">
        <v>3337</v>
      </c>
      <c r="U975">
        <v>-1</v>
      </c>
      <c r="V975" t="s">
        <v>3422</v>
      </c>
    </row>
    <row r="976" spans="1:22" ht="12.75" customHeight="1" x14ac:dyDescent="0.15">
      <c r="A976">
        <v>17</v>
      </c>
      <c r="B976">
        <v>2026</v>
      </c>
      <c r="C976" s="21">
        <v>46139</v>
      </c>
      <c r="D976" t="s">
        <v>19</v>
      </c>
      <c r="E976" t="s">
        <v>20</v>
      </c>
      <c r="F976" t="s">
        <v>21</v>
      </c>
      <c r="G976">
        <v>3.8</v>
      </c>
      <c r="H976" t="s">
        <v>3453</v>
      </c>
      <c r="I976" t="s">
        <v>187</v>
      </c>
      <c r="J976" s="1" t="s">
        <v>188</v>
      </c>
      <c r="K976" t="s">
        <v>181</v>
      </c>
      <c r="L976" t="s">
        <v>3333</v>
      </c>
      <c r="M976">
        <v>6</v>
      </c>
      <c r="N976">
        <v>0.38</v>
      </c>
      <c r="O976" t="s">
        <v>3334</v>
      </c>
      <c r="P976">
        <v>30.59</v>
      </c>
      <c r="Q976">
        <v>3</v>
      </c>
      <c r="R976" t="s">
        <v>3335</v>
      </c>
      <c r="T976" t="s">
        <v>3337</v>
      </c>
      <c r="U976">
        <v>139</v>
      </c>
      <c r="V976" t="s">
        <v>3354</v>
      </c>
    </row>
    <row r="977" spans="1:22" ht="12.75" customHeight="1" x14ac:dyDescent="0.15">
      <c r="A977">
        <v>17</v>
      </c>
      <c r="B977">
        <v>2026</v>
      </c>
      <c r="C977" s="21">
        <v>46139</v>
      </c>
      <c r="D977" t="s">
        <v>19</v>
      </c>
      <c r="E977" t="s">
        <v>20</v>
      </c>
      <c r="F977" t="s">
        <v>21</v>
      </c>
      <c r="G977">
        <v>3.8</v>
      </c>
      <c r="H977" t="s">
        <v>3832</v>
      </c>
      <c r="I977" t="s">
        <v>3833</v>
      </c>
      <c r="J977" s="1" t="s">
        <v>3389</v>
      </c>
      <c r="K977" t="s">
        <v>181</v>
      </c>
      <c r="L977" t="s">
        <v>3333</v>
      </c>
      <c r="M977">
        <v>11</v>
      </c>
      <c r="N977">
        <v>0.25</v>
      </c>
      <c r="O977" t="s">
        <v>213</v>
      </c>
      <c r="P977">
        <v>22.5</v>
      </c>
      <c r="Q977">
        <v>2</v>
      </c>
      <c r="R977" t="s">
        <v>3564</v>
      </c>
      <c r="T977" t="s">
        <v>3402</v>
      </c>
      <c r="U977">
        <v>139</v>
      </c>
      <c r="V977" t="s">
        <v>3348</v>
      </c>
    </row>
    <row r="978" spans="1:22" ht="12.75" customHeight="1" x14ac:dyDescent="0.15">
      <c r="A978">
        <v>17</v>
      </c>
      <c r="B978">
        <v>2026</v>
      </c>
      <c r="C978" s="21">
        <v>46139</v>
      </c>
      <c r="D978" t="s">
        <v>19</v>
      </c>
      <c r="E978" t="s">
        <v>20</v>
      </c>
      <c r="F978" t="s">
        <v>21</v>
      </c>
      <c r="G978">
        <v>3.8</v>
      </c>
      <c r="H978" t="s">
        <v>3832</v>
      </c>
      <c r="I978" t="s">
        <v>3833</v>
      </c>
      <c r="J978" s="1" t="s">
        <v>3389</v>
      </c>
      <c r="K978" t="s">
        <v>181</v>
      </c>
      <c r="L978" t="s">
        <v>3333</v>
      </c>
      <c r="M978">
        <v>86</v>
      </c>
      <c r="N978">
        <v>0.25</v>
      </c>
      <c r="O978" t="s">
        <v>3334</v>
      </c>
      <c r="P978">
        <v>20.399999999999999</v>
      </c>
      <c r="Q978">
        <v>2</v>
      </c>
      <c r="R978" t="s">
        <v>3386</v>
      </c>
      <c r="T978" t="s">
        <v>3402</v>
      </c>
      <c r="U978">
        <v>139</v>
      </c>
      <c r="V978" t="s">
        <v>3455</v>
      </c>
    </row>
    <row r="979" spans="1:22" ht="12.75" customHeight="1" x14ac:dyDescent="0.15">
      <c r="A979">
        <v>17</v>
      </c>
      <c r="B979">
        <v>2026</v>
      </c>
      <c r="C979" s="21">
        <v>46139</v>
      </c>
      <c r="D979" t="s">
        <v>80</v>
      </c>
      <c r="E979" t="s">
        <v>81</v>
      </c>
      <c r="F979" t="s">
        <v>21</v>
      </c>
      <c r="G979">
        <v>2.2999999999999998</v>
      </c>
      <c r="H979" t="s">
        <v>3653</v>
      </c>
      <c r="I979" t="s">
        <v>3566</v>
      </c>
      <c r="J979" s="1" t="s">
        <v>3389</v>
      </c>
      <c r="K979" t="s">
        <v>181</v>
      </c>
      <c r="L979" t="s">
        <v>3333</v>
      </c>
      <c r="M979">
        <v>86</v>
      </c>
      <c r="N979">
        <v>0.38</v>
      </c>
      <c r="O979" t="s">
        <v>3334</v>
      </c>
      <c r="P979">
        <v>30.59</v>
      </c>
      <c r="Q979">
        <v>3</v>
      </c>
      <c r="R979" t="s">
        <v>3386</v>
      </c>
      <c r="T979" t="s">
        <v>3402</v>
      </c>
      <c r="U979">
        <v>25</v>
      </c>
      <c r="V979" t="s">
        <v>358</v>
      </c>
    </row>
    <row r="980" spans="1:22" ht="12.75" customHeight="1" x14ac:dyDescent="0.15">
      <c r="A980">
        <v>18</v>
      </c>
      <c r="B980">
        <v>2026</v>
      </c>
      <c r="C980" s="21">
        <v>46149</v>
      </c>
      <c r="D980" t="s">
        <v>101</v>
      </c>
      <c r="E980" t="s">
        <v>102</v>
      </c>
      <c r="F980" t="s">
        <v>75</v>
      </c>
      <c r="G980">
        <v>7.6</v>
      </c>
      <c r="H980" t="s">
        <v>3495</v>
      </c>
      <c r="I980" t="s">
        <v>29</v>
      </c>
      <c r="J980" s="1" t="s">
        <v>30</v>
      </c>
      <c r="K980" t="s">
        <v>181</v>
      </c>
      <c r="L980" t="s">
        <v>3340</v>
      </c>
      <c r="M980">
        <v>2</v>
      </c>
      <c r="N980">
        <v>1.04</v>
      </c>
      <c r="O980" t="s">
        <v>211</v>
      </c>
      <c r="P980">
        <v>57.42</v>
      </c>
      <c r="R980" t="s">
        <v>3424</v>
      </c>
      <c r="T980" t="s">
        <v>3337</v>
      </c>
      <c r="U980">
        <v>9</v>
      </c>
      <c r="V980" t="s">
        <v>3834</v>
      </c>
    </row>
    <row r="981" spans="1:22" ht="12.75" customHeight="1" x14ac:dyDescent="0.15">
      <c r="A981">
        <v>18</v>
      </c>
      <c r="B981">
        <v>2026</v>
      </c>
      <c r="C981" s="21">
        <v>46149</v>
      </c>
      <c r="D981" t="s">
        <v>96</v>
      </c>
      <c r="E981" t="s">
        <v>97</v>
      </c>
      <c r="F981" t="s">
        <v>21</v>
      </c>
      <c r="G981">
        <v>4.5</v>
      </c>
      <c r="H981" t="s">
        <v>3495</v>
      </c>
      <c r="I981" t="s">
        <v>29</v>
      </c>
      <c r="J981" s="1" t="s">
        <v>30</v>
      </c>
      <c r="K981" t="s">
        <v>181</v>
      </c>
      <c r="L981" t="s">
        <v>23</v>
      </c>
      <c r="M981">
        <v>198</v>
      </c>
      <c r="N981">
        <v>0.8</v>
      </c>
      <c r="P981">
        <v>3015</v>
      </c>
      <c r="R981" t="s">
        <v>3746</v>
      </c>
      <c r="T981" t="s">
        <v>3337</v>
      </c>
      <c r="U981">
        <v>6</v>
      </c>
      <c r="V981" t="s">
        <v>3835</v>
      </c>
    </row>
    <row r="982" spans="1:22" ht="12.75" customHeight="1" x14ac:dyDescent="0.15">
      <c r="A982">
        <v>18</v>
      </c>
      <c r="B982">
        <v>2026</v>
      </c>
      <c r="C982" s="21">
        <v>46149</v>
      </c>
      <c r="D982" t="s">
        <v>101</v>
      </c>
      <c r="E982" t="s">
        <v>102</v>
      </c>
      <c r="F982" t="s">
        <v>75</v>
      </c>
      <c r="G982">
        <v>7.6</v>
      </c>
      <c r="H982" t="s">
        <v>3454</v>
      </c>
      <c r="I982" t="s">
        <v>212</v>
      </c>
      <c r="J982" s="1" t="s">
        <v>188</v>
      </c>
      <c r="K982" t="s">
        <v>181</v>
      </c>
      <c r="L982" t="s">
        <v>3333</v>
      </c>
      <c r="M982">
        <v>1</v>
      </c>
      <c r="N982">
        <v>1</v>
      </c>
      <c r="O982" t="s">
        <v>3358</v>
      </c>
      <c r="P982">
        <v>71.86</v>
      </c>
      <c r="Q982">
        <v>8</v>
      </c>
      <c r="R982" t="s">
        <v>3359</v>
      </c>
      <c r="T982" t="s">
        <v>3337</v>
      </c>
      <c r="U982">
        <v>9</v>
      </c>
      <c r="V982" t="s">
        <v>3545</v>
      </c>
    </row>
    <row r="983" spans="1:22" ht="12.75" customHeight="1" x14ac:dyDescent="0.15">
      <c r="A983">
        <v>18</v>
      </c>
      <c r="B983">
        <v>2026</v>
      </c>
      <c r="C983" s="21">
        <v>46149</v>
      </c>
      <c r="D983" t="s">
        <v>101</v>
      </c>
      <c r="E983" t="s">
        <v>102</v>
      </c>
      <c r="F983" t="s">
        <v>75</v>
      </c>
      <c r="G983">
        <v>7.6</v>
      </c>
      <c r="H983" t="s">
        <v>3454</v>
      </c>
      <c r="I983" t="s">
        <v>212</v>
      </c>
      <c r="J983" s="1" t="s">
        <v>188</v>
      </c>
      <c r="K983" t="s">
        <v>181</v>
      </c>
      <c r="L983" t="s">
        <v>3333</v>
      </c>
      <c r="M983">
        <v>6</v>
      </c>
      <c r="N983">
        <v>1</v>
      </c>
      <c r="O983" t="s">
        <v>3334</v>
      </c>
      <c r="P983">
        <v>81.58</v>
      </c>
      <c r="Q983">
        <v>8</v>
      </c>
      <c r="R983" t="s">
        <v>3335</v>
      </c>
      <c r="T983" t="s">
        <v>3337</v>
      </c>
      <c r="U983">
        <v>9</v>
      </c>
      <c r="V983" t="s">
        <v>3338</v>
      </c>
    </row>
    <row r="984" spans="1:22" ht="12.75" customHeight="1" x14ac:dyDescent="0.15">
      <c r="A984">
        <v>18</v>
      </c>
      <c r="B984">
        <v>2026</v>
      </c>
      <c r="C984" s="21">
        <v>46149</v>
      </c>
      <c r="D984" t="s">
        <v>96</v>
      </c>
      <c r="E984" t="s">
        <v>97</v>
      </c>
      <c r="F984" t="s">
        <v>21</v>
      </c>
      <c r="G984">
        <v>4.5</v>
      </c>
      <c r="H984" t="s">
        <v>3836</v>
      </c>
      <c r="I984" t="s">
        <v>3810</v>
      </c>
      <c r="J984" s="1" t="s">
        <v>30</v>
      </c>
      <c r="K984" t="s">
        <v>181</v>
      </c>
      <c r="L984" t="s">
        <v>3333</v>
      </c>
      <c r="M984">
        <v>86</v>
      </c>
      <c r="N984">
        <v>0.25</v>
      </c>
      <c r="O984" t="s">
        <v>3334</v>
      </c>
      <c r="P984">
        <v>20.399999999999999</v>
      </c>
      <c r="Q984">
        <v>2</v>
      </c>
      <c r="R984" t="s">
        <v>3386</v>
      </c>
      <c r="T984" t="s">
        <v>3402</v>
      </c>
      <c r="U984">
        <v>6</v>
      </c>
      <c r="V984" t="s">
        <v>3837</v>
      </c>
    </row>
    <row r="985" spans="1:22" ht="12.75" customHeight="1" x14ac:dyDescent="0.15">
      <c r="A985">
        <v>18</v>
      </c>
      <c r="B985">
        <v>2026</v>
      </c>
      <c r="C985" s="21">
        <v>46149</v>
      </c>
      <c r="D985" t="s">
        <v>96</v>
      </c>
      <c r="E985" t="s">
        <v>97</v>
      </c>
      <c r="F985" t="s">
        <v>21</v>
      </c>
      <c r="G985">
        <v>4.5</v>
      </c>
      <c r="H985" t="s">
        <v>3809</v>
      </c>
      <c r="I985" t="s">
        <v>3810</v>
      </c>
      <c r="J985" s="1" t="s">
        <v>30</v>
      </c>
      <c r="K985" t="s">
        <v>181</v>
      </c>
      <c r="L985" t="s">
        <v>3587</v>
      </c>
      <c r="N985">
        <v>0.76</v>
      </c>
      <c r="O985" t="s">
        <v>3838</v>
      </c>
      <c r="P985">
        <v>16.25</v>
      </c>
      <c r="Q985">
        <v>2</v>
      </c>
      <c r="T985" t="s">
        <v>3402</v>
      </c>
      <c r="U985">
        <v>6</v>
      </c>
      <c r="V985" t="s">
        <v>3839</v>
      </c>
    </row>
    <row r="986" spans="1:22" ht="12.75" customHeight="1" x14ac:dyDescent="0.15">
      <c r="A986">
        <v>18</v>
      </c>
      <c r="B986">
        <v>2026</v>
      </c>
      <c r="C986" s="21">
        <v>46149</v>
      </c>
      <c r="D986" t="s">
        <v>96</v>
      </c>
      <c r="E986" t="s">
        <v>97</v>
      </c>
      <c r="F986" t="s">
        <v>21</v>
      </c>
      <c r="G986">
        <v>4.5</v>
      </c>
      <c r="H986" t="s">
        <v>3803</v>
      </c>
      <c r="I986" t="s">
        <v>3537</v>
      </c>
      <c r="J986" s="1" t="s">
        <v>3533</v>
      </c>
      <c r="K986" t="s">
        <v>181</v>
      </c>
      <c r="L986" t="s">
        <v>3333</v>
      </c>
      <c r="M986">
        <v>86</v>
      </c>
      <c r="N986">
        <v>0.13</v>
      </c>
      <c r="O986" t="s">
        <v>3334</v>
      </c>
      <c r="P986">
        <v>10.199999999999999</v>
      </c>
      <c r="Q986">
        <v>1</v>
      </c>
      <c r="R986" t="s">
        <v>3386</v>
      </c>
      <c r="T986" t="s">
        <v>3402</v>
      </c>
      <c r="U986">
        <v>6</v>
      </c>
      <c r="V986" t="s">
        <v>3840</v>
      </c>
    </row>
    <row r="987" spans="1:22" ht="12.75" customHeight="1" x14ac:dyDescent="0.15">
      <c r="A987">
        <v>18</v>
      </c>
      <c r="B987">
        <v>2026</v>
      </c>
      <c r="C987" s="21">
        <v>46149</v>
      </c>
      <c r="D987" t="s">
        <v>96</v>
      </c>
      <c r="E987" t="s">
        <v>97</v>
      </c>
      <c r="F987" t="s">
        <v>21</v>
      </c>
      <c r="G987">
        <v>4.5</v>
      </c>
      <c r="H987" t="s">
        <v>3841</v>
      </c>
      <c r="I987" t="s">
        <v>3842</v>
      </c>
      <c r="J987" s="1" t="s">
        <v>3533</v>
      </c>
      <c r="K987" t="s">
        <v>181</v>
      </c>
      <c r="L987" t="s">
        <v>3333</v>
      </c>
      <c r="M987">
        <v>3</v>
      </c>
      <c r="N987">
        <v>0.63</v>
      </c>
      <c r="O987" t="s">
        <v>3334</v>
      </c>
      <c r="P987">
        <v>50.99</v>
      </c>
      <c r="Q987">
        <v>5</v>
      </c>
      <c r="R987" t="s">
        <v>3478</v>
      </c>
      <c r="S987" t="s">
        <v>3843</v>
      </c>
      <c r="T987" t="s">
        <v>3402</v>
      </c>
      <c r="U987">
        <v>6</v>
      </c>
      <c r="V987" t="s">
        <v>3815</v>
      </c>
    </row>
    <row r="988" spans="1:22" ht="12.75" customHeight="1" x14ac:dyDescent="0.15">
      <c r="A988">
        <v>18</v>
      </c>
      <c r="B988">
        <v>2026</v>
      </c>
      <c r="C988" s="21">
        <v>46149</v>
      </c>
      <c r="D988" t="s">
        <v>96</v>
      </c>
      <c r="E988" t="s">
        <v>97</v>
      </c>
      <c r="F988" t="s">
        <v>21</v>
      </c>
      <c r="G988">
        <v>4.5</v>
      </c>
      <c r="H988" t="s">
        <v>3841</v>
      </c>
      <c r="I988" t="s">
        <v>3842</v>
      </c>
      <c r="J988" s="1" t="s">
        <v>3533</v>
      </c>
      <c r="K988" t="s">
        <v>181</v>
      </c>
      <c r="L988" t="s">
        <v>3333</v>
      </c>
      <c r="M988">
        <v>4</v>
      </c>
      <c r="N988">
        <v>0.63</v>
      </c>
      <c r="O988" t="s">
        <v>3334</v>
      </c>
      <c r="P988">
        <v>50.99</v>
      </c>
      <c r="Q988">
        <v>5</v>
      </c>
      <c r="R988" t="s">
        <v>3773</v>
      </c>
      <c r="S988" t="s">
        <v>3844</v>
      </c>
      <c r="T988" t="s">
        <v>3402</v>
      </c>
      <c r="U988">
        <v>6</v>
      </c>
      <c r="V988" t="s">
        <v>3815</v>
      </c>
    </row>
    <row r="989" spans="1:22" ht="12.75" customHeight="1" x14ac:dyDescent="0.15">
      <c r="A989">
        <v>18</v>
      </c>
      <c r="B989">
        <v>2026</v>
      </c>
      <c r="C989" s="21">
        <v>46149</v>
      </c>
      <c r="D989" t="s">
        <v>96</v>
      </c>
      <c r="E989" t="s">
        <v>97</v>
      </c>
      <c r="F989" t="s">
        <v>21</v>
      </c>
      <c r="G989">
        <v>4.5</v>
      </c>
      <c r="H989" t="s">
        <v>3845</v>
      </c>
      <c r="I989" t="s">
        <v>380</v>
      </c>
      <c r="J989" s="1" t="s">
        <v>3533</v>
      </c>
      <c r="K989" t="s">
        <v>181</v>
      </c>
      <c r="L989" t="s">
        <v>3333</v>
      </c>
      <c r="M989">
        <v>3</v>
      </c>
      <c r="N989">
        <v>0.38</v>
      </c>
      <c r="O989" t="s">
        <v>3334</v>
      </c>
      <c r="P989">
        <v>30.59</v>
      </c>
      <c r="Q989">
        <v>3</v>
      </c>
      <c r="R989" t="s">
        <v>3478</v>
      </c>
      <c r="S989" t="s">
        <v>3846</v>
      </c>
      <c r="T989" t="s">
        <v>3402</v>
      </c>
      <c r="U989">
        <v>6</v>
      </c>
      <c r="V989" t="s">
        <v>3816</v>
      </c>
    </row>
    <row r="990" spans="1:22" ht="12.75" customHeight="1" x14ac:dyDescent="0.15">
      <c r="A990">
        <v>18</v>
      </c>
      <c r="B990">
        <v>2026</v>
      </c>
      <c r="C990" s="21">
        <v>46149</v>
      </c>
      <c r="D990" t="s">
        <v>96</v>
      </c>
      <c r="E990" t="s">
        <v>97</v>
      </c>
      <c r="F990" t="s">
        <v>21</v>
      </c>
      <c r="G990">
        <v>4.5</v>
      </c>
      <c r="H990" t="s">
        <v>3845</v>
      </c>
      <c r="I990" t="s">
        <v>380</v>
      </c>
      <c r="J990" s="1" t="s">
        <v>3533</v>
      </c>
      <c r="K990" t="s">
        <v>181</v>
      </c>
      <c r="L990" t="s">
        <v>3333</v>
      </c>
      <c r="M990">
        <v>4</v>
      </c>
      <c r="N990">
        <v>0.38</v>
      </c>
      <c r="O990" t="s">
        <v>3334</v>
      </c>
      <c r="P990">
        <v>30.59</v>
      </c>
      <c r="Q990">
        <v>3</v>
      </c>
      <c r="R990" t="s">
        <v>3773</v>
      </c>
      <c r="T990" t="s">
        <v>3402</v>
      </c>
      <c r="U990">
        <v>6</v>
      </c>
      <c r="V990" t="s">
        <v>3816</v>
      </c>
    </row>
    <row r="991" spans="1:22" ht="12.75" customHeight="1" x14ac:dyDescent="0.15">
      <c r="A991">
        <v>18</v>
      </c>
      <c r="B991">
        <v>2026</v>
      </c>
      <c r="C991" s="21">
        <v>46149</v>
      </c>
      <c r="D991" t="s">
        <v>101</v>
      </c>
      <c r="E991" t="s">
        <v>102</v>
      </c>
      <c r="F991" t="s">
        <v>75</v>
      </c>
      <c r="G991">
        <v>7.6</v>
      </c>
      <c r="H991" t="s">
        <v>3495</v>
      </c>
      <c r="I991" t="s">
        <v>29</v>
      </c>
      <c r="J991" s="1" t="s">
        <v>30</v>
      </c>
      <c r="K991" t="s">
        <v>181</v>
      </c>
      <c r="L991" t="s">
        <v>3340</v>
      </c>
      <c r="M991">
        <v>78</v>
      </c>
      <c r="N991">
        <v>1.85</v>
      </c>
      <c r="O991" t="s">
        <v>211</v>
      </c>
      <c r="P991">
        <v>102</v>
      </c>
      <c r="R991" t="s">
        <v>3341</v>
      </c>
      <c r="T991" t="s">
        <v>3402</v>
      </c>
      <c r="U991">
        <v>9</v>
      </c>
      <c r="V991" t="s">
        <v>3352</v>
      </c>
    </row>
    <row r="992" spans="1:22" ht="12.75" customHeight="1" x14ac:dyDescent="0.15">
      <c r="A992">
        <v>18</v>
      </c>
      <c r="B992">
        <v>2026</v>
      </c>
      <c r="C992" s="21">
        <v>46149</v>
      </c>
      <c r="D992" t="s">
        <v>101</v>
      </c>
      <c r="E992" t="s">
        <v>102</v>
      </c>
      <c r="F992" t="s">
        <v>75</v>
      </c>
      <c r="G992">
        <v>7.6</v>
      </c>
      <c r="H992" t="s">
        <v>3495</v>
      </c>
      <c r="I992" t="s">
        <v>29</v>
      </c>
      <c r="J992" s="1" t="s">
        <v>30</v>
      </c>
      <c r="K992" t="s">
        <v>181</v>
      </c>
      <c r="L992" t="s">
        <v>3333</v>
      </c>
      <c r="M992">
        <v>67</v>
      </c>
      <c r="N992">
        <v>0.5</v>
      </c>
      <c r="O992" t="s">
        <v>3334</v>
      </c>
      <c r="P992">
        <v>40.79</v>
      </c>
      <c r="Q992">
        <v>4</v>
      </c>
      <c r="R992" t="s">
        <v>3404</v>
      </c>
      <c r="T992" t="s">
        <v>3402</v>
      </c>
      <c r="U992">
        <v>9</v>
      </c>
      <c r="V992" t="s">
        <v>3455</v>
      </c>
    </row>
    <row r="993" spans="1:22" ht="12.75" customHeight="1" x14ac:dyDescent="0.15">
      <c r="A993">
        <v>18</v>
      </c>
      <c r="B993">
        <v>2026</v>
      </c>
      <c r="C993" s="21">
        <v>46149</v>
      </c>
      <c r="D993" t="s">
        <v>101</v>
      </c>
      <c r="E993" t="s">
        <v>102</v>
      </c>
      <c r="F993" t="s">
        <v>75</v>
      </c>
      <c r="G993">
        <v>7.6</v>
      </c>
      <c r="H993" t="s">
        <v>3495</v>
      </c>
      <c r="I993" t="s">
        <v>29</v>
      </c>
      <c r="J993" s="1" t="s">
        <v>30</v>
      </c>
      <c r="K993" t="s">
        <v>181</v>
      </c>
      <c r="L993" t="s">
        <v>3333</v>
      </c>
      <c r="M993">
        <v>19</v>
      </c>
      <c r="N993">
        <v>0.5</v>
      </c>
      <c r="O993" t="s">
        <v>3334</v>
      </c>
      <c r="P993">
        <v>40.79</v>
      </c>
      <c r="Q993">
        <v>4</v>
      </c>
      <c r="R993" t="s">
        <v>3403</v>
      </c>
      <c r="T993" t="s">
        <v>3402</v>
      </c>
      <c r="U993">
        <v>9</v>
      </c>
      <c r="V993" t="s">
        <v>3455</v>
      </c>
    </row>
    <row r="994" spans="1:22" ht="12.75" customHeight="1" x14ac:dyDescent="0.15">
      <c r="A994">
        <v>18</v>
      </c>
      <c r="B994">
        <v>2026</v>
      </c>
      <c r="C994" s="21">
        <v>46149</v>
      </c>
      <c r="D994" t="s">
        <v>101</v>
      </c>
      <c r="E994" t="s">
        <v>102</v>
      </c>
      <c r="F994" t="s">
        <v>75</v>
      </c>
      <c r="G994">
        <v>7.6</v>
      </c>
      <c r="H994" t="s">
        <v>3495</v>
      </c>
      <c r="I994" t="s">
        <v>29</v>
      </c>
      <c r="J994" s="1" t="s">
        <v>30</v>
      </c>
      <c r="K994" t="s">
        <v>181</v>
      </c>
      <c r="L994" t="s">
        <v>3340</v>
      </c>
      <c r="M994">
        <v>67</v>
      </c>
      <c r="N994">
        <v>1.1100000000000001</v>
      </c>
      <c r="O994" t="s">
        <v>211</v>
      </c>
      <c r="P994">
        <v>61.2</v>
      </c>
      <c r="R994" t="s">
        <v>3404</v>
      </c>
      <c r="T994" t="s">
        <v>3402</v>
      </c>
      <c r="U994">
        <v>9</v>
      </c>
      <c r="V994" t="s">
        <v>3354</v>
      </c>
    </row>
    <row r="995" spans="1:22" ht="12.75" customHeight="1" x14ac:dyDescent="0.15">
      <c r="A995">
        <v>18</v>
      </c>
      <c r="B995">
        <v>2026</v>
      </c>
      <c r="C995" s="21">
        <v>46149</v>
      </c>
      <c r="D995" t="s">
        <v>101</v>
      </c>
      <c r="E995" t="s">
        <v>102</v>
      </c>
      <c r="F995" t="s">
        <v>75</v>
      </c>
      <c r="G995">
        <v>7.6</v>
      </c>
      <c r="H995" t="s">
        <v>3495</v>
      </c>
      <c r="I995" t="s">
        <v>29</v>
      </c>
      <c r="J995" s="1" t="s">
        <v>30</v>
      </c>
      <c r="K995" t="s">
        <v>181</v>
      </c>
      <c r="L995" t="s">
        <v>3340</v>
      </c>
      <c r="M995">
        <v>19</v>
      </c>
      <c r="N995">
        <v>1.1100000000000001</v>
      </c>
      <c r="O995" t="s">
        <v>211</v>
      </c>
      <c r="P995">
        <v>61.2</v>
      </c>
      <c r="R995" t="s">
        <v>3403</v>
      </c>
      <c r="T995" t="s">
        <v>3402</v>
      </c>
      <c r="U995">
        <v>9</v>
      </c>
      <c r="V995" t="s">
        <v>3354</v>
      </c>
    </row>
    <row r="996" spans="1:22" ht="12.75" customHeight="1" x14ac:dyDescent="0.15">
      <c r="A996">
        <v>18</v>
      </c>
      <c r="B996">
        <v>2026</v>
      </c>
      <c r="C996" s="21">
        <v>46149</v>
      </c>
      <c r="D996" t="s">
        <v>96</v>
      </c>
      <c r="E996" t="s">
        <v>97</v>
      </c>
      <c r="F996" t="s">
        <v>21</v>
      </c>
      <c r="G996">
        <v>4.5</v>
      </c>
      <c r="H996" t="s">
        <v>3847</v>
      </c>
      <c r="I996" t="s">
        <v>3848</v>
      </c>
      <c r="J996" s="1" t="s">
        <v>26</v>
      </c>
      <c r="K996" t="s">
        <v>181</v>
      </c>
      <c r="L996" t="s">
        <v>3333</v>
      </c>
      <c r="M996">
        <v>86</v>
      </c>
      <c r="N996">
        <v>0.63</v>
      </c>
      <c r="O996" t="s">
        <v>3334</v>
      </c>
      <c r="P996">
        <v>50.99</v>
      </c>
      <c r="Q996">
        <v>5</v>
      </c>
      <c r="R996" t="s">
        <v>3386</v>
      </c>
      <c r="T996" t="s">
        <v>3402</v>
      </c>
      <c r="U996">
        <v>6</v>
      </c>
      <c r="V996" t="s">
        <v>3815</v>
      </c>
    </row>
    <row r="997" spans="1:22" ht="12.75" customHeight="1" x14ac:dyDescent="0.15">
      <c r="A997">
        <v>18</v>
      </c>
      <c r="B997">
        <v>2026</v>
      </c>
      <c r="C997" s="21">
        <v>46149</v>
      </c>
      <c r="D997" t="s">
        <v>96</v>
      </c>
      <c r="E997" t="s">
        <v>97</v>
      </c>
      <c r="F997" t="s">
        <v>21</v>
      </c>
      <c r="G997">
        <v>4.5</v>
      </c>
      <c r="H997" t="s">
        <v>3849</v>
      </c>
      <c r="I997" t="s">
        <v>3850</v>
      </c>
      <c r="J997" s="1" t="s">
        <v>26</v>
      </c>
      <c r="K997" t="s">
        <v>2666</v>
      </c>
      <c r="L997" t="s">
        <v>3587</v>
      </c>
      <c r="N997">
        <v>1.9</v>
      </c>
      <c r="O997" t="s">
        <v>3838</v>
      </c>
      <c r="P997">
        <v>40.619999999999997</v>
      </c>
      <c r="Q997">
        <v>5</v>
      </c>
      <c r="T997" t="s">
        <v>3402</v>
      </c>
      <c r="U997">
        <v>6</v>
      </c>
      <c r="V997" t="s">
        <v>3851</v>
      </c>
    </row>
    <row r="998" spans="1:22" ht="12.75" customHeight="1" x14ac:dyDescent="0.15">
      <c r="A998">
        <v>19</v>
      </c>
      <c r="B998">
        <v>2026</v>
      </c>
      <c r="C998" s="21">
        <v>46150</v>
      </c>
      <c r="D998" t="s">
        <v>96</v>
      </c>
      <c r="E998" t="s">
        <v>97</v>
      </c>
      <c r="F998" t="s">
        <v>21</v>
      </c>
      <c r="G998">
        <v>4.5</v>
      </c>
      <c r="H998" t="s">
        <v>3803</v>
      </c>
      <c r="I998" t="s">
        <v>3537</v>
      </c>
      <c r="J998" s="1" t="s">
        <v>3533</v>
      </c>
      <c r="K998" t="s">
        <v>181</v>
      </c>
      <c r="L998" t="s">
        <v>3340</v>
      </c>
      <c r="M998">
        <v>45</v>
      </c>
      <c r="N998">
        <v>0.74</v>
      </c>
      <c r="O998" t="s">
        <v>211</v>
      </c>
      <c r="P998">
        <v>40.5</v>
      </c>
      <c r="Q998">
        <v>4.5</v>
      </c>
      <c r="R998" t="s">
        <v>3377</v>
      </c>
      <c r="T998" t="s">
        <v>3337</v>
      </c>
      <c r="U998">
        <v>7</v>
      </c>
      <c r="V998" t="s">
        <v>3473</v>
      </c>
    </row>
    <row r="999" spans="1:22" ht="12.75" customHeight="1" x14ac:dyDescent="0.15">
      <c r="A999">
        <v>19</v>
      </c>
      <c r="B999">
        <v>2026</v>
      </c>
      <c r="C999" s="21">
        <v>46150</v>
      </c>
      <c r="D999" t="s">
        <v>96</v>
      </c>
      <c r="E999" t="s">
        <v>97</v>
      </c>
      <c r="F999" t="s">
        <v>21</v>
      </c>
      <c r="G999">
        <v>4.5</v>
      </c>
      <c r="H999" t="s">
        <v>3803</v>
      </c>
      <c r="I999" t="s">
        <v>3537</v>
      </c>
      <c r="J999" s="1" t="s">
        <v>3533</v>
      </c>
      <c r="K999" t="s">
        <v>181</v>
      </c>
      <c r="L999" t="s">
        <v>3340</v>
      </c>
      <c r="M999">
        <v>62</v>
      </c>
      <c r="N999">
        <v>0.74</v>
      </c>
      <c r="O999" t="s">
        <v>211</v>
      </c>
      <c r="P999">
        <v>40.5</v>
      </c>
      <c r="Q999">
        <v>4.5</v>
      </c>
      <c r="R999" t="s">
        <v>3375</v>
      </c>
      <c r="T999" t="s">
        <v>3337</v>
      </c>
      <c r="U999">
        <v>7</v>
      </c>
      <c r="V999" t="s">
        <v>3473</v>
      </c>
    </row>
    <row r="1000" spans="1:22" ht="12.75" customHeight="1" x14ac:dyDescent="0.15">
      <c r="A1000">
        <v>19</v>
      </c>
      <c r="B1000">
        <v>2026</v>
      </c>
      <c r="C1000" s="21">
        <v>46150</v>
      </c>
      <c r="D1000" t="s">
        <v>96</v>
      </c>
      <c r="E1000" t="s">
        <v>97</v>
      </c>
      <c r="F1000" t="s">
        <v>21</v>
      </c>
      <c r="G1000">
        <v>4.5</v>
      </c>
      <c r="H1000" t="s">
        <v>3803</v>
      </c>
      <c r="I1000" t="s">
        <v>3537</v>
      </c>
      <c r="J1000" s="1" t="s">
        <v>3533</v>
      </c>
      <c r="K1000" t="s">
        <v>181</v>
      </c>
      <c r="L1000" t="s">
        <v>3340</v>
      </c>
      <c r="M1000">
        <v>58</v>
      </c>
      <c r="N1000">
        <v>0.74</v>
      </c>
      <c r="O1000" t="s">
        <v>211</v>
      </c>
      <c r="P1000">
        <v>40.5</v>
      </c>
      <c r="Q1000">
        <v>4.5</v>
      </c>
      <c r="R1000" t="s">
        <v>3343</v>
      </c>
      <c r="T1000" t="s">
        <v>3337</v>
      </c>
      <c r="U1000">
        <v>7</v>
      </c>
      <c r="V1000" t="s">
        <v>3473</v>
      </c>
    </row>
    <row r="1001" spans="1:22" ht="12.75" customHeight="1" x14ac:dyDescent="0.15">
      <c r="A1001">
        <v>19</v>
      </c>
      <c r="B1001">
        <v>2026</v>
      </c>
      <c r="C1001" s="21">
        <v>46150</v>
      </c>
      <c r="D1001" t="s">
        <v>96</v>
      </c>
      <c r="E1001" t="s">
        <v>97</v>
      </c>
      <c r="F1001" t="s">
        <v>21</v>
      </c>
      <c r="G1001">
        <v>4.5</v>
      </c>
      <c r="H1001" t="s">
        <v>3803</v>
      </c>
      <c r="I1001" t="s">
        <v>3537</v>
      </c>
      <c r="J1001" s="1" t="s">
        <v>3533</v>
      </c>
      <c r="K1001" t="s">
        <v>181</v>
      </c>
      <c r="L1001" t="s">
        <v>3340</v>
      </c>
      <c r="M1001">
        <v>132</v>
      </c>
      <c r="N1001">
        <v>0.74</v>
      </c>
      <c r="O1001" t="s">
        <v>211</v>
      </c>
      <c r="P1001">
        <v>40.5</v>
      </c>
      <c r="Q1001">
        <v>4.5</v>
      </c>
      <c r="R1001" t="s">
        <v>3368</v>
      </c>
      <c r="T1001" t="s">
        <v>3337</v>
      </c>
      <c r="U1001">
        <v>7</v>
      </c>
      <c r="V1001" t="s">
        <v>3473</v>
      </c>
    </row>
    <row r="1002" spans="1:22" ht="12.75" customHeight="1" x14ac:dyDescent="0.15">
      <c r="A1002">
        <v>19</v>
      </c>
      <c r="B1002">
        <v>2026</v>
      </c>
      <c r="C1002" s="21">
        <v>46150</v>
      </c>
      <c r="D1002" t="s">
        <v>96</v>
      </c>
      <c r="E1002" t="s">
        <v>97</v>
      </c>
      <c r="F1002" t="s">
        <v>21</v>
      </c>
      <c r="G1002">
        <v>4.5</v>
      </c>
      <c r="H1002" t="s">
        <v>3803</v>
      </c>
      <c r="I1002" t="s">
        <v>3537</v>
      </c>
      <c r="J1002" s="1" t="s">
        <v>3533</v>
      </c>
      <c r="K1002" t="s">
        <v>181</v>
      </c>
      <c r="L1002" t="s">
        <v>3340</v>
      </c>
      <c r="M1002">
        <v>81</v>
      </c>
      <c r="N1002">
        <v>0.74</v>
      </c>
      <c r="O1002" t="s">
        <v>211</v>
      </c>
      <c r="P1002">
        <v>40.5</v>
      </c>
      <c r="Q1002">
        <v>4.5</v>
      </c>
      <c r="R1002" t="s">
        <v>3374</v>
      </c>
      <c r="T1002" t="s">
        <v>3337</v>
      </c>
      <c r="U1002">
        <v>7</v>
      </c>
      <c r="V1002" t="s">
        <v>3473</v>
      </c>
    </row>
    <row r="1003" spans="1:22" ht="12.75" customHeight="1" x14ac:dyDescent="0.15">
      <c r="A1003">
        <v>19</v>
      </c>
      <c r="B1003">
        <v>2026</v>
      </c>
      <c r="C1003" s="21">
        <v>46150</v>
      </c>
      <c r="D1003" t="s">
        <v>101</v>
      </c>
      <c r="E1003" t="s">
        <v>102</v>
      </c>
      <c r="F1003" t="s">
        <v>75</v>
      </c>
      <c r="G1003">
        <v>7.6</v>
      </c>
      <c r="H1003" t="s">
        <v>3346</v>
      </c>
      <c r="I1003" t="s">
        <v>212</v>
      </c>
      <c r="J1003" s="1" t="s">
        <v>188</v>
      </c>
      <c r="K1003" t="s">
        <v>181</v>
      </c>
      <c r="L1003" t="s">
        <v>3333</v>
      </c>
      <c r="M1003">
        <v>6</v>
      </c>
      <c r="N1003">
        <v>1</v>
      </c>
      <c r="O1003" t="s">
        <v>3334</v>
      </c>
      <c r="P1003">
        <v>81.58</v>
      </c>
      <c r="Q1003">
        <v>8</v>
      </c>
      <c r="R1003" t="s">
        <v>3335</v>
      </c>
      <c r="T1003" t="s">
        <v>3337</v>
      </c>
      <c r="U1003">
        <v>10</v>
      </c>
      <c r="V1003" t="s">
        <v>3338</v>
      </c>
    </row>
    <row r="1004" spans="1:22" ht="12.75" customHeight="1" x14ac:dyDescent="0.15">
      <c r="A1004">
        <v>19</v>
      </c>
      <c r="B1004">
        <v>2026</v>
      </c>
      <c r="C1004" s="21">
        <v>46150</v>
      </c>
      <c r="D1004" t="s">
        <v>101</v>
      </c>
      <c r="E1004" t="s">
        <v>102</v>
      </c>
      <c r="F1004" t="s">
        <v>75</v>
      </c>
      <c r="G1004">
        <v>7.6</v>
      </c>
      <c r="H1004" t="s">
        <v>3852</v>
      </c>
      <c r="I1004" t="s">
        <v>3467</v>
      </c>
      <c r="J1004" s="1" t="s">
        <v>3468</v>
      </c>
      <c r="K1004" t="s">
        <v>181</v>
      </c>
      <c r="L1004" t="s">
        <v>3333</v>
      </c>
      <c r="M1004">
        <v>1</v>
      </c>
      <c r="N1004">
        <v>0.56000000000000005</v>
      </c>
      <c r="O1004" t="s">
        <v>3358</v>
      </c>
      <c r="P1004">
        <v>40.42</v>
      </c>
      <c r="Q1004">
        <v>4.5</v>
      </c>
      <c r="R1004" t="s">
        <v>3359</v>
      </c>
      <c r="T1004" t="s">
        <v>3337</v>
      </c>
      <c r="U1004">
        <v>10</v>
      </c>
      <c r="V1004" t="s">
        <v>3853</v>
      </c>
    </row>
    <row r="1005" spans="1:22" ht="12.75" customHeight="1" x14ac:dyDescent="0.15">
      <c r="A1005">
        <v>19</v>
      </c>
      <c r="B1005">
        <v>2026</v>
      </c>
      <c r="C1005" s="21">
        <v>46150</v>
      </c>
      <c r="D1005" t="s">
        <v>96</v>
      </c>
      <c r="E1005" t="s">
        <v>97</v>
      </c>
      <c r="F1005" t="s">
        <v>21</v>
      </c>
      <c r="G1005">
        <v>4.5</v>
      </c>
      <c r="H1005" t="s">
        <v>3845</v>
      </c>
      <c r="I1005" t="s">
        <v>380</v>
      </c>
      <c r="J1005" s="1" t="s">
        <v>3533</v>
      </c>
      <c r="K1005" t="s">
        <v>181</v>
      </c>
      <c r="L1005" t="s">
        <v>3333</v>
      </c>
      <c r="M1005">
        <v>4</v>
      </c>
      <c r="N1005">
        <v>1</v>
      </c>
      <c r="O1005" t="s">
        <v>3334</v>
      </c>
      <c r="P1005">
        <v>81.58</v>
      </c>
      <c r="Q1005">
        <v>8</v>
      </c>
      <c r="R1005" t="s">
        <v>3773</v>
      </c>
      <c r="T1005" t="s">
        <v>3402</v>
      </c>
      <c r="U1005">
        <v>7</v>
      </c>
      <c r="V1005" t="s">
        <v>3826</v>
      </c>
    </row>
    <row r="1006" spans="1:22" ht="12.75" customHeight="1" x14ac:dyDescent="0.15">
      <c r="A1006">
        <v>19</v>
      </c>
      <c r="B1006">
        <v>2026</v>
      </c>
      <c r="C1006" s="21">
        <v>46150</v>
      </c>
      <c r="D1006" t="s">
        <v>96</v>
      </c>
      <c r="E1006" t="s">
        <v>97</v>
      </c>
      <c r="F1006" t="s">
        <v>21</v>
      </c>
      <c r="G1006">
        <v>4.5</v>
      </c>
      <c r="H1006" t="s">
        <v>3845</v>
      </c>
      <c r="I1006" t="s">
        <v>380</v>
      </c>
      <c r="J1006" s="1" t="s">
        <v>3533</v>
      </c>
      <c r="K1006" t="s">
        <v>181</v>
      </c>
      <c r="L1006" t="s">
        <v>3333</v>
      </c>
      <c r="M1006">
        <v>3</v>
      </c>
      <c r="N1006">
        <v>1</v>
      </c>
      <c r="O1006" t="s">
        <v>3334</v>
      </c>
      <c r="P1006">
        <v>81.58</v>
      </c>
      <c r="Q1006">
        <v>8</v>
      </c>
      <c r="R1006" t="s">
        <v>3478</v>
      </c>
      <c r="T1006" t="s">
        <v>3402</v>
      </c>
      <c r="U1006">
        <v>7</v>
      </c>
      <c r="V1006" t="s">
        <v>3826</v>
      </c>
    </row>
    <row r="1007" spans="1:22" ht="12.75" customHeight="1" x14ac:dyDescent="0.15">
      <c r="A1007">
        <v>19</v>
      </c>
      <c r="B1007">
        <v>2026</v>
      </c>
      <c r="C1007" s="21">
        <v>46150</v>
      </c>
      <c r="D1007" t="s">
        <v>96</v>
      </c>
      <c r="E1007" t="s">
        <v>97</v>
      </c>
      <c r="F1007" t="s">
        <v>21</v>
      </c>
      <c r="G1007">
        <v>4.5</v>
      </c>
      <c r="H1007" t="s">
        <v>3845</v>
      </c>
      <c r="I1007" t="s">
        <v>380</v>
      </c>
      <c r="J1007" s="1" t="s">
        <v>3533</v>
      </c>
      <c r="K1007" t="s">
        <v>181</v>
      </c>
      <c r="L1007" t="s">
        <v>3333</v>
      </c>
      <c r="M1007">
        <v>86</v>
      </c>
      <c r="N1007">
        <v>1</v>
      </c>
      <c r="O1007" t="s">
        <v>3334</v>
      </c>
      <c r="P1007">
        <v>81.58</v>
      </c>
      <c r="Q1007">
        <v>8</v>
      </c>
      <c r="R1007" t="s">
        <v>3386</v>
      </c>
      <c r="T1007" t="s">
        <v>3402</v>
      </c>
      <c r="U1007">
        <v>7</v>
      </c>
      <c r="V1007" t="s">
        <v>3826</v>
      </c>
    </row>
    <row r="1008" spans="1:22" ht="12.75" customHeight="1" x14ac:dyDescent="0.15">
      <c r="A1008">
        <v>19</v>
      </c>
      <c r="B1008">
        <v>2026</v>
      </c>
      <c r="C1008" s="21">
        <v>46150</v>
      </c>
      <c r="D1008" t="s">
        <v>96</v>
      </c>
      <c r="E1008" t="s">
        <v>97</v>
      </c>
      <c r="F1008" t="s">
        <v>21</v>
      </c>
      <c r="G1008">
        <v>4.5</v>
      </c>
      <c r="H1008" t="s">
        <v>3847</v>
      </c>
      <c r="I1008" t="s">
        <v>3848</v>
      </c>
      <c r="J1008" s="1" t="s">
        <v>26</v>
      </c>
      <c r="K1008" t="s">
        <v>181</v>
      </c>
      <c r="L1008" t="s">
        <v>3333</v>
      </c>
      <c r="M1008">
        <v>11</v>
      </c>
      <c r="N1008">
        <v>0.11</v>
      </c>
      <c r="O1008" t="s">
        <v>213</v>
      </c>
      <c r="P1008">
        <v>10.199999999999999</v>
      </c>
      <c r="Q1008">
        <v>1</v>
      </c>
      <c r="R1008" t="s">
        <v>3564</v>
      </c>
      <c r="T1008" t="s">
        <v>3402</v>
      </c>
      <c r="U1008">
        <v>7</v>
      </c>
      <c r="V1008" t="s">
        <v>3840</v>
      </c>
    </row>
    <row r="1009" spans="1:22" ht="12.75" customHeight="1" x14ac:dyDescent="0.15">
      <c r="A1009">
        <v>19</v>
      </c>
      <c r="B1009">
        <v>2026</v>
      </c>
      <c r="C1009" s="21">
        <v>46150</v>
      </c>
      <c r="D1009" t="s">
        <v>96</v>
      </c>
      <c r="E1009" t="s">
        <v>97</v>
      </c>
      <c r="F1009" t="s">
        <v>21</v>
      </c>
      <c r="G1009">
        <v>4.5</v>
      </c>
      <c r="H1009" t="s">
        <v>3849</v>
      </c>
      <c r="I1009" t="s">
        <v>3850</v>
      </c>
      <c r="J1009" s="1" t="s">
        <v>26</v>
      </c>
      <c r="K1009" t="s">
        <v>2666</v>
      </c>
      <c r="L1009" t="s">
        <v>3587</v>
      </c>
      <c r="N1009">
        <v>3.45</v>
      </c>
      <c r="O1009" t="s">
        <v>3838</v>
      </c>
      <c r="P1009">
        <v>73.790000000000006</v>
      </c>
      <c r="T1009" t="s">
        <v>3402</v>
      </c>
      <c r="U1009">
        <v>7</v>
      </c>
      <c r="V1009" t="s">
        <v>3854</v>
      </c>
    </row>
    <row r="1010" spans="1:22" ht="12.75" customHeight="1" x14ac:dyDescent="0.15">
      <c r="A1010">
        <v>19</v>
      </c>
      <c r="B1010">
        <v>2026</v>
      </c>
      <c r="C1010" s="21">
        <v>46151</v>
      </c>
      <c r="D1010" t="s">
        <v>73</v>
      </c>
      <c r="E1010" t="s">
        <v>74</v>
      </c>
      <c r="F1010" t="s">
        <v>75</v>
      </c>
      <c r="G1010">
        <v>2.2999999999999998</v>
      </c>
      <c r="H1010" t="s">
        <v>3855</v>
      </c>
      <c r="I1010" t="s">
        <v>3808</v>
      </c>
      <c r="J1010" s="1" t="s">
        <v>26</v>
      </c>
      <c r="K1010" t="s">
        <v>181</v>
      </c>
      <c r="L1010" t="s">
        <v>3340</v>
      </c>
      <c r="M1010">
        <v>45</v>
      </c>
      <c r="N1010">
        <v>1.82</v>
      </c>
      <c r="O1010" t="s">
        <v>211</v>
      </c>
      <c r="P1010">
        <v>100</v>
      </c>
      <c r="R1010" t="s">
        <v>3377</v>
      </c>
      <c r="T1010" t="s">
        <v>3337</v>
      </c>
      <c r="U1010">
        <v>21</v>
      </c>
      <c r="V1010" t="s">
        <v>3856</v>
      </c>
    </row>
    <row r="1011" spans="1:22" ht="12.75" customHeight="1" x14ac:dyDescent="0.15">
      <c r="A1011">
        <v>19</v>
      </c>
      <c r="B1011">
        <v>2026</v>
      </c>
      <c r="C1011" s="21">
        <v>46151</v>
      </c>
      <c r="D1011" t="s">
        <v>73</v>
      </c>
      <c r="E1011" t="s">
        <v>74</v>
      </c>
      <c r="F1011" t="s">
        <v>75</v>
      </c>
      <c r="G1011">
        <v>2.2999999999999998</v>
      </c>
      <c r="H1011" t="s">
        <v>3855</v>
      </c>
      <c r="I1011" t="s">
        <v>3808</v>
      </c>
      <c r="J1011" s="1" t="s">
        <v>26</v>
      </c>
      <c r="K1011" t="s">
        <v>181</v>
      </c>
      <c r="L1011" t="s">
        <v>3340</v>
      </c>
      <c r="M1011">
        <v>62</v>
      </c>
      <c r="N1011">
        <v>1.82</v>
      </c>
      <c r="O1011" t="s">
        <v>211</v>
      </c>
      <c r="P1011">
        <v>100</v>
      </c>
      <c r="R1011" t="s">
        <v>3375</v>
      </c>
      <c r="T1011" t="s">
        <v>3337</v>
      </c>
      <c r="U1011">
        <v>21</v>
      </c>
      <c r="V1011" t="s">
        <v>3856</v>
      </c>
    </row>
    <row r="1012" spans="1:22" ht="12.75" customHeight="1" x14ac:dyDescent="0.15">
      <c r="A1012">
        <v>19</v>
      </c>
      <c r="B1012">
        <v>2026</v>
      </c>
      <c r="C1012" s="21">
        <v>46151</v>
      </c>
      <c r="D1012" t="s">
        <v>73</v>
      </c>
      <c r="E1012" t="s">
        <v>74</v>
      </c>
      <c r="F1012" t="s">
        <v>75</v>
      </c>
      <c r="G1012">
        <v>2.2999999999999998</v>
      </c>
      <c r="H1012" t="s">
        <v>3855</v>
      </c>
      <c r="I1012" t="s">
        <v>3808</v>
      </c>
      <c r="J1012" s="1" t="s">
        <v>26</v>
      </c>
      <c r="K1012" t="s">
        <v>181</v>
      </c>
      <c r="L1012" t="s">
        <v>3340</v>
      </c>
      <c r="M1012">
        <v>58</v>
      </c>
      <c r="N1012">
        <v>1.82</v>
      </c>
      <c r="O1012" t="s">
        <v>211</v>
      </c>
      <c r="P1012">
        <v>100</v>
      </c>
      <c r="R1012" t="s">
        <v>3343</v>
      </c>
      <c r="T1012" t="s">
        <v>3337</v>
      </c>
      <c r="U1012">
        <v>21</v>
      </c>
      <c r="V1012" t="s">
        <v>3856</v>
      </c>
    </row>
    <row r="1013" spans="1:22" ht="12.75" customHeight="1" x14ac:dyDescent="0.15">
      <c r="A1013">
        <v>19</v>
      </c>
      <c r="B1013">
        <v>2026</v>
      </c>
      <c r="C1013" s="21">
        <v>46151</v>
      </c>
      <c r="D1013" t="s">
        <v>73</v>
      </c>
      <c r="E1013" t="s">
        <v>74</v>
      </c>
      <c r="F1013" t="s">
        <v>75</v>
      </c>
      <c r="G1013">
        <v>2.2999999999999998</v>
      </c>
      <c r="H1013" t="s">
        <v>3855</v>
      </c>
      <c r="I1013" t="s">
        <v>3808</v>
      </c>
      <c r="J1013" s="1" t="s">
        <v>26</v>
      </c>
      <c r="K1013" t="s">
        <v>181</v>
      </c>
      <c r="L1013" t="s">
        <v>3340</v>
      </c>
      <c r="M1013">
        <v>132</v>
      </c>
      <c r="N1013">
        <v>1.82</v>
      </c>
      <c r="O1013" t="s">
        <v>211</v>
      </c>
      <c r="P1013">
        <v>100</v>
      </c>
      <c r="R1013" t="s">
        <v>3368</v>
      </c>
      <c r="T1013" t="s">
        <v>3337</v>
      </c>
      <c r="U1013">
        <v>21</v>
      </c>
      <c r="V1013" t="s">
        <v>3856</v>
      </c>
    </row>
    <row r="1014" spans="1:22" ht="12.75" customHeight="1" x14ac:dyDescent="0.15">
      <c r="A1014">
        <v>19</v>
      </c>
      <c r="B1014">
        <v>2026</v>
      </c>
      <c r="C1014" s="21">
        <v>46151</v>
      </c>
      <c r="D1014" t="s">
        <v>73</v>
      </c>
      <c r="E1014" t="s">
        <v>74</v>
      </c>
      <c r="F1014" t="s">
        <v>75</v>
      </c>
      <c r="G1014">
        <v>2.2999999999999998</v>
      </c>
      <c r="H1014" t="s">
        <v>3855</v>
      </c>
      <c r="I1014" t="s">
        <v>3808</v>
      </c>
      <c r="J1014" s="1" t="s">
        <v>26</v>
      </c>
      <c r="K1014" t="s">
        <v>181</v>
      </c>
      <c r="L1014" t="s">
        <v>3340</v>
      </c>
      <c r="M1014">
        <v>81</v>
      </c>
      <c r="N1014">
        <v>1.82</v>
      </c>
      <c r="O1014" t="s">
        <v>211</v>
      </c>
      <c r="P1014">
        <v>100</v>
      </c>
      <c r="R1014" t="s">
        <v>3374</v>
      </c>
      <c r="T1014" t="s">
        <v>3337</v>
      </c>
      <c r="U1014">
        <v>21</v>
      </c>
      <c r="V1014" t="s">
        <v>3856</v>
      </c>
    </row>
    <row r="1015" spans="1:22" ht="12.75" customHeight="1" x14ac:dyDescent="0.15">
      <c r="A1015">
        <v>19</v>
      </c>
      <c r="B1015">
        <v>2026</v>
      </c>
      <c r="C1015" s="21">
        <v>46151</v>
      </c>
      <c r="D1015" t="s">
        <v>47</v>
      </c>
      <c r="E1015" t="s">
        <v>48</v>
      </c>
      <c r="F1015" t="s">
        <v>21</v>
      </c>
      <c r="G1015">
        <v>2</v>
      </c>
      <c r="H1015" t="s">
        <v>3346</v>
      </c>
      <c r="I1015" t="s">
        <v>212</v>
      </c>
      <c r="J1015" s="1" t="s">
        <v>188</v>
      </c>
      <c r="K1015" t="s">
        <v>181</v>
      </c>
      <c r="L1015" t="s">
        <v>3333</v>
      </c>
      <c r="M1015">
        <v>1</v>
      </c>
      <c r="N1015">
        <v>1</v>
      </c>
      <c r="O1015" t="s">
        <v>3358</v>
      </c>
      <c r="P1015">
        <v>71.86</v>
      </c>
      <c r="Q1015">
        <v>8</v>
      </c>
      <c r="R1015" t="s">
        <v>3359</v>
      </c>
      <c r="T1015" t="s">
        <v>3337</v>
      </c>
      <c r="U1015">
        <v>79</v>
      </c>
      <c r="V1015" t="s">
        <v>3452</v>
      </c>
    </row>
    <row r="1016" spans="1:22" ht="12.75" customHeight="1" x14ac:dyDescent="0.15">
      <c r="A1016">
        <v>19</v>
      </c>
      <c r="B1016">
        <v>2026</v>
      </c>
      <c r="C1016" s="21">
        <v>46151</v>
      </c>
      <c r="D1016" t="s">
        <v>101</v>
      </c>
      <c r="E1016" t="s">
        <v>102</v>
      </c>
      <c r="F1016" t="s">
        <v>75</v>
      </c>
      <c r="G1016">
        <v>7.6</v>
      </c>
      <c r="H1016" t="s">
        <v>3346</v>
      </c>
      <c r="I1016" t="s">
        <v>212</v>
      </c>
      <c r="J1016" s="1" t="s">
        <v>188</v>
      </c>
      <c r="K1016" t="s">
        <v>181</v>
      </c>
      <c r="L1016" t="s">
        <v>3333</v>
      </c>
      <c r="M1016">
        <v>6</v>
      </c>
      <c r="N1016">
        <v>1</v>
      </c>
      <c r="O1016" t="s">
        <v>3334</v>
      </c>
      <c r="P1016">
        <v>81.58</v>
      </c>
      <c r="Q1016">
        <v>8</v>
      </c>
      <c r="R1016" t="s">
        <v>3335</v>
      </c>
      <c r="S1016" t="s">
        <v>3857</v>
      </c>
      <c r="T1016" t="s">
        <v>3337</v>
      </c>
      <c r="U1016">
        <v>11</v>
      </c>
      <c r="V1016" t="s">
        <v>3338</v>
      </c>
    </row>
    <row r="1017" spans="1:22" ht="12.75" customHeight="1" x14ac:dyDescent="0.15">
      <c r="A1017">
        <v>19</v>
      </c>
      <c r="B1017">
        <v>2026</v>
      </c>
      <c r="C1017" s="21">
        <v>46151</v>
      </c>
      <c r="D1017" t="s">
        <v>96</v>
      </c>
      <c r="E1017" t="s">
        <v>97</v>
      </c>
      <c r="F1017" t="s">
        <v>21</v>
      </c>
      <c r="G1017">
        <v>4.5</v>
      </c>
      <c r="H1017" t="s">
        <v>3505</v>
      </c>
      <c r="I1017" t="s">
        <v>29</v>
      </c>
      <c r="J1017" s="1" t="s">
        <v>30</v>
      </c>
      <c r="K1017" t="s">
        <v>181</v>
      </c>
      <c r="L1017" t="s">
        <v>3333</v>
      </c>
      <c r="M1017">
        <v>2</v>
      </c>
      <c r="N1017">
        <v>0.33</v>
      </c>
      <c r="O1017" t="s">
        <v>3440</v>
      </c>
      <c r="P1017">
        <v>29.41</v>
      </c>
      <c r="Q1017">
        <v>2.6</v>
      </c>
      <c r="R1017" t="s">
        <v>3424</v>
      </c>
      <c r="T1017" t="s">
        <v>3337</v>
      </c>
      <c r="U1017">
        <v>8</v>
      </c>
      <c r="V1017" t="s">
        <v>3858</v>
      </c>
    </row>
    <row r="1018" spans="1:22" ht="12.75" customHeight="1" x14ac:dyDescent="0.15">
      <c r="A1018">
        <v>19</v>
      </c>
      <c r="B1018">
        <v>2026</v>
      </c>
      <c r="C1018" s="21">
        <v>46151</v>
      </c>
      <c r="D1018" t="s">
        <v>96</v>
      </c>
      <c r="E1018" t="s">
        <v>97</v>
      </c>
      <c r="F1018" t="s">
        <v>21</v>
      </c>
      <c r="G1018">
        <v>4.5</v>
      </c>
      <c r="H1018" t="s">
        <v>3505</v>
      </c>
      <c r="I1018" t="s">
        <v>29</v>
      </c>
      <c r="J1018" s="1" t="s">
        <v>30</v>
      </c>
      <c r="K1018" t="s">
        <v>181</v>
      </c>
      <c r="L1018" t="s">
        <v>3340</v>
      </c>
      <c r="M1018">
        <v>2</v>
      </c>
      <c r="N1018">
        <v>0.13</v>
      </c>
      <c r="O1018" t="s">
        <v>211</v>
      </c>
      <c r="P1018">
        <v>7.31</v>
      </c>
      <c r="R1018" t="s">
        <v>3424</v>
      </c>
      <c r="T1018" t="s">
        <v>3337</v>
      </c>
      <c r="U1018">
        <v>8</v>
      </c>
      <c r="V1018" t="s">
        <v>3859</v>
      </c>
    </row>
    <row r="1019" spans="1:22" ht="12.75" customHeight="1" x14ac:dyDescent="0.15">
      <c r="A1019">
        <v>19</v>
      </c>
      <c r="B1019">
        <v>2026</v>
      </c>
      <c r="C1019" s="21">
        <v>46151</v>
      </c>
      <c r="D1019" t="s">
        <v>96</v>
      </c>
      <c r="E1019" t="s">
        <v>97</v>
      </c>
      <c r="F1019" t="s">
        <v>21</v>
      </c>
      <c r="G1019">
        <v>4.5</v>
      </c>
      <c r="H1019" t="s">
        <v>3495</v>
      </c>
      <c r="I1019" t="s">
        <v>29</v>
      </c>
      <c r="J1019" s="1" t="s">
        <v>30</v>
      </c>
      <c r="K1019" t="s">
        <v>181</v>
      </c>
      <c r="L1019" t="s">
        <v>3333</v>
      </c>
      <c r="M1019">
        <v>67</v>
      </c>
      <c r="N1019">
        <v>0.41</v>
      </c>
      <c r="O1019" t="s">
        <v>3334</v>
      </c>
      <c r="P1019">
        <v>33.14</v>
      </c>
      <c r="Q1019">
        <v>3.25</v>
      </c>
      <c r="R1019" t="s">
        <v>3404</v>
      </c>
      <c r="S1019" t="s">
        <v>3860</v>
      </c>
      <c r="T1019" t="s">
        <v>3402</v>
      </c>
      <c r="U1019">
        <v>8</v>
      </c>
      <c r="V1019" t="s">
        <v>3861</v>
      </c>
    </row>
    <row r="1020" spans="1:22" ht="12.75" customHeight="1" x14ac:dyDescent="0.15">
      <c r="A1020">
        <v>19</v>
      </c>
      <c r="B1020">
        <v>2026</v>
      </c>
      <c r="C1020" s="21">
        <v>46151</v>
      </c>
      <c r="D1020" t="s">
        <v>96</v>
      </c>
      <c r="E1020" t="s">
        <v>97</v>
      </c>
      <c r="F1020" t="s">
        <v>21</v>
      </c>
      <c r="G1020">
        <v>4.5</v>
      </c>
      <c r="H1020" t="s">
        <v>3495</v>
      </c>
      <c r="I1020" t="s">
        <v>29</v>
      </c>
      <c r="J1020" s="1" t="s">
        <v>30</v>
      </c>
      <c r="K1020" t="s">
        <v>181</v>
      </c>
      <c r="L1020" t="s">
        <v>3333</v>
      </c>
      <c r="M1020">
        <v>19</v>
      </c>
      <c r="N1020">
        <v>0.41</v>
      </c>
      <c r="O1020" t="s">
        <v>3334</v>
      </c>
      <c r="P1020">
        <v>33.14</v>
      </c>
      <c r="Q1020">
        <v>3.25</v>
      </c>
      <c r="R1020" t="s">
        <v>3403</v>
      </c>
      <c r="T1020" t="s">
        <v>3402</v>
      </c>
      <c r="U1020">
        <v>8</v>
      </c>
      <c r="V1020" t="s">
        <v>3861</v>
      </c>
    </row>
    <row r="1021" spans="1:22" ht="12.75" customHeight="1" x14ac:dyDescent="0.15">
      <c r="A1021">
        <v>19</v>
      </c>
      <c r="B1021">
        <v>2026</v>
      </c>
      <c r="C1021" s="21">
        <v>46151</v>
      </c>
      <c r="D1021" t="s">
        <v>96</v>
      </c>
      <c r="E1021" t="s">
        <v>97</v>
      </c>
      <c r="F1021" t="s">
        <v>21</v>
      </c>
      <c r="G1021">
        <v>4.5</v>
      </c>
      <c r="H1021" t="s">
        <v>3845</v>
      </c>
      <c r="I1021" t="s">
        <v>380</v>
      </c>
      <c r="J1021" s="1" t="s">
        <v>3533</v>
      </c>
      <c r="K1021" t="s">
        <v>181</v>
      </c>
      <c r="L1021" t="s">
        <v>3333</v>
      </c>
      <c r="M1021">
        <v>4</v>
      </c>
      <c r="N1021">
        <v>1</v>
      </c>
      <c r="O1021" t="s">
        <v>3334</v>
      </c>
      <c r="P1021">
        <v>81.58</v>
      </c>
      <c r="Q1021">
        <v>8</v>
      </c>
      <c r="R1021" t="s">
        <v>3773</v>
      </c>
      <c r="T1021" t="s">
        <v>3402</v>
      </c>
      <c r="U1021">
        <v>8</v>
      </c>
      <c r="V1021" t="s">
        <v>3826</v>
      </c>
    </row>
    <row r="1022" spans="1:22" ht="12.75" customHeight="1" x14ac:dyDescent="0.15">
      <c r="A1022">
        <v>19</v>
      </c>
      <c r="B1022">
        <v>2026</v>
      </c>
      <c r="C1022" s="21">
        <v>46151</v>
      </c>
      <c r="D1022" t="s">
        <v>96</v>
      </c>
      <c r="E1022" t="s">
        <v>97</v>
      </c>
      <c r="F1022" t="s">
        <v>21</v>
      </c>
      <c r="G1022">
        <v>4.5</v>
      </c>
      <c r="H1022" t="s">
        <v>3845</v>
      </c>
      <c r="I1022" t="s">
        <v>380</v>
      </c>
      <c r="J1022" s="1" t="s">
        <v>3533</v>
      </c>
      <c r="K1022" t="s">
        <v>181</v>
      </c>
      <c r="L1022" t="s">
        <v>3333</v>
      </c>
      <c r="M1022">
        <v>3</v>
      </c>
      <c r="N1022">
        <v>1</v>
      </c>
      <c r="O1022" t="s">
        <v>3334</v>
      </c>
      <c r="P1022">
        <v>81.58</v>
      </c>
      <c r="Q1022">
        <v>8</v>
      </c>
      <c r="R1022" t="s">
        <v>3478</v>
      </c>
      <c r="T1022" t="s">
        <v>3402</v>
      </c>
      <c r="U1022">
        <v>8</v>
      </c>
      <c r="V1022" t="s">
        <v>3826</v>
      </c>
    </row>
    <row r="1023" spans="1:22" ht="12.75" customHeight="1" x14ac:dyDescent="0.15">
      <c r="A1023">
        <v>19</v>
      </c>
      <c r="B1023">
        <v>2026</v>
      </c>
      <c r="C1023" s="21">
        <v>46151</v>
      </c>
      <c r="D1023" t="s">
        <v>96</v>
      </c>
      <c r="E1023" t="s">
        <v>97</v>
      </c>
      <c r="F1023" t="s">
        <v>21</v>
      </c>
      <c r="G1023">
        <v>4.5</v>
      </c>
      <c r="H1023" t="s">
        <v>3803</v>
      </c>
      <c r="I1023" t="s">
        <v>3537</v>
      </c>
      <c r="J1023" s="1" t="s">
        <v>3533</v>
      </c>
      <c r="K1023" t="s">
        <v>181</v>
      </c>
      <c r="L1023" t="s">
        <v>3333</v>
      </c>
      <c r="M1023">
        <v>86</v>
      </c>
      <c r="N1023">
        <v>0.63</v>
      </c>
      <c r="O1023" t="s">
        <v>3334</v>
      </c>
      <c r="P1023">
        <v>50.99</v>
      </c>
      <c r="Q1023">
        <v>5</v>
      </c>
      <c r="R1023" t="s">
        <v>3386</v>
      </c>
      <c r="T1023" t="s">
        <v>3402</v>
      </c>
      <c r="U1023">
        <v>8</v>
      </c>
      <c r="V1023" t="s">
        <v>3815</v>
      </c>
    </row>
    <row r="1024" spans="1:22" ht="12.75" customHeight="1" x14ac:dyDescent="0.15">
      <c r="A1024">
        <v>19</v>
      </c>
      <c r="B1024">
        <v>2026</v>
      </c>
      <c r="C1024" s="21">
        <v>46151</v>
      </c>
      <c r="D1024" t="s">
        <v>53</v>
      </c>
      <c r="E1024" t="s">
        <v>54</v>
      </c>
      <c r="F1024" t="s">
        <v>21</v>
      </c>
      <c r="G1024">
        <v>2</v>
      </c>
      <c r="H1024" t="s">
        <v>3332</v>
      </c>
      <c r="I1024" t="s">
        <v>177</v>
      </c>
      <c r="J1024" s="1" t="s">
        <v>26</v>
      </c>
      <c r="K1024" t="s">
        <v>181</v>
      </c>
      <c r="L1024" t="s">
        <v>3333</v>
      </c>
      <c r="M1024">
        <v>86</v>
      </c>
      <c r="N1024">
        <v>0.25</v>
      </c>
      <c r="O1024" t="s">
        <v>3334</v>
      </c>
      <c r="P1024">
        <v>20.399999999999999</v>
      </c>
      <c r="Q1024">
        <v>2</v>
      </c>
      <c r="R1024" t="s">
        <v>3386</v>
      </c>
      <c r="T1024" t="s">
        <v>3402</v>
      </c>
      <c r="U1024">
        <v>65</v>
      </c>
      <c r="V1024" t="s">
        <v>3472</v>
      </c>
    </row>
    <row r="1025" spans="1:22" ht="12.75" customHeight="1" x14ac:dyDescent="0.15">
      <c r="A1025">
        <v>19</v>
      </c>
      <c r="B1025">
        <v>2026</v>
      </c>
      <c r="C1025" s="21">
        <v>46153</v>
      </c>
      <c r="D1025" t="s">
        <v>96</v>
      </c>
      <c r="E1025" t="s">
        <v>97</v>
      </c>
      <c r="F1025" t="s">
        <v>21</v>
      </c>
      <c r="G1025">
        <v>4.5</v>
      </c>
      <c r="H1025" t="s">
        <v>3519</v>
      </c>
      <c r="I1025" t="s">
        <v>214</v>
      </c>
      <c r="J1025" s="1" t="s">
        <v>215</v>
      </c>
      <c r="K1025" t="s">
        <v>181</v>
      </c>
      <c r="L1025" t="s">
        <v>3340</v>
      </c>
      <c r="M1025">
        <v>58</v>
      </c>
      <c r="N1025">
        <v>1.21</v>
      </c>
      <c r="O1025" t="s">
        <v>211</v>
      </c>
      <c r="P1025">
        <v>66.599999999999994</v>
      </c>
      <c r="R1025" t="s">
        <v>3343</v>
      </c>
      <c r="S1025" t="s">
        <v>3862</v>
      </c>
      <c r="T1025" t="s">
        <v>3337</v>
      </c>
      <c r="U1025">
        <v>10</v>
      </c>
      <c r="V1025" t="s">
        <v>3863</v>
      </c>
    </row>
    <row r="1026" spans="1:22" ht="12.75" customHeight="1" x14ac:dyDescent="0.15">
      <c r="A1026">
        <v>19</v>
      </c>
      <c r="B1026">
        <v>2026</v>
      </c>
      <c r="C1026" s="21">
        <v>46153</v>
      </c>
      <c r="D1026" t="s">
        <v>96</v>
      </c>
      <c r="E1026" t="s">
        <v>97</v>
      </c>
      <c r="F1026" t="s">
        <v>21</v>
      </c>
      <c r="G1026">
        <v>4.5</v>
      </c>
      <c r="H1026" t="s">
        <v>3519</v>
      </c>
      <c r="I1026" t="s">
        <v>214</v>
      </c>
      <c r="J1026" s="1" t="s">
        <v>215</v>
      </c>
      <c r="K1026" t="s">
        <v>181</v>
      </c>
      <c r="L1026" t="s">
        <v>3340</v>
      </c>
      <c r="M1026">
        <v>132</v>
      </c>
      <c r="N1026">
        <v>1.21</v>
      </c>
      <c r="O1026" t="s">
        <v>211</v>
      </c>
      <c r="P1026">
        <v>66.599999999999994</v>
      </c>
      <c r="R1026" t="s">
        <v>3368</v>
      </c>
      <c r="T1026" t="s">
        <v>3337</v>
      </c>
      <c r="U1026">
        <v>10</v>
      </c>
      <c r="V1026" t="s">
        <v>3863</v>
      </c>
    </row>
    <row r="1027" spans="1:22" ht="12.75" customHeight="1" x14ac:dyDescent="0.15">
      <c r="A1027">
        <v>19</v>
      </c>
      <c r="B1027">
        <v>2026</v>
      </c>
      <c r="C1027" s="21">
        <v>46153</v>
      </c>
      <c r="D1027" t="s">
        <v>96</v>
      </c>
      <c r="E1027" t="s">
        <v>97</v>
      </c>
      <c r="F1027" t="s">
        <v>21</v>
      </c>
      <c r="G1027">
        <v>4.5</v>
      </c>
      <c r="H1027" t="s">
        <v>3519</v>
      </c>
      <c r="I1027" t="s">
        <v>214</v>
      </c>
      <c r="J1027" s="1" t="s">
        <v>215</v>
      </c>
      <c r="K1027" t="s">
        <v>181</v>
      </c>
      <c r="L1027" t="s">
        <v>3340</v>
      </c>
      <c r="M1027">
        <v>81</v>
      </c>
      <c r="N1027">
        <v>1.21</v>
      </c>
      <c r="O1027" t="s">
        <v>211</v>
      </c>
      <c r="P1027">
        <v>66.599999999999994</v>
      </c>
      <c r="R1027" t="s">
        <v>3374</v>
      </c>
      <c r="T1027" t="s">
        <v>3337</v>
      </c>
      <c r="U1027">
        <v>10</v>
      </c>
      <c r="V1027" t="s">
        <v>3863</v>
      </c>
    </row>
    <row r="1028" spans="1:22" ht="12.75" customHeight="1" x14ac:dyDescent="0.15">
      <c r="A1028">
        <v>19</v>
      </c>
      <c r="B1028">
        <v>2026</v>
      </c>
      <c r="C1028" s="21">
        <v>46153</v>
      </c>
      <c r="D1028" t="s">
        <v>73</v>
      </c>
      <c r="E1028" t="s">
        <v>74</v>
      </c>
      <c r="F1028" t="s">
        <v>75</v>
      </c>
      <c r="G1028">
        <v>2.2999999999999998</v>
      </c>
      <c r="H1028" t="s">
        <v>3789</v>
      </c>
      <c r="I1028" t="s">
        <v>3790</v>
      </c>
      <c r="J1028" s="1" t="s">
        <v>207</v>
      </c>
      <c r="K1028" t="s">
        <v>181</v>
      </c>
      <c r="L1028" t="s">
        <v>3340</v>
      </c>
      <c r="M1028">
        <v>58</v>
      </c>
      <c r="N1028">
        <v>0.25</v>
      </c>
      <c r="O1028" t="s">
        <v>211</v>
      </c>
      <c r="P1028">
        <v>13.75</v>
      </c>
      <c r="R1028" t="s">
        <v>3343</v>
      </c>
      <c r="T1028" t="s">
        <v>3337</v>
      </c>
      <c r="U1028">
        <v>23</v>
      </c>
      <c r="V1028" t="s">
        <v>3864</v>
      </c>
    </row>
    <row r="1029" spans="1:22" ht="12.75" customHeight="1" x14ac:dyDescent="0.15">
      <c r="A1029">
        <v>19</v>
      </c>
      <c r="B1029">
        <v>2026</v>
      </c>
      <c r="C1029" s="21">
        <v>46153</v>
      </c>
      <c r="D1029" t="s">
        <v>73</v>
      </c>
      <c r="E1029" t="s">
        <v>74</v>
      </c>
      <c r="F1029" t="s">
        <v>75</v>
      </c>
      <c r="G1029">
        <v>2.2999999999999998</v>
      </c>
      <c r="H1029" t="s">
        <v>3789</v>
      </c>
      <c r="I1029" t="s">
        <v>3790</v>
      </c>
      <c r="J1029" s="1" t="s">
        <v>207</v>
      </c>
      <c r="K1029" t="s">
        <v>181</v>
      </c>
      <c r="L1029" t="s">
        <v>3340</v>
      </c>
      <c r="M1029">
        <v>81</v>
      </c>
      <c r="N1029">
        <v>0.25</v>
      </c>
      <c r="O1029" t="s">
        <v>211</v>
      </c>
      <c r="P1029">
        <v>13.75</v>
      </c>
      <c r="R1029" t="s">
        <v>3374</v>
      </c>
      <c r="T1029" t="s">
        <v>3337</v>
      </c>
      <c r="U1029">
        <v>23</v>
      </c>
      <c r="V1029" t="s">
        <v>3864</v>
      </c>
    </row>
    <row r="1030" spans="1:22" ht="12.75" customHeight="1" x14ac:dyDescent="0.15">
      <c r="A1030">
        <v>19</v>
      </c>
      <c r="B1030">
        <v>2026</v>
      </c>
      <c r="C1030" s="21">
        <v>46153</v>
      </c>
      <c r="D1030" t="s">
        <v>101</v>
      </c>
      <c r="E1030" t="s">
        <v>102</v>
      </c>
      <c r="F1030" t="s">
        <v>75</v>
      </c>
      <c r="G1030">
        <v>7.6</v>
      </c>
      <c r="H1030" t="s">
        <v>3865</v>
      </c>
      <c r="I1030" t="s">
        <v>3866</v>
      </c>
      <c r="J1030" s="1" t="s">
        <v>30</v>
      </c>
      <c r="K1030" t="s">
        <v>181</v>
      </c>
      <c r="L1030" t="s">
        <v>3340</v>
      </c>
      <c r="M1030">
        <v>58</v>
      </c>
      <c r="N1030">
        <v>0.25</v>
      </c>
      <c r="O1030" t="s">
        <v>211</v>
      </c>
      <c r="P1030">
        <v>13.75</v>
      </c>
      <c r="R1030" t="s">
        <v>3343</v>
      </c>
      <c r="T1030" t="s">
        <v>3337</v>
      </c>
      <c r="U1030">
        <v>13</v>
      </c>
      <c r="V1030" t="s">
        <v>3867</v>
      </c>
    </row>
    <row r="1031" spans="1:22" ht="12.75" customHeight="1" x14ac:dyDescent="0.15">
      <c r="A1031">
        <v>19</v>
      </c>
      <c r="B1031">
        <v>2026</v>
      </c>
      <c r="C1031" s="21">
        <v>46153</v>
      </c>
      <c r="D1031" t="s">
        <v>101</v>
      </c>
      <c r="E1031" t="s">
        <v>102</v>
      </c>
      <c r="F1031" t="s">
        <v>75</v>
      </c>
      <c r="G1031">
        <v>7.6</v>
      </c>
      <c r="H1031" t="s">
        <v>3865</v>
      </c>
      <c r="I1031" t="s">
        <v>3866</v>
      </c>
      <c r="J1031" s="1" t="s">
        <v>30</v>
      </c>
      <c r="K1031" t="s">
        <v>181</v>
      </c>
      <c r="L1031" t="s">
        <v>3340</v>
      </c>
      <c r="M1031">
        <v>81</v>
      </c>
      <c r="N1031">
        <v>0.25</v>
      </c>
      <c r="O1031" t="s">
        <v>211</v>
      </c>
      <c r="P1031">
        <v>13.75</v>
      </c>
      <c r="R1031" t="s">
        <v>3374</v>
      </c>
      <c r="T1031" t="s">
        <v>3337</v>
      </c>
      <c r="U1031">
        <v>13</v>
      </c>
      <c r="V1031" t="s">
        <v>3867</v>
      </c>
    </row>
    <row r="1032" spans="1:22" ht="12.75" customHeight="1" x14ac:dyDescent="0.15">
      <c r="A1032">
        <v>19</v>
      </c>
      <c r="B1032">
        <v>2026</v>
      </c>
      <c r="C1032" s="21">
        <v>46153</v>
      </c>
      <c r="D1032" t="s">
        <v>107</v>
      </c>
      <c r="E1032" t="s">
        <v>108</v>
      </c>
      <c r="F1032" t="s">
        <v>21</v>
      </c>
      <c r="G1032">
        <v>4.5</v>
      </c>
      <c r="H1032" t="s">
        <v>3868</v>
      </c>
      <c r="I1032" t="s">
        <v>3869</v>
      </c>
      <c r="J1032" s="1" t="s">
        <v>3696</v>
      </c>
      <c r="K1032" t="s">
        <v>181</v>
      </c>
      <c r="L1032" t="s">
        <v>3333</v>
      </c>
      <c r="M1032">
        <v>6</v>
      </c>
      <c r="N1032">
        <v>0.5</v>
      </c>
      <c r="O1032" t="s">
        <v>3334</v>
      </c>
      <c r="P1032">
        <v>40.79</v>
      </c>
      <c r="Q1032">
        <v>4</v>
      </c>
      <c r="R1032" t="s">
        <v>3335</v>
      </c>
      <c r="T1032" t="s">
        <v>3337</v>
      </c>
      <c r="U1032">
        <v>-4</v>
      </c>
      <c r="V1032" t="s">
        <v>3870</v>
      </c>
    </row>
    <row r="1033" spans="1:22" ht="12.75" customHeight="1" x14ac:dyDescent="0.15">
      <c r="A1033">
        <v>19</v>
      </c>
      <c r="B1033">
        <v>2026</v>
      </c>
      <c r="C1033" s="21">
        <v>46153</v>
      </c>
      <c r="D1033" t="s">
        <v>80</v>
      </c>
      <c r="E1033" t="s">
        <v>81</v>
      </c>
      <c r="F1033" t="s">
        <v>21</v>
      </c>
      <c r="G1033">
        <v>2.2999999999999998</v>
      </c>
      <c r="H1033" t="s">
        <v>3339</v>
      </c>
      <c r="I1033" t="s">
        <v>187</v>
      </c>
      <c r="J1033" s="1" t="s">
        <v>188</v>
      </c>
      <c r="K1033" t="s">
        <v>181</v>
      </c>
      <c r="L1033" t="s">
        <v>3333</v>
      </c>
      <c r="M1033">
        <v>6</v>
      </c>
      <c r="N1033">
        <v>0.5</v>
      </c>
      <c r="O1033" t="s">
        <v>3334</v>
      </c>
      <c r="P1033">
        <v>40.79</v>
      </c>
      <c r="Q1033">
        <v>4</v>
      </c>
      <c r="R1033" t="s">
        <v>3335</v>
      </c>
      <c r="T1033" t="s">
        <v>3337</v>
      </c>
      <c r="U1033">
        <v>39</v>
      </c>
      <c r="V1033" t="s">
        <v>3871</v>
      </c>
    </row>
    <row r="1034" spans="1:22" ht="12.75" customHeight="1" x14ac:dyDescent="0.15">
      <c r="A1034">
        <v>19</v>
      </c>
      <c r="B1034">
        <v>2026</v>
      </c>
      <c r="C1034" s="21">
        <v>46153</v>
      </c>
      <c r="D1034" t="s">
        <v>107</v>
      </c>
      <c r="E1034" t="s">
        <v>108</v>
      </c>
      <c r="F1034" t="s">
        <v>21</v>
      </c>
      <c r="G1034">
        <v>4.5</v>
      </c>
      <c r="H1034" t="s">
        <v>3868</v>
      </c>
      <c r="I1034" t="s">
        <v>3869</v>
      </c>
      <c r="J1034" s="1" t="s">
        <v>3696</v>
      </c>
      <c r="K1034" t="s">
        <v>181</v>
      </c>
      <c r="L1034" t="s">
        <v>3333</v>
      </c>
      <c r="M1034">
        <v>1</v>
      </c>
      <c r="N1034">
        <v>0.5</v>
      </c>
      <c r="O1034" t="s">
        <v>3358</v>
      </c>
      <c r="P1034">
        <v>35.93</v>
      </c>
      <c r="Q1034">
        <v>4</v>
      </c>
      <c r="R1034" t="s">
        <v>3359</v>
      </c>
      <c r="T1034" t="s">
        <v>3337</v>
      </c>
      <c r="U1034">
        <v>-4</v>
      </c>
      <c r="V1034" t="s">
        <v>3872</v>
      </c>
    </row>
    <row r="1035" spans="1:22" ht="12.75" customHeight="1" x14ac:dyDescent="0.15">
      <c r="A1035">
        <v>19</v>
      </c>
      <c r="B1035">
        <v>2026</v>
      </c>
      <c r="C1035" s="21">
        <v>46153</v>
      </c>
      <c r="D1035" t="s">
        <v>39</v>
      </c>
      <c r="E1035" t="s">
        <v>40</v>
      </c>
      <c r="F1035" t="s">
        <v>21</v>
      </c>
      <c r="G1035">
        <v>1.91</v>
      </c>
      <c r="H1035" t="s">
        <v>3796</v>
      </c>
      <c r="I1035" t="s">
        <v>3667</v>
      </c>
      <c r="J1035" s="1" t="s">
        <v>3668</v>
      </c>
      <c r="K1035" t="s">
        <v>181</v>
      </c>
      <c r="L1035" t="s">
        <v>3333</v>
      </c>
      <c r="M1035">
        <v>1</v>
      </c>
      <c r="N1035">
        <v>0.5</v>
      </c>
      <c r="O1035" t="s">
        <v>3358</v>
      </c>
      <c r="P1035">
        <v>35.93</v>
      </c>
      <c r="Q1035">
        <v>4</v>
      </c>
      <c r="R1035" t="s">
        <v>3359</v>
      </c>
      <c r="T1035" t="s">
        <v>3337</v>
      </c>
      <c r="U1035">
        <v>116</v>
      </c>
      <c r="V1035" t="s">
        <v>3511</v>
      </c>
    </row>
    <row r="1036" spans="1:22" ht="12.75" customHeight="1" x14ac:dyDescent="0.15">
      <c r="A1036">
        <v>19</v>
      </c>
      <c r="B1036">
        <v>2026</v>
      </c>
      <c r="C1036" s="21">
        <v>46153</v>
      </c>
      <c r="D1036" t="s">
        <v>96</v>
      </c>
      <c r="E1036" t="s">
        <v>97</v>
      </c>
      <c r="F1036" t="s">
        <v>21</v>
      </c>
      <c r="G1036">
        <v>4.5</v>
      </c>
      <c r="H1036" t="s">
        <v>3614</v>
      </c>
      <c r="I1036" t="s">
        <v>3615</v>
      </c>
      <c r="J1036" s="1" t="s">
        <v>3533</v>
      </c>
      <c r="K1036" t="s">
        <v>181</v>
      </c>
      <c r="L1036" t="s">
        <v>3333</v>
      </c>
      <c r="M1036">
        <v>3</v>
      </c>
      <c r="N1036">
        <v>0.22</v>
      </c>
      <c r="O1036" t="s">
        <v>3334</v>
      </c>
      <c r="P1036">
        <v>17.850000000000001</v>
      </c>
      <c r="Q1036">
        <v>1.75</v>
      </c>
      <c r="R1036" t="s">
        <v>3478</v>
      </c>
      <c r="T1036" t="s">
        <v>3402</v>
      </c>
      <c r="U1036">
        <v>10</v>
      </c>
      <c r="V1036" t="s">
        <v>3873</v>
      </c>
    </row>
    <row r="1037" spans="1:22" ht="12.75" customHeight="1" x14ac:dyDescent="0.15">
      <c r="A1037">
        <v>19</v>
      </c>
      <c r="B1037">
        <v>2026</v>
      </c>
      <c r="C1037" s="21">
        <v>46153</v>
      </c>
      <c r="D1037" t="s">
        <v>96</v>
      </c>
      <c r="E1037" t="s">
        <v>97</v>
      </c>
      <c r="F1037" t="s">
        <v>21</v>
      </c>
      <c r="G1037">
        <v>4.5</v>
      </c>
      <c r="H1037" t="s">
        <v>3614</v>
      </c>
      <c r="I1037" t="s">
        <v>3615</v>
      </c>
      <c r="J1037" s="1" t="s">
        <v>3533</v>
      </c>
      <c r="K1037" t="s">
        <v>181</v>
      </c>
      <c r="L1037" t="s">
        <v>3333</v>
      </c>
      <c r="M1037">
        <v>4</v>
      </c>
      <c r="N1037">
        <v>0.22</v>
      </c>
      <c r="O1037" t="s">
        <v>3334</v>
      </c>
      <c r="P1037">
        <v>17.850000000000001</v>
      </c>
      <c r="Q1037">
        <v>1.75</v>
      </c>
      <c r="R1037" t="s">
        <v>3773</v>
      </c>
      <c r="T1037" t="s">
        <v>3402</v>
      </c>
      <c r="U1037">
        <v>10</v>
      </c>
      <c r="V1037" t="s">
        <v>3873</v>
      </c>
    </row>
    <row r="1038" spans="1:22" ht="12.75" customHeight="1" x14ac:dyDescent="0.15">
      <c r="A1038">
        <v>19</v>
      </c>
      <c r="B1038">
        <v>2026</v>
      </c>
      <c r="C1038" s="21">
        <v>46153</v>
      </c>
      <c r="D1038" t="s">
        <v>96</v>
      </c>
      <c r="E1038" t="s">
        <v>97</v>
      </c>
      <c r="F1038" t="s">
        <v>21</v>
      </c>
      <c r="G1038">
        <v>4.5</v>
      </c>
      <c r="H1038" t="s">
        <v>3799</v>
      </c>
      <c r="I1038" t="s">
        <v>3551</v>
      </c>
      <c r="J1038" s="1" t="s">
        <v>3533</v>
      </c>
      <c r="K1038" t="s">
        <v>181</v>
      </c>
      <c r="L1038" t="s">
        <v>3333</v>
      </c>
      <c r="M1038">
        <v>3</v>
      </c>
      <c r="N1038">
        <v>0.25</v>
      </c>
      <c r="O1038" t="s">
        <v>3334</v>
      </c>
      <c r="P1038">
        <v>20.399999999999999</v>
      </c>
      <c r="Q1038">
        <v>2</v>
      </c>
      <c r="R1038" t="s">
        <v>3478</v>
      </c>
      <c r="T1038" t="s">
        <v>3402</v>
      </c>
      <c r="U1038">
        <v>10</v>
      </c>
      <c r="V1038" t="s">
        <v>3837</v>
      </c>
    </row>
    <row r="1039" spans="1:22" ht="12.75" customHeight="1" x14ac:dyDescent="0.15">
      <c r="A1039">
        <v>19</v>
      </c>
      <c r="B1039">
        <v>2026</v>
      </c>
      <c r="C1039" s="21">
        <v>46153</v>
      </c>
      <c r="D1039" t="s">
        <v>96</v>
      </c>
      <c r="E1039" t="s">
        <v>97</v>
      </c>
      <c r="F1039" t="s">
        <v>21</v>
      </c>
      <c r="G1039">
        <v>4.5</v>
      </c>
      <c r="H1039" t="s">
        <v>3799</v>
      </c>
      <c r="I1039" t="s">
        <v>3551</v>
      </c>
      <c r="J1039" s="1" t="s">
        <v>3533</v>
      </c>
      <c r="K1039" t="s">
        <v>181</v>
      </c>
      <c r="L1039" t="s">
        <v>3333</v>
      </c>
      <c r="M1039">
        <v>4</v>
      </c>
      <c r="N1039">
        <v>0.25</v>
      </c>
      <c r="O1039" t="s">
        <v>3334</v>
      </c>
      <c r="P1039">
        <v>20.399999999999999</v>
      </c>
      <c r="Q1039">
        <v>2</v>
      </c>
      <c r="R1039" t="s">
        <v>3773</v>
      </c>
      <c r="T1039" t="s">
        <v>3402</v>
      </c>
      <c r="U1039">
        <v>10</v>
      </c>
      <c r="V1039" t="s">
        <v>3837</v>
      </c>
    </row>
    <row r="1040" spans="1:22" ht="12.75" customHeight="1" x14ac:dyDescent="0.15">
      <c r="A1040">
        <v>19</v>
      </c>
      <c r="B1040">
        <v>2026</v>
      </c>
      <c r="C1040" s="21">
        <v>46153</v>
      </c>
      <c r="D1040" t="s">
        <v>68</v>
      </c>
      <c r="E1040" t="s">
        <v>69</v>
      </c>
      <c r="F1040" t="s">
        <v>21</v>
      </c>
      <c r="G1040">
        <v>1</v>
      </c>
      <c r="H1040" t="s">
        <v>3874</v>
      </c>
      <c r="I1040" t="s">
        <v>3532</v>
      </c>
      <c r="J1040" s="1" t="s">
        <v>3533</v>
      </c>
      <c r="K1040" t="s">
        <v>181</v>
      </c>
      <c r="L1040" t="s">
        <v>3333</v>
      </c>
      <c r="M1040">
        <v>3</v>
      </c>
      <c r="N1040">
        <v>0.06</v>
      </c>
      <c r="O1040" t="s">
        <v>3334</v>
      </c>
      <c r="P1040">
        <v>5.0999999999999996</v>
      </c>
      <c r="Q1040">
        <v>0.5</v>
      </c>
      <c r="R1040" t="s">
        <v>3478</v>
      </c>
      <c r="T1040" t="s">
        <v>3402</v>
      </c>
      <c r="U1040">
        <v>39</v>
      </c>
      <c r="V1040" t="s">
        <v>3463</v>
      </c>
    </row>
    <row r="1041" spans="1:22" ht="12.75" customHeight="1" x14ac:dyDescent="0.15">
      <c r="A1041">
        <v>19</v>
      </c>
      <c r="B1041">
        <v>2026</v>
      </c>
      <c r="C1041" s="21">
        <v>46153</v>
      </c>
      <c r="D1041" t="s">
        <v>68</v>
      </c>
      <c r="E1041" t="s">
        <v>69</v>
      </c>
      <c r="F1041" t="s">
        <v>21</v>
      </c>
      <c r="G1041">
        <v>1</v>
      </c>
      <c r="H1041" t="s">
        <v>3874</v>
      </c>
      <c r="I1041" t="s">
        <v>3532</v>
      </c>
      <c r="J1041" s="1" t="s">
        <v>3533</v>
      </c>
      <c r="K1041" t="s">
        <v>181</v>
      </c>
      <c r="L1041" t="s">
        <v>3333</v>
      </c>
      <c r="M1041">
        <v>4</v>
      </c>
      <c r="N1041">
        <v>0.06</v>
      </c>
      <c r="O1041" t="s">
        <v>3334</v>
      </c>
      <c r="P1041">
        <v>5.0999999999999996</v>
      </c>
      <c r="Q1041">
        <v>0.5</v>
      </c>
      <c r="R1041" t="s">
        <v>3773</v>
      </c>
      <c r="T1041" t="s">
        <v>3402</v>
      </c>
      <c r="U1041">
        <v>39</v>
      </c>
      <c r="V1041" t="s">
        <v>3463</v>
      </c>
    </row>
    <row r="1042" spans="1:22" ht="12.75" customHeight="1" x14ac:dyDescent="0.15">
      <c r="A1042">
        <v>19</v>
      </c>
      <c r="B1042">
        <v>2026</v>
      </c>
      <c r="C1042" s="21">
        <v>46153</v>
      </c>
      <c r="D1042" t="s">
        <v>89</v>
      </c>
      <c r="E1042" t="s">
        <v>90</v>
      </c>
      <c r="F1042" t="s">
        <v>21</v>
      </c>
      <c r="G1042">
        <v>1</v>
      </c>
      <c r="H1042" t="s">
        <v>3653</v>
      </c>
      <c r="I1042" t="s">
        <v>3566</v>
      </c>
      <c r="J1042" s="1" t="s">
        <v>3389</v>
      </c>
      <c r="K1042" t="s">
        <v>181</v>
      </c>
      <c r="L1042" t="s">
        <v>3333</v>
      </c>
      <c r="M1042">
        <v>86</v>
      </c>
      <c r="N1042">
        <v>0.13</v>
      </c>
      <c r="O1042" t="s">
        <v>3334</v>
      </c>
      <c r="P1042">
        <v>10.199999999999999</v>
      </c>
      <c r="Q1042">
        <v>1</v>
      </c>
      <c r="R1042" t="s">
        <v>3386</v>
      </c>
      <c r="T1042" t="s">
        <v>3402</v>
      </c>
      <c r="U1042">
        <v>26</v>
      </c>
      <c r="V1042" t="s">
        <v>3472</v>
      </c>
    </row>
    <row r="1043" spans="1:22" ht="12.75" customHeight="1" x14ac:dyDescent="0.15">
      <c r="A1043">
        <v>19</v>
      </c>
      <c r="B1043">
        <v>2026</v>
      </c>
      <c r="C1043" s="21">
        <v>46153</v>
      </c>
      <c r="D1043" t="s">
        <v>101</v>
      </c>
      <c r="E1043" t="s">
        <v>102</v>
      </c>
      <c r="F1043" t="s">
        <v>75</v>
      </c>
      <c r="G1043">
        <v>7.6</v>
      </c>
      <c r="H1043" t="s">
        <v>3875</v>
      </c>
      <c r="I1043" t="s">
        <v>3876</v>
      </c>
      <c r="J1043" s="1" t="s">
        <v>30</v>
      </c>
      <c r="K1043" t="s">
        <v>181</v>
      </c>
      <c r="L1043" t="s">
        <v>3333</v>
      </c>
      <c r="M1043">
        <v>86</v>
      </c>
      <c r="N1043">
        <v>0.25</v>
      </c>
      <c r="O1043" t="s">
        <v>3334</v>
      </c>
      <c r="P1043">
        <v>20.399999999999999</v>
      </c>
      <c r="Q1043">
        <v>2</v>
      </c>
      <c r="R1043" t="s">
        <v>3386</v>
      </c>
      <c r="T1043" t="s">
        <v>3402</v>
      </c>
      <c r="U1043">
        <v>13</v>
      </c>
      <c r="V1043" t="s">
        <v>3441</v>
      </c>
    </row>
    <row r="1044" spans="1:22" ht="12.75" customHeight="1" x14ac:dyDescent="0.15">
      <c r="A1044">
        <v>19</v>
      </c>
      <c r="B1044">
        <v>2026</v>
      </c>
      <c r="C1044" s="21">
        <v>46153</v>
      </c>
      <c r="D1044" t="s">
        <v>89</v>
      </c>
      <c r="E1044" t="s">
        <v>90</v>
      </c>
      <c r="F1044" t="s">
        <v>21</v>
      </c>
      <c r="G1044">
        <v>1</v>
      </c>
      <c r="H1044" t="s">
        <v>3653</v>
      </c>
      <c r="I1044" t="s">
        <v>3566</v>
      </c>
      <c r="J1044" s="1" t="s">
        <v>3389</v>
      </c>
      <c r="K1044" t="s">
        <v>181</v>
      </c>
      <c r="L1044" t="s">
        <v>3333</v>
      </c>
      <c r="M1044">
        <v>11</v>
      </c>
      <c r="N1044">
        <v>0.34</v>
      </c>
      <c r="O1044" t="s">
        <v>213</v>
      </c>
      <c r="P1044">
        <v>30.6</v>
      </c>
      <c r="Q1044">
        <v>3</v>
      </c>
      <c r="R1044" t="s">
        <v>3564</v>
      </c>
      <c r="T1044" t="s">
        <v>3402</v>
      </c>
      <c r="U1044">
        <v>26</v>
      </c>
      <c r="V1044" t="s">
        <v>3877</v>
      </c>
    </row>
    <row r="1045" spans="1:22" ht="12.75" customHeight="1" x14ac:dyDescent="0.15">
      <c r="A1045">
        <v>19</v>
      </c>
      <c r="B1045">
        <v>2026</v>
      </c>
      <c r="C1045" s="21">
        <v>46153</v>
      </c>
      <c r="D1045" t="s">
        <v>89</v>
      </c>
      <c r="E1045" t="s">
        <v>90</v>
      </c>
      <c r="F1045" t="s">
        <v>21</v>
      </c>
      <c r="G1045">
        <v>1</v>
      </c>
      <c r="H1045" t="s">
        <v>3878</v>
      </c>
      <c r="I1045" t="s">
        <v>3566</v>
      </c>
      <c r="J1045" s="1" t="s">
        <v>3389</v>
      </c>
      <c r="K1045" t="s">
        <v>2666</v>
      </c>
      <c r="L1045" t="s">
        <v>3587</v>
      </c>
      <c r="N1045">
        <v>1.53</v>
      </c>
      <c r="O1045" t="s">
        <v>3838</v>
      </c>
      <c r="P1045">
        <v>32.799999999999997</v>
      </c>
      <c r="T1045" t="s">
        <v>3402</v>
      </c>
      <c r="U1045">
        <v>26</v>
      </c>
      <c r="V1045" t="s">
        <v>3879</v>
      </c>
    </row>
    <row r="1046" spans="1:22" ht="12.75" customHeight="1" x14ac:dyDescent="0.15">
      <c r="A1046">
        <v>19</v>
      </c>
      <c r="B1046">
        <v>2026</v>
      </c>
      <c r="C1046" s="21">
        <v>46153</v>
      </c>
      <c r="D1046" t="s">
        <v>73</v>
      </c>
      <c r="E1046" t="s">
        <v>74</v>
      </c>
      <c r="F1046" t="s">
        <v>75</v>
      </c>
      <c r="G1046">
        <v>2.2999999999999998</v>
      </c>
      <c r="H1046" t="s">
        <v>3878</v>
      </c>
      <c r="I1046" t="s">
        <v>3566</v>
      </c>
      <c r="J1046" s="1" t="s">
        <v>3389</v>
      </c>
      <c r="K1046" t="s">
        <v>2666</v>
      </c>
      <c r="L1046" t="s">
        <v>3587</v>
      </c>
      <c r="N1046">
        <v>1.92</v>
      </c>
      <c r="O1046" t="s">
        <v>3838</v>
      </c>
      <c r="P1046">
        <v>41</v>
      </c>
      <c r="T1046" t="s">
        <v>3402</v>
      </c>
      <c r="U1046">
        <v>23</v>
      </c>
      <c r="V1046" t="s">
        <v>3880</v>
      </c>
    </row>
    <row r="1047" spans="1:22" ht="12.75" customHeight="1" x14ac:dyDescent="0.15">
      <c r="A1047">
        <v>19</v>
      </c>
      <c r="B1047">
        <v>2026</v>
      </c>
      <c r="C1047" s="21">
        <v>46154</v>
      </c>
      <c r="D1047" t="s">
        <v>73</v>
      </c>
      <c r="E1047" t="s">
        <v>74</v>
      </c>
      <c r="F1047" t="s">
        <v>75</v>
      </c>
      <c r="G1047">
        <v>2.2999999999999998</v>
      </c>
      <c r="H1047" t="s">
        <v>3776</v>
      </c>
      <c r="I1047" t="s">
        <v>3777</v>
      </c>
      <c r="J1047" s="1" t="s">
        <v>215</v>
      </c>
      <c r="K1047" t="s">
        <v>181</v>
      </c>
      <c r="L1047" t="s">
        <v>3340</v>
      </c>
      <c r="M1047">
        <v>45</v>
      </c>
      <c r="N1047">
        <v>0.13</v>
      </c>
      <c r="O1047" t="s">
        <v>211</v>
      </c>
      <c r="P1047">
        <v>7.15</v>
      </c>
      <c r="R1047" t="s">
        <v>3377</v>
      </c>
      <c r="S1047">
        <v>1.3</v>
      </c>
      <c r="T1047" t="s">
        <v>3337</v>
      </c>
      <c r="U1047">
        <v>24</v>
      </c>
      <c r="V1047" t="s">
        <v>3881</v>
      </c>
    </row>
    <row r="1048" spans="1:22" ht="12.75" customHeight="1" x14ac:dyDescent="0.15">
      <c r="A1048">
        <v>19</v>
      </c>
      <c r="B1048">
        <v>2026</v>
      </c>
      <c r="C1048" s="21">
        <v>46154</v>
      </c>
      <c r="D1048" t="s">
        <v>73</v>
      </c>
      <c r="E1048" t="s">
        <v>74</v>
      </c>
      <c r="F1048" t="s">
        <v>75</v>
      </c>
      <c r="G1048">
        <v>2.2999999999999998</v>
      </c>
      <c r="H1048" t="s">
        <v>3776</v>
      </c>
      <c r="I1048" t="s">
        <v>3777</v>
      </c>
      <c r="J1048" s="1" t="s">
        <v>215</v>
      </c>
      <c r="K1048" t="s">
        <v>181</v>
      </c>
      <c r="L1048" t="s">
        <v>3340</v>
      </c>
      <c r="M1048">
        <v>62</v>
      </c>
      <c r="N1048">
        <v>0.13</v>
      </c>
      <c r="O1048" t="s">
        <v>211</v>
      </c>
      <c r="P1048">
        <v>7.15</v>
      </c>
      <c r="R1048" t="s">
        <v>3375</v>
      </c>
      <c r="T1048" t="s">
        <v>3337</v>
      </c>
      <c r="U1048">
        <v>24</v>
      </c>
      <c r="V1048" t="s">
        <v>3881</v>
      </c>
    </row>
    <row r="1049" spans="1:22" ht="12.75" customHeight="1" x14ac:dyDescent="0.15">
      <c r="A1049">
        <v>19</v>
      </c>
      <c r="B1049">
        <v>2026</v>
      </c>
      <c r="C1049" s="21">
        <v>46154</v>
      </c>
      <c r="D1049" t="s">
        <v>73</v>
      </c>
      <c r="E1049" t="s">
        <v>74</v>
      </c>
      <c r="F1049" t="s">
        <v>75</v>
      </c>
      <c r="G1049">
        <v>2.2999999999999998</v>
      </c>
      <c r="H1049" t="s">
        <v>3776</v>
      </c>
      <c r="I1049" t="s">
        <v>3777</v>
      </c>
      <c r="J1049" s="1" t="s">
        <v>215</v>
      </c>
      <c r="K1049" t="s">
        <v>181</v>
      </c>
      <c r="L1049" t="s">
        <v>3340</v>
      </c>
      <c r="M1049">
        <v>58</v>
      </c>
      <c r="N1049">
        <v>0.13</v>
      </c>
      <c r="O1049" t="s">
        <v>211</v>
      </c>
      <c r="P1049">
        <v>7.15</v>
      </c>
      <c r="R1049" t="s">
        <v>3343</v>
      </c>
      <c r="T1049" t="s">
        <v>3337</v>
      </c>
      <c r="U1049">
        <v>24</v>
      </c>
      <c r="V1049" t="s">
        <v>3881</v>
      </c>
    </row>
    <row r="1050" spans="1:22" ht="12.75" customHeight="1" x14ac:dyDescent="0.15">
      <c r="A1050">
        <v>19</v>
      </c>
      <c r="B1050">
        <v>2026</v>
      </c>
      <c r="C1050" s="21">
        <v>46154</v>
      </c>
      <c r="D1050" t="s">
        <v>73</v>
      </c>
      <c r="E1050" t="s">
        <v>74</v>
      </c>
      <c r="F1050" t="s">
        <v>75</v>
      </c>
      <c r="G1050">
        <v>2.2999999999999998</v>
      </c>
      <c r="H1050" t="s">
        <v>3776</v>
      </c>
      <c r="I1050" t="s">
        <v>3777</v>
      </c>
      <c r="J1050" s="1" t="s">
        <v>215</v>
      </c>
      <c r="K1050" t="s">
        <v>181</v>
      </c>
      <c r="L1050" t="s">
        <v>3340</v>
      </c>
      <c r="M1050">
        <v>132</v>
      </c>
      <c r="N1050">
        <v>0.13</v>
      </c>
      <c r="O1050" t="s">
        <v>211</v>
      </c>
      <c r="P1050">
        <v>7.15</v>
      </c>
      <c r="R1050" t="s">
        <v>3368</v>
      </c>
      <c r="T1050" t="s">
        <v>3337</v>
      </c>
      <c r="U1050">
        <v>24</v>
      </c>
      <c r="V1050" t="s">
        <v>3881</v>
      </c>
    </row>
    <row r="1051" spans="1:22" ht="12.75" customHeight="1" x14ac:dyDescent="0.15">
      <c r="A1051">
        <v>19</v>
      </c>
      <c r="B1051">
        <v>2026</v>
      </c>
      <c r="C1051" s="21">
        <v>46154</v>
      </c>
      <c r="D1051" t="s">
        <v>73</v>
      </c>
      <c r="E1051" t="s">
        <v>74</v>
      </c>
      <c r="F1051" t="s">
        <v>75</v>
      </c>
      <c r="G1051">
        <v>2.2999999999999998</v>
      </c>
      <c r="H1051" t="s">
        <v>3776</v>
      </c>
      <c r="I1051" t="s">
        <v>3777</v>
      </c>
      <c r="J1051" s="1" t="s">
        <v>215</v>
      </c>
      <c r="K1051" t="s">
        <v>181</v>
      </c>
      <c r="L1051" t="s">
        <v>3340</v>
      </c>
      <c r="M1051">
        <v>81</v>
      </c>
      <c r="N1051">
        <v>0.13</v>
      </c>
      <c r="O1051" t="s">
        <v>211</v>
      </c>
      <c r="P1051">
        <v>7.15</v>
      </c>
      <c r="R1051" t="s">
        <v>3374</v>
      </c>
      <c r="T1051" t="s">
        <v>3337</v>
      </c>
      <c r="U1051">
        <v>24</v>
      </c>
      <c r="V1051" t="s">
        <v>3881</v>
      </c>
    </row>
    <row r="1052" spans="1:22" ht="12.75" customHeight="1" x14ac:dyDescent="0.15">
      <c r="A1052">
        <v>19</v>
      </c>
      <c r="B1052">
        <v>2026</v>
      </c>
      <c r="C1052" s="21">
        <v>46154</v>
      </c>
      <c r="D1052" t="s">
        <v>73</v>
      </c>
      <c r="E1052" t="s">
        <v>74</v>
      </c>
      <c r="F1052" t="s">
        <v>75</v>
      </c>
      <c r="G1052">
        <v>2.2999999999999998</v>
      </c>
      <c r="H1052" t="s">
        <v>3785</v>
      </c>
      <c r="I1052" t="s">
        <v>206</v>
      </c>
      <c r="J1052" s="1" t="s">
        <v>207</v>
      </c>
      <c r="K1052" t="s">
        <v>181</v>
      </c>
      <c r="L1052" t="s">
        <v>3340</v>
      </c>
      <c r="M1052">
        <v>45</v>
      </c>
      <c r="N1052">
        <v>0.46</v>
      </c>
      <c r="O1052" t="s">
        <v>211</v>
      </c>
      <c r="P1052">
        <v>25.3</v>
      </c>
      <c r="R1052" t="s">
        <v>3377</v>
      </c>
      <c r="T1052" t="s">
        <v>3337</v>
      </c>
      <c r="U1052">
        <v>24</v>
      </c>
      <c r="V1052" t="s">
        <v>3882</v>
      </c>
    </row>
    <row r="1053" spans="1:22" ht="12.75" customHeight="1" x14ac:dyDescent="0.15">
      <c r="A1053">
        <v>19</v>
      </c>
      <c r="B1053">
        <v>2026</v>
      </c>
      <c r="C1053" s="21">
        <v>46154</v>
      </c>
      <c r="D1053" t="s">
        <v>73</v>
      </c>
      <c r="E1053" t="s">
        <v>74</v>
      </c>
      <c r="F1053" t="s">
        <v>75</v>
      </c>
      <c r="G1053">
        <v>2.2999999999999998</v>
      </c>
      <c r="H1053" t="s">
        <v>3785</v>
      </c>
      <c r="I1053" t="s">
        <v>206</v>
      </c>
      <c r="J1053" s="1" t="s">
        <v>207</v>
      </c>
      <c r="K1053" t="s">
        <v>181</v>
      </c>
      <c r="L1053" t="s">
        <v>3340</v>
      </c>
      <c r="M1053">
        <v>62</v>
      </c>
      <c r="N1053">
        <v>0.46</v>
      </c>
      <c r="O1053" t="s">
        <v>211</v>
      </c>
      <c r="P1053">
        <v>25.3</v>
      </c>
      <c r="R1053" t="s">
        <v>3375</v>
      </c>
      <c r="T1053" t="s">
        <v>3337</v>
      </c>
      <c r="U1053">
        <v>24</v>
      </c>
      <c r="V1053" t="s">
        <v>3882</v>
      </c>
    </row>
    <row r="1054" spans="1:22" ht="12.75" customHeight="1" x14ac:dyDescent="0.15">
      <c r="A1054">
        <v>19</v>
      </c>
      <c r="B1054">
        <v>2026</v>
      </c>
      <c r="C1054" s="21">
        <v>46154</v>
      </c>
      <c r="D1054" t="s">
        <v>73</v>
      </c>
      <c r="E1054" t="s">
        <v>74</v>
      </c>
      <c r="F1054" t="s">
        <v>75</v>
      </c>
      <c r="G1054">
        <v>2.2999999999999998</v>
      </c>
      <c r="H1054" t="s">
        <v>3785</v>
      </c>
      <c r="I1054" t="s">
        <v>206</v>
      </c>
      <c r="J1054" s="1" t="s">
        <v>207</v>
      </c>
      <c r="K1054" t="s">
        <v>181</v>
      </c>
      <c r="L1054" t="s">
        <v>3340</v>
      </c>
      <c r="M1054">
        <v>58</v>
      </c>
      <c r="N1054">
        <v>0.46</v>
      </c>
      <c r="O1054" t="s">
        <v>211</v>
      </c>
      <c r="P1054">
        <v>25.3</v>
      </c>
      <c r="R1054" t="s">
        <v>3343</v>
      </c>
      <c r="T1054" t="s">
        <v>3337</v>
      </c>
      <c r="U1054">
        <v>24</v>
      </c>
      <c r="V1054" t="s">
        <v>3882</v>
      </c>
    </row>
    <row r="1055" spans="1:22" ht="12.75" customHeight="1" x14ac:dyDescent="0.15">
      <c r="A1055">
        <v>19</v>
      </c>
      <c r="B1055">
        <v>2026</v>
      </c>
      <c r="C1055" s="21">
        <v>46154</v>
      </c>
      <c r="D1055" t="s">
        <v>73</v>
      </c>
      <c r="E1055" t="s">
        <v>74</v>
      </c>
      <c r="F1055" t="s">
        <v>75</v>
      </c>
      <c r="G1055">
        <v>2.2999999999999998</v>
      </c>
      <c r="H1055" t="s">
        <v>3785</v>
      </c>
      <c r="I1055" t="s">
        <v>206</v>
      </c>
      <c r="J1055" s="1" t="s">
        <v>207</v>
      </c>
      <c r="K1055" t="s">
        <v>181</v>
      </c>
      <c r="L1055" t="s">
        <v>3340</v>
      </c>
      <c r="M1055">
        <v>132</v>
      </c>
      <c r="N1055">
        <v>0.46</v>
      </c>
      <c r="O1055" t="s">
        <v>211</v>
      </c>
      <c r="P1055">
        <v>25.3</v>
      </c>
      <c r="R1055" t="s">
        <v>3368</v>
      </c>
      <c r="T1055" t="s">
        <v>3337</v>
      </c>
      <c r="U1055">
        <v>24</v>
      </c>
      <c r="V1055" t="s">
        <v>3882</v>
      </c>
    </row>
    <row r="1056" spans="1:22" ht="12.75" customHeight="1" x14ac:dyDescent="0.15">
      <c r="A1056">
        <v>19</v>
      </c>
      <c r="B1056">
        <v>2026</v>
      </c>
      <c r="C1056" s="21">
        <v>46154</v>
      </c>
      <c r="D1056" t="s">
        <v>73</v>
      </c>
      <c r="E1056" t="s">
        <v>74</v>
      </c>
      <c r="F1056" t="s">
        <v>75</v>
      </c>
      <c r="G1056">
        <v>2.2999999999999998</v>
      </c>
      <c r="H1056" t="s">
        <v>3785</v>
      </c>
      <c r="I1056" t="s">
        <v>206</v>
      </c>
      <c r="J1056" s="1" t="s">
        <v>207</v>
      </c>
      <c r="K1056" t="s">
        <v>181</v>
      </c>
      <c r="L1056" t="s">
        <v>3340</v>
      </c>
      <c r="M1056">
        <v>81</v>
      </c>
      <c r="N1056">
        <v>0.46</v>
      </c>
      <c r="O1056" t="s">
        <v>211</v>
      </c>
      <c r="P1056">
        <v>25.3</v>
      </c>
      <c r="R1056" t="s">
        <v>3374</v>
      </c>
      <c r="T1056" t="s">
        <v>3337</v>
      </c>
      <c r="U1056">
        <v>24</v>
      </c>
      <c r="V1056" t="s">
        <v>3882</v>
      </c>
    </row>
    <row r="1057" spans="1:22" ht="12.75" customHeight="1" x14ac:dyDescent="0.15">
      <c r="A1057">
        <v>19</v>
      </c>
      <c r="B1057">
        <v>2026</v>
      </c>
      <c r="C1057" s="21">
        <v>46154</v>
      </c>
      <c r="D1057" t="s">
        <v>84</v>
      </c>
      <c r="E1057" t="s">
        <v>85</v>
      </c>
      <c r="F1057" t="s">
        <v>21</v>
      </c>
      <c r="G1057">
        <v>2</v>
      </c>
      <c r="H1057" t="s">
        <v>3855</v>
      </c>
      <c r="I1057" t="s">
        <v>3808</v>
      </c>
      <c r="J1057" s="1" t="s">
        <v>26</v>
      </c>
      <c r="K1057" t="s">
        <v>181</v>
      </c>
      <c r="L1057" t="s">
        <v>3340</v>
      </c>
      <c r="M1057">
        <v>45</v>
      </c>
      <c r="N1057">
        <v>1.82</v>
      </c>
      <c r="O1057" t="s">
        <v>211</v>
      </c>
      <c r="P1057">
        <v>100</v>
      </c>
      <c r="R1057" t="s">
        <v>3377</v>
      </c>
      <c r="T1057" t="s">
        <v>3337</v>
      </c>
      <c r="U1057">
        <v>22</v>
      </c>
      <c r="V1057" t="s">
        <v>240</v>
      </c>
    </row>
    <row r="1058" spans="1:22" ht="12.75" customHeight="1" x14ac:dyDescent="0.15">
      <c r="A1058">
        <v>19</v>
      </c>
      <c r="B1058">
        <v>2026</v>
      </c>
      <c r="C1058" s="21">
        <v>46154</v>
      </c>
      <c r="D1058" t="s">
        <v>84</v>
      </c>
      <c r="E1058" t="s">
        <v>85</v>
      </c>
      <c r="F1058" t="s">
        <v>21</v>
      </c>
      <c r="G1058">
        <v>2</v>
      </c>
      <c r="H1058" t="s">
        <v>3855</v>
      </c>
      <c r="I1058" t="s">
        <v>3808</v>
      </c>
      <c r="J1058" s="1" t="s">
        <v>26</v>
      </c>
      <c r="K1058" t="s">
        <v>181</v>
      </c>
      <c r="L1058" t="s">
        <v>3340</v>
      </c>
      <c r="M1058">
        <v>62</v>
      </c>
      <c r="N1058">
        <v>1.82</v>
      </c>
      <c r="O1058" t="s">
        <v>211</v>
      </c>
      <c r="P1058">
        <v>100</v>
      </c>
      <c r="R1058" t="s">
        <v>3375</v>
      </c>
      <c r="T1058" t="s">
        <v>3337</v>
      </c>
      <c r="U1058">
        <v>22</v>
      </c>
      <c r="V1058" t="s">
        <v>240</v>
      </c>
    </row>
    <row r="1059" spans="1:22" ht="12.75" customHeight="1" x14ac:dyDescent="0.15">
      <c r="A1059">
        <v>19</v>
      </c>
      <c r="B1059">
        <v>2026</v>
      </c>
      <c r="C1059" s="21">
        <v>46154</v>
      </c>
      <c r="D1059" t="s">
        <v>84</v>
      </c>
      <c r="E1059" t="s">
        <v>85</v>
      </c>
      <c r="F1059" t="s">
        <v>21</v>
      </c>
      <c r="G1059">
        <v>2</v>
      </c>
      <c r="H1059" t="s">
        <v>3855</v>
      </c>
      <c r="I1059" t="s">
        <v>3808</v>
      </c>
      <c r="J1059" s="1" t="s">
        <v>26</v>
      </c>
      <c r="K1059" t="s">
        <v>181</v>
      </c>
      <c r="L1059" t="s">
        <v>3340</v>
      </c>
      <c r="M1059">
        <v>58</v>
      </c>
      <c r="N1059">
        <v>1.82</v>
      </c>
      <c r="O1059" t="s">
        <v>211</v>
      </c>
      <c r="P1059">
        <v>100</v>
      </c>
      <c r="R1059" t="s">
        <v>3343</v>
      </c>
      <c r="T1059" t="s">
        <v>3337</v>
      </c>
      <c r="U1059">
        <v>22</v>
      </c>
      <c r="V1059" t="s">
        <v>240</v>
      </c>
    </row>
    <row r="1060" spans="1:22" ht="12.75" customHeight="1" x14ac:dyDescent="0.15">
      <c r="A1060">
        <v>19</v>
      </c>
      <c r="B1060">
        <v>2026</v>
      </c>
      <c r="C1060" s="21">
        <v>46154</v>
      </c>
      <c r="D1060" t="s">
        <v>84</v>
      </c>
      <c r="E1060" t="s">
        <v>85</v>
      </c>
      <c r="F1060" t="s">
        <v>21</v>
      </c>
      <c r="G1060">
        <v>2</v>
      </c>
      <c r="H1060" t="s">
        <v>3855</v>
      </c>
      <c r="I1060" t="s">
        <v>3808</v>
      </c>
      <c r="J1060" s="1" t="s">
        <v>26</v>
      </c>
      <c r="K1060" t="s">
        <v>181</v>
      </c>
      <c r="L1060" t="s">
        <v>3340</v>
      </c>
      <c r="M1060">
        <v>132</v>
      </c>
      <c r="N1060">
        <v>1.82</v>
      </c>
      <c r="O1060" t="s">
        <v>211</v>
      </c>
      <c r="P1060">
        <v>100</v>
      </c>
      <c r="R1060" t="s">
        <v>3368</v>
      </c>
      <c r="T1060" t="s">
        <v>3337</v>
      </c>
      <c r="U1060">
        <v>22</v>
      </c>
      <c r="V1060" t="s">
        <v>240</v>
      </c>
    </row>
    <row r="1061" spans="1:22" ht="12.75" customHeight="1" x14ac:dyDescent="0.15">
      <c r="A1061">
        <v>19</v>
      </c>
      <c r="B1061">
        <v>2026</v>
      </c>
      <c r="C1061" s="21">
        <v>46154</v>
      </c>
      <c r="D1061" t="s">
        <v>84</v>
      </c>
      <c r="E1061" t="s">
        <v>85</v>
      </c>
      <c r="F1061" t="s">
        <v>21</v>
      </c>
      <c r="G1061">
        <v>2</v>
      </c>
      <c r="H1061" t="s">
        <v>3855</v>
      </c>
      <c r="I1061" t="s">
        <v>3808</v>
      </c>
      <c r="J1061" s="1" t="s">
        <v>26</v>
      </c>
      <c r="K1061" t="s">
        <v>181</v>
      </c>
      <c r="L1061" t="s">
        <v>3340</v>
      </c>
      <c r="M1061">
        <v>81</v>
      </c>
      <c r="N1061">
        <v>1.82</v>
      </c>
      <c r="O1061" t="s">
        <v>211</v>
      </c>
      <c r="P1061">
        <v>100</v>
      </c>
      <c r="R1061" t="s">
        <v>3374</v>
      </c>
      <c r="T1061" t="s">
        <v>3337</v>
      </c>
      <c r="U1061">
        <v>22</v>
      </c>
      <c r="V1061" t="s">
        <v>240</v>
      </c>
    </row>
    <row r="1062" spans="1:22" ht="12.75" customHeight="1" x14ac:dyDescent="0.15">
      <c r="A1062">
        <v>19</v>
      </c>
      <c r="B1062">
        <v>2026</v>
      </c>
      <c r="C1062" s="21">
        <v>46154</v>
      </c>
      <c r="D1062" t="s">
        <v>47</v>
      </c>
      <c r="E1062" t="s">
        <v>48</v>
      </c>
      <c r="F1062" t="s">
        <v>21</v>
      </c>
      <c r="G1062">
        <v>2</v>
      </c>
      <c r="H1062" t="s">
        <v>3883</v>
      </c>
      <c r="I1062" t="s">
        <v>3884</v>
      </c>
      <c r="J1062" s="1" t="s">
        <v>207</v>
      </c>
      <c r="K1062" t="s">
        <v>181</v>
      </c>
      <c r="L1062" t="s">
        <v>3333</v>
      </c>
      <c r="M1062">
        <v>2</v>
      </c>
      <c r="N1062">
        <v>0.13</v>
      </c>
      <c r="O1062" t="s">
        <v>3440</v>
      </c>
      <c r="P1062">
        <v>11.31</v>
      </c>
      <c r="Q1062">
        <v>1</v>
      </c>
      <c r="R1062" t="s">
        <v>3424</v>
      </c>
      <c r="T1062" t="s">
        <v>3337</v>
      </c>
      <c r="U1062">
        <v>82</v>
      </c>
      <c r="V1062" t="s">
        <v>3885</v>
      </c>
    </row>
    <row r="1063" spans="1:22" ht="12.75" customHeight="1" x14ac:dyDescent="0.15">
      <c r="A1063">
        <v>19</v>
      </c>
      <c r="B1063">
        <v>2026</v>
      </c>
      <c r="C1063" s="21">
        <v>46154</v>
      </c>
      <c r="D1063" t="s">
        <v>73</v>
      </c>
      <c r="E1063" t="s">
        <v>74</v>
      </c>
      <c r="F1063" t="s">
        <v>75</v>
      </c>
      <c r="G1063">
        <v>2.2999999999999998</v>
      </c>
      <c r="H1063" t="s">
        <v>3796</v>
      </c>
      <c r="I1063" t="s">
        <v>3667</v>
      </c>
      <c r="J1063" s="1" t="s">
        <v>3668</v>
      </c>
      <c r="K1063" t="s">
        <v>181</v>
      </c>
      <c r="L1063" t="s">
        <v>3333</v>
      </c>
      <c r="M1063">
        <v>6</v>
      </c>
      <c r="N1063">
        <v>0.44</v>
      </c>
      <c r="O1063" t="s">
        <v>3334</v>
      </c>
      <c r="P1063">
        <v>35.69</v>
      </c>
      <c r="Q1063">
        <v>3.5</v>
      </c>
      <c r="R1063" t="s">
        <v>3335</v>
      </c>
      <c r="T1063" t="s">
        <v>3337</v>
      </c>
      <c r="U1063">
        <v>24</v>
      </c>
      <c r="V1063" t="s">
        <v>3886</v>
      </c>
    </row>
    <row r="1064" spans="1:22" ht="12.75" customHeight="1" x14ac:dyDescent="0.15">
      <c r="A1064">
        <v>19</v>
      </c>
      <c r="B1064">
        <v>2026</v>
      </c>
      <c r="C1064" s="21">
        <v>46154</v>
      </c>
      <c r="D1064" t="s">
        <v>107</v>
      </c>
      <c r="E1064" t="s">
        <v>108</v>
      </c>
      <c r="F1064" t="s">
        <v>21</v>
      </c>
      <c r="G1064">
        <v>4.5</v>
      </c>
      <c r="H1064" t="s">
        <v>3569</v>
      </c>
      <c r="I1064" t="s">
        <v>3570</v>
      </c>
      <c r="J1064" s="1" t="s">
        <v>26</v>
      </c>
      <c r="K1064" t="s">
        <v>181</v>
      </c>
      <c r="L1064" t="s">
        <v>3333</v>
      </c>
      <c r="M1064">
        <v>6</v>
      </c>
      <c r="N1064">
        <v>0.56000000000000005</v>
      </c>
      <c r="O1064" t="s">
        <v>3334</v>
      </c>
      <c r="P1064">
        <v>45.89</v>
      </c>
      <c r="Q1064">
        <v>4.5</v>
      </c>
      <c r="R1064" t="s">
        <v>3335</v>
      </c>
      <c r="T1064" t="s">
        <v>3337</v>
      </c>
      <c r="U1064">
        <v>-3</v>
      </c>
      <c r="V1064" t="s">
        <v>3472</v>
      </c>
    </row>
    <row r="1065" spans="1:22" ht="12.75" customHeight="1" x14ac:dyDescent="0.15">
      <c r="A1065">
        <v>19</v>
      </c>
      <c r="B1065">
        <v>2026</v>
      </c>
      <c r="C1065" s="21">
        <v>46154</v>
      </c>
      <c r="D1065" t="s">
        <v>73</v>
      </c>
      <c r="E1065" t="s">
        <v>74</v>
      </c>
      <c r="F1065" t="s">
        <v>75</v>
      </c>
      <c r="G1065">
        <v>2.2999999999999998</v>
      </c>
      <c r="H1065" t="s">
        <v>3796</v>
      </c>
      <c r="I1065" t="s">
        <v>3667</v>
      </c>
      <c r="J1065" s="1" t="s">
        <v>3668</v>
      </c>
      <c r="K1065" t="s">
        <v>181</v>
      </c>
      <c r="L1065" t="s">
        <v>3333</v>
      </c>
      <c r="M1065">
        <v>1</v>
      </c>
      <c r="N1065">
        <v>0.44</v>
      </c>
      <c r="O1065" t="s">
        <v>3358</v>
      </c>
      <c r="P1065">
        <v>31.44</v>
      </c>
      <c r="Q1065">
        <v>3.5</v>
      </c>
      <c r="R1065" t="s">
        <v>3359</v>
      </c>
      <c r="T1065" t="s">
        <v>3337</v>
      </c>
      <c r="U1065">
        <v>24</v>
      </c>
      <c r="V1065" t="s">
        <v>3887</v>
      </c>
    </row>
    <row r="1066" spans="1:22" ht="12.75" customHeight="1" x14ac:dyDescent="0.15">
      <c r="A1066">
        <v>19</v>
      </c>
      <c r="B1066">
        <v>2026</v>
      </c>
      <c r="C1066" s="21">
        <v>46154</v>
      </c>
      <c r="D1066" t="s">
        <v>47</v>
      </c>
      <c r="E1066" t="s">
        <v>48</v>
      </c>
      <c r="F1066" t="s">
        <v>21</v>
      </c>
      <c r="G1066">
        <v>2</v>
      </c>
      <c r="H1066" t="s">
        <v>3346</v>
      </c>
      <c r="I1066" t="s">
        <v>212</v>
      </c>
      <c r="J1066" s="1" t="s">
        <v>188</v>
      </c>
      <c r="K1066" t="s">
        <v>181</v>
      </c>
      <c r="L1066" t="s">
        <v>3333</v>
      </c>
      <c r="M1066">
        <v>1</v>
      </c>
      <c r="N1066">
        <v>0.19</v>
      </c>
      <c r="O1066" t="s">
        <v>3358</v>
      </c>
      <c r="P1066">
        <v>13.47</v>
      </c>
      <c r="Q1066">
        <v>1.5</v>
      </c>
      <c r="R1066" t="s">
        <v>3359</v>
      </c>
      <c r="T1066" t="s">
        <v>3337</v>
      </c>
      <c r="U1066">
        <v>82</v>
      </c>
      <c r="V1066" t="s">
        <v>3888</v>
      </c>
    </row>
    <row r="1067" spans="1:22" ht="12.75" customHeight="1" x14ac:dyDescent="0.15">
      <c r="A1067">
        <v>19</v>
      </c>
      <c r="B1067">
        <v>2026</v>
      </c>
      <c r="C1067" s="21">
        <v>46154</v>
      </c>
      <c r="D1067" t="s">
        <v>80</v>
      </c>
      <c r="E1067" t="s">
        <v>81</v>
      </c>
      <c r="F1067" t="s">
        <v>21</v>
      </c>
      <c r="G1067">
        <v>2.2999999999999998</v>
      </c>
      <c r="H1067" t="s">
        <v>3339</v>
      </c>
      <c r="I1067" t="s">
        <v>187</v>
      </c>
      <c r="J1067" s="1" t="s">
        <v>188</v>
      </c>
      <c r="K1067" t="s">
        <v>181</v>
      </c>
      <c r="L1067" t="s">
        <v>3333</v>
      </c>
      <c r="M1067">
        <v>1</v>
      </c>
      <c r="N1067">
        <v>0.38</v>
      </c>
      <c r="O1067" t="s">
        <v>3358</v>
      </c>
      <c r="P1067">
        <v>26.95</v>
      </c>
      <c r="Q1067">
        <v>3</v>
      </c>
      <c r="R1067" t="s">
        <v>3359</v>
      </c>
      <c r="T1067" t="s">
        <v>3337</v>
      </c>
      <c r="U1067">
        <v>40</v>
      </c>
      <c r="V1067" t="s">
        <v>3889</v>
      </c>
    </row>
    <row r="1068" spans="1:22" ht="12.75" customHeight="1" x14ac:dyDescent="0.15">
      <c r="A1068">
        <v>19</v>
      </c>
      <c r="B1068">
        <v>2026</v>
      </c>
      <c r="C1068" s="21">
        <v>46154</v>
      </c>
      <c r="D1068" t="s">
        <v>101</v>
      </c>
      <c r="E1068" t="s">
        <v>102</v>
      </c>
      <c r="F1068" t="s">
        <v>75</v>
      </c>
      <c r="G1068">
        <v>7.6</v>
      </c>
      <c r="H1068" t="s">
        <v>3890</v>
      </c>
      <c r="I1068" t="s">
        <v>3891</v>
      </c>
      <c r="J1068" s="1" t="s">
        <v>30</v>
      </c>
      <c r="K1068" t="s">
        <v>181</v>
      </c>
      <c r="L1068" t="s">
        <v>3340</v>
      </c>
      <c r="M1068">
        <v>78</v>
      </c>
      <c r="N1068">
        <v>0.55000000000000004</v>
      </c>
      <c r="O1068" t="s">
        <v>211</v>
      </c>
      <c r="P1068">
        <v>30</v>
      </c>
      <c r="R1068" t="s">
        <v>3341</v>
      </c>
      <c r="S1068" t="s">
        <v>3892</v>
      </c>
      <c r="T1068" t="s">
        <v>3402</v>
      </c>
      <c r="U1068">
        <v>14</v>
      </c>
      <c r="V1068" t="s">
        <v>3893</v>
      </c>
    </row>
    <row r="1069" spans="1:22" ht="12.75" customHeight="1" x14ac:dyDescent="0.15">
      <c r="A1069">
        <v>19</v>
      </c>
      <c r="B1069">
        <v>2026</v>
      </c>
      <c r="C1069" s="21">
        <v>46154</v>
      </c>
      <c r="D1069" t="s">
        <v>96</v>
      </c>
      <c r="E1069" t="s">
        <v>97</v>
      </c>
      <c r="F1069" t="s">
        <v>21</v>
      </c>
      <c r="G1069">
        <v>4.5</v>
      </c>
      <c r="H1069" t="s">
        <v>3894</v>
      </c>
      <c r="I1069" t="s">
        <v>380</v>
      </c>
      <c r="J1069" s="1" t="s">
        <v>3533</v>
      </c>
      <c r="K1069" t="s">
        <v>181</v>
      </c>
      <c r="L1069" t="s">
        <v>3333</v>
      </c>
      <c r="M1069">
        <v>3</v>
      </c>
      <c r="N1069">
        <v>0.25</v>
      </c>
      <c r="O1069" t="s">
        <v>3334</v>
      </c>
      <c r="P1069">
        <v>20.399999999999999</v>
      </c>
      <c r="Q1069">
        <v>2</v>
      </c>
      <c r="R1069" t="s">
        <v>3478</v>
      </c>
      <c r="T1069" t="s">
        <v>3402</v>
      </c>
      <c r="U1069">
        <v>11</v>
      </c>
      <c r="V1069" t="s">
        <v>3837</v>
      </c>
    </row>
    <row r="1070" spans="1:22" ht="12.75" customHeight="1" x14ac:dyDescent="0.15">
      <c r="A1070">
        <v>19</v>
      </c>
      <c r="B1070">
        <v>2026</v>
      </c>
      <c r="C1070" s="21">
        <v>46154</v>
      </c>
      <c r="D1070" t="s">
        <v>96</v>
      </c>
      <c r="E1070" t="s">
        <v>97</v>
      </c>
      <c r="F1070" t="s">
        <v>21</v>
      </c>
      <c r="G1070">
        <v>4.5</v>
      </c>
      <c r="H1070" t="s">
        <v>3894</v>
      </c>
      <c r="I1070" t="s">
        <v>380</v>
      </c>
      <c r="J1070" s="1" t="s">
        <v>3533</v>
      </c>
      <c r="K1070" t="s">
        <v>181</v>
      </c>
      <c r="L1070" t="s">
        <v>3333</v>
      </c>
      <c r="M1070">
        <v>4</v>
      </c>
      <c r="N1070">
        <v>0.25</v>
      </c>
      <c r="O1070" t="s">
        <v>3334</v>
      </c>
      <c r="P1070">
        <v>20.399999999999999</v>
      </c>
      <c r="Q1070">
        <v>2</v>
      </c>
      <c r="R1070" t="s">
        <v>3773</v>
      </c>
      <c r="T1070" t="s">
        <v>3402</v>
      </c>
      <c r="U1070">
        <v>11</v>
      </c>
      <c r="V1070" t="s">
        <v>3837</v>
      </c>
    </row>
    <row r="1071" spans="1:22" ht="12.75" customHeight="1" x14ac:dyDescent="0.15">
      <c r="A1071">
        <v>19</v>
      </c>
      <c r="B1071">
        <v>2026</v>
      </c>
      <c r="C1071" s="21">
        <v>46154</v>
      </c>
      <c r="D1071" t="s">
        <v>68</v>
      </c>
      <c r="E1071" t="s">
        <v>69</v>
      </c>
      <c r="F1071" t="s">
        <v>21</v>
      </c>
      <c r="G1071">
        <v>1</v>
      </c>
      <c r="H1071" t="s">
        <v>3895</v>
      </c>
      <c r="I1071" t="s">
        <v>3842</v>
      </c>
      <c r="J1071" s="1" t="s">
        <v>3533</v>
      </c>
      <c r="K1071" t="s">
        <v>181</v>
      </c>
      <c r="L1071" t="s">
        <v>3333</v>
      </c>
      <c r="M1071">
        <v>3</v>
      </c>
      <c r="N1071">
        <v>0.38</v>
      </c>
      <c r="O1071" t="s">
        <v>3334</v>
      </c>
      <c r="P1071">
        <v>30.59</v>
      </c>
      <c r="Q1071">
        <v>3</v>
      </c>
      <c r="R1071" t="s">
        <v>3478</v>
      </c>
      <c r="T1071" t="s">
        <v>3402</v>
      </c>
      <c r="U1071">
        <v>40</v>
      </c>
      <c r="V1071" t="s">
        <v>3491</v>
      </c>
    </row>
    <row r="1072" spans="1:22" ht="12.75" customHeight="1" x14ac:dyDescent="0.15">
      <c r="A1072">
        <v>19</v>
      </c>
      <c r="B1072">
        <v>2026</v>
      </c>
      <c r="C1072" s="21">
        <v>46154</v>
      </c>
      <c r="D1072" t="s">
        <v>68</v>
      </c>
      <c r="E1072" t="s">
        <v>69</v>
      </c>
      <c r="F1072" t="s">
        <v>21</v>
      </c>
      <c r="G1072">
        <v>1</v>
      </c>
      <c r="H1072" t="s">
        <v>3895</v>
      </c>
      <c r="I1072" t="s">
        <v>3842</v>
      </c>
      <c r="J1072" s="1" t="s">
        <v>3533</v>
      </c>
      <c r="K1072" t="s">
        <v>181</v>
      </c>
      <c r="L1072" t="s">
        <v>3333</v>
      </c>
      <c r="M1072">
        <v>4</v>
      </c>
      <c r="N1072">
        <v>0.38</v>
      </c>
      <c r="O1072" t="s">
        <v>3334</v>
      </c>
      <c r="P1072">
        <v>30.59</v>
      </c>
      <c r="Q1072">
        <v>3</v>
      </c>
      <c r="R1072" t="s">
        <v>3773</v>
      </c>
      <c r="T1072" t="s">
        <v>3402</v>
      </c>
      <c r="U1072">
        <v>40</v>
      </c>
      <c r="V1072" t="s">
        <v>3491</v>
      </c>
    </row>
    <row r="1073" spans="1:22" ht="12.75" customHeight="1" x14ac:dyDescent="0.15">
      <c r="A1073">
        <v>19</v>
      </c>
      <c r="B1073">
        <v>2026</v>
      </c>
      <c r="C1073" s="21">
        <v>46154</v>
      </c>
      <c r="D1073" t="s">
        <v>47</v>
      </c>
      <c r="E1073" t="s">
        <v>48</v>
      </c>
      <c r="F1073" t="s">
        <v>21</v>
      </c>
      <c r="G1073">
        <v>2</v>
      </c>
      <c r="H1073" t="s">
        <v>3896</v>
      </c>
      <c r="I1073" t="s">
        <v>3884</v>
      </c>
      <c r="J1073" s="1" t="s">
        <v>207</v>
      </c>
      <c r="K1073" t="s">
        <v>181</v>
      </c>
      <c r="L1073" t="s">
        <v>3340</v>
      </c>
      <c r="M1073">
        <v>67</v>
      </c>
      <c r="N1073">
        <v>0.25</v>
      </c>
      <c r="O1073" t="s">
        <v>211</v>
      </c>
      <c r="P1073">
        <v>13.75</v>
      </c>
      <c r="R1073" t="s">
        <v>3404</v>
      </c>
      <c r="T1073" t="s">
        <v>3402</v>
      </c>
      <c r="U1073">
        <v>82</v>
      </c>
      <c r="V1073" t="s">
        <v>3897</v>
      </c>
    </row>
    <row r="1074" spans="1:22" ht="12.75" customHeight="1" x14ac:dyDescent="0.15">
      <c r="A1074">
        <v>19</v>
      </c>
      <c r="B1074">
        <v>2026</v>
      </c>
      <c r="C1074" s="21">
        <v>46154</v>
      </c>
      <c r="D1074" t="s">
        <v>47</v>
      </c>
      <c r="E1074" t="s">
        <v>48</v>
      </c>
      <c r="F1074" t="s">
        <v>21</v>
      </c>
      <c r="G1074">
        <v>2</v>
      </c>
      <c r="H1074" t="s">
        <v>3896</v>
      </c>
      <c r="I1074" t="s">
        <v>3884</v>
      </c>
      <c r="J1074" s="1" t="s">
        <v>207</v>
      </c>
      <c r="K1074" t="s">
        <v>181</v>
      </c>
      <c r="L1074" t="s">
        <v>3340</v>
      </c>
      <c r="M1074">
        <v>19</v>
      </c>
      <c r="N1074">
        <v>0.25</v>
      </c>
      <c r="O1074" t="s">
        <v>211</v>
      </c>
      <c r="P1074">
        <v>13.75</v>
      </c>
      <c r="R1074" t="s">
        <v>3403</v>
      </c>
      <c r="T1074" t="s">
        <v>3402</v>
      </c>
      <c r="U1074">
        <v>82</v>
      </c>
      <c r="V1074" t="s">
        <v>3897</v>
      </c>
    </row>
    <row r="1075" spans="1:22" ht="12.75" customHeight="1" x14ac:dyDescent="0.15">
      <c r="A1075">
        <v>19</v>
      </c>
      <c r="B1075">
        <v>2026</v>
      </c>
      <c r="C1075" s="21">
        <v>46154</v>
      </c>
      <c r="D1075" t="s">
        <v>47</v>
      </c>
      <c r="E1075" t="s">
        <v>48</v>
      </c>
      <c r="F1075" t="s">
        <v>21</v>
      </c>
      <c r="G1075">
        <v>2</v>
      </c>
      <c r="H1075" t="s">
        <v>3896</v>
      </c>
      <c r="I1075" t="s">
        <v>3884</v>
      </c>
      <c r="J1075" s="1" t="s">
        <v>207</v>
      </c>
      <c r="K1075" t="s">
        <v>181</v>
      </c>
      <c r="L1075" t="s">
        <v>3340</v>
      </c>
      <c r="M1075">
        <v>78</v>
      </c>
      <c r="N1075">
        <v>0.25</v>
      </c>
      <c r="O1075" t="s">
        <v>211</v>
      </c>
      <c r="P1075">
        <v>13.75</v>
      </c>
      <c r="R1075" t="s">
        <v>3341</v>
      </c>
      <c r="T1075" t="s">
        <v>3402</v>
      </c>
      <c r="U1075">
        <v>82</v>
      </c>
      <c r="V1075" t="s">
        <v>3897</v>
      </c>
    </row>
    <row r="1076" spans="1:22" ht="12.75" customHeight="1" x14ac:dyDescent="0.15">
      <c r="A1076">
        <v>19</v>
      </c>
      <c r="B1076">
        <v>2026</v>
      </c>
      <c r="C1076" s="21">
        <v>46154</v>
      </c>
      <c r="D1076" t="s">
        <v>19</v>
      </c>
      <c r="E1076" t="s">
        <v>20</v>
      </c>
      <c r="F1076" t="s">
        <v>21</v>
      </c>
      <c r="G1076">
        <v>3.8</v>
      </c>
      <c r="H1076" t="s">
        <v>3898</v>
      </c>
      <c r="I1076" t="s">
        <v>3899</v>
      </c>
      <c r="J1076" s="1" t="s">
        <v>307</v>
      </c>
      <c r="K1076" t="s">
        <v>181</v>
      </c>
      <c r="L1076" t="s">
        <v>3333</v>
      </c>
      <c r="M1076">
        <v>86</v>
      </c>
      <c r="N1076">
        <v>0.25</v>
      </c>
      <c r="O1076" t="s">
        <v>3334</v>
      </c>
      <c r="P1076">
        <v>20.399999999999999</v>
      </c>
      <c r="Q1076">
        <v>2</v>
      </c>
      <c r="R1076" t="s">
        <v>3386</v>
      </c>
      <c r="T1076" t="s">
        <v>3402</v>
      </c>
      <c r="U1076">
        <v>154</v>
      </c>
      <c r="V1076" t="s">
        <v>3455</v>
      </c>
    </row>
    <row r="1077" spans="1:22" ht="12.75" customHeight="1" x14ac:dyDescent="0.15">
      <c r="A1077">
        <v>19</v>
      </c>
      <c r="B1077">
        <v>2026</v>
      </c>
      <c r="C1077" s="21">
        <v>46154</v>
      </c>
      <c r="D1077" t="s">
        <v>73</v>
      </c>
      <c r="E1077" t="s">
        <v>74</v>
      </c>
      <c r="F1077" t="s">
        <v>75</v>
      </c>
      <c r="G1077">
        <v>2.2999999999999998</v>
      </c>
      <c r="H1077" t="s">
        <v>3565</v>
      </c>
      <c r="I1077" t="s">
        <v>3566</v>
      </c>
      <c r="J1077" s="1" t="s">
        <v>3389</v>
      </c>
      <c r="K1077" t="s">
        <v>181</v>
      </c>
      <c r="L1077" t="s">
        <v>3333</v>
      </c>
      <c r="M1077">
        <v>86</v>
      </c>
      <c r="N1077">
        <v>0.75</v>
      </c>
      <c r="O1077" t="s">
        <v>3334</v>
      </c>
      <c r="P1077">
        <v>61.19</v>
      </c>
      <c r="Q1077">
        <v>6</v>
      </c>
      <c r="R1077" t="s">
        <v>3386</v>
      </c>
      <c r="T1077" t="s">
        <v>3402</v>
      </c>
      <c r="U1077">
        <v>24</v>
      </c>
      <c r="V1077" t="s">
        <v>3900</v>
      </c>
    </row>
    <row r="1078" spans="1:22" ht="12.75" customHeight="1" x14ac:dyDescent="0.15">
      <c r="A1078">
        <v>19</v>
      </c>
      <c r="B1078">
        <v>2026</v>
      </c>
      <c r="C1078" s="21">
        <v>46154</v>
      </c>
      <c r="D1078" t="s">
        <v>73</v>
      </c>
      <c r="E1078" t="s">
        <v>74</v>
      </c>
      <c r="F1078" t="s">
        <v>75</v>
      </c>
      <c r="G1078">
        <v>2.2999999999999998</v>
      </c>
      <c r="H1078" t="s">
        <v>3565</v>
      </c>
      <c r="I1078" t="s">
        <v>3566</v>
      </c>
      <c r="J1078" s="1" t="s">
        <v>3389</v>
      </c>
      <c r="K1078" t="s">
        <v>181</v>
      </c>
      <c r="L1078" t="s">
        <v>3340</v>
      </c>
      <c r="M1078">
        <v>86</v>
      </c>
      <c r="N1078">
        <v>0.55000000000000004</v>
      </c>
      <c r="O1078" t="s">
        <v>211</v>
      </c>
      <c r="P1078">
        <v>30</v>
      </c>
      <c r="R1078" t="s">
        <v>3386</v>
      </c>
      <c r="S1078" t="s">
        <v>3901</v>
      </c>
      <c r="T1078" t="s">
        <v>3402</v>
      </c>
      <c r="U1078">
        <v>24</v>
      </c>
      <c r="V1078" t="s">
        <v>3902</v>
      </c>
    </row>
    <row r="1079" spans="1:22" ht="12.75" customHeight="1" x14ac:dyDescent="0.15">
      <c r="A1079">
        <v>19</v>
      </c>
      <c r="B1079">
        <v>2026</v>
      </c>
      <c r="C1079" s="21">
        <v>46154</v>
      </c>
      <c r="D1079" t="s">
        <v>84</v>
      </c>
      <c r="E1079" t="s">
        <v>85</v>
      </c>
      <c r="F1079" t="s">
        <v>21</v>
      </c>
      <c r="G1079">
        <v>2</v>
      </c>
      <c r="H1079" t="s">
        <v>3878</v>
      </c>
      <c r="I1079" t="s">
        <v>3566</v>
      </c>
      <c r="J1079" s="1" t="s">
        <v>3389</v>
      </c>
      <c r="K1079" t="s">
        <v>2666</v>
      </c>
      <c r="L1079" t="s">
        <v>3587</v>
      </c>
      <c r="N1079">
        <v>1.92</v>
      </c>
      <c r="O1079" t="s">
        <v>3838</v>
      </c>
      <c r="P1079">
        <v>41</v>
      </c>
      <c r="T1079" t="s">
        <v>3402</v>
      </c>
      <c r="U1079">
        <v>22</v>
      </c>
      <c r="V1079" t="s">
        <v>3903</v>
      </c>
    </row>
    <row r="1080" spans="1:22" ht="12.75" customHeight="1" x14ac:dyDescent="0.15">
      <c r="A1080">
        <v>19</v>
      </c>
      <c r="B1080">
        <v>2026</v>
      </c>
      <c r="C1080" s="21">
        <v>46155</v>
      </c>
      <c r="D1080" t="s">
        <v>80</v>
      </c>
      <c r="E1080" t="s">
        <v>81</v>
      </c>
      <c r="F1080" t="s">
        <v>21</v>
      </c>
      <c r="G1080">
        <v>2.2999999999999998</v>
      </c>
      <c r="H1080" t="s">
        <v>3514</v>
      </c>
      <c r="I1080" t="s">
        <v>366</v>
      </c>
      <c r="J1080" s="1" t="s">
        <v>215</v>
      </c>
      <c r="K1080" t="s">
        <v>181</v>
      </c>
      <c r="L1080" t="s">
        <v>3340</v>
      </c>
      <c r="M1080">
        <v>45</v>
      </c>
      <c r="N1080">
        <v>0.64</v>
      </c>
      <c r="O1080" t="s">
        <v>211</v>
      </c>
      <c r="P1080">
        <v>35</v>
      </c>
      <c r="R1080" t="s">
        <v>3377</v>
      </c>
      <c r="S1080" t="s">
        <v>3904</v>
      </c>
      <c r="T1080" t="s">
        <v>3337</v>
      </c>
      <c r="U1080">
        <v>41</v>
      </c>
      <c r="V1080" t="s">
        <v>3905</v>
      </c>
    </row>
    <row r="1081" spans="1:22" ht="12.75" customHeight="1" x14ac:dyDescent="0.15">
      <c r="A1081">
        <v>19</v>
      </c>
      <c r="B1081">
        <v>2026</v>
      </c>
      <c r="C1081" s="21">
        <v>46155</v>
      </c>
      <c r="D1081" t="s">
        <v>80</v>
      </c>
      <c r="E1081" t="s">
        <v>81</v>
      </c>
      <c r="F1081" t="s">
        <v>21</v>
      </c>
      <c r="G1081">
        <v>2.2999999999999998</v>
      </c>
      <c r="H1081" t="s">
        <v>3514</v>
      </c>
      <c r="I1081" t="s">
        <v>366</v>
      </c>
      <c r="J1081" s="1" t="s">
        <v>215</v>
      </c>
      <c r="K1081" t="s">
        <v>181</v>
      </c>
      <c r="L1081" t="s">
        <v>3340</v>
      </c>
      <c r="M1081">
        <v>62</v>
      </c>
      <c r="N1081">
        <v>0.64</v>
      </c>
      <c r="O1081" t="s">
        <v>211</v>
      </c>
      <c r="P1081">
        <v>35</v>
      </c>
      <c r="R1081" t="s">
        <v>3375</v>
      </c>
      <c r="T1081" t="s">
        <v>3337</v>
      </c>
      <c r="U1081">
        <v>41</v>
      </c>
      <c r="V1081" t="s">
        <v>3905</v>
      </c>
    </row>
    <row r="1082" spans="1:22" ht="12.75" customHeight="1" x14ac:dyDescent="0.15">
      <c r="A1082">
        <v>19</v>
      </c>
      <c r="B1082">
        <v>2026</v>
      </c>
      <c r="C1082" s="21">
        <v>46155</v>
      </c>
      <c r="D1082" t="s">
        <v>80</v>
      </c>
      <c r="E1082" t="s">
        <v>81</v>
      </c>
      <c r="F1082" t="s">
        <v>21</v>
      </c>
      <c r="G1082">
        <v>2.2999999999999998</v>
      </c>
      <c r="H1082" t="s">
        <v>3514</v>
      </c>
      <c r="I1082" t="s">
        <v>366</v>
      </c>
      <c r="J1082" s="1" t="s">
        <v>215</v>
      </c>
      <c r="K1082" t="s">
        <v>181</v>
      </c>
      <c r="L1082" t="s">
        <v>3340</v>
      </c>
      <c r="M1082">
        <v>58</v>
      </c>
      <c r="N1082">
        <v>0.64</v>
      </c>
      <c r="O1082" t="s">
        <v>211</v>
      </c>
      <c r="P1082">
        <v>35</v>
      </c>
      <c r="R1082" t="s">
        <v>3343</v>
      </c>
      <c r="T1082" t="s">
        <v>3337</v>
      </c>
      <c r="U1082">
        <v>41</v>
      </c>
      <c r="V1082" t="s">
        <v>3905</v>
      </c>
    </row>
    <row r="1083" spans="1:22" ht="12.75" customHeight="1" x14ac:dyDescent="0.15">
      <c r="A1083">
        <v>19</v>
      </c>
      <c r="B1083">
        <v>2026</v>
      </c>
      <c r="C1083" s="21">
        <v>46155</v>
      </c>
      <c r="D1083" t="s">
        <v>80</v>
      </c>
      <c r="E1083" t="s">
        <v>81</v>
      </c>
      <c r="F1083" t="s">
        <v>21</v>
      </c>
      <c r="G1083">
        <v>2.2999999999999998</v>
      </c>
      <c r="H1083" t="s">
        <v>3514</v>
      </c>
      <c r="I1083" t="s">
        <v>366</v>
      </c>
      <c r="J1083" s="1" t="s">
        <v>215</v>
      </c>
      <c r="K1083" t="s">
        <v>181</v>
      </c>
      <c r="L1083" t="s">
        <v>3340</v>
      </c>
      <c r="M1083">
        <v>132</v>
      </c>
      <c r="N1083">
        <v>0.64</v>
      </c>
      <c r="O1083" t="s">
        <v>211</v>
      </c>
      <c r="P1083">
        <v>35</v>
      </c>
      <c r="R1083" t="s">
        <v>3368</v>
      </c>
      <c r="T1083" t="s">
        <v>3337</v>
      </c>
      <c r="U1083">
        <v>41</v>
      </c>
      <c r="V1083" t="s">
        <v>3905</v>
      </c>
    </row>
    <row r="1084" spans="1:22" ht="12.75" customHeight="1" x14ac:dyDescent="0.15">
      <c r="A1084">
        <v>19</v>
      </c>
      <c r="B1084">
        <v>2026</v>
      </c>
      <c r="C1084" s="21">
        <v>46155</v>
      </c>
      <c r="D1084" t="s">
        <v>80</v>
      </c>
      <c r="E1084" t="s">
        <v>81</v>
      </c>
      <c r="F1084" t="s">
        <v>21</v>
      </c>
      <c r="G1084">
        <v>2.2999999999999998</v>
      </c>
      <c r="H1084" t="s">
        <v>3514</v>
      </c>
      <c r="I1084" t="s">
        <v>366</v>
      </c>
      <c r="J1084" s="1" t="s">
        <v>215</v>
      </c>
      <c r="K1084" t="s">
        <v>181</v>
      </c>
      <c r="L1084" t="s">
        <v>3340</v>
      </c>
      <c r="M1084">
        <v>81</v>
      </c>
      <c r="N1084">
        <v>0.64</v>
      </c>
      <c r="O1084" t="s">
        <v>211</v>
      </c>
      <c r="P1084">
        <v>35</v>
      </c>
      <c r="R1084" t="s">
        <v>3374</v>
      </c>
      <c r="T1084" t="s">
        <v>3337</v>
      </c>
      <c r="U1084">
        <v>41</v>
      </c>
      <c r="V1084" t="s">
        <v>3905</v>
      </c>
    </row>
    <row r="1085" spans="1:22" ht="12.75" customHeight="1" x14ac:dyDescent="0.15">
      <c r="A1085">
        <v>19</v>
      </c>
      <c r="B1085">
        <v>2026</v>
      </c>
      <c r="C1085" s="21">
        <v>46155</v>
      </c>
      <c r="D1085" t="s">
        <v>80</v>
      </c>
      <c r="E1085" t="s">
        <v>81</v>
      </c>
      <c r="F1085" t="s">
        <v>21</v>
      </c>
      <c r="G1085">
        <v>2.2999999999999998</v>
      </c>
      <c r="H1085" t="s">
        <v>3514</v>
      </c>
      <c r="I1085" t="s">
        <v>366</v>
      </c>
      <c r="J1085" s="1" t="s">
        <v>215</v>
      </c>
      <c r="K1085" t="s">
        <v>181</v>
      </c>
      <c r="L1085" t="s">
        <v>3340</v>
      </c>
      <c r="M1085">
        <v>53</v>
      </c>
      <c r="N1085">
        <v>0.64</v>
      </c>
      <c r="O1085" t="s">
        <v>211</v>
      </c>
      <c r="P1085">
        <v>35</v>
      </c>
      <c r="R1085" t="s">
        <v>3373</v>
      </c>
      <c r="T1085" t="s">
        <v>3337</v>
      </c>
      <c r="U1085">
        <v>41</v>
      </c>
      <c r="V1085" t="s">
        <v>3905</v>
      </c>
    </row>
    <row r="1086" spans="1:22" ht="12.75" customHeight="1" x14ac:dyDescent="0.15">
      <c r="A1086">
        <v>19</v>
      </c>
      <c r="B1086">
        <v>2026</v>
      </c>
      <c r="C1086" s="21">
        <v>46155</v>
      </c>
      <c r="D1086" t="s">
        <v>39</v>
      </c>
      <c r="E1086" t="s">
        <v>40</v>
      </c>
      <c r="F1086" t="s">
        <v>21</v>
      </c>
      <c r="G1086">
        <v>1.91</v>
      </c>
      <c r="H1086" t="s">
        <v>3514</v>
      </c>
      <c r="I1086" t="s">
        <v>366</v>
      </c>
      <c r="J1086" s="1" t="s">
        <v>215</v>
      </c>
      <c r="K1086" t="s">
        <v>181</v>
      </c>
      <c r="L1086" t="s">
        <v>3340</v>
      </c>
      <c r="M1086">
        <v>45</v>
      </c>
      <c r="N1086">
        <v>0.85</v>
      </c>
      <c r="O1086" t="s">
        <v>211</v>
      </c>
      <c r="P1086">
        <v>46.6</v>
      </c>
      <c r="R1086" t="s">
        <v>3377</v>
      </c>
      <c r="S1086" t="s">
        <v>3906</v>
      </c>
      <c r="T1086" t="s">
        <v>3337</v>
      </c>
      <c r="U1086">
        <v>118</v>
      </c>
      <c r="V1086" t="s">
        <v>3907</v>
      </c>
    </row>
    <row r="1087" spans="1:22" ht="12.75" customHeight="1" x14ac:dyDescent="0.15">
      <c r="A1087">
        <v>19</v>
      </c>
      <c r="B1087">
        <v>2026</v>
      </c>
      <c r="C1087" s="21">
        <v>46155</v>
      </c>
      <c r="D1087" t="s">
        <v>39</v>
      </c>
      <c r="E1087" t="s">
        <v>40</v>
      </c>
      <c r="F1087" t="s">
        <v>21</v>
      </c>
      <c r="G1087">
        <v>1.91</v>
      </c>
      <c r="H1087" t="s">
        <v>3514</v>
      </c>
      <c r="I1087" t="s">
        <v>366</v>
      </c>
      <c r="J1087" s="1" t="s">
        <v>215</v>
      </c>
      <c r="K1087" t="s">
        <v>181</v>
      </c>
      <c r="L1087" t="s">
        <v>3340</v>
      </c>
      <c r="M1087">
        <v>62</v>
      </c>
      <c r="N1087">
        <v>0.85</v>
      </c>
      <c r="O1087" t="s">
        <v>211</v>
      </c>
      <c r="P1087">
        <v>46.6</v>
      </c>
      <c r="R1087" t="s">
        <v>3375</v>
      </c>
      <c r="T1087" t="s">
        <v>3337</v>
      </c>
      <c r="U1087">
        <v>118</v>
      </c>
      <c r="V1087" t="s">
        <v>3907</v>
      </c>
    </row>
    <row r="1088" spans="1:22" ht="12.75" customHeight="1" x14ac:dyDescent="0.15">
      <c r="A1088">
        <v>19</v>
      </c>
      <c r="B1088">
        <v>2026</v>
      </c>
      <c r="C1088" s="21">
        <v>46155</v>
      </c>
      <c r="D1088" t="s">
        <v>39</v>
      </c>
      <c r="E1088" t="s">
        <v>40</v>
      </c>
      <c r="F1088" t="s">
        <v>21</v>
      </c>
      <c r="G1088">
        <v>1.91</v>
      </c>
      <c r="H1088" t="s">
        <v>3514</v>
      </c>
      <c r="I1088" t="s">
        <v>366</v>
      </c>
      <c r="J1088" s="1" t="s">
        <v>215</v>
      </c>
      <c r="K1088" t="s">
        <v>181</v>
      </c>
      <c r="L1088" t="s">
        <v>3340</v>
      </c>
      <c r="M1088">
        <v>58</v>
      </c>
      <c r="N1088">
        <v>0.85</v>
      </c>
      <c r="O1088" t="s">
        <v>211</v>
      </c>
      <c r="P1088">
        <v>46.6</v>
      </c>
      <c r="R1088" t="s">
        <v>3343</v>
      </c>
      <c r="T1088" t="s">
        <v>3337</v>
      </c>
      <c r="U1088">
        <v>118</v>
      </c>
      <c r="V1088" t="s">
        <v>3907</v>
      </c>
    </row>
    <row r="1089" spans="1:22" ht="12.75" customHeight="1" x14ac:dyDescent="0.15">
      <c r="A1089">
        <v>19</v>
      </c>
      <c r="B1089">
        <v>2026</v>
      </c>
      <c r="C1089" s="21">
        <v>46155</v>
      </c>
      <c r="D1089" t="s">
        <v>39</v>
      </c>
      <c r="E1089" t="s">
        <v>40</v>
      </c>
      <c r="F1089" t="s">
        <v>21</v>
      </c>
      <c r="G1089">
        <v>1.91</v>
      </c>
      <c r="H1089" t="s">
        <v>3514</v>
      </c>
      <c r="I1089" t="s">
        <v>366</v>
      </c>
      <c r="J1089" s="1" t="s">
        <v>215</v>
      </c>
      <c r="K1089" t="s">
        <v>181</v>
      </c>
      <c r="L1089" t="s">
        <v>3340</v>
      </c>
      <c r="M1089">
        <v>132</v>
      </c>
      <c r="N1089">
        <v>0.85</v>
      </c>
      <c r="O1089" t="s">
        <v>211</v>
      </c>
      <c r="P1089">
        <v>46.6</v>
      </c>
      <c r="R1089" t="s">
        <v>3368</v>
      </c>
      <c r="T1089" t="s">
        <v>3337</v>
      </c>
      <c r="U1089">
        <v>118</v>
      </c>
      <c r="V1089" t="s">
        <v>3907</v>
      </c>
    </row>
    <row r="1090" spans="1:22" ht="12.75" customHeight="1" x14ac:dyDescent="0.15">
      <c r="A1090">
        <v>19</v>
      </c>
      <c r="B1090">
        <v>2026</v>
      </c>
      <c r="C1090" s="21">
        <v>46155</v>
      </c>
      <c r="D1090" t="s">
        <v>39</v>
      </c>
      <c r="E1090" t="s">
        <v>40</v>
      </c>
      <c r="F1090" t="s">
        <v>21</v>
      </c>
      <c r="G1090">
        <v>1.91</v>
      </c>
      <c r="H1090" t="s">
        <v>3514</v>
      </c>
      <c r="I1090" t="s">
        <v>366</v>
      </c>
      <c r="J1090" s="1" t="s">
        <v>215</v>
      </c>
      <c r="K1090" t="s">
        <v>181</v>
      </c>
      <c r="L1090" t="s">
        <v>3340</v>
      </c>
      <c r="M1090">
        <v>81</v>
      </c>
      <c r="N1090">
        <v>0.85</v>
      </c>
      <c r="O1090" t="s">
        <v>211</v>
      </c>
      <c r="P1090">
        <v>46.6</v>
      </c>
      <c r="R1090" t="s">
        <v>3374</v>
      </c>
      <c r="T1090" t="s">
        <v>3337</v>
      </c>
      <c r="U1090">
        <v>118</v>
      </c>
      <c r="V1090" t="s">
        <v>3907</v>
      </c>
    </row>
    <row r="1091" spans="1:22" ht="12.75" customHeight="1" x14ac:dyDescent="0.15">
      <c r="A1091">
        <v>19</v>
      </c>
      <c r="B1091">
        <v>2026</v>
      </c>
      <c r="C1091" s="21">
        <v>46155</v>
      </c>
      <c r="D1091" t="s">
        <v>39</v>
      </c>
      <c r="E1091" t="s">
        <v>40</v>
      </c>
      <c r="F1091" t="s">
        <v>21</v>
      </c>
      <c r="G1091">
        <v>1.91</v>
      </c>
      <c r="H1091" t="s">
        <v>3514</v>
      </c>
      <c r="I1091" t="s">
        <v>366</v>
      </c>
      <c r="J1091" s="1" t="s">
        <v>215</v>
      </c>
      <c r="K1091" t="s">
        <v>181</v>
      </c>
      <c r="L1091" t="s">
        <v>3340</v>
      </c>
      <c r="M1091">
        <v>53</v>
      </c>
      <c r="N1091">
        <v>0.85</v>
      </c>
      <c r="O1091" t="s">
        <v>211</v>
      </c>
      <c r="P1091">
        <v>46.6</v>
      </c>
      <c r="R1091" t="s">
        <v>3373</v>
      </c>
      <c r="T1091" t="s">
        <v>3337</v>
      </c>
      <c r="U1091">
        <v>118</v>
      </c>
      <c r="V1091" t="s">
        <v>3907</v>
      </c>
    </row>
    <row r="1092" spans="1:22" ht="12.75" customHeight="1" x14ac:dyDescent="0.15">
      <c r="A1092">
        <v>19</v>
      </c>
      <c r="B1092">
        <v>2026</v>
      </c>
      <c r="C1092" s="21">
        <v>46155</v>
      </c>
      <c r="D1092" t="s">
        <v>107</v>
      </c>
      <c r="E1092" t="s">
        <v>108</v>
      </c>
      <c r="F1092" t="s">
        <v>21</v>
      </c>
      <c r="G1092">
        <v>4.5</v>
      </c>
      <c r="H1092" t="s">
        <v>3908</v>
      </c>
      <c r="I1092" t="s">
        <v>3909</v>
      </c>
      <c r="J1092" s="1" t="s">
        <v>3389</v>
      </c>
      <c r="K1092" t="s">
        <v>181</v>
      </c>
      <c r="L1092" t="s">
        <v>3333</v>
      </c>
      <c r="M1092">
        <v>2</v>
      </c>
      <c r="N1092">
        <v>0.13</v>
      </c>
      <c r="O1092" t="s">
        <v>3440</v>
      </c>
      <c r="P1092">
        <v>11.31</v>
      </c>
      <c r="Q1092">
        <v>1</v>
      </c>
      <c r="R1092" t="s">
        <v>3424</v>
      </c>
      <c r="T1092" t="s">
        <v>3337</v>
      </c>
      <c r="U1092">
        <v>-2</v>
      </c>
      <c r="V1092" t="s">
        <v>3910</v>
      </c>
    </row>
    <row r="1093" spans="1:22" ht="12.75" customHeight="1" x14ac:dyDescent="0.15">
      <c r="A1093">
        <v>19</v>
      </c>
      <c r="B1093">
        <v>2026</v>
      </c>
      <c r="C1093" s="21">
        <v>46155</v>
      </c>
      <c r="D1093" t="s">
        <v>80</v>
      </c>
      <c r="E1093" t="s">
        <v>81</v>
      </c>
      <c r="F1093" t="s">
        <v>21</v>
      </c>
      <c r="G1093">
        <v>2.2999999999999998</v>
      </c>
      <c r="H1093" t="s">
        <v>3339</v>
      </c>
      <c r="I1093" t="s">
        <v>187</v>
      </c>
      <c r="J1093" s="1" t="s">
        <v>188</v>
      </c>
      <c r="K1093" t="s">
        <v>181</v>
      </c>
      <c r="L1093" t="s">
        <v>3333</v>
      </c>
      <c r="M1093">
        <v>1</v>
      </c>
      <c r="N1093">
        <v>0.5</v>
      </c>
      <c r="O1093" t="s">
        <v>3358</v>
      </c>
      <c r="P1093">
        <v>35.93</v>
      </c>
      <c r="Q1093">
        <v>4</v>
      </c>
      <c r="R1093" t="s">
        <v>3359</v>
      </c>
      <c r="T1093" t="s">
        <v>3337</v>
      </c>
      <c r="U1093">
        <v>41</v>
      </c>
      <c r="V1093" t="s">
        <v>3911</v>
      </c>
    </row>
    <row r="1094" spans="1:22" ht="12.75" customHeight="1" x14ac:dyDescent="0.15">
      <c r="A1094">
        <v>19</v>
      </c>
      <c r="B1094">
        <v>2026</v>
      </c>
      <c r="C1094" s="21">
        <v>46155</v>
      </c>
      <c r="D1094" t="s">
        <v>80</v>
      </c>
      <c r="E1094" t="s">
        <v>81</v>
      </c>
      <c r="F1094" t="s">
        <v>21</v>
      </c>
      <c r="G1094">
        <v>2.2999999999999998</v>
      </c>
      <c r="H1094" t="s">
        <v>3346</v>
      </c>
      <c r="I1094" t="s">
        <v>212</v>
      </c>
      <c r="J1094" s="1" t="s">
        <v>188</v>
      </c>
      <c r="K1094" t="s">
        <v>181</v>
      </c>
      <c r="L1094" t="s">
        <v>3333</v>
      </c>
      <c r="M1094">
        <v>1</v>
      </c>
      <c r="N1094">
        <v>0.5</v>
      </c>
      <c r="O1094" t="s">
        <v>3358</v>
      </c>
      <c r="P1094">
        <v>35.93</v>
      </c>
      <c r="Q1094">
        <v>4</v>
      </c>
      <c r="R1094" t="s">
        <v>3359</v>
      </c>
      <c r="T1094" t="s">
        <v>3337</v>
      </c>
      <c r="U1094">
        <v>41</v>
      </c>
      <c r="V1094" t="s">
        <v>3911</v>
      </c>
    </row>
    <row r="1095" spans="1:22" ht="12.75" customHeight="1" x14ac:dyDescent="0.15">
      <c r="A1095">
        <v>19</v>
      </c>
      <c r="B1095">
        <v>2026</v>
      </c>
      <c r="C1095" s="21">
        <v>46155</v>
      </c>
      <c r="D1095" t="s">
        <v>107</v>
      </c>
      <c r="E1095" t="s">
        <v>108</v>
      </c>
      <c r="F1095" t="s">
        <v>21</v>
      </c>
      <c r="G1095">
        <v>4.5</v>
      </c>
      <c r="H1095" t="s">
        <v>3339</v>
      </c>
      <c r="I1095" t="s">
        <v>187</v>
      </c>
      <c r="J1095" s="1" t="s">
        <v>188</v>
      </c>
      <c r="K1095" t="s">
        <v>181</v>
      </c>
      <c r="L1095" t="s">
        <v>3333</v>
      </c>
      <c r="M1095">
        <v>6</v>
      </c>
      <c r="N1095">
        <v>1</v>
      </c>
      <c r="O1095" t="s">
        <v>3334</v>
      </c>
      <c r="P1095">
        <v>81.58</v>
      </c>
      <c r="Q1095">
        <v>8</v>
      </c>
      <c r="R1095" t="s">
        <v>3335</v>
      </c>
      <c r="T1095" t="s">
        <v>3337</v>
      </c>
      <c r="U1095">
        <v>-2</v>
      </c>
      <c r="V1095" t="s">
        <v>3826</v>
      </c>
    </row>
    <row r="1096" spans="1:22" ht="12.75" customHeight="1" x14ac:dyDescent="0.15">
      <c r="A1096">
        <v>19</v>
      </c>
      <c r="B1096">
        <v>2026</v>
      </c>
      <c r="C1096" s="21">
        <v>46155</v>
      </c>
      <c r="D1096" t="s">
        <v>96</v>
      </c>
      <c r="E1096" t="s">
        <v>97</v>
      </c>
      <c r="F1096" t="s">
        <v>21</v>
      </c>
      <c r="G1096">
        <v>4.5</v>
      </c>
      <c r="H1096" t="s">
        <v>3912</v>
      </c>
      <c r="I1096" t="s">
        <v>3913</v>
      </c>
      <c r="J1096" s="1" t="s">
        <v>3533</v>
      </c>
      <c r="K1096" t="s">
        <v>181</v>
      </c>
      <c r="L1096" t="s">
        <v>3333</v>
      </c>
      <c r="M1096">
        <v>3</v>
      </c>
      <c r="N1096">
        <v>0.5</v>
      </c>
      <c r="O1096" t="s">
        <v>3334</v>
      </c>
      <c r="P1096">
        <v>40.79</v>
      </c>
      <c r="Q1096">
        <v>4</v>
      </c>
      <c r="R1096" t="s">
        <v>3478</v>
      </c>
      <c r="T1096" t="s">
        <v>3402</v>
      </c>
      <c r="U1096">
        <v>12</v>
      </c>
      <c r="V1096" t="s">
        <v>3870</v>
      </c>
    </row>
    <row r="1097" spans="1:22" ht="12.75" customHeight="1" x14ac:dyDescent="0.15">
      <c r="A1097">
        <v>19</v>
      </c>
      <c r="B1097">
        <v>2026</v>
      </c>
      <c r="C1097" s="21">
        <v>46155</v>
      </c>
      <c r="D1097" t="s">
        <v>96</v>
      </c>
      <c r="E1097" t="s">
        <v>97</v>
      </c>
      <c r="F1097" t="s">
        <v>21</v>
      </c>
      <c r="G1097">
        <v>4.5</v>
      </c>
      <c r="H1097" t="s">
        <v>3912</v>
      </c>
      <c r="I1097" t="s">
        <v>3913</v>
      </c>
      <c r="J1097" s="1" t="s">
        <v>3533</v>
      </c>
      <c r="K1097" t="s">
        <v>181</v>
      </c>
      <c r="L1097" t="s">
        <v>3333</v>
      </c>
      <c r="M1097">
        <v>4</v>
      </c>
      <c r="N1097">
        <v>0.5</v>
      </c>
      <c r="O1097" t="s">
        <v>3334</v>
      </c>
      <c r="P1097">
        <v>40.79</v>
      </c>
      <c r="Q1097">
        <v>4</v>
      </c>
      <c r="R1097" t="s">
        <v>3773</v>
      </c>
      <c r="T1097" t="s">
        <v>3402</v>
      </c>
      <c r="U1097">
        <v>12</v>
      </c>
      <c r="V1097" t="s">
        <v>3870</v>
      </c>
    </row>
    <row r="1098" spans="1:22" ht="12.75" customHeight="1" x14ac:dyDescent="0.15">
      <c r="A1098">
        <v>19</v>
      </c>
      <c r="B1098">
        <v>2026</v>
      </c>
      <c r="C1098" s="21">
        <v>46155</v>
      </c>
      <c r="D1098" t="s">
        <v>96</v>
      </c>
      <c r="E1098" t="s">
        <v>97</v>
      </c>
      <c r="F1098" t="s">
        <v>21</v>
      </c>
      <c r="G1098">
        <v>4.5</v>
      </c>
      <c r="H1098" t="s">
        <v>3912</v>
      </c>
      <c r="I1098" t="s">
        <v>3913</v>
      </c>
      <c r="J1098" s="1" t="s">
        <v>3533</v>
      </c>
      <c r="K1098" t="s">
        <v>181</v>
      </c>
      <c r="L1098" t="s">
        <v>3340</v>
      </c>
      <c r="M1098">
        <v>53</v>
      </c>
      <c r="N1098">
        <v>0.65</v>
      </c>
      <c r="O1098" t="s">
        <v>211</v>
      </c>
      <c r="P1098">
        <v>36</v>
      </c>
      <c r="Q1098">
        <v>4</v>
      </c>
      <c r="R1098" t="s">
        <v>3373</v>
      </c>
      <c r="T1098" t="s">
        <v>3402</v>
      </c>
      <c r="U1098">
        <v>12</v>
      </c>
      <c r="V1098" t="s">
        <v>183</v>
      </c>
    </row>
    <row r="1099" spans="1:22" ht="12.75" customHeight="1" x14ac:dyDescent="0.15">
      <c r="A1099">
        <v>19</v>
      </c>
      <c r="B1099">
        <v>2026</v>
      </c>
      <c r="C1099" s="21">
        <v>46155</v>
      </c>
      <c r="D1099" t="s">
        <v>68</v>
      </c>
      <c r="E1099" t="s">
        <v>69</v>
      </c>
      <c r="F1099" t="s">
        <v>21</v>
      </c>
      <c r="G1099">
        <v>1</v>
      </c>
      <c r="H1099" t="s">
        <v>3536</v>
      </c>
      <c r="I1099" t="s">
        <v>3537</v>
      </c>
      <c r="J1099" s="1" t="s">
        <v>3533</v>
      </c>
      <c r="K1099" t="s">
        <v>181</v>
      </c>
      <c r="L1099" t="s">
        <v>3333</v>
      </c>
      <c r="M1099">
        <v>3</v>
      </c>
      <c r="N1099">
        <v>0.5</v>
      </c>
      <c r="O1099" t="s">
        <v>3334</v>
      </c>
      <c r="P1099">
        <v>40.79</v>
      </c>
      <c r="Q1099">
        <v>4</v>
      </c>
      <c r="R1099" t="s">
        <v>3478</v>
      </c>
      <c r="T1099" t="s">
        <v>3402</v>
      </c>
      <c r="U1099">
        <v>41</v>
      </c>
      <c r="V1099" t="s">
        <v>3456</v>
      </c>
    </row>
    <row r="1100" spans="1:22" ht="12.75" customHeight="1" x14ac:dyDescent="0.15">
      <c r="A1100">
        <v>19</v>
      </c>
      <c r="B1100">
        <v>2026</v>
      </c>
      <c r="C1100" s="21">
        <v>46155</v>
      </c>
      <c r="D1100" t="s">
        <v>68</v>
      </c>
      <c r="E1100" t="s">
        <v>69</v>
      </c>
      <c r="F1100" t="s">
        <v>21</v>
      </c>
      <c r="G1100">
        <v>1</v>
      </c>
      <c r="H1100" t="s">
        <v>3536</v>
      </c>
      <c r="I1100" t="s">
        <v>3537</v>
      </c>
      <c r="J1100" s="1" t="s">
        <v>3533</v>
      </c>
      <c r="K1100" t="s">
        <v>181</v>
      </c>
      <c r="L1100" t="s">
        <v>3333</v>
      </c>
      <c r="M1100">
        <v>4</v>
      </c>
      <c r="N1100">
        <v>0.5</v>
      </c>
      <c r="O1100" t="s">
        <v>3334</v>
      </c>
      <c r="P1100">
        <v>40.79</v>
      </c>
      <c r="Q1100">
        <v>4</v>
      </c>
      <c r="R1100" t="s">
        <v>3773</v>
      </c>
      <c r="T1100" t="s">
        <v>3402</v>
      </c>
      <c r="U1100">
        <v>41</v>
      </c>
      <c r="V1100" t="s">
        <v>3456</v>
      </c>
    </row>
    <row r="1101" spans="1:22" ht="12.75" customHeight="1" x14ac:dyDescent="0.15">
      <c r="A1101">
        <v>19</v>
      </c>
      <c r="B1101">
        <v>2026</v>
      </c>
      <c r="C1101" s="21">
        <v>46155</v>
      </c>
      <c r="D1101" t="s">
        <v>68</v>
      </c>
      <c r="E1101" t="s">
        <v>69</v>
      </c>
      <c r="F1101" t="s">
        <v>21</v>
      </c>
      <c r="G1101">
        <v>1</v>
      </c>
      <c r="H1101" t="s">
        <v>3536</v>
      </c>
      <c r="I1101" t="s">
        <v>3537</v>
      </c>
      <c r="J1101" s="1" t="s">
        <v>3533</v>
      </c>
      <c r="K1101" t="s">
        <v>181</v>
      </c>
      <c r="L1101" t="s">
        <v>3340</v>
      </c>
      <c r="M1101">
        <v>53</v>
      </c>
      <c r="N1101">
        <v>0.16</v>
      </c>
      <c r="O1101" t="s">
        <v>211</v>
      </c>
      <c r="P1101">
        <v>9</v>
      </c>
      <c r="Q1101">
        <v>1</v>
      </c>
      <c r="R1101" t="s">
        <v>3373</v>
      </c>
      <c r="T1101" t="s">
        <v>3402</v>
      </c>
      <c r="U1101">
        <v>41</v>
      </c>
      <c r="V1101" t="s">
        <v>3473</v>
      </c>
    </row>
    <row r="1102" spans="1:22" ht="12.75" customHeight="1" x14ac:dyDescent="0.15">
      <c r="A1102">
        <v>19</v>
      </c>
      <c r="B1102">
        <v>2026</v>
      </c>
      <c r="C1102" s="21">
        <v>46155</v>
      </c>
      <c r="D1102" t="s">
        <v>107</v>
      </c>
      <c r="E1102" t="s">
        <v>108</v>
      </c>
      <c r="F1102" t="s">
        <v>21</v>
      </c>
      <c r="G1102">
        <v>4.5</v>
      </c>
      <c r="H1102" t="s">
        <v>3908</v>
      </c>
      <c r="I1102" t="s">
        <v>3909</v>
      </c>
      <c r="J1102" s="1" t="s">
        <v>3389</v>
      </c>
      <c r="K1102" t="s">
        <v>181</v>
      </c>
      <c r="L1102" t="s">
        <v>3333</v>
      </c>
      <c r="M1102">
        <v>67</v>
      </c>
      <c r="N1102">
        <v>0.13</v>
      </c>
      <c r="O1102" t="s">
        <v>3334</v>
      </c>
      <c r="P1102">
        <v>10.199999999999999</v>
      </c>
      <c r="Q1102">
        <v>1</v>
      </c>
      <c r="R1102" t="s">
        <v>3404</v>
      </c>
      <c r="T1102" t="s">
        <v>3402</v>
      </c>
      <c r="U1102">
        <v>-2</v>
      </c>
      <c r="V1102" t="s">
        <v>3840</v>
      </c>
    </row>
    <row r="1103" spans="1:22" ht="12.75" customHeight="1" x14ac:dyDescent="0.15">
      <c r="A1103">
        <v>19</v>
      </c>
      <c r="B1103">
        <v>2026</v>
      </c>
      <c r="C1103" s="21">
        <v>46155</v>
      </c>
      <c r="D1103" t="s">
        <v>107</v>
      </c>
      <c r="E1103" t="s">
        <v>108</v>
      </c>
      <c r="F1103" t="s">
        <v>21</v>
      </c>
      <c r="G1103">
        <v>4.5</v>
      </c>
      <c r="H1103" t="s">
        <v>3908</v>
      </c>
      <c r="I1103" t="s">
        <v>3909</v>
      </c>
      <c r="J1103" s="1" t="s">
        <v>3389</v>
      </c>
      <c r="K1103" t="s">
        <v>181</v>
      </c>
      <c r="L1103" t="s">
        <v>3333</v>
      </c>
      <c r="M1103">
        <v>19</v>
      </c>
      <c r="N1103">
        <v>0.13</v>
      </c>
      <c r="O1103" t="s">
        <v>3334</v>
      </c>
      <c r="P1103">
        <v>10.199999999999999</v>
      </c>
      <c r="Q1103">
        <v>1</v>
      </c>
      <c r="R1103" t="s">
        <v>3403</v>
      </c>
      <c r="T1103" t="s">
        <v>3402</v>
      </c>
      <c r="U1103">
        <v>-2</v>
      </c>
      <c r="V1103" t="s">
        <v>3840</v>
      </c>
    </row>
    <row r="1104" spans="1:22" ht="12.75" customHeight="1" x14ac:dyDescent="0.15">
      <c r="A1104">
        <v>19</v>
      </c>
      <c r="B1104">
        <v>2026</v>
      </c>
      <c r="C1104" s="21">
        <v>46155</v>
      </c>
      <c r="D1104" t="s">
        <v>107</v>
      </c>
      <c r="E1104" t="s">
        <v>108</v>
      </c>
      <c r="F1104" t="s">
        <v>21</v>
      </c>
      <c r="G1104">
        <v>4.5</v>
      </c>
      <c r="H1104" t="s">
        <v>3908</v>
      </c>
      <c r="I1104" t="s">
        <v>3909</v>
      </c>
      <c r="J1104" s="1" t="s">
        <v>3389</v>
      </c>
      <c r="K1104" t="s">
        <v>181</v>
      </c>
      <c r="L1104" t="s">
        <v>3340</v>
      </c>
      <c r="M1104">
        <v>78</v>
      </c>
      <c r="N1104">
        <v>0.16</v>
      </c>
      <c r="O1104" t="s">
        <v>211</v>
      </c>
      <c r="P1104">
        <v>9</v>
      </c>
      <c r="Q1104">
        <v>1</v>
      </c>
      <c r="R1104" t="s">
        <v>3341</v>
      </c>
      <c r="T1104" t="s">
        <v>3402</v>
      </c>
      <c r="U1104">
        <v>-2</v>
      </c>
      <c r="V1104" t="s">
        <v>3801</v>
      </c>
    </row>
    <row r="1105" spans="1:22" ht="12.75" customHeight="1" x14ac:dyDescent="0.15">
      <c r="A1105">
        <v>19</v>
      </c>
      <c r="B1105">
        <v>2026</v>
      </c>
      <c r="C1105" s="21">
        <v>46155</v>
      </c>
      <c r="D1105" t="s">
        <v>73</v>
      </c>
      <c r="E1105" t="s">
        <v>74</v>
      </c>
      <c r="F1105" t="s">
        <v>75</v>
      </c>
      <c r="G1105">
        <v>2.2999999999999998</v>
      </c>
      <c r="H1105" t="s">
        <v>3565</v>
      </c>
      <c r="I1105" t="s">
        <v>3566</v>
      </c>
      <c r="J1105" s="1" t="s">
        <v>3389</v>
      </c>
      <c r="K1105" t="s">
        <v>181</v>
      </c>
      <c r="L1105" t="s">
        <v>3333</v>
      </c>
      <c r="M1105">
        <v>86</v>
      </c>
      <c r="N1105">
        <v>0.13</v>
      </c>
      <c r="O1105" t="s">
        <v>3334</v>
      </c>
      <c r="P1105">
        <v>10.199999999999999</v>
      </c>
      <c r="Q1105">
        <v>1</v>
      </c>
      <c r="R1105" t="s">
        <v>3386</v>
      </c>
      <c r="T1105" t="s">
        <v>3402</v>
      </c>
      <c r="U1105">
        <v>25</v>
      </c>
      <c r="V1105" t="s">
        <v>3713</v>
      </c>
    </row>
    <row r="1106" spans="1:22" ht="12.75" customHeight="1" x14ac:dyDescent="0.15">
      <c r="A1106">
        <v>19</v>
      </c>
      <c r="B1106">
        <v>2026</v>
      </c>
      <c r="C1106" s="21">
        <v>46155</v>
      </c>
      <c r="D1106" t="s">
        <v>84</v>
      </c>
      <c r="E1106" t="s">
        <v>85</v>
      </c>
      <c r="F1106" t="s">
        <v>21</v>
      </c>
      <c r="G1106">
        <v>2</v>
      </c>
      <c r="H1106" t="s">
        <v>3565</v>
      </c>
      <c r="I1106" t="s">
        <v>3566</v>
      </c>
      <c r="J1106" s="1" t="s">
        <v>3389</v>
      </c>
      <c r="K1106" t="s">
        <v>181</v>
      </c>
      <c r="L1106" t="s">
        <v>3333</v>
      </c>
      <c r="M1106">
        <v>86</v>
      </c>
      <c r="N1106">
        <v>0.5</v>
      </c>
      <c r="O1106" t="s">
        <v>3334</v>
      </c>
      <c r="P1106">
        <v>40.79</v>
      </c>
      <c r="Q1106">
        <v>4</v>
      </c>
      <c r="R1106" t="s">
        <v>3386</v>
      </c>
      <c r="T1106" t="s">
        <v>3402</v>
      </c>
      <c r="U1106">
        <v>23</v>
      </c>
      <c r="V1106" t="s">
        <v>3474</v>
      </c>
    </row>
    <row r="1107" spans="1:22" ht="12.75" customHeight="1" x14ac:dyDescent="0.15">
      <c r="A1107">
        <v>19</v>
      </c>
      <c r="B1107">
        <v>2026</v>
      </c>
      <c r="C1107" s="21">
        <v>46155</v>
      </c>
      <c r="D1107" t="s">
        <v>107</v>
      </c>
      <c r="E1107" t="s">
        <v>108</v>
      </c>
      <c r="F1107" t="s">
        <v>21</v>
      </c>
      <c r="G1107">
        <v>4.5</v>
      </c>
      <c r="H1107" t="s">
        <v>3914</v>
      </c>
      <c r="I1107" t="s">
        <v>3810</v>
      </c>
      <c r="J1107" s="1" t="s">
        <v>30</v>
      </c>
      <c r="K1107" t="s">
        <v>181</v>
      </c>
      <c r="L1107" t="s">
        <v>3333</v>
      </c>
      <c r="M1107">
        <v>86</v>
      </c>
      <c r="N1107">
        <v>0.38</v>
      </c>
      <c r="O1107" t="s">
        <v>3334</v>
      </c>
      <c r="P1107">
        <v>30.59</v>
      </c>
      <c r="Q1107">
        <v>3</v>
      </c>
      <c r="R1107" t="s">
        <v>3386</v>
      </c>
      <c r="T1107" t="s">
        <v>3402</v>
      </c>
      <c r="U1107">
        <v>-2</v>
      </c>
      <c r="V1107" t="s">
        <v>3816</v>
      </c>
    </row>
    <row r="1108" spans="1:22" ht="12.75" customHeight="1" x14ac:dyDescent="0.15">
      <c r="A1108">
        <v>19</v>
      </c>
      <c r="B1108">
        <v>2026</v>
      </c>
      <c r="C1108" s="21">
        <v>46155</v>
      </c>
      <c r="D1108" t="s">
        <v>107</v>
      </c>
      <c r="E1108" t="s">
        <v>108</v>
      </c>
      <c r="F1108" t="s">
        <v>21</v>
      </c>
      <c r="G1108">
        <v>4.5</v>
      </c>
      <c r="H1108" t="s">
        <v>3836</v>
      </c>
      <c r="I1108" t="s">
        <v>3810</v>
      </c>
      <c r="J1108" s="1" t="s">
        <v>30</v>
      </c>
      <c r="K1108" t="s">
        <v>181</v>
      </c>
      <c r="L1108" t="s">
        <v>3340</v>
      </c>
      <c r="M1108">
        <v>86</v>
      </c>
      <c r="N1108">
        <v>0.41</v>
      </c>
      <c r="O1108" t="s">
        <v>211</v>
      </c>
      <c r="P1108">
        <v>22.5</v>
      </c>
      <c r="Q1108">
        <v>1.5</v>
      </c>
      <c r="R1108" t="s">
        <v>3386</v>
      </c>
      <c r="T1108" t="s">
        <v>3402</v>
      </c>
      <c r="U1108">
        <v>-2</v>
      </c>
      <c r="V1108" t="s">
        <v>3504</v>
      </c>
    </row>
    <row r="1109" spans="1:22" ht="12.75" customHeight="1" x14ac:dyDescent="0.15">
      <c r="A1109">
        <v>19</v>
      </c>
      <c r="B1109">
        <v>2026</v>
      </c>
      <c r="C1109" s="21">
        <v>46155</v>
      </c>
      <c r="D1109" t="s">
        <v>84</v>
      </c>
      <c r="E1109" t="s">
        <v>85</v>
      </c>
      <c r="F1109" t="s">
        <v>21</v>
      </c>
      <c r="G1109">
        <v>2</v>
      </c>
      <c r="H1109" t="s">
        <v>3653</v>
      </c>
      <c r="I1109" t="s">
        <v>3566</v>
      </c>
      <c r="J1109" s="1" t="s">
        <v>3389</v>
      </c>
      <c r="K1109" t="s">
        <v>181</v>
      </c>
      <c r="L1109" t="s">
        <v>3340</v>
      </c>
      <c r="M1109">
        <v>86</v>
      </c>
      <c r="N1109">
        <v>0.55000000000000004</v>
      </c>
      <c r="O1109" t="s">
        <v>211</v>
      </c>
      <c r="P1109">
        <v>30</v>
      </c>
      <c r="Q1109">
        <v>2</v>
      </c>
      <c r="R1109" t="s">
        <v>3386</v>
      </c>
      <c r="T1109" t="s">
        <v>3402</v>
      </c>
      <c r="U1109">
        <v>23</v>
      </c>
      <c r="V1109" t="s">
        <v>3915</v>
      </c>
    </row>
    <row r="1110" spans="1:22" ht="12.75" customHeight="1" x14ac:dyDescent="0.15">
      <c r="A1110">
        <v>19</v>
      </c>
      <c r="B1110">
        <v>2026</v>
      </c>
      <c r="C1110" s="21">
        <v>46155</v>
      </c>
      <c r="D1110" t="s">
        <v>84</v>
      </c>
      <c r="E1110" t="s">
        <v>85</v>
      </c>
      <c r="F1110" t="s">
        <v>21</v>
      </c>
      <c r="G1110">
        <v>2</v>
      </c>
      <c r="H1110" t="s">
        <v>3878</v>
      </c>
      <c r="I1110" t="s">
        <v>3566</v>
      </c>
      <c r="J1110" s="1" t="s">
        <v>3389</v>
      </c>
      <c r="K1110" t="s">
        <v>2666</v>
      </c>
      <c r="L1110" t="s">
        <v>3587</v>
      </c>
      <c r="N1110">
        <v>2.2799999999999998</v>
      </c>
      <c r="O1110" t="s">
        <v>3838</v>
      </c>
      <c r="P1110">
        <v>48.75</v>
      </c>
      <c r="Q1110">
        <v>6</v>
      </c>
      <c r="T1110" t="s">
        <v>3402</v>
      </c>
      <c r="U1110">
        <v>23</v>
      </c>
      <c r="V1110" t="s">
        <v>3916</v>
      </c>
    </row>
    <row r="1111" spans="1:22" ht="12.75" customHeight="1" x14ac:dyDescent="0.15">
      <c r="A1111">
        <v>19</v>
      </c>
      <c r="B1111">
        <v>2026</v>
      </c>
      <c r="C1111" s="21">
        <v>46155</v>
      </c>
      <c r="D1111" t="s">
        <v>107</v>
      </c>
      <c r="E1111" t="s">
        <v>108</v>
      </c>
      <c r="F1111" t="s">
        <v>21</v>
      </c>
      <c r="G1111">
        <v>4.5</v>
      </c>
      <c r="H1111" t="s">
        <v>3809</v>
      </c>
      <c r="I1111" t="s">
        <v>3810</v>
      </c>
      <c r="J1111" s="1" t="s">
        <v>30</v>
      </c>
      <c r="K1111" t="s">
        <v>181</v>
      </c>
      <c r="L1111" t="s">
        <v>3587</v>
      </c>
      <c r="N1111">
        <v>1.71</v>
      </c>
      <c r="O1111" t="s">
        <v>3838</v>
      </c>
      <c r="P1111">
        <v>36.56</v>
      </c>
      <c r="Q1111">
        <v>4.5</v>
      </c>
      <c r="T1111" t="s">
        <v>3402</v>
      </c>
      <c r="U1111">
        <v>-2</v>
      </c>
      <c r="V1111" t="s">
        <v>3917</v>
      </c>
    </row>
    <row r="1112" spans="1:22" ht="12.75" customHeight="1" x14ac:dyDescent="0.15">
      <c r="A1112">
        <v>19</v>
      </c>
      <c r="B1112">
        <v>2026</v>
      </c>
      <c r="C1112" s="21">
        <v>46156</v>
      </c>
      <c r="D1112" t="s">
        <v>101</v>
      </c>
      <c r="E1112" t="s">
        <v>102</v>
      </c>
      <c r="F1112" t="s">
        <v>75</v>
      </c>
      <c r="G1112">
        <v>7.6</v>
      </c>
      <c r="H1112" t="s">
        <v>3855</v>
      </c>
      <c r="I1112" t="s">
        <v>3808</v>
      </c>
      <c r="J1112" s="1" t="s">
        <v>26</v>
      </c>
      <c r="K1112" t="s">
        <v>181</v>
      </c>
      <c r="L1112" t="s">
        <v>3340</v>
      </c>
      <c r="M1112">
        <v>53</v>
      </c>
      <c r="N1112">
        <v>1.82</v>
      </c>
      <c r="O1112" t="s">
        <v>211</v>
      </c>
      <c r="P1112">
        <v>100</v>
      </c>
      <c r="R1112" t="s">
        <v>3373</v>
      </c>
      <c r="T1112" t="s">
        <v>3337</v>
      </c>
      <c r="U1112">
        <v>16</v>
      </c>
      <c r="V1112" t="s">
        <v>3459</v>
      </c>
    </row>
    <row r="1113" spans="1:22" ht="12.75" customHeight="1" x14ac:dyDescent="0.15">
      <c r="A1113">
        <v>19</v>
      </c>
      <c r="B1113">
        <v>2026</v>
      </c>
      <c r="C1113" s="21">
        <v>46156</v>
      </c>
      <c r="D1113" t="s">
        <v>101</v>
      </c>
      <c r="E1113" t="s">
        <v>102</v>
      </c>
      <c r="F1113" t="s">
        <v>75</v>
      </c>
      <c r="G1113">
        <v>7.6</v>
      </c>
      <c r="H1113" t="s">
        <v>3855</v>
      </c>
      <c r="I1113" t="s">
        <v>3808</v>
      </c>
      <c r="J1113" s="1" t="s">
        <v>26</v>
      </c>
      <c r="K1113" t="s">
        <v>181</v>
      </c>
      <c r="L1113" t="s">
        <v>3340</v>
      </c>
      <c r="M1113">
        <v>45</v>
      </c>
      <c r="N1113">
        <v>1.82</v>
      </c>
      <c r="O1113" t="s">
        <v>211</v>
      </c>
      <c r="P1113">
        <v>100</v>
      </c>
      <c r="R1113" t="s">
        <v>3377</v>
      </c>
      <c r="T1113" t="s">
        <v>3337</v>
      </c>
      <c r="U1113">
        <v>16</v>
      </c>
      <c r="V1113" t="s">
        <v>3459</v>
      </c>
    </row>
    <row r="1114" spans="1:22" ht="12.75" customHeight="1" x14ac:dyDescent="0.15">
      <c r="A1114">
        <v>19</v>
      </c>
      <c r="B1114">
        <v>2026</v>
      </c>
      <c r="C1114" s="21">
        <v>46156</v>
      </c>
      <c r="D1114" t="s">
        <v>101</v>
      </c>
      <c r="E1114" t="s">
        <v>102</v>
      </c>
      <c r="F1114" t="s">
        <v>75</v>
      </c>
      <c r="G1114">
        <v>7.6</v>
      </c>
      <c r="H1114" t="s">
        <v>3855</v>
      </c>
      <c r="I1114" t="s">
        <v>3808</v>
      </c>
      <c r="J1114" s="1" t="s">
        <v>26</v>
      </c>
      <c r="K1114" t="s">
        <v>181</v>
      </c>
      <c r="L1114" t="s">
        <v>3340</v>
      </c>
      <c r="M1114">
        <v>62</v>
      </c>
      <c r="N1114">
        <v>1.82</v>
      </c>
      <c r="O1114" t="s">
        <v>211</v>
      </c>
      <c r="P1114">
        <v>100</v>
      </c>
      <c r="R1114" t="s">
        <v>3375</v>
      </c>
      <c r="T1114" t="s">
        <v>3337</v>
      </c>
      <c r="U1114">
        <v>16</v>
      </c>
      <c r="V1114" t="s">
        <v>3459</v>
      </c>
    </row>
    <row r="1115" spans="1:22" ht="12.75" customHeight="1" x14ac:dyDescent="0.15">
      <c r="A1115">
        <v>19</v>
      </c>
      <c r="B1115">
        <v>2026</v>
      </c>
      <c r="C1115" s="21">
        <v>46156</v>
      </c>
      <c r="D1115" t="s">
        <v>101</v>
      </c>
      <c r="E1115" t="s">
        <v>102</v>
      </c>
      <c r="F1115" t="s">
        <v>75</v>
      </c>
      <c r="G1115">
        <v>7.6</v>
      </c>
      <c r="H1115" t="s">
        <v>3855</v>
      </c>
      <c r="I1115" t="s">
        <v>3808</v>
      </c>
      <c r="J1115" s="1" t="s">
        <v>26</v>
      </c>
      <c r="K1115" t="s">
        <v>181</v>
      </c>
      <c r="L1115" t="s">
        <v>3340</v>
      </c>
      <c r="M1115">
        <v>58</v>
      </c>
      <c r="N1115">
        <v>1.82</v>
      </c>
      <c r="O1115" t="s">
        <v>211</v>
      </c>
      <c r="P1115">
        <v>100</v>
      </c>
      <c r="R1115" t="s">
        <v>3343</v>
      </c>
      <c r="T1115" t="s">
        <v>3337</v>
      </c>
      <c r="U1115">
        <v>16</v>
      </c>
      <c r="V1115" t="s">
        <v>3459</v>
      </c>
    </row>
    <row r="1116" spans="1:22" ht="12.75" customHeight="1" x14ac:dyDescent="0.15">
      <c r="A1116">
        <v>19</v>
      </c>
      <c r="B1116">
        <v>2026</v>
      </c>
      <c r="C1116" s="21">
        <v>46156</v>
      </c>
      <c r="D1116" t="s">
        <v>101</v>
      </c>
      <c r="E1116" t="s">
        <v>102</v>
      </c>
      <c r="F1116" t="s">
        <v>75</v>
      </c>
      <c r="G1116">
        <v>7.6</v>
      </c>
      <c r="H1116" t="s">
        <v>3855</v>
      </c>
      <c r="I1116" t="s">
        <v>3808</v>
      </c>
      <c r="J1116" s="1" t="s">
        <v>26</v>
      </c>
      <c r="K1116" t="s">
        <v>181</v>
      </c>
      <c r="L1116" t="s">
        <v>3340</v>
      </c>
      <c r="M1116">
        <v>132</v>
      </c>
      <c r="N1116">
        <v>1.82</v>
      </c>
      <c r="O1116" t="s">
        <v>211</v>
      </c>
      <c r="P1116">
        <v>100</v>
      </c>
      <c r="R1116" t="s">
        <v>3368</v>
      </c>
      <c r="T1116" t="s">
        <v>3337</v>
      </c>
      <c r="U1116">
        <v>16</v>
      </c>
      <c r="V1116" t="s">
        <v>3459</v>
      </c>
    </row>
    <row r="1117" spans="1:22" ht="12.75" customHeight="1" x14ac:dyDescent="0.15">
      <c r="A1117">
        <v>19</v>
      </c>
      <c r="B1117">
        <v>2026</v>
      </c>
      <c r="C1117" s="21">
        <v>46156</v>
      </c>
      <c r="D1117" t="s">
        <v>107</v>
      </c>
      <c r="E1117" t="s">
        <v>108</v>
      </c>
      <c r="F1117" t="s">
        <v>21</v>
      </c>
      <c r="G1117">
        <v>4.5</v>
      </c>
      <c r="H1117" t="s">
        <v>3346</v>
      </c>
      <c r="I1117" t="s">
        <v>212</v>
      </c>
      <c r="J1117" s="1" t="s">
        <v>188</v>
      </c>
      <c r="K1117" t="s">
        <v>181</v>
      </c>
      <c r="L1117" t="s">
        <v>3333</v>
      </c>
      <c r="M1117">
        <v>6</v>
      </c>
      <c r="N1117">
        <v>1</v>
      </c>
      <c r="O1117" t="s">
        <v>3334</v>
      </c>
      <c r="P1117">
        <v>81.58</v>
      </c>
      <c r="Q1117">
        <v>8</v>
      </c>
      <c r="R1117" t="s">
        <v>3335</v>
      </c>
      <c r="T1117" t="s">
        <v>3337</v>
      </c>
      <c r="U1117">
        <v>-1</v>
      </c>
      <c r="V1117" t="s">
        <v>3826</v>
      </c>
    </row>
    <row r="1118" spans="1:22" ht="12.75" customHeight="1" x14ac:dyDescent="0.15">
      <c r="A1118">
        <v>19</v>
      </c>
      <c r="B1118">
        <v>2026</v>
      </c>
      <c r="C1118" s="21">
        <v>46156</v>
      </c>
      <c r="D1118" t="s">
        <v>107</v>
      </c>
      <c r="E1118" t="s">
        <v>108</v>
      </c>
      <c r="F1118" t="s">
        <v>21</v>
      </c>
      <c r="G1118">
        <v>4.5</v>
      </c>
      <c r="H1118" t="s">
        <v>3346</v>
      </c>
      <c r="I1118" t="s">
        <v>212</v>
      </c>
      <c r="J1118" s="1" t="s">
        <v>188</v>
      </c>
      <c r="K1118" t="s">
        <v>181</v>
      </c>
      <c r="L1118" t="s">
        <v>3340</v>
      </c>
      <c r="M1118">
        <v>6</v>
      </c>
      <c r="N1118">
        <v>3.22</v>
      </c>
      <c r="O1118" t="s">
        <v>211</v>
      </c>
      <c r="P1118">
        <v>177.04</v>
      </c>
      <c r="R1118" t="s">
        <v>3335</v>
      </c>
      <c r="S1118" t="s">
        <v>3918</v>
      </c>
      <c r="T1118" t="s">
        <v>3337</v>
      </c>
      <c r="U1118">
        <v>-1</v>
      </c>
      <c r="V1118" t="s">
        <v>3618</v>
      </c>
    </row>
    <row r="1119" spans="1:22" ht="12.75" customHeight="1" x14ac:dyDescent="0.15">
      <c r="A1119">
        <v>19</v>
      </c>
      <c r="B1119">
        <v>2026</v>
      </c>
      <c r="C1119" s="21">
        <v>46156</v>
      </c>
      <c r="D1119" t="s">
        <v>80</v>
      </c>
      <c r="E1119" t="s">
        <v>81</v>
      </c>
      <c r="F1119" t="s">
        <v>21</v>
      </c>
      <c r="G1119">
        <v>2.2999999999999998</v>
      </c>
      <c r="H1119" t="s">
        <v>3346</v>
      </c>
      <c r="I1119" t="s">
        <v>212</v>
      </c>
      <c r="J1119" s="1" t="s">
        <v>188</v>
      </c>
      <c r="K1119" t="s">
        <v>181</v>
      </c>
      <c r="L1119" t="s">
        <v>3333</v>
      </c>
      <c r="M1119">
        <v>1</v>
      </c>
      <c r="N1119">
        <v>0.25</v>
      </c>
      <c r="O1119" t="s">
        <v>3358</v>
      </c>
      <c r="P1119">
        <v>17.97</v>
      </c>
      <c r="Q1119">
        <v>2</v>
      </c>
      <c r="R1119" t="s">
        <v>3359</v>
      </c>
      <c r="T1119" t="s">
        <v>3337</v>
      </c>
      <c r="U1119">
        <v>42</v>
      </c>
      <c r="V1119" t="s">
        <v>3919</v>
      </c>
    </row>
    <row r="1120" spans="1:22" ht="12.75" customHeight="1" x14ac:dyDescent="0.15">
      <c r="A1120">
        <v>19</v>
      </c>
      <c r="B1120">
        <v>2026</v>
      </c>
      <c r="C1120" s="21">
        <v>46156</v>
      </c>
      <c r="D1120" t="s">
        <v>39</v>
      </c>
      <c r="E1120" t="s">
        <v>40</v>
      </c>
      <c r="F1120" t="s">
        <v>21</v>
      </c>
      <c r="G1120">
        <v>1.91</v>
      </c>
      <c r="H1120" t="s">
        <v>3346</v>
      </c>
      <c r="I1120" t="s">
        <v>212</v>
      </c>
      <c r="J1120" s="1" t="s">
        <v>188</v>
      </c>
      <c r="K1120" t="s">
        <v>181</v>
      </c>
      <c r="L1120" t="s">
        <v>3333</v>
      </c>
      <c r="M1120">
        <v>1</v>
      </c>
      <c r="N1120">
        <v>0.75</v>
      </c>
      <c r="O1120" t="s">
        <v>3358</v>
      </c>
      <c r="P1120">
        <v>53.9</v>
      </c>
      <c r="Q1120">
        <v>6</v>
      </c>
      <c r="R1120" t="s">
        <v>3359</v>
      </c>
      <c r="T1120" t="s">
        <v>3337</v>
      </c>
      <c r="U1120">
        <v>119</v>
      </c>
      <c r="V1120" t="s">
        <v>3920</v>
      </c>
    </row>
    <row r="1121" spans="1:22" ht="12.75" customHeight="1" x14ac:dyDescent="0.15">
      <c r="A1121">
        <v>19</v>
      </c>
      <c r="B1121">
        <v>2026</v>
      </c>
      <c r="C1121" s="21">
        <v>46156</v>
      </c>
      <c r="D1121" t="s">
        <v>89</v>
      </c>
      <c r="E1121" t="s">
        <v>90</v>
      </c>
      <c r="F1121" t="s">
        <v>21</v>
      </c>
      <c r="G1121">
        <v>1</v>
      </c>
      <c r="H1121" t="s">
        <v>3921</v>
      </c>
      <c r="I1121" t="s">
        <v>3922</v>
      </c>
      <c r="J1121" s="1" t="s">
        <v>3389</v>
      </c>
      <c r="K1121" t="s">
        <v>181</v>
      </c>
      <c r="L1121" t="s">
        <v>3333</v>
      </c>
      <c r="M1121">
        <v>2</v>
      </c>
      <c r="N1121">
        <v>0.44</v>
      </c>
      <c r="O1121" t="s">
        <v>3440</v>
      </c>
      <c r="P1121">
        <v>39.590000000000003</v>
      </c>
      <c r="Q1121">
        <v>3.5</v>
      </c>
      <c r="R1121" t="s">
        <v>3424</v>
      </c>
      <c r="T1121" t="s">
        <v>3337</v>
      </c>
      <c r="U1121">
        <v>29</v>
      </c>
      <c r="V1121" t="s">
        <v>3923</v>
      </c>
    </row>
    <row r="1122" spans="1:22" ht="12.75" customHeight="1" x14ac:dyDescent="0.15">
      <c r="A1122">
        <v>19</v>
      </c>
      <c r="B1122">
        <v>2026</v>
      </c>
      <c r="C1122" s="21">
        <v>46156</v>
      </c>
      <c r="D1122" t="s">
        <v>89</v>
      </c>
      <c r="E1122" t="s">
        <v>90</v>
      </c>
      <c r="F1122" t="s">
        <v>21</v>
      </c>
      <c r="G1122">
        <v>1</v>
      </c>
      <c r="H1122" t="s">
        <v>3391</v>
      </c>
      <c r="I1122" t="s">
        <v>353</v>
      </c>
      <c r="J1122" s="1" t="s">
        <v>253</v>
      </c>
      <c r="K1122" t="s">
        <v>181</v>
      </c>
      <c r="L1122" t="s">
        <v>3333</v>
      </c>
      <c r="M1122">
        <v>2</v>
      </c>
      <c r="N1122">
        <v>0.38</v>
      </c>
      <c r="O1122" t="s">
        <v>3440</v>
      </c>
      <c r="P1122">
        <v>33.93</v>
      </c>
      <c r="Q1122">
        <v>3</v>
      </c>
      <c r="R1122" t="s">
        <v>3424</v>
      </c>
      <c r="T1122" t="s">
        <v>3337</v>
      </c>
      <c r="U1122">
        <v>29</v>
      </c>
      <c r="V1122" t="s">
        <v>3924</v>
      </c>
    </row>
    <row r="1123" spans="1:22" ht="12.75" customHeight="1" x14ac:dyDescent="0.15">
      <c r="A1123">
        <v>19</v>
      </c>
      <c r="B1123">
        <v>2026</v>
      </c>
      <c r="C1123" s="21">
        <v>46156</v>
      </c>
      <c r="D1123" t="s">
        <v>89</v>
      </c>
      <c r="E1123" t="s">
        <v>90</v>
      </c>
      <c r="F1123" t="s">
        <v>21</v>
      </c>
      <c r="G1123">
        <v>1</v>
      </c>
      <c r="H1123" t="s">
        <v>3921</v>
      </c>
      <c r="I1123" t="s">
        <v>3922</v>
      </c>
      <c r="J1123" s="1" t="s">
        <v>3389</v>
      </c>
      <c r="K1123" t="s">
        <v>181</v>
      </c>
      <c r="L1123" t="s">
        <v>3333</v>
      </c>
      <c r="M1123">
        <v>67</v>
      </c>
      <c r="N1123">
        <v>0.44</v>
      </c>
      <c r="O1123" t="s">
        <v>3334</v>
      </c>
      <c r="P1123">
        <v>35.69</v>
      </c>
      <c r="Q1123">
        <v>3.5</v>
      </c>
      <c r="R1123" t="s">
        <v>3404</v>
      </c>
      <c r="T1123" t="s">
        <v>3402</v>
      </c>
      <c r="U1123">
        <v>29</v>
      </c>
      <c r="V1123" t="s">
        <v>3469</v>
      </c>
    </row>
    <row r="1124" spans="1:22" ht="12.75" customHeight="1" x14ac:dyDescent="0.15">
      <c r="A1124">
        <v>19</v>
      </c>
      <c r="B1124">
        <v>2026</v>
      </c>
      <c r="C1124" s="21">
        <v>46156</v>
      </c>
      <c r="D1124" t="s">
        <v>89</v>
      </c>
      <c r="E1124" t="s">
        <v>90</v>
      </c>
      <c r="F1124" t="s">
        <v>21</v>
      </c>
      <c r="G1124">
        <v>1</v>
      </c>
      <c r="H1124" t="s">
        <v>3921</v>
      </c>
      <c r="I1124" t="s">
        <v>3922</v>
      </c>
      <c r="J1124" s="1" t="s">
        <v>3389</v>
      </c>
      <c r="K1124" t="s">
        <v>181</v>
      </c>
      <c r="L1124" t="s">
        <v>3333</v>
      </c>
      <c r="M1124">
        <v>19</v>
      </c>
      <c r="N1124">
        <v>0.44</v>
      </c>
      <c r="O1124" t="s">
        <v>3334</v>
      </c>
      <c r="P1124">
        <v>35.69</v>
      </c>
      <c r="Q1124">
        <v>3.5</v>
      </c>
      <c r="R1124" t="s">
        <v>3403</v>
      </c>
      <c r="T1124" t="s">
        <v>3402</v>
      </c>
      <c r="U1124">
        <v>29</v>
      </c>
      <c r="V1124" t="s">
        <v>3469</v>
      </c>
    </row>
    <row r="1125" spans="1:22" ht="12.75" customHeight="1" x14ac:dyDescent="0.15">
      <c r="A1125">
        <v>19</v>
      </c>
      <c r="B1125">
        <v>2026</v>
      </c>
      <c r="C1125" s="21">
        <v>46156</v>
      </c>
      <c r="D1125" t="s">
        <v>89</v>
      </c>
      <c r="E1125" t="s">
        <v>90</v>
      </c>
      <c r="F1125" t="s">
        <v>21</v>
      </c>
      <c r="G1125">
        <v>1</v>
      </c>
      <c r="H1125" t="s">
        <v>3391</v>
      </c>
      <c r="I1125" t="s">
        <v>353</v>
      </c>
      <c r="J1125" s="1" t="s">
        <v>253</v>
      </c>
      <c r="K1125" t="s">
        <v>181</v>
      </c>
      <c r="L1125" t="s">
        <v>3333</v>
      </c>
      <c r="M1125">
        <v>67</v>
      </c>
      <c r="N1125">
        <v>0.38</v>
      </c>
      <c r="O1125" t="s">
        <v>3334</v>
      </c>
      <c r="P1125">
        <v>30.59</v>
      </c>
      <c r="Q1125">
        <v>3</v>
      </c>
      <c r="R1125" t="s">
        <v>3404</v>
      </c>
      <c r="T1125" t="s">
        <v>3402</v>
      </c>
      <c r="U1125">
        <v>29</v>
      </c>
      <c r="V1125" t="s">
        <v>3491</v>
      </c>
    </row>
    <row r="1126" spans="1:22" ht="12.75" customHeight="1" x14ac:dyDescent="0.15">
      <c r="A1126">
        <v>19</v>
      </c>
      <c r="B1126">
        <v>2026</v>
      </c>
      <c r="C1126" s="21">
        <v>46156</v>
      </c>
      <c r="D1126" t="s">
        <v>89</v>
      </c>
      <c r="E1126" t="s">
        <v>90</v>
      </c>
      <c r="F1126" t="s">
        <v>21</v>
      </c>
      <c r="G1126">
        <v>1</v>
      </c>
      <c r="H1126" t="s">
        <v>3391</v>
      </c>
      <c r="I1126" t="s">
        <v>353</v>
      </c>
      <c r="J1126" s="1" t="s">
        <v>253</v>
      </c>
      <c r="K1126" t="s">
        <v>181</v>
      </c>
      <c r="L1126" t="s">
        <v>3333</v>
      </c>
      <c r="M1126">
        <v>19</v>
      </c>
      <c r="N1126">
        <v>0.38</v>
      </c>
      <c r="O1126" t="s">
        <v>3334</v>
      </c>
      <c r="P1126">
        <v>30.59</v>
      </c>
      <c r="Q1126">
        <v>3</v>
      </c>
      <c r="R1126" t="s">
        <v>3403</v>
      </c>
      <c r="T1126" t="s">
        <v>3402</v>
      </c>
      <c r="U1126">
        <v>29</v>
      </c>
      <c r="V1126" t="s">
        <v>3491</v>
      </c>
    </row>
    <row r="1127" spans="1:22" ht="12.75" customHeight="1" x14ac:dyDescent="0.15">
      <c r="A1127">
        <v>19</v>
      </c>
      <c r="B1127">
        <v>2026</v>
      </c>
      <c r="C1127" s="21">
        <v>46156</v>
      </c>
      <c r="D1127" t="s">
        <v>68</v>
      </c>
      <c r="E1127" t="s">
        <v>69</v>
      </c>
      <c r="F1127" t="s">
        <v>21</v>
      </c>
      <c r="G1127">
        <v>1</v>
      </c>
      <c r="H1127" t="s">
        <v>3841</v>
      </c>
      <c r="I1127" t="s">
        <v>3842</v>
      </c>
      <c r="J1127" s="1" t="s">
        <v>3533</v>
      </c>
      <c r="K1127" t="s">
        <v>181</v>
      </c>
      <c r="L1127" t="s">
        <v>3333</v>
      </c>
      <c r="M1127">
        <v>3</v>
      </c>
      <c r="N1127">
        <v>0.88</v>
      </c>
      <c r="O1127" t="s">
        <v>3334</v>
      </c>
      <c r="P1127">
        <v>71.38</v>
      </c>
      <c r="Q1127">
        <v>7</v>
      </c>
      <c r="R1127" t="s">
        <v>3478</v>
      </c>
      <c r="T1127" t="s">
        <v>3402</v>
      </c>
      <c r="U1127">
        <v>42</v>
      </c>
      <c r="V1127" t="s">
        <v>3925</v>
      </c>
    </row>
    <row r="1128" spans="1:22" ht="12.75" customHeight="1" x14ac:dyDescent="0.15">
      <c r="A1128">
        <v>19</v>
      </c>
      <c r="B1128">
        <v>2026</v>
      </c>
      <c r="C1128" s="21">
        <v>46156</v>
      </c>
      <c r="D1128" t="s">
        <v>68</v>
      </c>
      <c r="E1128" t="s">
        <v>69</v>
      </c>
      <c r="F1128" t="s">
        <v>21</v>
      </c>
      <c r="G1128">
        <v>1</v>
      </c>
      <c r="H1128" t="s">
        <v>3841</v>
      </c>
      <c r="I1128" t="s">
        <v>3842</v>
      </c>
      <c r="J1128" s="1" t="s">
        <v>3533</v>
      </c>
      <c r="K1128" t="s">
        <v>181</v>
      </c>
      <c r="L1128" t="s">
        <v>3333</v>
      </c>
      <c r="M1128">
        <v>4</v>
      </c>
      <c r="N1128">
        <v>0.88</v>
      </c>
      <c r="O1128" t="s">
        <v>3334</v>
      </c>
      <c r="P1128">
        <v>71.38</v>
      </c>
      <c r="Q1128">
        <v>7</v>
      </c>
      <c r="R1128" t="s">
        <v>3773</v>
      </c>
      <c r="T1128" t="s">
        <v>3402</v>
      </c>
      <c r="U1128">
        <v>42</v>
      </c>
      <c r="V1128" t="s">
        <v>3925</v>
      </c>
    </row>
    <row r="1129" spans="1:22" ht="12.75" customHeight="1" x14ac:dyDescent="0.15">
      <c r="A1129">
        <v>19</v>
      </c>
      <c r="B1129">
        <v>2026</v>
      </c>
      <c r="C1129" s="21">
        <v>46156</v>
      </c>
      <c r="D1129" t="s">
        <v>68</v>
      </c>
      <c r="E1129" t="s">
        <v>69</v>
      </c>
      <c r="F1129" t="s">
        <v>21</v>
      </c>
      <c r="G1129">
        <v>1</v>
      </c>
      <c r="H1129" t="s">
        <v>3841</v>
      </c>
      <c r="I1129" t="s">
        <v>3842</v>
      </c>
      <c r="J1129" s="1" t="s">
        <v>3533</v>
      </c>
      <c r="K1129" t="s">
        <v>181</v>
      </c>
      <c r="L1129" t="s">
        <v>3340</v>
      </c>
      <c r="M1129">
        <v>78</v>
      </c>
      <c r="N1129">
        <v>0.98</v>
      </c>
      <c r="O1129" t="s">
        <v>211</v>
      </c>
      <c r="P1129">
        <v>54</v>
      </c>
      <c r="Q1129">
        <v>6</v>
      </c>
      <c r="R1129" t="s">
        <v>3341</v>
      </c>
      <c r="T1129" t="s">
        <v>3402</v>
      </c>
      <c r="U1129">
        <v>42</v>
      </c>
      <c r="V1129" t="s">
        <v>3926</v>
      </c>
    </row>
    <row r="1130" spans="1:22" ht="12.75" customHeight="1" x14ac:dyDescent="0.15">
      <c r="A1130">
        <v>19</v>
      </c>
      <c r="B1130">
        <v>2026</v>
      </c>
      <c r="C1130" s="21">
        <v>46156</v>
      </c>
      <c r="D1130" t="s">
        <v>68</v>
      </c>
      <c r="E1130" t="s">
        <v>69</v>
      </c>
      <c r="F1130" t="s">
        <v>21</v>
      </c>
      <c r="G1130">
        <v>1</v>
      </c>
      <c r="H1130" t="s">
        <v>3605</v>
      </c>
      <c r="I1130" t="s">
        <v>335</v>
      </c>
      <c r="J1130" s="1" t="s">
        <v>3533</v>
      </c>
      <c r="K1130" t="s">
        <v>181</v>
      </c>
      <c r="L1130" t="s">
        <v>3333</v>
      </c>
      <c r="M1130">
        <v>3</v>
      </c>
      <c r="N1130">
        <v>0.13</v>
      </c>
      <c r="O1130" t="s">
        <v>3334</v>
      </c>
      <c r="P1130">
        <v>10.199999999999999</v>
      </c>
      <c r="Q1130">
        <v>1</v>
      </c>
      <c r="R1130" t="s">
        <v>3478</v>
      </c>
      <c r="T1130" t="s">
        <v>3402</v>
      </c>
      <c r="U1130">
        <v>42</v>
      </c>
      <c r="V1130" t="s">
        <v>3472</v>
      </c>
    </row>
    <row r="1131" spans="1:22" ht="12.75" customHeight="1" x14ac:dyDescent="0.15">
      <c r="A1131">
        <v>19</v>
      </c>
      <c r="B1131">
        <v>2026</v>
      </c>
      <c r="C1131" s="21">
        <v>46156</v>
      </c>
      <c r="D1131" t="s">
        <v>68</v>
      </c>
      <c r="E1131" t="s">
        <v>69</v>
      </c>
      <c r="F1131" t="s">
        <v>21</v>
      </c>
      <c r="G1131">
        <v>1</v>
      </c>
      <c r="H1131" t="s">
        <v>3605</v>
      </c>
      <c r="I1131" t="s">
        <v>335</v>
      </c>
      <c r="J1131" s="1" t="s">
        <v>3533</v>
      </c>
      <c r="K1131" t="s">
        <v>181</v>
      </c>
      <c r="L1131" t="s">
        <v>3333</v>
      </c>
      <c r="M1131">
        <v>4</v>
      </c>
      <c r="N1131">
        <v>0.13</v>
      </c>
      <c r="O1131" t="s">
        <v>3334</v>
      </c>
      <c r="P1131">
        <v>10.199999999999999</v>
      </c>
      <c r="Q1131">
        <v>1</v>
      </c>
      <c r="R1131" t="s">
        <v>3773</v>
      </c>
      <c r="T1131" t="s">
        <v>3402</v>
      </c>
      <c r="U1131">
        <v>42</v>
      </c>
      <c r="V1131" t="s">
        <v>3472</v>
      </c>
    </row>
    <row r="1132" spans="1:22" ht="12.75" customHeight="1" x14ac:dyDescent="0.15">
      <c r="A1132">
        <v>19</v>
      </c>
      <c r="B1132">
        <v>2026</v>
      </c>
      <c r="C1132" s="21">
        <v>46156</v>
      </c>
      <c r="D1132" t="s">
        <v>84</v>
      </c>
      <c r="E1132" t="s">
        <v>85</v>
      </c>
      <c r="F1132" t="s">
        <v>21</v>
      </c>
      <c r="G1132">
        <v>2</v>
      </c>
      <c r="H1132" t="s">
        <v>3653</v>
      </c>
      <c r="I1132" t="s">
        <v>3566</v>
      </c>
      <c r="J1132" s="1" t="s">
        <v>3389</v>
      </c>
      <c r="K1132" t="s">
        <v>181</v>
      </c>
      <c r="L1132" t="s">
        <v>3333</v>
      </c>
      <c r="M1132">
        <v>11</v>
      </c>
      <c r="N1132">
        <v>0.25</v>
      </c>
      <c r="O1132" t="s">
        <v>213</v>
      </c>
      <c r="P1132">
        <v>22.5</v>
      </c>
      <c r="Q1132">
        <v>2</v>
      </c>
      <c r="R1132" t="s">
        <v>3564</v>
      </c>
      <c r="S1132" t="s">
        <v>3927</v>
      </c>
      <c r="T1132" t="s">
        <v>3402</v>
      </c>
      <c r="U1132">
        <v>24</v>
      </c>
      <c r="V1132" t="s">
        <v>3561</v>
      </c>
    </row>
    <row r="1133" spans="1:22" ht="12.75" customHeight="1" x14ac:dyDescent="0.15">
      <c r="A1133">
        <v>19</v>
      </c>
      <c r="B1133">
        <v>2026</v>
      </c>
      <c r="C1133" s="21">
        <v>46156</v>
      </c>
      <c r="D1133" t="s">
        <v>84</v>
      </c>
      <c r="E1133" t="s">
        <v>85</v>
      </c>
      <c r="F1133" t="s">
        <v>21</v>
      </c>
      <c r="G1133">
        <v>2</v>
      </c>
      <c r="H1133" t="s">
        <v>3653</v>
      </c>
      <c r="I1133" t="s">
        <v>3566</v>
      </c>
      <c r="J1133" s="1" t="s">
        <v>3389</v>
      </c>
      <c r="K1133" t="s">
        <v>181</v>
      </c>
      <c r="L1133" t="s">
        <v>3333</v>
      </c>
      <c r="M1133">
        <v>80</v>
      </c>
      <c r="N1133">
        <v>0.11</v>
      </c>
      <c r="O1133" t="s">
        <v>213</v>
      </c>
      <c r="P1133">
        <v>10.199999999999999</v>
      </c>
      <c r="Q1133">
        <v>1</v>
      </c>
      <c r="R1133" t="s">
        <v>3560</v>
      </c>
      <c r="T1133" t="s">
        <v>3402</v>
      </c>
      <c r="U1133">
        <v>24</v>
      </c>
      <c r="V1133" t="s">
        <v>3463</v>
      </c>
    </row>
    <row r="1134" spans="1:22" ht="12.75" customHeight="1" x14ac:dyDescent="0.15">
      <c r="A1134">
        <v>19</v>
      </c>
      <c r="B1134">
        <v>2026</v>
      </c>
      <c r="C1134" s="21">
        <v>46156</v>
      </c>
      <c r="D1134" t="s">
        <v>96</v>
      </c>
      <c r="E1134" t="s">
        <v>97</v>
      </c>
      <c r="F1134" t="s">
        <v>21</v>
      </c>
      <c r="G1134">
        <v>4.5</v>
      </c>
      <c r="H1134" t="s">
        <v>3836</v>
      </c>
      <c r="I1134" t="s">
        <v>3810</v>
      </c>
      <c r="J1134" s="1" t="s">
        <v>30</v>
      </c>
      <c r="K1134" t="s">
        <v>181</v>
      </c>
      <c r="L1134" t="s">
        <v>3340</v>
      </c>
      <c r="M1134">
        <v>86</v>
      </c>
      <c r="N1134">
        <v>0.55000000000000004</v>
      </c>
      <c r="O1134" t="s">
        <v>211</v>
      </c>
      <c r="P1134">
        <v>30</v>
      </c>
      <c r="R1134" t="s">
        <v>3386</v>
      </c>
      <c r="S1134" t="s">
        <v>3928</v>
      </c>
      <c r="T1134" t="s">
        <v>3402</v>
      </c>
      <c r="U1134">
        <v>13</v>
      </c>
      <c r="V1134" t="s">
        <v>3382</v>
      </c>
    </row>
    <row r="1135" spans="1:22" ht="12.75" customHeight="1" x14ac:dyDescent="0.15">
      <c r="A1135">
        <v>19</v>
      </c>
      <c r="B1135">
        <v>2026</v>
      </c>
      <c r="C1135" s="21">
        <v>46156</v>
      </c>
      <c r="D1135" t="s">
        <v>115</v>
      </c>
      <c r="E1135" t="s">
        <v>116</v>
      </c>
      <c r="F1135" t="s">
        <v>21</v>
      </c>
      <c r="G1135">
        <v>2</v>
      </c>
      <c r="H1135" t="s">
        <v>3929</v>
      </c>
      <c r="I1135" t="s">
        <v>3848</v>
      </c>
      <c r="J1135" s="1" t="s">
        <v>26</v>
      </c>
      <c r="K1135" t="s">
        <v>181</v>
      </c>
      <c r="L1135" t="s">
        <v>3333</v>
      </c>
      <c r="M1135">
        <v>86</v>
      </c>
      <c r="N1135">
        <v>0.38</v>
      </c>
      <c r="O1135" t="s">
        <v>3334</v>
      </c>
      <c r="P1135">
        <v>30.59</v>
      </c>
      <c r="Q1135">
        <v>3</v>
      </c>
      <c r="R1135" t="s">
        <v>3386</v>
      </c>
      <c r="T1135" t="s">
        <v>3402</v>
      </c>
      <c r="U1135">
        <v>-7</v>
      </c>
      <c r="V1135" t="s">
        <v>3475</v>
      </c>
    </row>
    <row r="1136" spans="1:22" ht="12.75" customHeight="1" x14ac:dyDescent="0.15">
      <c r="A1136">
        <v>19</v>
      </c>
      <c r="B1136">
        <v>2026</v>
      </c>
      <c r="C1136" s="21">
        <v>46156</v>
      </c>
      <c r="D1136" t="s">
        <v>141</v>
      </c>
      <c r="E1136" t="s">
        <v>142</v>
      </c>
      <c r="F1136" t="s">
        <v>75</v>
      </c>
      <c r="G1136">
        <v>1</v>
      </c>
      <c r="H1136" t="s">
        <v>3930</v>
      </c>
      <c r="I1136" t="s">
        <v>3931</v>
      </c>
      <c r="J1136" s="1" t="s">
        <v>3660</v>
      </c>
      <c r="K1136" t="s">
        <v>181</v>
      </c>
      <c r="L1136" t="s">
        <v>3333</v>
      </c>
      <c r="M1136">
        <v>86</v>
      </c>
      <c r="N1136">
        <v>0.5</v>
      </c>
      <c r="O1136" t="s">
        <v>3334</v>
      </c>
      <c r="P1136">
        <v>40.79</v>
      </c>
      <c r="Q1136">
        <v>4</v>
      </c>
      <c r="R1136" t="s">
        <v>3386</v>
      </c>
      <c r="T1136" t="s">
        <v>3402</v>
      </c>
      <c r="U1136">
        <v>-40</v>
      </c>
      <c r="V1136" t="s">
        <v>3456</v>
      </c>
    </row>
    <row r="1137" spans="1:22" ht="12.75" customHeight="1" x14ac:dyDescent="0.15">
      <c r="A1137">
        <v>19</v>
      </c>
      <c r="B1137">
        <v>2026</v>
      </c>
      <c r="C1137" s="21">
        <v>46156</v>
      </c>
      <c r="D1137" t="s">
        <v>84</v>
      </c>
      <c r="E1137" t="s">
        <v>85</v>
      </c>
      <c r="F1137" t="s">
        <v>21</v>
      </c>
      <c r="G1137">
        <v>2</v>
      </c>
      <c r="H1137" t="s">
        <v>3565</v>
      </c>
      <c r="I1137" t="s">
        <v>3566</v>
      </c>
      <c r="J1137" s="1" t="s">
        <v>3389</v>
      </c>
      <c r="K1137" t="s">
        <v>181</v>
      </c>
      <c r="L1137" t="s">
        <v>3333</v>
      </c>
      <c r="M1137">
        <v>86</v>
      </c>
      <c r="N1137">
        <v>0.13</v>
      </c>
      <c r="O1137" t="s">
        <v>3334</v>
      </c>
      <c r="P1137">
        <v>10.199999999999999</v>
      </c>
      <c r="Q1137">
        <v>1</v>
      </c>
      <c r="R1137" t="s">
        <v>3386</v>
      </c>
      <c r="T1137" t="s">
        <v>3402</v>
      </c>
      <c r="U1137">
        <v>24</v>
      </c>
      <c r="V1137" t="s">
        <v>3463</v>
      </c>
    </row>
    <row r="1138" spans="1:22" ht="12.75" customHeight="1" x14ac:dyDescent="0.15">
      <c r="A1138">
        <v>19</v>
      </c>
      <c r="B1138">
        <v>2026</v>
      </c>
      <c r="C1138" s="21">
        <v>46156</v>
      </c>
      <c r="D1138" t="s">
        <v>115</v>
      </c>
      <c r="E1138" t="s">
        <v>116</v>
      </c>
      <c r="F1138" t="s">
        <v>21</v>
      </c>
      <c r="G1138">
        <v>2</v>
      </c>
      <c r="H1138" t="s">
        <v>3929</v>
      </c>
      <c r="I1138" t="s">
        <v>3848</v>
      </c>
      <c r="J1138" s="1" t="s">
        <v>26</v>
      </c>
      <c r="K1138" t="s">
        <v>181</v>
      </c>
      <c r="L1138" t="s">
        <v>3333</v>
      </c>
      <c r="M1138">
        <v>11</v>
      </c>
      <c r="N1138">
        <v>0.34</v>
      </c>
      <c r="O1138" t="s">
        <v>213</v>
      </c>
      <c r="P1138">
        <v>30.6</v>
      </c>
      <c r="Q1138">
        <v>3</v>
      </c>
      <c r="R1138" t="s">
        <v>3564</v>
      </c>
      <c r="T1138" t="s">
        <v>3402</v>
      </c>
      <c r="U1138">
        <v>-7</v>
      </c>
      <c r="V1138" t="s">
        <v>3475</v>
      </c>
    </row>
    <row r="1139" spans="1:22" ht="12.75" customHeight="1" x14ac:dyDescent="0.15">
      <c r="A1139">
        <v>19</v>
      </c>
      <c r="B1139">
        <v>2026</v>
      </c>
      <c r="C1139" s="21">
        <v>46156</v>
      </c>
      <c r="D1139" t="s">
        <v>84</v>
      </c>
      <c r="E1139" t="s">
        <v>85</v>
      </c>
      <c r="F1139" t="s">
        <v>21</v>
      </c>
      <c r="G1139">
        <v>2</v>
      </c>
      <c r="H1139" t="s">
        <v>3565</v>
      </c>
      <c r="I1139" t="s">
        <v>3566</v>
      </c>
      <c r="J1139" s="1" t="s">
        <v>3389</v>
      </c>
      <c r="K1139" t="s">
        <v>181</v>
      </c>
      <c r="L1139" t="s">
        <v>3333</v>
      </c>
      <c r="M1139">
        <v>11</v>
      </c>
      <c r="N1139">
        <v>0.34</v>
      </c>
      <c r="O1139" t="s">
        <v>213</v>
      </c>
      <c r="P1139">
        <v>30.6</v>
      </c>
      <c r="Q1139">
        <v>3</v>
      </c>
      <c r="R1139" t="s">
        <v>3564</v>
      </c>
      <c r="T1139" t="s">
        <v>3402</v>
      </c>
      <c r="U1139">
        <v>24</v>
      </c>
      <c r="V1139" t="s">
        <v>3475</v>
      </c>
    </row>
    <row r="1140" spans="1:22" ht="12.75" customHeight="1" x14ac:dyDescent="0.15">
      <c r="A1140">
        <v>19</v>
      </c>
      <c r="B1140">
        <v>2026</v>
      </c>
      <c r="C1140" s="21">
        <v>46156</v>
      </c>
      <c r="D1140" t="s">
        <v>84</v>
      </c>
      <c r="E1140" t="s">
        <v>85</v>
      </c>
      <c r="F1140" t="s">
        <v>21</v>
      </c>
      <c r="G1140">
        <v>2</v>
      </c>
      <c r="H1140" t="s">
        <v>3878</v>
      </c>
      <c r="I1140" t="s">
        <v>3566</v>
      </c>
      <c r="J1140" s="1" t="s">
        <v>3389</v>
      </c>
      <c r="K1140" t="s">
        <v>2666</v>
      </c>
      <c r="L1140" t="s">
        <v>3587</v>
      </c>
      <c r="N1140">
        <v>1.92</v>
      </c>
      <c r="O1140" t="s">
        <v>3838</v>
      </c>
      <c r="P1140">
        <v>41</v>
      </c>
      <c r="T1140" t="s">
        <v>3402</v>
      </c>
      <c r="U1140">
        <v>24</v>
      </c>
      <c r="V1140" t="s">
        <v>3903</v>
      </c>
    </row>
    <row r="1141" spans="1:22" ht="12.75" customHeight="1" x14ac:dyDescent="0.15">
      <c r="A1141">
        <v>20</v>
      </c>
      <c r="B1141">
        <v>2026</v>
      </c>
      <c r="C1141" s="21">
        <v>46157</v>
      </c>
      <c r="D1141" t="s">
        <v>19</v>
      </c>
      <c r="E1141" t="s">
        <v>20</v>
      </c>
      <c r="F1141" t="s">
        <v>21</v>
      </c>
      <c r="G1141">
        <v>3.8</v>
      </c>
      <c r="H1141" t="s">
        <v>3932</v>
      </c>
      <c r="I1141" t="s">
        <v>371</v>
      </c>
      <c r="J1141" s="1" t="s">
        <v>307</v>
      </c>
      <c r="K1141" t="s">
        <v>181</v>
      </c>
      <c r="L1141" t="s">
        <v>23</v>
      </c>
      <c r="M1141">
        <v>119</v>
      </c>
      <c r="P1141">
        <v>450</v>
      </c>
      <c r="R1141" t="s">
        <v>3933</v>
      </c>
      <c r="T1141" t="s">
        <v>3337</v>
      </c>
      <c r="U1141">
        <v>157</v>
      </c>
      <c r="V1141" t="s">
        <v>3934</v>
      </c>
    </row>
    <row r="1142" spans="1:22" ht="12.75" customHeight="1" x14ac:dyDescent="0.15">
      <c r="A1142">
        <v>20</v>
      </c>
      <c r="B1142">
        <v>2026</v>
      </c>
      <c r="C1142" s="21">
        <v>46157</v>
      </c>
      <c r="D1142" t="s">
        <v>19</v>
      </c>
      <c r="E1142" t="s">
        <v>20</v>
      </c>
      <c r="F1142" t="s">
        <v>21</v>
      </c>
      <c r="G1142">
        <v>3.8</v>
      </c>
      <c r="H1142" t="s">
        <v>3935</v>
      </c>
      <c r="I1142" t="s">
        <v>370</v>
      </c>
      <c r="J1142" s="1" t="s">
        <v>307</v>
      </c>
      <c r="K1142" t="s">
        <v>181</v>
      </c>
      <c r="L1142" t="s">
        <v>23</v>
      </c>
      <c r="M1142">
        <v>119</v>
      </c>
      <c r="P1142">
        <v>80</v>
      </c>
      <c r="R1142" t="s">
        <v>3933</v>
      </c>
      <c r="T1142" t="s">
        <v>3337</v>
      </c>
      <c r="U1142">
        <v>157</v>
      </c>
      <c r="V1142" t="s">
        <v>3936</v>
      </c>
    </row>
    <row r="1143" spans="1:22" ht="12.75" customHeight="1" x14ac:dyDescent="0.15">
      <c r="A1143">
        <v>20</v>
      </c>
      <c r="B1143">
        <v>2026</v>
      </c>
      <c r="C1143" s="21">
        <v>46157</v>
      </c>
      <c r="D1143" t="s">
        <v>19</v>
      </c>
      <c r="E1143" t="s">
        <v>20</v>
      </c>
      <c r="F1143" t="s">
        <v>21</v>
      </c>
      <c r="G1143">
        <v>3.8</v>
      </c>
      <c r="H1143" t="s">
        <v>3937</v>
      </c>
      <c r="I1143" t="s">
        <v>309</v>
      </c>
      <c r="J1143" s="1" t="s">
        <v>307</v>
      </c>
      <c r="K1143" t="s">
        <v>181</v>
      </c>
      <c r="L1143" t="s">
        <v>3340</v>
      </c>
      <c r="M1143">
        <v>53</v>
      </c>
      <c r="N1143">
        <v>1.76</v>
      </c>
      <c r="O1143" t="s">
        <v>211</v>
      </c>
      <c r="P1143">
        <v>96.91</v>
      </c>
      <c r="R1143" t="s">
        <v>3373</v>
      </c>
      <c r="S1143" t="s">
        <v>3938</v>
      </c>
      <c r="T1143" t="s">
        <v>3337</v>
      </c>
      <c r="U1143">
        <v>157</v>
      </c>
      <c r="V1143" t="s">
        <v>3939</v>
      </c>
    </row>
    <row r="1144" spans="1:22" ht="12.75" customHeight="1" x14ac:dyDescent="0.15">
      <c r="A1144">
        <v>20</v>
      </c>
      <c r="B1144">
        <v>2026</v>
      </c>
      <c r="C1144" s="21">
        <v>46157</v>
      </c>
      <c r="D1144" t="s">
        <v>19</v>
      </c>
      <c r="E1144" t="s">
        <v>20</v>
      </c>
      <c r="F1144" t="s">
        <v>21</v>
      </c>
      <c r="G1144">
        <v>3.8</v>
      </c>
      <c r="H1144" t="s">
        <v>3937</v>
      </c>
      <c r="I1144" t="s">
        <v>309</v>
      </c>
      <c r="J1144" s="1" t="s">
        <v>307</v>
      </c>
      <c r="K1144" t="s">
        <v>181</v>
      </c>
      <c r="L1144" t="s">
        <v>3340</v>
      </c>
      <c r="M1144">
        <v>45</v>
      </c>
      <c r="N1144">
        <v>1.76</v>
      </c>
      <c r="O1144" t="s">
        <v>211</v>
      </c>
      <c r="P1144">
        <v>96.91</v>
      </c>
      <c r="R1144" t="s">
        <v>3377</v>
      </c>
      <c r="T1144" t="s">
        <v>3337</v>
      </c>
      <c r="U1144">
        <v>157</v>
      </c>
      <c r="V1144" t="s">
        <v>3939</v>
      </c>
    </row>
    <row r="1145" spans="1:22" ht="12.75" customHeight="1" x14ac:dyDescent="0.15">
      <c r="A1145">
        <v>20</v>
      </c>
      <c r="B1145">
        <v>2026</v>
      </c>
      <c r="C1145" s="21">
        <v>46157</v>
      </c>
      <c r="D1145" t="s">
        <v>19</v>
      </c>
      <c r="E1145" t="s">
        <v>20</v>
      </c>
      <c r="F1145" t="s">
        <v>21</v>
      </c>
      <c r="G1145">
        <v>3.8</v>
      </c>
      <c r="H1145" t="s">
        <v>3937</v>
      </c>
      <c r="I1145" t="s">
        <v>309</v>
      </c>
      <c r="J1145" s="1" t="s">
        <v>307</v>
      </c>
      <c r="K1145" t="s">
        <v>181</v>
      </c>
      <c r="L1145" t="s">
        <v>3340</v>
      </c>
      <c r="M1145">
        <v>62</v>
      </c>
      <c r="N1145">
        <v>1.76</v>
      </c>
      <c r="O1145" t="s">
        <v>211</v>
      </c>
      <c r="P1145">
        <v>96.91</v>
      </c>
      <c r="R1145" t="s">
        <v>3375</v>
      </c>
      <c r="T1145" t="s">
        <v>3337</v>
      </c>
      <c r="U1145">
        <v>157</v>
      </c>
      <c r="V1145" t="s">
        <v>3939</v>
      </c>
    </row>
    <row r="1146" spans="1:22" ht="12.75" customHeight="1" x14ac:dyDescent="0.15">
      <c r="A1146">
        <v>20</v>
      </c>
      <c r="B1146">
        <v>2026</v>
      </c>
      <c r="C1146" s="21">
        <v>46157</v>
      </c>
      <c r="D1146" t="s">
        <v>19</v>
      </c>
      <c r="E1146" t="s">
        <v>20</v>
      </c>
      <c r="F1146" t="s">
        <v>21</v>
      </c>
      <c r="G1146">
        <v>3.8</v>
      </c>
      <c r="H1146" t="s">
        <v>3937</v>
      </c>
      <c r="I1146" t="s">
        <v>309</v>
      </c>
      <c r="J1146" s="1" t="s">
        <v>307</v>
      </c>
      <c r="K1146" t="s">
        <v>181</v>
      </c>
      <c r="L1146" t="s">
        <v>3340</v>
      </c>
      <c r="M1146">
        <v>58</v>
      </c>
      <c r="N1146">
        <v>1.76</v>
      </c>
      <c r="O1146" t="s">
        <v>211</v>
      </c>
      <c r="P1146">
        <v>96.91</v>
      </c>
      <c r="R1146" t="s">
        <v>3343</v>
      </c>
      <c r="T1146" t="s">
        <v>3337</v>
      </c>
      <c r="U1146">
        <v>157</v>
      </c>
      <c r="V1146" t="s">
        <v>3939</v>
      </c>
    </row>
    <row r="1147" spans="1:22" ht="12.75" customHeight="1" x14ac:dyDescent="0.15">
      <c r="A1147">
        <v>20</v>
      </c>
      <c r="B1147">
        <v>2026</v>
      </c>
      <c r="C1147" s="21">
        <v>46157</v>
      </c>
      <c r="D1147" t="s">
        <v>19</v>
      </c>
      <c r="E1147" t="s">
        <v>20</v>
      </c>
      <c r="F1147" t="s">
        <v>21</v>
      </c>
      <c r="G1147">
        <v>3.8</v>
      </c>
      <c r="H1147" t="s">
        <v>3937</v>
      </c>
      <c r="I1147" t="s">
        <v>309</v>
      </c>
      <c r="J1147" s="1" t="s">
        <v>307</v>
      </c>
      <c r="K1147" t="s">
        <v>181</v>
      </c>
      <c r="L1147" t="s">
        <v>3340</v>
      </c>
      <c r="M1147">
        <v>132</v>
      </c>
      <c r="N1147">
        <v>1.76</v>
      </c>
      <c r="O1147" t="s">
        <v>211</v>
      </c>
      <c r="P1147">
        <v>96.91</v>
      </c>
      <c r="R1147" t="s">
        <v>3368</v>
      </c>
      <c r="T1147" t="s">
        <v>3337</v>
      </c>
      <c r="U1147">
        <v>157</v>
      </c>
      <c r="V1147" t="s">
        <v>3939</v>
      </c>
    </row>
    <row r="1148" spans="1:22" ht="12.75" customHeight="1" x14ac:dyDescent="0.15">
      <c r="A1148">
        <v>20</v>
      </c>
      <c r="B1148">
        <v>2026</v>
      </c>
      <c r="C1148" s="21">
        <v>46157</v>
      </c>
      <c r="D1148" t="s">
        <v>19</v>
      </c>
      <c r="E1148" t="s">
        <v>20</v>
      </c>
      <c r="F1148" t="s">
        <v>21</v>
      </c>
      <c r="G1148">
        <v>3.8</v>
      </c>
      <c r="H1148" t="s">
        <v>3937</v>
      </c>
      <c r="I1148" t="s">
        <v>309</v>
      </c>
      <c r="J1148" s="1" t="s">
        <v>307</v>
      </c>
      <c r="K1148" t="s">
        <v>181</v>
      </c>
      <c r="L1148" t="s">
        <v>3340</v>
      </c>
      <c r="M1148">
        <v>81</v>
      </c>
      <c r="N1148">
        <v>1.76</v>
      </c>
      <c r="O1148" t="s">
        <v>211</v>
      </c>
      <c r="P1148">
        <v>96.91</v>
      </c>
      <c r="R1148" t="s">
        <v>3374</v>
      </c>
      <c r="T1148" t="s">
        <v>3337</v>
      </c>
      <c r="U1148">
        <v>157</v>
      </c>
      <c r="V1148" t="s">
        <v>3939</v>
      </c>
    </row>
    <row r="1149" spans="1:22" ht="12.75" customHeight="1" x14ac:dyDescent="0.15">
      <c r="A1149">
        <v>20</v>
      </c>
      <c r="B1149">
        <v>2026</v>
      </c>
      <c r="C1149" s="21">
        <v>46157</v>
      </c>
      <c r="D1149" t="s">
        <v>107</v>
      </c>
      <c r="E1149" t="s">
        <v>108</v>
      </c>
      <c r="F1149" t="s">
        <v>21</v>
      </c>
      <c r="G1149">
        <v>4.5</v>
      </c>
      <c r="H1149" t="s">
        <v>3346</v>
      </c>
      <c r="I1149" t="s">
        <v>212</v>
      </c>
      <c r="J1149" s="1" t="s">
        <v>188</v>
      </c>
      <c r="K1149" t="s">
        <v>181</v>
      </c>
      <c r="L1149" t="s">
        <v>3333</v>
      </c>
      <c r="M1149">
        <v>6</v>
      </c>
      <c r="N1149">
        <v>1</v>
      </c>
      <c r="O1149" t="s">
        <v>3334</v>
      </c>
      <c r="P1149">
        <v>81.58</v>
      </c>
      <c r="Q1149">
        <v>8</v>
      </c>
      <c r="R1149" t="s">
        <v>3335</v>
      </c>
      <c r="T1149" t="s">
        <v>3337</v>
      </c>
      <c r="U1149">
        <v>0</v>
      </c>
      <c r="V1149" t="s">
        <v>3826</v>
      </c>
    </row>
    <row r="1150" spans="1:22" ht="12.75" customHeight="1" x14ac:dyDescent="0.15">
      <c r="A1150">
        <v>20</v>
      </c>
      <c r="B1150">
        <v>2026</v>
      </c>
      <c r="C1150" s="21">
        <v>46157</v>
      </c>
      <c r="D1150" t="s">
        <v>107</v>
      </c>
      <c r="E1150" t="s">
        <v>108</v>
      </c>
      <c r="F1150" t="s">
        <v>21</v>
      </c>
      <c r="G1150">
        <v>4.5</v>
      </c>
      <c r="H1150" t="s">
        <v>3453</v>
      </c>
      <c r="I1150" t="s">
        <v>187</v>
      </c>
      <c r="J1150" s="1" t="s">
        <v>188</v>
      </c>
      <c r="K1150" t="s">
        <v>181</v>
      </c>
      <c r="L1150" t="s">
        <v>3333</v>
      </c>
      <c r="M1150">
        <v>1</v>
      </c>
      <c r="N1150">
        <v>1</v>
      </c>
      <c r="O1150" t="s">
        <v>3358</v>
      </c>
      <c r="P1150">
        <v>71.86</v>
      </c>
      <c r="Q1150">
        <v>8</v>
      </c>
      <c r="R1150" t="s">
        <v>3359</v>
      </c>
      <c r="T1150" t="s">
        <v>3337</v>
      </c>
      <c r="U1150">
        <v>0</v>
      </c>
      <c r="V1150" t="s">
        <v>3817</v>
      </c>
    </row>
    <row r="1151" spans="1:22" ht="12.75" customHeight="1" x14ac:dyDescent="0.15">
      <c r="A1151">
        <v>20</v>
      </c>
      <c r="B1151">
        <v>2026</v>
      </c>
      <c r="C1151" s="21">
        <v>46157</v>
      </c>
      <c r="D1151" t="s">
        <v>73</v>
      </c>
      <c r="E1151" t="s">
        <v>74</v>
      </c>
      <c r="F1151" t="s">
        <v>75</v>
      </c>
      <c r="G1151">
        <v>2.2999999999999998</v>
      </c>
      <c r="H1151" t="s">
        <v>3492</v>
      </c>
      <c r="I1151" t="s">
        <v>194</v>
      </c>
      <c r="J1151" s="1" t="s">
        <v>188</v>
      </c>
      <c r="K1151" t="s">
        <v>181</v>
      </c>
      <c r="L1151" t="s">
        <v>3340</v>
      </c>
      <c r="M1151">
        <v>1</v>
      </c>
      <c r="N1151">
        <v>0.16</v>
      </c>
      <c r="O1151" t="s">
        <v>211</v>
      </c>
      <c r="P1151">
        <v>9</v>
      </c>
      <c r="Q1151">
        <v>1</v>
      </c>
      <c r="R1151" t="s">
        <v>3359</v>
      </c>
      <c r="T1151" t="s">
        <v>3337</v>
      </c>
      <c r="U1151">
        <v>27</v>
      </c>
      <c r="V1151" t="s">
        <v>3712</v>
      </c>
    </row>
    <row r="1152" spans="1:22" ht="12.75" customHeight="1" x14ac:dyDescent="0.15">
      <c r="A1152">
        <v>20</v>
      </c>
      <c r="B1152">
        <v>2026</v>
      </c>
      <c r="C1152" s="21">
        <v>46157</v>
      </c>
      <c r="D1152" t="s">
        <v>19</v>
      </c>
      <c r="E1152" t="s">
        <v>20</v>
      </c>
      <c r="F1152" t="s">
        <v>21</v>
      </c>
      <c r="G1152">
        <v>3.8</v>
      </c>
      <c r="H1152" t="s">
        <v>3937</v>
      </c>
      <c r="I1152" t="s">
        <v>309</v>
      </c>
      <c r="J1152" s="1" t="s">
        <v>307</v>
      </c>
      <c r="K1152" t="s">
        <v>181</v>
      </c>
      <c r="L1152" t="s">
        <v>3333</v>
      </c>
      <c r="M1152">
        <v>67</v>
      </c>
      <c r="N1152">
        <v>0.69</v>
      </c>
      <c r="O1152" t="s">
        <v>3334</v>
      </c>
      <c r="P1152">
        <v>56.09</v>
      </c>
      <c r="Q1152">
        <v>5.5</v>
      </c>
      <c r="R1152" t="s">
        <v>3404</v>
      </c>
      <c r="S1152" t="s">
        <v>3940</v>
      </c>
      <c r="T1152" t="s">
        <v>3402</v>
      </c>
      <c r="U1152">
        <v>157</v>
      </c>
      <c r="V1152" t="s">
        <v>3941</v>
      </c>
    </row>
    <row r="1153" spans="1:22" ht="12.75" customHeight="1" x14ac:dyDescent="0.15">
      <c r="A1153">
        <v>20</v>
      </c>
      <c r="B1153">
        <v>2026</v>
      </c>
      <c r="C1153" s="21">
        <v>46157</v>
      </c>
      <c r="D1153" t="s">
        <v>19</v>
      </c>
      <c r="E1153" t="s">
        <v>20</v>
      </c>
      <c r="F1153" t="s">
        <v>21</v>
      </c>
      <c r="G1153">
        <v>3.8</v>
      </c>
      <c r="H1153" t="s">
        <v>3937</v>
      </c>
      <c r="I1153" t="s">
        <v>309</v>
      </c>
      <c r="J1153" s="1" t="s">
        <v>307</v>
      </c>
      <c r="K1153" t="s">
        <v>181</v>
      </c>
      <c r="L1153" t="s">
        <v>3333</v>
      </c>
      <c r="M1153">
        <v>19</v>
      </c>
      <c r="N1153">
        <v>0.69</v>
      </c>
      <c r="O1153" t="s">
        <v>3334</v>
      </c>
      <c r="P1153">
        <v>56.09</v>
      </c>
      <c r="Q1153">
        <v>5.5</v>
      </c>
      <c r="R1153" t="s">
        <v>3403</v>
      </c>
      <c r="T1153" t="s">
        <v>3402</v>
      </c>
      <c r="U1153">
        <v>157</v>
      </c>
      <c r="V1153" t="s">
        <v>3941</v>
      </c>
    </row>
    <row r="1154" spans="1:22" ht="12.75" customHeight="1" x14ac:dyDescent="0.15">
      <c r="A1154">
        <v>20</v>
      </c>
      <c r="B1154">
        <v>2026</v>
      </c>
      <c r="C1154" s="21">
        <v>46157</v>
      </c>
      <c r="D1154" t="s">
        <v>19</v>
      </c>
      <c r="E1154" t="s">
        <v>20</v>
      </c>
      <c r="F1154" t="s">
        <v>21</v>
      </c>
      <c r="G1154">
        <v>3.8</v>
      </c>
      <c r="H1154" t="s">
        <v>3937</v>
      </c>
      <c r="I1154" t="s">
        <v>309</v>
      </c>
      <c r="J1154" s="1" t="s">
        <v>307</v>
      </c>
      <c r="K1154" t="s">
        <v>181</v>
      </c>
      <c r="L1154" t="s">
        <v>3340</v>
      </c>
      <c r="M1154">
        <v>78</v>
      </c>
      <c r="N1154">
        <v>1.29</v>
      </c>
      <c r="O1154" t="s">
        <v>211</v>
      </c>
      <c r="P1154">
        <v>71</v>
      </c>
      <c r="R1154" t="s">
        <v>3341</v>
      </c>
      <c r="S1154" t="s">
        <v>3942</v>
      </c>
      <c r="T1154" t="s">
        <v>3402</v>
      </c>
      <c r="U1154">
        <v>157</v>
      </c>
      <c r="V1154" t="s">
        <v>3943</v>
      </c>
    </row>
    <row r="1155" spans="1:22" ht="12.75" customHeight="1" x14ac:dyDescent="0.15">
      <c r="A1155">
        <v>20</v>
      </c>
      <c r="B1155">
        <v>2026</v>
      </c>
      <c r="C1155" s="21">
        <v>46157</v>
      </c>
      <c r="D1155" t="s">
        <v>19</v>
      </c>
      <c r="E1155" t="s">
        <v>20</v>
      </c>
      <c r="F1155" t="s">
        <v>21</v>
      </c>
      <c r="G1155">
        <v>3.8</v>
      </c>
      <c r="H1155" t="s">
        <v>3937</v>
      </c>
      <c r="I1155" t="s">
        <v>309</v>
      </c>
      <c r="J1155" s="1" t="s">
        <v>307</v>
      </c>
      <c r="K1155" t="s">
        <v>181</v>
      </c>
      <c r="L1155" t="s">
        <v>3340</v>
      </c>
      <c r="M1155">
        <v>67</v>
      </c>
      <c r="N1155">
        <v>0.27</v>
      </c>
      <c r="O1155" t="s">
        <v>211</v>
      </c>
      <c r="P1155">
        <v>14.91</v>
      </c>
      <c r="R1155" t="s">
        <v>3404</v>
      </c>
      <c r="T1155" t="s">
        <v>3402</v>
      </c>
      <c r="U1155">
        <v>157</v>
      </c>
      <c r="V1155" t="s">
        <v>3944</v>
      </c>
    </row>
    <row r="1156" spans="1:22" ht="12.75" customHeight="1" x14ac:dyDescent="0.15">
      <c r="A1156">
        <v>20</v>
      </c>
      <c r="B1156">
        <v>2026</v>
      </c>
      <c r="C1156" s="21">
        <v>46157</v>
      </c>
      <c r="D1156" t="s">
        <v>19</v>
      </c>
      <c r="E1156" t="s">
        <v>20</v>
      </c>
      <c r="F1156" t="s">
        <v>21</v>
      </c>
      <c r="G1156">
        <v>3.8</v>
      </c>
      <c r="H1156" t="s">
        <v>3937</v>
      </c>
      <c r="I1156" t="s">
        <v>309</v>
      </c>
      <c r="J1156" s="1" t="s">
        <v>307</v>
      </c>
      <c r="K1156" t="s">
        <v>181</v>
      </c>
      <c r="L1156" t="s">
        <v>3340</v>
      </c>
      <c r="M1156">
        <v>19</v>
      </c>
      <c r="N1156">
        <v>0.27</v>
      </c>
      <c r="O1156" t="s">
        <v>211</v>
      </c>
      <c r="P1156">
        <v>14.91</v>
      </c>
      <c r="R1156" t="s">
        <v>3403</v>
      </c>
      <c r="T1156" t="s">
        <v>3402</v>
      </c>
      <c r="U1156">
        <v>157</v>
      </c>
      <c r="V1156" t="s">
        <v>3944</v>
      </c>
    </row>
    <row r="1157" spans="1:22" ht="12.75" customHeight="1" x14ac:dyDescent="0.15">
      <c r="A1157">
        <v>20</v>
      </c>
      <c r="B1157">
        <v>2026</v>
      </c>
      <c r="C1157" s="21">
        <v>46157</v>
      </c>
      <c r="D1157" t="s">
        <v>89</v>
      </c>
      <c r="E1157" t="s">
        <v>90</v>
      </c>
      <c r="F1157" t="s">
        <v>21</v>
      </c>
      <c r="G1157">
        <v>1</v>
      </c>
      <c r="H1157" t="s">
        <v>3803</v>
      </c>
      <c r="I1157" t="s">
        <v>3537</v>
      </c>
      <c r="J1157" s="1" t="s">
        <v>3533</v>
      </c>
      <c r="K1157" t="s">
        <v>181</v>
      </c>
      <c r="L1157" t="s">
        <v>3333</v>
      </c>
      <c r="M1157">
        <v>3</v>
      </c>
      <c r="N1157">
        <v>0.5</v>
      </c>
      <c r="O1157" t="s">
        <v>3334</v>
      </c>
      <c r="P1157">
        <v>40.79</v>
      </c>
      <c r="Q1157">
        <v>4</v>
      </c>
      <c r="R1157" t="s">
        <v>3478</v>
      </c>
      <c r="T1157" t="s">
        <v>3402</v>
      </c>
      <c r="U1157">
        <v>30</v>
      </c>
      <c r="V1157" t="s">
        <v>3456</v>
      </c>
    </row>
    <row r="1158" spans="1:22" ht="12.75" customHeight="1" x14ac:dyDescent="0.15">
      <c r="A1158">
        <v>20</v>
      </c>
      <c r="B1158">
        <v>2026</v>
      </c>
      <c r="C1158" s="21">
        <v>46157</v>
      </c>
      <c r="D1158" t="s">
        <v>68</v>
      </c>
      <c r="E1158" t="s">
        <v>69</v>
      </c>
      <c r="F1158" t="s">
        <v>21</v>
      </c>
      <c r="G1158">
        <v>1</v>
      </c>
      <c r="H1158" t="s">
        <v>3845</v>
      </c>
      <c r="I1158" t="s">
        <v>380</v>
      </c>
      <c r="J1158" s="1" t="s">
        <v>3533</v>
      </c>
      <c r="K1158" t="s">
        <v>181</v>
      </c>
      <c r="L1158" t="s">
        <v>3333</v>
      </c>
      <c r="M1158">
        <v>3</v>
      </c>
      <c r="N1158">
        <v>0.13</v>
      </c>
      <c r="O1158" t="s">
        <v>3334</v>
      </c>
      <c r="P1158">
        <v>10.199999999999999</v>
      </c>
      <c r="Q1158">
        <v>1</v>
      </c>
      <c r="R1158" t="s">
        <v>3478</v>
      </c>
      <c r="T1158" t="s">
        <v>3402</v>
      </c>
      <c r="U1158">
        <v>43</v>
      </c>
      <c r="V1158" t="s">
        <v>3472</v>
      </c>
    </row>
    <row r="1159" spans="1:22" ht="12.75" customHeight="1" x14ac:dyDescent="0.15">
      <c r="A1159">
        <v>20</v>
      </c>
      <c r="B1159">
        <v>2026</v>
      </c>
      <c r="C1159" s="21">
        <v>46157</v>
      </c>
      <c r="D1159" t="s">
        <v>19</v>
      </c>
      <c r="E1159" t="s">
        <v>20</v>
      </c>
      <c r="F1159" t="s">
        <v>21</v>
      </c>
      <c r="G1159">
        <v>3.8</v>
      </c>
      <c r="H1159" t="s">
        <v>3945</v>
      </c>
      <c r="I1159" t="s">
        <v>3686</v>
      </c>
      <c r="J1159" s="1" t="s">
        <v>3437</v>
      </c>
      <c r="K1159" t="s">
        <v>181</v>
      </c>
      <c r="L1159" t="s">
        <v>3340</v>
      </c>
      <c r="M1159">
        <v>4</v>
      </c>
      <c r="N1159">
        <v>0.33</v>
      </c>
      <c r="O1159" t="s">
        <v>211</v>
      </c>
      <c r="P1159">
        <v>18</v>
      </c>
      <c r="Q1159">
        <v>2</v>
      </c>
      <c r="R1159" t="s">
        <v>3773</v>
      </c>
      <c r="T1159" t="s">
        <v>3402</v>
      </c>
      <c r="U1159">
        <v>157</v>
      </c>
      <c r="V1159" t="s">
        <v>3414</v>
      </c>
    </row>
    <row r="1160" spans="1:22" ht="12.75" customHeight="1" x14ac:dyDescent="0.15">
      <c r="A1160">
        <v>20</v>
      </c>
      <c r="B1160">
        <v>2026</v>
      </c>
      <c r="C1160" s="21">
        <v>46157</v>
      </c>
      <c r="D1160" t="s">
        <v>19</v>
      </c>
      <c r="E1160" t="s">
        <v>20</v>
      </c>
      <c r="F1160" t="s">
        <v>21</v>
      </c>
      <c r="G1160">
        <v>3.8</v>
      </c>
      <c r="H1160" t="s">
        <v>3945</v>
      </c>
      <c r="I1160" t="s">
        <v>3686</v>
      </c>
      <c r="J1160" s="1" t="s">
        <v>3437</v>
      </c>
      <c r="K1160" t="s">
        <v>181</v>
      </c>
      <c r="L1160" t="s">
        <v>3333</v>
      </c>
      <c r="M1160">
        <v>4</v>
      </c>
      <c r="N1160">
        <v>1</v>
      </c>
      <c r="O1160" t="s">
        <v>3334</v>
      </c>
      <c r="P1160">
        <v>81.58</v>
      </c>
      <c r="Q1160">
        <v>8</v>
      </c>
      <c r="R1160" t="s">
        <v>3773</v>
      </c>
      <c r="T1160" t="s">
        <v>3402</v>
      </c>
      <c r="U1160">
        <v>157</v>
      </c>
      <c r="V1160" t="s">
        <v>3797</v>
      </c>
    </row>
    <row r="1161" spans="1:22" ht="12.75" customHeight="1" x14ac:dyDescent="0.15">
      <c r="A1161">
        <v>20</v>
      </c>
      <c r="B1161">
        <v>2026</v>
      </c>
      <c r="C1161" s="21">
        <v>46157</v>
      </c>
      <c r="D1161" t="s">
        <v>107</v>
      </c>
      <c r="E1161" t="s">
        <v>108</v>
      </c>
      <c r="F1161" t="s">
        <v>21</v>
      </c>
      <c r="G1161">
        <v>4.5</v>
      </c>
      <c r="H1161" t="s">
        <v>3914</v>
      </c>
      <c r="I1161" t="s">
        <v>3810</v>
      </c>
      <c r="J1161" s="1" t="s">
        <v>30</v>
      </c>
      <c r="K1161" t="s">
        <v>181</v>
      </c>
      <c r="L1161" t="s">
        <v>3333</v>
      </c>
      <c r="M1161">
        <v>86</v>
      </c>
      <c r="N1161">
        <v>0.38</v>
      </c>
      <c r="O1161" t="s">
        <v>3334</v>
      </c>
      <c r="P1161">
        <v>30.59</v>
      </c>
      <c r="Q1161">
        <v>3</v>
      </c>
      <c r="R1161" t="s">
        <v>3386</v>
      </c>
      <c r="T1161" t="s">
        <v>3402</v>
      </c>
      <c r="U1161">
        <v>0</v>
      </c>
      <c r="V1161" t="s">
        <v>3816</v>
      </c>
    </row>
    <row r="1162" spans="1:22" ht="12.75" customHeight="1" x14ac:dyDescent="0.15">
      <c r="A1162">
        <v>20</v>
      </c>
      <c r="B1162">
        <v>2026</v>
      </c>
      <c r="C1162" s="21">
        <v>46157</v>
      </c>
      <c r="D1162" t="s">
        <v>115</v>
      </c>
      <c r="E1162" t="s">
        <v>116</v>
      </c>
      <c r="F1162" t="s">
        <v>21</v>
      </c>
      <c r="G1162">
        <v>2</v>
      </c>
      <c r="H1162" t="s">
        <v>3672</v>
      </c>
      <c r="I1162" t="s">
        <v>3673</v>
      </c>
      <c r="J1162" s="1" t="s">
        <v>26</v>
      </c>
      <c r="K1162" t="s">
        <v>181</v>
      </c>
      <c r="L1162" t="s">
        <v>3333</v>
      </c>
      <c r="M1162">
        <v>86</v>
      </c>
      <c r="N1162">
        <v>0.5</v>
      </c>
      <c r="O1162" t="s">
        <v>3334</v>
      </c>
      <c r="P1162">
        <v>40.79</v>
      </c>
      <c r="Q1162">
        <v>4</v>
      </c>
      <c r="R1162" t="s">
        <v>3386</v>
      </c>
      <c r="S1162" t="s">
        <v>3946</v>
      </c>
      <c r="T1162" t="s">
        <v>3402</v>
      </c>
      <c r="U1162">
        <v>-6</v>
      </c>
      <c r="V1162" t="s">
        <v>3474</v>
      </c>
    </row>
    <row r="1163" spans="1:22" ht="12.75" customHeight="1" x14ac:dyDescent="0.15">
      <c r="A1163">
        <v>20</v>
      </c>
      <c r="B1163">
        <v>2026</v>
      </c>
      <c r="C1163" s="21">
        <v>46157</v>
      </c>
      <c r="D1163" t="s">
        <v>115</v>
      </c>
      <c r="E1163" t="s">
        <v>116</v>
      </c>
      <c r="F1163" t="s">
        <v>21</v>
      </c>
      <c r="G1163">
        <v>2</v>
      </c>
      <c r="H1163" t="s">
        <v>3947</v>
      </c>
      <c r="I1163" t="s">
        <v>3673</v>
      </c>
      <c r="J1163" s="1" t="s">
        <v>26</v>
      </c>
      <c r="K1163" t="s">
        <v>2666</v>
      </c>
      <c r="L1163" t="s">
        <v>3587</v>
      </c>
      <c r="N1163">
        <v>1.52</v>
      </c>
      <c r="O1163" t="s">
        <v>3838</v>
      </c>
      <c r="P1163">
        <v>32.5</v>
      </c>
      <c r="Q1163">
        <v>4</v>
      </c>
      <c r="T1163" t="s">
        <v>3402</v>
      </c>
      <c r="U1163">
        <v>-6</v>
      </c>
      <c r="V1163" t="s">
        <v>3948</v>
      </c>
    </row>
    <row r="1164" spans="1:22" ht="12.75" customHeight="1" x14ac:dyDescent="0.15">
      <c r="A1164">
        <v>20</v>
      </c>
      <c r="B1164">
        <v>2026</v>
      </c>
      <c r="C1164" s="21">
        <v>46157</v>
      </c>
      <c r="D1164" t="s">
        <v>19</v>
      </c>
      <c r="E1164" t="s">
        <v>20</v>
      </c>
      <c r="F1164" t="s">
        <v>21</v>
      </c>
      <c r="G1164">
        <v>3.8</v>
      </c>
      <c r="H1164" t="s">
        <v>3949</v>
      </c>
      <c r="I1164" t="s">
        <v>385</v>
      </c>
      <c r="J1164" s="1" t="s">
        <v>307</v>
      </c>
      <c r="K1164" t="s">
        <v>178</v>
      </c>
      <c r="L1164" t="s">
        <v>3587</v>
      </c>
      <c r="N1164">
        <v>1</v>
      </c>
      <c r="P1164">
        <v>400</v>
      </c>
      <c r="T1164" t="s">
        <v>3402</v>
      </c>
      <c r="U1164">
        <v>157</v>
      </c>
      <c r="V1164" t="s">
        <v>3950</v>
      </c>
    </row>
    <row r="1165" spans="1:22" ht="12.75" customHeight="1" x14ac:dyDescent="0.15">
      <c r="A1165">
        <v>20</v>
      </c>
      <c r="B1165">
        <v>2026</v>
      </c>
      <c r="C1165" s="21">
        <v>46158</v>
      </c>
      <c r="D1165" t="s">
        <v>19</v>
      </c>
      <c r="E1165" t="s">
        <v>20</v>
      </c>
      <c r="F1165" t="s">
        <v>21</v>
      </c>
      <c r="G1165">
        <v>3.8</v>
      </c>
      <c r="H1165" t="s">
        <v>3937</v>
      </c>
      <c r="I1165" t="s">
        <v>309</v>
      </c>
      <c r="J1165" s="1" t="s">
        <v>307</v>
      </c>
      <c r="K1165" t="s">
        <v>181</v>
      </c>
      <c r="L1165" t="s">
        <v>3340</v>
      </c>
      <c r="M1165">
        <v>53</v>
      </c>
      <c r="N1165">
        <v>1.38</v>
      </c>
      <c r="O1165" t="s">
        <v>211</v>
      </c>
      <c r="P1165">
        <v>75.83</v>
      </c>
      <c r="R1165" t="s">
        <v>3373</v>
      </c>
      <c r="S1165" t="s">
        <v>3951</v>
      </c>
      <c r="T1165" t="s">
        <v>3337</v>
      </c>
      <c r="U1165">
        <v>158</v>
      </c>
      <c r="V1165" t="s">
        <v>3952</v>
      </c>
    </row>
    <row r="1166" spans="1:22" ht="12.75" customHeight="1" x14ac:dyDescent="0.15">
      <c r="A1166">
        <v>20</v>
      </c>
      <c r="B1166">
        <v>2026</v>
      </c>
      <c r="C1166" s="21">
        <v>46158</v>
      </c>
      <c r="D1166" t="s">
        <v>19</v>
      </c>
      <c r="E1166" t="s">
        <v>20</v>
      </c>
      <c r="F1166" t="s">
        <v>21</v>
      </c>
      <c r="G1166">
        <v>3.8</v>
      </c>
      <c r="H1166" t="s">
        <v>3937</v>
      </c>
      <c r="I1166" t="s">
        <v>309</v>
      </c>
      <c r="J1166" s="1" t="s">
        <v>307</v>
      </c>
      <c r="K1166" t="s">
        <v>181</v>
      </c>
      <c r="L1166" t="s">
        <v>3340</v>
      </c>
      <c r="M1166">
        <v>45</v>
      </c>
      <c r="N1166">
        <v>1.38</v>
      </c>
      <c r="O1166" t="s">
        <v>211</v>
      </c>
      <c r="P1166">
        <v>75.83</v>
      </c>
      <c r="R1166" t="s">
        <v>3377</v>
      </c>
      <c r="T1166" t="s">
        <v>3337</v>
      </c>
      <c r="U1166">
        <v>158</v>
      </c>
      <c r="V1166" t="s">
        <v>3952</v>
      </c>
    </row>
    <row r="1167" spans="1:22" ht="12.75" customHeight="1" x14ac:dyDescent="0.15">
      <c r="A1167">
        <v>20</v>
      </c>
      <c r="B1167">
        <v>2026</v>
      </c>
      <c r="C1167" s="21">
        <v>46158</v>
      </c>
      <c r="D1167" t="s">
        <v>19</v>
      </c>
      <c r="E1167" t="s">
        <v>20</v>
      </c>
      <c r="F1167" t="s">
        <v>21</v>
      </c>
      <c r="G1167">
        <v>3.8</v>
      </c>
      <c r="H1167" t="s">
        <v>3937</v>
      </c>
      <c r="I1167" t="s">
        <v>309</v>
      </c>
      <c r="J1167" s="1" t="s">
        <v>307</v>
      </c>
      <c r="K1167" t="s">
        <v>181</v>
      </c>
      <c r="L1167" t="s">
        <v>3340</v>
      </c>
      <c r="M1167">
        <v>62</v>
      </c>
      <c r="N1167">
        <v>1.38</v>
      </c>
      <c r="O1167" t="s">
        <v>211</v>
      </c>
      <c r="P1167">
        <v>75.83</v>
      </c>
      <c r="R1167" t="s">
        <v>3375</v>
      </c>
      <c r="T1167" t="s">
        <v>3337</v>
      </c>
      <c r="U1167">
        <v>158</v>
      </c>
      <c r="V1167" t="s">
        <v>3952</v>
      </c>
    </row>
    <row r="1168" spans="1:22" ht="12.75" customHeight="1" x14ac:dyDescent="0.15">
      <c r="A1168">
        <v>20</v>
      </c>
      <c r="B1168">
        <v>2026</v>
      </c>
      <c r="C1168" s="21">
        <v>46158</v>
      </c>
      <c r="D1168" t="s">
        <v>19</v>
      </c>
      <c r="E1168" t="s">
        <v>20</v>
      </c>
      <c r="F1168" t="s">
        <v>21</v>
      </c>
      <c r="G1168">
        <v>3.8</v>
      </c>
      <c r="H1168" t="s">
        <v>3937</v>
      </c>
      <c r="I1168" t="s">
        <v>309</v>
      </c>
      <c r="J1168" s="1" t="s">
        <v>307</v>
      </c>
      <c r="K1168" t="s">
        <v>181</v>
      </c>
      <c r="L1168" t="s">
        <v>3340</v>
      </c>
      <c r="M1168">
        <v>58</v>
      </c>
      <c r="N1168">
        <v>1.38</v>
      </c>
      <c r="O1168" t="s">
        <v>211</v>
      </c>
      <c r="P1168">
        <v>75.83</v>
      </c>
      <c r="R1168" t="s">
        <v>3343</v>
      </c>
      <c r="T1168" t="s">
        <v>3337</v>
      </c>
      <c r="U1168">
        <v>158</v>
      </c>
      <c r="V1168" t="s">
        <v>3952</v>
      </c>
    </row>
    <row r="1169" spans="1:22" ht="12.75" customHeight="1" x14ac:dyDescent="0.15">
      <c r="A1169">
        <v>20</v>
      </c>
      <c r="B1169">
        <v>2026</v>
      </c>
      <c r="C1169" s="21">
        <v>46158</v>
      </c>
      <c r="D1169" t="s">
        <v>19</v>
      </c>
      <c r="E1169" t="s">
        <v>20</v>
      </c>
      <c r="F1169" t="s">
        <v>21</v>
      </c>
      <c r="G1169">
        <v>3.8</v>
      </c>
      <c r="H1169" t="s">
        <v>3937</v>
      </c>
      <c r="I1169" t="s">
        <v>309</v>
      </c>
      <c r="J1169" s="1" t="s">
        <v>307</v>
      </c>
      <c r="K1169" t="s">
        <v>181</v>
      </c>
      <c r="L1169" t="s">
        <v>3340</v>
      </c>
      <c r="M1169">
        <v>132</v>
      </c>
      <c r="N1169">
        <v>1.38</v>
      </c>
      <c r="O1169" t="s">
        <v>211</v>
      </c>
      <c r="P1169">
        <v>75.83</v>
      </c>
      <c r="R1169" t="s">
        <v>3368</v>
      </c>
      <c r="T1169" t="s">
        <v>3337</v>
      </c>
      <c r="U1169">
        <v>158</v>
      </c>
      <c r="V1169" t="s">
        <v>3952</v>
      </c>
    </row>
    <row r="1170" spans="1:22" ht="12.75" customHeight="1" x14ac:dyDescent="0.15">
      <c r="A1170">
        <v>20</v>
      </c>
      <c r="B1170">
        <v>2026</v>
      </c>
      <c r="C1170" s="21">
        <v>46158</v>
      </c>
      <c r="D1170" t="s">
        <v>19</v>
      </c>
      <c r="E1170" t="s">
        <v>20</v>
      </c>
      <c r="F1170" t="s">
        <v>21</v>
      </c>
      <c r="G1170">
        <v>3.8</v>
      </c>
      <c r="H1170" t="s">
        <v>3937</v>
      </c>
      <c r="I1170" t="s">
        <v>309</v>
      </c>
      <c r="J1170" s="1" t="s">
        <v>307</v>
      </c>
      <c r="K1170" t="s">
        <v>181</v>
      </c>
      <c r="L1170" t="s">
        <v>3340</v>
      </c>
      <c r="M1170">
        <v>81</v>
      </c>
      <c r="N1170">
        <v>1.38</v>
      </c>
      <c r="O1170" t="s">
        <v>211</v>
      </c>
      <c r="P1170">
        <v>75.83</v>
      </c>
      <c r="R1170" t="s">
        <v>3374</v>
      </c>
      <c r="T1170" t="s">
        <v>3337</v>
      </c>
      <c r="U1170">
        <v>158</v>
      </c>
      <c r="V1170" t="s">
        <v>3952</v>
      </c>
    </row>
    <row r="1171" spans="1:22" ht="12.75" customHeight="1" x14ac:dyDescent="0.15">
      <c r="A1171">
        <v>20</v>
      </c>
      <c r="B1171">
        <v>2026</v>
      </c>
      <c r="C1171" s="21">
        <v>46158</v>
      </c>
      <c r="D1171" t="s">
        <v>107</v>
      </c>
      <c r="E1171" t="s">
        <v>108</v>
      </c>
      <c r="F1171" t="s">
        <v>21</v>
      </c>
      <c r="G1171">
        <v>4.5</v>
      </c>
      <c r="H1171" t="s">
        <v>3346</v>
      </c>
      <c r="I1171" t="s">
        <v>212</v>
      </c>
      <c r="J1171" s="1" t="s">
        <v>188</v>
      </c>
      <c r="K1171" t="s">
        <v>181</v>
      </c>
      <c r="L1171" t="s">
        <v>3333</v>
      </c>
      <c r="M1171">
        <v>6</v>
      </c>
      <c r="N1171">
        <v>1</v>
      </c>
      <c r="O1171" t="s">
        <v>3334</v>
      </c>
      <c r="P1171">
        <v>81.58</v>
      </c>
      <c r="Q1171">
        <v>8</v>
      </c>
      <c r="R1171" t="s">
        <v>3335</v>
      </c>
      <c r="T1171" t="s">
        <v>3337</v>
      </c>
      <c r="U1171">
        <v>1</v>
      </c>
      <c r="V1171" t="s">
        <v>3826</v>
      </c>
    </row>
    <row r="1172" spans="1:22" ht="12.75" customHeight="1" x14ac:dyDescent="0.15">
      <c r="A1172">
        <v>20</v>
      </c>
      <c r="B1172">
        <v>2026</v>
      </c>
      <c r="C1172" s="21">
        <v>46158</v>
      </c>
      <c r="D1172" t="s">
        <v>80</v>
      </c>
      <c r="E1172" t="s">
        <v>81</v>
      </c>
      <c r="F1172" t="s">
        <v>21</v>
      </c>
      <c r="G1172">
        <v>2.2999999999999998</v>
      </c>
      <c r="H1172" t="s">
        <v>3453</v>
      </c>
      <c r="I1172" t="s">
        <v>187</v>
      </c>
      <c r="J1172" s="1" t="s">
        <v>188</v>
      </c>
      <c r="K1172" t="s">
        <v>181</v>
      </c>
      <c r="L1172" t="s">
        <v>3333</v>
      </c>
      <c r="M1172">
        <v>1</v>
      </c>
      <c r="N1172">
        <v>0.5</v>
      </c>
      <c r="O1172" t="s">
        <v>3358</v>
      </c>
      <c r="P1172">
        <v>35.93</v>
      </c>
      <c r="Q1172">
        <v>4</v>
      </c>
      <c r="R1172" t="s">
        <v>3359</v>
      </c>
      <c r="T1172" t="s">
        <v>3337</v>
      </c>
      <c r="U1172">
        <v>44</v>
      </c>
      <c r="V1172" t="s">
        <v>3911</v>
      </c>
    </row>
    <row r="1173" spans="1:22" ht="12.75" customHeight="1" x14ac:dyDescent="0.15">
      <c r="A1173">
        <v>20</v>
      </c>
      <c r="B1173">
        <v>2026</v>
      </c>
      <c r="C1173" s="21">
        <v>46158</v>
      </c>
      <c r="D1173" t="s">
        <v>73</v>
      </c>
      <c r="E1173" t="s">
        <v>74</v>
      </c>
      <c r="F1173" t="s">
        <v>75</v>
      </c>
      <c r="G1173">
        <v>2.2999999999999998</v>
      </c>
      <c r="H1173" t="s">
        <v>3953</v>
      </c>
      <c r="I1173" t="s">
        <v>3954</v>
      </c>
      <c r="J1173" s="1" t="s">
        <v>253</v>
      </c>
      <c r="K1173" t="s">
        <v>181</v>
      </c>
      <c r="L1173" t="s">
        <v>3333</v>
      </c>
      <c r="M1173">
        <v>1</v>
      </c>
      <c r="N1173">
        <v>0.5</v>
      </c>
      <c r="O1173" t="s">
        <v>3358</v>
      </c>
      <c r="P1173">
        <v>35.93</v>
      </c>
      <c r="Q1173">
        <v>4</v>
      </c>
      <c r="R1173" t="s">
        <v>3359</v>
      </c>
      <c r="T1173" t="s">
        <v>3337</v>
      </c>
      <c r="U1173">
        <v>28</v>
      </c>
      <c r="V1173" t="s">
        <v>3911</v>
      </c>
    </row>
    <row r="1174" spans="1:22" ht="12.75" customHeight="1" x14ac:dyDescent="0.15">
      <c r="A1174">
        <v>20</v>
      </c>
      <c r="B1174">
        <v>2026</v>
      </c>
      <c r="C1174" s="21">
        <v>46158</v>
      </c>
      <c r="D1174" t="s">
        <v>19</v>
      </c>
      <c r="E1174" t="s">
        <v>20</v>
      </c>
      <c r="F1174" t="s">
        <v>21</v>
      </c>
      <c r="G1174">
        <v>3.8</v>
      </c>
      <c r="H1174" t="s">
        <v>3937</v>
      </c>
      <c r="I1174" t="s">
        <v>309</v>
      </c>
      <c r="J1174" s="1" t="s">
        <v>307</v>
      </c>
      <c r="K1174" t="s">
        <v>181</v>
      </c>
      <c r="L1174" t="s">
        <v>3333</v>
      </c>
      <c r="M1174">
        <v>67</v>
      </c>
      <c r="N1174">
        <v>0.69</v>
      </c>
      <c r="O1174" t="s">
        <v>3334</v>
      </c>
      <c r="P1174">
        <v>56.09</v>
      </c>
      <c r="Q1174">
        <v>5.5</v>
      </c>
      <c r="R1174" t="s">
        <v>3404</v>
      </c>
      <c r="S1174" t="s">
        <v>3955</v>
      </c>
      <c r="T1174" t="s">
        <v>3402</v>
      </c>
      <c r="U1174">
        <v>158</v>
      </c>
      <c r="V1174" t="s">
        <v>3941</v>
      </c>
    </row>
    <row r="1175" spans="1:22" ht="12.75" customHeight="1" x14ac:dyDescent="0.15">
      <c r="A1175">
        <v>20</v>
      </c>
      <c r="B1175">
        <v>2026</v>
      </c>
      <c r="C1175" s="21">
        <v>46158</v>
      </c>
      <c r="D1175" t="s">
        <v>19</v>
      </c>
      <c r="E1175" t="s">
        <v>20</v>
      </c>
      <c r="F1175" t="s">
        <v>21</v>
      </c>
      <c r="G1175">
        <v>3.8</v>
      </c>
      <c r="H1175" t="s">
        <v>3937</v>
      </c>
      <c r="I1175" t="s">
        <v>309</v>
      </c>
      <c r="J1175" s="1" t="s">
        <v>307</v>
      </c>
      <c r="K1175" t="s">
        <v>181</v>
      </c>
      <c r="L1175" t="s">
        <v>3333</v>
      </c>
      <c r="M1175">
        <v>19</v>
      </c>
      <c r="N1175">
        <v>0.69</v>
      </c>
      <c r="O1175" t="s">
        <v>3334</v>
      </c>
      <c r="P1175">
        <v>56.09</v>
      </c>
      <c r="Q1175">
        <v>5.5</v>
      </c>
      <c r="R1175" t="s">
        <v>3403</v>
      </c>
      <c r="T1175" t="s">
        <v>3402</v>
      </c>
      <c r="U1175">
        <v>158</v>
      </c>
      <c r="V1175" t="s">
        <v>3941</v>
      </c>
    </row>
    <row r="1176" spans="1:22" ht="12.75" customHeight="1" x14ac:dyDescent="0.15">
      <c r="A1176">
        <v>20</v>
      </c>
      <c r="B1176">
        <v>2026</v>
      </c>
      <c r="C1176" s="21">
        <v>46158</v>
      </c>
      <c r="D1176" t="s">
        <v>19</v>
      </c>
      <c r="E1176" t="s">
        <v>20</v>
      </c>
      <c r="F1176" t="s">
        <v>21</v>
      </c>
      <c r="G1176">
        <v>3.8</v>
      </c>
      <c r="H1176" t="s">
        <v>3937</v>
      </c>
      <c r="I1176" t="s">
        <v>309</v>
      </c>
      <c r="J1176" s="1" t="s">
        <v>307</v>
      </c>
      <c r="K1176" t="s">
        <v>181</v>
      </c>
      <c r="L1176" t="s">
        <v>3340</v>
      </c>
      <c r="M1176">
        <v>78</v>
      </c>
      <c r="N1176">
        <v>1.47</v>
      </c>
      <c r="O1176" t="s">
        <v>211</v>
      </c>
      <c r="P1176">
        <v>81</v>
      </c>
      <c r="R1176" t="s">
        <v>3341</v>
      </c>
      <c r="T1176" t="s">
        <v>3402</v>
      </c>
      <c r="U1176">
        <v>158</v>
      </c>
      <c r="V1176" t="s">
        <v>3956</v>
      </c>
    </row>
    <row r="1177" spans="1:22" ht="12.75" customHeight="1" x14ac:dyDescent="0.15">
      <c r="A1177">
        <v>20</v>
      </c>
      <c r="B1177">
        <v>2026</v>
      </c>
      <c r="C1177" s="21">
        <v>46158</v>
      </c>
      <c r="D1177" t="s">
        <v>19</v>
      </c>
      <c r="E1177" t="s">
        <v>20</v>
      </c>
      <c r="F1177" t="s">
        <v>21</v>
      </c>
      <c r="G1177">
        <v>3.8</v>
      </c>
      <c r="H1177" t="s">
        <v>3937</v>
      </c>
      <c r="I1177" t="s">
        <v>309</v>
      </c>
      <c r="J1177" s="1" t="s">
        <v>307</v>
      </c>
      <c r="K1177" t="s">
        <v>181</v>
      </c>
      <c r="L1177" t="s">
        <v>3340</v>
      </c>
      <c r="M1177">
        <v>67</v>
      </c>
      <c r="N1177">
        <v>0.45</v>
      </c>
      <c r="O1177" t="s">
        <v>211</v>
      </c>
      <c r="P1177">
        <v>25</v>
      </c>
      <c r="R1177" t="s">
        <v>3404</v>
      </c>
      <c r="T1177" t="s">
        <v>3402</v>
      </c>
      <c r="U1177">
        <v>158</v>
      </c>
      <c r="V1177" t="s">
        <v>3957</v>
      </c>
    </row>
    <row r="1178" spans="1:22" ht="12.75" customHeight="1" x14ac:dyDescent="0.15">
      <c r="A1178">
        <v>20</v>
      </c>
      <c r="B1178">
        <v>2026</v>
      </c>
      <c r="C1178" s="21">
        <v>46158</v>
      </c>
      <c r="D1178" t="s">
        <v>19</v>
      </c>
      <c r="E1178" t="s">
        <v>20</v>
      </c>
      <c r="F1178" t="s">
        <v>21</v>
      </c>
      <c r="G1178">
        <v>3.8</v>
      </c>
      <c r="H1178" t="s">
        <v>3937</v>
      </c>
      <c r="I1178" t="s">
        <v>309</v>
      </c>
      <c r="J1178" s="1" t="s">
        <v>307</v>
      </c>
      <c r="K1178" t="s">
        <v>181</v>
      </c>
      <c r="L1178" t="s">
        <v>3340</v>
      </c>
      <c r="M1178">
        <v>19</v>
      </c>
      <c r="N1178">
        <v>0.45</v>
      </c>
      <c r="O1178" t="s">
        <v>211</v>
      </c>
      <c r="P1178">
        <v>25</v>
      </c>
      <c r="R1178" t="s">
        <v>3403</v>
      </c>
      <c r="T1178" t="s">
        <v>3402</v>
      </c>
      <c r="U1178">
        <v>158</v>
      </c>
      <c r="V1178" t="s">
        <v>3957</v>
      </c>
    </row>
    <row r="1179" spans="1:22" ht="12.75" customHeight="1" x14ac:dyDescent="0.15">
      <c r="A1179">
        <v>20</v>
      </c>
      <c r="B1179">
        <v>2026</v>
      </c>
      <c r="C1179" s="21">
        <v>46158</v>
      </c>
      <c r="D1179" t="s">
        <v>115</v>
      </c>
      <c r="E1179" t="s">
        <v>116</v>
      </c>
      <c r="F1179" t="s">
        <v>21</v>
      </c>
      <c r="G1179">
        <v>2</v>
      </c>
      <c r="H1179" t="s">
        <v>3841</v>
      </c>
      <c r="I1179" t="s">
        <v>3842</v>
      </c>
      <c r="J1179" s="1" t="s">
        <v>3533</v>
      </c>
      <c r="K1179" t="s">
        <v>181</v>
      </c>
      <c r="L1179" t="s">
        <v>3333</v>
      </c>
      <c r="M1179">
        <v>3</v>
      </c>
      <c r="N1179">
        <v>1</v>
      </c>
      <c r="O1179" t="s">
        <v>3334</v>
      </c>
      <c r="P1179">
        <v>81.58</v>
      </c>
      <c r="Q1179">
        <v>8</v>
      </c>
      <c r="R1179" t="s">
        <v>3478</v>
      </c>
      <c r="T1179" t="s">
        <v>3402</v>
      </c>
      <c r="U1179">
        <v>-5</v>
      </c>
      <c r="V1179" t="s">
        <v>3456</v>
      </c>
    </row>
    <row r="1180" spans="1:22" ht="12.75" customHeight="1" x14ac:dyDescent="0.15">
      <c r="A1180">
        <v>20</v>
      </c>
      <c r="B1180">
        <v>2026</v>
      </c>
      <c r="C1180" s="21">
        <v>46158</v>
      </c>
      <c r="D1180" t="s">
        <v>19</v>
      </c>
      <c r="E1180" t="s">
        <v>20</v>
      </c>
      <c r="F1180" t="s">
        <v>21</v>
      </c>
      <c r="G1180">
        <v>3.8</v>
      </c>
      <c r="H1180" t="s">
        <v>3945</v>
      </c>
      <c r="I1180" t="s">
        <v>3686</v>
      </c>
      <c r="J1180" s="1" t="s">
        <v>3437</v>
      </c>
      <c r="K1180" t="s">
        <v>181</v>
      </c>
      <c r="L1180" t="s">
        <v>3333</v>
      </c>
      <c r="M1180">
        <v>4</v>
      </c>
      <c r="N1180">
        <v>0.69</v>
      </c>
      <c r="O1180" t="s">
        <v>3334</v>
      </c>
      <c r="P1180">
        <v>56.09</v>
      </c>
      <c r="Q1180">
        <v>5.5</v>
      </c>
      <c r="R1180" t="s">
        <v>3773</v>
      </c>
      <c r="T1180" t="s">
        <v>3402</v>
      </c>
      <c r="U1180">
        <v>158</v>
      </c>
      <c r="V1180" t="s">
        <v>3941</v>
      </c>
    </row>
    <row r="1181" spans="1:22" ht="12.75" customHeight="1" x14ac:dyDescent="0.15">
      <c r="A1181">
        <v>20</v>
      </c>
      <c r="B1181">
        <v>2026</v>
      </c>
      <c r="C1181" s="21">
        <v>46158</v>
      </c>
      <c r="D1181" t="s">
        <v>19</v>
      </c>
      <c r="E1181" t="s">
        <v>20</v>
      </c>
      <c r="F1181" t="s">
        <v>21</v>
      </c>
      <c r="G1181">
        <v>3.8</v>
      </c>
      <c r="H1181" t="s">
        <v>3945</v>
      </c>
      <c r="I1181" t="s">
        <v>3686</v>
      </c>
      <c r="J1181" s="1" t="s">
        <v>3437</v>
      </c>
      <c r="K1181" t="s">
        <v>181</v>
      </c>
      <c r="L1181" t="s">
        <v>3340</v>
      </c>
      <c r="M1181">
        <v>4</v>
      </c>
      <c r="N1181">
        <v>0.33</v>
      </c>
      <c r="O1181" t="s">
        <v>211</v>
      </c>
      <c r="P1181">
        <v>18</v>
      </c>
      <c r="Q1181">
        <v>2</v>
      </c>
      <c r="R1181" t="s">
        <v>3773</v>
      </c>
      <c r="T1181" t="s">
        <v>3402</v>
      </c>
      <c r="U1181">
        <v>158</v>
      </c>
      <c r="V1181" t="s">
        <v>3414</v>
      </c>
    </row>
    <row r="1182" spans="1:22" ht="12.75" customHeight="1" x14ac:dyDescent="0.15">
      <c r="A1182">
        <v>20</v>
      </c>
      <c r="B1182">
        <v>2026</v>
      </c>
      <c r="C1182" s="21">
        <v>46158</v>
      </c>
      <c r="D1182" t="s">
        <v>107</v>
      </c>
      <c r="E1182" t="s">
        <v>108</v>
      </c>
      <c r="F1182" t="s">
        <v>21</v>
      </c>
      <c r="G1182">
        <v>4.5</v>
      </c>
      <c r="H1182" t="s">
        <v>3836</v>
      </c>
      <c r="I1182" t="s">
        <v>3810</v>
      </c>
      <c r="J1182" s="1" t="s">
        <v>30</v>
      </c>
      <c r="K1182" t="s">
        <v>181</v>
      </c>
      <c r="L1182" t="s">
        <v>3333</v>
      </c>
      <c r="M1182">
        <v>86</v>
      </c>
      <c r="N1182">
        <v>0.38</v>
      </c>
      <c r="O1182" t="s">
        <v>3334</v>
      </c>
      <c r="P1182">
        <v>30.59</v>
      </c>
      <c r="Q1182">
        <v>3</v>
      </c>
      <c r="R1182" t="s">
        <v>3386</v>
      </c>
      <c r="T1182" t="s">
        <v>3402</v>
      </c>
      <c r="U1182">
        <v>1</v>
      </c>
      <c r="V1182" t="s">
        <v>3816</v>
      </c>
    </row>
    <row r="1183" spans="1:22" ht="12.75" customHeight="1" x14ac:dyDescent="0.15">
      <c r="A1183">
        <v>20</v>
      </c>
      <c r="B1183">
        <v>2026</v>
      </c>
      <c r="C1183" s="21">
        <v>46158</v>
      </c>
      <c r="D1183" t="s">
        <v>115</v>
      </c>
      <c r="E1183" t="s">
        <v>116</v>
      </c>
      <c r="F1183" t="s">
        <v>21</v>
      </c>
      <c r="G1183">
        <v>2</v>
      </c>
      <c r="H1183" t="s">
        <v>3841</v>
      </c>
      <c r="I1183" t="s">
        <v>3842</v>
      </c>
      <c r="J1183" s="1" t="s">
        <v>3533</v>
      </c>
      <c r="K1183" t="s">
        <v>181</v>
      </c>
      <c r="L1183" t="s">
        <v>3333</v>
      </c>
      <c r="M1183">
        <v>86</v>
      </c>
      <c r="N1183">
        <v>0.63</v>
      </c>
      <c r="O1183" t="s">
        <v>3334</v>
      </c>
      <c r="P1183">
        <v>50.99</v>
      </c>
      <c r="Q1183">
        <v>5</v>
      </c>
      <c r="R1183" t="s">
        <v>3386</v>
      </c>
      <c r="T1183" t="s">
        <v>3402</v>
      </c>
      <c r="U1183">
        <v>-5</v>
      </c>
      <c r="V1183" t="s">
        <v>3500</v>
      </c>
    </row>
    <row r="1184" spans="1:22" ht="12.75" customHeight="1" x14ac:dyDescent="0.15">
      <c r="A1184">
        <v>20</v>
      </c>
      <c r="B1184">
        <v>2026</v>
      </c>
      <c r="C1184" s="21">
        <v>46159</v>
      </c>
      <c r="D1184" t="s">
        <v>19</v>
      </c>
      <c r="E1184" t="s">
        <v>20</v>
      </c>
      <c r="F1184" t="s">
        <v>21</v>
      </c>
      <c r="G1184">
        <v>3.8</v>
      </c>
      <c r="H1184" t="s">
        <v>3937</v>
      </c>
      <c r="I1184" t="s">
        <v>309</v>
      </c>
      <c r="J1184" s="1" t="s">
        <v>307</v>
      </c>
      <c r="K1184" t="s">
        <v>181</v>
      </c>
      <c r="L1184" t="s">
        <v>3340</v>
      </c>
      <c r="M1184">
        <v>53</v>
      </c>
      <c r="N1184">
        <v>0.91</v>
      </c>
      <c r="O1184" t="s">
        <v>211</v>
      </c>
      <c r="P1184">
        <v>50</v>
      </c>
      <c r="R1184" t="s">
        <v>3373</v>
      </c>
      <c r="T1184" t="s">
        <v>3337</v>
      </c>
      <c r="U1184">
        <v>159</v>
      </c>
      <c r="V1184" t="s">
        <v>3459</v>
      </c>
    </row>
    <row r="1185" spans="1:22" ht="12.75" customHeight="1" x14ac:dyDescent="0.15">
      <c r="A1185">
        <v>20</v>
      </c>
      <c r="B1185">
        <v>2026</v>
      </c>
      <c r="C1185" s="21">
        <v>46159</v>
      </c>
      <c r="D1185" t="s">
        <v>19</v>
      </c>
      <c r="E1185" t="s">
        <v>20</v>
      </c>
      <c r="F1185" t="s">
        <v>21</v>
      </c>
      <c r="G1185">
        <v>3.8</v>
      </c>
      <c r="H1185" t="s">
        <v>3937</v>
      </c>
      <c r="I1185" t="s">
        <v>309</v>
      </c>
      <c r="J1185" s="1" t="s">
        <v>307</v>
      </c>
      <c r="K1185" t="s">
        <v>181</v>
      </c>
      <c r="L1185" t="s">
        <v>3340</v>
      </c>
      <c r="M1185">
        <v>45</v>
      </c>
      <c r="N1185">
        <v>0.91</v>
      </c>
      <c r="O1185" t="s">
        <v>211</v>
      </c>
      <c r="P1185">
        <v>50</v>
      </c>
      <c r="R1185" t="s">
        <v>3377</v>
      </c>
      <c r="T1185" t="s">
        <v>3337</v>
      </c>
      <c r="U1185">
        <v>159</v>
      </c>
      <c r="V1185" t="s">
        <v>3459</v>
      </c>
    </row>
    <row r="1186" spans="1:22" ht="12.75" customHeight="1" x14ac:dyDescent="0.15">
      <c r="A1186">
        <v>20</v>
      </c>
      <c r="B1186">
        <v>2026</v>
      </c>
      <c r="C1186" s="21">
        <v>46159</v>
      </c>
      <c r="D1186" t="s">
        <v>19</v>
      </c>
      <c r="E1186" t="s">
        <v>20</v>
      </c>
      <c r="F1186" t="s">
        <v>21</v>
      </c>
      <c r="G1186">
        <v>3.8</v>
      </c>
      <c r="H1186" t="s">
        <v>3937</v>
      </c>
      <c r="I1186" t="s">
        <v>309</v>
      </c>
      <c r="J1186" s="1" t="s">
        <v>307</v>
      </c>
      <c r="K1186" t="s">
        <v>181</v>
      </c>
      <c r="L1186" t="s">
        <v>3340</v>
      </c>
      <c r="M1186">
        <v>62</v>
      </c>
      <c r="N1186">
        <v>1</v>
      </c>
      <c r="O1186" t="s">
        <v>211</v>
      </c>
      <c r="P1186">
        <v>55</v>
      </c>
      <c r="R1186" t="s">
        <v>3375</v>
      </c>
      <c r="T1186" t="s">
        <v>3337</v>
      </c>
      <c r="U1186">
        <v>159</v>
      </c>
      <c r="V1186" t="s">
        <v>3362</v>
      </c>
    </row>
    <row r="1187" spans="1:22" ht="12.75" customHeight="1" x14ac:dyDescent="0.15">
      <c r="A1187">
        <v>20</v>
      </c>
      <c r="B1187">
        <v>2026</v>
      </c>
      <c r="C1187" s="21">
        <v>46159</v>
      </c>
      <c r="D1187" t="s">
        <v>19</v>
      </c>
      <c r="E1187" t="s">
        <v>20</v>
      </c>
      <c r="F1187" t="s">
        <v>21</v>
      </c>
      <c r="G1187">
        <v>3.8</v>
      </c>
      <c r="H1187" t="s">
        <v>3937</v>
      </c>
      <c r="I1187" t="s">
        <v>309</v>
      </c>
      <c r="J1187" s="1" t="s">
        <v>307</v>
      </c>
      <c r="K1187" t="s">
        <v>181</v>
      </c>
      <c r="L1187" t="s">
        <v>3340</v>
      </c>
      <c r="M1187">
        <v>58</v>
      </c>
      <c r="N1187">
        <v>1.0900000000000001</v>
      </c>
      <c r="O1187" t="s">
        <v>211</v>
      </c>
      <c r="P1187">
        <v>60</v>
      </c>
      <c r="R1187" t="s">
        <v>3343</v>
      </c>
      <c r="T1187" t="s">
        <v>3337</v>
      </c>
      <c r="U1187">
        <v>159</v>
      </c>
      <c r="V1187" t="s">
        <v>3958</v>
      </c>
    </row>
    <row r="1188" spans="1:22" ht="12.75" customHeight="1" x14ac:dyDescent="0.15">
      <c r="A1188">
        <v>20</v>
      </c>
      <c r="B1188">
        <v>2026</v>
      </c>
      <c r="C1188" s="21">
        <v>46159</v>
      </c>
      <c r="D1188" t="s">
        <v>19</v>
      </c>
      <c r="E1188" t="s">
        <v>20</v>
      </c>
      <c r="F1188" t="s">
        <v>21</v>
      </c>
      <c r="G1188">
        <v>3.8</v>
      </c>
      <c r="H1188" t="s">
        <v>3937</v>
      </c>
      <c r="I1188" t="s">
        <v>309</v>
      </c>
      <c r="J1188" s="1" t="s">
        <v>307</v>
      </c>
      <c r="K1188" t="s">
        <v>181</v>
      </c>
      <c r="L1188" t="s">
        <v>3340</v>
      </c>
      <c r="M1188">
        <v>81</v>
      </c>
      <c r="N1188">
        <v>1.18</v>
      </c>
      <c r="O1188" t="s">
        <v>211</v>
      </c>
      <c r="P1188">
        <v>65</v>
      </c>
      <c r="R1188" t="s">
        <v>3374</v>
      </c>
      <c r="T1188" t="s">
        <v>3337</v>
      </c>
      <c r="U1188">
        <v>159</v>
      </c>
      <c r="V1188" t="s">
        <v>3435</v>
      </c>
    </row>
    <row r="1189" spans="1:22" ht="12.75" customHeight="1" x14ac:dyDescent="0.15">
      <c r="A1189">
        <v>20</v>
      </c>
      <c r="B1189">
        <v>2026</v>
      </c>
      <c r="C1189" s="21">
        <v>46159</v>
      </c>
      <c r="D1189" t="s">
        <v>107</v>
      </c>
      <c r="E1189" t="s">
        <v>108</v>
      </c>
      <c r="F1189" t="s">
        <v>21</v>
      </c>
      <c r="G1189">
        <v>4.5</v>
      </c>
      <c r="H1189" t="s">
        <v>3505</v>
      </c>
      <c r="I1189" t="s">
        <v>29</v>
      </c>
      <c r="J1189" s="1" t="s">
        <v>30</v>
      </c>
      <c r="K1189" t="s">
        <v>181</v>
      </c>
      <c r="L1189" t="s">
        <v>23</v>
      </c>
      <c r="M1189">
        <v>198</v>
      </c>
      <c r="P1189">
        <v>5850</v>
      </c>
      <c r="R1189" t="s">
        <v>3746</v>
      </c>
      <c r="S1189" t="s">
        <v>3959</v>
      </c>
      <c r="T1189" t="s">
        <v>3337</v>
      </c>
      <c r="U1189">
        <v>2</v>
      </c>
      <c r="V1189" t="s">
        <v>198</v>
      </c>
    </row>
    <row r="1190" spans="1:22" ht="12.75" customHeight="1" x14ac:dyDescent="0.15">
      <c r="A1190">
        <v>20</v>
      </c>
      <c r="B1190">
        <v>2026</v>
      </c>
      <c r="C1190" s="21">
        <v>46159</v>
      </c>
      <c r="D1190" t="s">
        <v>19</v>
      </c>
      <c r="E1190" t="s">
        <v>20</v>
      </c>
      <c r="F1190" t="s">
        <v>21</v>
      </c>
      <c r="G1190">
        <v>3.8</v>
      </c>
      <c r="H1190" t="s">
        <v>3937</v>
      </c>
      <c r="I1190" t="s">
        <v>309</v>
      </c>
      <c r="J1190" s="1" t="s">
        <v>307</v>
      </c>
      <c r="K1190" t="s">
        <v>181</v>
      </c>
      <c r="L1190" t="s">
        <v>3340</v>
      </c>
      <c r="M1190">
        <v>78</v>
      </c>
      <c r="N1190">
        <v>0.84</v>
      </c>
      <c r="O1190" t="s">
        <v>211</v>
      </c>
      <c r="P1190">
        <v>46</v>
      </c>
      <c r="R1190" t="s">
        <v>3341</v>
      </c>
      <c r="T1190" t="s">
        <v>3402</v>
      </c>
      <c r="U1190">
        <v>159</v>
      </c>
      <c r="V1190" t="s">
        <v>3960</v>
      </c>
    </row>
    <row r="1191" spans="1:22" ht="12.75" customHeight="1" x14ac:dyDescent="0.15">
      <c r="A1191">
        <v>20</v>
      </c>
      <c r="B1191">
        <v>2026</v>
      </c>
      <c r="C1191" s="21">
        <v>46159</v>
      </c>
      <c r="D1191" t="s">
        <v>19</v>
      </c>
      <c r="E1191" t="s">
        <v>20</v>
      </c>
      <c r="F1191" t="s">
        <v>21</v>
      </c>
      <c r="G1191">
        <v>3.8</v>
      </c>
      <c r="H1191" t="s">
        <v>3937</v>
      </c>
      <c r="I1191" t="s">
        <v>309</v>
      </c>
      <c r="J1191" s="1" t="s">
        <v>307</v>
      </c>
      <c r="K1191" t="s">
        <v>181</v>
      </c>
      <c r="L1191" t="s">
        <v>3340</v>
      </c>
      <c r="M1191">
        <v>67</v>
      </c>
      <c r="N1191">
        <v>1.67</v>
      </c>
      <c r="O1191" t="s">
        <v>211</v>
      </c>
      <c r="P1191">
        <v>92</v>
      </c>
      <c r="R1191" t="s">
        <v>3404</v>
      </c>
      <c r="T1191" t="s">
        <v>3402</v>
      </c>
      <c r="U1191">
        <v>159</v>
      </c>
      <c r="V1191" t="s">
        <v>3961</v>
      </c>
    </row>
    <row r="1192" spans="1:22" ht="12.75" customHeight="1" x14ac:dyDescent="0.15">
      <c r="A1192">
        <v>20</v>
      </c>
      <c r="B1192">
        <v>2026</v>
      </c>
      <c r="C1192" s="21">
        <v>46159</v>
      </c>
      <c r="D1192" t="s">
        <v>19</v>
      </c>
      <c r="E1192" t="s">
        <v>20</v>
      </c>
      <c r="F1192" t="s">
        <v>21</v>
      </c>
      <c r="G1192">
        <v>3.8</v>
      </c>
      <c r="H1192" t="s">
        <v>3945</v>
      </c>
      <c r="I1192" t="s">
        <v>3686</v>
      </c>
      <c r="J1192" s="1" t="s">
        <v>3437</v>
      </c>
      <c r="K1192" t="s">
        <v>181</v>
      </c>
      <c r="L1192" t="s">
        <v>3340</v>
      </c>
      <c r="M1192">
        <v>4</v>
      </c>
      <c r="N1192">
        <v>0.98</v>
      </c>
      <c r="O1192" t="s">
        <v>211</v>
      </c>
      <c r="P1192">
        <v>54</v>
      </c>
      <c r="Q1192">
        <v>6</v>
      </c>
      <c r="R1192" t="s">
        <v>3773</v>
      </c>
      <c r="S1192" t="s">
        <v>3962</v>
      </c>
      <c r="T1192" t="s">
        <v>3402</v>
      </c>
      <c r="U1192">
        <v>159</v>
      </c>
      <c r="V1192" t="s">
        <v>3411</v>
      </c>
    </row>
    <row r="1193" spans="1:22" ht="12.75" customHeight="1" x14ac:dyDescent="0.15">
      <c r="A1193">
        <v>20</v>
      </c>
      <c r="B1193">
        <v>2026</v>
      </c>
      <c r="C1193" s="21">
        <v>46159</v>
      </c>
      <c r="D1193" t="s">
        <v>19</v>
      </c>
      <c r="E1193" t="s">
        <v>20</v>
      </c>
      <c r="F1193" t="s">
        <v>21</v>
      </c>
      <c r="G1193">
        <v>3.8</v>
      </c>
      <c r="H1193" t="s">
        <v>3963</v>
      </c>
      <c r="I1193" t="s">
        <v>3964</v>
      </c>
      <c r="J1193" s="1" t="s">
        <v>307</v>
      </c>
      <c r="K1193" t="s">
        <v>181</v>
      </c>
      <c r="L1193" t="s">
        <v>3340</v>
      </c>
      <c r="M1193">
        <v>80</v>
      </c>
      <c r="N1193">
        <v>0.33</v>
      </c>
      <c r="O1193" t="s">
        <v>211</v>
      </c>
      <c r="P1193">
        <v>18</v>
      </c>
      <c r="Q1193">
        <v>2</v>
      </c>
      <c r="R1193" t="s">
        <v>3560</v>
      </c>
      <c r="T1193" t="s">
        <v>3402</v>
      </c>
      <c r="U1193">
        <v>159</v>
      </c>
      <c r="V1193" t="s">
        <v>3414</v>
      </c>
    </row>
    <row r="1194" spans="1:22" ht="12.75" customHeight="1" x14ac:dyDescent="0.15">
      <c r="A1194">
        <v>20</v>
      </c>
      <c r="B1194">
        <v>2026</v>
      </c>
      <c r="C1194" s="21">
        <v>46159</v>
      </c>
      <c r="D1194" t="s">
        <v>19</v>
      </c>
      <c r="E1194" t="s">
        <v>20</v>
      </c>
      <c r="F1194" t="s">
        <v>21</v>
      </c>
      <c r="G1194">
        <v>3.8</v>
      </c>
      <c r="H1194" t="s">
        <v>3965</v>
      </c>
      <c r="I1194" t="s">
        <v>3964</v>
      </c>
      <c r="J1194" s="1" t="s">
        <v>307</v>
      </c>
      <c r="K1194" t="s">
        <v>2666</v>
      </c>
      <c r="L1194" t="s">
        <v>3587</v>
      </c>
      <c r="N1194">
        <v>1.94</v>
      </c>
      <c r="O1194" t="s">
        <v>3838</v>
      </c>
      <c r="P1194">
        <v>41.46</v>
      </c>
      <c r="T1194" t="s">
        <v>3402</v>
      </c>
      <c r="U1194">
        <v>159</v>
      </c>
      <c r="V1194" t="s">
        <v>3966</v>
      </c>
    </row>
    <row r="1195" spans="1:22" ht="12.75" customHeight="1" x14ac:dyDescent="0.15">
      <c r="A1195">
        <v>20</v>
      </c>
      <c r="B1195">
        <v>2026</v>
      </c>
      <c r="C1195" s="21">
        <v>46160</v>
      </c>
      <c r="D1195" t="s">
        <v>91</v>
      </c>
      <c r="E1195" t="s">
        <v>92</v>
      </c>
      <c r="F1195" t="s">
        <v>21</v>
      </c>
      <c r="G1195">
        <v>1.3</v>
      </c>
      <c r="H1195" t="s">
        <v>3519</v>
      </c>
      <c r="I1195" t="s">
        <v>214</v>
      </c>
      <c r="J1195" s="1" t="s">
        <v>215</v>
      </c>
      <c r="K1195" t="s">
        <v>181</v>
      </c>
      <c r="L1195" t="s">
        <v>3340</v>
      </c>
      <c r="M1195">
        <v>53</v>
      </c>
      <c r="N1195">
        <v>0.22</v>
      </c>
      <c r="O1195" t="s">
        <v>211</v>
      </c>
      <c r="P1195">
        <v>12</v>
      </c>
      <c r="R1195" t="s">
        <v>3373</v>
      </c>
      <c r="S1195" t="s">
        <v>3967</v>
      </c>
      <c r="T1195" t="s">
        <v>3337</v>
      </c>
      <c r="U1195">
        <v>30</v>
      </c>
      <c r="V1195" t="s">
        <v>3968</v>
      </c>
    </row>
    <row r="1196" spans="1:22" ht="12.75" customHeight="1" x14ac:dyDescent="0.15">
      <c r="A1196">
        <v>20</v>
      </c>
      <c r="B1196">
        <v>2026</v>
      </c>
      <c r="C1196" s="21">
        <v>46160</v>
      </c>
      <c r="D1196" t="s">
        <v>91</v>
      </c>
      <c r="E1196" t="s">
        <v>92</v>
      </c>
      <c r="F1196" t="s">
        <v>21</v>
      </c>
      <c r="G1196">
        <v>1.3</v>
      </c>
      <c r="H1196" t="s">
        <v>3519</v>
      </c>
      <c r="I1196" t="s">
        <v>214</v>
      </c>
      <c r="J1196" s="1" t="s">
        <v>215</v>
      </c>
      <c r="K1196" t="s">
        <v>181</v>
      </c>
      <c r="L1196" t="s">
        <v>3340</v>
      </c>
      <c r="M1196">
        <v>45</v>
      </c>
      <c r="N1196">
        <v>0.22</v>
      </c>
      <c r="O1196" t="s">
        <v>211</v>
      </c>
      <c r="P1196">
        <v>12</v>
      </c>
      <c r="R1196" t="s">
        <v>3377</v>
      </c>
      <c r="T1196" t="s">
        <v>3337</v>
      </c>
      <c r="U1196">
        <v>30</v>
      </c>
      <c r="V1196" t="s">
        <v>3968</v>
      </c>
    </row>
    <row r="1197" spans="1:22" ht="12.75" customHeight="1" x14ac:dyDescent="0.15">
      <c r="A1197">
        <v>20</v>
      </c>
      <c r="B1197">
        <v>2026</v>
      </c>
      <c r="C1197" s="21">
        <v>46160</v>
      </c>
      <c r="D1197" t="s">
        <v>91</v>
      </c>
      <c r="E1197" t="s">
        <v>92</v>
      </c>
      <c r="F1197" t="s">
        <v>21</v>
      </c>
      <c r="G1197">
        <v>1.3</v>
      </c>
      <c r="H1197" t="s">
        <v>3519</v>
      </c>
      <c r="I1197" t="s">
        <v>214</v>
      </c>
      <c r="J1197" s="1" t="s">
        <v>215</v>
      </c>
      <c r="K1197" t="s">
        <v>181</v>
      </c>
      <c r="L1197" t="s">
        <v>3340</v>
      </c>
      <c r="M1197">
        <v>62</v>
      </c>
      <c r="N1197">
        <v>0.22</v>
      </c>
      <c r="O1197" t="s">
        <v>211</v>
      </c>
      <c r="P1197">
        <v>12</v>
      </c>
      <c r="R1197" t="s">
        <v>3375</v>
      </c>
      <c r="T1197" t="s">
        <v>3337</v>
      </c>
      <c r="U1197">
        <v>30</v>
      </c>
      <c r="V1197" t="s">
        <v>3968</v>
      </c>
    </row>
    <row r="1198" spans="1:22" ht="12.75" customHeight="1" x14ac:dyDescent="0.15">
      <c r="A1198">
        <v>20</v>
      </c>
      <c r="B1198">
        <v>2026</v>
      </c>
      <c r="C1198" s="21">
        <v>46160</v>
      </c>
      <c r="D1198" t="s">
        <v>91</v>
      </c>
      <c r="E1198" t="s">
        <v>92</v>
      </c>
      <c r="F1198" t="s">
        <v>21</v>
      </c>
      <c r="G1198">
        <v>1.3</v>
      </c>
      <c r="H1198" t="s">
        <v>3519</v>
      </c>
      <c r="I1198" t="s">
        <v>214</v>
      </c>
      <c r="J1198" s="1" t="s">
        <v>215</v>
      </c>
      <c r="K1198" t="s">
        <v>181</v>
      </c>
      <c r="L1198" t="s">
        <v>3340</v>
      </c>
      <c r="M1198">
        <v>58</v>
      </c>
      <c r="N1198">
        <v>0.22</v>
      </c>
      <c r="O1198" t="s">
        <v>211</v>
      </c>
      <c r="P1198">
        <v>12</v>
      </c>
      <c r="R1198" t="s">
        <v>3343</v>
      </c>
      <c r="T1198" t="s">
        <v>3337</v>
      </c>
      <c r="U1198">
        <v>30</v>
      </c>
      <c r="V1198" t="s">
        <v>3968</v>
      </c>
    </row>
    <row r="1199" spans="1:22" ht="12.75" customHeight="1" x14ac:dyDescent="0.15">
      <c r="A1199">
        <v>20</v>
      </c>
      <c r="B1199">
        <v>2026</v>
      </c>
      <c r="C1199" s="21">
        <v>46160</v>
      </c>
      <c r="D1199" t="s">
        <v>91</v>
      </c>
      <c r="E1199" t="s">
        <v>92</v>
      </c>
      <c r="F1199" t="s">
        <v>21</v>
      </c>
      <c r="G1199">
        <v>1.3</v>
      </c>
      <c r="H1199" t="s">
        <v>3519</v>
      </c>
      <c r="I1199" t="s">
        <v>214</v>
      </c>
      <c r="J1199" s="1" t="s">
        <v>215</v>
      </c>
      <c r="K1199" t="s">
        <v>181</v>
      </c>
      <c r="L1199" t="s">
        <v>3340</v>
      </c>
      <c r="M1199">
        <v>81</v>
      </c>
      <c r="N1199">
        <v>0.22</v>
      </c>
      <c r="O1199" t="s">
        <v>211</v>
      </c>
      <c r="P1199">
        <v>12</v>
      </c>
      <c r="R1199" t="s">
        <v>3374</v>
      </c>
      <c r="T1199" t="s">
        <v>3337</v>
      </c>
      <c r="U1199">
        <v>30</v>
      </c>
      <c r="V1199" t="s">
        <v>3968</v>
      </c>
    </row>
    <row r="1200" spans="1:22" ht="12.75" customHeight="1" x14ac:dyDescent="0.15">
      <c r="A1200">
        <v>20</v>
      </c>
      <c r="B1200">
        <v>2026</v>
      </c>
      <c r="C1200" s="21">
        <v>46160</v>
      </c>
      <c r="D1200" t="s">
        <v>91</v>
      </c>
      <c r="E1200" t="s">
        <v>92</v>
      </c>
      <c r="F1200" t="s">
        <v>21</v>
      </c>
      <c r="G1200">
        <v>1.3</v>
      </c>
      <c r="H1200" t="s">
        <v>3519</v>
      </c>
      <c r="I1200" t="s">
        <v>214</v>
      </c>
      <c r="J1200" s="1" t="s">
        <v>215</v>
      </c>
      <c r="K1200" t="s">
        <v>181</v>
      </c>
      <c r="L1200" t="s">
        <v>3340</v>
      </c>
      <c r="M1200">
        <v>132</v>
      </c>
      <c r="N1200">
        <v>0.22</v>
      </c>
      <c r="O1200" t="s">
        <v>211</v>
      </c>
      <c r="P1200">
        <v>12</v>
      </c>
      <c r="R1200" t="s">
        <v>3368</v>
      </c>
      <c r="T1200" t="s">
        <v>3337</v>
      </c>
      <c r="U1200">
        <v>30</v>
      </c>
      <c r="V1200" t="s">
        <v>3968</v>
      </c>
    </row>
    <row r="1201" spans="1:22" ht="12.75" customHeight="1" x14ac:dyDescent="0.15">
      <c r="A1201">
        <v>20</v>
      </c>
      <c r="B1201">
        <v>2026</v>
      </c>
      <c r="C1201" s="21">
        <v>46160</v>
      </c>
      <c r="D1201" t="s">
        <v>73</v>
      </c>
      <c r="E1201" t="s">
        <v>74</v>
      </c>
      <c r="F1201" t="s">
        <v>75</v>
      </c>
      <c r="G1201">
        <v>2.2999999999999998</v>
      </c>
      <c r="H1201" t="s">
        <v>3519</v>
      </c>
      <c r="I1201" t="s">
        <v>214</v>
      </c>
      <c r="J1201" s="1" t="s">
        <v>215</v>
      </c>
      <c r="K1201" t="s">
        <v>181</v>
      </c>
      <c r="L1201" t="s">
        <v>3340</v>
      </c>
      <c r="M1201">
        <v>53</v>
      </c>
      <c r="N1201">
        <v>0.36</v>
      </c>
      <c r="O1201" t="s">
        <v>211</v>
      </c>
      <c r="P1201">
        <v>20</v>
      </c>
      <c r="R1201" t="s">
        <v>3373</v>
      </c>
      <c r="S1201" t="s">
        <v>3969</v>
      </c>
      <c r="T1201" t="s">
        <v>3337</v>
      </c>
      <c r="U1201">
        <v>30</v>
      </c>
      <c r="V1201" t="s">
        <v>3824</v>
      </c>
    </row>
    <row r="1202" spans="1:22" ht="12.75" customHeight="1" x14ac:dyDescent="0.15">
      <c r="A1202">
        <v>20</v>
      </c>
      <c r="B1202">
        <v>2026</v>
      </c>
      <c r="C1202" s="21">
        <v>46160</v>
      </c>
      <c r="D1202" t="s">
        <v>73</v>
      </c>
      <c r="E1202" t="s">
        <v>74</v>
      </c>
      <c r="F1202" t="s">
        <v>75</v>
      </c>
      <c r="G1202">
        <v>2.2999999999999998</v>
      </c>
      <c r="H1202" t="s">
        <v>3519</v>
      </c>
      <c r="I1202" t="s">
        <v>214</v>
      </c>
      <c r="J1202" s="1" t="s">
        <v>215</v>
      </c>
      <c r="K1202" t="s">
        <v>181</v>
      </c>
      <c r="L1202" t="s">
        <v>3340</v>
      </c>
      <c r="M1202">
        <v>45</v>
      </c>
      <c r="N1202">
        <v>0.36</v>
      </c>
      <c r="O1202" t="s">
        <v>211</v>
      </c>
      <c r="P1202">
        <v>20</v>
      </c>
      <c r="R1202" t="s">
        <v>3377</v>
      </c>
      <c r="T1202" t="s">
        <v>3337</v>
      </c>
      <c r="U1202">
        <v>30</v>
      </c>
      <c r="V1202" t="s">
        <v>3824</v>
      </c>
    </row>
    <row r="1203" spans="1:22" ht="12.75" customHeight="1" x14ac:dyDescent="0.15">
      <c r="A1203">
        <v>20</v>
      </c>
      <c r="B1203">
        <v>2026</v>
      </c>
      <c r="C1203" s="21">
        <v>46160</v>
      </c>
      <c r="D1203" t="s">
        <v>73</v>
      </c>
      <c r="E1203" t="s">
        <v>74</v>
      </c>
      <c r="F1203" t="s">
        <v>75</v>
      </c>
      <c r="G1203">
        <v>2.2999999999999998</v>
      </c>
      <c r="H1203" t="s">
        <v>3519</v>
      </c>
      <c r="I1203" t="s">
        <v>214</v>
      </c>
      <c r="J1203" s="1" t="s">
        <v>215</v>
      </c>
      <c r="K1203" t="s">
        <v>181</v>
      </c>
      <c r="L1203" t="s">
        <v>3340</v>
      </c>
      <c r="M1203">
        <v>62</v>
      </c>
      <c r="N1203">
        <v>0.36</v>
      </c>
      <c r="O1203" t="s">
        <v>211</v>
      </c>
      <c r="P1203">
        <v>20</v>
      </c>
      <c r="R1203" t="s">
        <v>3375</v>
      </c>
      <c r="T1203" t="s">
        <v>3337</v>
      </c>
      <c r="U1203">
        <v>30</v>
      </c>
      <c r="V1203" t="s">
        <v>3824</v>
      </c>
    </row>
    <row r="1204" spans="1:22" ht="12.75" customHeight="1" x14ac:dyDescent="0.15">
      <c r="A1204">
        <v>20</v>
      </c>
      <c r="B1204">
        <v>2026</v>
      </c>
      <c r="C1204" s="21">
        <v>46160</v>
      </c>
      <c r="D1204" t="s">
        <v>73</v>
      </c>
      <c r="E1204" t="s">
        <v>74</v>
      </c>
      <c r="F1204" t="s">
        <v>75</v>
      </c>
      <c r="G1204">
        <v>2.2999999999999998</v>
      </c>
      <c r="H1204" t="s">
        <v>3519</v>
      </c>
      <c r="I1204" t="s">
        <v>214</v>
      </c>
      <c r="J1204" s="1" t="s">
        <v>215</v>
      </c>
      <c r="K1204" t="s">
        <v>181</v>
      </c>
      <c r="L1204" t="s">
        <v>3340</v>
      </c>
      <c r="M1204">
        <v>58</v>
      </c>
      <c r="N1204">
        <v>0.36</v>
      </c>
      <c r="O1204" t="s">
        <v>211</v>
      </c>
      <c r="P1204">
        <v>20</v>
      </c>
      <c r="R1204" t="s">
        <v>3343</v>
      </c>
      <c r="T1204" t="s">
        <v>3337</v>
      </c>
      <c r="U1204">
        <v>30</v>
      </c>
      <c r="V1204" t="s">
        <v>3824</v>
      </c>
    </row>
    <row r="1205" spans="1:22" ht="12.75" customHeight="1" x14ac:dyDescent="0.15">
      <c r="A1205">
        <v>20</v>
      </c>
      <c r="B1205">
        <v>2026</v>
      </c>
      <c r="C1205" s="21">
        <v>46160</v>
      </c>
      <c r="D1205" t="s">
        <v>73</v>
      </c>
      <c r="E1205" t="s">
        <v>74</v>
      </c>
      <c r="F1205" t="s">
        <v>75</v>
      </c>
      <c r="G1205">
        <v>2.2999999999999998</v>
      </c>
      <c r="H1205" t="s">
        <v>3519</v>
      </c>
      <c r="I1205" t="s">
        <v>214</v>
      </c>
      <c r="J1205" s="1" t="s">
        <v>215</v>
      </c>
      <c r="K1205" t="s">
        <v>181</v>
      </c>
      <c r="L1205" t="s">
        <v>3340</v>
      </c>
      <c r="M1205">
        <v>81</v>
      </c>
      <c r="N1205">
        <v>0.36</v>
      </c>
      <c r="O1205" t="s">
        <v>211</v>
      </c>
      <c r="P1205">
        <v>20</v>
      </c>
      <c r="R1205" t="s">
        <v>3374</v>
      </c>
      <c r="T1205" t="s">
        <v>3337</v>
      </c>
      <c r="U1205">
        <v>30</v>
      </c>
      <c r="V1205" t="s">
        <v>3824</v>
      </c>
    </row>
    <row r="1206" spans="1:22" ht="12.75" customHeight="1" x14ac:dyDescent="0.15">
      <c r="A1206">
        <v>20</v>
      </c>
      <c r="B1206">
        <v>2026</v>
      </c>
      <c r="C1206" s="21">
        <v>46160</v>
      </c>
      <c r="D1206" t="s">
        <v>73</v>
      </c>
      <c r="E1206" t="s">
        <v>74</v>
      </c>
      <c r="F1206" t="s">
        <v>75</v>
      </c>
      <c r="G1206">
        <v>2.2999999999999998</v>
      </c>
      <c r="H1206" t="s">
        <v>3519</v>
      </c>
      <c r="I1206" t="s">
        <v>214</v>
      </c>
      <c r="J1206" s="1" t="s">
        <v>215</v>
      </c>
      <c r="K1206" t="s">
        <v>181</v>
      </c>
      <c r="L1206" t="s">
        <v>3340</v>
      </c>
      <c r="M1206">
        <v>132</v>
      </c>
      <c r="N1206">
        <v>0.36</v>
      </c>
      <c r="O1206" t="s">
        <v>211</v>
      </c>
      <c r="P1206">
        <v>20</v>
      </c>
      <c r="R1206" t="s">
        <v>3368</v>
      </c>
      <c r="T1206" t="s">
        <v>3337</v>
      </c>
      <c r="U1206">
        <v>30</v>
      </c>
      <c r="V1206" t="s">
        <v>3824</v>
      </c>
    </row>
    <row r="1207" spans="1:22" ht="12.75" customHeight="1" x14ac:dyDescent="0.15">
      <c r="A1207">
        <v>20</v>
      </c>
      <c r="B1207">
        <v>2026</v>
      </c>
      <c r="C1207" s="21">
        <v>46160</v>
      </c>
      <c r="D1207" t="s">
        <v>89</v>
      </c>
      <c r="E1207" t="s">
        <v>90</v>
      </c>
      <c r="F1207" t="s">
        <v>21</v>
      </c>
      <c r="G1207">
        <v>1</v>
      </c>
      <c r="H1207" t="s">
        <v>3519</v>
      </c>
      <c r="I1207" t="s">
        <v>214</v>
      </c>
      <c r="J1207" s="1" t="s">
        <v>215</v>
      </c>
      <c r="K1207" t="s">
        <v>181</v>
      </c>
      <c r="L1207" t="s">
        <v>3340</v>
      </c>
      <c r="M1207">
        <v>53</v>
      </c>
      <c r="N1207">
        <v>0.24</v>
      </c>
      <c r="O1207" t="s">
        <v>211</v>
      </c>
      <c r="P1207">
        <v>13.3</v>
      </c>
      <c r="R1207" t="s">
        <v>3373</v>
      </c>
      <c r="S1207" t="s">
        <v>3970</v>
      </c>
      <c r="T1207" t="s">
        <v>3337</v>
      </c>
      <c r="U1207">
        <v>33</v>
      </c>
      <c r="V1207" t="s">
        <v>358</v>
      </c>
    </row>
    <row r="1208" spans="1:22" ht="12.75" customHeight="1" x14ac:dyDescent="0.15">
      <c r="A1208">
        <v>20</v>
      </c>
      <c r="B1208">
        <v>2026</v>
      </c>
      <c r="C1208" s="21">
        <v>46160</v>
      </c>
      <c r="D1208" t="s">
        <v>89</v>
      </c>
      <c r="E1208" t="s">
        <v>90</v>
      </c>
      <c r="F1208" t="s">
        <v>21</v>
      </c>
      <c r="G1208">
        <v>1</v>
      </c>
      <c r="H1208" t="s">
        <v>3519</v>
      </c>
      <c r="I1208" t="s">
        <v>214</v>
      </c>
      <c r="J1208" s="1" t="s">
        <v>215</v>
      </c>
      <c r="K1208" t="s">
        <v>181</v>
      </c>
      <c r="L1208" t="s">
        <v>3340</v>
      </c>
      <c r="M1208">
        <v>45</v>
      </c>
      <c r="N1208">
        <v>0.24</v>
      </c>
      <c r="O1208" t="s">
        <v>211</v>
      </c>
      <c r="P1208">
        <v>13.3</v>
      </c>
      <c r="R1208" t="s">
        <v>3377</v>
      </c>
      <c r="T1208" t="s">
        <v>3337</v>
      </c>
      <c r="U1208">
        <v>33</v>
      </c>
      <c r="V1208" t="s">
        <v>358</v>
      </c>
    </row>
    <row r="1209" spans="1:22" ht="12.75" customHeight="1" x14ac:dyDescent="0.15">
      <c r="A1209">
        <v>20</v>
      </c>
      <c r="B1209">
        <v>2026</v>
      </c>
      <c r="C1209" s="21">
        <v>46160</v>
      </c>
      <c r="D1209" t="s">
        <v>89</v>
      </c>
      <c r="E1209" t="s">
        <v>90</v>
      </c>
      <c r="F1209" t="s">
        <v>21</v>
      </c>
      <c r="G1209">
        <v>1</v>
      </c>
      <c r="H1209" t="s">
        <v>3519</v>
      </c>
      <c r="I1209" t="s">
        <v>214</v>
      </c>
      <c r="J1209" s="1" t="s">
        <v>215</v>
      </c>
      <c r="K1209" t="s">
        <v>181</v>
      </c>
      <c r="L1209" t="s">
        <v>3340</v>
      </c>
      <c r="M1209">
        <v>62</v>
      </c>
      <c r="N1209">
        <v>0.24</v>
      </c>
      <c r="O1209" t="s">
        <v>211</v>
      </c>
      <c r="P1209">
        <v>13.3</v>
      </c>
      <c r="R1209" t="s">
        <v>3375</v>
      </c>
      <c r="T1209" t="s">
        <v>3337</v>
      </c>
      <c r="U1209">
        <v>33</v>
      </c>
      <c r="V1209" t="s">
        <v>358</v>
      </c>
    </row>
    <row r="1210" spans="1:22" ht="12.75" customHeight="1" x14ac:dyDescent="0.15">
      <c r="A1210">
        <v>20</v>
      </c>
      <c r="B1210">
        <v>2026</v>
      </c>
      <c r="C1210" s="21">
        <v>46160</v>
      </c>
      <c r="D1210" t="s">
        <v>89</v>
      </c>
      <c r="E1210" t="s">
        <v>90</v>
      </c>
      <c r="F1210" t="s">
        <v>21</v>
      </c>
      <c r="G1210">
        <v>1</v>
      </c>
      <c r="H1210" t="s">
        <v>3519</v>
      </c>
      <c r="I1210" t="s">
        <v>214</v>
      </c>
      <c r="J1210" s="1" t="s">
        <v>215</v>
      </c>
      <c r="K1210" t="s">
        <v>181</v>
      </c>
      <c r="L1210" t="s">
        <v>3340</v>
      </c>
      <c r="M1210">
        <v>58</v>
      </c>
      <c r="N1210">
        <v>0.24</v>
      </c>
      <c r="O1210" t="s">
        <v>211</v>
      </c>
      <c r="P1210">
        <v>13.3</v>
      </c>
      <c r="R1210" t="s">
        <v>3343</v>
      </c>
      <c r="T1210" t="s">
        <v>3337</v>
      </c>
      <c r="U1210">
        <v>33</v>
      </c>
      <c r="V1210" t="s">
        <v>358</v>
      </c>
    </row>
    <row r="1211" spans="1:22" ht="12.75" customHeight="1" x14ac:dyDescent="0.15">
      <c r="A1211">
        <v>20</v>
      </c>
      <c r="B1211">
        <v>2026</v>
      </c>
      <c r="C1211" s="21">
        <v>46160</v>
      </c>
      <c r="D1211" t="s">
        <v>89</v>
      </c>
      <c r="E1211" t="s">
        <v>90</v>
      </c>
      <c r="F1211" t="s">
        <v>21</v>
      </c>
      <c r="G1211">
        <v>1</v>
      </c>
      <c r="H1211" t="s">
        <v>3519</v>
      </c>
      <c r="I1211" t="s">
        <v>214</v>
      </c>
      <c r="J1211" s="1" t="s">
        <v>215</v>
      </c>
      <c r="K1211" t="s">
        <v>181</v>
      </c>
      <c r="L1211" t="s">
        <v>3340</v>
      </c>
      <c r="M1211">
        <v>81</v>
      </c>
      <c r="N1211">
        <v>0.24</v>
      </c>
      <c r="O1211" t="s">
        <v>211</v>
      </c>
      <c r="P1211">
        <v>13.3</v>
      </c>
      <c r="R1211" t="s">
        <v>3374</v>
      </c>
      <c r="T1211" t="s">
        <v>3337</v>
      </c>
      <c r="U1211">
        <v>33</v>
      </c>
      <c r="V1211" t="s">
        <v>358</v>
      </c>
    </row>
    <row r="1212" spans="1:22" ht="12.75" customHeight="1" x14ac:dyDescent="0.15">
      <c r="A1212">
        <v>20</v>
      </c>
      <c r="B1212">
        <v>2026</v>
      </c>
      <c r="C1212" s="21">
        <v>46160</v>
      </c>
      <c r="D1212" t="s">
        <v>89</v>
      </c>
      <c r="E1212" t="s">
        <v>90</v>
      </c>
      <c r="F1212" t="s">
        <v>21</v>
      </c>
      <c r="G1212">
        <v>1</v>
      </c>
      <c r="H1212" t="s">
        <v>3519</v>
      </c>
      <c r="I1212" t="s">
        <v>214</v>
      </c>
      <c r="J1212" s="1" t="s">
        <v>215</v>
      </c>
      <c r="K1212" t="s">
        <v>181</v>
      </c>
      <c r="L1212" t="s">
        <v>3340</v>
      </c>
      <c r="M1212">
        <v>132</v>
      </c>
      <c r="N1212">
        <v>0.24</v>
      </c>
      <c r="O1212" t="s">
        <v>211</v>
      </c>
      <c r="P1212">
        <v>13.3</v>
      </c>
      <c r="R1212" t="s">
        <v>3368</v>
      </c>
      <c r="T1212" t="s">
        <v>3337</v>
      </c>
      <c r="U1212">
        <v>33</v>
      </c>
      <c r="V1212" t="s">
        <v>358</v>
      </c>
    </row>
    <row r="1213" spans="1:22" ht="12.75" customHeight="1" x14ac:dyDescent="0.15">
      <c r="A1213">
        <v>20</v>
      </c>
      <c r="B1213">
        <v>2026</v>
      </c>
      <c r="C1213" s="21">
        <v>46160</v>
      </c>
      <c r="D1213" t="s">
        <v>68</v>
      </c>
      <c r="E1213" t="s">
        <v>69</v>
      </c>
      <c r="F1213" t="s">
        <v>21</v>
      </c>
      <c r="G1213">
        <v>1</v>
      </c>
      <c r="H1213" t="s">
        <v>3514</v>
      </c>
      <c r="I1213" t="s">
        <v>366</v>
      </c>
      <c r="J1213" s="1" t="s">
        <v>215</v>
      </c>
      <c r="K1213" t="s">
        <v>181</v>
      </c>
      <c r="L1213" t="s">
        <v>3340</v>
      </c>
      <c r="M1213">
        <v>53</v>
      </c>
      <c r="N1213">
        <v>0.42</v>
      </c>
      <c r="O1213" t="s">
        <v>211</v>
      </c>
      <c r="P1213">
        <v>23.3</v>
      </c>
      <c r="R1213" t="s">
        <v>3373</v>
      </c>
      <c r="S1213" t="s">
        <v>3971</v>
      </c>
      <c r="T1213" t="s">
        <v>3337</v>
      </c>
      <c r="U1213">
        <v>46</v>
      </c>
      <c r="V1213" t="s">
        <v>3972</v>
      </c>
    </row>
    <row r="1214" spans="1:22" ht="12.75" customHeight="1" x14ac:dyDescent="0.15">
      <c r="A1214">
        <v>20</v>
      </c>
      <c r="B1214">
        <v>2026</v>
      </c>
      <c r="C1214" s="21">
        <v>46160</v>
      </c>
      <c r="D1214" t="s">
        <v>68</v>
      </c>
      <c r="E1214" t="s">
        <v>69</v>
      </c>
      <c r="F1214" t="s">
        <v>21</v>
      </c>
      <c r="G1214">
        <v>1</v>
      </c>
      <c r="H1214" t="s">
        <v>3514</v>
      </c>
      <c r="I1214" t="s">
        <v>366</v>
      </c>
      <c r="J1214" s="1" t="s">
        <v>215</v>
      </c>
      <c r="K1214" t="s">
        <v>181</v>
      </c>
      <c r="L1214" t="s">
        <v>3340</v>
      </c>
      <c r="M1214">
        <v>45</v>
      </c>
      <c r="N1214">
        <v>0.42</v>
      </c>
      <c r="O1214" t="s">
        <v>211</v>
      </c>
      <c r="P1214">
        <v>23.3</v>
      </c>
      <c r="R1214" t="s">
        <v>3377</v>
      </c>
      <c r="T1214" t="s">
        <v>3337</v>
      </c>
      <c r="U1214">
        <v>46</v>
      </c>
      <c r="V1214" t="s">
        <v>3972</v>
      </c>
    </row>
    <row r="1215" spans="1:22" ht="12.75" customHeight="1" x14ac:dyDescent="0.15">
      <c r="A1215">
        <v>20</v>
      </c>
      <c r="B1215">
        <v>2026</v>
      </c>
      <c r="C1215" s="21">
        <v>46160</v>
      </c>
      <c r="D1215" t="s">
        <v>68</v>
      </c>
      <c r="E1215" t="s">
        <v>69</v>
      </c>
      <c r="F1215" t="s">
        <v>21</v>
      </c>
      <c r="G1215">
        <v>1</v>
      </c>
      <c r="H1215" t="s">
        <v>3514</v>
      </c>
      <c r="I1215" t="s">
        <v>366</v>
      </c>
      <c r="J1215" s="1" t="s">
        <v>215</v>
      </c>
      <c r="K1215" t="s">
        <v>181</v>
      </c>
      <c r="L1215" t="s">
        <v>3340</v>
      </c>
      <c r="M1215">
        <v>62</v>
      </c>
      <c r="N1215">
        <v>0.42</v>
      </c>
      <c r="O1215" t="s">
        <v>211</v>
      </c>
      <c r="P1215">
        <v>23.3</v>
      </c>
      <c r="R1215" t="s">
        <v>3375</v>
      </c>
      <c r="T1215" t="s">
        <v>3337</v>
      </c>
      <c r="U1215">
        <v>46</v>
      </c>
      <c r="V1215" t="s">
        <v>3972</v>
      </c>
    </row>
    <row r="1216" spans="1:22" ht="12.75" customHeight="1" x14ac:dyDescent="0.15">
      <c r="A1216">
        <v>20</v>
      </c>
      <c r="B1216">
        <v>2026</v>
      </c>
      <c r="C1216" s="21">
        <v>46160</v>
      </c>
      <c r="D1216" t="s">
        <v>68</v>
      </c>
      <c r="E1216" t="s">
        <v>69</v>
      </c>
      <c r="F1216" t="s">
        <v>21</v>
      </c>
      <c r="G1216">
        <v>1</v>
      </c>
      <c r="H1216" t="s">
        <v>3514</v>
      </c>
      <c r="I1216" t="s">
        <v>366</v>
      </c>
      <c r="J1216" s="1" t="s">
        <v>215</v>
      </c>
      <c r="K1216" t="s">
        <v>181</v>
      </c>
      <c r="L1216" t="s">
        <v>3340</v>
      </c>
      <c r="M1216">
        <v>58</v>
      </c>
      <c r="N1216">
        <v>0.42</v>
      </c>
      <c r="O1216" t="s">
        <v>211</v>
      </c>
      <c r="P1216">
        <v>23.3</v>
      </c>
      <c r="R1216" t="s">
        <v>3343</v>
      </c>
      <c r="T1216" t="s">
        <v>3337</v>
      </c>
      <c r="U1216">
        <v>46</v>
      </c>
      <c r="V1216" t="s">
        <v>3972</v>
      </c>
    </row>
    <row r="1217" spans="1:22" ht="12.75" customHeight="1" x14ac:dyDescent="0.15">
      <c r="A1217">
        <v>20</v>
      </c>
      <c r="B1217">
        <v>2026</v>
      </c>
      <c r="C1217" s="21">
        <v>46160</v>
      </c>
      <c r="D1217" t="s">
        <v>68</v>
      </c>
      <c r="E1217" t="s">
        <v>69</v>
      </c>
      <c r="F1217" t="s">
        <v>21</v>
      </c>
      <c r="G1217">
        <v>1</v>
      </c>
      <c r="H1217" t="s">
        <v>3514</v>
      </c>
      <c r="I1217" t="s">
        <v>366</v>
      </c>
      <c r="J1217" s="1" t="s">
        <v>215</v>
      </c>
      <c r="K1217" t="s">
        <v>181</v>
      </c>
      <c r="L1217" t="s">
        <v>3340</v>
      </c>
      <c r="M1217">
        <v>81</v>
      </c>
      <c r="N1217">
        <v>0.42</v>
      </c>
      <c r="O1217" t="s">
        <v>211</v>
      </c>
      <c r="P1217">
        <v>23.3</v>
      </c>
      <c r="R1217" t="s">
        <v>3374</v>
      </c>
      <c r="T1217" t="s">
        <v>3337</v>
      </c>
      <c r="U1217">
        <v>46</v>
      </c>
      <c r="V1217" t="s">
        <v>3972</v>
      </c>
    </row>
    <row r="1218" spans="1:22" ht="12.75" customHeight="1" x14ac:dyDescent="0.15">
      <c r="A1218">
        <v>20</v>
      </c>
      <c r="B1218">
        <v>2026</v>
      </c>
      <c r="C1218" s="21">
        <v>46160</v>
      </c>
      <c r="D1218" t="s">
        <v>68</v>
      </c>
      <c r="E1218" t="s">
        <v>69</v>
      </c>
      <c r="F1218" t="s">
        <v>21</v>
      </c>
      <c r="G1218">
        <v>1</v>
      </c>
      <c r="H1218" t="s">
        <v>3514</v>
      </c>
      <c r="I1218" t="s">
        <v>366</v>
      </c>
      <c r="J1218" s="1" t="s">
        <v>215</v>
      </c>
      <c r="K1218" t="s">
        <v>181</v>
      </c>
      <c r="L1218" t="s">
        <v>3340</v>
      </c>
      <c r="M1218">
        <v>132</v>
      </c>
      <c r="N1218">
        <v>0.42</v>
      </c>
      <c r="O1218" t="s">
        <v>211</v>
      </c>
      <c r="P1218">
        <v>23.3</v>
      </c>
      <c r="R1218" t="s">
        <v>3368</v>
      </c>
      <c r="T1218" t="s">
        <v>3337</v>
      </c>
      <c r="U1218">
        <v>46</v>
      </c>
      <c r="V1218" t="s">
        <v>3972</v>
      </c>
    </row>
    <row r="1219" spans="1:22" ht="12.75" customHeight="1" x14ac:dyDescent="0.15">
      <c r="A1219">
        <v>20</v>
      </c>
      <c r="B1219">
        <v>2026</v>
      </c>
      <c r="C1219" s="21">
        <v>46160</v>
      </c>
      <c r="D1219" t="s">
        <v>73</v>
      </c>
      <c r="E1219" t="s">
        <v>74</v>
      </c>
      <c r="F1219" t="s">
        <v>75</v>
      </c>
      <c r="G1219">
        <v>2.2999999999999998</v>
      </c>
      <c r="H1219" t="s">
        <v>3953</v>
      </c>
      <c r="I1219" t="s">
        <v>3954</v>
      </c>
      <c r="J1219" s="1" t="s">
        <v>253</v>
      </c>
      <c r="K1219" t="s">
        <v>181</v>
      </c>
      <c r="L1219" t="s">
        <v>3333</v>
      </c>
      <c r="M1219">
        <v>1</v>
      </c>
      <c r="N1219">
        <v>0.88</v>
      </c>
      <c r="O1219" t="s">
        <v>3358</v>
      </c>
      <c r="P1219">
        <v>62.88</v>
      </c>
      <c r="Q1219">
        <v>7</v>
      </c>
      <c r="R1219" t="s">
        <v>3359</v>
      </c>
      <c r="T1219" t="s">
        <v>3337</v>
      </c>
      <c r="U1219">
        <v>30</v>
      </c>
      <c r="V1219" t="s">
        <v>3973</v>
      </c>
    </row>
    <row r="1220" spans="1:22" ht="12.75" customHeight="1" x14ac:dyDescent="0.15">
      <c r="A1220">
        <v>20</v>
      </c>
      <c r="B1220">
        <v>2026</v>
      </c>
      <c r="C1220" s="21">
        <v>46160</v>
      </c>
      <c r="D1220" t="s">
        <v>73</v>
      </c>
      <c r="E1220" t="s">
        <v>74</v>
      </c>
      <c r="F1220" t="s">
        <v>75</v>
      </c>
      <c r="G1220">
        <v>2.2999999999999998</v>
      </c>
      <c r="H1220" t="s">
        <v>3953</v>
      </c>
      <c r="I1220" t="s">
        <v>3954</v>
      </c>
      <c r="J1220" s="1" t="s">
        <v>253</v>
      </c>
      <c r="K1220" t="s">
        <v>181</v>
      </c>
      <c r="L1220" t="s">
        <v>3333</v>
      </c>
      <c r="M1220">
        <v>6</v>
      </c>
      <c r="N1220">
        <v>0.5</v>
      </c>
      <c r="O1220" t="s">
        <v>3334</v>
      </c>
      <c r="P1220">
        <v>40.79</v>
      </c>
      <c r="Q1220">
        <v>4</v>
      </c>
      <c r="R1220" t="s">
        <v>3335</v>
      </c>
      <c r="T1220" t="s">
        <v>3337</v>
      </c>
      <c r="U1220">
        <v>30</v>
      </c>
      <c r="V1220" t="s">
        <v>3871</v>
      </c>
    </row>
    <row r="1221" spans="1:22" ht="12.75" customHeight="1" x14ac:dyDescent="0.15">
      <c r="A1221">
        <v>20</v>
      </c>
      <c r="B1221">
        <v>2026</v>
      </c>
      <c r="C1221" s="21">
        <v>46160</v>
      </c>
      <c r="D1221" t="s">
        <v>107</v>
      </c>
      <c r="E1221" t="s">
        <v>108</v>
      </c>
      <c r="F1221" t="s">
        <v>21</v>
      </c>
      <c r="G1221">
        <v>4.5</v>
      </c>
      <c r="H1221" t="s">
        <v>3346</v>
      </c>
      <c r="I1221" t="s">
        <v>212</v>
      </c>
      <c r="J1221" s="1" t="s">
        <v>188</v>
      </c>
      <c r="K1221" t="s">
        <v>181</v>
      </c>
      <c r="L1221" t="s">
        <v>3333</v>
      </c>
      <c r="M1221">
        <v>6</v>
      </c>
      <c r="N1221">
        <v>0.38</v>
      </c>
      <c r="O1221" t="s">
        <v>3334</v>
      </c>
      <c r="P1221">
        <v>30.59</v>
      </c>
      <c r="Q1221">
        <v>3</v>
      </c>
      <c r="R1221" t="s">
        <v>3335</v>
      </c>
      <c r="T1221" t="s">
        <v>3337</v>
      </c>
      <c r="U1221">
        <v>3</v>
      </c>
      <c r="V1221" t="s">
        <v>3816</v>
      </c>
    </row>
    <row r="1222" spans="1:22" ht="12.75" customHeight="1" x14ac:dyDescent="0.15">
      <c r="A1222">
        <v>20</v>
      </c>
      <c r="B1222">
        <v>2026</v>
      </c>
      <c r="C1222" s="21">
        <v>46160</v>
      </c>
      <c r="D1222" t="s">
        <v>107</v>
      </c>
      <c r="E1222" t="s">
        <v>108</v>
      </c>
      <c r="F1222" t="s">
        <v>21</v>
      </c>
      <c r="G1222">
        <v>4.5</v>
      </c>
      <c r="H1222" t="s">
        <v>3346</v>
      </c>
      <c r="I1222" t="s">
        <v>212</v>
      </c>
      <c r="J1222" s="1" t="s">
        <v>188</v>
      </c>
      <c r="K1222" t="s">
        <v>181</v>
      </c>
      <c r="L1222" t="s">
        <v>3340</v>
      </c>
      <c r="M1222">
        <v>6</v>
      </c>
      <c r="N1222">
        <v>5.93</v>
      </c>
      <c r="O1222" t="s">
        <v>211</v>
      </c>
      <c r="P1222">
        <v>326</v>
      </c>
      <c r="R1222" t="s">
        <v>3335</v>
      </c>
      <c r="S1222" t="s">
        <v>3974</v>
      </c>
      <c r="T1222" t="s">
        <v>3337</v>
      </c>
      <c r="U1222">
        <v>3</v>
      </c>
      <c r="V1222" t="s">
        <v>3975</v>
      </c>
    </row>
    <row r="1223" spans="1:22" ht="12.75" customHeight="1" x14ac:dyDescent="0.15">
      <c r="A1223">
        <v>20</v>
      </c>
      <c r="B1223">
        <v>2026</v>
      </c>
      <c r="C1223" s="21">
        <v>46160</v>
      </c>
      <c r="D1223" t="s">
        <v>89</v>
      </c>
      <c r="E1223" t="s">
        <v>90</v>
      </c>
      <c r="F1223" t="s">
        <v>21</v>
      </c>
      <c r="G1223">
        <v>1</v>
      </c>
      <c r="H1223" t="s">
        <v>3391</v>
      </c>
      <c r="I1223" t="s">
        <v>353</v>
      </c>
      <c r="J1223" s="1" t="s">
        <v>253</v>
      </c>
      <c r="K1223" t="s">
        <v>181</v>
      </c>
      <c r="L1223" t="s">
        <v>3333</v>
      </c>
      <c r="M1223">
        <v>2</v>
      </c>
      <c r="N1223">
        <v>0.5</v>
      </c>
      <c r="O1223" t="s">
        <v>3440</v>
      </c>
      <c r="P1223">
        <v>45.25</v>
      </c>
      <c r="Q1223">
        <v>4</v>
      </c>
      <c r="R1223" t="s">
        <v>3424</v>
      </c>
      <c r="T1223" t="s">
        <v>3337</v>
      </c>
      <c r="U1223">
        <v>33</v>
      </c>
      <c r="V1223" t="s">
        <v>3976</v>
      </c>
    </row>
    <row r="1224" spans="1:22" ht="12.75" customHeight="1" x14ac:dyDescent="0.15">
      <c r="A1224">
        <v>20</v>
      </c>
      <c r="B1224">
        <v>2026</v>
      </c>
      <c r="C1224" s="21">
        <v>46160</v>
      </c>
      <c r="D1224" t="s">
        <v>39</v>
      </c>
      <c r="E1224" t="s">
        <v>40</v>
      </c>
      <c r="F1224" t="s">
        <v>21</v>
      </c>
      <c r="G1224">
        <v>1.91</v>
      </c>
      <c r="H1224" t="s">
        <v>3391</v>
      </c>
      <c r="I1224" t="s">
        <v>353</v>
      </c>
      <c r="J1224" s="1" t="s">
        <v>253</v>
      </c>
      <c r="K1224" t="s">
        <v>181</v>
      </c>
      <c r="L1224" t="s">
        <v>3333</v>
      </c>
      <c r="M1224">
        <v>2</v>
      </c>
      <c r="N1224">
        <v>0.13</v>
      </c>
      <c r="O1224" t="s">
        <v>3440</v>
      </c>
      <c r="P1224">
        <v>11.31</v>
      </c>
      <c r="Q1224">
        <v>1</v>
      </c>
      <c r="R1224" t="s">
        <v>3424</v>
      </c>
      <c r="T1224" t="s">
        <v>3337</v>
      </c>
      <c r="U1224">
        <v>123</v>
      </c>
      <c r="V1224" t="s">
        <v>3348</v>
      </c>
    </row>
    <row r="1225" spans="1:22" ht="12.75" customHeight="1" x14ac:dyDescent="0.15">
      <c r="A1225">
        <v>20</v>
      </c>
      <c r="B1225">
        <v>2026</v>
      </c>
      <c r="C1225" s="21">
        <v>46160</v>
      </c>
      <c r="D1225" t="s">
        <v>73</v>
      </c>
      <c r="E1225" t="s">
        <v>74</v>
      </c>
      <c r="F1225" t="s">
        <v>75</v>
      </c>
      <c r="G1225">
        <v>2.2999999999999998</v>
      </c>
      <c r="H1225" t="s">
        <v>3486</v>
      </c>
      <c r="I1225" t="s">
        <v>3487</v>
      </c>
      <c r="J1225" s="1" t="s">
        <v>215</v>
      </c>
      <c r="K1225" t="s">
        <v>181</v>
      </c>
      <c r="L1225" t="s">
        <v>3333</v>
      </c>
      <c r="M1225">
        <v>2</v>
      </c>
      <c r="N1225">
        <v>0.06</v>
      </c>
      <c r="O1225" t="s">
        <v>3440</v>
      </c>
      <c r="P1225">
        <v>5.66</v>
      </c>
      <c r="Q1225">
        <v>0.5</v>
      </c>
      <c r="R1225" t="s">
        <v>3424</v>
      </c>
      <c r="T1225" t="s">
        <v>3337</v>
      </c>
      <c r="U1225">
        <v>30</v>
      </c>
      <c r="V1225" t="s">
        <v>3977</v>
      </c>
    </row>
    <row r="1226" spans="1:22" ht="12.75" customHeight="1" x14ac:dyDescent="0.15">
      <c r="A1226">
        <v>20</v>
      </c>
      <c r="B1226">
        <v>2026</v>
      </c>
      <c r="C1226" s="21">
        <v>46160</v>
      </c>
      <c r="D1226" t="s">
        <v>89</v>
      </c>
      <c r="E1226" t="s">
        <v>90</v>
      </c>
      <c r="F1226" t="s">
        <v>21</v>
      </c>
      <c r="G1226">
        <v>1</v>
      </c>
      <c r="H1226" t="s">
        <v>3486</v>
      </c>
      <c r="I1226" t="s">
        <v>3487</v>
      </c>
      <c r="J1226" s="1" t="s">
        <v>215</v>
      </c>
      <c r="K1226" t="s">
        <v>181</v>
      </c>
      <c r="L1226" t="s">
        <v>3333</v>
      </c>
      <c r="M1226">
        <v>2</v>
      </c>
      <c r="N1226">
        <v>0.19</v>
      </c>
      <c r="O1226" t="s">
        <v>3440</v>
      </c>
      <c r="P1226">
        <v>16.97</v>
      </c>
      <c r="Q1226">
        <v>1.5</v>
      </c>
      <c r="R1226" t="s">
        <v>3424</v>
      </c>
      <c r="T1226" t="s">
        <v>3337</v>
      </c>
      <c r="U1226">
        <v>33</v>
      </c>
      <c r="V1226" t="s">
        <v>3629</v>
      </c>
    </row>
    <row r="1227" spans="1:22" ht="12.75" customHeight="1" x14ac:dyDescent="0.15">
      <c r="A1227">
        <v>20</v>
      </c>
      <c r="B1227">
        <v>2026</v>
      </c>
      <c r="C1227" s="21">
        <v>46160</v>
      </c>
      <c r="D1227" t="s">
        <v>68</v>
      </c>
      <c r="E1227" t="s">
        <v>69</v>
      </c>
      <c r="F1227" t="s">
        <v>21</v>
      </c>
      <c r="G1227">
        <v>1</v>
      </c>
      <c r="H1227" t="s">
        <v>3486</v>
      </c>
      <c r="I1227" t="s">
        <v>3487</v>
      </c>
      <c r="J1227" s="1" t="s">
        <v>215</v>
      </c>
      <c r="K1227" t="s">
        <v>181</v>
      </c>
      <c r="L1227" t="s">
        <v>3333</v>
      </c>
      <c r="M1227">
        <v>2</v>
      </c>
      <c r="N1227">
        <v>0.13</v>
      </c>
      <c r="O1227" t="s">
        <v>3440</v>
      </c>
      <c r="P1227">
        <v>11.31</v>
      </c>
      <c r="Q1227">
        <v>1</v>
      </c>
      <c r="R1227" t="s">
        <v>3424</v>
      </c>
      <c r="T1227" t="s">
        <v>3337</v>
      </c>
      <c r="U1227">
        <v>46</v>
      </c>
      <c r="V1227" t="s">
        <v>3775</v>
      </c>
    </row>
    <row r="1228" spans="1:22" ht="12.75" customHeight="1" x14ac:dyDescent="0.15">
      <c r="A1228">
        <v>20</v>
      </c>
      <c r="B1228">
        <v>2026</v>
      </c>
      <c r="C1228" s="21">
        <v>46160</v>
      </c>
      <c r="D1228" t="s">
        <v>68</v>
      </c>
      <c r="E1228" t="s">
        <v>69</v>
      </c>
      <c r="F1228" t="s">
        <v>21</v>
      </c>
      <c r="G1228">
        <v>1</v>
      </c>
      <c r="H1228" t="s">
        <v>3486</v>
      </c>
      <c r="I1228" t="s">
        <v>3487</v>
      </c>
      <c r="J1228" s="1" t="s">
        <v>215</v>
      </c>
      <c r="K1228" t="s">
        <v>181</v>
      </c>
      <c r="L1228" t="s">
        <v>3340</v>
      </c>
      <c r="M1228">
        <v>2</v>
      </c>
      <c r="N1228">
        <v>0.08</v>
      </c>
      <c r="O1228" t="s">
        <v>211</v>
      </c>
      <c r="P1228">
        <v>4.5</v>
      </c>
      <c r="Q1228">
        <v>0.5</v>
      </c>
      <c r="R1228" t="s">
        <v>3424</v>
      </c>
      <c r="T1228" t="s">
        <v>3337</v>
      </c>
      <c r="U1228">
        <v>46</v>
      </c>
      <c r="V1228" t="s">
        <v>3464</v>
      </c>
    </row>
    <row r="1229" spans="1:22" ht="12.75" customHeight="1" x14ac:dyDescent="0.15">
      <c r="A1229">
        <v>20</v>
      </c>
      <c r="B1229">
        <v>2026</v>
      </c>
      <c r="C1229" s="21">
        <v>46160</v>
      </c>
      <c r="D1229" t="s">
        <v>137</v>
      </c>
      <c r="E1229" t="s">
        <v>138</v>
      </c>
      <c r="F1229" t="s">
        <v>21</v>
      </c>
      <c r="G1229">
        <v>1</v>
      </c>
      <c r="H1229" t="s">
        <v>3868</v>
      </c>
      <c r="I1229" t="s">
        <v>3869</v>
      </c>
      <c r="J1229" s="1" t="s">
        <v>3696</v>
      </c>
      <c r="K1229" t="s">
        <v>181</v>
      </c>
      <c r="L1229" t="s">
        <v>3333</v>
      </c>
      <c r="M1229">
        <v>3</v>
      </c>
      <c r="N1229">
        <v>0.88</v>
      </c>
      <c r="O1229" t="s">
        <v>3334</v>
      </c>
      <c r="P1229">
        <v>71.38</v>
      </c>
      <c r="Q1229">
        <v>7</v>
      </c>
      <c r="R1229" t="s">
        <v>3478</v>
      </c>
      <c r="T1229" t="s">
        <v>3402</v>
      </c>
      <c r="U1229">
        <v>-46</v>
      </c>
      <c r="V1229" t="s">
        <v>3925</v>
      </c>
    </row>
    <row r="1230" spans="1:22" ht="12.75" customHeight="1" x14ac:dyDescent="0.15">
      <c r="A1230">
        <v>20</v>
      </c>
      <c r="B1230">
        <v>2026</v>
      </c>
      <c r="C1230" s="21">
        <v>46160</v>
      </c>
      <c r="D1230" t="s">
        <v>137</v>
      </c>
      <c r="E1230" t="s">
        <v>138</v>
      </c>
      <c r="F1230" t="s">
        <v>21</v>
      </c>
      <c r="G1230">
        <v>1</v>
      </c>
      <c r="H1230" t="s">
        <v>3868</v>
      </c>
      <c r="I1230" t="s">
        <v>3869</v>
      </c>
      <c r="J1230" s="1" t="s">
        <v>3696</v>
      </c>
      <c r="K1230" t="s">
        <v>181</v>
      </c>
      <c r="L1230" t="s">
        <v>3333</v>
      </c>
      <c r="M1230">
        <v>4</v>
      </c>
      <c r="N1230">
        <v>0.88</v>
      </c>
      <c r="O1230" t="s">
        <v>3334</v>
      </c>
      <c r="P1230">
        <v>71.38</v>
      </c>
      <c r="Q1230">
        <v>7</v>
      </c>
      <c r="R1230" t="s">
        <v>3773</v>
      </c>
      <c r="T1230" t="s">
        <v>3402</v>
      </c>
      <c r="U1230">
        <v>-46</v>
      </c>
      <c r="V1230" t="s">
        <v>3925</v>
      </c>
    </row>
    <row r="1231" spans="1:22" ht="12.75" customHeight="1" x14ac:dyDescent="0.15">
      <c r="A1231">
        <v>20</v>
      </c>
      <c r="B1231">
        <v>2026</v>
      </c>
      <c r="C1231" s="21">
        <v>46160</v>
      </c>
      <c r="D1231" t="s">
        <v>89</v>
      </c>
      <c r="E1231" t="s">
        <v>90</v>
      </c>
      <c r="F1231" t="s">
        <v>21</v>
      </c>
      <c r="G1231">
        <v>1</v>
      </c>
      <c r="H1231" t="s">
        <v>3391</v>
      </c>
      <c r="I1231" t="s">
        <v>353</v>
      </c>
      <c r="J1231" s="1" t="s">
        <v>253</v>
      </c>
      <c r="K1231" t="s">
        <v>181</v>
      </c>
      <c r="L1231" t="s">
        <v>3333</v>
      </c>
      <c r="M1231">
        <v>67</v>
      </c>
      <c r="N1231">
        <v>0.5</v>
      </c>
      <c r="O1231" t="s">
        <v>3334</v>
      </c>
      <c r="P1231">
        <v>40.79</v>
      </c>
      <c r="Q1231">
        <v>4</v>
      </c>
      <c r="R1231" t="s">
        <v>3404</v>
      </c>
      <c r="T1231" t="s">
        <v>3402</v>
      </c>
      <c r="U1231">
        <v>33</v>
      </c>
      <c r="V1231" t="s">
        <v>3456</v>
      </c>
    </row>
    <row r="1232" spans="1:22" ht="12.75" customHeight="1" x14ac:dyDescent="0.15">
      <c r="A1232">
        <v>20</v>
      </c>
      <c r="B1232">
        <v>2026</v>
      </c>
      <c r="C1232" s="21">
        <v>46160</v>
      </c>
      <c r="D1232" t="s">
        <v>89</v>
      </c>
      <c r="E1232" t="s">
        <v>90</v>
      </c>
      <c r="F1232" t="s">
        <v>21</v>
      </c>
      <c r="G1232">
        <v>1</v>
      </c>
      <c r="H1232" t="s">
        <v>3391</v>
      </c>
      <c r="I1232" t="s">
        <v>353</v>
      </c>
      <c r="J1232" s="1" t="s">
        <v>253</v>
      </c>
      <c r="K1232" t="s">
        <v>181</v>
      </c>
      <c r="L1232" t="s">
        <v>3333</v>
      </c>
      <c r="M1232">
        <v>19</v>
      </c>
      <c r="N1232">
        <v>0.5</v>
      </c>
      <c r="O1232" t="s">
        <v>3334</v>
      </c>
      <c r="P1232">
        <v>40.79</v>
      </c>
      <c r="Q1232">
        <v>4</v>
      </c>
      <c r="R1232" t="s">
        <v>3403</v>
      </c>
      <c r="T1232" t="s">
        <v>3402</v>
      </c>
      <c r="U1232">
        <v>33</v>
      </c>
      <c r="V1232" t="s">
        <v>3456</v>
      </c>
    </row>
    <row r="1233" spans="1:22" ht="12.75" customHeight="1" x14ac:dyDescent="0.15">
      <c r="A1233">
        <v>20</v>
      </c>
      <c r="B1233">
        <v>2026</v>
      </c>
      <c r="C1233" s="21">
        <v>46160</v>
      </c>
      <c r="D1233" t="s">
        <v>89</v>
      </c>
      <c r="E1233" t="s">
        <v>90</v>
      </c>
      <c r="F1233" t="s">
        <v>21</v>
      </c>
      <c r="G1233">
        <v>1</v>
      </c>
      <c r="H1233" t="s">
        <v>3391</v>
      </c>
      <c r="I1233" t="s">
        <v>353</v>
      </c>
      <c r="J1233" s="1" t="s">
        <v>253</v>
      </c>
      <c r="K1233" t="s">
        <v>181</v>
      </c>
      <c r="L1233" t="s">
        <v>3340</v>
      </c>
      <c r="M1233">
        <v>78</v>
      </c>
      <c r="N1233">
        <v>0.65</v>
      </c>
      <c r="O1233" t="s">
        <v>211</v>
      </c>
      <c r="P1233">
        <v>36</v>
      </c>
      <c r="Q1233">
        <v>4</v>
      </c>
      <c r="R1233" t="s">
        <v>3341</v>
      </c>
      <c r="T1233" t="s">
        <v>3402</v>
      </c>
      <c r="U1233">
        <v>33</v>
      </c>
      <c r="V1233" t="s">
        <v>3507</v>
      </c>
    </row>
    <row r="1234" spans="1:22" ht="12.75" customHeight="1" x14ac:dyDescent="0.15">
      <c r="A1234">
        <v>20</v>
      </c>
      <c r="B1234">
        <v>2026</v>
      </c>
      <c r="C1234" s="21">
        <v>46160</v>
      </c>
      <c r="D1234" t="s">
        <v>39</v>
      </c>
      <c r="E1234" t="s">
        <v>40</v>
      </c>
      <c r="F1234" t="s">
        <v>21</v>
      </c>
      <c r="G1234">
        <v>1.91</v>
      </c>
      <c r="H1234" t="s">
        <v>3391</v>
      </c>
      <c r="I1234" t="s">
        <v>353</v>
      </c>
      <c r="J1234" s="1" t="s">
        <v>253</v>
      </c>
      <c r="K1234" t="s">
        <v>181</v>
      </c>
      <c r="L1234" t="s">
        <v>3333</v>
      </c>
      <c r="M1234">
        <v>67</v>
      </c>
      <c r="N1234">
        <v>0.5</v>
      </c>
      <c r="O1234" t="s">
        <v>3334</v>
      </c>
      <c r="P1234">
        <v>40.79</v>
      </c>
      <c r="Q1234">
        <v>4</v>
      </c>
      <c r="R1234" t="s">
        <v>3404</v>
      </c>
      <c r="T1234" t="s">
        <v>3402</v>
      </c>
      <c r="U1234">
        <v>123</v>
      </c>
      <c r="V1234" t="s">
        <v>3510</v>
      </c>
    </row>
    <row r="1235" spans="1:22" ht="12.75" customHeight="1" x14ac:dyDescent="0.15">
      <c r="A1235">
        <v>20</v>
      </c>
      <c r="B1235">
        <v>2026</v>
      </c>
      <c r="C1235" s="21">
        <v>46160</v>
      </c>
      <c r="D1235" t="s">
        <v>39</v>
      </c>
      <c r="E1235" t="s">
        <v>40</v>
      </c>
      <c r="F1235" t="s">
        <v>21</v>
      </c>
      <c r="G1235">
        <v>1.91</v>
      </c>
      <c r="H1235" t="s">
        <v>3391</v>
      </c>
      <c r="I1235" t="s">
        <v>353</v>
      </c>
      <c r="J1235" s="1" t="s">
        <v>253</v>
      </c>
      <c r="K1235" t="s">
        <v>181</v>
      </c>
      <c r="L1235" t="s">
        <v>3333</v>
      </c>
      <c r="M1235">
        <v>19</v>
      </c>
      <c r="N1235">
        <v>0.5</v>
      </c>
      <c r="O1235" t="s">
        <v>3334</v>
      </c>
      <c r="P1235">
        <v>40.79</v>
      </c>
      <c r="Q1235">
        <v>4</v>
      </c>
      <c r="R1235" t="s">
        <v>3403</v>
      </c>
      <c r="T1235" t="s">
        <v>3402</v>
      </c>
      <c r="U1235">
        <v>123</v>
      </c>
      <c r="V1235" t="s">
        <v>3510</v>
      </c>
    </row>
    <row r="1236" spans="1:22" ht="12.75" customHeight="1" x14ac:dyDescent="0.15">
      <c r="A1236">
        <v>20</v>
      </c>
      <c r="B1236">
        <v>2026</v>
      </c>
      <c r="C1236" s="21">
        <v>46160</v>
      </c>
      <c r="D1236" t="s">
        <v>39</v>
      </c>
      <c r="E1236" t="s">
        <v>40</v>
      </c>
      <c r="F1236" t="s">
        <v>21</v>
      </c>
      <c r="G1236">
        <v>1.91</v>
      </c>
      <c r="H1236" t="s">
        <v>3391</v>
      </c>
      <c r="I1236" t="s">
        <v>353</v>
      </c>
      <c r="J1236" s="1" t="s">
        <v>253</v>
      </c>
      <c r="K1236" t="s">
        <v>181</v>
      </c>
      <c r="L1236" t="s">
        <v>3340</v>
      </c>
      <c r="M1236">
        <v>78</v>
      </c>
      <c r="N1236">
        <v>0.65</v>
      </c>
      <c r="O1236" t="s">
        <v>211</v>
      </c>
      <c r="P1236">
        <v>36</v>
      </c>
      <c r="Q1236">
        <v>4</v>
      </c>
      <c r="R1236" t="s">
        <v>3341</v>
      </c>
      <c r="T1236" t="s">
        <v>3402</v>
      </c>
      <c r="U1236">
        <v>123</v>
      </c>
      <c r="V1236" t="s">
        <v>3978</v>
      </c>
    </row>
    <row r="1237" spans="1:22" ht="12.75" customHeight="1" x14ac:dyDescent="0.15">
      <c r="A1237">
        <v>20</v>
      </c>
      <c r="B1237">
        <v>2026</v>
      </c>
      <c r="C1237" s="21">
        <v>46160</v>
      </c>
      <c r="D1237" t="s">
        <v>137</v>
      </c>
      <c r="E1237" t="s">
        <v>138</v>
      </c>
      <c r="F1237" t="s">
        <v>21</v>
      </c>
      <c r="G1237">
        <v>1</v>
      </c>
      <c r="H1237" t="s">
        <v>3868</v>
      </c>
      <c r="I1237" t="s">
        <v>3869</v>
      </c>
      <c r="J1237" s="1" t="s">
        <v>3696</v>
      </c>
      <c r="K1237" t="s">
        <v>181</v>
      </c>
      <c r="L1237" t="s">
        <v>3333</v>
      </c>
      <c r="M1237">
        <v>86</v>
      </c>
      <c r="N1237">
        <v>0.88</v>
      </c>
      <c r="O1237" t="s">
        <v>3334</v>
      </c>
      <c r="P1237">
        <v>71.38</v>
      </c>
      <c r="Q1237">
        <v>7</v>
      </c>
      <c r="R1237" t="s">
        <v>3386</v>
      </c>
      <c r="T1237" t="s">
        <v>3402</v>
      </c>
      <c r="U1237">
        <v>-46</v>
      </c>
      <c r="V1237" t="s">
        <v>3925</v>
      </c>
    </row>
    <row r="1238" spans="1:22" ht="12.75" customHeight="1" x14ac:dyDescent="0.15">
      <c r="A1238">
        <v>20</v>
      </c>
      <c r="B1238">
        <v>2026</v>
      </c>
      <c r="C1238" s="21">
        <v>46160</v>
      </c>
      <c r="D1238" t="s">
        <v>101</v>
      </c>
      <c r="E1238" t="s">
        <v>102</v>
      </c>
      <c r="F1238" t="s">
        <v>75</v>
      </c>
      <c r="G1238">
        <v>7.6</v>
      </c>
      <c r="H1238" t="s">
        <v>3585</v>
      </c>
      <c r="I1238" t="s">
        <v>346</v>
      </c>
      <c r="J1238" s="1" t="s">
        <v>3389</v>
      </c>
      <c r="K1238" t="s">
        <v>181</v>
      </c>
      <c r="L1238" t="s">
        <v>3340</v>
      </c>
      <c r="M1238">
        <v>86</v>
      </c>
      <c r="N1238">
        <v>0.41</v>
      </c>
      <c r="O1238" t="s">
        <v>211</v>
      </c>
      <c r="P1238">
        <v>22.5</v>
      </c>
      <c r="Q1238">
        <v>1.5</v>
      </c>
      <c r="R1238" t="s">
        <v>3386</v>
      </c>
      <c r="T1238" t="s">
        <v>3402</v>
      </c>
      <c r="U1238">
        <v>20</v>
      </c>
      <c r="V1238" t="s">
        <v>3979</v>
      </c>
    </row>
    <row r="1239" spans="1:22" ht="12.75" customHeight="1" x14ac:dyDescent="0.15">
      <c r="A1239">
        <v>20</v>
      </c>
      <c r="B1239">
        <v>2026</v>
      </c>
      <c r="C1239" s="21">
        <v>46160</v>
      </c>
      <c r="D1239" t="s">
        <v>101</v>
      </c>
      <c r="E1239" t="s">
        <v>102</v>
      </c>
      <c r="F1239" t="s">
        <v>75</v>
      </c>
      <c r="G1239">
        <v>7.6</v>
      </c>
      <c r="H1239" t="s">
        <v>3653</v>
      </c>
      <c r="I1239" t="s">
        <v>3566</v>
      </c>
      <c r="J1239" s="1" t="s">
        <v>3389</v>
      </c>
      <c r="K1239" t="s">
        <v>181</v>
      </c>
      <c r="L1239" t="s">
        <v>3333</v>
      </c>
      <c r="M1239">
        <v>11</v>
      </c>
      <c r="N1239">
        <v>0.34</v>
      </c>
      <c r="O1239" t="s">
        <v>213</v>
      </c>
      <c r="P1239">
        <v>30.6</v>
      </c>
      <c r="Q1239">
        <v>3</v>
      </c>
      <c r="R1239" t="s">
        <v>3564</v>
      </c>
      <c r="T1239" t="s">
        <v>3402</v>
      </c>
      <c r="U1239">
        <v>20</v>
      </c>
      <c r="V1239" t="s">
        <v>3420</v>
      </c>
    </row>
    <row r="1240" spans="1:22" ht="12.75" customHeight="1" x14ac:dyDescent="0.15">
      <c r="A1240">
        <v>20</v>
      </c>
      <c r="B1240">
        <v>2026</v>
      </c>
      <c r="C1240" s="21">
        <v>46160</v>
      </c>
      <c r="D1240" t="s">
        <v>101</v>
      </c>
      <c r="E1240" t="s">
        <v>102</v>
      </c>
      <c r="F1240" t="s">
        <v>75</v>
      </c>
      <c r="G1240">
        <v>7.6</v>
      </c>
      <c r="H1240" t="s">
        <v>3878</v>
      </c>
      <c r="I1240" t="s">
        <v>3566</v>
      </c>
      <c r="J1240" s="1" t="s">
        <v>3389</v>
      </c>
      <c r="K1240" t="s">
        <v>2666</v>
      </c>
      <c r="L1240" t="s">
        <v>3587</v>
      </c>
      <c r="P1240">
        <v>24.6</v>
      </c>
      <c r="Q1240">
        <v>3</v>
      </c>
      <c r="T1240" t="s">
        <v>3402</v>
      </c>
      <c r="U1240">
        <v>20</v>
      </c>
      <c r="V1240" t="s">
        <v>3555</v>
      </c>
    </row>
    <row r="1241" spans="1:22" ht="12.75" customHeight="1" x14ac:dyDescent="0.15">
      <c r="A1241">
        <v>20</v>
      </c>
      <c r="B1241">
        <v>2026</v>
      </c>
      <c r="C1241" s="21">
        <v>46160</v>
      </c>
      <c r="D1241" t="s">
        <v>101</v>
      </c>
      <c r="E1241" t="s">
        <v>102</v>
      </c>
      <c r="F1241" t="s">
        <v>75</v>
      </c>
      <c r="G1241">
        <v>7.6</v>
      </c>
      <c r="H1241" t="s">
        <v>3653</v>
      </c>
      <c r="I1241" t="s">
        <v>3566</v>
      </c>
      <c r="J1241" s="1" t="s">
        <v>3389</v>
      </c>
      <c r="K1241" t="s">
        <v>181</v>
      </c>
      <c r="L1241" t="s">
        <v>3333</v>
      </c>
      <c r="M1241">
        <v>80</v>
      </c>
      <c r="N1241">
        <v>0.34</v>
      </c>
      <c r="O1241" t="s">
        <v>213</v>
      </c>
      <c r="P1241">
        <v>30.6</v>
      </c>
      <c r="Q1241">
        <v>3</v>
      </c>
      <c r="R1241" t="s">
        <v>3560</v>
      </c>
      <c r="T1241" t="s">
        <v>3402</v>
      </c>
      <c r="U1241">
        <v>20</v>
      </c>
      <c r="V1241" t="s">
        <v>3420</v>
      </c>
    </row>
    <row r="1242" spans="1:22" ht="12.75" customHeight="1" x14ac:dyDescent="0.15">
      <c r="A1242">
        <v>20</v>
      </c>
      <c r="B1242">
        <v>2026</v>
      </c>
      <c r="C1242" s="21">
        <v>46160</v>
      </c>
      <c r="D1242" t="s">
        <v>107</v>
      </c>
      <c r="E1242" t="s">
        <v>108</v>
      </c>
      <c r="F1242" t="s">
        <v>21</v>
      </c>
      <c r="G1242">
        <v>4.5</v>
      </c>
      <c r="H1242" t="s">
        <v>3809</v>
      </c>
      <c r="I1242" t="s">
        <v>3810</v>
      </c>
      <c r="J1242" s="1" t="s">
        <v>30</v>
      </c>
      <c r="K1242" t="s">
        <v>181</v>
      </c>
      <c r="L1242" t="s">
        <v>3587</v>
      </c>
      <c r="N1242">
        <v>1.1399999999999999</v>
      </c>
      <c r="O1242" t="s">
        <v>3838</v>
      </c>
      <c r="P1242">
        <v>24.37</v>
      </c>
      <c r="Q1242">
        <v>3</v>
      </c>
      <c r="T1242" t="s">
        <v>3402</v>
      </c>
      <c r="U1242">
        <v>3</v>
      </c>
      <c r="V1242" t="s">
        <v>3980</v>
      </c>
    </row>
    <row r="1243" spans="1:22" ht="12.75" customHeight="1" x14ac:dyDescent="0.15">
      <c r="A1243">
        <v>20</v>
      </c>
      <c r="B1243">
        <v>2026</v>
      </c>
      <c r="C1243" s="21">
        <v>46161</v>
      </c>
      <c r="D1243" t="s">
        <v>53</v>
      </c>
      <c r="E1243" t="s">
        <v>54</v>
      </c>
      <c r="F1243" t="s">
        <v>21</v>
      </c>
      <c r="G1243">
        <v>2</v>
      </c>
      <c r="H1243" t="s">
        <v>3514</v>
      </c>
      <c r="I1243" t="s">
        <v>366</v>
      </c>
      <c r="J1243" s="1" t="s">
        <v>215</v>
      </c>
      <c r="K1243" t="s">
        <v>181</v>
      </c>
      <c r="L1243" t="s">
        <v>3340</v>
      </c>
      <c r="M1243">
        <v>53</v>
      </c>
      <c r="N1243">
        <v>1.02</v>
      </c>
      <c r="O1243" t="s">
        <v>211</v>
      </c>
      <c r="P1243">
        <v>56</v>
      </c>
      <c r="R1243" t="s">
        <v>3373</v>
      </c>
      <c r="S1243" t="s">
        <v>3981</v>
      </c>
      <c r="T1243" t="s">
        <v>3337</v>
      </c>
      <c r="U1243">
        <v>75</v>
      </c>
      <c r="V1243" t="s">
        <v>3825</v>
      </c>
    </row>
    <row r="1244" spans="1:22" ht="12.75" customHeight="1" x14ac:dyDescent="0.15">
      <c r="A1244">
        <v>20</v>
      </c>
      <c r="B1244">
        <v>2026</v>
      </c>
      <c r="C1244" s="21">
        <v>46161</v>
      </c>
      <c r="D1244" t="s">
        <v>53</v>
      </c>
      <c r="E1244" t="s">
        <v>54</v>
      </c>
      <c r="F1244" t="s">
        <v>21</v>
      </c>
      <c r="G1244">
        <v>2</v>
      </c>
      <c r="H1244" t="s">
        <v>3514</v>
      </c>
      <c r="I1244" t="s">
        <v>366</v>
      </c>
      <c r="J1244" s="1" t="s">
        <v>215</v>
      </c>
      <c r="K1244" t="s">
        <v>181</v>
      </c>
      <c r="L1244" t="s">
        <v>3340</v>
      </c>
      <c r="M1244">
        <v>62</v>
      </c>
      <c r="N1244">
        <v>1.02</v>
      </c>
      <c r="O1244" t="s">
        <v>211</v>
      </c>
      <c r="P1244">
        <v>56</v>
      </c>
      <c r="R1244" t="s">
        <v>3375</v>
      </c>
      <c r="T1244" t="s">
        <v>3337</v>
      </c>
      <c r="U1244">
        <v>75</v>
      </c>
      <c r="V1244" t="s">
        <v>3825</v>
      </c>
    </row>
    <row r="1245" spans="1:22" ht="12.75" customHeight="1" x14ac:dyDescent="0.15">
      <c r="A1245">
        <v>20</v>
      </c>
      <c r="B1245">
        <v>2026</v>
      </c>
      <c r="C1245" s="21">
        <v>46161</v>
      </c>
      <c r="D1245" t="s">
        <v>53</v>
      </c>
      <c r="E1245" t="s">
        <v>54</v>
      </c>
      <c r="F1245" t="s">
        <v>21</v>
      </c>
      <c r="G1245">
        <v>2</v>
      </c>
      <c r="H1245" t="s">
        <v>3514</v>
      </c>
      <c r="I1245" t="s">
        <v>366</v>
      </c>
      <c r="J1245" s="1" t="s">
        <v>215</v>
      </c>
      <c r="K1245" t="s">
        <v>181</v>
      </c>
      <c r="L1245" t="s">
        <v>3340</v>
      </c>
      <c r="M1245">
        <v>58</v>
      </c>
      <c r="N1245">
        <v>1.02</v>
      </c>
      <c r="O1245" t="s">
        <v>211</v>
      </c>
      <c r="P1245">
        <v>56</v>
      </c>
      <c r="R1245" t="s">
        <v>3343</v>
      </c>
      <c r="T1245" t="s">
        <v>3337</v>
      </c>
      <c r="U1245">
        <v>75</v>
      </c>
      <c r="V1245" t="s">
        <v>3825</v>
      </c>
    </row>
    <row r="1246" spans="1:22" ht="12.75" customHeight="1" x14ac:dyDescent="0.15">
      <c r="A1246">
        <v>20</v>
      </c>
      <c r="B1246">
        <v>2026</v>
      </c>
      <c r="C1246" s="21">
        <v>46161</v>
      </c>
      <c r="D1246" t="s">
        <v>53</v>
      </c>
      <c r="E1246" t="s">
        <v>54</v>
      </c>
      <c r="F1246" t="s">
        <v>21</v>
      </c>
      <c r="G1246">
        <v>2</v>
      </c>
      <c r="H1246" t="s">
        <v>3514</v>
      </c>
      <c r="I1246" t="s">
        <v>366</v>
      </c>
      <c r="J1246" s="1" t="s">
        <v>215</v>
      </c>
      <c r="K1246" t="s">
        <v>181</v>
      </c>
      <c r="L1246" t="s">
        <v>3340</v>
      </c>
      <c r="M1246">
        <v>81</v>
      </c>
      <c r="N1246">
        <v>1.02</v>
      </c>
      <c r="O1246" t="s">
        <v>211</v>
      </c>
      <c r="P1246">
        <v>56</v>
      </c>
      <c r="R1246" t="s">
        <v>3374</v>
      </c>
      <c r="T1246" t="s">
        <v>3337</v>
      </c>
      <c r="U1246">
        <v>75</v>
      </c>
      <c r="V1246" t="s">
        <v>3825</v>
      </c>
    </row>
    <row r="1247" spans="1:22" ht="12.75" customHeight="1" x14ac:dyDescent="0.15">
      <c r="A1247">
        <v>20</v>
      </c>
      <c r="B1247">
        <v>2026</v>
      </c>
      <c r="C1247" s="21">
        <v>46161</v>
      </c>
      <c r="D1247" t="s">
        <v>53</v>
      </c>
      <c r="E1247" t="s">
        <v>54</v>
      </c>
      <c r="F1247" t="s">
        <v>21</v>
      </c>
      <c r="G1247">
        <v>2</v>
      </c>
      <c r="H1247" t="s">
        <v>3514</v>
      </c>
      <c r="I1247" t="s">
        <v>366</v>
      </c>
      <c r="J1247" s="1" t="s">
        <v>215</v>
      </c>
      <c r="K1247" t="s">
        <v>181</v>
      </c>
      <c r="L1247" t="s">
        <v>3340</v>
      </c>
      <c r="M1247">
        <v>132</v>
      </c>
      <c r="N1247">
        <v>1.02</v>
      </c>
      <c r="O1247" t="s">
        <v>211</v>
      </c>
      <c r="P1247">
        <v>56</v>
      </c>
      <c r="R1247" t="s">
        <v>3368</v>
      </c>
      <c r="T1247" t="s">
        <v>3337</v>
      </c>
      <c r="U1247">
        <v>75</v>
      </c>
      <c r="V1247" t="s">
        <v>3825</v>
      </c>
    </row>
    <row r="1248" spans="1:22" ht="12.75" customHeight="1" x14ac:dyDescent="0.15">
      <c r="A1248">
        <v>20</v>
      </c>
      <c r="B1248">
        <v>2026</v>
      </c>
      <c r="C1248" s="21">
        <v>46161</v>
      </c>
      <c r="D1248" t="s">
        <v>101</v>
      </c>
      <c r="E1248" t="s">
        <v>102</v>
      </c>
      <c r="F1248" t="s">
        <v>75</v>
      </c>
      <c r="G1248">
        <v>7.6</v>
      </c>
      <c r="H1248" t="s">
        <v>3391</v>
      </c>
      <c r="I1248" t="s">
        <v>353</v>
      </c>
      <c r="J1248" s="1" t="s">
        <v>253</v>
      </c>
      <c r="K1248" t="s">
        <v>181</v>
      </c>
      <c r="L1248" t="s">
        <v>3333</v>
      </c>
      <c r="M1248">
        <v>2</v>
      </c>
      <c r="N1248">
        <v>1</v>
      </c>
      <c r="O1248" t="s">
        <v>3440</v>
      </c>
      <c r="P1248">
        <v>90.49</v>
      </c>
      <c r="Q1248">
        <v>8</v>
      </c>
      <c r="R1248" t="s">
        <v>3424</v>
      </c>
      <c r="T1248" t="s">
        <v>3337</v>
      </c>
      <c r="U1248">
        <v>21</v>
      </c>
      <c r="V1248" t="s">
        <v>3982</v>
      </c>
    </row>
    <row r="1249" spans="1:22" ht="12.75" customHeight="1" x14ac:dyDescent="0.15">
      <c r="A1249">
        <v>20</v>
      </c>
      <c r="B1249">
        <v>2026</v>
      </c>
      <c r="C1249" s="21">
        <v>46161</v>
      </c>
      <c r="D1249" t="s">
        <v>101</v>
      </c>
      <c r="E1249" t="s">
        <v>102</v>
      </c>
      <c r="F1249" t="s">
        <v>75</v>
      </c>
      <c r="G1249">
        <v>7.6</v>
      </c>
      <c r="H1249" t="s">
        <v>3391</v>
      </c>
      <c r="I1249" t="s">
        <v>353</v>
      </c>
      <c r="J1249" s="1" t="s">
        <v>253</v>
      </c>
      <c r="K1249" t="s">
        <v>181</v>
      </c>
      <c r="L1249" t="s">
        <v>3333</v>
      </c>
      <c r="M1249">
        <v>67</v>
      </c>
      <c r="N1249">
        <v>1</v>
      </c>
      <c r="O1249" t="s">
        <v>3334</v>
      </c>
      <c r="P1249">
        <v>81.58</v>
      </c>
      <c r="Q1249">
        <v>8</v>
      </c>
      <c r="R1249" t="s">
        <v>3404</v>
      </c>
      <c r="T1249" t="s">
        <v>3402</v>
      </c>
      <c r="U1249">
        <v>21</v>
      </c>
      <c r="V1249" t="s">
        <v>3338</v>
      </c>
    </row>
    <row r="1250" spans="1:22" ht="12.75" customHeight="1" x14ac:dyDescent="0.15">
      <c r="A1250">
        <v>20</v>
      </c>
      <c r="B1250">
        <v>2026</v>
      </c>
      <c r="C1250" s="21">
        <v>46161</v>
      </c>
      <c r="D1250" t="s">
        <v>101</v>
      </c>
      <c r="E1250" t="s">
        <v>102</v>
      </c>
      <c r="F1250" t="s">
        <v>75</v>
      </c>
      <c r="G1250">
        <v>7.6</v>
      </c>
      <c r="H1250" t="s">
        <v>3391</v>
      </c>
      <c r="I1250" t="s">
        <v>353</v>
      </c>
      <c r="J1250" s="1" t="s">
        <v>253</v>
      </c>
      <c r="K1250" t="s">
        <v>181</v>
      </c>
      <c r="L1250" t="s">
        <v>3333</v>
      </c>
      <c r="M1250">
        <v>19</v>
      </c>
      <c r="N1250">
        <v>1</v>
      </c>
      <c r="O1250" t="s">
        <v>3334</v>
      </c>
      <c r="P1250">
        <v>81.58</v>
      </c>
      <c r="Q1250">
        <v>8</v>
      </c>
      <c r="R1250" t="s">
        <v>3403</v>
      </c>
      <c r="T1250" t="s">
        <v>3402</v>
      </c>
      <c r="U1250">
        <v>21</v>
      </c>
      <c r="V1250" t="s">
        <v>3338</v>
      </c>
    </row>
    <row r="1251" spans="1:22" ht="12.75" customHeight="1" x14ac:dyDescent="0.15">
      <c r="A1251">
        <v>20</v>
      </c>
      <c r="B1251">
        <v>2026</v>
      </c>
      <c r="C1251" s="21">
        <v>46161</v>
      </c>
      <c r="D1251" t="s">
        <v>101</v>
      </c>
      <c r="E1251" t="s">
        <v>102</v>
      </c>
      <c r="F1251" t="s">
        <v>75</v>
      </c>
      <c r="G1251">
        <v>7.6</v>
      </c>
      <c r="H1251" t="s">
        <v>3391</v>
      </c>
      <c r="I1251" t="s">
        <v>353</v>
      </c>
      <c r="J1251" s="1" t="s">
        <v>253</v>
      </c>
      <c r="K1251" t="s">
        <v>181</v>
      </c>
      <c r="L1251" t="s">
        <v>3340</v>
      </c>
      <c r="M1251">
        <v>78</v>
      </c>
      <c r="N1251">
        <v>1.31</v>
      </c>
      <c r="O1251" t="s">
        <v>211</v>
      </c>
      <c r="P1251">
        <v>72</v>
      </c>
      <c r="Q1251">
        <v>8</v>
      </c>
      <c r="R1251" t="s">
        <v>3341</v>
      </c>
      <c r="T1251" t="s">
        <v>3402</v>
      </c>
      <c r="U1251">
        <v>21</v>
      </c>
      <c r="V1251" t="s">
        <v>3399</v>
      </c>
    </row>
    <row r="1252" spans="1:22" ht="12.75" customHeight="1" x14ac:dyDescent="0.15">
      <c r="A1252">
        <v>20</v>
      </c>
      <c r="B1252">
        <v>2026</v>
      </c>
      <c r="C1252" s="21">
        <v>46161</v>
      </c>
      <c r="D1252" t="s">
        <v>101</v>
      </c>
      <c r="E1252" t="s">
        <v>102</v>
      </c>
      <c r="F1252" t="s">
        <v>75</v>
      </c>
      <c r="G1252">
        <v>7.6</v>
      </c>
      <c r="H1252" t="s">
        <v>3391</v>
      </c>
      <c r="I1252" t="s">
        <v>353</v>
      </c>
      <c r="J1252" s="1" t="s">
        <v>253</v>
      </c>
      <c r="K1252" t="s">
        <v>181</v>
      </c>
      <c r="L1252" t="s">
        <v>3587</v>
      </c>
      <c r="M1252">
        <v>120</v>
      </c>
      <c r="N1252">
        <v>5</v>
      </c>
      <c r="O1252" t="s">
        <v>211</v>
      </c>
      <c r="P1252">
        <v>275</v>
      </c>
      <c r="R1252" t="s">
        <v>3415</v>
      </c>
      <c r="S1252" t="s">
        <v>3983</v>
      </c>
      <c r="T1252" t="s">
        <v>3402</v>
      </c>
      <c r="U1252">
        <v>21</v>
      </c>
      <c r="V1252" t="s">
        <v>3984</v>
      </c>
    </row>
    <row r="1253" spans="1:22" ht="12.75" customHeight="1" x14ac:dyDescent="0.15">
      <c r="A1253">
        <v>20</v>
      </c>
      <c r="B1253">
        <v>2026</v>
      </c>
      <c r="C1253" s="21">
        <v>46161</v>
      </c>
      <c r="D1253" t="s">
        <v>101</v>
      </c>
      <c r="E1253" t="s">
        <v>102</v>
      </c>
      <c r="F1253" t="s">
        <v>75</v>
      </c>
      <c r="G1253">
        <v>7.6</v>
      </c>
      <c r="H1253" t="s">
        <v>3985</v>
      </c>
      <c r="I1253" t="s">
        <v>3986</v>
      </c>
      <c r="J1253" s="1" t="s">
        <v>3389</v>
      </c>
      <c r="K1253" t="s">
        <v>3987</v>
      </c>
      <c r="L1253" t="s">
        <v>3587</v>
      </c>
      <c r="M1253">
        <v>199</v>
      </c>
      <c r="P1253">
        <v>80</v>
      </c>
      <c r="R1253" t="s">
        <v>3988</v>
      </c>
      <c r="T1253" t="s">
        <v>3402</v>
      </c>
      <c r="U1253">
        <v>21</v>
      </c>
      <c r="V1253" t="s">
        <v>3989</v>
      </c>
    </row>
    <row r="1254" spans="1:22" ht="12.75" customHeight="1" x14ac:dyDescent="0.15">
      <c r="A1254">
        <v>20</v>
      </c>
      <c r="B1254">
        <v>2026</v>
      </c>
      <c r="C1254" s="21">
        <v>46161</v>
      </c>
      <c r="D1254" t="s">
        <v>101</v>
      </c>
      <c r="E1254" t="s">
        <v>102</v>
      </c>
      <c r="F1254" t="s">
        <v>75</v>
      </c>
      <c r="G1254">
        <v>7.6</v>
      </c>
      <c r="H1254" t="s">
        <v>3653</v>
      </c>
      <c r="I1254" t="s">
        <v>3566</v>
      </c>
      <c r="J1254" s="1" t="s">
        <v>3389</v>
      </c>
      <c r="K1254" t="s">
        <v>181</v>
      </c>
      <c r="L1254" t="s">
        <v>3333</v>
      </c>
      <c r="M1254">
        <v>80</v>
      </c>
      <c r="N1254">
        <v>0.45</v>
      </c>
      <c r="O1254" t="s">
        <v>213</v>
      </c>
      <c r="P1254">
        <v>40.799999999999997</v>
      </c>
      <c r="Q1254">
        <v>4</v>
      </c>
      <c r="R1254" t="s">
        <v>3560</v>
      </c>
      <c r="T1254" t="s">
        <v>3402</v>
      </c>
      <c r="U1254">
        <v>21</v>
      </c>
      <c r="V1254" t="s">
        <v>3455</v>
      </c>
    </row>
    <row r="1255" spans="1:22" ht="12.75" customHeight="1" x14ac:dyDescent="0.15">
      <c r="A1255">
        <v>20</v>
      </c>
      <c r="B1255">
        <v>2026</v>
      </c>
      <c r="C1255" s="21">
        <v>46161</v>
      </c>
      <c r="D1255" t="s">
        <v>101</v>
      </c>
      <c r="E1255" t="s">
        <v>102</v>
      </c>
      <c r="F1255" t="s">
        <v>75</v>
      </c>
      <c r="G1255">
        <v>7.6</v>
      </c>
      <c r="H1255" t="s">
        <v>3585</v>
      </c>
      <c r="I1255" t="s">
        <v>346</v>
      </c>
      <c r="J1255" s="1" t="s">
        <v>3389</v>
      </c>
      <c r="K1255" t="s">
        <v>181</v>
      </c>
      <c r="L1255" t="s">
        <v>3340</v>
      </c>
      <c r="M1255">
        <v>86</v>
      </c>
      <c r="N1255">
        <v>0.55000000000000004</v>
      </c>
      <c r="O1255" t="s">
        <v>211</v>
      </c>
      <c r="P1255">
        <v>30</v>
      </c>
      <c r="Q1255">
        <v>2</v>
      </c>
      <c r="R1255" t="s">
        <v>3386</v>
      </c>
      <c r="T1255" t="s">
        <v>3402</v>
      </c>
      <c r="U1255">
        <v>21</v>
      </c>
      <c r="V1255" t="s">
        <v>3893</v>
      </c>
    </row>
    <row r="1256" spans="1:22" ht="12.75" customHeight="1" x14ac:dyDescent="0.15">
      <c r="A1256">
        <v>20</v>
      </c>
      <c r="B1256">
        <v>2026</v>
      </c>
      <c r="C1256" s="21">
        <v>46162</v>
      </c>
      <c r="D1256" t="s">
        <v>19</v>
      </c>
      <c r="E1256" t="s">
        <v>20</v>
      </c>
      <c r="F1256" t="s">
        <v>21</v>
      </c>
      <c r="G1256">
        <v>3.8</v>
      </c>
      <c r="H1256" t="s">
        <v>3932</v>
      </c>
      <c r="I1256" t="s">
        <v>371</v>
      </c>
      <c r="J1256" s="1" t="s">
        <v>307</v>
      </c>
      <c r="K1256" t="s">
        <v>181</v>
      </c>
      <c r="L1256" t="s">
        <v>23</v>
      </c>
      <c r="M1256">
        <v>119</v>
      </c>
      <c r="P1256">
        <v>420</v>
      </c>
      <c r="R1256" t="s">
        <v>3933</v>
      </c>
      <c r="T1256" t="s">
        <v>3337</v>
      </c>
      <c r="U1256">
        <v>162</v>
      </c>
      <c r="V1256" t="s">
        <v>3990</v>
      </c>
    </row>
    <row r="1257" spans="1:22" ht="12.75" customHeight="1" x14ac:dyDescent="0.15">
      <c r="A1257">
        <v>20</v>
      </c>
      <c r="B1257">
        <v>2026</v>
      </c>
      <c r="C1257" s="21">
        <v>46162</v>
      </c>
      <c r="D1257" t="s">
        <v>19</v>
      </c>
      <c r="E1257" t="s">
        <v>20</v>
      </c>
      <c r="F1257" t="s">
        <v>21</v>
      </c>
      <c r="G1257">
        <v>3.8</v>
      </c>
      <c r="H1257" t="s">
        <v>3935</v>
      </c>
      <c r="I1257" t="s">
        <v>370</v>
      </c>
      <c r="J1257" s="1" t="s">
        <v>307</v>
      </c>
      <c r="K1257" t="s">
        <v>181</v>
      </c>
      <c r="L1257" t="s">
        <v>23</v>
      </c>
      <c r="M1257">
        <v>199</v>
      </c>
      <c r="P1257">
        <v>40</v>
      </c>
      <c r="R1257" t="s">
        <v>3988</v>
      </c>
      <c r="T1257" t="s">
        <v>3337</v>
      </c>
      <c r="U1257">
        <v>162</v>
      </c>
      <c r="V1257" t="s">
        <v>3989</v>
      </c>
    </row>
    <row r="1258" spans="1:22" ht="12.75" customHeight="1" x14ac:dyDescent="0.15">
      <c r="A1258">
        <v>20</v>
      </c>
      <c r="B1258">
        <v>2026</v>
      </c>
      <c r="C1258" s="21">
        <v>46162</v>
      </c>
      <c r="D1258" t="s">
        <v>19</v>
      </c>
      <c r="E1258" t="s">
        <v>20</v>
      </c>
      <c r="F1258" t="s">
        <v>21</v>
      </c>
      <c r="G1258">
        <v>3.8</v>
      </c>
      <c r="H1258" t="s">
        <v>3937</v>
      </c>
      <c r="I1258" t="s">
        <v>309</v>
      </c>
      <c r="J1258" s="1" t="s">
        <v>307</v>
      </c>
      <c r="K1258" t="s">
        <v>181</v>
      </c>
      <c r="L1258" t="s">
        <v>3340</v>
      </c>
      <c r="M1258">
        <v>53</v>
      </c>
      <c r="N1258">
        <v>2.73</v>
      </c>
      <c r="O1258" t="s">
        <v>211</v>
      </c>
      <c r="P1258">
        <v>150</v>
      </c>
      <c r="R1258" t="s">
        <v>3373</v>
      </c>
      <c r="T1258" t="s">
        <v>3337</v>
      </c>
      <c r="U1258">
        <v>162</v>
      </c>
      <c r="V1258" t="s">
        <v>3991</v>
      </c>
    </row>
    <row r="1259" spans="1:22" ht="12.75" customHeight="1" x14ac:dyDescent="0.15">
      <c r="A1259">
        <v>20</v>
      </c>
      <c r="B1259">
        <v>2026</v>
      </c>
      <c r="C1259" s="21">
        <v>46162</v>
      </c>
      <c r="D1259" t="s">
        <v>19</v>
      </c>
      <c r="E1259" t="s">
        <v>20</v>
      </c>
      <c r="F1259" t="s">
        <v>21</v>
      </c>
      <c r="G1259">
        <v>3.8</v>
      </c>
      <c r="H1259" t="s">
        <v>3937</v>
      </c>
      <c r="I1259" t="s">
        <v>309</v>
      </c>
      <c r="J1259" s="1" t="s">
        <v>307</v>
      </c>
      <c r="K1259" t="s">
        <v>181</v>
      </c>
      <c r="L1259" t="s">
        <v>3340</v>
      </c>
      <c r="M1259">
        <v>62</v>
      </c>
      <c r="N1259">
        <v>3.27</v>
      </c>
      <c r="O1259" t="s">
        <v>211</v>
      </c>
      <c r="P1259">
        <v>180</v>
      </c>
      <c r="R1259" t="s">
        <v>3375</v>
      </c>
      <c r="T1259" t="s">
        <v>3337</v>
      </c>
      <c r="U1259">
        <v>162</v>
      </c>
      <c r="V1259" t="s">
        <v>3992</v>
      </c>
    </row>
    <row r="1260" spans="1:22" ht="12.75" customHeight="1" x14ac:dyDescent="0.15">
      <c r="A1260">
        <v>20</v>
      </c>
      <c r="B1260">
        <v>2026</v>
      </c>
      <c r="C1260" s="21">
        <v>46162</v>
      </c>
      <c r="D1260" t="s">
        <v>19</v>
      </c>
      <c r="E1260" t="s">
        <v>20</v>
      </c>
      <c r="F1260" t="s">
        <v>21</v>
      </c>
      <c r="G1260">
        <v>3.8</v>
      </c>
      <c r="H1260" t="s">
        <v>3937</v>
      </c>
      <c r="I1260" t="s">
        <v>309</v>
      </c>
      <c r="J1260" s="1" t="s">
        <v>307</v>
      </c>
      <c r="K1260" t="s">
        <v>181</v>
      </c>
      <c r="L1260" t="s">
        <v>3340</v>
      </c>
      <c r="M1260">
        <v>58</v>
      </c>
      <c r="N1260">
        <v>3.09</v>
      </c>
      <c r="O1260" t="s">
        <v>211</v>
      </c>
      <c r="P1260">
        <v>170</v>
      </c>
      <c r="R1260" t="s">
        <v>3343</v>
      </c>
      <c r="T1260" t="s">
        <v>3337</v>
      </c>
      <c r="U1260">
        <v>162</v>
      </c>
      <c r="V1260" t="s">
        <v>3993</v>
      </c>
    </row>
    <row r="1261" spans="1:22" ht="12.75" customHeight="1" x14ac:dyDescent="0.15">
      <c r="A1261">
        <v>20</v>
      </c>
      <c r="B1261">
        <v>2026</v>
      </c>
      <c r="C1261" s="21">
        <v>46162</v>
      </c>
      <c r="D1261" t="s">
        <v>19</v>
      </c>
      <c r="E1261" t="s">
        <v>20</v>
      </c>
      <c r="F1261" t="s">
        <v>21</v>
      </c>
      <c r="G1261">
        <v>3.8</v>
      </c>
      <c r="H1261" t="s">
        <v>3937</v>
      </c>
      <c r="I1261" t="s">
        <v>309</v>
      </c>
      <c r="J1261" s="1" t="s">
        <v>307</v>
      </c>
      <c r="K1261" t="s">
        <v>181</v>
      </c>
      <c r="L1261" t="s">
        <v>3340</v>
      </c>
      <c r="M1261">
        <v>81</v>
      </c>
      <c r="N1261">
        <v>2.52</v>
      </c>
      <c r="O1261" t="s">
        <v>211</v>
      </c>
      <c r="P1261">
        <v>138.75</v>
      </c>
      <c r="R1261" t="s">
        <v>3374</v>
      </c>
      <c r="T1261" t="s">
        <v>3337</v>
      </c>
      <c r="U1261">
        <v>162</v>
      </c>
      <c r="V1261" t="s">
        <v>3994</v>
      </c>
    </row>
    <row r="1262" spans="1:22" ht="12.75" customHeight="1" x14ac:dyDescent="0.15">
      <c r="A1262">
        <v>20</v>
      </c>
      <c r="B1262">
        <v>2026</v>
      </c>
      <c r="C1262" s="21">
        <v>46162</v>
      </c>
      <c r="D1262" t="s">
        <v>19</v>
      </c>
      <c r="E1262" t="s">
        <v>20</v>
      </c>
      <c r="F1262" t="s">
        <v>21</v>
      </c>
      <c r="G1262">
        <v>3.8</v>
      </c>
      <c r="H1262" t="s">
        <v>3937</v>
      </c>
      <c r="I1262" t="s">
        <v>309</v>
      </c>
      <c r="J1262" s="1" t="s">
        <v>307</v>
      </c>
      <c r="K1262" t="s">
        <v>181</v>
      </c>
      <c r="L1262" t="s">
        <v>3340</v>
      </c>
      <c r="M1262">
        <v>132</v>
      </c>
      <c r="N1262">
        <v>2.73</v>
      </c>
      <c r="O1262" t="s">
        <v>211</v>
      </c>
      <c r="P1262">
        <v>150</v>
      </c>
      <c r="R1262" t="s">
        <v>3368</v>
      </c>
      <c r="T1262" t="s">
        <v>3337</v>
      </c>
      <c r="U1262">
        <v>162</v>
      </c>
      <c r="V1262" t="s">
        <v>3991</v>
      </c>
    </row>
    <row r="1263" spans="1:22" ht="12.75" customHeight="1" x14ac:dyDescent="0.15">
      <c r="A1263">
        <v>20</v>
      </c>
      <c r="B1263">
        <v>2026</v>
      </c>
      <c r="C1263" s="21">
        <v>46162</v>
      </c>
      <c r="D1263" t="s">
        <v>19</v>
      </c>
      <c r="E1263" t="s">
        <v>20</v>
      </c>
      <c r="F1263" t="s">
        <v>21</v>
      </c>
      <c r="G1263">
        <v>3.8</v>
      </c>
      <c r="H1263" t="s">
        <v>3937</v>
      </c>
      <c r="I1263" t="s">
        <v>309</v>
      </c>
      <c r="J1263" s="1" t="s">
        <v>307</v>
      </c>
      <c r="K1263" t="s">
        <v>181</v>
      </c>
      <c r="L1263" t="s">
        <v>3340</v>
      </c>
      <c r="M1263">
        <v>45</v>
      </c>
      <c r="N1263">
        <v>2.91</v>
      </c>
      <c r="O1263" t="s">
        <v>211</v>
      </c>
      <c r="P1263">
        <v>160</v>
      </c>
      <c r="R1263" t="s">
        <v>3377</v>
      </c>
      <c r="T1263" t="s">
        <v>3337</v>
      </c>
      <c r="U1263">
        <v>162</v>
      </c>
      <c r="V1263" t="s">
        <v>3995</v>
      </c>
    </row>
    <row r="1264" spans="1:22" ht="12.75" customHeight="1" x14ac:dyDescent="0.15">
      <c r="A1264">
        <v>20</v>
      </c>
      <c r="B1264">
        <v>2026</v>
      </c>
      <c r="C1264" s="21">
        <v>46162</v>
      </c>
      <c r="D1264" t="s">
        <v>101</v>
      </c>
      <c r="E1264" t="s">
        <v>102</v>
      </c>
      <c r="F1264" t="s">
        <v>75</v>
      </c>
      <c r="G1264">
        <v>7.6</v>
      </c>
      <c r="H1264" t="s">
        <v>3400</v>
      </c>
      <c r="I1264" t="s">
        <v>353</v>
      </c>
      <c r="J1264" s="1" t="s">
        <v>253</v>
      </c>
      <c r="K1264" t="s">
        <v>181</v>
      </c>
      <c r="L1264" t="s">
        <v>3333</v>
      </c>
      <c r="M1264">
        <v>2</v>
      </c>
      <c r="N1264">
        <v>0.5</v>
      </c>
      <c r="O1264" t="s">
        <v>3440</v>
      </c>
      <c r="P1264">
        <v>45.25</v>
      </c>
      <c r="Q1264">
        <v>4</v>
      </c>
      <c r="R1264" t="s">
        <v>3424</v>
      </c>
      <c r="T1264" t="s">
        <v>3337</v>
      </c>
      <c r="U1264">
        <v>22</v>
      </c>
      <c r="V1264" t="s">
        <v>3996</v>
      </c>
    </row>
    <row r="1265" spans="1:22" ht="12.75" customHeight="1" x14ac:dyDescent="0.15">
      <c r="A1265">
        <v>20</v>
      </c>
      <c r="B1265">
        <v>2026</v>
      </c>
      <c r="C1265" s="21">
        <v>46162</v>
      </c>
      <c r="D1265" t="s">
        <v>73</v>
      </c>
      <c r="E1265" t="s">
        <v>74</v>
      </c>
      <c r="F1265" t="s">
        <v>75</v>
      </c>
      <c r="G1265">
        <v>2.2999999999999998</v>
      </c>
      <c r="H1265" t="s">
        <v>3400</v>
      </c>
      <c r="I1265" t="s">
        <v>353</v>
      </c>
      <c r="J1265" s="1" t="s">
        <v>253</v>
      </c>
      <c r="K1265" t="s">
        <v>181</v>
      </c>
      <c r="L1265" t="s">
        <v>3333</v>
      </c>
      <c r="M1265">
        <v>2</v>
      </c>
      <c r="N1265">
        <v>0.5</v>
      </c>
      <c r="O1265" t="s">
        <v>3440</v>
      </c>
      <c r="P1265">
        <v>45.25</v>
      </c>
      <c r="Q1265">
        <v>4</v>
      </c>
      <c r="R1265" t="s">
        <v>3424</v>
      </c>
      <c r="T1265" t="s">
        <v>3337</v>
      </c>
      <c r="U1265">
        <v>32</v>
      </c>
      <c r="V1265" t="s">
        <v>3997</v>
      </c>
    </row>
    <row r="1266" spans="1:22" ht="12.75" customHeight="1" x14ac:dyDescent="0.15">
      <c r="A1266">
        <v>20</v>
      </c>
      <c r="B1266">
        <v>2026</v>
      </c>
      <c r="C1266" s="21">
        <v>46162</v>
      </c>
      <c r="D1266" t="s">
        <v>19</v>
      </c>
      <c r="E1266" t="s">
        <v>20</v>
      </c>
      <c r="F1266" t="s">
        <v>21</v>
      </c>
      <c r="G1266">
        <v>3.8</v>
      </c>
      <c r="H1266" t="s">
        <v>3998</v>
      </c>
      <c r="I1266" t="s">
        <v>3964</v>
      </c>
      <c r="J1266" s="1" t="s">
        <v>307</v>
      </c>
      <c r="K1266" t="s">
        <v>181</v>
      </c>
      <c r="L1266" t="s">
        <v>3340</v>
      </c>
      <c r="M1266">
        <v>53</v>
      </c>
      <c r="N1266">
        <v>0.12</v>
      </c>
      <c r="O1266" t="s">
        <v>211</v>
      </c>
      <c r="P1266">
        <v>6.7</v>
      </c>
      <c r="R1266" t="s">
        <v>3373</v>
      </c>
      <c r="T1266" t="s">
        <v>3337</v>
      </c>
      <c r="U1266">
        <v>162</v>
      </c>
      <c r="V1266" t="s">
        <v>3999</v>
      </c>
    </row>
    <row r="1267" spans="1:22" ht="12.75" customHeight="1" x14ac:dyDescent="0.15">
      <c r="A1267">
        <v>20</v>
      </c>
      <c r="B1267">
        <v>2026</v>
      </c>
      <c r="C1267" s="21">
        <v>46162</v>
      </c>
      <c r="D1267" t="s">
        <v>19</v>
      </c>
      <c r="E1267" t="s">
        <v>20</v>
      </c>
      <c r="F1267" t="s">
        <v>21</v>
      </c>
      <c r="G1267">
        <v>3.8</v>
      </c>
      <c r="H1267" t="s">
        <v>3998</v>
      </c>
      <c r="I1267" t="s">
        <v>3964</v>
      </c>
      <c r="J1267" s="1" t="s">
        <v>307</v>
      </c>
      <c r="K1267" t="s">
        <v>181</v>
      </c>
      <c r="L1267" t="s">
        <v>3340</v>
      </c>
      <c r="M1267">
        <v>62</v>
      </c>
      <c r="N1267">
        <v>0.12</v>
      </c>
      <c r="O1267" t="s">
        <v>211</v>
      </c>
      <c r="P1267">
        <v>6.7</v>
      </c>
      <c r="R1267" t="s">
        <v>3375</v>
      </c>
      <c r="T1267" t="s">
        <v>3337</v>
      </c>
      <c r="U1267">
        <v>162</v>
      </c>
      <c r="V1267" t="s">
        <v>3999</v>
      </c>
    </row>
    <row r="1268" spans="1:22" ht="12.75" customHeight="1" x14ac:dyDescent="0.15">
      <c r="A1268">
        <v>20</v>
      </c>
      <c r="B1268">
        <v>2026</v>
      </c>
      <c r="C1268" s="21">
        <v>46162</v>
      </c>
      <c r="D1268" t="s">
        <v>19</v>
      </c>
      <c r="E1268" t="s">
        <v>20</v>
      </c>
      <c r="F1268" t="s">
        <v>21</v>
      </c>
      <c r="G1268">
        <v>3.8</v>
      </c>
      <c r="H1268" t="s">
        <v>3998</v>
      </c>
      <c r="I1268" t="s">
        <v>3964</v>
      </c>
      <c r="J1268" s="1" t="s">
        <v>307</v>
      </c>
      <c r="K1268" t="s">
        <v>181</v>
      </c>
      <c r="L1268" t="s">
        <v>3340</v>
      </c>
      <c r="M1268">
        <v>58</v>
      </c>
      <c r="N1268">
        <v>0.12</v>
      </c>
      <c r="O1268" t="s">
        <v>211</v>
      </c>
      <c r="P1268">
        <v>6.7</v>
      </c>
      <c r="R1268" t="s">
        <v>3343</v>
      </c>
      <c r="T1268" t="s">
        <v>3337</v>
      </c>
      <c r="U1268">
        <v>162</v>
      </c>
      <c r="V1268" t="s">
        <v>3999</v>
      </c>
    </row>
    <row r="1269" spans="1:22" ht="12.75" customHeight="1" x14ac:dyDescent="0.15">
      <c r="A1269">
        <v>20</v>
      </c>
      <c r="B1269">
        <v>2026</v>
      </c>
      <c r="C1269" s="21">
        <v>46162</v>
      </c>
      <c r="D1269" t="s">
        <v>19</v>
      </c>
      <c r="E1269" t="s">
        <v>20</v>
      </c>
      <c r="F1269" t="s">
        <v>21</v>
      </c>
      <c r="G1269">
        <v>3.8</v>
      </c>
      <c r="H1269" t="s">
        <v>3998</v>
      </c>
      <c r="I1269" t="s">
        <v>3964</v>
      </c>
      <c r="J1269" s="1" t="s">
        <v>307</v>
      </c>
      <c r="K1269" t="s">
        <v>181</v>
      </c>
      <c r="L1269" t="s">
        <v>3340</v>
      </c>
      <c r="M1269">
        <v>81</v>
      </c>
      <c r="N1269">
        <v>0.12</v>
      </c>
      <c r="O1269" t="s">
        <v>211</v>
      </c>
      <c r="P1269">
        <v>6.7</v>
      </c>
      <c r="R1269" t="s">
        <v>3374</v>
      </c>
      <c r="T1269" t="s">
        <v>3337</v>
      </c>
      <c r="U1269">
        <v>162</v>
      </c>
      <c r="V1269" t="s">
        <v>3999</v>
      </c>
    </row>
    <row r="1270" spans="1:22" ht="12.75" customHeight="1" x14ac:dyDescent="0.15">
      <c r="A1270">
        <v>20</v>
      </c>
      <c r="B1270">
        <v>2026</v>
      </c>
      <c r="C1270" s="21">
        <v>46162</v>
      </c>
      <c r="D1270" t="s">
        <v>19</v>
      </c>
      <c r="E1270" t="s">
        <v>20</v>
      </c>
      <c r="F1270" t="s">
        <v>21</v>
      </c>
      <c r="G1270">
        <v>3.8</v>
      </c>
      <c r="H1270" t="s">
        <v>3998</v>
      </c>
      <c r="I1270" t="s">
        <v>3964</v>
      </c>
      <c r="J1270" s="1" t="s">
        <v>307</v>
      </c>
      <c r="K1270" t="s">
        <v>181</v>
      </c>
      <c r="L1270" t="s">
        <v>3340</v>
      </c>
      <c r="M1270">
        <v>132</v>
      </c>
      <c r="N1270">
        <v>0.12</v>
      </c>
      <c r="O1270" t="s">
        <v>211</v>
      </c>
      <c r="P1270">
        <v>6.7</v>
      </c>
      <c r="R1270" t="s">
        <v>3368</v>
      </c>
      <c r="T1270" t="s">
        <v>3337</v>
      </c>
      <c r="U1270">
        <v>162</v>
      </c>
      <c r="V1270" t="s">
        <v>3999</v>
      </c>
    </row>
    <row r="1271" spans="1:22" ht="12.75" customHeight="1" x14ac:dyDescent="0.15">
      <c r="A1271">
        <v>20</v>
      </c>
      <c r="B1271">
        <v>2026</v>
      </c>
      <c r="C1271" s="21">
        <v>46162</v>
      </c>
      <c r="D1271" t="s">
        <v>19</v>
      </c>
      <c r="E1271" t="s">
        <v>20</v>
      </c>
      <c r="F1271" t="s">
        <v>21</v>
      </c>
      <c r="G1271">
        <v>3.8</v>
      </c>
      <c r="H1271" t="s">
        <v>3998</v>
      </c>
      <c r="I1271" t="s">
        <v>3964</v>
      </c>
      <c r="J1271" s="1" t="s">
        <v>307</v>
      </c>
      <c r="K1271" t="s">
        <v>181</v>
      </c>
      <c r="L1271" t="s">
        <v>3340</v>
      </c>
      <c r="M1271">
        <v>45</v>
      </c>
      <c r="N1271">
        <v>0.12</v>
      </c>
      <c r="O1271" t="s">
        <v>211</v>
      </c>
      <c r="P1271">
        <v>6.7</v>
      </c>
      <c r="R1271" t="s">
        <v>3377</v>
      </c>
      <c r="T1271" t="s">
        <v>3337</v>
      </c>
      <c r="U1271">
        <v>162</v>
      </c>
      <c r="V1271" t="s">
        <v>3999</v>
      </c>
    </row>
    <row r="1272" spans="1:22" ht="12.75" customHeight="1" x14ac:dyDescent="0.15">
      <c r="A1272">
        <v>20</v>
      </c>
      <c r="B1272">
        <v>2026</v>
      </c>
      <c r="C1272" s="21">
        <v>46162</v>
      </c>
      <c r="D1272" t="s">
        <v>19</v>
      </c>
      <c r="E1272" t="s">
        <v>20</v>
      </c>
      <c r="F1272" t="s">
        <v>21</v>
      </c>
      <c r="G1272">
        <v>3.8</v>
      </c>
      <c r="H1272" t="s">
        <v>3937</v>
      </c>
      <c r="I1272" t="s">
        <v>309</v>
      </c>
      <c r="J1272" s="1" t="s">
        <v>307</v>
      </c>
      <c r="K1272" t="s">
        <v>181</v>
      </c>
      <c r="L1272" t="s">
        <v>3333</v>
      </c>
      <c r="M1272">
        <v>67</v>
      </c>
      <c r="N1272">
        <v>1</v>
      </c>
      <c r="O1272" t="s">
        <v>3334</v>
      </c>
      <c r="P1272">
        <v>81.58</v>
      </c>
      <c r="Q1272">
        <v>8</v>
      </c>
      <c r="R1272" t="s">
        <v>3404</v>
      </c>
      <c r="T1272" t="s">
        <v>3402</v>
      </c>
      <c r="U1272">
        <v>162</v>
      </c>
      <c r="V1272" t="s">
        <v>3797</v>
      </c>
    </row>
    <row r="1273" spans="1:22" ht="12.75" customHeight="1" x14ac:dyDescent="0.15">
      <c r="A1273">
        <v>20</v>
      </c>
      <c r="B1273">
        <v>2026</v>
      </c>
      <c r="C1273" s="21">
        <v>46162</v>
      </c>
      <c r="D1273" t="s">
        <v>19</v>
      </c>
      <c r="E1273" t="s">
        <v>20</v>
      </c>
      <c r="F1273" t="s">
        <v>21</v>
      </c>
      <c r="G1273">
        <v>3.8</v>
      </c>
      <c r="H1273" t="s">
        <v>3937</v>
      </c>
      <c r="I1273" t="s">
        <v>309</v>
      </c>
      <c r="J1273" s="1" t="s">
        <v>307</v>
      </c>
      <c r="K1273" t="s">
        <v>181</v>
      </c>
      <c r="L1273" t="s">
        <v>3333</v>
      </c>
      <c r="M1273">
        <v>19</v>
      </c>
      <c r="N1273">
        <v>1</v>
      </c>
      <c r="O1273" t="s">
        <v>3334</v>
      </c>
      <c r="P1273">
        <v>81.58</v>
      </c>
      <c r="Q1273">
        <v>8</v>
      </c>
      <c r="R1273" t="s">
        <v>3403</v>
      </c>
      <c r="T1273" t="s">
        <v>3402</v>
      </c>
      <c r="U1273">
        <v>162</v>
      </c>
      <c r="V1273" t="s">
        <v>3797</v>
      </c>
    </row>
    <row r="1274" spans="1:22" ht="12.75" customHeight="1" x14ac:dyDescent="0.15">
      <c r="A1274">
        <v>20</v>
      </c>
      <c r="B1274">
        <v>2026</v>
      </c>
      <c r="C1274" s="21">
        <v>46162</v>
      </c>
      <c r="D1274" t="s">
        <v>19</v>
      </c>
      <c r="E1274" t="s">
        <v>20</v>
      </c>
      <c r="F1274" t="s">
        <v>21</v>
      </c>
      <c r="G1274">
        <v>3.8</v>
      </c>
      <c r="H1274" t="s">
        <v>3937</v>
      </c>
      <c r="I1274" t="s">
        <v>309</v>
      </c>
      <c r="J1274" s="1" t="s">
        <v>307</v>
      </c>
      <c r="K1274" t="s">
        <v>181</v>
      </c>
      <c r="L1274" t="s">
        <v>3340</v>
      </c>
      <c r="M1274">
        <v>78</v>
      </c>
      <c r="N1274">
        <v>1.82</v>
      </c>
      <c r="O1274" t="s">
        <v>211</v>
      </c>
      <c r="P1274">
        <v>100</v>
      </c>
      <c r="R1274" t="s">
        <v>3341</v>
      </c>
      <c r="T1274" t="s">
        <v>3402</v>
      </c>
      <c r="U1274">
        <v>162</v>
      </c>
      <c r="V1274" t="s">
        <v>3350</v>
      </c>
    </row>
    <row r="1275" spans="1:22" ht="12.75" customHeight="1" x14ac:dyDescent="0.15">
      <c r="A1275">
        <v>20</v>
      </c>
      <c r="B1275">
        <v>2026</v>
      </c>
      <c r="C1275" s="21">
        <v>46162</v>
      </c>
      <c r="D1275" t="s">
        <v>19</v>
      </c>
      <c r="E1275" t="s">
        <v>20</v>
      </c>
      <c r="F1275" t="s">
        <v>21</v>
      </c>
      <c r="G1275">
        <v>3.8</v>
      </c>
      <c r="H1275" t="s">
        <v>3937</v>
      </c>
      <c r="I1275" t="s">
        <v>309</v>
      </c>
      <c r="J1275" s="1" t="s">
        <v>307</v>
      </c>
      <c r="K1275" t="s">
        <v>181</v>
      </c>
      <c r="L1275" t="s">
        <v>3340</v>
      </c>
      <c r="M1275">
        <v>67</v>
      </c>
      <c r="N1275">
        <v>0.33</v>
      </c>
      <c r="O1275" t="s">
        <v>211</v>
      </c>
      <c r="P1275">
        <v>18</v>
      </c>
      <c r="R1275" t="s">
        <v>3404</v>
      </c>
      <c r="T1275" t="s">
        <v>3402</v>
      </c>
      <c r="U1275">
        <v>162</v>
      </c>
      <c r="V1275" t="s">
        <v>3414</v>
      </c>
    </row>
    <row r="1276" spans="1:22" ht="12.75" customHeight="1" x14ac:dyDescent="0.15">
      <c r="A1276">
        <v>20</v>
      </c>
      <c r="B1276">
        <v>2026</v>
      </c>
      <c r="C1276" s="21">
        <v>46162</v>
      </c>
      <c r="D1276" t="s">
        <v>19</v>
      </c>
      <c r="E1276" t="s">
        <v>20</v>
      </c>
      <c r="F1276" t="s">
        <v>21</v>
      </c>
      <c r="G1276">
        <v>3.8</v>
      </c>
      <c r="H1276" t="s">
        <v>3937</v>
      </c>
      <c r="I1276" t="s">
        <v>309</v>
      </c>
      <c r="J1276" s="1" t="s">
        <v>307</v>
      </c>
      <c r="K1276" t="s">
        <v>181</v>
      </c>
      <c r="L1276" t="s">
        <v>3340</v>
      </c>
      <c r="M1276">
        <v>19</v>
      </c>
      <c r="N1276">
        <v>0.33</v>
      </c>
      <c r="O1276" t="s">
        <v>211</v>
      </c>
      <c r="P1276">
        <v>18</v>
      </c>
      <c r="R1276" t="s">
        <v>3403</v>
      </c>
      <c r="T1276" t="s">
        <v>3402</v>
      </c>
      <c r="U1276">
        <v>162</v>
      </c>
      <c r="V1276" t="s">
        <v>3414</v>
      </c>
    </row>
    <row r="1277" spans="1:22" ht="12.75" customHeight="1" x14ac:dyDescent="0.15">
      <c r="A1277">
        <v>20</v>
      </c>
      <c r="B1277">
        <v>2026</v>
      </c>
      <c r="C1277" s="21">
        <v>46162</v>
      </c>
      <c r="D1277" t="s">
        <v>19</v>
      </c>
      <c r="E1277" t="s">
        <v>20</v>
      </c>
      <c r="F1277" t="s">
        <v>21</v>
      </c>
      <c r="G1277">
        <v>3.8</v>
      </c>
      <c r="H1277" t="s">
        <v>3945</v>
      </c>
      <c r="I1277" t="s">
        <v>3686</v>
      </c>
      <c r="J1277" s="1" t="s">
        <v>3437</v>
      </c>
      <c r="K1277" t="s">
        <v>181</v>
      </c>
      <c r="L1277" t="s">
        <v>3333</v>
      </c>
      <c r="M1277">
        <v>4</v>
      </c>
      <c r="N1277">
        <v>1</v>
      </c>
      <c r="O1277" t="s">
        <v>3334</v>
      </c>
      <c r="P1277">
        <v>81.58</v>
      </c>
      <c r="Q1277">
        <v>8</v>
      </c>
      <c r="R1277" t="s">
        <v>3773</v>
      </c>
      <c r="T1277" t="s">
        <v>3402</v>
      </c>
      <c r="U1277">
        <v>162</v>
      </c>
      <c r="V1277" t="s">
        <v>3797</v>
      </c>
    </row>
    <row r="1278" spans="1:22" ht="12.75" customHeight="1" x14ac:dyDescent="0.15">
      <c r="A1278">
        <v>20</v>
      </c>
      <c r="B1278">
        <v>2026</v>
      </c>
      <c r="C1278" s="21">
        <v>46162</v>
      </c>
      <c r="D1278" t="s">
        <v>19</v>
      </c>
      <c r="E1278" t="s">
        <v>20</v>
      </c>
      <c r="F1278" t="s">
        <v>21</v>
      </c>
      <c r="G1278">
        <v>3.8</v>
      </c>
      <c r="H1278" t="s">
        <v>3945</v>
      </c>
      <c r="I1278" t="s">
        <v>3686</v>
      </c>
      <c r="J1278" s="1" t="s">
        <v>3437</v>
      </c>
      <c r="K1278" t="s">
        <v>181</v>
      </c>
      <c r="L1278" t="s">
        <v>3340</v>
      </c>
      <c r="M1278">
        <v>4</v>
      </c>
      <c r="N1278">
        <v>0.33</v>
      </c>
      <c r="O1278" t="s">
        <v>211</v>
      </c>
      <c r="P1278">
        <v>18</v>
      </c>
      <c r="Q1278">
        <v>2</v>
      </c>
      <c r="R1278" t="s">
        <v>3773</v>
      </c>
      <c r="T1278" t="s">
        <v>3402</v>
      </c>
      <c r="U1278">
        <v>162</v>
      </c>
      <c r="V1278" t="s">
        <v>3414</v>
      </c>
    </row>
    <row r="1279" spans="1:22" ht="12.75" customHeight="1" x14ac:dyDescent="0.15">
      <c r="A1279">
        <v>20</v>
      </c>
      <c r="B1279">
        <v>2026</v>
      </c>
      <c r="C1279" s="21">
        <v>46162</v>
      </c>
      <c r="D1279" t="s">
        <v>101</v>
      </c>
      <c r="E1279" t="s">
        <v>102</v>
      </c>
      <c r="F1279" t="s">
        <v>75</v>
      </c>
      <c r="G1279">
        <v>7.6</v>
      </c>
      <c r="H1279" t="s">
        <v>3391</v>
      </c>
      <c r="I1279" t="s">
        <v>353</v>
      </c>
      <c r="J1279" s="1" t="s">
        <v>253</v>
      </c>
      <c r="K1279" t="s">
        <v>181</v>
      </c>
      <c r="L1279" t="s">
        <v>3587</v>
      </c>
      <c r="M1279">
        <v>120</v>
      </c>
      <c r="N1279">
        <v>5.84</v>
      </c>
      <c r="O1279" t="s">
        <v>211</v>
      </c>
      <c r="P1279">
        <v>321</v>
      </c>
      <c r="R1279" t="s">
        <v>3415</v>
      </c>
      <c r="S1279" t="s">
        <v>4000</v>
      </c>
      <c r="T1279" t="s">
        <v>3402</v>
      </c>
      <c r="U1279">
        <v>22</v>
      </c>
      <c r="V1279" t="s">
        <v>4001</v>
      </c>
    </row>
    <row r="1280" spans="1:22" ht="12.75" customHeight="1" x14ac:dyDescent="0.15">
      <c r="A1280">
        <v>20</v>
      </c>
      <c r="B1280">
        <v>2026</v>
      </c>
      <c r="C1280" s="21">
        <v>46162</v>
      </c>
      <c r="D1280" t="s">
        <v>73</v>
      </c>
      <c r="E1280" t="s">
        <v>74</v>
      </c>
      <c r="F1280" t="s">
        <v>75</v>
      </c>
      <c r="G1280">
        <v>2.2999999999999998</v>
      </c>
      <c r="H1280" t="s">
        <v>3391</v>
      </c>
      <c r="I1280" t="s">
        <v>353</v>
      </c>
      <c r="J1280" s="1" t="s">
        <v>253</v>
      </c>
      <c r="K1280" t="s">
        <v>181</v>
      </c>
      <c r="L1280" t="s">
        <v>3587</v>
      </c>
      <c r="M1280">
        <v>120</v>
      </c>
      <c r="N1280">
        <v>1.17</v>
      </c>
      <c r="O1280" t="s">
        <v>211</v>
      </c>
      <c r="P1280">
        <v>64.099999999999994</v>
      </c>
      <c r="R1280" t="s">
        <v>3415</v>
      </c>
      <c r="T1280" t="s">
        <v>3402</v>
      </c>
      <c r="U1280">
        <v>32</v>
      </c>
      <c r="V1280" t="s">
        <v>4002</v>
      </c>
    </row>
    <row r="1281" spans="1:22" ht="12.75" customHeight="1" x14ac:dyDescent="0.15">
      <c r="A1281">
        <v>20</v>
      </c>
      <c r="B1281">
        <v>2026</v>
      </c>
      <c r="C1281" s="21">
        <v>46162</v>
      </c>
      <c r="D1281" t="s">
        <v>101</v>
      </c>
      <c r="E1281" t="s">
        <v>102</v>
      </c>
      <c r="F1281" t="s">
        <v>75</v>
      </c>
      <c r="G1281">
        <v>7.6</v>
      </c>
      <c r="H1281" t="s">
        <v>3985</v>
      </c>
      <c r="I1281" t="s">
        <v>3986</v>
      </c>
      <c r="J1281" s="1" t="s">
        <v>3389</v>
      </c>
      <c r="K1281" t="s">
        <v>3987</v>
      </c>
      <c r="L1281" t="s">
        <v>3587</v>
      </c>
      <c r="M1281">
        <v>199</v>
      </c>
      <c r="P1281">
        <v>40</v>
      </c>
      <c r="R1281" t="s">
        <v>3988</v>
      </c>
      <c r="T1281" t="s">
        <v>3402</v>
      </c>
      <c r="U1281">
        <v>22</v>
      </c>
      <c r="V1281" t="s">
        <v>3489</v>
      </c>
    </row>
    <row r="1282" spans="1:22" ht="12.75" customHeight="1" x14ac:dyDescent="0.15">
      <c r="A1282">
        <v>20</v>
      </c>
      <c r="B1282">
        <v>2026</v>
      </c>
      <c r="C1282" s="21">
        <v>46162</v>
      </c>
      <c r="D1282" t="s">
        <v>101</v>
      </c>
      <c r="E1282" t="s">
        <v>102</v>
      </c>
      <c r="F1282" t="s">
        <v>75</v>
      </c>
      <c r="G1282">
        <v>7.6</v>
      </c>
      <c r="H1282" t="s">
        <v>3653</v>
      </c>
      <c r="I1282" t="s">
        <v>3566</v>
      </c>
      <c r="J1282" s="1" t="s">
        <v>3389</v>
      </c>
      <c r="K1282" t="s">
        <v>181</v>
      </c>
      <c r="L1282" t="s">
        <v>3333</v>
      </c>
      <c r="M1282">
        <v>86</v>
      </c>
      <c r="N1282">
        <v>0.25</v>
      </c>
      <c r="O1282" t="s">
        <v>3334</v>
      </c>
      <c r="P1282">
        <v>20.399999999999999</v>
      </c>
      <c r="Q1282">
        <v>2</v>
      </c>
      <c r="R1282" t="s">
        <v>3386</v>
      </c>
      <c r="T1282" t="s">
        <v>3402</v>
      </c>
      <c r="U1282">
        <v>22</v>
      </c>
      <c r="V1282" t="s">
        <v>3441</v>
      </c>
    </row>
    <row r="1283" spans="1:22" ht="12.75" customHeight="1" x14ac:dyDescent="0.15">
      <c r="A1283">
        <v>20</v>
      </c>
      <c r="B1283">
        <v>2026</v>
      </c>
      <c r="C1283" s="21">
        <v>46162</v>
      </c>
      <c r="D1283" t="s">
        <v>73</v>
      </c>
      <c r="E1283" t="s">
        <v>74</v>
      </c>
      <c r="F1283" t="s">
        <v>75</v>
      </c>
      <c r="G1283">
        <v>2.2999999999999998</v>
      </c>
      <c r="H1283" t="s">
        <v>3585</v>
      </c>
      <c r="I1283" t="s">
        <v>346</v>
      </c>
      <c r="J1283" s="1" t="s">
        <v>3389</v>
      </c>
      <c r="K1283" t="s">
        <v>181</v>
      </c>
      <c r="L1283" t="s">
        <v>3333</v>
      </c>
      <c r="M1283">
        <v>86</v>
      </c>
      <c r="N1283">
        <v>0.63</v>
      </c>
      <c r="O1283" t="s">
        <v>3334</v>
      </c>
      <c r="P1283">
        <v>50.99</v>
      </c>
      <c r="Q1283">
        <v>5</v>
      </c>
      <c r="R1283" t="s">
        <v>3386</v>
      </c>
      <c r="T1283" t="s">
        <v>3402</v>
      </c>
      <c r="U1283">
        <v>32</v>
      </c>
      <c r="V1283" t="s">
        <v>3596</v>
      </c>
    </row>
    <row r="1284" spans="1:22" ht="12.75" customHeight="1" x14ac:dyDescent="0.15">
      <c r="A1284">
        <v>20</v>
      </c>
      <c r="B1284">
        <v>2026</v>
      </c>
      <c r="C1284" s="21">
        <v>46162</v>
      </c>
      <c r="D1284" t="s">
        <v>115</v>
      </c>
      <c r="E1284" t="s">
        <v>116</v>
      </c>
      <c r="F1284" t="s">
        <v>21</v>
      </c>
      <c r="G1284">
        <v>2</v>
      </c>
      <c r="H1284" t="s">
        <v>3836</v>
      </c>
      <c r="I1284" t="s">
        <v>3810</v>
      </c>
      <c r="J1284" s="1" t="s">
        <v>30</v>
      </c>
      <c r="K1284" t="s">
        <v>181</v>
      </c>
      <c r="L1284" t="s">
        <v>3333</v>
      </c>
      <c r="M1284">
        <v>86</v>
      </c>
      <c r="N1284">
        <v>0.13</v>
      </c>
      <c r="O1284" t="s">
        <v>3334</v>
      </c>
      <c r="P1284">
        <v>10.199999999999999</v>
      </c>
      <c r="Q1284">
        <v>1</v>
      </c>
      <c r="R1284" t="s">
        <v>3386</v>
      </c>
      <c r="T1284" t="s">
        <v>3402</v>
      </c>
      <c r="U1284">
        <v>-1</v>
      </c>
      <c r="V1284" t="s">
        <v>3463</v>
      </c>
    </row>
    <row r="1285" spans="1:22" ht="12.75" customHeight="1" x14ac:dyDescent="0.15">
      <c r="A1285">
        <v>20</v>
      </c>
      <c r="B1285">
        <v>2026</v>
      </c>
      <c r="C1285" s="21">
        <v>46162</v>
      </c>
      <c r="D1285" t="s">
        <v>115</v>
      </c>
      <c r="E1285" t="s">
        <v>116</v>
      </c>
      <c r="F1285" t="s">
        <v>21</v>
      </c>
      <c r="G1285">
        <v>2</v>
      </c>
      <c r="H1285" t="s">
        <v>3836</v>
      </c>
      <c r="I1285" t="s">
        <v>3810</v>
      </c>
      <c r="J1285" s="1" t="s">
        <v>30</v>
      </c>
      <c r="K1285" t="s">
        <v>181</v>
      </c>
      <c r="L1285" t="s">
        <v>3340</v>
      </c>
      <c r="M1285">
        <v>86</v>
      </c>
      <c r="N1285">
        <v>0.41</v>
      </c>
      <c r="O1285" t="s">
        <v>211</v>
      </c>
      <c r="P1285">
        <v>22.5</v>
      </c>
      <c r="Q1285">
        <v>2.5</v>
      </c>
      <c r="R1285" t="s">
        <v>3386</v>
      </c>
      <c r="T1285" t="s">
        <v>3402</v>
      </c>
      <c r="U1285">
        <v>-1</v>
      </c>
      <c r="V1285" t="s">
        <v>3561</v>
      </c>
    </row>
    <row r="1286" spans="1:22" ht="12.75" customHeight="1" x14ac:dyDescent="0.15">
      <c r="A1286">
        <v>20</v>
      </c>
      <c r="B1286">
        <v>2026</v>
      </c>
      <c r="C1286" s="21">
        <v>46162</v>
      </c>
      <c r="D1286" t="s">
        <v>19</v>
      </c>
      <c r="E1286" t="s">
        <v>20</v>
      </c>
      <c r="F1286" t="s">
        <v>21</v>
      </c>
      <c r="G1286">
        <v>3.8</v>
      </c>
      <c r="H1286" t="s">
        <v>3949</v>
      </c>
      <c r="I1286" t="s">
        <v>385</v>
      </c>
      <c r="J1286" s="1" t="s">
        <v>307</v>
      </c>
      <c r="K1286" t="s">
        <v>178</v>
      </c>
      <c r="L1286" t="s">
        <v>3587</v>
      </c>
      <c r="N1286">
        <v>1</v>
      </c>
      <c r="P1286">
        <v>400</v>
      </c>
      <c r="T1286" t="s">
        <v>3402</v>
      </c>
      <c r="U1286">
        <v>162</v>
      </c>
      <c r="V1286" t="s">
        <v>3950</v>
      </c>
    </row>
    <row r="1287" spans="1:22" ht="12.75" customHeight="1" x14ac:dyDescent="0.15">
      <c r="A1287">
        <v>20</v>
      </c>
      <c r="B1287">
        <v>2026</v>
      </c>
      <c r="C1287" s="21">
        <v>46163</v>
      </c>
      <c r="D1287" t="s">
        <v>73</v>
      </c>
      <c r="E1287" t="s">
        <v>74</v>
      </c>
      <c r="F1287" t="s">
        <v>75</v>
      </c>
      <c r="G1287">
        <v>2.2999999999999998</v>
      </c>
      <c r="H1287" t="s">
        <v>3400</v>
      </c>
      <c r="I1287" t="s">
        <v>353</v>
      </c>
      <c r="J1287" s="1" t="s">
        <v>253</v>
      </c>
      <c r="K1287" t="s">
        <v>181</v>
      </c>
      <c r="L1287" t="s">
        <v>3340</v>
      </c>
      <c r="M1287">
        <v>53</v>
      </c>
      <c r="N1287">
        <v>0.82</v>
      </c>
      <c r="O1287" t="s">
        <v>211</v>
      </c>
      <c r="P1287">
        <v>45</v>
      </c>
      <c r="Q1287">
        <v>5</v>
      </c>
      <c r="R1287" t="s">
        <v>3373</v>
      </c>
      <c r="T1287" t="s">
        <v>3337</v>
      </c>
      <c r="U1287">
        <v>33</v>
      </c>
      <c r="V1287" t="s">
        <v>4003</v>
      </c>
    </row>
    <row r="1288" spans="1:22" ht="12.75" customHeight="1" x14ac:dyDescent="0.15">
      <c r="A1288">
        <v>20</v>
      </c>
      <c r="B1288">
        <v>2026</v>
      </c>
      <c r="C1288" s="21">
        <v>46163</v>
      </c>
      <c r="D1288" t="s">
        <v>73</v>
      </c>
      <c r="E1288" t="s">
        <v>74</v>
      </c>
      <c r="F1288" t="s">
        <v>75</v>
      </c>
      <c r="G1288">
        <v>2.2999999999999998</v>
      </c>
      <c r="H1288" t="s">
        <v>3400</v>
      </c>
      <c r="I1288" t="s">
        <v>353</v>
      </c>
      <c r="J1288" s="1" t="s">
        <v>253</v>
      </c>
      <c r="K1288" t="s">
        <v>181</v>
      </c>
      <c r="L1288" t="s">
        <v>3340</v>
      </c>
      <c r="M1288">
        <v>62</v>
      </c>
      <c r="N1288">
        <v>0.82</v>
      </c>
      <c r="O1288" t="s">
        <v>211</v>
      </c>
      <c r="P1288">
        <v>45</v>
      </c>
      <c r="Q1288">
        <v>5</v>
      </c>
      <c r="R1288" t="s">
        <v>3375</v>
      </c>
      <c r="T1288" t="s">
        <v>3337</v>
      </c>
      <c r="U1288">
        <v>33</v>
      </c>
      <c r="V1288" t="s">
        <v>4003</v>
      </c>
    </row>
    <row r="1289" spans="1:22" ht="12.75" customHeight="1" x14ac:dyDescent="0.15">
      <c r="A1289">
        <v>20</v>
      </c>
      <c r="B1289">
        <v>2026</v>
      </c>
      <c r="C1289" s="21">
        <v>46163</v>
      </c>
      <c r="D1289" t="s">
        <v>73</v>
      </c>
      <c r="E1289" t="s">
        <v>74</v>
      </c>
      <c r="F1289" t="s">
        <v>75</v>
      </c>
      <c r="G1289">
        <v>2.2999999999999998</v>
      </c>
      <c r="H1289" t="s">
        <v>3400</v>
      </c>
      <c r="I1289" t="s">
        <v>353</v>
      </c>
      <c r="J1289" s="1" t="s">
        <v>253</v>
      </c>
      <c r="K1289" t="s">
        <v>181</v>
      </c>
      <c r="L1289" t="s">
        <v>3340</v>
      </c>
      <c r="M1289">
        <v>45</v>
      </c>
      <c r="N1289">
        <v>0.82</v>
      </c>
      <c r="O1289" t="s">
        <v>211</v>
      </c>
      <c r="P1289">
        <v>45</v>
      </c>
      <c r="Q1289">
        <v>5</v>
      </c>
      <c r="R1289" t="s">
        <v>3377</v>
      </c>
      <c r="T1289" t="s">
        <v>3337</v>
      </c>
      <c r="U1289">
        <v>33</v>
      </c>
      <c r="V1289" t="s">
        <v>4003</v>
      </c>
    </row>
    <row r="1290" spans="1:22" ht="12.75" customHeight="1" x14ac:dyDescent="0.15">
      <c r="A1290">
        <v>20</v>
      </c>
      <c r="B1290">
        <v>2026</v>
      </c>
      <c r="C1290" s="21">
        <v>46163</v>
      </c>
      <c r="D1290" t="s">
        <v>73</v>
      </c>
      <c r="E1290" t="s">
        <v>74</v>
      </c>
      <c r="F1290" t="s">
        <v>75</v>
      </c>
      <c r="G1290">
        <v>2.2999999999999998</v>
      </c>
      <c r="H1290" t="s">
        <v>3400</v>
      </c>
      <c r="I1290" t="s">
        <v>353</v>
      </c>
      <c r="J1290" s="1" t="s">
        <v>253</v>
      </c>
      <c r="K1290" t="s">
        <v>181</v>
      </c>
      <c r="L1290" t="s">
        <v>3340</v>
      </c>
      <c r="M1290">
        <v>58</v>
      </c>
      <c r="N1290">
        <v>0.75</v>
      </c>
      <c r="O1290" t="s">
        <v>211</v>
      </c>
      <c r="P1290">
        <v>41.4</v>
      </c>
      <c r="Q1290">
        <v>4.5999999999999996</v>
      </c>
      <c r="R1290" t="s">
        <v>3343</v>
      </c>
      <c r="T1290" t="s">
        <v>3337</v>
      </c>
      <c r="U1290">
        <v>33</v>
      </c>
      <c r="V1290" t="s">
        <v>260</v>
      </c>
    </row>
    <row r="1291" spans="1:22" ht="12.75" customHeight="1" x14ac:dyDescent="0.15">
      <c r="A1291">
        <v>20</v>
      </c>
      <c r="B1291">
        <v>2026</v>
      </c>
      <c r="C1291" s="21">
        <v>46163</v>
      </c>
      <c r="D1291" t="s">
        <v>73</v>
      </c>
      <c r="E1291" t="s">
        <v>74</v>
      </c>
      <c r="F1291" t="s">
        <v>75</v>
      </c>
      <c r="G1291">
        <v>2.2999999999999998</v>
      </c>
      <c r="H1291" t="s">
        <v>3400</v>
      </c>
      <c r="I1291" t="s">
        <v>353</v>
      </c>
      <c r="J1291" s="1" t="s">
        <v>253</v>
      </c>
      <c r="K1291" t="s">
        <v>181</v>
      </c>
      <c r="L1291" t="s">
        <v>3340</v>
      </c>
      <c r="M1291">
        <v>81</v>
      </c>
      <c r="N1291">
        <v>0.75</v>
      </c>
      <c r="O1291" t="s">
        <v>211</v>
      </c>
      <c r="P1291">
        <v>41.4</v>
      </c>
      <c r="Q1291">
        <v>4.5999999999999996</v>
      </c>
      <c r="R1291" t="s">
        <v>3374</v>
      </c>
      <c r="T1291" t="s">
        <v>3337</v>
      </c>
      <c r="U1291">
        <v>33</v>
      </c>
      <c r="V1291" t="s">
        <v>260</v>
      </c>
    </row>
    <row r="1292" spans="1:22" ht="12.75" customHeight="1" x14ac:dyDescent="0.15">
      <c r="A1292">
        <v>20</v>
      </c>
      <c r="B1292">
        <v>2026</v>
      </c>
      <c r="C1292" s="21">
        <v>46163</v>
      </c>
      <c r="D1292" t="s">
        <v>19</v>
      </c>
      <c r="E1292" t="s">
        <v>20</v>
      </c>
      <c r="F1292" t="s">
        <v>21</v>
      </c>
      <c r="G1292">
        <v>3.8</v>
      </c>
      <c r="H1292" t="s">
        <v>4004</v>
      </c>
      <c r="I1292" t="s">
        <v>4005</v>
      </c>
      <c r="J1292" s="1" t="s">
        <v>307</v>
      </c>
      <c r="K1292" t="s">
        <v>181</v>
      </c>
      <c r="L1292" t="s">
        <v>3340</v>
      </c>
      <c r="M1292">
        <v>58</v>
      </c>
      <c r="N1292">
        <v>0.39</v>
      </c>
      <c r="O1292" t="s">
        <v>211</v>
      </c>
      <c r="P1292">
        <v>21.5</v>
      </c>
      <c r="R1292" t="s">
        <v>3343</v>
      </c>
      <c r="T1292" t="s">
        <v>3337</v>
      </c>
      <c r="U1292">
        <v>163</v>
      </c>
      <c r="V1292" t="s">
        <v>3885</v>
      </c>
    </row>
    <row r="1293" spans="1:22" ht="12.75" customHeight="1" x14ac:dyDescent="0.15">
      <c r="A1293">
        <v>20</v>
      </c>
      <c r="B1293">
        <v>2026</v>
      </c>
      <c r="C1293" s="21">
        <v>46163</v>
      </c>
      <c r="D1293" t="s">
        <v>19</v>
      </c>
      <c r="E1293" t="s">
        <v>20</v>
      </c>
      <c r="F1293" t="s">
        <v>21</v>
      </c>
      <c r="G1293">
        <v>3.8</v>
      </c>
      <c r="H1293" t="s">
        <v>4004</v>
      </c>
      <c r="I1293" t="s">
        <v>4005</v>
      </c>
      <c r="J1293" s="1" t="s">
        <v>307</v>
      </c>
      <c r="K1293" t="s">
        <v>181</v>
      </c>
      <c r="L1293" t="s">
        <v>3340</v>
      </c>
      <c r="M1293">
        <v>81</v>
      </c>
      <c r="N1293">
        <v>0.39</v>
      </c>
      <c r="O1293" t="s">
        <v>211</v>
      </c>
      <c r="P1293">
        <v>21.5</v>
      </c>
      <c r="R1293" t="s">
        <v>3374</v>
      </c>
      <c r="T1293" t="s">
        <v>3337</v>
      </c>
      <c r="U1293">
        <v>163</v>
      </c>
      <c r="V1293" t="s">
        <v>3885</v>
      </c>
    </row>
    <row r="1294" spans="1:22" ht="12.75" customHeight="1" x14ac:dyDescent="0.15">
      <c r="A1294">
        <v>20</v>
      </c>
      <c r="B1294">
        <v>2026</v>
      </c>
      <c r="C1294" s="21">
        <v>46163</v>
      </c>
      <c r="D1294" t="s">
        <v>73</v>
      </c>
      <c r="E1294" t="s">
        <v>74</v>
      </c>
      <c r="F1294" t="s">
        <v>75</v>
      </c>
      <c r="G1294">
        <v>2.2999999999999998</v>
      </c>
      <c r="H1294" t="s">
        <v>3400</v>
      </c>
      <c r="I1294" t="s">
        <v>353</v>
      </c>
      <c r="J1294" s="1" t="s">
        <v>253</v>
      </c>
      <c r="K1294" t="s">
        <v>181</v>
      </c>
      <c r="L1294" t="s">
        <v>3333</v>
      </c>
      <c r="M1294">
        <v>2</v>
      </c>
      <c r="N1294">
        <v>1</v>
      </c>
      <c r="O1294" t="s">
        <v>3440</v>
      </c>
      <c r="P1294">
        <v>90.49</v>
      </c>
      <c r="Q1294">
        <v>8</v>
      </c>
      <c r="R1294" t="s">
        <v>3424</v>
      </c>
      <c r="T1294" t="s">
        <v>3337</v>
      </c>
      <c r="U1294">
        <v>33</v>
      </c>
      <c r="V1294" t="s">
        <v>3618</v>
      </c>
    </row>
    <row r="1295" spans="1:22" ht="12.75" customHeight="1" x14ac:dyDescent="0.15">
      <c r="A1295">
        <v>20</v>
      </c>
      <c r="B1295">
        <v>2026</v>
      </c>
      <c r="C1295" s="21">
        <v>46163</v>
      </c>
      <c r="D1295" t="s">
        <v>115</v>
      </c>
      <c r="E1295" t="s">
        <v>116</v>
      </c>
      <c r="F1295" t="s">
        <v>21</v>
      </c>
      <c r="G1295">
        <v>2</v>
      </c>
      <c r="H1295" t="s">
        <v>3841</v>
      </c>
      <c r="I1295" t="s">
        <v>3842</v>
      </c>
      <c r="J1295" s="1" t="s">
        <v>3533</v>
      </c>
      <c r="K1295" t="s">
        <v>181</v>
      </c>
      <c r="L1295" t="s">
        <v>3333</v>
      </c>
      <c r="M1295">
        <v>86</v>
      </c>
      <c r="N1295">
        <v>0.88</v>
      </c>
      <c r="O1295" t="s">
        <v>3334</v>
      </c>
      <c r="P1295">
        <v>71.38</v>
      </c>
      <c r="Q1295">
        <v>7</v>
      </c>
      <c r="R1295" t="s">
        <v>3386</v>
      </c>
      <c r="T1295" t="s">
        <v>3402</v>
      </c>
      <c r="U1295">
        <v>0</v>
      </c>
      <c r="V1295" t="s">
        <v>3469</v>
      </c>
    </row>
    <row r="1296" spans="1:22" ht="12.75" customHeight="1" x14ac:dyDescent="0.15">
      <c r="A1296">
        <v>20</v>
      </c>
      <c r="B1296">
        <v>2026</v>
      </c>
      <c r="C1296" s="21">
        <v>46163</v>
      </c>
      <c r="D1296" t="s">
        <v>115</v>
      </c>
      <c r="E1296" t="s">
        <v>116</v>
      </c>
      <c r="F1296" t="s">
        <v>21</v>
      </c>
      <c r="G1296">
        <v>2</v>
      </c>
      <c r="H1296" t="s">
        <v>3836</v>
      </c>
      <c r="I1296" t="s">
        <v>3810</v>
      </c>
      <c r="J1296" s="1" t="s">
        <v>30</v>
      </c>
      <c r="K1296" t="s">
        <v>181</v>
      </c>
      <c r="L1296" t="s">
        <v>3333</v>
      </c>
      <c r="M1296">
        <v>86</v>
      </c>
      <c r="N1296">
        <v>0.13</v>
      </c>
      <c r="O1296" t="s">
        <v>3334</v>
      </c>
      <c r="P1296">
        <v>10.199999999999999</v>
      </c>
      <c r="Q1296">
        <v>1</v>
      </c>
      <c r="R1296" t="s">
        <v>3386</v>
      </c>
      <c r="T1296" t="s">
        <v>3402</v>
      </c>
      <c r="U1296">
        <v>0</v>
      </c>
      <c r="V1296" t="s">
        <v>3463</v>
      </c>
    </row>
    <row r="1297" spans="1:22" ht="12.75" customHeight="1" x14ac:dyDescent="0.15">
      <c r="A1297">
        <v>20</v>
      </c>
      <c r="B1297">
        <v>2026</v>
      </c>
      <c r="C1297" s="21">
        <v>46163</v>
      </c>
      <c r="D1297" t="s">
        <v>115</v>
      </c>
      <c r="E1297" t="s">
        <v>116</v>
      </c>
      <c r="F1297" t="s">
        <v>21</v>
      </c>
      <c r="G1297">
        <v>2</v>
      </c>
      <c r="H1297" t="s">
        <v>3841</v>
      </c>
      <c r="I1297" t="s">
        <v>3842</v>
      </c>
      <c r="J1297" s="1" t="s">
        <v>3533</v>
      </c>
      <c r="K1297" t="s">
        <v>181</v>
      </c>
      <c r="L1297" t="s">
        <v>3333</v>
      </c>
      <c r="M1297">
        <v>3</v>
      </c>
      <c r="N1297">
        <v>1</v>
      </c>
      <c r="O1297" t="s">
        <v>3334</v>
      </c>
      <c r="P1297">
        <v>81.58</v>
      </c>
      <c r="Q1297">
        <v>8</v>
      </c>
      <c r="R1297" t="s">
        <v>3478</v>
      </c>
      <c r="T1297" t="s">
        <v>3402</v>
      </c>
      <c r="U1297">
        <v>0</v>
      </c>
      <c r="V1297" t="s">
        <v>3456</v>
      </c>
    </row>
    <row r="1298" spans="1:22" ht="12.75" customHeight="1" x14ac:dyDescent="0.15">
      <c r="A1298">
        <v>20</v>
      </c>
      <c r="B1298">
        <v>2026</v>
      </c>
      <c r="C1298" s="21">
        <v>46163</v>
      </c>
      <c r="D1298" t="s">
        <v>19</v>
      </c>
      <c r="E1298" t="s">
        <v>20</v>
      </c>
      <c r="F1298" t="s">
        <v>21</v>
      </c>
      <c r="G1298">
        <v>3.8</v>
      </c>
      <c r="H1298" t="s">
        <v>3937</v>
      </c>
      <c r="I1298" t="s">
        <v>309</v>
      </c>
      <c r="J1298" s="1" t="s">
        <v>307</v>
      </c>
      <c r="K1298" t="s">
        <v>181</v>
      </c>
      <c r="L1298" t="s">
        <v>3333</v>
      </c>
      <c r="M1298">
        <v>67</v>
      </c>
      <c r="N1298">
        <v>4</v>
      </c>
      <c r="O1298" t="s">
        <v>3334</v>
      </c>
      <c r="P1298">
        <v>15.3</v>
      </c>
      <c r="Q1298">
        <v>1.5</v>
      </c>
      <c r="R1298" t="s">
        <v>3404</v>
      </c>
      <c r="S1298" t="s">
        <v>4006</v>
      </c>
      <c r="T1298" t="s">
        <v>3402</v>
      </c>
      <c r="U1298">
        <v>163</v>
      </c>
      <c r="V1298" t="s">
        <v>3420</v>
      </c>
    </row>
    <row r="1299" spans="1:22" ht="12.75" customHeight="1" x14ac:dyDescent="0.15">
      <c r="A1299">
        <v>20</v>
      </c>
      <c r="B1299">
        <v>2026</v>
      </c>
      <c r="C1299" s="21">
        <v>46163</v>
      </c>
      <c r="D1299" t="s">
        <v>19</v>
      </c>
      <c r="E1299" t="s">
        <v>20</v>
      </c>
      <c r="F1299" t="s">
        <v>21</v>
      </c>
      <c r="G1299">
        <v>3.8</v>
      </c>
      <c r="H1299" t="s">
        <v>3937</v>
      </c>
      <c r="I1299" t="s">
        <v>309</v>
      </c>
      <c r="J1299" s="1" t="s">
        <v>307</v>
      </c>
      <c r="K1299" t="s">
        <v>181</v>
      </c>
      <c r="L1299" t="s">
        <v>3333</v>
      </c>
      <c r="M1299">
        <v>19</v>
      </c>
      <c r="N1299">
        <v>0.19</v>
      </c>
      <c r="O1299" t="s">
        <v>3334</v>
      </c>
      <c r="P1299">
        <v>15.3</v>
      </c>
      <c r="Q1299">
        <v>1.5</v>
      </c>
      <c r="R1299" t="s">
        <v>3403</v>
      </c>
      <c r="T1299" t="s">
        <v>3402</v>
      </c>
      <c r="U1299">
        <v>163</v>
      </c>
      <c r="V1299" t="s">
        <v>3420</v>
      </c>
    </row>
    <row r="1300" spans="1:22" ht="12.75" customHeight="1" x14ac:dyDescent="0.15">
      <c r="A1300">
        <v>20</v>
      </c>
      <c r="B1300">
        <v>2026</v>
      </c>
      <c r="C1300" s="21">
        <v>46163</v>
      </c>
      <c r="D1300" t="s">
        <v>19</v>
      </c>
      <c r="E1300" t="s">
        <v>20</v>
      </c>
      <c r="F1300" t="s">
        <v>21</v>
      </c>
      <c r="G1300">
        <v>3.8</v>
      </c>
      <c r="H1300" t="s">
        <v>3937</v>
      </c>
      <c r="I1300" t="s">
        <v>309</v>
      </c>
      <c r="J1300" s="1" t="s">
        <v>307</v>
      </c>
      <c r="K1300" t="s">
        <v>181</v>
      </c>
      <c r="L1300" t="s">
        <v>3340</v>
      </c>
      <c r="M1300">
        <v>78</v>
      </c>
      <c r="N1300">
        <v>0.7</v>
      </c>
      <c r="O1300" t="s">
        <v>211</v>
      </c>
      <c r="P1300">
        <v>38.75</v>
      </c>
      <c r="R1300" t="s">
        <v>3341</v>
      </c>
      <c r="T1300" t="s">
        <v>3402</v>
      </c>
      <c r="U1300">
        <v>163</v>
      </c>
      <c r="V1300" t="s">
        <v>3472</v>
      </c>
    </row>
    <row r="1301" spans="1:22" ht="12.75" customHeight="1" x14ac:dyDescent="0.15">
      <c r="A1301">
        <v>20</v>
      </c>
      <c r="B1301">
        <v>2026</v>
      </c>
      <c r="C1301" s="21">
        <v>46163</v>
      </c>
      <c r="D1301" t="s">
        <v>19</v>
      </c>
      <c r="E1301" t="s">
        <v>20</v>
      </c>
      <c r="F1301" t="s">
        <v>21</v>
      </c>
      <c r="G1301">
        <v>3.8</v>
      </c>
      <c r="H1301" t="s">
        <v>3937</v>
      </c>
      <c r="I1301" t="s">
        <v>309</v>
      </c>
      <c r="J1301" s="1" t="s">
        <v>307</v>
      </c>
      <c r="K1301" t="s">
        <v>181</v>
      </c>
      <c r="L1301" t="s">
        <v>3340</v>
      </c>
      <c r="M1301">
        <v>67</v>
      </c>
      <c r="N1301">
        <v>0.43</v>
      </c>
      <c r="O1301" t="s">
        <v>211</v>
      </c>
      <c r="P1301">
        <v>23.75</v>
      </c>
      <c r="R1301" t="s">
        <v>3404</v>
      </c>
      <c r="T1301" t="s">
        <v>3402</v>
      </c>
      <c r="U1301">
        <v>163</v>
      </c>
      <c r="V1301" t="s">
        <v>4007</v>
      </c>
    </row>
    <row r="1302" spans="1:22" ht="12.75" customHeight="1" x14ac:dyDescent="0.15">
      <c r="A1302">
        <v>20</v>
      </c>
      <c r="B1302">
        <v>2026</v>
      </c>
      <c r="C1302" s="21">
        <v>46163</v>
      </c>
      <c r="D1302" t="s">
        <v>19</v>
      </c>
      <c r="E1302" t="s">
        <v>20</v>
      </c>
      <c r="F1302" t="s">
        <v>21</v>
      </c>
      <c r="G1302">
        <v>3.8</v>
      </c>
      <c r="H1302" t="s">
        <v>3937</v>
      </c>
      <c r="I1302" t="s">
        <v>309</v>
      </c>
      <c r="J1302" s="1" t="s">
        <v>307</v>
      </c>
      <c r="K1302" t="s">
        <v>181</v>
      </c>
      <c r="L1302" t="s">
        <v>3340</v>
      </c>
      <c r="M1302">
        <v>19</v>
      </c>
      <c r="N1302">
        <v>0.43</v>
      </c>
      <c r="O1302" t="s">
        <v>211</v>
      </c>
      <c r="P1302">
        <v>23.75</v>
      </c>
      <c r="R1302" t="s">
        <v>3403</v>
      </c>
      <c r="T1302" t="s">
        <v>3402</v>
      </c>
      <c r="U1302">
        <v>163</v>
      </c>
      <c r="V1302" t="s">
        <v>4007</v>
      </c>
    </row>
    <row r="1303" spans="1:22" ht="12.75" customHeight="1" x14ac:dyDescent="0.15">
      <c r="A1303">
        <v>20</v>
      </c>
      <c r="B1303">
        <v>2026</v>
      </c>
      <c r="C1303" s="21">
        <v>46163</v>
      </c>
      <c r="D1303" t="s">
        <v>73</v>
      </c>
      <c r="E1303" t="s">
        <v>74</v>
      </c>
      <c r="F1303" t="s">
        <v>75</v>
      </c>
      <c r="G1303">
        <v>2.2999999999999998</v>
      </c>
      <c r="H1303" t="s">
        <v>3391</v>
      </c>
      <c r="I1303" t="s">
        <v>353</v>
      </c>
      <c r="J1303" s="1" t="s">
        <v>253</v>
      </c>
      <c r="K1303" t="s">
        <v>181</v>
      </c>
      <c r="L1303" t="s">
        <v>3333</v>
      </c>
      <c r="M1303">
        <v>67</v>
      </c>
      <c r="N1303">
        <v>0.81</v>
      </c>
      <c r="O1303" t="s">
        <v>3334</v>
      </c>
      <c r="P1303">
        <v>66.28</v>
      </c>
      <c r="Q1303">
        <v>6.5</v>
      </c>
      <c r="R1303" t="s">
        <v>3404</v>
      </c>
      <c r="T1303" t="s">
        <v>3402</v>
      </c>
      <c r="U1303">
        <v>33</v>
      </c>
      <c r="V1303" t="s">
        <v>3697</v>
      </c>
    </row>
    <row r="1304" spans="1:22" ht="12.75" customHeight="1" x14ac:dyDescent="0.15">
      <c r="A1304">
        <v>20</v>
      </c>
      <c r="B1304">
        <v>2026</v>
      </c>
      <c r="C1304" s="21">
        <v>46163</v>
      </c>
      <c r="D1304" t="s">
        <v>73</v>
      </c>
      <c r="E1304" t="s">
        <v>74</v>
      </c>
      <c r="F1304" t="s">
        <v>75</v>
      </c>
      <c r="G1304">
        <v>2.2999999999999998</v>
      </c>
      <c r="H1304" t="s">
        <v>3391</v>
      </c>
      <c r="I1304" t="s">
        <v>353</v>
      </c>
      <c r="J1304" s="1" t="s">
        <v>253</v>
      </c>
      <c r="K1304" t="s">
        <v>181</v>
      </c>
      <c r="L1304" t="s">
        <v>3333</v>
      </c>
      <c r="M1304">
        <v>19</v>
      </c>
      <c r="N1304">
        <v>0.81</v>
      </c>
      <c r="O1304" t="s">
        <v>3334</v>
      </c>
      <c r="P1304">
        <v>66.28</v>
      </c>
      <c r="Q1304">
        <v>6.5</v>
      </c>
      <c r="R1304" t="s">
        <v>3403</v>
      </c>
      <c r="T1304" t="s">
        <v>3402</v>
      </c>
      <c r="U1304">
        <v>33</v>
      </c>
      <c r="V1304" t="s">
        <v>3697</v>
      </c>
    </row>
    <row r="1305" spans="1:22" ht="12.75" customHeight="1" x14ac:dyDescent="0.15">
      <c r="A1305">
        <v>20</v>
      </c>
      <c r="B1305">
        <v>2026</v>
      </c>
      <c r="C1305" s="21">
        <v>46163</v>
      </c>
      <c r="D1305" t="s">
        <v>73</v>
      </c>
      <c r="E1305" t="s">
        <v>74</v>
      </c>
      <c r="F1305" t="s">
        <v>75</v>
      </c>
      <c r="G1305">
        <v>2.2999999999999998</v>
      </c>
      <c r="H1305" t="s">
        <v>3391</v>
      </c>
      <c r="I1305" t="s">
        <v>353</v>
      </c>
      <c r="J1305" s="1" t="s">
        <v>253</v>
      </c>
      <c r="K1305" t="s">
        <v>181</v>
      </c>
      <c r="L1305" t="s">
        <v>3340</v>
      </c>
      <c r="M1305">
        <v>78</v>
      </c>
      <c r="N1305">
        <v>1.06</v>
      </c>
      <c r="O1305" t="s">
        <v>211</v>
      </c>
      <c r="P1305">
        <v>58.5</v>
      </c>
      <c r="Q1305">
        <v>6.5</v>
      </c>
      <c r="R1305" t="s">
        <v>3341</v>
      </c>
      <c r="T1305" t="s">
        <v>3402</v>
      </c>
      <c r="U1305">
        <v>33</v>
      </c>
      <c r="V1305" t="s">
        <v>3698</v>
      </c>
    </row>
    <row r="1306" spans="1:22" ht="12.75" customHeight="1" x14ac:dyDescent="0.15">
      <c r="A1306">
        <v>20</v>
      </c>
      <c r="B1306">
        <v>2026</v>
      </c>
      <c r="C1306" s="21">
        <v>46163</v>
      </c>
      <c r="D1306" t="s">
        <v>101</v>
      </c>
      <c r="E1306" t="s">
        <v>102</v>
      </c>
      <c r="F1306" t="s">
        <v>75</v>
      </c>
      <c r="G1306">
        <v>7.6</v>
      </c>
      <c r="H1306" t="s">
        <v>3653</v>
      </c>
      <c r="I1306" t="s">
        <v>3566</v>
      </c>
      <c r="J1306" s="1" t="s">
        <v>3389</v>
      </c>
      <c r="K1306" t="s">
        <v>181</v>
      </c>
      <c r="L1306" t="s">
        <v>3333</v>
      </c>
      <c r="M1306">
        <v>11</v>
      </c>
      <c r="N1306">
        <v>0.25</v>
      </c>
      <c r="O1306" t="s">
        <v>213</v>
      </c>
      <c r="P1306">
        <v>22.5</v>
      </c>
      <c r="Q1306">
        <v>2</v>
      </c>
      <c r="R1306" t="s">
        <v>3564</v>
      </c>
      <c r="T1306" t="s">
        <v>3402</v>
      </c>
      <c r="U1306">
        <v>23</v>
      </c>
      <c r="V1306" t="s">
        <v>3979</v>
      </c>
    </row>
    <row r="1307" spans="1:22" ht="12.75" customHeight="1" x14ac:dyDescent="0.15">
      <c r="A1307">
        <v>20</v>
      </c>
      <c r="B1307">
        <v>2026</v>
      </c>
      <c r="C1307" s="21">
        <v>46163</v>
      </c>
      <c r="D1307" t="s">
        <v>73</v>
      </c>
      <c r="E1307" t="s">
        <v>74</v>
      </c>
      <c r="F1307" t="s">
        <v>75</v>
      </c>
      <c r="G1307">
        <v>2.2999999999999998</v>
      </c>
      <c r="H1307" t="s">
        <v>3585</v>
      </c>
      <c r="I1307" t="s">
        <v>346</v>
      </c>
      <c r="J1307" s="1" t="s">
        <v>3389</v>
      </c>
      <c r="K1307" t="s">
        <v>181</v>
      </c>
      <c r="L1307" t="s">
        <v>3333</v>
      </c>
      <c r="M1307">
        <v>11</v>
      </c>
      <c r="N1307">
        <v>0.14000000000000001</v>
      </c>
      <c r="O1307" t="s">
        <v>213</v>
      </c>
      <c r="P1307">
        <v>12.94</v>
      </c>
      <c r="Q1307">
        <v>1.1499999999999999</v>
      </c>
      <c r="R1307" t="s">
        <v>3564</v>
      </c>
      <c r="T1307" t="s">
        <v>3402</v>
      </c>
      <c r="U1307">
        <v>33</v>
      </c>
      <c r="V1307" t="s">
        <v>4008</v>
      </c>
    </row>
    <row r="1308" spans="1:22" ht="12.75" customHeight="1" x14ac:dyDescent="0.15">
      <c r="A1308">
        <v>20</v>
      </c>
      <c r="B1308">
        <v>2026</v>
      </c>
      <c r="C1308" s="21">
        <v>46163</v>
      </c>
      <c r="D1308" t="s">
        <v>101</v>
      </c>
      <c r="E1308" t="s">
        <v>102</v>
      </c>
      <c r="F1308" t="s">
        <v>75</v>
      </c>
      <c r="G1308">
        <v>7.6</v>
      </c>
      <c r="H1308" t="s">
        <v>3653</v>
      </c>
      <c r="I1308" t="s">
        <v>3566</v>
      </c>
      <c r="J1308" s="1" t="s">
        <v>3389</v>
      </c>
      <c r="K1308" t="s">
        <v>181</v>
      </c>
      <c r="L1308" t="s">
        <v>3333</v>
      </c>
      <c r="M1308">
        <v>80</v>
      </c>
      <c r="N1308">
        <v>0.13</v>
      </c>
      <c r="O1308" t="s">
        <v>213</v>
      </c>
      <c r="P1308">
        <v>11.25</v>
      </c>
      <c r="Q1308">
        <v>1</v>
      </c>
      <c r="R1308" t="s">
        <v>3560</v>
      </c>
      <c r="T1308" t="s">
        <v>3402</v>
      </c>
      <c r="U1308">
        <v>23</v>
      </c>
      <c r="V1308" t="s">
        <v>4009</v>
      </c>
    </row>
    <row r="1309" spans="1:22" ht="12.75" customHeight="1" x14ac:dyDescent="0.15">
      <c r="A1309">
        <v>20</v>
      </c>
      <c r="B1309">
        <v>2026</v>
      </c>
      <c r="C1309" s="21">
        <v>46163</v>
      </c>
      <c r="D1309" t="s">
        <v>101</v>
      </c>
      <c r="E1309" t="s">
        <v>102</v>
      </c>
      <c r="F1309" t="s">
        <v>75</v>
      </c>
      <c r="G1309">
        <v>7.6</v>
      </c>
      <c r="H1309" t="s">
        <v>3878</v>
      </c>
      <c r="I1309" t="s">
        <v>3566</v>
      </c>
      <c r="J1309" s="1" t="s">
        <v>3389</v>
      </c>
      <c r="K1309" t="s">
        <v>2666</v>
      </c>
      <c r="L1309" t="s">
        <v>3587</v>
      </c>
      <c r="N1309">
        <v>0.76</v>
      </c>
      <c r="O1309" t="s">
        <v>3838</v>
      </c>
      <c r="P1309">
        <v>16.25</v>
      </c>
      <c r="Q1309">
        <v>2</v>
      </c>
      <c r="T1309" t="s">
        <v>3402</v>
      </c>
      <c r="U1309">
        <v>23</v>
      </c>
      <c r="V1309" t="s">
        <v>4010</v>
      </c>
    </row>
    <row r="1310" spans="1:22" ht="12.75" customHeight="1" x14ac:dyDescent="0.15">
      <c r="A1310">
        <v>20</v>
      </c>
      <c r="B1310">
        <v>2026</v>
      </c>
      <c r="C1310" s="21">
        <v>46163</v>
      </c>
      <c r="D1310" t="s">
        <v>73</v>
      </c>
      <c r="E1310" t="s">
        <v>74</v>
      </c>
      <c r="F1310" t="s">
        <v>75</v>
      </c>
      <c r="G1310">
        <v>2.2999999999999998</v>
      </c>
      <c r="H1310" t="s">
        <v>3586</v>
      </c>
      <c r="I1310" t="s">
        <v>346</v>
      </c>
      <c r="J1310" s="1" t="s">
        <v>3389</v>
      </c>
      <c r="K1310" t="s">
        <v>2666</v>
      </c>
      <c r="L1310" t="s">
        <v>3587</v>
      </c>
      <c r="N1310">
        <v>0.44</v>
      </c>
      <c r="O1310" t="s">
        <v>3838</v>
      </c>
      <c r="P1310">
        <v>9.34</v>
      </c>
      <c r="Q1310">
        <v>1.1499999999999999</v>
      </c>
      <c r="T1310" t="s">
        <v>3402</v>
      </c>
      <c r="U1310">
        <v>33</v>
      </c>
      <c r="V1310" t="s">
        <v>4011</v>
      </c>
    </row>
    <row r="1311" spans="1:22" ht="12.75" customHeight="1" x14ac:dyDescent="0.15">
      <c r="A1311">
        <v>20</v>
      </c>
      <c r="B1311">
        <v>2026</v>
      </c>
      <c r="C1311" s="21">
        <v>46163</v>
      </c>
      <c r="D1311" t="s">
        <v>101</v>
      </c>
      <c r="E1311" t="s">
        <v>102</v>
      </c>
      <c r="F1311" t="s">
        <v>75</v>
      </c>
      <c r="G1311">
        <v>7.6</v>
      </c>
      <c r="H1311" t="s">
        <v>3878</v>
      </c>
      <c r="I1311" t="s">
        <v>3566</v>
      </c>
      <c r="J1311" s="1" t="s">
        <v>3389</v>
      </c>
      <c r="K1311" t="s">
        <v>2666</v>
      </c>
      <c r="L1311" t="s">
        <v>3587</v>
      </c>
      <c r="N1311">
        <v>0.38</v>
      </c>
      <c r="O1311" t="s">
        <v>3838</v>
      </c>
      <c r="P1311">
        <v>8.1199999999999992</v>
      </c>
      <c r="Q1311">
        <v>1</v>
      </c>
      <c r="T1311" t="s">
        <v>3402</v>
      </c>
      <c r="U1311">
        <v>23</v>
      </c>
      <c r="V1311" t="s">
        <v>4012</v>
      </c>
    </row>
    <row r="1312" spans="1:22" ht="12.75" customHeight="1" x14ac:dyDescent="0.15">
      <c r="A1312">
        <v>20</v>
      </c>
      <c r="B1312">
        <v>2026</v>
      </c>
      <c r="C1312" s="21">
        <v>46163</v>
      </c>
      <c r="D1312" t="s">
        <v>137</v>
      </c>
      <c r="E1312" t="s">
        <v>138</v>
      </c>
      <c r="F1312" t="s">
        <v>21</v>
      </c>
      <c r="G1312">
        <v>1</v>
      </c>
      <c r="H1312" t="s">
        <v>3567</v>
      </c>
      <c r="I1312" t="s">
        <v>321</v>
      </c>
      <c r="J1312" s="1" t="s">
        <v>26</v>
      </c>
      <c r="K1312" t="s">
        <v>181</v>
      </c>
      <c r="L1312" t="s">
        <v>3340</v>
      </c>
      <c r="M1312">
        <v>86</v>
      </c>
      <c r="N1312">
        <v>1.0900000000000001</v>
      </c>
      <c r="O1312" t="s">
        <v>211</v>
      </c>
      <c r="P1312">
        <v>60</v>
      </c>
      <c r="R1312" t="s">
        <v>3386</v>
      </c>
      <c r="T1312" t="s">
        <v>3402</v>
      </c>
      <c r="U1312">
        <v>-43</v>
      </c>
      <c r="V1312" t="s">
        <v>189</v>
      </c>
    </row>
    <row r="1313" spans="1:22" ht="12.75" customHeight="1" x14ac:dyDescent="0.15">
      <c r="A1313">
        <v>20</v>
      </c>
      <c r="B1313">
        <v>2026</v>
      </c>
      <c r="C1313" s="21">
        <v>46163</v>
      </c>
      <c r="D1313" t="s">
        <v>137</v>
      </c>
      <c r="E1313" t="s">
        <v>138</v>
      </c>
      <c r="F1313" t="s">
        <v>21</v>
      </c>
      <c r="G1313">
        <v>1</v>
      </c>
      <c r="H1313" t="s">
        <v>4013</v>
      </c>
      <c r="I1313" t="s">
        <v>321</v>
      </c>
      <c r="J1313" s="1" t="s">
        <v>26</v>
      </c>
      <c r="K1313" t="s">
        <v>2666</v>
      </c>
      <c r="L1313" t="s">
        <v>3587</v>
      </c>
      <c r="N1313">
        <v>2.2799999999999998</v>
      </c>
      <c r="O1313" t="s">
        <v>4014</v>
      </c>
      <c r="P1313">
        <v>48.73</v>
      </c>
      <c r="Q1313">
        <v>6</v>
      </c>
      <c r="T1313" t="s">
        <v>3402</v>
      </c>
      <c r="U1313">
        <v>-43</v>
      </c>
      <c r="V1313" t="s">
        <v>4015</v>
      </c>
    </row>
    <row r="1314" spans="1:22" ht="12.75" customHeight="1" x14ac:dyDescent="0.15">
      <c r="A1314">
        <v>20</v>
      </c>
      <c r="B1314">
        <v>2026</v>
      </c>
      <c r="C1314" s="21">
        <v>46163</v>
      </c>
      <c r="D1314" t="s">
        <v>73</v>
      </c>
      <c r="E1314" t="s">
        <v>74</v>
      </c>
      <c r="F1314" t="s">
        <v>75</v>
      </c>
      <c r="G1314">
        <v>2.2999999999999998</v>
      </c>
      <c r="H1314" t="s">
        <v>3391</v>
      </c>
      <c r="I1314" t="s">
        <v>353</v>
      </c>
      <c r="J1314" s="1" t="s">
        <v>253</v>
      </c>
      <c r="K1314" t="s">
        <v>181</v>
      </c>
      <c r="L1314" t="s">
        <v>3587</v>
      </c>
      <c r="M1314">
        <v>120</v>
      </c>
      <c r="N1314">
        <v>7.67</v>
      </c>
      <c r="O1314" t="s">
        <v>211</v>
      </c>
      <c r="P1314">
        <v>422</v>
      </c>
      <c r="R1314" t="s">
        <v>3415</v>
      </c>
      <c r="S1314" t="s">
        <v>4016</v>
      </c>
      <c r="T1314" t="s">
        <v>3402</v>
      </c>
      <c r="U1314">
        <v>33</v>
      </c>
      <c r="V1314" t="s">
        <v>4017</v>
      </c>
    </row>
    <row r="1315" spans="1:22" ht="12.75" customHeight="1" x14ac:dyDescent="0.15">
      <c r="A1315">
        <v>20</v>
      </c>
      <c r="B1315">
        <v>2026</v>
      </c>
      <c r="C1315" s="21">
        <v>46163</v>
      </c>
      <c r="D1315" t="s">
        <v>73</v>
      </c>
      <c r="E1315" t="s">
        <v>74</v>
      </c>
      <c r="F1315" t="s">
        <v>75</v>
      </c>
      <c r="G1315">
        <v>2.2999999999999998</v>
      </c>
      <c r="H1315" t="s">
        <v>4018</v>
      </c>
      <c r="I1315" t="s">
        <v>3986</v>
      </c>
      <c r="J1315" s="1" t="s">
        <v>3389</v>
      </c>
      <c r="K1315" t="s">
        <v>3987</v>
      </c>
      <c r="L1315" t="s">
        <v>3587</v>
      </c>
      <c r="M1315">
        <v>199</v>
      </c>
      <c r="N1315">
        <v>1</v>
      </c>
      <c r="O1315" t="s">
        <v>216</v>
      </c>
      <c r="P1315">
        <v>80</v>
      </c>
      <c r="R1315" t="s">
        <v>3988</v>
      </c>
      <c r="T1315" t="s">
        <v>3402</v>
      </c>
      <c r="U1315">
        <v>33</v>
      </c>
      <c r="V1315" t="s">
        <v>3627</v>
      </c>
    </row>
    <row r="1316" spans="1:22" ht="12.75" customHeight="1" x14ac:dyDescent="0.15">
      <c r="A1316">
        <v>20</v>
      </c>
      <c r="B1316">
        <v>2026</v>
      </c>
      <c r="C1316" s="21">
        <v>46163</v>
      </c>
      <c r="D1316" t="s">
        <v>19</v>
      </c>
      <c r="E1316" t="s">
        <v>20</v>
      </c>
      <c r="F1316" t="s">
        <v>21</v>
      </c>
      <c r="G1316">
        <v>3.8</v>
      </c>
      <c r="H1316" t="s">
        <v>3945</v>
      </c>
      <c r="I1316" t="s">
        <v>3686</v>
      </c>
      <c r="J1316" s="1" t="s">
        <v>3437</v>
      </c>
      <c r="K1316" t="s">
        <v>181</v>
      </c>
      <c r="L1316" t="s">
        <v>3333</v>
      </c>
      <c r="M1316">
        <v>4</v>
      </c>
      <c r="N1316">
        <v>0.75</v>
      </c>
      <c r="O1316" t="s">
        <v>3334</v>
      </c>
      <c r="P1316">
        <v>61.19</v>
      </c>
      <c r="Q1316">
        <v>6</v>
      </c>
      <c r="R1316" t="s">
        <v>3773</v>
      </c>
      <c r="T1316" t="s">
        <v>3402</v>
      </c>
      <c r="U1316">
        <v>163</v>
      </c>
      <c r="V1316" t="s">
        <v>3345</v>
      </c>
    </row>
    <row r="1317" spans="1:22" ht="12.75" customHeight="1" x14ac:dyDescent="0.15">
      <c r="A1317">
        <v>20</v>
      </c>
      <c r="B1317">
        <v>2026</v>
      </c>
      <c r="C1317" s="21">
        <v>46163</v>
      </c>
      <c r="D1317" t="s">
        <v>19</v>
      </c>
      <c r="E1317" t="s">
        <v>20</v>
      </c>
      <c r="F1317" t="s">
        <v>21</v>
      </c>
      <c r="G1317">
        <v>3.8</v>
      </c>
      <c r="H1317" t="s">
        <v>3945</v>
      </c>
      <c r="I1317" t="s">
        <v>3686</v>
      </c>
      <c r="J1317" s="1" t="s">
        <v>3437</v>
      </c>
      <c r="K1317" t="s">
        <v>181</v>
      </c>
      <c r="L1317" t="s">
        <v>3333</v>
      </c>
      <c r="M1317">
        <v>4</v>
      </c>
      <c r="N1317">
        <v>0.25</v>
      </c>
      <c r="O1317" t="s">
        <v>3334</v>
      </c>
      <c r="P1317">
        <v>20.399999999999999</v>
      </c>
      <c r="Q1317">
        <v>2</v>
      </c>
      <c r="R1317" t="s">
        <v>3773</v>
      </c>
      <c r="T1317" t="s">
        <v>3402</v>
      </c>
      <c r="U1317">
        <v>163</v>
      </c>
      <c r="V1317" t="s">
        <v>3455</v>
      </c>
    </row>
    <row r="1318" spans="1:22" ht="12.75" customHeight="1" x14ac:dyDescent="0.15">
      <c r="A1318">
        <v>20</v>
      </c>
      <c r="B1318">
        <v>2026</v>
      </c>
      <c r="C1318" s="21">
        <v>46163</v>
      </c>
      <c r="D1318" t="s">
        <v>115</v>
      </c>
      <c r="E1318" t="s">
        <v>116</v>
      </c>
      <c r="F1318" t="s">
        <v>21</v>
      </c>
      <c r="G1318">
        <v>2</v>
      </c>
      <c r="H1318" t="s">
        <v>3845</v>
      </c>
      <c r="I1318" t="s">
        <v>380</v>
      </c>
      <c r="J1318" s="1" t="s">
        <v>3533</v>
      </c>
      <c r="K1318" t="s">
        <v>181</v>
      </c>
      <c r="L1318" t="s">
        <v>3340</v>
      </c>
      <c r="M1318">
        <v>3</v>
      </c>
      <c r="N1318">
        <v>9.2899999999999991</v>
      </c>
      <c r="O1318" t="s">
        <v>211</v>
      </c>
      <c r="P1318">
        <v>511</v>
      </c>
      <c r="R1318" t="s">
        <v>3478</v>
      </c>
      <c r="T1318" t="s">
        <v>3402</v>
      </c>
      <c r="U1318">
        <v>0</v>
      </c>
      <c r="V1318" t="s">
        <v>4019</v>
      </c>
    </row>
    <row r="1319" spans="1:22" ht="12.75" customHeight="1" x14ac:dyDescent="0.15">
      <c r="A1319">
        <v>21</v>
      </c>
      <c r="B1319">
        <v>2026</v>
      </c>
      <c r="C1319" s="21">
        <v>46164</v>
      </c>
      <c r="D1319" t="s">
        <v>73</v>
      </c>
      <c r="E1319" t="s">
        <v>74</v>
      </c>
      <c r="F1319" t="s">
        <v>75</v>
      </c>
      <c r="G1319">
        <v>2.2999999999999998</v>
      </c>
      <c r="H1319" t="s">
        <v>3400</v>
      </c>
      <c r="I1319" t="s">
        <v>353</v>
      </c>
      <c r="J1319" s="1" t="s">
        <v>253</v>
      </c>
      <c r="K1319" t="s">
        <v>181</v>
      </c>
      <c r="L1319" t="s">
        <v>3340</v>
      </c>
      <c r="M1319">
        <v>132</v>
      </c>
      <c r="N1319">
        <v>0.33</v>
      </c>
      <c r="O1319" t="s">
        <v>211</v>
      </c>
      <c r="P1319">
        <v>18</v>
      </c>
      <c r="Q1319">
        <v>2</v>
      </c>
      <c r="R1319" t="s">
        <v>3368</v>
      </c>
      <c r="S1319" t="s">
        <v>4020</v>
      </c>
      <c r="T1319" t="s">
        <v>3337</v>
      </c>
      <c r="U1319">
        <v>34</v>
      </c>
      <c r="V1319" t="s">
        <v>3724</v>
      </c>
    </row>
    <row r="1320" spans="1:22" ht="12.75" customHeight="1" x14ac:dyDescent="0.15">
      <c r="A1320">
        <v>21</v>
      </c>
      <c r="B1320">
        <v>2026</v>
      </c>
      <c r="C1320" s="21">
        <v>46164</v>
      </c>
      <c r="D1320" t="s">
        <v>107</v>
      </c>
      <c r="E1320" t="s">
        <v>108</v>
      </c>
      <c r="F1320" t="s">
        <v>21</v>
      </c>
      <c r="G1320">
        <v>4.5</v>
      </c>
      <c r="H1320" t="s">
        <v>3519</v>
      </c>
      <c r="I1320" t="s">
        <v>214</v>
      </c>
      <c r="J1320" s="1" t="s">
        <v>215</v>
      </c>
      <c r="K1320" t="s">
        <v>181</v>
      </c>
      <c r="L1320" t="s">
        <v>3340</v>
      </c>
      <c r="M1320">
        <v>62</v>
      </c>
      <c r="N1320">
        <v>0.73</v>
      </c>
      <c r="O1320" t="s">
        <v>211</v>
      </c>
      <c r="P1320">
        <v>40</v>
      </c>
      <c r="R1320" t="s">
        <v>3375</v>
      </c>
      <c r="T1320" t="s">
        <v>3337</v>
      </c>
      <c r="U1320">
        <v>7</v>
      </c>
      <c r="V1320" t="s">
        <v>4021</v>
      </c>
    </row>
    <row r="1321" spans="1:22" ht="12.75" customHeight="1" x14ac:dyDescent="0.15">
      <c r="A1321">
        <v>21</v>
      </c>
      <c r="B1321">
        <v>2026</v>
      </c>
      <c r="C1321" s="21">
        <v>46164</v>
      </c>
      <c r="D1321" t="s">
        <v>107</v>
      </c>
      <c r="E1321" t="s">
        <v>108</v>
      </c>
      <c r="F1321" t="s">
        <v>21</v>
      </c>
      <c r="G1321">
        <v>4.5</v>
      </c>
      <c r="H1321" t="s">
        <v>3519</v>
      </c>
      <c r="I1321" t="s">
        <v>214</v>
      </c>
      <c r="J1321" s="1" t="s">
        <v>215</v>
      </c>
      <c r="K1321" t="s">
        <v>181</v>
      </c>
      <c r="L1321" t="s">
        <v>3340</v>
      </c>
      <c r="M1321">
        <v>45</v>
      </c>
      <c r="N1321">
        <v>0.73</v>
      </c>
      <c r="O1321" t="s">
        <v>211</v>
      </c>
      <c r="P1321">
        <v>40</v>
      </c>
      <c r="R1321" t="s">
        <v>3377</v>
      </c>
      <c r="T1321" t="s">
        <v>3337</v>
      </c>
      <c r="U1321">
        <v>7</v>
      </c>
      <c r="V1321" t="s">
        <v>4021</v>
      </c>
    </row>
    <row r="1322" spans="1:22" ht="12.75" customHeight="1" x14ac:dyDescent="0.15">
      <c r="A1322">
        <v>21</v>
      </c>
      <c r="B1322">
        <v>2026</v>
      </c>
      <c r="C1322" s="21">
        <v>46164</v>
      </c>
      <c r="D1322" t="s">
        <v>107</v>
      </c>
      <c r="E1322" t="s">
        <v>108</v>
      </c>
      <c r="F1322" t="s">
        <v>21</v>
      </c>
      <c r="G1322">
        <v>4.5</v>
      </c>
      <c r="H1322" t="s">
        <v>3519</v>
      </c>
      <c r="I1322" t="s">
        <v>214</v>
      </c>
      <c r="J1322" s="1" t="s">
        <v>215</v>
      </c>
      <c r="K1322" t="s">
        <v>181</v>
      </c>
      <c r="L1322" t="s">
        <v>3340</v>
      </c>
      <c r="M1322">
        <v>58</v>
      </c>
      <c r="N1322">
        <v>0.73</v>
      </c>
      <c r="O1322" t="s">
        <v>211</v>
      </c>
      <c r="P1322">
        <v>40</v>
      </c>
      <c r="R1322" t="s">
        <v>3343</v>
      </c>
      <c r="T1322" t="s">
        <v>3337</v>
      </c>
      <c r="U1322">
        <v>7</v>
      </c>
      <c r="V1322" t="s">
        <v>4021</v>
      </c>
    </row>
    <row r="1323" spans="1:22" ht="12.75" customHeight="1" x14ac:dyDescent="0.15">
      <c r="A1323">
        <v>21</v>
      </c>
      <c r="B1323">
        <v>2026</v>
      </c>
      <c r="C1323" s="21">
        <v>46164</v>
      </c>
      <c r="D1323" t="s">
        <v>107</v>
      </c>
      <c r="E1323" t="s">
        <v>108</v>
      </c>
      <c r="F1323" t="s">
        <v>21</v>
      </c>
      <c r="G1323">
        <v>4.5</v>
      </c>
      <c r="H1323" t="s">
        <v>3519</v>
      </c>
      <c r="I1323" t="s">
        <v>214</v>
      </c>
      <c r="J1323" s="1" t="s">
        <v>215</v>
      </c>
      <c r="K1323" t="s">
        <v>181</v>
      </c>
      <c r="L1323" t="s">
        <v>3340</v>
      </c>
      <c r="M1323">
        <v>81</v>
      </c>
      <c r="N1323">
        <v>0.73</v>
      </c>
      <c r="O1323" t="s">
        <v>211</v>
      </c>
      <c r="P1323">
        <v>40</v>
      </c>
      <c r="R1323" t="s">
        <v>3374</v>
      </c>
      <c r="T1323" t="s">
        <v>3337</v>
      </c>
      <c r="U1323">
        <v>7</v>
      </c>
      <c r="V1323" t="s">
        <v>4021</v>
      </c>
    </row>
    <row r="1324" spans="1:22" ht="12.75" customHeight="1" x14ac:dyDescent="0.15">
      <c r="A1324">
        <v>21</v>
      </c>
      <c r="B1324">
        <v>2026</v>
      </c>
      <c r="C1324" s="21">
        <v>46164</v>
      </c>
      <c r="D1324" t="s">
        <v>107</v>
      </c>
      <c r="E1324" t="s">
        <v>108</v>
      </c>
      <c r="F1324" t="s">
        <v>21</v>
      </c>
      <c r="G1324">
        <v>4.5</v>
      </c>
      <c r="H1324" t="s">
        <v>3519</v>
      </c>
      <c r="I1324" t="s">
        <v>214</v>
      </c>
      <c r="J1324" s="1" t="s">
        <v>215</v>
      </c>
      <c r="K1324" t="s">
        <v>181</v>
      </c>
      <c r="L1324" t="s">
        <v>3340</v>
      </c>
      <c r="M1324">
        <v>53</v>
      </c>
      <c r="N1324">
        <v>0.73</v>
      </c>
      <c r="O1324" t="s">
        <v>211</v>
      </c>
      <c r="P1324">
        <v>40</v>
      </c>
      <c r="R1324" t="s">
        <v>3373</v>
      </c>
      <c r="T1324" t="s">
        <v>3337</v>
      </c>
      <c r="U1324">
        <v>7</v>
      </c>
      <c r="V1324" t="s">
        <v>4021</v>
      </c>
    </row>
    <row r="1325" spans="1:22" ht="12.75" customHeight="1" x14ac:dyDescent="0.15">
      <c r="A1325">
        <v>21</v>
      </c>
      <c r="B1325">
        <v>2026</v>
      </c>
      <c r="C1325" s="21">
        <v>46164</v>
      </c>
      <c r="D1325" t="s">
        <v>107</v>
      </c>
      <c r="E1325" t="s">
        <v>108</v>
      </c>
      <c r="F1325" t="s">
        <v>21</v>
      </c>
      <c r="G1325">
        <v>4.5</v>
      </c>
      <c r="H1325" t="s">
        <v>3519</v>
      </c>
      <c r="I1325" t="s">
        <v>214</v>
      </c>
      <c r="J1325" s="1" t="s">
        <v>215</v>
      </c>
      <c r="K1325" t="s">
        <v>181</v>
      </c>
      <c r="L1325" t="s">
        <v>3340</v>
      </c>
      <c r="M1325">
        <v>132</v>
      </c>
      <c r="N1325">
        <v>0.73</v>
      </c>
      <c r="O1325" t="s">
        <v>211</v>
      </c>
      <c r="P1325">
        <v>40</v>
      </c>
      <c r="R1325" t="s">
        <v>3368</v>
      </c>
      <c r="T1325" t="s">
        <v>3337</v>
      </c>
      <c r="U1325">
        <v>7</v>
      </c>
      <c r="V1325" t="s">
        <v>4021</v>
      </c>
    </row>
    <row r="1326" spans="1:22" ht="12.75" customHeight="1" x14ac:dyDescent="0.15">
      <c r="A1326">
        <v>21</v>
      </c>
      <c r="B1326">
        <v>2026</v>
      </c>
      <c r="C1326" s="21">
        <v>46164</v>
      </c>
      <c r="D1326" t="s">
        <v>84</v>
      </c>
      <c r="E1326" t="s">
        <v>85</v>
      </c>
      <c r="F1326" t="s">
        <v>21</v>
      </c>
      <c r="G1326">
        <v>2</v>
      </c>
      <c r="H1326" t="s">
        <v>3519</v>
      </c>
      <c r="I1326" t="s">
        <v>214</v>
      </c>
      <c r="J1326" s="1" t="s">
        <v>215</v>
      </c>
      <c r="K1326" t="s">
        <v>181</v>
      </c>
      <c r="L1326" t="s">
        <v>3340</v>
      </c>
      <c r="M1326">
        <v>62</v>
      </c>
      <c r="N1326">
        <v>0.36</v>
      </c>
      <c r="O1326" t="s">
        <v>211</v>
      </c>
      <c r="P1326">
        <v>20</v>
      </c>
      <c r="R1326" t="s">
        <v>3375</v>
      </c>
      <c r="T1326" t="s">
        <v>3337</v>
      </c>
      <c r="U1326">
        <v>32</v>
      </c>
      <c r="V1326" t="s">
        <v>3711</v>
      </c>
    </row>
    <row r="1327" spans="1:22" ht="12.75" customHeight="1" x14ac:dyDescent="0.15">
      <c r="A1327">
        <v>21</v>
      </c>
      <c r="B1327">
        <v>2026</v>
      </c>
      <c r="C1327" s="21">
        <v>46164</v>
      </c>
      <c r="D1327" t="s">
        <v>84</v>
      </c>
      <c r="E1327" t="s">
        <v>85</v>
      </c>
      <c r="F1327" t="s">
        <v>21</v>
      </c>
      <c r="G1327">
        <v>2</v>
      </c>
      <c r="H1327" t="s">
        <v>3519</v>
      </c>
      <c r="I1327" t="s">
        <v>214</v>
      </c>
      <c r="J1327" s="1" t="s">
        <v>215</v>
      </c>
      <c r="K1327" t="s">
        <v>181</v>
      </c>
      <c r="L1327" t="s">
        <v>3340</v>
      </c>
      <c r="M1327">
        <v>45</v>
      </c>
      <c r="N1327">
        <v>0.36</v>
      </c>
      <c r="O1327" t="s">
        <v>211</v>
      </c>
      <c r="P1327">
        <v>20</v>
      </c>
      <c r="R1327" t="s">
        <v>3377</v>
      </c>
      <c r="T1327" t="s">
        <v>3337</v>
      </c>
      <c r="U1327">
        <v>32</v>
      </c>
      <c r="V1327" t="s">
        <v>3711</v>
      </c>
    </row>
    <row r="1328" spans="1:22" ht="12.75" customHeight="1" x14ac:dyDescent="0.15">
      <c r="A1328">
        <v>21</v>
      </c>
      <c r="B1328">
        <v>2026</v>
      </c>
      <c r="C1328" s="21">
        <v>46164</v>
      </c>
      <c r="D1328" t="s">
        <v>84</v>
      </c>
      <c r="E1328" t="s">
        <v>85</v>
      </c>
      <c r="F1328" t="s">
        <v>21</v>
      </c>
      <c r="G1328">
        <v>2</v>
      </c>
      <c r="H1328" t="s">
        <v>3519</v>
      </c>
      <c r="I1328" t="s">
        <v>214</v>
      </c>
      <c r="J1328" s="1" t="s">
        <v>215</v>
      </c>
      <c r="K1328" t="s">
        <v>181</v>
      </c>
      <c r="L1328" t="s">
        <v>3340</v>
      </c>
      <c r="M1328">
        <v>53</v>
      </c>
      <c r="N1328">
        <v>0.36</v>
      </c>
      <c r="O1328" t="s">
        <v>211</v>
      </c>
      <c r="P1328">
        <v>20</v>
      </c>
      <c r="R1328" t="s">
        <v>3373</v>
      </c>
      <c r="T1328" t="s">
        <v>3337</v>
      </c>
      <c r="U1328">
        <v>32</v>
      </c>
      <c r="V1328" t="s">
        <v>3711</v>
      </c>
    </row>
    <row r="1329" spans="1:22" ht="12.75" customHeight="1" x14ac:dyDescent="0.15">
      <c r="A1329">
        <v>21</v>
      </c>
      <c r="B1329">
        <v>2026</v>
      </c>
      <c r="C1329" s="21">
        <v>46164</v>
      </c>
      <c r="D1329" t="s">
        <v>84</v>
      </c>
      <c r="E1329" t="s">
        <v>85</v>
      </c>
      <c r="F1329" t="s">
        <v>21</v>
      </c>
      <c r="G1329">
        <v>2</v>
      </c>
      <c r="H1329" t="s">
        <v>3519</v>
      </c>
      <c r="I1329" t="s">
        <v>214</v>
      </c>
      <c r="J1329" s="1" t="s">
        <v>215</v>
      </c>
      <c r="K1329" t="s">
        <v>181</v>
      </c>
      <c r="L1329" t="s">
        <v>3340</v>
      </c>
      <c r="M1329">
        <v>81</v>
      </c>
      <c r="N1329">
        <v>0.36</v>
      </c>
      <c r="O1329" t="s">
        <v>211</v>
      </c>
      <c r="P1329">
        <v>20</v>
      </c>
      <c r="R1329" t="s">
        <v>3374</v>
      </c>
      <c r="T1329" t="s">
        <v>3337</v>
      </c>
      <c r="U1329">
        <v>32</v>
      </c>
      <c r="V1329" t="s">
        <v>3711</v>
      </c>
    </row>
    <row r="1330" spans="1:22" ht="12.75" customHeight="1" x14ac:dyDescent="0.15">
      <c r="A1330">
        <v>21</v>
      </c>
      <c r="B1330">
        <v>2026</v>
      </c>
      <c r="C1330" s="21">
        <v>46164</v>
      </c>
      <c r="D1330" t="s">
        <v>84</v>
      </c>
      <c r="E1330" t="s">
        <v>85</v>
      </c>
      <c r="F1330" t="s">
        <v>21</v>
      </c>
      <c r="G1330">
        <v>2</v>
      </c>
      <c r="H1330" t="s">
        <v>3519</v>
      </c>
      <c r="I1330" t="s">
        <v>214</v>
      </c>
      <c r="J1330" s="1" t="s">
        <v>215</v>
      </c>
      <c r="K1330" t="s">
        <v>181</v>
      </c>
      <c r="L1330" t="s">
        <v>3340</v>
      </c>
      <c r="M1330">
        <v>58</v>
      </c>
      <c r="N1330">
        <v>0.36</v>
      </c>
      <c r="O1330" t="s">
        <v>211</v>
      </c>
      <c r="P1330">
        <v>20</v>
      </c>
      <c r="R1330" t="s">
        <v>3343</v>
      </c>
      <c r="T1330" t="s">
        <v>3337</v>
      </c>
      <c r="U1330">
        <v>32</v>
      </c>
      <c r="V1330" t="s">
        <v>3711</v>
      </c>
    </row>
    <row r="1331" spans="1:22" ht="12.75" customHeight="1" x14ac:dyDescent="0.15">
      <c r="A1331">
        <v>21</v>
      </c>
      <c r="B1331">
        <v>2026</v>
      </c>
      <c r="C1331" s="21">
        <v>46164</v>
      </c>
      <c r="D1331" t="s">
        <v>84</v>
      </c>
      <c r="E1331" t="s">
        <v>85</v>
      </c>
      <c r="F1331" t="s">
        <v>21</v>
      </c>
      <c r="G1331">
        <v>2</v>
      </c>
      <c r="H1331" t="s">
        <v>3519</v>
      </c>
      <c r="I1331" t="s">
        <v>214</v>
      </c>
      <c r="J1331" s="1" t="s">
        <v>215</v>
      </c>
      <c r="K1331" t="s">
        <v>181</v>
      </c>
      <c r="L1331" t="s">
        <v>3340</v>
      </c>
      <c r="M1331">
        <v>132</v>
      </c>
      <c r="N1331">
        <v>0.36</v>
      </c>
      <c r="O1331" t="s">
        <v>211</v>
      </c>
      <c r="P1331">
        <v>20</v>
      </c>
      <c r="R1331" t="s">
        <v>3368</v>
      </c>
      <c r="T1331" t="s">
        <v>3337</v>
      </c>
      <c r="U1331">
        <v>32</v>
      </c>
      <c r="V1331" t="s">
        <v>3711</v>
      </c>
    </row>
    <row r="1332" spans="1:22" ht="12.75" customHeight="1" x14ac:dyDescent="0.15">
      <c r="A1332">
        <v>21</v>
      </c>
      <c r="B1332">
        <v>2026</v>
      </c>
      <c r="C1332" s="21">
        <v>46164</v>
      </c>
      <c r="D1332" t="s">
        <v>73</v>
      </c>
      <c r="E1332" t="s">
        <v>74</v>
      </c>
      <c r="F1332" t="s">
        <v>75</v>
      </c>
      <c r="G1332">
        <v>2.2999999999999998</v>
      </c>
      <c r="H1332" t="s">
        <v>3400</v>
      </c>
      <c r="I1332" t="s">
        <v>353</v>
      </c>
      <c r="J1332" s="1" t="s">
        <v>253</v>
      </c>
      <c r="K1332" t="s">
        <v>181</v>
      </c>
      <c r="L1332" t="s">
        <v>3333</v>
      </c>
      <c r="M1332">
        <v>2</v>
      </c>
      <c r="N1332">
        <v>0.35</v>
      </c>
      <c r="O1332" t="s">
        <v>3440</v>
      </c>
      <c r="P1332">
        <v>31.67</v>
      </c>
      <c r="Q1332">
        <v>2.8</v>
      </c>
      <c r="R1332" t="s">
        <v>3424</v>
      </c>
      <c r="T1332" t="s">
        <v>3337</v>
      </c>
      <c r="U1332">
        <v>34</v>
      </c>
      <c r="V1332" t="s">
        <v>4022</v>
      </c>
    </row>
    <row r="1333" spans="1:22" ht="12.75" customHeight="1" x14ac:dyDescent="0.15">
      <c r="A1333">
        <v>21</v>
      </c>
      <c r="B1333">
        <v>2026</v>
      </c>
      <c r="C1333" s="21">
        <v>46164</v>
      </c>
      <c r="D1333" t="s">
        <v>80</v>
      </c>
      <c r="E1333" t="s">
        <v>81</v>
      </c>
      <c r="F1333" t="s">
        <v>21</v>
      </c>
      <c r="G1333">
        <v>2.2999999999999998</v>
      </c>
      <c r="H1333" t="s">
        <v>3400</v>
      </c>
      <c r="I1333" t="s">
        <v>353</v>
      </c>
      <c r="J1333" s="1" t="s">
        <v>253</v>
      </c>
      <c r="K1333" t="s">
        <v>181</v>
      </c>
      <c r="L1333" t="s">
        <v>3333</v>
      </c>
      <c r="M1333">
        <v>2</v>
      </c>
      <c r="N1333">
        <v>0.65</v>
      </c>
      <c r="O1333" t="s">
        <v>3440</v>
      </c>
      <c r="P1333">
        <v>58.82</v>
      </c>
      <c r="Q1333">
        <v>5.2</v>
      </c>
      <c r="R1333" t="s">
        <v>3424</v>
      </c>
      <c r="T1333" t="s">
        <v>3337</v>
      </c>
      <c r="U1333">
        <v>50</v>
      </c>
      <c r="V1333" t="s">
        <v>4023</v>
      </c>
    </row>
    <row r="1334" spans="1:22" ht="12.75" customHeight="1" x14ac:dyDescent="0.15">
      <c r="A1334">
        <v>21</v>
      </c>
      <c r="B1334">
        <v>2026</v>
      </c>
      <c r="C1334" s="21">
        <v>46164</v>
      </c>
      <c r="D1334" t="s">
        <v>137</v>
      </c>
      <c r="E1334" t="s">
        <v>138</v>
      </c>
      <c r="F1334" t="s">
        <v>21</v>
      </c>
      <c r="G1334">
        <v>1</v>
      </c>
      <c r="H1334" t="s">
        <v>3567</v>
      </c>
      <c r="I1334" t="s">
        <v>321</v>
      </c>
      <c r="J1334" s="1" t="s">
        <v>26</v>
      </c>
      <c r="K1334" t="s">
        <v>181</v>
      </c>
      <c r="L1334" t="s">
        <v>3333</v>
      </c>
      <c r="M1334">
        <v>80</v>
      </c>
      <c r="N1334">
        <v>0.25</v>
      </c>
      <c r="O1334" t="s">
        <v>213</v>
      </c>
      <c r="P1334">
        <v>22.5</v>
      </c>
      <c r="Q1334">
        <v>2</v>
      </c>
      <c r="R1334" t="s">
        <v>3560</v>
      </c>
      <c r="T1334" t="s">
        <v>3402</v>
      </c>
      <c r="U1334">
        <v>-42</v>
      </c>
      <c r="V1334" t="s">
        <v>3523</v>
      </c>
    </row>
    <row r="1335" spans="1:22" ht="12.75" customHeight="1" x14ac:dyDescent="0.15">
      <c r="A1335">
        <v>21</v>
      </c>
      <c r="B1335">
        <v>2026</v>
      </c>
      <c r="C1335" s="21">
        <v>46164</v>
      </c>
      <c r="D1335" t="s">
        <v>137</v>
      </c>
      <c r="E1335" t="s">
        <v>138</v>
      </c>
      <c r="F1335" t="s">
        <v>21</v>
      </c>
      <c r="G1335">
        <v>1</v>
      </c>
      <c r="H1335" t="s">
        <v>4013</v>
      </c>
      <c r="I1335" t="s">
        <v>321</v>
      </c>
      <c r="J1335" s="1" t="s">
        <v>26</v>
      </c>
      <c r="K1335" t="s">
        <v>2666</v>
      </c>
      <c r="L1335" t="s">
        <v>3587</v>
      </c>
      <c r="N1335">
        <v>0.76</v>
      </c>
      <c r="O1335" t="s">
        <v>4014</v>
      </c>
      <c r="P1335">
        <v>16.239999999999998</v>
      </c>
      <c r="Q1335">
        <v>2</v>
      </c>
      <c r="T1335" t="s">
        <v>3402</v>
      </c>
      <c r="U1335">
        <v>-42</v>
      </c>
      <c r="V1335" t="s">
        <v>4024</v>
      </c>
    </row>
    <row r="1336" spans="1:22" ht="12.75" customHeight="1" x14ac:dyDescent="0.15">
      <c r="A1336">
        <v>21</v>
      </c>
      <c r="B1336">
        <v>2026</v>
      </c>
      <c r="C1336" s="21">
        <v>46164</v>
      </c>
      <c r="D1336" t="s">
        <v>115</v>
      </c>
      <c r="E1336" t="s">
        <v>116</v>
      </c>
      <c r="F1336" t="s">
        <v>21</v>
      </c>
      <c r="G1336">
        <v>2</v>
      </c>
      <c r="H1336" t="s">
        <v>4025</v>
      </c>
      <c r="I1336" t="s">
        <v>4026</v>
      </c>
      <c r="J1336" s="1" t="s">
        <v>215</v>
      </c>
      <c r="K1336" t="s">
        <v>2666</v>
      </c>
      <c r="L1336" t="s">
        <v>3587</v>
      </c>
      <c r="N1336">
        <v>0.38</v>
      </c>
      <c r="O1336" t="s">
        <v>4014</v>
      </c>
      <c r="P1336">
        <v>8.1199999999999992</v>
      </c>
      <c r="Q1336">
        <v>1</v>
      </c>
      <c r="T1336" t="s">
        <v>3402</v>
      </c>
      <c r="U1336">
        <v>1</v>
      </c>
      <c r="V1336" t="s">
        <v>4011</v>
      </c>
    </row>
    <row r="1337" spans="1:22" ht="12.75" customHeight="1" x14ac:dyDescent="0.15">
      <c r="A1337">
        <v>21</v>
      </c>
      <c r="B1337">
        <v>2026</v>
      </c>
      <c r="C1337" s="21">
        <v>46164</v>
      </c>
      <c r="D1337" t="s">
        <v>115</v>
      </c>
      <c r="E1337" t="s">
        <v>116</v>
      </c>
      <c r="F1337" t="s">
        <v>21</v>
      </c>
      <c r="G1337">
        <v>2</v>
      </c>
      <c r="H1337" t="s">
        <v>3605</v>
      </c>
      <c r="I1337" t="s">
        <v>335</v>
      </c>
      <c r="J1337" s="1" t="s">
        <v>3533</v>
      </c>
      <c r="K1337" t="s">
        <v>181</v>
      </c>
      <c r="L1337" t="s">
        <v>3333</v>
      </c>
      <c r="M1337">
        <v>3</v>
      </c>
      <c r="N1337">
        <v>0.13</v>
      </c>
      <c r="O1337" t="s">
        <v>3334</v>
      </c>
      <c r="P1337">
        <v>10.199999999999999</v>
      </c>
      <c r="Q1337">
        <v>1</v>
      </c>
      <c r="R1337" t="s">
        <v>3478</v>
      </c>
      <c r="T1337" t="s">
        <v>3402</v>
      </c>
      <c r="U1337">
        <v>1</v>
      </c>
      <c r="V1337" t="s">
        <v>3463</v>
      </c>
    </row>
    <row r="1338" spans="1:22" ht="12.75" customHeight="1" x14ac:dyDescent="0.15">
      <c r="A1338">
        <v>21</v>
      </c>
      <c r="B1338">
        <v>2026</v>
      </c>
      <c r="C1338" s="21">
        <v>46164</v>
      </c>
      <c r="D1338" t="s">
        <v>115</v>
      </c>
      <c r="E1338" t="s">
        <v>116</v>
      </c>
      <c r="F1338" t="s">
        <v>21</v>
      </c>
      <c r="G1338">
        <v>2</v>
      </c>
      <c r="H1338" t="s">
        <v>3605</v>
      </c>
      <c r="I1338" t="s">
        <v>335</v>
      </c>
      <c r="J1338" s="1" t="s">
        <v>3533</v>
      </c>
      <c r="K1338" t="s">
        <v>181</v>
      </c>
      <c r="L1338" t="s">
        <v>3333</v>
      </c>
      <c r="M1338">
        <v>86</v>
      </c>
      <c r="N1338">
        <v>0.13</v>
      </c>
      <c r="O1338" t="s">
        <v>3334</v>
      </c>
      <c r="P1338">
        <v>10.199999999999999</v>
      </c>
      <c r="Q1338">
        <v>1</v>
      </c>
      <c r="R1338" t="s">
        <v>3386</v>
      </c>
      <c r="T1338" t="s">
        <v>3402</v>
      </c>
      <c r="U1338">
        <v>1</v>
      </c>
      <c r="V1338" t="s">
        <v>3463</v>
      </c>
    </row>
    <row r="1339" spans="1:22" ht="12.75" customHeight="1" x14ac:dyDescent="0.15">
      <c r="A1339">
        <v>21</v>
      </c>
      <c r="B1339">
        <v>2026</v>
      </c>
      <c r="C1339" s="21">
        <v>46164</v>
      </c>
      <c r="D1339" t="s">
        <v>115</v>
      </c>
      <c r="E1339" t="s">
        <v>116</v>
      </c>
      <c r="F1339" t="s">
        <v>21</v>
      </c>
      <c r="G1339">
        <v>2</v>
      </c>
      <c r="H1339" t="s">
        <v>3845</v>
      </c>
      <c r="I1339" t="s">
        <v>380</v>
      </c>
      <c r="J1339" s="1" t="s">
        <v>3533</v>
      </c>
      <c r="K1339" t="s">
        <v>181</v>
      </c>
      <c r="L1339" t="s">
        <v>3333</v>
      </c>
      <c r="M1339">
        <v>3</v>
      </c>
      <c r="N1339">
        <v>0.88</v>
      </c>
      <c r="O1339" t="s">
        <v>3334</v>
      </c>
      <c r="P1339">
        <v>71.38</v>
      </c>
      <c r="Q1339">
        <v>7</v>
      </c>
      <c r="R1339" t="s">
        <v>3478</v>
      </c>
      <c r="T1339" t="s">
        <v>3402</v>
      </c>
      <c r="U1339">
        <v>1</v>
      </c>
      <c r="V1339" t="s">
        <v>3469</v>
      </c>
    </row>
    <row r="1340" spans="1:22" ht="12.75" customHeight="1" x14ac:dyDescent="0.15">
      <c r="A1340">
        <v>21</v>
      </c>
      <c r="B1340">
        <v>2026</v>
      </c>
      <c r="C1340" s="21">
        <v>46164</v>
      </c>
      <c r="D1340" t="s">
        <v>115</v>
      </c>
      <c r="E1340" t="s">
        <v>116</v>
      </c>
      <c r="F1340" t="s">
        <v>21</v>
      </c>
      <c r="G1340">
        <v>2</v>
      </c>
      <c r="H1340" t="s">
        <v>3845</v>
      </c>
      <c r="I1340" t="s">
        <v>380</v>
      </c>
      <c r="J1340" s="1" t="s">
        <v>3533</v>
      </c>
      <c r="K1340" t="s">
        <v>181</v>
      </c>
      <c r="L1340" t="s">
        <v>3333</v>
      </c>
      <c r="M1340">
        <v>86</v>
      </c>
      <c r="N1340">
        <v>0.88</v>
      </c>
      <c r="O1340" t="s">
        <v>3334</v>
      </c>
      <c r="P1340">
        <v>71.38</v>
      </c>
      <c r="Q1340">
        <v>7</v>
      </c>
      <c r="R1340" t="s">
        <v>3386</v>
      </c>
      <c r="T1340" t="s">
        <v>3402</v>
      </c>
      <c r="U1340">
        <v>1</v>
      </c>
      <c r="V1340" t="s">
        <v>3469</v>
      </c>
    </row>
    <row r="1341" spans="1:22" ht="12.75" customHeight="1" x14ac:dyDescent="0.15">
      <c r="A1341">
        <v>21</v>
      </c>
      <c r="B1341">
        <v>2026</v>
      </c>
      <c r="C1341" s="21">
        <v>46164</v>
      </c>
      <c r="D1341" t="s">
        <v>80</v>
      </c>
      <c r="E1341" t="s">
        <v>81</v>
      </c>
      <c r="F1341" t="s">
        <v>21</v>
      </c>
      <c r="G1341">
        <v>2.2999999999999998</v>
      </c>
      <c r="H1341" t="s">
        <v>3391</v>
      </c>
      <c r="I1341" t="s">
        <v>353</v>
      </c>
      <c r="J1341" s="1" t="s">
        <v>253</v>
      </c>
      <c r="K1341" t="s">
        <v>181</v>
      </c>
      <c r="L1341" t="s">
        <v>3333</v>
      </c>
      <c r="M1341">
        <v>19</v>
      </c>
      <c r="N1341">
        <v>0.66</v>
      </c>
      <c r="O1341" t="s">
        <v>3334</v>
      </c>
      <c r="P1341">
        <v>53.54</v>
      </c>
      <c r="Q1341">
        <v>5.25</v>
      </c>
      <c r="R1341" t="s">
        <v>3403</v>
      </c>
      <c r="T1341" t="s">
        <v>3402</v>
      </c>
      <c r="U1341">
        <v>50</v>
      </c>
      <c r="V1341" t="s">
        <v>4027</v>
      </c>
    </row>
    <row r="1342" spans="1:22" ht="12.75" customHeight="1" x14ac:dyDescent="0.15">
      <c r="A1342">
        <v>21</v>
      </c>
      <c r="B1342">
        <v>2026</v>
      </c>
      <c r="C1342" s="21">
        <v>46164</v>
      </c>
      <c r="D1342" t="s">
        <v>80</v>
      </c>
      <c r="E1342" t="s">
        <v>81</v>
      </c>
      <c r="F1342" t="s">
        <v>21</v>
      </c>
      <c r="G1342">
        <v>2.2999999999999998</v>
      </c>
      <c r="H1342" t="s">
        <v>3391</v>
      </c>
      <c r="I1342" t="s">
        <v>353</v>
      </c>
      <c r="J1342" s="1" t="s">
        <v>253</v>
      </c>
      <c r="K1342" t="s">
        <v>181</v>
      </c>
      <c r="L1342" t="s">
        <v>3333</v>
      </c>
      <c r="M1342">
        <v>4</v>
      </c>
      <c r="N1342">
        <v>0.28000000000000003</v>
      </c>
      <c r="O1342" t="s">
        <v>3334</v>
      </c>
      <c r="P1342">
        <v>22.94</v>
      </c>
      <c r="Q1342">
        <v>2.25</v>
      </c>
      <c r="R1342" t="s">
        <v>3773</v>
      </c>
      <c r="T1342" t="s">
        <v>3402</v>
      </c>
      <c r="U1342">
        <v>50</v>
      </c>
      <c r="V1342" t="s">
        <v>4028</v>
      </c>
    </row>
    <row r="1343" spans="1:22" ht="12.75" customHeight="1" x14ac:dyDescent="0.15">
      <c r="A1343">
        <v>21</v>
      </c>
      <c r="B1343">
        <v>2026</v>
      </c>
      <c r="C1343" s="21">
        <v>46164</v>
      </c>
      <c r="D1343" t="s">
        <v>80</v>
      </c>
      <c r="E1343" t="s">
        <v>81</v>
      </c>
      <c r="F1343" t="s">
        <v>21</v>
      </c>
      <c r="G1343">
        <v>2.2999999999999998</v>
      </c>
      <c r="H1343" t="s">
        <v>3391</v>
      </c>
      <c r="I1343" t="s">
        <v>353</v>
      </c>
      <c r="J1343" s="1" t="s">
        <v>253</v>
      </c>
      <c r="K1343" t="s">
        <v>181</v>
      </c>
      <c r="L1343" t="s">
        <v>3340</v>
      </c>
      <c r="M1343">
        <v>78</v>
      </c>
      <c r="N1343">
        <v>0.86</v>
      </c>
      <c r="O1343" t="s">
        <v>211</v>
      </c>
      <c r="P1343">
        <v>47.25</v>
      </c>
      <c r="Q1343">
        <v>5.25</v>
      </c>
      <c r="R1343" t="s">
        <v>3341</v>
      </c>
      <c r="T1343" t="s">
        <v>3402</v>
      </c>
      <c r="U1343">
        <v>50</v>
      </c>
      <c r="V1343" t="s">
        <v>4029</v>
      </c>
    </row>
    <row r="1344" spans="1:22" ht="12.75" customHeight="1" x14ac:dyDescent="0.15">
      <c r="A1344">
        <v>21</v>
      </c>
      <c r="B1344">
        <v>2026</v>
      </c>
      <c r="C1344" s="21">
        <v>46164</v>
      </c>
      <c r="D1344" t="s">
        <v>73</v>
      </c>
      <c r="E1344" t="s">
        <v>74</v>
      </c>
      <c r="F1344" t="s">
        <v>75</v>
      </c>
      <c r="G1344">
        <v>2.2999999999999998</v>
      </c>
      <c r="H1344" t="s">
        <v>3391</v>
      </c>
      <c r="I1344" t="s">
        <v>353</v>
      </c>
      <c r="J1344" s="1" t="s">
        <v>253</v>
      </c>
      <c r="K1344" t="s">
        <v>181</v>
      </c>
      <c r="L1344" t="s">
        <v>3333</v>
      </c>
      <c r="M1344">
        <v>19</v>
      </c>
      <c r="N1344">
        <v>0.34</v>
      </c>
      <c r="O1344" t="s">
        <v>3334</v>
      </c>
      <c r="P1344">
        <v>28.04</v>
      </c>
      <c r="Q1344">
        <v>2.75</v>
      </c>
      <c r="R1344" t="s">
        <v>3403</v>
      </c>
      <c r="T1344" t="s">
        <v>3402</v>
      </c>
      <c r="U1344">
        <v>34</v>
      </c>
      <c r="V1344" t="s">
        <v>4030</v>
      </c>
    </row>
    <row r="1345" spans="1:22" ht="12.75" customHeight="1" x14ac:dyDescent="0.15">
      <c r="A1345">
        <v>21</v>
      </c>
      <c r="B1345">
        <v>2026</v>
      </c>
      <c r="C1345" s="21">
        <v>46164</v>
      </c>
      <c r="D1345" t="s">
        <v>73</v>
      </c>
      <c r="E1345" t="s">
        <v>74</v>
      </c>
      <c r="F1345" t="s">
        <v>75</v>
      </c>
      <c r="G1345">
        <v>2.2999999999999998</v>
      </c>
      <c r="H1345" t="s">
        <v>3391</v>
      </c>
      <c r="I1345" t="s">
        <v>353</v>
      </c>
      <c r="J1345" s="1" t="s">
        <v>253</v>
      </c>
      <c r="K1345" t="s">
        <v>181</v>
      </c>
      <c r="L1345" t="s">
        <v>3333</v>
      </c>
      <c r="M1345">
        <v>4</v>
      </c>
      <c r="N1345">
        <v>0.34</v>
      </c>
      <c r="O1345" t="s">
        <v>3334</v>
      </c>
      <c r="P1345">
        <v>28.04</v>
      </c>
      <c r="Q1345">
        <v>2.75</v>
      </c>
      <c r="R1345" t="s">
        <v>3773</v>
      </c>
      <c r="T1345" t="s">
        <v>3402</v>
      </c>
      <c r="U1345">
        <v>34</v>
      </c>
      <c r="V1345" t="s">
        <v>4030</v>
      </c>
    </row>
    <row r="1346" spans="1:22" ht="12.75" customHeight="1" x14ac:dyDescent="0.15">
      <c r="A1346">
        <v>21</v>
      </c>
      <c r="B1346">
        <v>2026</v>
      </c>
      <c r="C1346" s="21">
        <v>46164</v>
      </c>
      <c r="D1346" t="s">
        <v>73</v>
      </c>
      <c r="E1346" t="s">
        <v>74</v>
      </c>
      <c r="F1346" t="s">
        <v>75</v>
      </c>
      <c r="G1346">
        <v>2.2999999999999998</v>
      </c>
      <c r="H1346" t="s">
        <v>3391</v>
      </c>
      <c r="I1346" t="s">
        <v>353</v>
      </c>
      <c r="J1346" s="1" t="s">
        <v>253</v>
      </c>
      <c r="K1346" t="s">
        <v>181</v>
      </c>
      <c r="L1346" t="s">
        <v>3340</v>
      </c>
      <c r="M1346">
        <v>78</v>
      </c>
      <c r="N1346">
        <v>0.45</v>
      </c>
      <c r="O1346" t="s">
        <v>211</v>
      </c>
      <c r="P1346">
        <v>24.75</v>
      </c>
      <c r="Q1346">
        <v>2.75</v>
      </c>
      <c r="R1346" t="s">
        <v>3341</v>
      </c>
      <c r="T1346" t="s">
        <v>3402</v>
      </c>
      <c r="U1346">
        <v>34</v>
      </c>
      <c r="V1346" t="s">
        <v>4031</v>
      </c>
    </row>
    <row r="1347" spans="1:22" ht="12.75" customHeight="1" x14ac:dyDescent="0.15">
      <c r="A1347">
        <v>21</v>
      </c>
      <c r="B1347">
        <v>2026</v>
      </c>
      <c r="C1347" s="21">
        <v>46164</v>
      </c>
      <c r="D1347" t="s">
        <v>73</v>
      </c>
      <c r="E1347" t="s">
        <v>74</v>
      </c>
      <c r="F1347" t="s">
        <v>75</v>
      </c>
      <c r="G1347">
        <v>2.2999999999999998</v>
      </c>
      <c r="H1347" t="s">
        <v>3391</v>
      </c>
      <c r="I1347" t="s">
        <v>353</v>
      </c>
      <c r="J1347" s="1" t="s">
        <v>253</v>
      </c>
      <c r="K1347" t="s">
        <v>181</v>
      </c>
      <c r="L1347" t="s">
        <v>3587</v>
      </c>
      <c r="M1347">
        <v>120</v>
      </c>
      <c r="N1347">
        <v>3.27</v>
      </c>
      <c r="O1347" t="s">
        <v>211</v>
      </c>
      <c r="P1347">
        <v>179.6</v>
      </c>
      <c r="R1347" t="s">
        <v>3415</v>
      </c>
      <c r="T1347" t="s">
        <v>3402</v>
      </c>
      <c r="U1347">
        <v>34</v>
      </c>
      <c r="V1347" t="s">
        <v>4032</v>
      </c>
    </row>
    <row r="1348" spans="1:22" ht="12.75" customHeight="1" x14ac:dyDescent="0.15">
      <c r="A1348">
        <v>21</v>
      </c>
      <c r="B1348">
        <v>2026</v>
      </c>
      <c r="C1348" s="21">
        <v>46164</v>
      </c>
      <c r="D1348" t="s">
        <v>80</v>
      </c>
      <c r="E1348" t="s">
        <v>81</v>
      </c>
      <c r="F1348" t="s">
        <v>21</v>
      </c>
      <c r="G1348">
        <v>2.2999999999999998</v>
      </c>
      <c r="H1348" t="s">
        <v>3391</v>
      </c>
      <c r="I1348" t="s">
        <v>353</v>
      </c>
      <c r="J1348" s="1" t="s">
        <v>253</v>
      </c>
      <c r="K1348" t="s">
        <v>181</v>
      </c>
      <c r="L1348" t="s">
        <v>3587</v>
      </c>
      <c r="M1348">
        <v>120</v>
      </c>
      <c r="N1348">
        <v>4.7300000000000004</v>
      </c>
      <c r="O1348" t="s">
        <v>211</v>
      </c>
      <c r="P1348">
        <v>260.39999999999998</v>
      </c>
      <c r="R1348" t="s">
        <v>3415</v>
      </c>
      <c r="T1348" t="s">
        <v>3402</v>
      </c>
      <c r="U1348">
        <v>50</v>
      </c>
      <c r="V1348" t="s">
        <v>4033</v>
      </c>
    </row>
    <row r="1349" spans="1:22" ht="12.75" customHeight="1" x14ac:dyDescent="0.15">
      <c r="A1349">
        <v>21</v>
      </c>
      <c r="B1349">
        <v>2026</v>
      </c>
      <c r="C1349" s="21">
        <v>46164</v>
      </c>
      <c r="D1349" t="s">
        <v>73</v>
      </c>
      <c r="E1349" t="s">
        <v>74</v>
      </c>
      <c r="F1349" t="s">
        <v>75</v>
      </c>
      <c r="G1349">
        <v>2.2999999999999998</v>
      </c>
      <c r="H1349" t="s">
        <v>3985</v>
      </c>
      <c r="I1349" t="s">
        <v>3986</v>
      </c>
      <c r="J1349" s="1" t="s">
        <v>3389</v>
      </c>
      <c r="K1349" t="s">
        <v>3987</v>
      </c>
      <c r="L1349" t="s">
        <v>3587</v>
      </c>
      <c r="M1349">
        <v>199</v>
      </c>
      <c r="P1349">
        <v>20</v>
      </c>
      <c r="R1349" t="s">
        <v>3988</v>
      </c>
      <c r="T1349" t="s">
        <v>3402</v>
      </c>
      <c r="U1349">
        <v>34</v>
      </c>
      <c r="V1349" t="s">
        <v>3824</v>
      </c>
    </row>
    <row r="1350" spans="1:22" ht="12.75" customHeight="1" x14ac:dyDescent="0.15">
      <c r="A1350">
        <v>21</v>
      </c>
      <c r="B1350">
        <v>2026</v>
      </c>
      <c r="C1350" s="21">
        <v>46164</v>
      </c>
      <c r="D1350" t="s">
        <v>101</v>
      </c>
      <c r="E1350" t="s">
        <v>102</v>
      </c>
      <c r="F1350" t="s">
        <v>75</v>
      </c>
      <c r="G1350">
        <v>7.6</v>
      </c>
      <c r="H1350" t="s">
        <v>3985</v>
      </c>
      <c r="I1350" t="s">
        <v>3986</v>
      </c>
      <c r="J1350" s="1" t="s">
        <v>3389</v>
      </c>
      <c r="K1350" t="s">
        <v>3987</v>
      </c>
      <c r="L1350" t="s">
        <v>3587</v>
      </c>
      <c r="M1350">
        <v>199</v>
      </c>
      <c r="P1350">
        <v>20</v>
      </c>
      <c r="R1350" t="s">
        <v>3988</v>
      </c>
      <c r="T1350" t="s">
        <v>3402</v>
      </c>
      <c r="U1350">
        <v>24</v>
      </c>
      <c r="V1350" t="s">
        <v>3357</v>
      </c>
    </row>
    <row r="1351" spans="1:22" ht="12.75" customHeight="1" x14ac:dyDescent="0.15">
      <c r="A1351">
        <v>21</v>
      </c>
      <c r="B1351">
        <v>2026</v>
      </c>
      <c r="C1351" s="21">
        <v>46165</v>
      </c>
      <c r="D1351" t="s">
        <v>19</v>
      </c>
      <c r="E1351" t="s">
        <v>20</v>
      </c>
      <c r="F1351" t="s">
        <v>21</v>
      </c>
      <c r="G1351">
        <v>3.8</v>
      </c>
      <c r="H1351" t="s">
        <v>3514</v>
      </c>
      <c r="I1351" t="s">
        <v>366</v>
      </c>
      <c r="J1351" s="1" t="s">
        <v>215</v>
      </c>
      <c r="K1351" t="s">
        <v>181</v>
      </c>
      <c r="L1351" t="s">
        <v>3340</v>
      </c>
      <c r="M1351">
        <v>62</v>
      </c>
      <c r="N1351">
        <v>0.64</v>
      </c>
      <c r="O1351" t="s">
        <v>211</v>
      </c>
      <c r="P1351">
        <v>35</v>
      </c>
      <c r="R1351" t="s">
        <v>3375</v>
      </c>
      <c r="S1351" t="s">
        <v>3579</v>
      </c>
      <c r="T1351" t="s">
        <v>3337</v>
      </c>
      <c r="U1351">
        <v>165</v>
      </c>
      <c r="V1351" t="s">
        <v>4034</v>
      </c>
    </row>
    <row r="1352" spans="1:22" ht="12.75" customHeight="1" x14ac:dyDescent="0.15">
      <c r="A1352">
        <v>21</v>
      </c>
      <c r="B1352">
        <v>2026</v>
      </c>
      <c r="C1352" s="21">
        <v>46165</v>
      </c>
      <c r="D1352" t="s">
        <v>19</v>
      </c>
      <c r="E1352" t="s">
        <v>20</v>
      </c>
      <c r="F1352" t="s">
        <v>21</v>
      </c>
      <c r="G1352">
        <v>3.8</v>
      </c>
      <c r="H1352" t="s">
        <v>3514</v>
      </c>
      <c r="I1352" t="s">
        <v>366</v>
      </c>
      <c r="J1352" s="1" t="s">
        <v>215</v>
      </c>
      <c r="K1352" t="s">
        <v>181</v>
      </c>
      <c r="L1352" t="s">
        <v>3340</v>
      </c>
      <c r="M1352">
        <v>45</v>
      </c>
      <c r="N1352">
        <v>0.64</v>
      </c>
      <c r="O1352" t="s">
        <v>211</v>
      </c>
      <c r="P1352">
        <v>35</v>
      </c>
      <c r="R1352" t="s">
        <v>3377</v>
      </c>
      <c r="T1352" t="s">
        <v>3337</v>
      </c>
      <c r="U1352">
        <v>165</v>
      </c>
      <c r="V1352" t="s">
        <v>4034</v>
      </c>
    </row>
    <row r="1353" spans="1:22" ht="12.75" customHeight="1" x14ac:dyDescent="0.15">
      <c r="A1353">
        <v>21</v>
      </c>
      <c r="B1353">
        <v>2026</v>
      </c>
      <c r="C1353" s="21">
        <v>46165</v>
      </c>
      <c r="D1353" t="s">
        <v>19</v>
      </c>
      <c r="E1353" t="s">
        <v>20</v>
      </c>
      <c r="F1353" t="s">
        <v>21</v>
      </c>
      <c r="G1353">
        <v>3.8</v>
      </c>
      <c r="H1353" t="s">
        <v>3514</v>
      </c>
      <c r="I1353" t="s">
        <v>366</v>
      </c>
      <c r="J1353" s="1" t="s">
        <v>215</v>
      </c>
      <c r="K1353" t="s">
        <v>181</v>
      </c>
      <c r="L1353" t="s">
        <v>3340</v>
      </c>
      <c r="M1353">
        <v>53</v>
      </c>
      <c r="N1353">
        <v>0.64</v>
      </c>
      <c r="O1353" t="s">
        <v>211</v>
      </c>
      <c r="P1353">
        <v>35</v>
      </c>
      <c r="R1353" t="s">
        <v>3373</v>
      </c>
      <c r="T1353" t="s">
        <v>3337</v>
      </c>
      <c r="U1353">
        <v>165</v>
      </c>
      <c r="V1353" t="s">
        <v>4034</v>
      </c>
    </row>
    <row r="1354" spans="1:22" ht="12.75" customHeight="1" x14ac:dyDescent="0.15">
      <c r="A1354">
        <v>21</v>
      </c>
      <c r="B1354">
        <v>2026</v>
      </c>
      <c r="C1354" s="21">
        <v>46165</v>
      </c>
      <c r="D1354" t="s">
        <v>19</v>
      </c>
      <c r="E1354" t="s">
        <v>20</v>
      </c>
      <c r="F1354" t="s">
        <v>21</v>
      </c>
      <c r="G1354">
        <v>3.8</v>
      </c>
      <c r="H1354" t="s">
        <v>3514</v>
      </c>
      <c r="I1354" t="s">
        <v>366</v>
      </c>
      <c r="J1354" s="1" t="s">
        <v>215</v>
      </c>
      <c r="K1354" t="s">
        <v>181</v>
      </c>
      <c r="L1354" t="s">
        <v>3340</v>
      </c>
      <c r="M1354">
        <v>81</v>
      </c>
      <c r="N1354">
        <v>0.64</v>
      </c>
      <c r="O1354" t="s">
        <v>211</v>
      </c>
      <c r="P1354">
        <v>35</v>
      </c>
      <c r="R1354" t="s">
        <v>3374</v>
      </c>
      <c r="T1354" t="s">
        <v>3337</v>
      </c>
      <c r="U1354">
        <v>165</v>
      </c>
      <c r="V1354" t="s">
        <v>4034</v>
      </c>
    </row>
    <row r="1355" spans="1:22" ht="12.75" customHeight="1" x14ac:dyDescent="0.15">
      <c r="A1355">
        <v>21</v>
      </c>
      <c r="B1355">
        <v>2026</v>
      </c>
      <c r="C1355" s="21">
        <v>46165</v>
      </c>
      <c r="D1355" t="s">
        <v>19</v>
      </c>
      <c r="E1355" t="s">
        <v>20</v>
      </c>
      <c r="F1355" t="s">
        <v>21</v>
      </c>
      <c r="G1355">
        <v>3.8</v>
      </c>
      <c r="H1355" t="s">
        <v>3514</v>
      </c>
      <c r="I1355" t="s">
        <v>366</v>
      </c>
      <c r="J1355" s="1" t="s">
        <v>215</v>
      </c>
      <c r="K1355" t="s">
        <v>181</v>
      </c>
      <c r="L1355" t="s">
        <v>3340</v>
      </c>
      <c r="M1355">
        <v>58</v>
      </c>
      <c r="N1355">
        <v>0.64</v>
      </c>
      <c r="O1355" t="s">
        <v>211</v>
      </c>
      <c r="P1355">
        <v>35</v>
      </c>
      <c r="R1355" t="s">
        <v>3343</v>
      </c>
      <c r="T1355" t="s">
        <v>3337</v>
      </c>
      <c r="U1355">
        <v>165</v>
      </c>
      <c r="V1355" t="s">
        <v>4034</v>
      </c>
    </row>
    <row r="1356" spans="1:22" ht="12.75" customHeight="1" x14ac:dyDescent="0.15">
      <c r="A1356">
        <v>21</v>
      </c>
      <c r="B1356">
        <v>2026</v>
      </c>
      <c r="C1356" s="21">
        <v>46165</v>
      </c>
      <c r="D1356" t="s">
        <v>19</v>
      </c>
      <c r="E1356" t="s">
        <v>20</v>
      </c>
      <c r="F1356" t="s">
        <v>21</v>
      </c>
      <c r="G1356">
        <v>3.8</v>
      </c>
      <c r="H1356" t="s">
        <v>3514</v>
      </c>
      <c r="I1356" t="s">
        <v>366</v>
      </c>
      <c r="J1356" s="1" t="s">
        <v>215</v>
      </c>
      <c r="K1356" t="s">
        <v>181</v>
      </c>
      <c r="L1356" t="s">
        <v>3340</v>
      </c>
      <c r="M1356">
        <v>132</v>
      </c>
      <c r="N1356">
        <v>0.64</v>
      </c>
      <c r="O1356" t="s">
        <v>211</v>
      </c>
      <c r="P1356">
        <v>35</v>
      </c>
      <c r="R1356" t="s">
        <v>3368</v>
      </c>
      <c r="T1356" t="s">
        <v>3337</v>
      </c>
      <c r="U1356">
        <v>165</v>
      </c>
      <c r="V1356" t="s">
        <v>4034</v>
      </c>
    </row>
    <row r="1357" spans="1:22" ht="12.75" customHeight="1" x14ac:dyDescent="0.15">
      <c r="A1357">
        <v>21</v>
      </c>
      <c r="B1357">
        <v>2026</v>
      </c>
      <c r="C1357" s="21">
        <v>46165</v>
      </c>
      <c r="D1357" t="s">
        <v>60</v>
      </c>
      <c r="E1357" t="s">
        <v>61</v>
      </c>
      <c r="F1357" t="s">
        <v>21</v>
      </c>
      <c r="G1357">
        <v>1.6</v>
      </c>
      <c r="H1357" t="s">
        <v>3514</v>
      </c>
      <c r="I1357" t="s">
        <v>366</v>
      </c>
      <c r="J1357" s="1" t="s">
        <v>215</v>
      </c>
      <c r="K1357" t="s">
        <v>181</v>
      </c>
      <c r="L1357" t="s">
        <v>3340</v>
      </c>
      <c r="M1357">
        <v>62</v>
      </c>
      <c r="N1357">
        <v>0.42</v>
      </c>
      <c r="O1357" t="s">
        <v>211</v>
      </c>
      <c r="P1357">
        <v>23.3</v>
      </c>
      <c r="R1357" t="s">
        <v>3375</v>
      </c>
      <c r="S1357" t="s">
        <v>3520</v>
      </c>
      <c r="T1357" t="s">
        <v>3337</v>
      </c>
      <c r="U1357">
        <v>57</v>
      </c>
      <c r="V1357" t="s">
        <v>4035</v>
      </c>
    </row>
    <row r="1358" spans="1:22" ht="12.75" customHeight="1" x14ac:dyDescent="0.15">
      <c r="A1358">
        <v>21</v>
      </c>
      <c r="B1358">
        <v>2026</v>
      </c>
      <c r="C1358" s="21">
        <v>46165</v>
      </c>
      <c r="D1358" t="s">
        <v>60</v>
      </c>
      <c r="E1358" t="s">
        <v>61</v>
      </c>
      <c r="F1358" t="s">
        <v>21</v>
      </c>
      <c r="G1358">
        <v>1.6</v>
      </c>
      <c r="H1358" t="s">
        <v>3514</v>
      </c>
      <c r="I1358" t="s">
        <v>366</v>
      </c>
      <c r="J1358" s="1" t="s">
        <v>215</v>
      </c>
      <c r="K1358" t="s">
        <v>181</v>
      </c>
      <c r="L1358" t="s">
        <v>3340</v>
      </c>
      <c r="M1358">
        <v>45</v>
      </c>
      <c r="N1358">
        <v>0.42</v>
      </c>
      <c r="O1358" t="s">
        <v>211</v>
      </c>
      <c r="P1358">
        <v>23.3</v>
      </c>
      <c r="R1358" t="s">
        <v>3377</v>
      </c>
      <c r="T1358" t="s">
        <v>3337</v>
      </c>
      <c r="U1358">
        <v>57</v>
      </c>
      <c r="V1358" t="s">
        <v>4035</v>
      </c>
    </row>
    <row r="1359" spans="1:22" ht="12.75" customHeight="1" x14ac:dyDescent="0.15">
      <c r="A1359">
        <v>21</v>
      </c>
      <c r="B1359">
        <v>2026</v>
      </c>
      <c r="C1359" s="21">
        <v>46165</v>
      </c>
      <c r="D1359" t="s">
        <v>60</v>
      </c>
      <c r="E1359" t="s">
        <v>61</v>
      </c>
      <c r="F1359" t="s">
        <v>21</v>
      </c>
      <c r="G1359">
        <v>1.6</v>
      </c>
      <c r="H1359" t="s">
        <v>3514</v>
      </c>
      <c r="I1359" t="s">
        <v>366</v>
      </c>
      <c r="J1359" s="1" t="s">
        <v>215</v>
      </c>
      <c r="K1359" t="s">
        <v>181</v>
      </c>
      <c r="L1359" t="s">
        <v>3340</v>
      </c>
      <c r="M1359">
        <v>53</v>
      </c>
      <c r="N1359">
        <v>0.42</v>
      </c>
      <c r="O1359" t="s">
        <v>211</v>
      </c>
      <c r="P1359">
        <v>23.3</v>
      </c>
      <c r="R1359" t="s">
        <v>3373</v>
      </c>
      <c r="T1359" t="s">
        <v>3337</v>
      </c>
      <c r="U1359">
        <v>57</v>
      </c>
      <c r="V1359" t="s">
        <v>4035</v>
      </c>
    </row>
    <row r="1360" spans="1:22" ht="12.75" customHeight="1" x14ac:dyDescent="0.15">
      <c r="A1360">
        <v>21</v>
      </c>
      <c r="B1360">
        <v>2026</v>
      </c>
      <c r="C1360" s="21">
        <v>46165</v>
      </c>
      <c r="D1360" t="s">
        <v>60</v>
      </c>
      <c r="E1360" t="s">
        <v>61</v>
      </c>
      <c r="F1360" t="s">
        <v>21</v>
      </c>
      <c r="G1360">
        <v>1.6</v>
      </c>
      <c r="H1360" t="s">
        <v>3514</v>
      </c>
      <c r="I1360" t="s">
        <v>366</v>
      </c>
      <c r="J1360" s="1" t="s">
        <v>215</v>
      </c>
      <c r="K1360" t="s">
        <v>181</v>
      </c>
      <c r="L1360" t="s">
        <v>3340</v>
      </c>
      <c r="M1360">
        <v>81</v>
      </c>
      <c r="N1360">
        <v>0.42</v>
      </c>
      <c r="O1360" t="s">
        <v>211</v>
      </c>
      <c r="P1360">
        <v>23.3</v>
      </c>
      <c r="R1360" t="s">
        <v>3374</v>
      </c>
      <c r="T1360" t="s">
        <v>3337</v>
      </c>
      <c r="U1360">
        <v>57</v>
      </c>
      <c r="V1360" t="s">
        <v>4035</v>
      </c>
    </row>
    <row r="1361" spans="1:22" ht="12.75" customHeight="1" x14ac:dyDescent="0.15">
      <c r="A1361">
        <v>21</v>
      </c>
      <c r="B1361">
        <v>2026</v>
      </c>
      <c r="C1361" s="21">
        <v>46165</v>
      </c>
      <c r="D1361" t="s">
        <v>60</v>
      </c>
      <c r="E1361" t="s">
        <v>61</v>
      </c>
      <c r="F1361" t="s">
        <v>21</v>
      </c>
      <c r="G1361">
        <v>1.6</v>
      </c>
      <c r="H1361" t="s">
        <v>3514</v>
      </c>
      <c r="I1361" t="s">
        <v>366</v>
      </c>
      <c r="J1361" s="1" t="s">
        <v>215</v>
      </c>
      <c r="K1361" t="s">
        <v>181</v>
      </c>
      <c r="L1361" t="s">
        <v>3340</v>
      </c>
      <c r="M1361">
        <v>58</v>
      </c>
      <c r="N1361">
        <v>0.42</v>
      </c>
      <c r="O1361" t="s">
        <v>211</v>
      </c>
      <c r="P1361">
        <v>23.3</v>
      </c>
      <c r="R1361" t="s">
        <v>3343</v>
      </c>
      <c r="T1361" t="s">
        <v>3337</v>
      </c>
      <c r="U1361">
        <v>57</v>
      </c>
      <c r="V1361" t="s">
        <v>4035</v>
      </c>
    </row>
    <row r="1362" spans="1:22" ht="12.75" customHeight="1" x14ac:dyDescent="0.15">
      <c r="A1362">
        <v>21</v>
      </c>
      <c r="B1362">
        <v>2026</v>
      </c>
      <c r="C1362" s="21">
        <v>46165</v>
      </c>
      <c r="D1362" t="s">
        <v>60</v>
      </c>
      <c r="E1362" t="s">
        <v>61</v>
      </c>
      <c r="F1362" t="s">
        <v>21</v>
      </c>
      <c r="G1362">
        <v>1.6</v>
      </c>
      <c r="H1362" t="s">
        <v>3514</v>
      </c>
      <c r="I1362" t="s">
        <v>366</v>
      </c>
      <c r="J1362" s="1" t="s">
        <v>215</v>
      </c>
      <c r="K1362" t="s">
        <v>181</v>
      </c>
      <c r="L1362" t="s">
        <v>3340</v>
      </c>
      <c r="M1362">
        <v>132</v>
      </c>
      <c r="N1362">
        <v>0.42</v>
      </c>
      <c r="O1362" t="s">
        <v>211</v>
      </c>
      <c r="P1362">
        <v>23.3</v>
      </c>
      <c r="R1362" t="s">
        <v>3368</v>
      </c>
      <c r="T1362" t="s">
        <v>3337</v>
      </c>
      <c r="U1362">
        <v>57</v>
      </c>
      <c r="V1362" t="s">
        <v>4035</v>
      </c>
    </row>
    <row r="1363" spans="1:22" ht="12.75" customHeight="1" x14ac:dyDescent="0.15">
      <c r="A1363">
        <v>21</v>
      </c>
      <c r="B1363">
        <v>2026</v>
      </c>
      <c r="C1363" s="21">
        <v>46165</v>
      </c>
      <c r="D1363" t="s">
        <v>60</v>
      </c>
      <c r="E1363" t="s">
        <v>61</v>
      </c>
      <c r="F1363" t="s">
        <v>21</v>
      </c>
      <c r="G1363">
        <v>1.6</v>
      </c>
      <c r="H1363" t="s">
        <v>3519</v>
      </c>
      <c r="I1363" t="s">
        <v>214</v>
      </c>
      <c r="J1363" s="1" t="s">
        <v>215</v>
      </c>
      <c r="K1363" t="s">
        <v>181</v>
      </c>
      <c r="L1363" t="s">
        <v>3340</v>
      </c>
      <c r="M1363">
        <v>62</v>
      </c>
      <c r="N1363">
        <v>0.12</v>
      </c>
      <c r="O1363" t="s">
        <v>211</v>
      </c>
      <c r="P1363">
        <v>6.7</v>
      </c>
      <c r="R1363" t="s">
        <v>3375</v>
      </c>
      <c r="S1363" t="s">
        <v>4036</v>
      </c>
      <c r="T1363" t="s">
        <v>3337</v>
      </c>
      <c r="U1363">
        <v>57</v>
      </c>
      <c r="V1363" t="s">
        <v>4037</v>
      </c>
    </row>
    <row r="1364" spans="1:22" ht="12.75" customHeight="1" x14ac:dyDescent="0.15">
      <c r="A1364">
        <v>21</v>
      </c>
      <c r="B1364">
        <v>2026</v>
      </c>
      <c r="C1364" s="21">
        <v>46165</v>
      </c>
      <c r="D1364" t="s">
        <v>60</v>
      </c>
      <c r="E1364" t="s">
        <v>61</v>
      </c>
      <c r="F1364" t="s">
        <v>21</v>
      </c>
      <c r="G1364">
        <v>1.6</v>
      </c>
      <c r="H1364" t="s">
        <v>3519</v>
      </c>
      <c r="I1364" t="s">
        <v>214</v>
      </c>
      <c r="J1364" s="1" t="s">
        <v>215</v>
      </c>
      <c r="K1364" t="s">
        <v>181</v>
      </c>
      <c r="L1364" t="s">
        <v>3340</v>
      </c>
      <c r="M1364">
        <v>45</v>
      </c>
      <c r="N1364">
        <v>0.12</v>
      </c>
      <c r="O1364" t="s">
        <v>211</v>
      </c>
      <c r="P1364">
        <v>6.7</v>
      </c>
      <c r="R1364" t="s">
        <v>3377</v>
      </c>
      <c r="T1364" t="s">
        <v>3337</v>
      </c>
      <c r="U1364">
        <v>57</v>
      </c>
      <c r="V1364" t="s">
        <v>4037</v>
      </c>
    </row>
    <row r="1365" spans="1:22" ht="12.75" customHeight="1" x14ac:dyDescent="0.15">
      <c r="A1365">
        <v>21</v>
      </c>
      <c r="B1365">
        <v>2026</v>
      </c>
      <c r="C1365" s="21">
        <v>46165</v>
      </c>
      <c r="D1365" t="s">
        <v>60</v>
      </c>
      <c r="E1365" t="s">
        <v>61</v>
      </c>
      <c r="F1365" t="s">
        <v>21</v>
      </c>
      <c r="G1365">
        <v>1.6</v>
      </c>
      <c r="H1365" t="s">
        <v>3519</v>
      </c>
      <c r="I1365" t="s">
        <v>214</v>
      </c>
      <c r="J1365" s="1" t="s">
        <v>215</v>
      </c>
      <c r="K1365" t="s">
        <v>181</v>
      </c>
      <c r="L1365" t="s">
        <v>3340</v>
      </c>
      <c r="M1365">
        <v>53</v>
      </c>
      <c r="N1365">
        <v>0.12</v>
      </c>
      <c r="O1365" t="s">
        <v>211</v>
      </c>
      <c r="P1365">
        <v>6.7</v>
      </c>
      <c r="R1365" t="s">
        <v>3373</v>
      </c>
      <c r="T1365" t="s">
        <v>3337</v>
      </c>
      <c r="U1365">
        <v>57</v>
      </c>
      <c r="V1365" t="s">
        <v>4037</v>
      </c>
    </row>
    <row r="1366" spans="1:22" ht="12.75" customHeight="1" x14ac:dyDescent="0.15">
      <c r="A1366">
        <v>21</v>
      </c>
      <c r="B1366">
        <v>2026</v>
      </c>
      <c r="C1366" s="21">
        <v>46165</v>
      </c>
      <c r="D1366" t="s">
        <v>60</v>
      </c>
      <c r="E1366" t="s">
        <v>61</v>
      </c>
      <c r="F1366" t="s">
        <v>21</v>
      </c>
      <c r="G1366">
        <v>1.6</v>
      </c>
      <c r="H1366" t="s">
        <v>3519</v>
      </c>
      <c r="I1366" t="s">
        <v>214</v>
      </c>
      <c r="J1366" s="1" t="s">
        <v>215</v>
      </c>
      <c r="K1366" t="s">
        <v>181</v>
      </c>
      <c r="L1366" t="s">
        <v>3340</v>
      </c>
      <c r="M1366">
        <v>81</v>
      </c>
      <c r="N1366">
        <v>0.12</v>
      </c>
      <c r="O1366" t="s">
        <v>211</v>
      </c>
      <c r="P1366">
        <v>6.7</v>
      </c>
      <c r="R1366" t="s">
        <v>3374</v>
      </c>
      <c r="T1366" t="s">
        <v>3337</v>
      </c>
      <c r="U1366">
        <v>57</v>
      </c>
      <c r="V1366" t="s">
        <v>4037</v>
      </c>
    </row>
    <row r="1367" spans="1:22" ht="12.75" customHeight="1" x14ac:dyDescent="0.15">
      <c r="A1367">
        <v>21</v>
      </c>
      <c r="B1367">
        <v>2026</v>
      </c>
      <c r="C1367" s="21">
        <v>46165</v>
      </c>
      <c r="D1367" t="s">
        <v>60</v>
      </c>
      <c r="E1367" t="s">
        <v>61</v>
      </c>
      <c r="F1367" t="s">
        <v>21</v>
      </c>
      <c r="G1367">
        <v>1.6</v>
      </c>
      <c r="H1367" t="s">
        <v>3519</v>
      </c>
      <c r="I1367" t="s">
        <v>214</v>
      </c>
      <c r="J1367" s="1" t="s">
        <v>215</v>
      </c>
      <c r="K1367" t="s">
        <v>181</v>
      </c>
      <c r="L1367" t="s">
        <v>3340</v>
      </c>
      <c r="M1367">
        <v>58</v>
      </c>
      <c r="N1367">
        <v>0.12</v>
      </c>
      <c r="O1367" t="s">
        <v>211</v>
      </c>
      <c r="P1367">
        <v>6.7</v>
      </c>
      <c r="R1367" t="s">
        <v>3343</v>
      </c>
      <c r="T1367" t="s">
        <v>3337</v>
      </c>
      <c r="U1367">
        <v>57</v>
      </c>
      <c r="V1367" t="s">
        <v>4037</v>
      </c>
    </row>
    <row r="1368" spans="1:22" ht="12.75" customHeight="1" x14ac:dyDescent="0.15">
      <c r="A1368">
        <v>21</v>
      </c>
      <c r="B1368">
        <v>2026</v>
      </c>
      <c r="C1368" s="21">
        <v>46165</v>
      </c>
      <c r="D1368" t="s">
        <v>60</v>
      </c>
      <c r="E1368" t="s">
        <v>61</v>
      </c>
      <c r="F1368" t="s">
        <v>21</v>
      </c>
      <c r="G1368">
        <v>1.6</v>
      </c>
      <c r="H1368" t="s">
        <v>3519</v>
      </c>
      <c r="I1368" t="s">
        <v>214</v>
      </c>
      <c r="J1368" s="1" t="s">
        <v>215</v>
      </c>
      <c r="K1368" t="s">
        <v>181</v>
      </c>
      <c r="L1368" t="s">
        <v>3340</v>
      </c>
      <c r="M1368">
        <v>132</v>
      </c>
      <c r="N1368">
        <v>0.12</v>
      </c>
      <c r="O1368" t="s">
        <v>211</v>
      </c>
      <c r="P1368">
        <v>6.7</v>
      </c>
      <c r="R1368" t="s">
        <v>3368</v>
      </c>
      <c r="T1368" t="s">
        <v>3337</v>
      </c>
      <c r="U1368">
        <v>57</v>
      </c>
      <c r="V1368" t="s">
        <v>4037</v>
      </c>
    </row>
    <row r="1369" spans="1:22" ht="12.75" customHeight="1" x14ac:dyDescent="0.15">
      <c r="A1369">
        <v>21</v>
      </c>
      <c r="B1369">
        <v>2026</v>
      </c>
      <c r="C1369" s="21">
        <v>46165</v>
      </c>
      <c r="D1369" t="s">
        <v>101</v>
      </c>
      <c r="E1369" t="s">
        <v>102</v>
      </c>
      <c r="F1369" t="s">
        <v>75</v>
      </c>
      <c r="G1369">
        <v>7.6</v>
      </c>
      <c r="H1369" t="s">
        <v>3400</v>
      </c>
      <c r="I1369" t="s">
        <v>353</v>
      </c>
      <c r="J1369" s="1" t="s">
        <v>253</v>
      </c>
      <c r="K1369" t="s">
        <v>181</v>
      </c>
      <c r="L1369" t="s">
        <v>3333</v>
      </c>
      <c r="M1369">
        <v>2</v>
      </c>
      <c r="N1369">
        <v>1</v>
      </c>
      <c r="O1369" t="s">
        <v>3440</v>
      </c>
      <c r="P1369">
        <v>90.49</v>
      </c>
      <c r="Q1369">
        <v>8</v>
      </c>
      <c r="R1369" t="s">
        <v>3424</v>
      </c>
      <c r="T1369" t="s">
        <v>3337</v>
      </c>
      <c r="U1369">
        <v>25</v>
      </c>
      <c r="V1369" t="s">
        <v>3982</v>
      </c>
    </row>
    <row r="1370" spans="1:22" ht="12.75" customHeight="1" x14ac:dyDescent="0.15">
      <c r="A1370">
        <v>21</v>
      </c>
      <c r="B1370">
        <v>2026</v>
      </c>
      <c r="C1370" s="21">
        <v>46165</v>
      </c>
      <c r="D1370" t="s">
        <v>101</v>
      </c>
      <c r="E1370" t="s">
        <v>102</v>
      </c>
      <c r="F1370" t="s">
        <v>75</v>
      </c>
      <c r="G1370">
        <v>7.6</v>
      </c>
      <c r="H1370" t="s">
        <v>3653</v>
      </c>
      <c r="I1370" t="s">
        <v>3566</v>
      </c>
      <c r="J1370" s="1" t="s">
        <v>3389</v>
      </c>
      <c r="K1370" t="s">
        <v>181</v>
      </c>
      <c r="L1370" t="s">
        <v>3587</v>
      </c>
      <c r="M1370">
        <v>200</v>
      </c>
      <c r="P1370">
        <v>1000</v>
      </c>
      <c r="R1370" t="s">
        <v>4038</v>
      </c>
      <c r="S1370" t="s">
        <v>4039</v>
      </c>
      <c r="T1370" t="s">
        <v>3402</v>
      </c>
      <c r="U1370">
        <v>25</v>
      </c>
      <c r="V1370" t="s">
        <v>4040</v>
      </c>
    </row>
    <row r="1371" spans="1:22" ht="12.75" customHeight="1" x14ac:dyDescent="0.15">
      <c r="A1371">
        <v>21</v>
      </c>
      <c r="B1371">
        <v>2026</v>
      </c>
      <c r="C1371" s="21">
        <v>46165</v>
      </c>
      <c r="D1371" t="s">
        <v>101</v>
      </c>
      <c r="E1371" t="s">
        <v>102</v>
      </c>
      <c r="F1371" t="s">
        <v>75</v>
      </c>
      <c r="G1371">
        <v>7.6</v>
      </c>
      <c r="H1371" t="s">
        <v>3391</v>
      </c>
      <c r="I1371" t="s">
        <v>353</v>
      </c>
      <c r="J1371" s="1" t="s">
        <v>253</v>
      </c>
      <c r="K1371" t="s">
        <v>181</v>
      </c>
      <c r="L1371" t="s">
        <v>3587</v>
      </c>
      <c r="M1371">
        <v>120</v>
      </c>
      <c r="N1371">
        <v>7</v>
      </c>
      <c r="O1371" t="s">
        <v>211</v>
      </c>
      <c r="P1371">
        <v>385</v>
      </c>
      <c r="R1371" t="s">
        <v>3415</v>
      </c>
      <c r="S1371" t="s">
        <v>4041</v>
      </c>
      <c r="T1371" t="s">
        <v>3402</v>
      </c>
      <c r="U1371">
        <v>25</v>
      </c>
      <c r="V1371" t="s">
        <v>4042</v>
      </c>
    </row>
    <row r="1372" spans="1:22" ht="12.75" customHeight="1" x14ac:dyDescent="0.15">
      <c r="A1372">
        <v>21</v>
      </c>
      <c r="B1372">
        <v>2026</v>
      </c>
      <c r="C1372" s="21">
        <v>46165</v>
      </c>
      <c r="D1372" t="s">
        <v>101</v>
      </c>
      <c r="E1372" t="s">
        <v>102</v>
      </c>
      <c r="F1372" t="s">
        <v>75</v>
      </c>
      <c r="G1372">
        <v>7.6</v>
      </c>
      <c r="H1372" t="s">
        <v>3391</v>
      </c>
      <c r="I1372" t="s">
        <v>353</v>
      </c>
      <c r="J1372" s="1" t="s">
        <v>253</v>
      </c>
      <c r="K1372" t="s">
        <v>181</v>
      </c>
      <c r="L1372" t="s">
        <v>3333</v>
      </c>
      <c r="M1372">
        <v>67</v>
      </c>
      <c r="N1372">
        <v>0.75</v>
      </c>
      <c r="O1372" t="s">
        <v>3334</v>
      </c>
      <c r="P1372">
        <v>61.19</v>
      </c>
      <c r="Q1372">
        <v>6</v>
      </c>
      <c r="R1372" t="s">
        <v>3404</v>
      </c>
      <c r="T1372" t="s">
        <v>3402</v>
      </c>
      <c r="U1372">
        <v>25</v>
      </c>
      <c r="V1372" t="s">
        <v>3354</v>
      </c>
    </row>
    <row r="1373" spans="1:22" ht="12.75" customHeight="1" x14ac:dyDescent="0.15">
      <c r="A1373">
        <v>21</v>
      </c>
      <c r="B1373">
        <v>2026</v>
      </c>
      <c r="C1373" s="21">
        <v>46165</v>
      </c>
      <c r="D1373" t="s">
        <v>101</v>
      </c>
      <c r="E1373" t="s">
        <v>102</v>
      </c>
      <c r="F1373" t="s">
        <v>75</v>
      </c>
      <c r="G1373">
        <v>7.6</v>
      </c>
      <c r="H1373" t="s">
        <v>3391</v>
      </c>
      <c r="I1373" t="s">
        <v>353</v>
      </c>
      <c r="J1373" s="1" t="s">
        <v>253</v>
      </c>
      <c r="K1373" t="s">
        <v>181</v>
      </c>
      <c r="L1373" t="s">
        <v>3333</v>
      </c>
      <c r="M1373">
        <v>19</v>
      </c>
      <c r="N1373">
        <v>0.75</v>
      </c>
      <c r="O1373" t="s">
        <v>3334</v>
      </c>
      <c r="P1373">
        <v>61.19</v>
      </c>
      <c r="Q1373">
        <v>6</v>
      </c>
      <c r="R1373" t="s">
        <v>3403</v>
      </c>
      <c r="T1373" t="s">
        <v>3402</v>
      </c>
      <c r="U1373">
        <v>25</v>
      </c>
      <c r="V1373" t="s">
        <v>3354</v>
      </c>
    </row>
    <row r="1374" spans="1:22" ht="12.75" customHeight="1" x14ac:dyDescent="0.15">
      <c r="A1374">
        <v>21</v>
      </c>
      <c r="B1374">
        <v>2026</v>
      </c>
      <c r="C1374" s="21">
        <v>46165</v>
      </c>
      <c r="D1374" t="s">
        <v>101</v>
      </c>
      <c r="E1374" t="s">
        <v>102</v>
      </c>
      <c r="F1374" t="s">
        <v>75</v>
      </c>
      <c r="G1374">
        <v>7.6</v>
      </c>
      <c r="H1374" t="s">
        <v>3653</v>
      </c>
      <c r="I1374" t="s">
        <v>3566</v>
      </c>
      <c r="J1374" s="1" t="s">
        <v>3389</v>
      </c>
      <c r="K1374" t="s">
        <v>181</v>
      </c>
      <c r="L1374" t="s">
        <v>3333</v>
      </c>
      <c r="M1374">
        <v>86</v>
      </c>
      <c r="N1374">
        <v>1</v>
      </c>
      <c r="O1374" t="s">
        <v>3334</v>
      </c>
      <c r="P1374">
        <v>81.58</v>
      </c>
      <c r="Q1374">
        <v>8</v>
      </c>
      <c r="R1374" t="s">
        <v>3386</v>
      </c>
      <c r="T1374" t="s">
        <v>3402</v>
      </c>
      <c r="U1374">
        <v>25</v>
      </c>
      <c r="V1374" t="s">
        <v>3338</v>
      </c>
    </row>
    <row r="1375" spans="1:22" ht="12.75" customHeight="1" x14ac:dyDescent="0.15">
      <c r="A1375">
        <v>21</v>
      </c>
      <c r="B1375">
        <v>2026</v>
      </c>
      <c r="C1375" s="21">
        <v>46165</v>
      </c>
      <c r="D1375" t="s">
        <v>101</v>
      </c>
      <c r="E1375" t="s">
        <v>102</v>
      </c>
      <c r="F1375" t="s">
        <v>75</v>
      </c>
      <c r="G1375">
        <v>7.6</v>
      </c>
      <c r="H1375" t="s">
        <v>3878</v>
      </c>
      <c r="I1375" t="s">
        <v>3566</v>
      </c>
      <c r="J1375" s="1" t="s">
        <v>3389</v>
      </c>
      <c r="K1375" t="s">
        <v>2666</v>
      </c>
      <c r="L1375" t="s">
        <v>3587</v>
      </c>
      <c r="N1375">
        <v>3.04</v>
      </c>
      <c r="O1375" t="s">
        <v>4014</v>
      </c>
      <c r="P1375">
        <v>64.98</v>
      </c>
      <c r="Q1375">
        <v>8</v>
      </c>
      <c r="T1375" t="s">
        <v>3402</v>
      </c>
      <c r="U1375">
        <v>25</v>
      </c>
      <c r="V1375" t="s">
        <v>3767</v>
      </c>
    </row>
    <row r="1376" spans="1:22" ht="12.75" customHeight="1" x14ac:dyDescent="0.15">
      <c r="A1376">
        <v>21</v>
      </c>
      <c r="B1376">
        <v>2026</v>
      </c>
      <c r="C1376" s="21">
        <v>46165</v>
      </c>
      <c r="D1376" t="s">
        <v>141</v>
      </c>
      <c r="E1376" t="s">
        <v>142</v>
      </c>
      <c r="F1376" t="s">
        <v>75</v>
      </c>
      <c r="G1376">
        <v>1</v>
      </c>
      <c r="H1376" t="s">
        <v>3841</v>
      </c>
      <c r="I1376" t="s">
        <v>3842</v>
      </c>
      <c r="J1376" s="1" t="s">
        <v>3533</v>
      </c>
      <c r="K1376" t="s">
        <v>181</v>
      </c>
      <c r="L1376" t="s">
        <v>3333</v>
      </c>
      <c r="M1376">
        <v>4</v>
      </c>
      <c r="N1376">
        <v>0.63</v>
      </c>
      <c r="O1376" t="s">
        <v>3334</v>
      </c>
      <c r="P1376">
        <v>50.99</v>
      </c>
      <c r="Q1376">
        <v>5</v>
      </c>
      <c r="R1376" t="s">
        <v>3773</v>
      </c>
      <c r="T1376" t="s">
        <v>3402</v>
      </c>
      <c r="U1376">
        <v>-31</v>
      </c>
      <c r="V1376" t="s">
        <v>3574</v>
      </c>
    </row>
    <row r="1377" spans="1:22" ht="12.75" customHeight="1" x14ac:dyDescent="0.15">
      <c r="A1377">
        <v>21</v>
      </c>
      <c r="B1377">
        <v>2026</v>
      </c>
      <c r="C1377" s="21">
        <v>46165</v>
      </c>
      <c r="D1377" t="s">
        <v>141</v>
      </c>
      <c r="E1377" t="s">
        <v>142</v>
      </c>
      <c r="F1377" t="s">
        <v>75</v>
      </c>
      <c r="G1377">
        <v>1</v>
      </c>
      <c r="H1377" t="s">
        <v>3841</v>
      </c>
      <c r="I1377" t="s">
        <v>3842</v>
      </c>
      <c r="J1377" s="1" t="s">
        <v>3533</v>
      </c>
      <c r="K1377" t="s">
        <v>181</v>
      </c>
      <c r="L1377" t="s">
        <v>3333</v>
      </c>
      <c r="M1377">
        <v>3</v>
      </c>
      <c r="N1377">
        <v>1</v>
      </c>
      <c r="O1377" t="s">
        <v>3334</v>
      </c>
      <c r="P1377">
        <v>81.58</v>
      </c>
      <c r="Q1377">
        <v>8</v>
      </c>
      <c r="R1377" t="s">
        <v>3478</v>
      </c>
      <c r="S1377" t="s">
        <v>4043</v>
      </c>
      <c r="T1377" t="s">
        <v>3402</v>
      </c>
      <c r="U1377">
        <v>-31</v>
      </c>
      <c r="V1377" t="s">
        <v>3334</v>
      </c>
    </row>
    <row r="1378" spans="1:22" ht="12.75" customHeight="1" x14ac:dyDescent="0.15">
      <c r="A1378">
        <v>21</v>
      </c>
      <c r="B1378">
        <v>2026</v>
      </c>
      <c r="C1378" s="21">
        <v>46167</v>
      </c>
      <c r="D1378" t="s">
        <v>19</v>
      </c>
      <c r="E1378" t="s">
        <v>20</v>
      </c>
      <c r="F1378" t="s">
        <v>21</v>
      </c>
      <c r="G1378">
        <v>3.8</v>
      </c>
      <c r="H1378" t="s">
        <v>3932</v>
      </c>
      <c r="I1378" t="s">
        <v>371</v>
      </c>
      <c r="J1378" s="1" t="s">
        <v>307</v>
      </c>
      <c r="K1378" t="s">
        <v>181</v>
      </c>
      <c r="L1378" t="s">
        <v>23</v>
      </c>
      <c r="M1378">
        <v>119</v>
      </c>
      <c r="P1378">
        <v>490</v>
      </c>
      <c r="R1378" t="s">
        <v>3933</v>
      </c>
      <c r="T1378" t="s">
        <v>3337</v>
      </c>
      <c r="U1378">
        <v>167</v>
      </c>
      <c r="V1378" t="s">
        <v>4044</v>
      </c>
    </row>
    <row r="1379" spans="1:22" ht="12.75" customHeight="1" x14ac:dyDescent="0.15">
      <c r="A1379">
        <v>21</v>
      </c>
      <c r="B1379">
        <v>2026</v>
      </c>
      <c r="C1379" s="21">
        <v>46167</v>
      </c>
      <c r="D1379" t="s">
        <v>19</v>
      </c>
      <c r="E1379" t="s">
        <v>20</v>
      </c>
      <c r="F1379" t="s">
        <v>21</v>
      </c>
      <c r="G1379">
        <v>3.8</v>
      </c>
      <c r="H1379" t="s">
        <v>3935</v>
      </c>
      <c r="I1379" t="s">
        <v>370</v>
      </c>
      <c r="J1379" s="1" t="s">
        <v>307</v>
      </c>
      <c r="K1379" t="s">
        <v>181</v>
      </c>
      <c r="L1379" t="s">
        <v>23</v>
      </c>
      <c r="M1379">
        <v>199</v>
      </c>
      <c r="P1379">
        <v>40</v>
      </c>
      <c r="R1379" t="s">
        <v>3988</v>
      </c>
      <c r="T1379" t="s">
        <v>3337</v>
      </c>
      <c r="U1379">
        <v>167</v>
      </c>
      <c r="V1379" t="s">
        <v>3989</v>
      </c>
    </row>
    <row r="1380" spans="1:22" ht="12.75" customHeight="1" x14ac:dyDescent="0.15">
      <c r="A1380">
        <v>21</v>
      </c>
      <c r="B1380">
        <v>2026</v>
      </c>
      <c r="C1380" s="21">
        <v>46167</v>
      </c>
      <c r="D1380" t="s">
        <v>19</v>
      </c>
      <c r="E1380" t="s">
        <v>20</v>
      </c>
      <c r="F1380" t="s">
        <v>21</v>
      </c>
      <c r="G1380">
        <v>3.8</v>
      </c>
      <c r="H1380" t="s">
        <v>4045</v>
      </c>
      <c r="I1380" t="s">
        <v>309</v>
      </c>
      <c r="J1380" s="1" t="s">
        <v>307</v>
      </c>
      <c r="K1380" t="s">
        <v>181</v>
      </c>
      <c r="L1380" t="s">
        <v>3340</v>
      </c>
      <c r="M1380">
        <v>62</v>
      </c>
      <c r="N1380">
        <v>2.36</v>
      </c>
      <c r="O1380" t="s">
        <v>211</v>
      </c>
      <c r="P1380">
        <v>130</v>
      </c>
      <c r="R1380" t="s">
        <v>3375</v>
      </c>
      <c r="S1380" t="s">
        <v>4046</v>
      </c>
      <c r="T1380" t="s">
        <v>3337</v>
      </c>
      <c r="U1380">
        <v>167</v>
      </c>
      <c r="V1380" t="s">
        <v>4047</v>
      </c>
    </row>
    <row r="1381" spans="1:22" ht="12.75" customHeight="1" x14ac:dyDescent="0.15">
      <c r="A1381">
        <v>21</v>
      </c>
      <c r="B1381">
        <v>2026</v>
      </c>
      <c r="C1381" s="21">
        <v>46167</v>
      </c>
      <c r="D1381" t="s">
        <v>19</v>
      </c>
      <c r="E1381" t="s">
        <v>20</v>
      </c>
      <c r="F1381" t="s">
        <v>21</v>
      </c>
      <c r="G1381">
        <v>3.8</v>
      </c>
      <c r="H1381" t="s">
        <v>4045</v>
      </c>
      <c r="I1381" t="s">
        <v>309</v>
      </c>
      <c r="J1381" s="1" t="s">
        <v>307</v>
      </c>
      <c r="K1381" t="s">
        <v>181</v>
      </c>
      <c r="L1381" t="s">
        <v>3340</v>
      </c>
      <c r="M1381">
        <v>45</v>
      </c>
      <c r="N1381">
        <v>2.3199999999999998</v>
      </c>
      <c r="O1381" t="s">
        <v>211</v>
      </c>
      <c r="P1381">
        <v>127.6</v>
      </c>
      <c r="R1381" t="s">
        <v>3377</v>
      </c>
      <c r="S1381" t="s">
        <v>4048</v>
      </c>
      <c r="T1381" t="s">
        <v>3337</v>
      </c>
      <c r="U1381">
        <v>167</v>
      </c>
      <c r="V1381" t="s">
        <v>4049</v>
      </c>
    </row>
    <row r="1382" spans="1:22" ht="12.75" customHeight="1" x14ac:dyDescent="0.15">
      <c r="A1382">
        <v>21</v>
      </c>
      <c r="B1382">
        <v>2026</v>
      </c>
      <c r="C1382" s="21">
        <v>46167</v>
      </c>
      <c r="D1382" t="s">
        <v>19</v>
      </c>
      <c r="E1382" t="s">
        <v>20</v>
      </c>
      <c r="F1382" t="s">
        <v>21</v>
      </c>
      <c r="G1382">
        <v>3.8</v>
      </c>
      <c r="H1382" t="s">
        <v>4045</v>
      </c>
      <c r="I1382" t="s">
        <v>309</v>
      </c>
      <c r="J1382" s="1" t="s">
        <v>307</v>
      </c>
      <c r="K1382" t="s">
        <v>181</v>
      </c>
      <c r="L1382" t="s">
        <v>3340</v>
      </c>
      <c r="M1382">
        <v>53</v>
      </c>
      <c r="N1382">
        <v>2.63</v>
      </c>
      <c r="O1382" t="s">
        <v>211</v>
      </c>
      <c r="P1382">
        <v>144.80000000000001</v>
      </c>
      <c r="R1382" t="s">
        <v>3373</v>
      </c>
      <c r="S1382" t="s">
        <v>4050</v>
      </c>
      <c r="T1382" t="s">
        <v>3337</v>
      </c>
      <c r="U1382">
        <v>167</v>
      </c>
      <c r="V1382" t="s">
        <v>4051</v>
      </c>
    </row>
    <row r="1383" spans="1:22" ht="12.75" customHeight="1" x14ac:dyDescent="0.15">
      <c r="A1383">
        <v>21</v>
      </c>
      <c r="B1383">
        <v>2026</v>
      </c>
      <c r="C1383" s="21">
        <v>46167</v>
      </c>
      <c r="D1383" t="s">
        <v>19</v>
      </c>
      <c r="E1383" t="s">
        <v>20</v>
      </c>
      <c r="F1383" t="s">
        <v>21</v>
      </c>
      <c r="G1383">
        <v>3.8</v>
      </c>
      <c r="H1383" t="s">
        <v>4045</v>
      </c>
      <c r="I1383" t="s">
        <v>309</v>
      </c>
      <c r="J1383" s="1" t="s">
        <v>307</v>
      </c>
      <c r="K1383" t="s">
        <v>181</v>
      </c>
      <c r="L1383" t="s">
        <v>3340</v>
      </c>
      <c r="M1383">
        <v>81</v>
      </c>
      <c r="N1383">
        <v>1.93</v>
      </c>
      <c r="O1383" t="s">
        <v>211</v>
      </c>
      <c r="P1383">
        <v>106.25</v>
      </c>
      <c r="R1383" t="s">
        <v>3374</v>
      </c>
      <c r="S1383" t="s">
        <v>4052</v>
      </c>
      <c r="T1383" t="s">
        <v>3337</v>
      </c>
      <c r="U1383">
        <v>167</v>
      </c>
      <c r="V1383" t="s">
        <v>4053</v>
      </c>
    </row>
    <row r="1384" spans="1:22" ht="12.75" customHeight="1" x14ac:dyDescent="0.15">
      <c r="A1384">
        <v>21</v>
      </c>
      <c r="B1384">
        <v>2026</v>
      </c>
      <c r="C1384" s="21">
        <v>46167</v>
      </c>
      <c r="D1384" t="s">
        <v>19</v>
      </c>
      <c r="E1384" t="s">
        <v>20</v>
      </c>
      <c r="F1384" t="s">
        <v>21</v>
      </c>
      <c r="G1384">
        <v>3.8</v>
      </c>
      <c r="H1384" t="s">
        <v>4045</v>
      </c>
      <c r="I1384" t="s">
        <v>309</v>
      </c>
      <c r="J1384" s="1" t="s">
        <v>307</v>
      </c>
      <c r="K1384" t="s">
        <v>181</v>
      </c>
      <c r="L1384" t="s">
        <v>3340</v>
      </c>
      <c r="M1384">
        <v>58</v>
      </c>
      <c r="N1384">
        <v>2.4900000000000002</v>
      </c>
      <c r="O1384" t="s">
        <v>211</v>
      </c>
      <c r="P1384">
        <v>136.9</v>
      </c>
      <c r="R1384" t="s">
        <v>3343</v>
      </c>
      <c r="S1384" t="s">
        <v>4054</v>
      </c>
      <c r="T1384" t="s">
        <v>3337</v>
      </c>
      <c r="U1384">
        <v>167</v>
      </c>
      <c r="V1384" t="s">
        <v>4055</v>
      </c>
    </row>
    <row r="1385" spans="1:22" ht="12.75" customHeight="1" x14ac:dyDescent="0.15">
      <c r="A1385">
        <v>21</v>
      </c>
      <c r="B1385">
        <v>2026</v>
      </c>
      <c r="C1385" s="21">
        <v>46167</v>
      </c>
      <c r="D1385" t="s">
        <v>19</v>
      </c>
      <c r="E1385" t="s">
        <v>20</v>
      </c>
      <c r="F1385" t="s">
        <v>21</v>
      </c>
      <c r="G1385">
        <v>3.8</v>
      </c>
      <c r="H1385" t="s">
        <v>4045</v>
      </c>
      <c r="I1385" t="s">
        <v>309</v>
      </c>
      <c r="J1385" s="1" t="s">
        <v>307</v>
      </c>
      <c r="K1385" t="s">
        <v>181</v>
      </c>
      <c r="L1385" t="s">
        <v>3340</v>
      </c>
      <c r="M1385">
        <v>132</v>
      </c>
      <c r="N1385">
        <v>2.4900000000000002</v>
      </c>
      <c r="O1385" t="s">
        <v>211</v>
      </c>
      <c r="P1385">
        <v>136.9</v>
      </c>
      <c r="R1385" t="s">
        <v>3368</v>
      </c>
      <c r="S1385" t="s">
        <v>4054</v>
      </c>
      <c r="T1385" t="s">
        <v>3337</v>
      </c>
      <c r="U1385">
        <v>167</v>
      </c>
      <c r="V1385" t="s">
        <v>4055</v>
      </c>
    </row>
    <row r="1386" spans="1:22" ht="12.75" customHeight="1" x14ac:dyDescent="0.15">
      <c r="A1386">
        <v>21</v>
      </c>
      <c r="B1386">
        <v>2026</v>
      </c>
      <c r="C1386" s="21">
        <v>46167</v>
      </c>
      <c r="D1386" t="s">
        <v>101</v>
      </c>
      <c r="E1386" t="s">
        <v>102</v>
      </c>
      <c r="F1386" t="s">
        <v>75</v>
      </c>
      <c r="G1386">
        <v>7.6</v>
      </c>
      <c r="H1386" t="s">
        <v>3400</v>
      </c>
      <c r="I1386" t="s">
        <v>353</v>
      </c>
      <c r="J1386" s="1" t="s">
        <v>253</v>
      </c>
      <c r="K1386" t="s">
        <v>181</v>
      </c>
      <c r="L1386" t="s">
        <v>3333</v>
      </c>
      <c r="M1386">
        <v>2</v>
      </c>
      <c r="N1386">
        <v>1</v>
      </c>
      <c r="O1386" t="s">
        <v>3440</v>
      </c>
      <c r="P1386">
        <v>90.49</v>
      </c>
      <c r="Q1386">
        <v>8</v>
      </c>
      <c r="R1386" t="s">
        <v>3424</v>
      </c>
      <c r="T1386" t="s">
        <v>3337</v>
      </c>
      <c r="U1386">
        <v>27</v>
      </c>
      <c r="V1386" t="s">
        <v>3982</v>
      </c>
    </row>
    <row r="1387" spans="1:22" ht="12.75" customHeight="1" x14ac:dyDescent="0.15">
      <c r="A1387">
        <v>21</v>
      </c>
      <c r="B1387">
        <v>2026</v>
      </c>
      <c r="C1387" s="21">
        <v>46167</v>
      </c>
      <c r="D1387" t="s">
        <v>101</v>
      </c>
      <c r="E1387" t="s">
        <v>102</v>
      </c>
      <c r="F1387" t="s">
        <v>75</v>
      </c>
      <c r="G1387">
        <v>7.6</v>
      </c>
      <c r="H1387" t="s">
        <v>3953</v>
      </c>
      <c r="I1387" t="s">
        <v>3954</v>
      </c>
      <c r="J1387" s="1" t="s">
        <v>253</v>
      </c>
      <c r="K1387" t="s">
        <v>181</v>
      </c>
      <c r="L1387" t="s">
        <v>3333</v>
      </c>
      <c r="M1387">
        <v>1</v>
      </c>
      <c r="N1387">
        <v>1</v>
      </c>
      <c r="O1387" t="s">
        <v>3358</v>
      </c>
      <c r="P1387">
        <v>71.86</v>
      </c>
      <c r="Q1387">
        <v>8</v>
      </c>
      <c r="R1387" t="s">
        <v>3359</v>
      </c>
      <c r="T1387" t="s">
        <v>3337</v>
      </c>
      <c r="U1387">
        <v>27</v>
      </c>
      <c r="V1387" t="s">
        <v>3545</v>
      </c>
    </row>
    <row r="1388" spans="1:22" ht="12.75" customHeight="1" x14ac:dyDescent="0.15">
      <c r="A1388">
        <v>21</v>
      </c>
      <c r="B1388">
        <v>2026</v>
      </c>
      <c r="C1388" s="21">
        <v>46167</v>
      </c>
      <c r="D1388" t="s">
        <v>101</v>
      </c>
      <c r="E1388" t="s">
        <v>102</v>
      </c>
      <c r="F1388" t="s">
        <v>75</v>
      </c>
      <c r="G1388">
        <v>7.6</v>
      </c>
      <c r="H1388" t="s">
        <v>3953</v>
      </c>
      <c r="I1388" t="s">
        <v>3954</v>
      </c>
      <c r="J1388" s="1" t="s">
        <v>253</v>
      </c>
      <c r="K1388" t="s">
        <v>181</v>
      </c>
      <c r="L1388" t="s">
        <v>3333</v>
      </c>
      <c r="M1388">
        <v>6</v>
      </c>
      <c r="N1388">
        <v>0.75</v>
      </c>
      <c r="O1388" t="s">
        <v>3334</v>
      </c>
      <c r="P1388">
        <v>61.19</v>
      </c>
      <c r="Q1388">
        <v>6</v>
      </c>
      <c r="R1388" t="s">
        <v>3335</v>
      </c>
      <c r="T1388" t="s">
        <v>3337</v>
      </c>
      <c r="U1388">
        <v>27</v>
      </c>
      <c r="V1388" t="s">
        <v>3354</v>
      </c>
    </row>
    <row r="1389" spans="1:22" ht="12.75" customHeight="1" x14ac:dyDescent="0.15">
      <c r="A1389">
        <v>21</v>
      </c>
      <c r="B1389">
        <v>2026</v>
      </c>
      <c r="C1389" s="21">
        <v>46167</v>
      </c>
      <c r="D1389" t="s">
        <v>139</v>
      </c>
      <c r="E1389" t="s">
        <v>140</v>
      </c>
      <c r="F1389" t="s">
        <v>75</v>
      </c>
      <c r="G1389">
        <v>0.8</v>
      </c>
      <c r="H1389" t="s">
        <v>3829</v>
      </c>
      <c r="I1389" t="s">
        <v>190</v>
      </c>
      <c r="J1389" s="1" t="s">
        <v>30</v>
      </c>
      <c r="K1389" t="s">
        <v>181</v>
      </c>
      <c r="L1389" t="s">
        <v>3333</v>
      </c>
      <c r="M1389">
        <v>6</v>
      </c>
      <c r="N1389">
        <v>0.25</v>
      </c>
      <c r="O1389" t="s">
        <v>3334</v>
      </c>
      <c r="P1389" s="1">
        <v>20.399999999999999</v>
      </c>
      <c r="Q1389">
        <v>2</v>
      </c>
      <c r="R1389" t="s">
        <v>3335</v>
      </c>
      <c r="T1389" t="s">
        <v>3337</v>
      </c>
      <c r="U1389">
        <v>-1</v>
      </c>
      <c r="V1389" t="s">
        <v>3500</v>
      </c>
    </row>
    <row r="1390" spans="1:22" ht="12.75" customHeight="1" x14ac:dyDescent="0.15">
      <c r="A1390">
        <v>21</v>
      </c>
      <c r="B1390">
        <v>2026</v>
      </c>
      <c r="C1390" s="21">
        <v>46167</v>
      </c>
      <c r="D1390" t="s">
        <v>139</v>
      </c>
      <c r="E1390" t="s">
        <v>140</v>
      </c>
      <c r="F1390" t="s">
        <v>75</v>
      </c>
      <c r="G1390">
        <v>0.8</v>
      </c>
      <c r="H1390" t="s">
        <v>3829</v>
      </c>
      <c r="I1390" t="s">
        <v>190</v>
      </c>
      <c r="J1390" s="1" t="s">
        <v>30</v>
      </c>
      <c r="K1390" t="s">
        <v>181</v>
      </c>
      <c r="L1390" t="s">
        <v>3340</v>
      </c>
      <c r="M1390">
        <v>3</v>
      </c>
      <c r="N1390">
        <v>1</v>
      </c>
      <c r="O1390" t="s">
        <v>211</v>
      </c>
      <c r="P1390" s="1">
        <v>55</v>
      </c>
      <c r="R1390" t="s">
        <v>3478</v>
      </c>
      <c r="T1390" t="s">
        <v>3337</v>
      </c>
      <c r="U1390">
        <v>-1</v>
      </c>
      <c r="V1390" t="s">
        <v>4056</v>
      </c>
    </row>
    <row r="1391" spans="1:22" ht="12.75" customHeight="1" x14ac:dyDescent="0.15">
      <c r="A1391">
        <v>21</v>
      </c>
      <c r="B1391">
        <v>2026</v>
      </c>
      <c r="C1391" s="21">
        <v>46167</v>
      </c>
      <c r="D1391" t="s">
        <v>139</v>
      </c>
      <c r="E1391" t="s">
        <v>140</v>
      </c>
      <c r="F1391" t="s">
        <v>75</v>
      </c>
      <c r="G1391">
        <v>0.8</v>
      </c>
      <c r="H1391" t="s">
        <v>3829</v>
      </c>
      <c r="I1391" t="s">
        <v>190</v>
      </c>
      <c r="J1391" s="1" t="s">
        <v>30</v>
      </c>
      <c r="K1391" t="s">
        <v>181</v>
      </c>
      <c r="L1391" t="s">
        <v>3340</v>
      </c>
      <c r="M1391">
        <v>72</v>
      </c>
      <c r="N1391">
        <v>0.36</v>
      </c>
      <c r="O1391" t="s">
        <v>211</v>
      </c>
      <c r="P1391" s="1">
        <v>20</v>
      </c>
      <c r="R1391" t="s">
        <v>3488</v>
      </c>
      <c r="T1391" t="s">
        <v>3337</v>
      </c>
      <c r="U1391">
        <v>-1</v>
      </c>
      <c r="V1391" t="s">
        <v>3608</v>
      </c>
    </row>
    <row r="1392" spans="1:22" ht="12.75" customHeight="1" x14ac:dyDescent="0.15">
      <c r="A1392">
        <v>21</v>
      </c>
      <c r="B1392">
        <v>2026</v>
      </c>
      <c r="C1392" s="21">
        <v>46167</v>
      </c>
      <c r="D1392" t="s">
        <v>101</v>
      </c>
      <c r="E1392" t="s">
        <v>102</v>
      </c>
      <c r="F1392" t="s">
        <v>75</v>
      </c>
      <c r="G1392">
        <v>7.6</v>
      </c>
      <c r="H1392" t="s">
        <v>3391</v>
      </c>
      <c r="I1392" t="s">
        <v>353</v>
      </c>
      <c r="J1392" s="1" t="s">
        <v>253</v>
      </c>
      <c r="K1392" t="s">
        <v>181</v>
      </c>
      <c r="L1392" t="s">
        <v>3587</v>
      </c>
      <c r="M1392">
        <v>120</v>
      </c>
      <c r="N1392">
        <v>8</v>
      </c>
      <c r="O1392" t="s">
        <v>211</v>
      </c>
      <c r="P1392">
        <v>440</v>
      </c>
      <c r="R1392" t="s">
        <v>3415</v>
      </c>
      <c r="T1392" t="s">
        <v>3402</v>
      </c>
      <c r="U1392">
        <v>27</v>
      </c>
      <c r="V1392" t="s">
        <v>4057</v>
      </c>
    </row>
    <row r="1393" spans="1:22" ht="12.75" customHeight="1" x14ac:dyDescent="0.15">
      <c r="A1393">
        <v>21</v>
      </c>
      <c r="B1393">
        <v>2026</v>
      </c>
      <c r="C1393" s="21">
        <v>46167</v>
      </c>
      <c r="D1393" t="s">
        <v>19</v>
      </c>
      <c r="E1393" t="s">
        <v>20</v>
      </c>
      <c r="F1393" t="s">
        <v>21</v>
      </c>
      <c r="G1393">
        <v>3.8</v>
      </c>
      <c r="H1393" t="s">
        <v>3949</v>
      </c>
      <c r="I1393" t="s">
        <v>385</v>
      </c>
      <c r="J1393" s="1" t="s">
        <v>307</v>
      </c>
      <c r="K1393" t="s">
        <v>178</v>
      </c>
      <c r="L1393" t="s">
        <v>3587</v>
      </c>
      <c r="M1393">
        <v>177</v>
      </c>
      <c r="N1393">
        <v>1</v>
      </c>
      <c r="P1393">
        <v>400</v>
      </c>
      <c r="R1393" t="s">
        <v>4058</v>
      </c>
      <c r="T1393" t="s">
        <v>3402</v>
      </c>
      <c r="U1393">
        <v>167</v>
      </c>
      <c r="V1393" t="s">
        <v>3950</v>
      </c>
    </row>
    <row r="1394" spans="1:22" ht="12.75" customHeight="1" x14ac:dyDescent="0.15">
      <c r="A1394">
        <v>21</v>
      </c>
      <c r="B1394">
        <v>2026</v>
      </c>
      <c r="C1394" s="21">
        <v>46167</v>
      </c>
      <c r="D1394" t="s">
        <v>101</v>
      </c>
      <c r="E1394" t="s">
        <v>102</v>
      </c>
      <c r="F1394" t="s">
        <v>75</v>
      </c>
      <c r="G1394">
        <v>7.6</v>
      </c>
      <c r="H1394" t="s">
        <v>3565</v>
      </c>
      <c r="I1394" t="s">
        <v>3566</v>
      </c>
      <c r="J1394" s="1" t="s">
        <v>3389</v>
      </c>
      <c r="K1394" t="s">
        <v>181</v>
      </c>
      <c r="L1394" t="s">
        <v>3333</v>
      </c>
      <c r="M1394">
        <v>86</v>
      </c>
      <c r="N1394">
        <v>0.5</v>
      </c>
      <c r="O1394" t="s">
        <v>3334</v>
      </c>
      <c r="P1394">
        <v>40.79</v>
      </c>
      <c r="Q1394">
        <v>4</v>
      </c>
      <c r="R1394" t="s">
        <v>3386</v>
      </c>
      <c r="T1394" t="s">
        <v>3402</v>
      </c>
      <c r="U1394">
        <v>27</v>
      </c>
      <c r="V1394" t="s">
        <v>3455</v>
      </c>
    </row>
    <row r="1395" spans="1:22" ht="12.75" customHeight="1" x14ac:dyDescent="0.15">
      <c r="A1395">
        <v>21</v>
      </c>
      <c r="B1395">
        <v>2026</v>
      </c>
      <c r="C1395" s="21">
        <v>46167</v>
      </c>
      <c r="D1395" t="s">
        <v>101</v>
      </c>
      <c r="E1395" t="s">
        <v>102</v>
      </c>
      <c r="F1395" t="s">
        <v>75</v>
      </c>
      <c r="G1395">
        <v>7.6</v>
      </c>
      <c r="H1395" t="s">
        <v>3878</v>
      </c>
      <c r="I1395" t="s">
        <v>3566</v>
      </c>
      <c r="J1395" s="1" t="s">
        <v>3389</v>
      </c>
      <c r="K1395" t="s">
        <v>2666</v>
      </c>
      <c r="L1395" t="s">
        <v>3587</v>
      </c>
      <c r="N1395">
        <v>1.52</v>
      </c>
      <c r="O1395" t="s">
        <v>4014</v>
      </c>
      <c r="P1395">
        <v>32.49</v>
      </c>
      <c r="Q1395">
        <v>4</v>
      </c>
      <c r="T1395" t="s">
        <v>3402</v>
      </c>
      <c r="U1395">
        <v>27</v>
      </c>
      <c r="V1395" t="s">
        <v>4059</v>
      </c>
    </row>
    <row r="1396" spans="1:22" ht="12.75" customHeight="1" x14ac:dyDescent="0.15">
      <c r="A1396">
        <v>21</v>
      </c>
      <c r="B1396">
        <v>2026</v>
      </c>
      <c r="C1396" s="21">
        <v>46167</v>
      </c>
      <c r="D1396" t="s">
        <v>91</v>
      </c>
      <c r="E1396" t="s">
        <v>92</v>
      </c>
      <c r="F1396" t="s">
        <v>21</v>
      </c>
      <c r="G1396">
        <v>1.3</v>
      </c>
      <c r="H1396" t="s">
        <v>3585</v>
      </c>
      <c r="I1396" t="s">
        <v>346</v>
      </c>
      <c r="J1396" s="1" t="s">
        <v>3389</v>
      </c>
      <c r="K1396" t="s">
        <v>181</v>
      </c>
      <c r="L1396" t="s">
        <v>3333</v>
      </c>
      <c r="M1396">
        <v>86</v>
      </c>
      <c r="N1396">
        <v>0.06</v>
      </c>
      <c r="O1396" t="s">
        <v>3334</v>
      </c>
      <c r="P1396">
        <v>5.0999999999999996</v>
      </c>
      <c r="Q1396">
        <v>0.5</v>
      </c>
      <c r="R1396" t="s">
        <v>3386</v>
      </c>
      <c r="S1396" t="s">
        <v>4060</v>
      </c>
      <c r="T1396" t="s">
        <v>3402</v>
      </c>
      <c r="U1396">
        <v>37</v>
      </c>
      <c r="V1396" t="s">
        <v>3944</v>
      </c>
    </row>
    <row r="1397" spans="1:22" ht="12.75" customHeight="1" x14ac:dyDescent="0.15">
      <c r="A1397">
        <v>21</v>
      </c>
      <c r="B1397">
        <v>2026</v>
      </c>
      <c r="C1397" s="21">
        <v>46167</v>
      </c>
      <c r="D1397" t="s">
        <v>91</v>
      </c>
      <c r="E1397" t="s">
        <v>92</v>
      </c>
      <c r="F1397" t="s">
        <v>21</v>
      </c>
      <c r="G1397">
        <v>1.3</v>
      </c>
      <c r="H1397" t="s">
        <v>3586</v>
      </c>
      <c r="I1397" t="s">
        <v>346</v>
      </c>
      <c r="J1397" s="1" t="s">
        <v>3389</v>
      </c>
      <c r="K1397" t="s">
        <v>2666</v>
      </c>
      <c r="L1397" t="s">
        <v>3587</v>
      </c>
      <c r="N1397">
        <v>0.19</v>
      </c>
      <c r="O1397" t="s">
        <v>4014</v>
      </c>
      <c r="P1397">
        <v>4.0599999999999996</v>
      </c>
      <c r="Q1397">
        <v>0.5</v>
      </c>
      <c r="S1397" t="s">
        <v>4061</v>
      </c>
      <c r="T1397" t="s">
        <v>3402</v>
      </c>
      <c r="U1397">
        <v>37</v>
      </c>
      <c r="V1397" t="s">
        <v>4062</v>
      </c>
    </row>
    <row r="1398" spans="1:22" ht="12.75" customHeight="1" x14ac:dyDescent="0.15">
      <c r="A1398">
        <v>21</v>
      </c>
      <c r="B1398">
        <v>2026</v>
      </c>
      <c r="C1398" s="21">
        <v>46167</v>
      </c>
      <c r="D1398" t="s">
        <v>139</v>
      </c>
      <c r="E1398" t="s">
        <v>140</v>
      </c>
      <c r="F1398" t="s">
        <v>75</v>
      </c>
      <c r="G1398">
        <v>0.8</v>
      </c>
      <c r="H1398" t="s">
        <v>3576</v>
      </c>
      <c r="I1398" t="s">
        <v>328</v>
      </c>
      <c r="J1398" s="1" t="s">
        <v>26</v>
      </c>
      <c r="K1398" t="s">
        <v>181</v>
      </c>
      <c r="L1398" t="s">
        <v>3333</v>
      </c>
      <c r="M1398">
        <v>86</v>
      </c>
      <c r="N1398">
        <v>0.44</v>
      </c>
      <c r="O1398" t="s">
        <v>3334</v>
      </c>
      <c r="P1398" s="1">
        <v>35.69</v>
      </c>
      <c r="Q1398">
        <v>3.5</v>
      </c>
      <c r="R1398" t="s">
        <v>3386</v>
      </c>
      <c r="S1398" t="s">
        <v>4063</v>
      </c>
      <c r="T1398" t="s">
        <v>3402</v>
      </c>
      <c r="U1398">
        <v>-1</v>
      </c>
      <c r="V1398" t="s">
        <v>4064</v>
      </c>
    </row>
    <row r="1399" spans="1:22" ht="12.75" customHeight="1" x14ac:dyDescent="0.15">
      <c r="A1399">
        <v>21</v>
      </c>
      <c r="B1399">
        <v>2026</v>
      </c>
      <c r="C1399" s="21">
        <v>46167</v>
      </c>
      <c r="D1399" t="s">
        <v>139</v>
      </c>
      <c r="E1399" t="s">
        <v>140</v>
      </c>
      <c r="F1399" t="s">
        <v>75</v>
      </c>
      <c r="G1399">
        <v>0.8</v>
      </c>
      <c r="H1399" t="s">
        <v>4065</v>
      </c>
      <c r="I1399" t="s">
        <v>328</v>
      </c>
      <c r="J1399" s="1" t="s">
        <v>26</v>
      </c>
      <c r="K1399" t="s">
        <v>2666</v>
      </c>
      <c r="L1399" t="s">
        <v>3587</v>
      </c>
      <c r="N1399">
        <v>1.33</v>
      </c>
      <c r="O1399" t="s">
        <v>4014</v>
      </c>
      <c r="P1399" s="1">
        <v>28.43</v>
      </c>
      <c r="Q1399">
        <v>3.5</v>
      </c>
      <c r="S1399" t="s">
        <v>4066</v>
      </c>
      <c r="T1399" t="s">
        <v>3402</v>
      </c>
      <c r="U1399">
        <v>-1</v>
      </c>
      <c r="V1399" t="s">
        <v>3365</v>
      </c>
    </row>
    <row r="1400" spans="1:22" ht="12.75" customHeight="1" x14ac:dyDescent="0.15">
      <c r="A1400">
        <v>21</v>
      </c>
      <c r="B1400">
        <v>2026</v>
      </c>
      <c r="C1400" s="21">
        <v>46167</v>
      </c>
      <c r="D1400" t="s">
        <v>139</v>
      </c>
      <c r="E1400" t="s">
        <v>140</v>
      </c>
      <c r="F1400" t="s">
        <v>75</v>
      </c>
      <c r="G1400">
        <v>0.8</v>
      </c>
      <c r="H1400" t="s">
        <v>3576</v>
      </c>
      <c r="I1400" t="s">
        <v>328</v>
      </c>
      <c r="J1400" s="1" t="s">
        <v>26</v>
      </c>
      <c r="K1400" t="s">
        <v>181</v>
      </c>
      <c r="L1400" t="s">
        <v>3340</v>
      </c>
      <c r="M1400">
        <v>86</v>
      </c>
      <c r="N1400">
        <v>0.16</v>
      </c>
      <c r="O1400" t="s">
        <v>211</v>
      </c>
      <c r="P1400" s="1">
        <v>9</v>
      </c>
      <c r="Q1400">
        <v>1</v>
      </c>
      <c r="R1400" t="s">
        <v>3386</v>
      </c>
      <c r="S1400" t="s">
        <v>4067</v>
      </c>
      <c r="T1400" t="s">
        <v>3402</v>
      </c>
      <c r="U1400">
        <v>-1</v>
      </c>
      <c r="V1400" t="s">
        <v>3561</v>
      </c>
    </row>
    <row r="1401" spans="1:22" ht="12.75" customHeight="1" x14ac:dyDescent="0.15">
      <c r="A1401">
        <v>21</v>
      </c>
      <c r="B1401">
        <v>2026</v>
      </c>
      <c r="C1401" s="21">
        <v>46167</v>
      </c>
      <c r="D1401" t="s">
        <v>139</v>
      </c>
      <c r="E1401" t="s">
        <v>140</v>
      </c>
      <c r="F1401" t="s">
        <v>75</v>
      </c>
      <c r="G1401">
        <v>0.8</v>
      </c>
      <c r="H1401" t="s">
        <v>4065</v>
      </c>
      <c r="I1401" t="s">
        <v>328</v>
      </c>
      <c r="J1401" s="1" t="s">
        <v>26</v>
      </c>
      <c r="K1401" t="s">
        <v>2666</v>
      </c>
      <c r="L1401" t="s">
        <v>3587</v>
      </c>
      <c r="N1401">
        <v>0.38</v>
      </c>
      <c r="O1401" t="s">
        <v>4014</v>
      </c>
      <c r="P1401" s="1">
        <v>8.1199999999999992</v>
      </c>
      <c r="Q1401">
        <v>1</v>
      </c>
      <c r="T1401" t="s">
        <v>3402</v>
      </c>
      <c r="U1401">
        <v>-1</v>
      </c>
      <c r="V1401" t="s">
        <v>4068</v>
      </c>
    </row>
    <row r="1402" spans="1:22" ht="12.75" customHeight="1" x14ac:dyDescent="0.15">
      <c r="A1402">
        <v>21</v>
      </c>
      <c r="B1402">
        <v>2026</v>
      </c>
      <c r="C1402" s="21">
        <v>46167</v>
      </c>
      <c r="D1402" t="s">
        <v>91</v>
      </c>
      <c r="E1402" t="s">
        <v>92</v>
      </c>
      <c r="F1402" t="s">
        <v>21</v>
      </c>
      <c r="G1402">
        <v>1.3</v>
      </c>
      <c r="H1402" t="s">
        <v>3585</v>
      </c>
      <c r="I1402" t="s">
        <v>346</v>
      </c>
      <c r="J1402" s="1" t="s">
        <v>3389</v>
      </c>
      <c r="K1402" t="s">
        <v>181</v>
      </c>
      <c r="L1402" t="s">
        <v>3340</v>
      </c>
      <c r="M1402">
        <v>86</v>
      </c>
      <c r="N1402">
        <v>0.82</v>
      </c>
      <c r="O1402" t="s">
        <v>211</v>
      </c>
      <c r="P1402">
        <v>45</v>
      </c>
      <c r="Q1402">
        <v>3</v>
      </c>
      <c r="R1402" t="s">
        <v>3386</v>
      </c>
      <c r="T1402" t="s">
        <v>3402</v>
      </c>
      <c r="U1402">
        <v>37</v>
      </c>
      <c r="V1402" t="s">
        <v>4069</v>
      </c>
    </row>
    <row r="1403" spans="1:22" ht="12.75" customHeight="1" x14ac:dyDescent="0.15">
      <c r="A1403">
        <v>21</v>
      </c>
      <c r="B1403">
        <v>2026</v>
      </c>
      <c r="C1403" s="21">
        <v>46167</v>
      </c>
      <c r="D1403" t="s">
        <v>91</v>
      </c>
      <c r="E1403" t="s">
        <v>92</v>
      </c>
      <c r="F1403" t="s">
        <v>21</v>
      </c>
      <c r="G1403">
        <v>1.3</v>
      </c>
      <c r="H1403" t="s">
        <v>3586</v>
      </c>
      <c r="I1403" t="s">
        <v>346</v>
      </c>
      <c r="J1403" s="1" t="s">
        <v>3389</v>
      </c>
      <c r="K1403" t="s">
        <v>2666</v>
      </c>
      <c r="L1403" t="s">
        <v>3587</v>
      </c>
      <c r="N1403">
        <v>1.1399999999999999</v>
      </c>
      <c r="O1403" t="s">
        <v>4014</v>
      </c>
      <c r="P1403">
        <v>24.37</v>
      </c>
      <c r="Q1403">
        <v>3</v>
      </c>
      <c r="T1403" t="s">
        <v>3402</v>
      </c>
      <c r="U1403">
        <v>37</v>
      </c>
      <c r="V1403" t="s">
        <v>4070</v>
      </c>
    </row>
    <row r="1404" spans="1:22" ht="12.75" customHeight="1" x14ac:dyDescent="0.15">
      <c r="A1404">
        <v>21</v>
      </c>
      <c r="B1404">
        <v>2026</v>
      </c>
      <c r="C1404" s="21">
        <v>46167</v>
      </c>
      <c r="D1404" t="s">
        <v>19</v>
      </c>
      <c r="E1404" t="s">
        <v>20</v>
      </c>
      <c r="F1404" t="s">
        <v>21</v>
      </c>
      <c r="G1404">
        <v>3.8</v>
      </c>
      <c r="H1404" t="s">
        <v>3945</v>
      </c>
      <c r="I1404" t="s">
        <v>3686</v>
      </c>
      <c r="J1404" s="1" t="s">
        <v>3437</v>
      </c>
      <c r="K1404" t="s">
        <v>181</v>
      </c>
      <c r="L1404" t="s">
        <v>3333</v>
      </c>
      <c r="M1404">
        <v>4</v>
      </c>
      <c r="N1404">
        <v>1</v>
      </c>
      <c r="O1404" t="s">
        <v>3334</v>
      </c>
      <c r="P1404">
        <v>81.58</v>
      </c>
      <c r="Q1404">
        <v>8</v>
      </c>
      <c r="R1404" t="s">
        <v>3773</v>
      </c>
      <c r="T1404" t="s">
        <v>3402</v>
      </c>
      <c r="U1404">
        <v>167</v>
      </c>
      <c r="V1404" t="s">
        <v>3797</v>
      </c>
    </row>
    <row r="1405" spans="1:22" ht="12.75" customHeight="1" x14ac:dyDescent="0.15">
      <c r="A1405">
        <v>21</v>
      </c>
      <c r="B1405">
        <v>2026</v>
      </c>
      <c r="C1405" s="21">
        <v>46167</v>
      </c>
      <c r="D1405" t="s">
        <v>19</v>
      </c>
      <c r="E1405" t="s">
        <v>20</v>
      </c>
      <c r="F1405" t="s">
        <v>21</v>
      </c>
      <c r="G1405">
        <v>3.8</v>
      </c>
      <c r="H1405" t="s">
        <v>3945</v>
      </c>
      <c r="I1405" t="s">
        <v>3686</v>
      </c>
      <c r="J1405" s="1" t="s">
        <v>3437</v>
      </c>
      <c r="K1405" t="s">
        <v>181</v>
      </c>
      <c r="L1405" t="s">
        <v>3340</v>
      </c>
      <c r="M1405">
        <v>4</v>
      </c>
      <c r="N1405">
        <v>0.49</v>
      </c>
      <c r="O1405" t="s">
        <v>211</v>
      </c>
      <c r="P1405">
        <v>27</v>
      </c>
      <c r="Q1405">
        <v>3</v>
      </c>
      <c r="R1405" t="s">
        <v>3773</v>
      </c>
      <c r="S1405" t="s">
        <v>4071</v>
      </c>
      <c r="T1405" t="s">
        <v>3402</v>
      </c>
      <c r="U1405">
        <v>167</v>
      </c>
      <c r="V1405" t="s">
        <v>3405</v>
      </c>
    </row>
    <row r="1406" spans="1:22" ht="12.75" customHeight="1" x14ac:dyDescent="0.15">
      <c r="A1406">
        <v>21</v>
      </c>
      <c r="B1406">
        <v>2026</v>
      </c>
      <c r="C1406" s="21">
        <v>46167</v>
      </c>
      <c r="D1406" t="s">
        <v>19</v>
      </c>
      <c r="E1406" t="s">
        <v>20</v>
      </c>
      <c r="F1406" t="s">
        <v>21</v>
      </c>
      <c r="G1406">
        <v>3.8</v>
      </c>
      <c r="H1406" t="s">
        <v>3937</v>
      </c>
      <c r="I1406" t="s">
        <v>309</v>
      </c>
      <c r="J1406" s="1" t="s">
        <v>307</v>
      </c>
      <c r="K1406" t="s">
        <v>181</v>
      </c>
      <c r="L1406" t="s">
        <v>3333</v>
      </c>
      <c r="M1406">
        <v>67</v>
      </c>
      <c r="N1406">
        <v>0.75</v>
      </c>
      <c r="O1406" t="s">
        <v>3334</v>
      </c>
      <c r="P1406">
        <v>61.19</v>
      </c>
      <c r="Q1406">
        <v>6</v>
      </c>
      <c r="R1406" t="s">
        <v>3404</v>
      </c>
      <c r="S1406" t="s">
        <v>4072</v>
      </c>
      <c r="T1406" t="s">
        <v>3402</v>
      </c>
      <c r="U1406">
        <v>167</v>
      </c>
      <c r="V1406" t="s">
        <v>3345</v>
      </c>
    </row>
    <row r="1407" spans="1:22" ht="12.75" customHeight="1" x14ac:dyDescent="0.15">
      <c r="A1407">
        <v>21</v>
      </c>
      <c r="B1407">
        <v>2026</v>
      </c>
      <c r="C1407" s="21">
        <v>46167</v>
      </c>
      <c r="D1407" t="s">
        <v>19</v>
      </c>
      <c r="E1407" t="s">
        <v>20</v>
      </c>
      <c r="F1407" t="s">
        <v>21</v>
      </c>
      <c r="G1407">
        <v>3.8</v>
      </c>
      <c r="H1407" t="s">
        <v>3937</v>
      </c>
      <c r="I1407" t="s">
        <v>309</v>
      </c>
      <c r="J1407" s="1" t="s">
        <v>307</v>
      </c>
      <c r="K1407" t="s">
        <v>181</v>
      </c>
      <c r="L1407" t="s">
        <v>3333</v>
      </c>
      <c r="M1407">
        <v>19</v>
      </c>
      <c r="N1407">
        <v>0.75</v>
      </c>
      <c r="O1407" t="s">
        <v>3334</v>
      </c>
      <c r="P1407">
        <v>61.19</v>
      </c>
      <c r="Q1407">
        <v>6</v>
      </c>
      <c r="R1407" t="s">
        <v>3403</v>
      </c>
      <c r="S1407" t="s">
        <v>4073</v>
      </c>
      <c r="T1407" t="s">
        <v>3402</v>
      </c>
      <c r="U1407">
        <v>167</v>
      </c>
      <c r="V1407" t="s">
        <v>3345</v>
      </c>
    </row>
    <row r="1408" spans="1:22" ht="12.75" customHeight="1" x14ac:dyDescent="0.15">
      <c r="A1408">
        <v>21</v>
      </c>
      <c r="B1408">
        <v>2026</v>
      </c>
      <c r="C1408" s="21">
        <v>46167</v>
      </c>
      <c r="D1408" t="s">
        <v>19</v>
      </c>
      <c r="E1408" t="s">
        <v>20</v>
      </c>
      <c r="F1408" t="s">
        <v>21</v>
      </c>
      <c r="G1408">
        <v>3.8</v>
      </c>
      <c r="H1408" t="s">
        <v>3937</v>
      </c>
      <c r="I1408" t="s">
        <v>309</v>
      </c>
      <c r="J1408" s="1" t="s">
        <v>307</v>
      </c>
      <c r="K1408" t="s">
        <v>181</v>
      </c>
      <c r="L1408" t="s">
        <v>3340</v>
      </c>
      <c r="M1408">
        <v>78</v>
      </c>
      <c r="N1408">
        <v>1.96</v>
      </c>
      <c r="O1408" t="s">
        <v>211</v>
      </c>
      <c r="P1408">
        <v>108</v>
      </c>
      <c r="R1408" t="s">
        <v>3341</v>
      </c>
      <c r="S1408" t="s">
        <v>4074</v>
      </c>
      <c r="T1408" t="s">
        <v>3402</v>
      </c>
      <c r="U1408">
        <v>167</v>
      </c>
      <c r="V1408" t="s">
        <v>4075</v>
      </c>
    </row>
    <row r="1409" spans="1:22" ht="12.75" customHeight="1" x14ac:dyDescent="0.15">
      <c r="A1409">
        <v>21</v>
      </c>
      <c r="B1409">
        <v>2026</v>
      </c>
      <c r="C1409" s="21">
        <v>46167</v>
      </c>
      <c r="D1409" t="s">
        <v>19</v>
      </c>
      <c r="E1409" t="s">
        <v>20</v>
      </c>
      <c r="F1409" t="s">
        <v>21</v>
      </c>
      <c r="G1409">
        <v>3.8</v>
      </c>
      <c r="H1409" t="s">
        <v>3937</v>
      </c>
      <c r="I1409" t="s">
        <v>309</v>
      </c>
      <c r="J1409" s="1" t="s">
        <v>307</v>
      </c>
      <c r="K1409" t="s">
        <v>181</v>
      </c>
      <c r="L1409" t="s">
        <v>3340</v>
      </c>
      <c r="M1409">
        <v>67</v>
      </c>
      <c r="N1409">
        <v>0.82</v>
      </c>
      <c r="O1409" t="s">
        <v>211</v>
      </c>
      <c r="P1409">
        <v>45</v>
      </c>
      <c r="R1409" t="s">
        <v>3404</v>
      </c>
      <c r="S1409" t="s">
        <v>4076</v>
      </c>
      <c r="T1409" t="s">
        <v>3402</v>
      </c>
      <c r="U1409">
        <v>167</v>
      </c>
      <c r="V1409" t="s">
        <v>3396</v>
      </c>
    </row>
    <row r="1410" spans="1:22" ht="12.75" customHeight="1" x14ac:dyDescent="0.15">
      <c r="A1410">
        <v>21</v>
      </c>
      <c r="B1410">
        <v>2026</v>
      </c>
      <c r="C1410" s="21">
        <v>46167</v>
      </c>
      <c r="D1410" t="s">
        <v>19</v>
      </c>
      <c r="E1410" t="s">
        <v>20</v>
      </c>
      <c r="F1410" t="s">
        <v>21</v>
      </c>
      <c r="G1410">
        <v>3.8</v>
      </c>
      <c r="H1410" t="s">
        <v>3937</v>
      </c>
      <c r="I1410" t="s">
        <v>309</v>
      </c>
      <c r="J1410" s="1" t="s">
        <v>307</v>
      </c>
      <c r="K1410" t="s">
        <v>181</v>
      </c>
      <c r="L1410" t="s">
        <v>3340</v>
      </c>
      <c r="M1410">
        <v>19</v>
      </c>
      <c r="N1410">
        <v>0.73</v>
      </c>
      <c r="O1410" t="s">
        <v>211</v>
      </c>
      <c r="P1410">
        <v>40</v>
      </c>
      <c r="R1410" t="s">
        <v>3403</v>
      </c>
      <c r="S1410" t="s">
        <v>4077</v>
      </c>
      <c r="T1410" t="s">
        <v>3402</v>
      </c>
      <c r="U1410">
        <v>167</v>
      </c>
      <c r="V1410" t="s">
        <v>3989</v>
      </c>
    </row>
    <row r="1411" spans="1:22" ht="12.75" customHeight="1" x14ac:dyDescent="0.15">
      <c r="A1411">
        <v>21</v>
      </c>
      <c r="B1411">
        <v>2026</v>
      </c>
      <c r="C1411" s="21">
        <v>46167</v>
      </c>
      <c r="D1411" t="s">
        <v>141</v>
      </c>
      <c r="E1411" t="s">
        <v>142</v>
      </c>
      <c r="F1411" t="s">
        <v>75</v>
      </c>
      <c r="G1411">
        <v>1</v>
      </c>
      <c r="H1411" t="s">
        <v>3845</v>
      </c>
      <c r="I1411" t="s">
        <v>380</v>
      </c>
      <c r="J1411" s="1" t="s">
        <v>3533</v>
      </c>
      <c r="K1411" t="s">
        <v>181</v>
      </c>
      <c r="L1411" t="s">
        <v>3333</v>
      </c>
      <c r="M1411">
        <v>3</v>
      </c>
      <c r="N1411">
        <v>1</v>
      </c>
      <c r="O1411" t="s">
        <v>3334</v>
      </c>
      <c r="P1411">
        <v>81.58</v>
      </c>
      <c r="Q1411">
        <v>8</v>
      </c>
      <c r="R1411" t="s">
        <v>3478</v>
      </c>
      <c r="S1411" t="s">
        <v>4078</v>
      </c>
      <c r="T1411" t="s">
        <v>3402</v>
      </c>
      <c r="U1411">
        <v>-29</v>
      </c>
      <c r="V1411" t="s">
        <v>3334</v>
      </c>
    </row>
    <row r="1412" spans="1:22" ht="12.75" customHeight="1" x14ac:dyDescent="0.15">
      <c r="A1412">
        <v>21</v>
      </c>
      <c r="B1412">
        <v>2026</v>
      </c>
      <c r="C1412" s="21">
        <v>46167</v>
      </c>
      <c r="D1412" t="s">
        <v>19</v>
      </c>
      <c r="E1412" t="s">
        <v>20</v>
      </c>
      <c r="F1412" t="s">
        <v>21</v>
      </c>
      <c r="G1412">
        <v>3.8</v>
      </c>
      <c r="H1412" t="s">
        <v>3965</v>
      </c>
      <c r="I1412" t="s">
        <v>3964</v>
      </c>
      <c r="J1412" s="1" t="s">
        <v>307</v>
      </c>
      <c r="K1412" t="s">
        <v>2666</v>
      </c>
      <c r="L1412" t="s">
        <v>3587</v>
      </c>
      <c r="N1412">
        <v>0.76</v>
      </c>
      <c r="O1412" t="s">
        <v>4014</v>
      </c>
      <c r="P1412">
        <v>16.239999999999998</v>
      </c>
      <c r="Q1412">
        <v>2</v>
      </c>
      <c r="T1412" t="s">
        <v>3402</v>
      </c>
      <c r="U1412">
        <v>167</v>
      </c>
      <c r="V1412" t="s">
        <v>4059</v>
      </c>
    </row>
    <row r="1413" spans="1:22" ht="12.75" customHeight="1" x14ac:dyDescent="0.15">
      <c r="A1413">
        <v>21</v>
      </c>
      <c r="B1413">
        <v>2026</v>
      </c>
      <c r="C1413" s="21">
        <v>46168</v>
      </c>
      <c r="D1413" t="s">
        <v>19</v>
      </c>
      <c r="E1413" t="s">
        <v>20</v>
      </c>
      <c r="F1413" t="s">
        <v>21</v>
      </c>
      <c r="G1413">
        <v>3.8</v>
      </c>
      <c r="H1413" t="s">
        <v>4045</v>
      </c>
      <c r="I1413" t="s">
        <v>309</v>
      </c>
      <c r="J1413" s="1" t="s">
        <v>307</v>
      </c>
      <c r="K1413" t="s">
        <v>181</v>
      </c>
      <c r="L1413" t="s">
        <v>3340</v>
      </c>
      <c r="M1413">
        <v>62</v>
      </c>
      <c r="N1413">
        <v>3.11</v>
      </c>
      <c r="O1413" t="s">
        <v>211</v>
      </c>
      <c r="P1413">
        <v>171</v>
      </c>
      <c r="R1413" t="s">
        <v>3375</v>
      </c>
      <c r="S1413" t="s">
        <v>4079</v>
      </c>
      <c r="T1413" t="s">
        <v>3337</v>
      </c>
      <c r="U1413">
        <v>168</v>
      </c>
      <c r="V1413" t="s">
        <v>3530</v>
      </c>
    </row>
    <row r="1414" spans="1:22" ht="12.75" customHeight="1" x14ac:dyDescent="0.15">
      <c r="A1414">
        <v>21</v>
      </c>
      <c r="B1414">
        <v>2026</v>
      </c>
      <c r="C1414" s="21">
        <v>46168</v>
      </c>
      <c r="D1414" t="s">
        <v>19</v>
      </c>
      <c r="E1414" t="s">
        <v>20</v>
      </c>
      <c r="F1414" t="s">
        <v>21</v>
      </c>
      <c r="G1414">
        <v>3.8</v>
      </c>
      <c r="H1414" t="s">
        <v>4045</v>
      </c>
      <c r="I1414" t="s">
        <v>309</v>
      </c>
      <c r="J1414" s="1" t="s">
        <v>307</v>
      </c>
      <c r="K1414" t="s">
        <v>181</v>
      </c>
      <c r="L1414" t="s">
        <v>3340</v>
      </c>
      <c r="M1414">
        <v>45</v>
      </c>
      <c r="N1414">
        <v>2.46</v>
      </c>
      <c r="O1414" t="s">
        <v>211</v>
      </c>
      <c r="P1414">
        <v>135.5</v>
      </c>
      <c r="R1414" t="s">
        <v>3377</v>
      </c>
      <c r="S1414" t="s">
        <v>4080</v>
      </c>
      <c r="T1414" t="s">
        <v>3337</v>
      </c>
      <c r="U1414">
        <v>168</v>
      </c>
      <c r="V1414" t="s">
        <v>4081</v>
      </c>
    </row>
    <row r="1415" spans="1:22" ht="12.75" customHeight="1" x14ac:dyDescent="0.15">
      <c r="A1415">
        <v>21</v>
      </c>
      <c r="B1415">
        <v>2026</v>
      </c>
      <c r="C1415" s="21">
        <v>46168</v>
      </c>
      <c r="D1415" t="s">
        <v>19</v>
      </c>
      <c r="E1415" t="s">
        <v>20</v>
      </c>
      <c r="F1415" t="s">
        <v>21</v>
      </c>
      <c r="G1415">
        <v>3.8</v>
      </c>
      <c r="H1415" t="s">
        <v>4045</v>
      </c>
      <c r="I1415" t="s">
        <v>309</v>
      </c>
      <c r="J1415" s="1" t="s">
        <v>307</v>
      </c>
      <c r="K1415" t="s">
        <v>181</v>
      </c>
      <c r="L1415" t="s">
        <v>3340</v>
      </c>
      <c r="M1415">
        <v>53</v>
      </c>
      <c r="N1415">
        <v>3.21</v>
      </c>
      <c r="O1415" t="s">
        <v>211</v>
      </c>
      <c r="P1415">
        <v>176.5</v>
      </c>
      <c r="R1415" t="s">
        <v>3373</v>
      </c>
      <c r="S1415" t="s">
        <v>4082</v>
      </c>
      <c r="T1415" t="s">
        <v>3337</v>
      </c>
      <c r="U1415">
        <v>168</v>
      </c>
      <c r="V1415" t="s">
        <v>4083</v>
      </c>
    </row>
    <row r="1416" spans="1:22" ht="12.75" customHeight="1" x14ac:dyDescent="0.15">
      <c r="A1416">
        <v>21</v>
      </c>
      <c r="B1416">
        <v>2026</v>
      </c>
      <c r="C1416" s="21">
        <v>46168</v>
      </c>
      <c r="D1416" t="s">
        <v>19</v>
      </c>
      <c r="E1416" t="s">
        <v>20</v>
      </c>
      <c r="F1416" t="s">
        <v>21</v>
      </c>
      <c r="G1416">
        <v>3.8</v>
      </c>
      <c r="H1416" t="s">
        <v>4045</v>
      </c>
      <c r="I1416" t="s">
        <v>309</v>
      </c>
      <c r="J1416" s="1" t="s">
        <v>307</v>
      </c>
      <c r="K1416" t="s">
        <v>181</v>
      </c>
      <c r="L1416" t="s">
        <v>3340</v>
      </c>
      <c r="M1416">
        <v>81</v>
      </c>
      <c r="N1416">
        <v>2.2599999999999998</v>
      </c>
      <c r="O1416" t="s">
        <v>211</v>
      </c>
      <c r="P1416">
        <v>124.5</v>
      </c>
      <c r="R1416" t="s">
        <v>3374</v>
      </c>
      <c r="S1416" t="s">
        <v>4084</v>
      </c>
      <c r="T1416" t="s">
        <v>3337</v>
      </c>
      <c r="U1416">
        <v>168</v>
      </c>
      <c r="V1416" t="s">
        <v>4085</v>
      </c>
    </row>
    <row r="1417" spans="1:22" ht="12.75" customHeight="1" x14ac:dyDescent="0.15">
      <c r="A1417">
        <v>21</v>
      </c>
      <c r="B1417">
        <v>2026</v>
      </c>
      <c r="C1417" s="21">
        <v>46168</v>
      </c>
      <c r="D1417" t="s">
        <v>19</v>
      </c>
      <c r="E1417" t="s">
        <v>20</v>
      </c>
      <c r="F1417" t="s">
        <v>21</v>
      </c>
      <c r="G1417">
        <v>3.8</v>
      </c>
      <c r="H1417" t="s">
        <v>4045</v>
      </c>
      <c r="I1417" t="s">
        <v>309</v>
      </c>
      <c r="J1417" s="1" t="s">
        <v>307</v>
      </c>
      <c r="K1417" t="s">
        <v>181</v>
      </c>
      <c r="L1417" t="s">
        <v>3340</v>
      </c>
      <c r="M1417">
        <v>58</v>
      </c>
      <c r="N1417">
        <v>2.04</v>
      </c>
      <c r="O1417" t="s">
        <v>211</v>
      </c>
      <c r="P1417">
        <v>112</v>
      </c>
      <c r="R1417" t="s">
        <v>3343</v>
      </c>
      <c r="S1417" t="s">
        <v>4086</v>
      </c>
      <c r="T1417" t="s">
        <v>3337</v>
      </c>
      <c r="U1417">
        <v>168</v>
      </c>
      <c r="V1417" t="s">
        <v>4087</v>
      </c>
    </row>
    <row r="1418" spans="1:22" ht="12.75" customHeight="1" x14ac:dyDescent="0.15">
      <c r="A1418">
        <v>21</v>
      </c>
      <c r="B1418">
        <v>2026</v>
      </c>
      <c r="C1418" s="21">
        <v>46168</v>
      </c>
      <c r="D1418" t="s">
        <v>19</v>
      </c>
      <c r="E1418" t="s">
        <v>20</v>
      </c>
      <c r="F1418" t="s">
        <v>21</v>
      </c>
      <c r="G1418">
        <v>3.8</v>
      </c>
      <c r="H1418" t="s">
        <v>4045</v>
      </c>
      <c r="I1418" t="s">
        <v>309</v>
      </c>
      <c r="J1418" s="1" t="s">
        <v>307</v>
      </c>
      <c r="K1418" t="s">
        <v>181</v>
      </c>
      <c r="L1418" t="s">
        <v>3340</v>
      </c>
      <c r="M1418">
        <v>132</v>
      </c>
      <c r="N1418">
        <v>2.04</v>
      </c>
      <c r="O1418" t="s">
        <v>211</v>
      </c>
      <c r="P1418">
        <v>112</v>
      </c>
      <c r="R1418" t="s">
        <v>3368</v>
      </c>
      <c r="S1418" t="s">
        <v>4086</v>
      </c>
      <c r="T1418" t="s">
        <v>3337</v>
      </c>
      <c r="U1418">
        <v>168</v>
      </c>
      <c r="V1418" t="s">
        <v>4087</v>
      </c>
    </row>
    <row r="1419" spans="1:22" ht="12.75" customHeight="1" x14ac:dyDescent="0.15">
      <c r="A1419">
        <v>21</v>
      </c>
      <c r="B1419">
        <v>2026</v>
      </c>
      <c r="C1419" s="21">
        <v>46168</v>
      </c>
      <c r="D1419" t="s">
        <v>101</v>
      </c>
      <c r="E1419" t="s">
        <v>102</v>
      </c>
      <c r="F1419" t="s">
        <v>75</v>
      </c>
      <c r="G1419">
        <v>7.6</v>
      </c>
      <c r="H1419" t="s">
        <v>3953</v>
      </c>
      <c r="I1419" t="s">
        <v>3954</v>
      </c>
      <c r="J1419" s="1" t="s">
        <v>253</v>
      </c>
      <c r="K1419" t="s">
        <v>181</v>
      </c>
      <c r="L1419" t="s">
        <v>3333</v>
      </c>
      <c r="M1419">
        <v>1</v>
      </c>
      <c r="N1419">
        <v>1</v>
      </c>
      <c r="O1419" t="s">
        <v>3358</v>
      </c>
      <c r="P1419">
        <v>71.86</v>
      </c>
      <c r="Q1419">
        <v>8</v>
      </c>
      <c r="R1419" t="s">
        <v>3359</v>
      </c>
      <c r="T1419" t="s">
        <v>3337</v>
      </c>
      <c r="U1419">
        <v>28</v>
      </c>
      <c r="V1419" t="s">
        <v>3545</v>
      </c>
    </row>
    <row r="1420" spans="1:22" ht="12.75" customHeight="1" x14ac:dyDescent="0.15">
      <c r="A1420">
        <v>21</v>
      </c>
      <c r="B1420">
        <v>2026</v>
      </c>
      <c r="C1420" s="21">
        <v>46168</v>
      </c>
      <c r="D1420" t="s">
        <v>101</v>
      </c>
      <c r="E1420" t="s">
        <v>102</v>
      </c>
      <c r="F1420" t="s">
        <v>75</v>
      </c>
      <c r="G1420">
        <v>7.6</v>
      </c>
      <c r="H1420" t="s">
        <v>3953</v>
      </c>
      <c r="I1420" t="s">
        <v>3954</v>
      </c>
      <c r="J1420" s="1" t="s">
        <v>253</v>
      </c>
      <c r="K1420" t="s">
        <v>181</v>
      </c>
      <c r="L1420" t="s">
        <v>3333</v>
      </c>
      <c r="M1420">
        <v>6</v>
      </c>
      <c r="N1420">
        <v>1</v>
      </c>
      <c r="O1420" t="s">
        <v>3334</v>
      </c>
      <c r="P1420">
        <v>81.58</v>
      </c>
      <c r="Q1420">
        <v>8</v>
      </c>
      <c r="R1420" t="s">
        <v>3335</v>
      </c>
      <c r="T1420" t="s">
        <v>3337</v>
      </c>
      <c r="U1420">
        <v>28</v>
      </c>
      <c r="V1420" t="s">
        <v>3338</v>
      </c>
    </row>
    <row r="1421" spans="1:22" ht="12.75" customHeight="1" x14ac:dyDescent="0.15">
      <c r="A1421">
        <v>21</v>
      </c>
      <c r="B1421">
        <v>2026</v>
      </c>
      <c r="C1421" s="21">
        <v>46168</v>
      </c>
      <c r="D1421" t="s">
        <v>101</v>
      </c>
      <c r="E1421" t="s">
        <v>102</v>
      </c>
      <c r="F1421" t="s">
        <v>75</v>
      </c>
      <c r="G1421">
        <v>7.6</v>
      </c>
      <c r="H1421" t="s">
        <v>3400</v>
      </c>
      <c r="I1421" t="s">
        <v>353</v>
      </c>
      <c r="J1421" s="1" t="s">
        <v>253</v>
      </c>
      <c r="K1421" t="s">
        <v>181</v>
      </c>
      <c r="L1421" t="s">
        <v>3333</v>
      </c>
      <c r="M1421">
        <v>2</v>
      </c>
      <c r="N1421">
        <v>1</v>
      </c>
      <c r="O1421" t="s">
        <v>3440</v>
      </c>
      <c r="P1421">
        <v>90.49</v>
      </c>
      <c r="Q1421">
        <v>8</v>
      </c>
      <c r="R1421" t="s">
        <v>3424</v>
      </c>
      <c r="T1421" t="s">
        <v>3337</v>
      </c>
      <c r="U1421">
        <v>28</v>
      </c>
      <c r="V1421" t="s">
        <v>3982</v>
      </c>
    </row>
    <row r="1422" spans="1:22" ht="12.75" customHeight="1" x14ac:dyDescent="0.15">
      <c r="A1422">
        <v>21</v>
      </c>
      <c r="B1422">
        <v>2026</v>
      </c>
      <c r="C1422" s="21">
        <v>46168</v>
      </c>
      <c r="D1422" t="s">
        <v>101</v>
      </c>
      <c r="E1422" t="s">
        <v>102</v>
      </c>
      <c r="F1422" t="s">
        <v>75</v>
      </c>
      <c r="G1422">
        <v>7.6</v>
      </c>
      <c r="H1422" t="s">
        <v>3400</v>
      </c>
      <c r="I1422" t="s">
        <v>353</v>
      </c>
      <c r="J1422" s="1" t="s">
        <v>253</v>
      </c>
      <c r="K1422" t="s">
        <v>181</v>
      </c>
      <c r="L1422" t="s">
        <v>3340</v>
      </c>
      <c r="M1422">
        <v>25</v>
      </c>
      <c r="N1422">
        <v>1</v>
      </c>
      <c r="O1422" t="s">
        <v>211</v>
      </c>
      <c r="P1422">
        <v>55</v>
      </c>
      <c r="R1422" t="s">
        <v>3413</v>
      </c>
      <c r="T1422" t="s">
        <v>3337</v>
      </c>
      <c r="U1422">
        <v>28</v>
      </c>
      <c r="V1422" t="s">
        <v>4088</v>
      </c>
    </row>
    <row r="1423" spans="1:22" ht="12.75" customHeight="1" x14ac:dyDescent="0.15">
      <c r="A1423">
        <v>21</v>
      </c>
      <c r="B1423">
        <v>2026</v>
      </c>
      <c r="C1423" s="21">
        <v>46168</v>
      </c>
      <c r="D1423" t="s">
        <v>19</v>
      </c>
      <c r="E1423" t="s">
        <v>20</v>
      </c>
      <c r="F1423" t="s">
        <v>21</v>
      </c>
      <c r="G1423">
        <v>3.8</v>
      </c>
      <c r="H1423" t="s">
        <v>4004</v>
      </c>
      <c r="I1423" t="s">
        <v>4005</v>
      </c>
      <c r="J1423" s="1" t="s">
        <v>307</v>
      </c>
      <c r="K1423" t="s">
        <v>181</v>
      </c>
      <c r="L1423" t="s">
        <v>3340</v>
      </c>
      <c r="M1423">
        <v>62</v>
      </c>
      <c r="N1423">
        <v>0.19</v>
      </c>
      <c r="O1423" t="s">
        <v>211</v>
      </c>
      <c r="P1423">
        <v>10.3</v>
      </c>
      <c r="R1423" t="s">
        <v>3375</v>
      </c>
      <c r="S1423" t="s">
        <v>4089</v>
      </c>
      <c r="T1423" t="s">
        <v>3337</v>
      </c>
      <c r="U1423">
        <v>168</v>
      </c>
      <c r="V1423" t="s">
        <v>4090</v>
      </c>
    </row>
    <row r="1424" spans="1:22" ht="12.75" customHeight="1" x14ac:dyDescent="0.15">
      <c r="A1424">
        <v>21</v>
      </c>
      <c r="B1424">
        <v>2026</v>
      </c>
      <c r="C1424" s="21">
        <v>46168</v>
      </c>
      <c r="D1424" t="s">
        <v>19</v>
      </c>
      <c r="E1424" t="s">
        <v>20</v>
      </c>
      <c r="F1424" t="s">
        <v>21</v>
      </c>
      <c r="G1424">
        <v>3.8</v>
      </c>
      <c r="H1424" t="s">
        <v>4004</v>
      </c>
      <c r="I1424" t="s">
        <v>4005</v>
      </c>
      <c r="J1424" s="1" t="s">
        <v>307</v>
      </c>
      <c r="K1424" t="s">
        <v>181</v>
      </c>
      <c r="L1424" t="s">
        <v>3340</v>
      </c>
      <c r="M1424">
        <v>45</v>
      </c>
      <c r="N1424">
        <v>0.19</v>
      </c>
      <c r="O1424" t="s">
        <v>211</v>
      </c>
      <c r="P1424">
        <v>10.3</v>
      </c>
      <c r="R1424" t="s">
        <v>3377</v>
      </c>
      <c r="T1424" t="s">
        <v>3337</v>
      </c>
      <c r="U1424">
        <v>168</v>
      </c>
      <c r="V1424" t="s">
        <v>4090</v>
      </c>
    </row>
    <row r="1425" spans="1:22" ht="12.75" customHeight="1" x14ac:dyDescent="0.15">
      <c r="A1425">
        <v>21</v>
      </c>
      <c r="B1425">
        <v>2026</v>
      </c>
      <c r="C1425" s="21">
        <v>46168</v>
      </c>
      <c r="D1425" t="s">
        <v>19</v>
      </c>
      <c r="E1425" t="s">
        <v>20</v>
      </c>
      <c r="F1425" t="s">
        <v>21</v>
      </c>
      <c r="G1425">
        <v>3.8</v>
      </c>
      <c r="H1425" t="s">
        <v>4004</v>
      </c>
      <c r="I1425" t="s">
        <v>4005</v>
      </c>
      <c r="J1425" s="1" t="s">
        <v>307</v>
      </c>
      <c r="K1425" t="s">
        <v>181</v>
      </c>
      <c r="L1425" t="s">
        <v>3340</v>
      </c>
      <c r="M1425">
        <v>53</v>
      </c>
      <c r="N1425">
        <v>0.19</v>
      </c>
      <c r="O1425" t="s">
        <v>211</v>
      </c>
      <c r="P1425">
        <v>10.3</v>
      </c>
      <c r="R1425" t="s">
        <v>3373</v>
      </c>
      <c r="T1425" t="s">
        <v>3337</v>
      </c>
      <c r="U1425">
        <v>168</v>
      </c>
      <c r="V1425" t="s">
        <v>4090</v>
      </c>
    </row>
    <row r="1426" spans="1:22" ht="12.75" customHeight="1" x14ac:dyDescent="0.15">
      <c r="A1426">
        <v>21</v>
      </c>
      <c r="B1426">
        <v>2026</v>
      </c>
      <c r="C1426" s="21">
        <v>46168</v>
      </c>
      <c r="D1426" t="s">
        <v>19</v>
      </c>
      <c r="E1426" t="s">
        <v>20</v>
      </c>
      <c r="F1426" t="s">
        <v>21</v>
      </c>
      <c r="G1426">
        <v>3.8</v>
      </c>
      <c r="H1426" t="s">
        <v>4004</v>
      </c>
      <c r="I1426" t="s">
        <v>4005</v>
      </c>
      <c r="J1426" s="1" t="s">
        <v>307</v>
      </c>
      <c r="K1426" t="s">
        <v>181</v>
      </c>
      <c r="L1426" t="s">
        <v>3340</v>
      </c>
      <c r="M1426">
        <v>81</v>
      </c>
      <c r="N1426">
        <v>0.19</v>
      </c>
      <c r="O1426" t="s">
        <v>211</v>
      </c>
      <c r="P1426">
        <v>10.3</v>
      </c>
      <c r="R1426" t="s">
        <v>3374</v>
      </c>
      <c r="T1426" t="s">
        <v>3337</v>
      </c>
      <c r="U1426">
        <v>168</v>
      </c>
      <c r="V1426" t="s">
        <v>4090</v>
      </c>
    </row>
    <row r="1427" spans="1:22" ht="12.75" customHeight="1" x14ac:dyDescent="0.15">
      <c r="A1427">
        <v>21</v>
      </c>
      <c r="B1427">
        <v>2026</v>
      </c>
      <c r="C1427" s="21">
        <v>46168</v>
      </c>
      <c r="D1427" t="s">
        <v>19</v>
      </c>
      <c r="E1427" t="s">
        <v>20</v>
      </c>
      <c r="F1427" t="s">
        <v>21</v>
      </c>
      <c r="G1427">
        <v>3.8</v>
      </c>
      <c r="H1427" t="s">
        <v>4004</v>
      </c>
      <c r="I1427" t="s">
        <v>4005</v>
      </c>
      <c r="J1427" s="1" t="s">
        <v>307</v>
      </c>
      <c r="K1427" t="s">
        <v>181</v>
      </c>
      <c r="L1427" t="s">
        <v>3340</v>
      </c>
      <c r="M1427">
        <v>58</v>
      </c>
      <c r="N1427">
        <v>0.19</v>
      </c>
      <c r="O1427" t="s">
        <v>211</v>
      </c>
      <c r="P1427">
        <v>10.3</v>
      </c>
      <c r="R1427" t="s">
        <v>3343</v>
      </c>
      <c r="T1427" t="s">
        <v>3337</v>
      </c>
      <c r="U1427">
        <v>168</v>
      </c>
      <c r="V1427" t="s">
        <v>4090</v>
      </c>
    </row>
    <row r="1428" spans="1:22" ht="12.75" customHeight="1" x14ac:dyDescent="0.15">
      <c r="A1428">
        <v>21</v>
      </c>
      <c r="B1428">
        <v>2026</v>
      </c>
      <c r="C1428" s="21">
        <v>46168</v>
      </c>
      <c r="D1428" t="s">
        <v>19</v>
      </c>
      <c r="E1428" t="s">
        <v>20</v>
      </c>
      <c r="F1428" t="s">
        <v>21</v>
      </c>
      <c r="G1428">
        <v>3.8</v>
      </c>
      <c r="H1428" t="s">
        <v>4004</v>
      </c>
      <c r="I1428" t="s">
        <v>4005</v>
      </c>
      <c r="J1428" s="1" t="s">
        <v>307</v>
      </c>
      <c r="K1428" t="s">
        <v>181</v>
      </c>
      <c r="L1428" t="s">
        <v>3340</v>
      </c>
      <c r="M1428">
        <v>132</v>
      </c>
      <c r="N1428">
        <v>0.19</v>
      </c>
      <c r="O1428" t="s">
        <v>211</v>
      </c>
      <c r="P1428">
        <v>10.3</v>
      </c>
      <c r="R1428" t="s">
        <v>3368</v>
      </c>
      <c r="T1428" t="s">
        <v>3337</v>
      </c>
      <c r="U1428">
        <v>168</v>
      </c>
      <c r="V1428" t="s">
        <v>4090</v>
      </c>
    </row>
    <row r="1429" spans="1:22" ht="12.75" customHeight="1" x14ac:dyDescent="0.15">
      <c r="A1429">
        <v>21</v>
      </c>
      <c r="B1429">
        <v>2026</v>
      </c>
      <c r="C1429" s="21">
        <v>46168</v>
      </c>
      <c r="D1429" t="s">
        <v>101</v>
      </c>
      <c r="E1429" t="s">
        <v>102</v>
      </c>
      <c r="F1429" t="s">
        <v>75</v>
      </c>
      <c r="G1429">
        <v>7.6</v>
      </c>
      <c r="H1429" t="s">
        <v>3400</v>
      </c>
      <c r="I1429" t="s">
        <v>353</v>
      </c>
      <c r="J1429" s="1" t="s">
        <v>253</v>
      </c>
      <c r="K1429" t="s">
        <v>181</v>
      </c>
      <c r="L1429" t="s">
        <v>23</v>
      </c>
      <c r="M1429">
        <v>119</v>
      </c>
      <c r="P1429">
        <v>1080</v>
      </c>
      <c r="R1429" t="s">
        <v>3933</v>
      </c>
      <c r="T1429" t="s">
        <v>3337</v>
      </c>
      <c r="U1429">
        <v>28</v>
      </c>
      <c r="V1429" t="s">
        <v>4091</v>
      </c>
    </row>
    <row r="1430" spans="1:22" ht="12.75" customHeight="1" x14ac:dyDescent="0.15">
      <c r="A1430">
        <v>21</v>
      </c>
      <c r="B1430">
        <v>2026</v>
      </c>
      <c r="C1430" s="21">
        <v>46168</v>
      </c>
      <c r="D1430" t="s">
        <v>101</v>
      </c>
      <c r="E1430" t="s">
        <v>102</v>
      </c>
      <c r="F1430" t="s">
        <v>75</v>
      </c>
      <c r="G1430">
        <v>7.6</v>
      </c>
      <c r="H1430" t="s">
        <v>3935</v>
      </c>
      <c r="I1430" t="s">
        <v>370</v>
      </c>
      <c r="J1430" s="1" t="s">
        <v>307</v>
      </c>
      <c r="K1430" t="s">
        <v>181</v>
      </c>
      <c r="L1430" t="s">
        <v>23</v>
      </c>
      <c r="M1430">
        <v>199</v>
      </c>
      <c r="P1430">
        <v>80</v>
      </c>
      <c r="R1430" t="s">
        <v>3988</v>
      </c>
      <c r="S1430" t="s">
        <v>4092</v>
      </c>
      <c r="T1430" t="s">
        <v>3337</v>
      </c>
      <c r="U1430">
        <v>28</v>
      </c>
      <c r="V1430" t="s">
        <v>3989</v>
      </c>
    </row>
    <row r="1431" spans="1:22" ht="12.75" customHeight="1" x14ac:dyDescent="0.15">
      <c r="A1431">
        <v>21</v>
      </c>
      <c r="B1431">
        <v>2026</v>
      </c>
      <c r="C1431" s="21">
        <v>46168</v>
      </c>
      <c r="D1431" t="s">
        <v>139</v>
      </c>
      <c r="E1431" t="s">
        <v>140</v>
      </c>
      <c r="F1431" t="s">
        <v>75</v>
      </c>
      <c r="G1431">
        <v>0.8</v>
      </c>
      <c r="H1431" t="s">
        <v>3495</v>
      </c>
      <c r="I1431" t="s">
        <v>29</v>
      </c>
      <c r="J1431" s="1" t="s">
        <v>30</v>
      </c>
      <c r="K1431" t="s">
        <v>181</v>
      </c>
      <c r="L1431" t="s">
        <v>23</v>
      </c>
      <c r="M1431">
        <v>198</v>
      </c>
      <c r="P1431" s="1">
        <v>850</v>
      </c>
      <c r="R1431" t="s">
        <v>3746</v>
      </c>
      <c r="T1431" t="s">
        <v>3337</v>
      </c>
      <c r="U1431">
        <v>0</v>
      </c>
      <c r="V1431" t="s">
        <v>4093</v>
      </c>
    </row>
    <row r="1432" spans="1:22" ht="12.75" customHeight="1" x14ac:dyDescent="0.15">
      <c r="A1432">
        <v>21</v>
      </c>
      <c r="B1432">
        <v>2026</v>
      </c>
      <c r="C1432" s="21">
        <v>46168</v>
      </c>
      <c r="D1432" t="s">
        <v>139</v>
      </c>
      <c r="E1432" t="s">
        <v>140</v>
      </c>
      <c r="F1432" t="s">
        <v>75</v>
      </c>
      <c r="G1432">
        <v>0.8</v>
      </c>
      <c r="H1432" t="s">
        <v>3841</v>
      </c>
      <c r="I1432" t="s">
        <v>3842</v>
      </c>
      <c r="J1432" s="1" t="s">
        <v>3533</v>
      </c>
      <c r="K1432" t="s">
        <v>181</v>
      </c>
      <c r="L1432" t="s">
        <v>3333</v>
      </c>
      <c r="M1432">
        <v>3</v>
      </c>
      <c r="N1432">
        <v>1</v>
      </c>
      <c r="O1432" t="s">
        <v>3334</v>
      </c>
      <c r="P1432" s="1">
        <v>81.58</v>
      </c>
      <c r="Q1432">
        <v>8</v>
      </c>
      <c r="R1432" t="s">
        <v>3478</v>
      </c>
      <c r="S1432" t="s">
        <v>4094</v>
      </c>
      <c r="T1432" t="s">
        <v>3402</v>
      </c>
      <c r="U1432">
        <v>0</v>
      </c>
      <c r="V1432" t="s">
        <v>4095</v>
      </c>
    </row>
    <row r="1433" spans="1:22" ht="12.75" customHeight="1" x14ac:dyDescent="0.15">
      <c r="A1433">
        <v>21</v>
      </c>
      <c r="B1433">
        <v>2026</v>
      </c>
      <c r="C1433" s="21">
        <v>46168</v>
      </c>
      <c r="D1433" t="s">
        <v>139</v>
      </c>
      <c r="E1433" t="s">
        <v>140</v>
      </c>
      <c r="F1433" t="s">
        <v>75</v>
      </c>
      <c r="G1433">
        <v>0.8</v>
      </c>
      <c r="H1433" t="s">
        <v>4096</v>
      </c>
      <c r="I1433" t="s">
        <v>3684</v>
      </c>
      <c r="J1433" s="1" t="s">
        <v>3668</v>
      </c>
      <c r="K1433" t="s">
        <v>181</v>
      </c>
      <c r="L1433" t="s">
        <v>3333</v>
      </c>
      <c r="M1433">
        <v>86</v>
      </c>
      <c r="N1433">
        <v>0.63</v>
      </c>
      <c r="O1433" t="s">
        <v>3334</v>
      </c>
      <c r="P1433" s="1">
        <v>50.99</v>
      </c>
      <c r="Q1433">
        <v>5</v>
      </c>
      <c r="R1433" t="s">
        <v>3386</v>
      </c>
      <c r="S1433" t="s">
        <v>4097</v>
      </c>
      <c r="T1433" t="s">
        <v>3402</v>
      </c>
      <c r="U1433">
        <v>0</v>
      </c>
      <c r="V1433" t="s">
        <v>4098</v>
      </c>
    </row>
    <row r="1434" spans="1:22" ht="12.75" customHeight="1" x14ac:dyDescent="0.15">
      <c r="A1434">
        <v>21</v>
      </c>
      <c r="B1434">
        <v>2026</v>
      </c>
      <c r="C1434" s="21">
        <v>46168</v>
      </c>
      <c r="D1434" t="s">
        <v>101</v>
      </c>
      <c r="E1434" t="s">
        <v>102</v>
      </c>
      <c r="F1434" t="s">
        <v>75</v>
      </c>
      <c r="G1434">
        <v>7.6</v>
      </c>
      <c r="H1434" t="s">
        <v>3653</v>
      </c>
      <c r="I1434" t="s">
        <v>3566</v>
      </c>
      <c r="J1434" s="1" t="s">
        <v>3389</v>
      </c>
      <c r="K1434" t="s">
        <v>181</v>
      </c>
      <c r="L1434" t="s">
        <v>3333</v>
      </c>
      <c r="M1434">
        <v>86</v>
      </c>
      <c r="N1434">
        <v>0.38</v>
      </c>
      <c r="O1434" t="s">
        <v>3334</v>
      </c>
      <c r="P1434">
        <v>30.59</v>
      </c>
      <c r="Q1434">
        <v>3</v>
      </c>
      <c r="R1434" t="s">
        <v>3386</v>
      </c>
      <c r="T1434" t="s">
        <v>3402</v>
      </c>
      <c r="U1434">
        <v>28</v>
      </c>
      <c r="V1434" t="s">
        <v>3420</v>
      </c>
    </row>
    <row r="1435" spans="1:22" ht="12.75" customHeight="1" x14ac:dyDescent="0.15">
      <c r="A1435">
        <v>21</v>
      </c>
      <c r="B1435">
        <v>2026</v>
      </c>
      <c r="C1435" s="21">
        <v>46168</v>
      </c>
      <c r="D1435" t="s">
        <v>101</v>
      </c>
      <c r="E1435" t="s">
        <v>102</v>
      </c>
      <c r="F1435" t="s">
        <v>75</v>
      </c>
      <c r="G1435">
        <v>7.6</v>
      </c>
      <c r="H1435" t="s">
        <v>3878</v>
      </c>
      <c r="I1435" t="s">
        <v>3566</v>
      </c>
      <c r="J1435" s="1" t="s">
        <v>3389</v>
      </c>
      <c r="K1435" t="s">
        <v>2666</v>
      </c>
      <c r="L1435" t="s">
        <v>3587</v>
      </c>
      <c r="N1435">
        <v>1.1499999999999999</v>
      </c>
      <c r="O1435" t="s">
        <v>4014</v>
      </c>
      <c r="P1435">
        <v>24.6</v>
      </c>
      <c r="Q1435">
        <v>3</v>
      </c>
      <c r="T1435" t="s">
        <v>3402</v>
      </c>
      <c r="U1435">
        <v>28</v>
      </c>
      <c r="V1435" t="s">
        <v>3555</v>
      </c>
    </row>
    <row r="1436" spans="1:22" ht="12.75" customHeight="1" x14ac:dyDescent="0.15">
      <c r="A1436">
        <v>21</v>
      </c>
      <c r="B1436">
        <v>2026</v>
      </c>
      <c r="C1436" s="21">
        <v>46168</v>
      </c>
      <c r="D1436" t="s">
        <v>19</v>
      </c>
      <c r="E1436" t="s">
        <v>20</v>
      </c>
      <c r="F1436" t="s">
        <v>21</v>
      </c>
      <c r="G1436">
        <v>3.8</v>
      </c>
      <c r="H1436" t="s">
        <v>3945</v>
      </c>
      <c r="I1436" t="s">
        <v>3686</v>
      </c>
      <c r="J1436" s="1" t="s">
        <v>3437</v>
      </c>
      <c r="K1436" t="s">
        <v>181</v>
      </c>
      <c r="L1436" t="s">
        <v>3333</v>
      </c>
      <c r="M1436">
        <v>4</v>
      </c>
      <c r="N1436">
        <v>1</v>
      </c>
      <c r="O1436" t="s">
        <v>3334</v>
      </c>
      <c r="P1436">
        <v>81.58</v>
      </c>
      <c r="Q1436">
        <v>8</v>
      </c>
      <c r="R1436" t="s">
        <v>3773</v>
      </c>
      <c r="S1436" t="s">
        <v>4099</v>
      </c>
      <c r="T1436" t="s">
        <v>3402</v>
      </c>
      <c r="U1436">
        <v>168</v>
      </c>
      <c r="V1436" t="s">
        <v>3797</v>
      </c>
    </row>
    <row r="1437" spans="1:22" ht="12.75" customHeight="1" x14ac:dyDescent="0.15">
      <c r="A1437">
        <v>21</v>
      </c>
      <c r="B1437">
        <v>2026</v>
      </c>
      <c r="C1437" s="21">
        <v>46168</v>
      </c>
      <c r="D1437" t="s">
        <v>19</v>
      </c>
      <c r="E1437" t="s">
        <v>20</v>
      </c>
      <c r="F1437" t="s">
        <v>21</v>
      </c>
      <c r="G1437">
        <v>3.8</v>
      </c>
      <c r="H1437" t="s">
        <v>3945</v>
      </c>
      <c r="I1437" t="s">
        <v>3686</v>
      </c>
      <c r="J1437" s="1" t="s">
        <v>3437</v>
      </c>
      <c r="K1437" t="s">
        <v>181</v>
      </c>
      <c r="L1437" t="s">
        <v>3340</v>
      </c>
      <c r="M1437">
        <v>4</v>
      </c>
      <c r="N1437">
        <v>0.49</v>
      </c>
      <c r="O1437" t="s">
        <v>211</v>
      </c>
      <c r="P1437">
        <v>27</v>
      </c>
      <c r="Q1437">
        <v>3</v>
      </c>
      <c r="R1437" t="s">
        <v>3773</v>
      </c>
      <c r="S1437" t="s">
        <v>4100</v>
      </c>
      <c r="T1437" t="s">
        <v>3402</v>
      </c>
      <c r="U1437">
        <v>168</v>
      </c>
      <c r="V1437" t="s">
        <v>3405</v>
      </c>
    </row>
    <row r="1438" spans="1:22" ht="12.75" customHeight="1" x14ac:dyDescent="0.15">
      <c r="A1438">
        <v>21</v>
      </c>
      <c r="B1438">
        <v>2026</v>
      </c>
      <c r="C1438" s="21">
        <v>46168</v>
      </c>
      <c r="D1438" t="s">
        <v>19</v>
      </c>
      <c r="E1438" t="s">
        <v>20</v>
      </c>
      <c r="F1438" t="s">
        <v>21</v>
      </c>
      <c r="G1438">
        <v>3.8</v>
      </c>
      <c r="H1438" t="s">
        <v>3937</v>
      </c>
      <c r="I1438" t="s">
        <v>309</v>
      </c>
      <c r="J1438" s="1" t="s">
        <v>307</v>
      </c>
      <c r="K1438" t="s">
        <v>181</v>
      </c>
      <c r="L1438" t="s">
        <v>3333</v>
      </c>
      <c r="M1438">
        <v>67</v>
      </c>
      <c r="N1438">
        <v>0.75</v>
      </c>
      <c r="O1438" t="s">
        <v>3334</v>
      </c>
      <c r="P1438">
        <v>61.19</v>
      </c>
      <c r="Q1438">
        <v>6</v>
      </c>
      <c r="R1438" t="s">
        <v>3404</v>
      </c>
      <c r="T1438" t="s">
        <v>3402</v>
      </c>
      <c r="U1438">
        <v>168</v>
      </c>
      <c r="V1438" t="s">
        <v>3345</v>
      </c>
    </row>
    <row r="1439" spans="1:22" ht="12.75" customHeight="1" x14ac:dyDescent="0.15">
      <c r="A1439">
        <v>21</v>
      </c>
      <c r="B1439">
        <v>2026</v>
      </c>
      <c r="C1439" s="21">
        <v>46168</v>
      </c>
      <c r="D1439" t="s">
        <v>19</v>
      </c>
      <c r="E1439" t="s">
        <v>20</v>
      </c>
      <c r="F1439" t="s">
        <v>21</v>
      </c>
      <c r="G1439">
        <v>3.8</v>
      </c>
      <c r="H1439" t="s">
        <v>3937</v>
      </c>
      <c r="I1439" t="s">
        <v>309</v>
      </c>
      <c r="J1439" s="1" t="s">
        <v>307</v>
      </c>
      <c r="K1439" t="s">
        <v>181</v>
      </c>
      <c r="L1439" t="s">
        <v>3333</v>
      </c>
      <c r="M1439">
        <v>19</v>
      </c>
      <c r="N1439">
        <v>0.75</v>
      </c>
      <c r="O1439" t="s">
        <v>3334</v>
      </c>
      <c r="P1439">
        <v>61.19</v>
      </c>
      <c r="Q1439">
        <v>6</v>
      </c>
      <c r="R1439" t="s">
        <v>3403</v>
      </c>
      <c r="T1439" t="s">
        <v>3402</v>
      </c>
      <c r="U1439">
        <v>168</v>
      </c>
      <c r="V1439" t="s">
        <v>3345</v>
      </c>
    </row>
    <row r="1440" spans="1:22" ht="12.75" customHeight="1" x14ac:dyDescent="0.15">
      <c r="A1440">
        <v>21</v>
      </c>
      <c r="B1440">
        <v>2026</v>
      </c>
      <c r="C1440" s="21">
        <v>46168</v>
      </c>
      <c r="D1440" t="s">
        <v>19</v>
      </c>
      <c r="E1440" t="s">
        <v>20</v>
      </c>
      <c r="F1440" t="s">
        <v>21</v>
      </c>
      <c r="G1440">
        <v>3.8</v>
      </c>
      <c r="H1440" t="s">
        <v>3937</v>
      </c>
      <c r="I1440" t="s">
        <v>309</v>
      </c>
      <c r="J1440" s="1" t="s">
        <v>307</v>
      </c>
      <c r="K1440" t="s">
        <v>181</v>
      </c>
      <c r="L1440" t="s">
        <v>3340</v>
      </c>
      <c r="M1440">
        <v>67</v>
      </c>
      <c r="N1440">
        <v>0.56000000000000005</v>
      </c>
      <c r="O1440" t="s">
        <v>211</v>
      </c>
      <c r="P1440">
        <v>30.65</v>
      </c>
      <c r="R1440" t="s">
        <v>3404</v>
      </c>
      <c r="T1440" t="s">
        <v>3402</v>
      </c>
      <c r="U1440">
        <v>168</v>
      </c>
      <c r="V1440" t="s">
        <v>4101</v>
      </c>
    </row>
    <row r="1441" spans="1:22" ht="12.75" customHeight="1" x14ac:dyDescent="0.15">
      <c r="A1441">
        <v>21</v>
      </c>
      <c r="B1441">
        <v>2026</v>
      </c>
      <c r="C1441" s="21">
        <v>46168</v>
      </c>
      <c r="D1441" t="s">
        <v>19</v>
      </c>
      <c r="E1441" t="s">
        <v>20</v>
      </c>
      <c r="F1441" t="s">
        <v>21</v>
      </c>
      <c r="G1441">
        <v>3.8</v>
      </c>
      <c r="H1441" t="s">
        <v>3937</v>
      </c>
      <c r="I1441" t="s">
        <v>309</v>
      </c>
      <c r="J1441" s="1" t="s">
        <v>307</v>
      </c>
      <c r="K1441" t="s">
        <v>181</v>
      </c>
      <c r="L1441" t="s">
        <v>3340</v>
      </c>
      <c r="M1441">
        <v>19</v>
      </c>
      <c r="N1441">
        <v>0.56000000000000005</v>
      </c>
      <c r="O1441" t="s">
        <v>211</v>
      </c>
      <c r="P1441">
        <v>30.65</v>
      </c>
      <c r="R1441" t="s">
        <v>3403</v>
      </c>
      <c r="T1441" t="s">
        <v>3402</v>
      </c>
      <c r="U1441">
        <v>168</v>
      </c>
      <c r="V1441" t="s">
        <v>4101</v>
      </c>
    </row>
    <row r="1442" spans="1:22" ht="12.75" customHeight="1" x14ac:dyDescent="0.15">
      <c r="A1442">
        <v>21</v>
      </c>
      <c r="B1442">
        <v>2026</v>
      </c>
      <c r="C1442" s="21">
        <v>46168</v>
      </c>
      <c r="D1442" t="s">
        <v>19</v>
      </c>
      <c r="E1442" t="s">
        <v>20</v>
      </c>
      <c r="F1442" t="s">
        <v>21</v>
      </c>
      <c r="G1442">
        <v>3.8</v>
      </c>
      <c r="H1442" t="s">
        <v>3937</v>
      </c>
      <c r="I1442" t="s">
        <v>309</v>
      </c>
      <c r="J1442" s="1" t="s">
        <v>307</v>
      </c>
      <c r="K1442" t="s">
        <v>181</v>
      </c>
      <c r="L1442" t="s">
        <v>3340</v>
      </c>
      <c r="M1442">
        <v>78</v>
      </c>
      <c r="N1442">
        <v>1.66</v>
      </c>
      <c r="O1442" t="s">
        <v>211</v>
      </c>
      <c r="P1442">
        <v>91.25</v>
      </c>
      <c r="R1442" t="s">
        <v>3341</v>
      </c>
      <c r="T1442" t="s">
        <v>3402</v>
      </c>
      <c r="U1442">
        <v>168</v>
      </c>
      <c r="V1442" t="s">
        <v>4102</v>
      </c>
    </row>
    <row r="1443" spans="1:22" ht="12.75" customHeight="1" x14ac:dyDescent="0.15">
      <c r="A1443">
        <v>21</v>
      </c>
      <c r="B1443">
        <v>2026</v>
      </c>
      <c r="C1443" s="21">
        <v>46168</v>
      </c>
      <c r="D1443" t="s">
        <v>101</v>
      </c>
      <c r="E1443" t="s">
        <v>102</v>
      </c>
      <c r="F1443" t="s">
        <v>75</v>
      </c>
      <c r="G1443">
        <v>7.6</v>
      </c>
      <c r="H1443" t="s">
        <v>3391</v>
      </c>
      <c r="I1443" t="s">
        <v>353</v>
      </c>
      <c r="J1443" s="1" t="s">
        <v>253</v>
      </c>
      <c r="K1443" t="s">
        <v>181</v>
      </c>
      <c r="L1443" t="s">
        <v>3587</v>
      </c>
      <c r="M1443">
        <v>120</v>
      </c>
      <c r="N1443">
        <v>7</v>
      </c>
      <c r="O1443" t="s">
        <v>211</v>
      </c>
      <c r="P1443">
        <v>385</v>
      </c>
      <c r="R1443" t="s">
        <v>3415</v>
      </c>
      <c r="S1443" t="s">
        <v>4103</v>
      </c>
      <c r="T1443" t="s">
        <v>3402</v>
      </c>
      <c r="U1443">
        <v>28</v>
      </c>
      <c r="V1443" t="s">
        <v>4042</v>
      </c>
    </row>
    <row r="1444" spans="1:22" ht="12.75" customHeight="1" x14ac:dyDescent="0.15">
      <c r="A1444">
        <v>21</v>
      </c>
      <c r="B1444">
        <v>2026</v>
      </c>
      <c r="C1444" s="21">
        <v>46169</v>
      </c>
      <c r="D1444" t="s">
        <v>115</v>
      </c>
      <c r="E1444" t="s">
        <v>116</v>
      </c>
      <c r="F1444" t="s">
        <v>21</v>
      </c>
      <c r="G1444">
        <v>2</v>
      </c>
      <c r="H1444" t="s">
        <v>3519</v>
      </c>
      <c r="I1444" t="s">
        <v>214</v>
      </c>
      <c r="J1444" s="1" t="s">
        <v>215</v>
      </c>
      <c r="K1444" t="s">
        <v>181</v>
      </c>
      <c r="L1444" t="s">
        <v>3340</v>
      </c>
      <c r="M1444">
        <v>45</v>
      </c>
      <c r="N1444">
        <v>0.15</v>
      </c>
      <c r="O1444" t="s">
        <v>211</v>
      </c>
      <c r="P1444">
        <v>8</v>
      </c>
      <c r="R1444" t="s">
        <v>3377</v>
      </c>
      <c r="S1444" t="s">
        <v>4104</v>
      </c>
      <c r="T1444" t="s">
        <v>3337</v>
      </c>
      <c r="U1444">
        <v>6</v>
      </c>
      <c r="V1444" t="s">
        <v>4105</v>
      </c>
    </row>
    <row r="1445" spans="1:22" ht="12.75" customHeight="1" x14ac:dyDescent="0.15">
      <c r="A1445">
        <v>21</v>
      </c>
      <c r="B1445">
        <v>2026</v>
      </c>
      <c r="C1445" s="21">
        <v>46169</v>
      </c>
      <c r="D1445" t="s">
        <v>115</v>
      </c>
      <c r="E1445" t="s">
        <v>116</v>
      </c>
      <c r="F1445" t="s">
        <v>21</v>
      </c>
      <c r="G1445">
        <v>2</v>
      </c>
      <c r="H1445" t="s">
        <v>3519</v>
      </c>
      <c r="I1445" t="s">
        <v>214</v>
      </c>
      <c r="J1445" s="1" t="s">
        <v>215</v>
      </c>
      <c r="K1445" t="s">
        <v>181</v>
      </c>
      <c r="L1445" t="s">
        <v>3340</v>
      </c>
      <c r="M1445">
        <v>53</v>
      </c>
      <c r="N1445">
        <v>0.63</v>
      </c>
      <c r="O1445" t="s">
        <v>211</v>
      </c>
      <c r="P1445">
        <v>34.700000000000003</v>
      </c>
      <c r="R1445" t="s">
        <v>3373</v>
      </c>
      <c r="S1445" t="s">
        <v>4106</v>
      </c>
      <c r="T1445" t="s">
        <v>3337</v>
      </c>
      <c r="U1445">
        <v>6</v>
      </c>
      <c r="V1445" t="s">
        <v>4107</v>
      </c>
    </row>
    <row r="1446" spans="1:22" ht="12.75" customHeight="1" x14ac:dyDescent="0.15">
      <c r="A1446">
        <v>21</v>
      </c>
      <c r="B1446">
        <v>2026</v>
      </c>
      <c r="C1446" s="21">
        <v>46169</v>
      </c>
      <c r="D1446" t="s">
        <v>115</v>
      </c>
      <c r="E1446" t="s">
        <v>116</v>
      </c>
      <c r="F1446" t="s">
        <v>21</v>
      </c>
      <c r="G1446">
        <v>2</v>
      </c>
      <c r="H1446" t="s">
        <v>3519</v>
      </c>
      <c r="I1446" t="s">
        <v>214</v>
      </c>
      <c r="J1446" s="1" t="s">
        <v>215</v>
      </c>
      <c r="K1446" t="s">
        <v>181</v>
      </c>
      <c r="L1446" t="s">
        <v>3340</v>
      </c>
      <c r="M1446">
        <v>81</v>
      </c>
      <c r="N1446">
        <v>0.15</v>
      </c>
      <c r="O1446" t="s">
        <v>211</v>
      </c>
      <c r="P1446">
        <v>8</v>
      </c>
      <c r="R1446" t="s">
        <v>3374</v>
      </c>
      <c r="S1446" t="s">
        <v>4104</v>
      </c>
      <c r="T1446" t="s">
        <v>3337</v>
      </c>
      <c r="U1446">
        <v>6</v>
      </c>
      <c r="V1446" t="s">
        <v>4105</v>
      </c>
    </row>
    <row r="1447" spans="1:22" ht="12.75" customHeight="1" x14ac:dyDescent="0.15">
      <c r="A1447">
        <v>21</v>
      </c>
      <c r="B1447">
        <v>2026</v>
      </c>
      <c r="C1447" s="21">
        <v>46169</v>
      </c>
      <c r="D1447" t="s">
        <v>115</v>
      </c>
      <c r="E1447" t="s">
        <v>116</v>
      </c>
      <c r="F1447" t="s">
        <v>21</v>
      </c>
      <c r="G1447">
        <v>2</v>
      </c>
      <c r="H1447" t="s">
        <v>3519</v>
      </c>
      <c r="I1447" t="s">
        <v>214</v>
      </c>
      <c r="J1447" s="1" t="s">
        <v>215</v>
      </c>
      <c r="K1447" t="s">
        <v>181</v>
      </c>
      <c r="L1447" t="s">
        <v>3340</v>
      </c>
      <c r="M1447">
        <v>58</v>
      </c>
      <c r="N1447">
        <v>0.63</v>
      </c>
      <c r="O1447" t="s">
        <v>211</v>
      </c>
      <c r="P1447">
        <v>34.700000000000003</v>
      </c>
      <c r="R1447" t="s">
        <v>3343</v>
      </c>
      <c r="S1447" t="s">
        <v>4106</v>
      </c>
      <c r="T1447" t="s">
        <v>3337</v>
      </c>
      <c r="U1447">
        <v>6</v>
      </c>
      <c r="V1447" t="s">
        <v>4107</v>
      </c>
    </row>
    <row r="1448" spans="1:22" ht="12.75" customHeight="1" x14ac:dyDescent="0.15">
      <c r="A1448">
        <v>21</v>
      </c>
      <c r="B1448">
        <v>2026</v>
      </c>
      <c r="C1448" s="21">
        <v>46169</v>
      </c>
      <c r="D1448" t="s">
        <v>115</v>
      </c>
      <c r="E1448" t="s">
        <v>116</v>
      </c>
      <c r="F1448" t="s">
        <v>21</v>
      </c>
      <c r="G1448">
        <v>2</v>
      </c>
      <c r="H1448" t="s">
        <v>3519</v>
      </c>
      <c r="I1448" t="s">
        <v>214</v>
      </c>
      <c r="J1448" s="1" t="s">
        <v>215</v>
      </c>
      <c r="K1448" t="s">
        <v>181</v>
      </c>
      <c r="L1448" t="s">
        <v>3340</v>
      </c>
      <c r="M1448">
        <v>132</v>
      </c>
      <c r="N1448">
        <v>0.63</v>
      </c>
      <c r="O1448" t="s">
        <v>211</v>
      </c>
      <c r="P1448">
        <v>34.700000000000003</v>
      </c>
      <c r="R1448" t="s">
        <v>3368</v>
      </c>
      <c r="S1448" t="s">
        <v>4106</v>
      </c>
      <c r="T1448" t="s">
        <v>3337</v>
      </c>
      <c r="U1448">
        <v>6</v>
      </c>
      <c r="V1448" t="s">
        <v>4107</v>
      </c>
    </row>
    <row r="1449" spans="1:22" ht="12.75" customHeight="1" x14ac:dyDescent="0.15">
      <c r="A1449">
        <v>21</v>
      </c>
      <c r="B1449">
        <v>2026</v>
      </c>
      <c r="C1449" s="21">
        <v>46169</v>
      </c>
      <c r="D1449" t="s">
        <v>139</v>
      </c>
      <c r="E1449" t="s">
        <v>140</v>
      </c>
      <c r="F1449" t="s">
        <v>75</v>
      </c>
      <c r="G1449">
        <v>0.8</v>
      </c>
      <c r="H1449" t="s">
        <v>3514</v>
      </c>
      <c r="I1449" t="s">
        <v>366</v>
      </c>
      <c r="J1449" s="1" t="s">
        <v>215</v>
      </c>
      <c r="K1449" t="s">
        <v>181</v>
      </c>
      <c r="L1449" t="s">
        <v>3340</v>
      </c>
      <c r="M1449">
        <v>45</v>
      </c>
      <c r="N1449">
        <v>0.51</v>
      </c>
      <c r="O1449" t="s">
        <v>211</v>
      </c>
      <c r="P1449" s="1">
        <v>28</v>
      </c>
      <c r="R1449" t="s">
        <v>3377</v>
      </c>
      <c r="S1449" t="s">
        <v>3520</v>
      </c>
      <c r="T1449" t="s">
        <v>3337</v>
      </c>
      <c r="U1449">
        <v>1</v>
      </c>
      <c r="V1449" t="s">
        <v>3607</v>
      </c>
    </row>
    <row r="1450" spans="1:22" ht="12.75" customHeight="1" x14ac:dyDescent="0.15">
      <c r="A1450">
        <v>21</v>
      </c>
      <c r="B1450">
        <v>2026</v>
      </c>
      <c r="C1450" s="21">
        <v>46169</v>
      </c>
      <c r="D1450" t="s">
        <v>139</v>
      </c>
      <c r="E1450" t="s">
        <v>140</v>
      </c>
      <c r="F1450" t="s">
        <v>75</v>
      </c>
      <c r="G1450">
        <v>0.8</v>
      </c>
      <c r="H1450" t="s">
        <v>3514</v>
      </c>
      <c r="I1450" t="s">
        <v>366</v>
      </c>
      <c r="J1450" s="1" t="s">
        <v>215</v>
      </c>
      <c r="K1450" t="s">
        <v>181</v>
      </c>
      <c r="L1450" t="s">
        <v>3340</v>
      </c>
      <c r="M1450">
        <v>53</v>
      </c>
      <c r="N1450">
        <v>0.51</v>
      </c>
      <c r="O1450" t="s">
        <v>211</v>
      </c>
      <c r="P1450" s="1">
        <v>28</v>
      </c>
      <c r="R1450" t="s">
        <v>3373</v>
      </c>
      <c r="T1450" t="s">
        <v>3337</v>
      </c>
      <c r="U1450">
        <v>1</v>
      </c>
      <c r="V1450" t="s">
        <v>3607</v>
      </c>
    </row>
    <row r="1451" spans="1:22" ht="12.75" customHeight="1" x14ac:dyDescent="0.15">
      <c r="A1451">
        <v>21</v>
      </c>
      <c r="B1451">
        <v>2026</v>
      </c>
      <c r="C1451" s="21">
        <v>46169</v>
      </c>
      <c r="D1451" t="s">
        <v>139</v>
      </c>
      <c r="E1451" t="s">
        <v>140</v>
      </c>
      <c r="F1451" t="s">
        <v>75</v>
      </c>
      <c r="G1451">
        <v>0.8</v>
      </c>
      <c r="H1451" t="s">
        <v>3514</v>
      </c>
      <c r="I1451" t="s">
        <v>366</v>
      </c>
      <c r="J1451" s="1" t="s">
        <v>215</v>
      </c>
      <c r="K1451" t="s">
        <v>181</v>
      </c>
      <c r="L1451" t="s">
        <v>3340</v>
      </c>
      <c r="M1451">
        <v>81</v>
      </c>
      <c r="N1451">
        <v>0.51</v>
      </c>
      <c r="O1451" t="s">
        <v>211</v>
      </c>
      <c r="P1451" s="1">
        <v>28</v>
      </c>
      <c r="R1451" t="s">
        <v>3374</v>
      </c>
      <c r="T1451" t="s">
        <v>3337</v>
      </c>
      <c r="U1451">
        <v>1</v>
      </c>
      <c r="V1451" t="s">
        <v>3607</v>
      </c>
    </row>
    <row r="1452" spans="1:22" ht="12.75" customHeight="1" x14ac:dyDescent="0.15">
      <c r="A1452">
        <v>21</v>
      </c>
      <c r="B1452">
        <v>2026</v>
      </c>
      <c r="C1452" s="21">
        <v>46169</v>
      </c>
      <c r="D1452" t="s">
        <v>139</v>
      </c>
      <c r="E1452" t="s">
        <v>140</v>
      </c>
      <c r="F1452" t="s">
        <v>75</v>
      </c>
      <c r="G1452">
        <v>0.8</v>
      </c>
      <c r="H1452" t="s">
        <v>3514</v>
      </c>
      <c r="I1452" t="s">
        <v>366</v>
      </c>
      <c r="J1452" s="1" t="s">
        <v>215</v>
      </c>
      <c r="K1452" t="s">
        <v>181</v>
      </c>
      <c r="L1452" t="s">
        <v>3340</v>
      </c>
      <c r="M1452">
        <v>58</v>
      </c>
      <c r="N1452">
        <v>0.51</v>
      </c>
      <c r="O1452" t="s">
        <v>211</v>
      </c>
      <c r="P1452" s="1">
        <v>28</v>
      </c>
      <c r="R1452" t="s">
        <v>3343</v>
      </c>
      <c r="T1452" t="s">
        <v>3337</v>
      </c>
      <c r="U1452">
        <v>1</v>
      </c>
      <c r="V1452" t="s">
        <v>3607</v>
      </c>
    </row>
    <row r="1453" spans="1:22" ht="12.75" customHeight="1" x14ac:dyDescent="0.15">
      <c r="A1453">
        <v>21</v>
      </c>
      <c r="B1453">
        <v>2026</v>
      </c>
      <c r="C1453" s="21">
        <v>46169</v>
      </c>
      <c r="D1453" t="s">
        <v>139</v>
      </c>
      <c r="E1453" t="s">
        <v>140</v>
      </c>
      <c r="F1453" t="s">
        <v>75</v>
      </c>
      <c r="G1453">
        <v>0.8</v>
      </c>
      <c r="H1453" t="s">
        <v>3514</v>
      </c>
      <c r="I1453" t="s">
        <v>366</v>
      </c>
      <c r="J1453" s="1" t="s">
        <v>215</v>
      </c>
      <c r="K1453" t="s">
        <v>181</v>
      </c>
      <c r="L1453" t="s">
        <v>3340</v>
      </c>
      <c r="M1453">
        <v>132</v>
      </c>
      <c r="N1453">
        <v>0.51</v>
      </c>
      <c r="O1453" t="s">
        <v>211</v>
      </c>
      <c r="P1453" s="1">
        <v>28</v>
      </c>
      <c r="R1453" t="s">
        <v>3368</v>
      </c>
      <c r="T1453" t="s">
        <v>3337</v>
      </c>
      <c r="U1453">
        <v>1</v>
      </c>
      <c r="V1453" t="s">
        <v>3607</v>
      </c>
    </row>
    <row r="1454" spans="1:22" ht="12.75" customHeight="1" x14ac:dyDescent="0.15">
      <c r="A1454">
        <v>21</v>
      </c>
      <c r="B1454">
        <v>2026</v>
      </c>
      <c r="C1454" s="21">
        <v>46169</v>
      </c>
      <c r="D1454" t="s">
        <v>101</v>
      </c>
      <c r="E1454" t="s">
        <v>102</v>
      </c>
      <c r="F1454" t="s">
        <v>75</v>
      </c>
      <c r="G1454">
        <v>7.6</v>
      </c>
      <c r="H1454" t="s">
        <v>3953</v>
      </c>
      <c r="I1454" t="s">
        <v>3954</v>
      </c>
      <c r="J1454" s="1" t="s">
        <v>253</v>
      </c>
      <c r="K1454" t="s">
        <v>181</v>
      </c>
      <c r="L1454" t="s">
        <v>3333</v>
      </c>
      <c r="M1454">
        <v>1</v>
      </c>
      <c r="N1454">
        <v>1</v>
      </c>
      <c r="O1454" t="s">
        <v>3358</v>
      </c>
      <c r="P1454">
        <v>71.86</v>
      </c>
      <c r="Q1454">
        <v>8</v>
      </c>
      <c r="R1454" t="s">
        <v>3359</v>
      </c>
      <c r="T1454" t="s">
        <v>3337</v>
      </c>
      <c r="U1454">
        <v>29</v>
      </c>
      <c r="V1454" t="s">
        <v>3545</v>
      </c>
    </row>
    <row r="1455" spans="1:22" ht="12.75" customHeight="1" x14ac:dyDescent="0.15">
      <c r="A1455">
        <v>21</v>
      </c>
      <c r="B1455">
        <v>2026</v>
      </c>
      <c r="C1455" s="21">
        <v>46169</v>
      </c>
      <c r="D1455" t="s">
        <v>101</v>
      </c>
      <c r="E1455" t="s">
        <v>102</v>
      </c>
      <c r="F1455" t="s">
        <v>75</v>
      </c>
      <c r="G1455">
        <v>7.6</v>
      </c>
      <c r="H1455" t="s">
        <v>3953</v>
      </c>
      <c r="I1455" t="s">
        <v>3954</v>
      </c>
      <c r="J1455" s="1" t="s">
        <v>253</v>
      </c>
      <c r="K1455" t="s">
        <v>181</v>
      </c>
      <c r="L1455" t="s">
        <v>3333</v>
      </c>
      <c r="M1455">
        <v>6</v>
      </c>
      <c r="N1455">
        <v>1</v>
      </c>
      <c r="O1455" t="s">
        <v>3334</v>
      </c>
      <c r="P1455">
        <v>81.58</v>
      </c>
      <c r="Q1455">
        <v>8</v>
      </c>
      <c r="R1455" t="s">
        <v>3335</v>
      </c>
      <c r="T1455" t="s">
        <v>3337</v>
      </c>
      <c r="U1455">
        <v>29</v>
      </c>
      <c r="V1455" t="s">
        <v>3338</v>
      </c>
    </row>
    <row r="1456" spans="1:22" ht="12.75" customHeight="1" x14ac:dyDescent="0.15">
      <c r="A1456">
        <v>21</v>
      </c>
      <c r="B1456">
        <v>2026</v>
      </c>
      <c r="C1456" s="21">
        <v>46169</v>
      </c>
      <c r="D1456" t="s">
        <v>101</v>
      </c>
      <c r="E1456" t="s">
        <v>102</v>
      </c>
      <c r="F1456" t="s">
        <v>75</v>
      </c>
      <c r="G1456">
        <v>7.6</v>
      </c>
      <c r="H1456" t="s">
        <v>3400</v>
      </c>
      <c r="I1456" t="s">
        <v>353</v>
      </c>
      <c r="J1456" s="1" t="s">
        <v>253</v>
      </c>
      <c r="K1456" t="s">
        <v>181</v>
      </c>
      <c r="L1456" t="s">
        <v>3333</v>
      </c>
      <c r="M1456">
        <v>2</v>
      </c>
      <c r="N1456">
        <v>1</v>
      </c>
      <c r="O1456" t="s">
        <v>3440</v>
      </c>
      <c r="P1456">
        <v>90.49</v>
      </c>
      <c r="Q1456">
        <v>8</v>
      </c>
      <c r="R1456" t="s">
        <v>3424</v>
      </c>
      <c r="T1456" t="s">
        <v>3337</v>
      </c>
      <c r="U1456">
        <v>29</v>
      </c>
      <c r="V1456" t="s">
        <v>3982</v>
      </c>
    </row>
    <row r="1457" spans="1:22" ht="12.75" customHeight="1" x14ac:dyDescent="0.15">
      <c r="A1457">
        <v>21</v>
      </c>
      <c r="B1457">
        <v>2026</v>
      </c>
      <c r="C1457" s="21">
        <v>46169</v>
      </c>
      <c r="D1457" t="s">
        <v>101</v>
      </c>
      <c r="E1457" t="s">
        <v>102</v>
      </c>
      <c r="F1457" t="s">
        <v>75</v>
      </c>
      <c r="G1457">
        <v>7.6</v>
      </c>
      <c r="H1457" t="s">
        <v>3400</v>
      </c>
      <c r="I1457" t="s">
        <v>353</v>
      </c>
      <c r="J1457" s="1" t="s">
        <v>253</v>
      </c>
      <c r="K1457" t="s">
        <v>181</v>
      </c>
      <c r="L1457" t="s">
        <v>3340</v>
      </c>
      <c r="M1457">
        <v>25</v>
      </c>
      <c r="N1457">
        <v>1</v>
      </c>
      <c r="O1457" t="s">
        <v>211</v>
      </c>
      <c r="P1457">
        <v>55</v>
      </c>
      <c r="R1457" t="s">
        <v>3413</v>
      </c>
      <c r="T1457" t="s">
        <v>3337</v>
      </c>
      <c r="U1457">
        <v>29</v>
      </c>
      <c r="V1457" t="s">
        <v>4088</v>
      </c>
    </row>
    <row r="1458" spans="1:22" ht="12.75" customHeight="1" x14ac:dyDescent="0.15">
      <c r="A1458">
        <v>21</v>
      </c>
      <c r="B1458">
        <v>2026</v>
      </c>
      <c r="C1458" s="21">
        <v>46169</v>
      </c>
      <c r="D1458" t="s">
        <v>139</v>
      </c>
      <c r="E1458" t="s">
        <v>140</v>
      </c>
      <c r="F1458" t="s">
        <v>75</v>
      </c>
      <c r="G1458">
        <v>0.8</v>
      </c>
      <c r="H1458" t="s">
        <v>3865</v>
      </c>
      <c r="I1458" t="s">
        <v>3866</v>
      </c>
      <c r="J1458" s="1" t="s">
        <v>30</v>
      </c>
      <c r="K1458" t="s">
        <v>181</v>
      </c>
      <c r="L1458" t="s">
        <v>3340</v>
      </c>
      <c r="M1458">
        <v>86</v>
      </c>
      <c r="N1458">
        <v>0.5</v>
      </c>
      <c r="O1458" t="s">
        <v>211</v>
      </c>
      <c r="P1458" s="1">
        <v>27.5</v>
      </c>
      <c r="R1458" t="s">
        <v>3386</v>
      </c>
      <c r="T1458" t="s">
        <v>3337</v>
      </c>
      <c r="U1458">
        <v>1</v>
      </c>
      <c r="V1458" t="s">
        <v>4108</v>
      </c>
    </row>
    <row r="1459" spans="1:22" ht="12.75" customHeight="1" x14ac:dyDescent="0.15">
      <c r="A1459">
        <v>21</v>
      </c>
      <c r="B1459">
        <v>2026</v>
      </c>
      <c r="C1459" s="21">
        <v>46169</v>
      </c>
      <c r="D1459" t="s">
        <v>141</v>
      </c>
      <c r="E1459" t="s">
        <v>142</v>
      </c>
      <c r="F1459" t="s">
        <v>75</v>
      </c>
      <c r="G1459">
        <v>1</v>
      </c>
      <c r="H1459" t="s">
        <v>3845</v>
      </c>
      <c r="I1459" t="s">
        <v>380</v>
      </c>
      <c r="J1459" s="1" t="s">
        <v>3533</v>
      </c>
      <c r="K1459" t="s">
        <v>181</v>
      </c>
      <c r="L1459" t="s">
        <v>3333</v>
      </c>
      <c r="M1459">
        <v>3</v>
      </c>
      <c r="N1459">
        <v>1</v>
      </c>
      <c r="O1459" t="s">
        <v>3334</v>
      </c>
      <c r="P1459">
        <v>81.58</v>
      </c>
      <c r="Q1459">
        <v>8</v>
      </c>
      <c r="R1459" t="s">
        <v>3478</v>
      </c>
      <c r="T1459" t="s">
        <v>3402</v>
      </c>
      <c r="U1459">
        <v>-27</v>
      </c>
      <c r="V1459" t="s">
        <v>3334</v>
      </c>
    </row>
    <row r="1460" spans="1:22" ht="12.75" customHeight="1" x14ac:dyDescent="0.15">
      <c r="A1460">
        <v>21</v>
      </c>
      <c r="B1460">
        <v>2026</v>
      </c>
      <c r="C1460" s="21">
        <v>46169</v>
      </c>
      <c r="D1460" t="s">
        <v>141</v>
      </c>
      <c r="E1460" t="s">
        <v>142</v>
      </c>
      <c r="F1460" t="s">
        <v>75</v>
      </c>
      <c r="G1460">
        <v>1</v>
      </c>
      <c r="H1460" t="s">
        <v>3845</v>
      </c>
      <c r="I1460" t="s">
        <v>380</v>
      </c>
      <c r="J1460" s="1" t="s">
        <v>3533</v>
      </c>
      <c r="K1460" t="s">
        <v>181</v>
      </c>
      <c r="L1460" t="s">
        <v>3340</v>
      </c>
      <c r="M1460">
        <v>3</v>
      </c>
      <c r="N1460">
        <v>7.0000000000000007E-2</v>
      </c>
      <c r="O1460" t="s">
        <v>211</v>
      </c>
      <c r="P1460">
        <v>3.68</v>
      </c>
      <c r="R1460" t="s">
        <v>3478</v>
      </c>
      <c r="T1460" t="s">
        <v>3402</v>
      </c>
      <c r="U1460">
        <v>-27</v>
      </c>
      <c r="V1460" t="s">
        <v>4109</v>
      </c>
    </row>
    <row r="1461" spans="1:22" ht="12.75" customHeight="1" x14ac:dyDescent="0.15">
      <c r="A1461">
        <v>21</v>
      </c>
      <c r="B1461">
        <v>2026</v>
      </c>
      <c r="C1461" s="21">
        <v>46169</v>
      </c>
      <c r="D1461" t="s">
        <v>139</v>
      </c>
      <c r="E1461" t="s">
        <v>140</v>
      </c>
      <c r="F1461" t="s">
        <v>75</v>
      </c>
      <c r="G1461">
        <v>0.8</v>
      </c>
      <c r="H1461" t="s">
        <v>4096</v>
      </c>
      <c r="I1461" t="s">
        <v>3684</v>
      </c>
      <c r="J1461" s="1" t="s">
        <v>3668</v>
      </c>
      <c r="K1461" t="s">
        <v>181</v>
      </c>
      <c r="L1461" t="s">
        <v>3333</v>
      </c>
      <c r="M1461">
        <v>86</v>
      </c>
      <c r="N1461">
        <v>1</v>
      </c>
      <c r="O1461" t="s">
        <v>3334</v>
      </c>
      <c r="P1461" s="1">
        <v>81.58</v>
      </c>
      <c r="Q1461">
        <v>8</v>
      </c>
      <c r="R1461" t="s">
        <v>3386</v>
      </c>
      <c r="S1461" t="s">
        <v>4110</v>
      </c>
      <c r="T1461" t="s">
        <v>3402</v>
      </c>
      <c r="U1461">
        <v>1</v>
      </c>
      <c r="V1461" t="s">
        <v>4095</v>
      </c>
    </row>
    <row r="1462" spans="1:22" ht="12.75" customHeight="1" x14ac:dyDescent="0.15">
      <c r="A1462">
        <v>21</v>
      </c>
      <c r="B1462">
        <v>2026</v>
      </c>
      <c r="C1462" s="21">
        <v>46169</v>
      </c>
      <c r="D1462" t="s">
        <v>101</v>
      </c>
      <c r="E1462" t="s">
        <v>102</v>
      </c>
      <c r="F1462" t="s">
        <v>75</v>
      </c>
      <c r="G1462">
        <v>7.6</v>
      </c>
      <c r="H1462" t="s">
        <v>3391</v>
      </c>
      <c r="I1462" t="s">
        <v>353</v>
      </c>
      <c r="J1462" s="1" t="s">
        <v>253</v>
      </c>
      <c r="K1462" t="s">
        <v>181</v>
      </c>
      <c r="L1462" t="s">
        <v>3333</v>
      </c>
      <c r="M1462">
        <v>67</v>
      </c>
      <c r="N1462">
        <v>0.38</v>
      </c>
      <c r="O1462" t="s">
        <v>3334</v>
      </c>
      <c r="P1462">
        <v>30.59</v>
      </c>
      <c r="Q1462">
        <v>3</v>
      </c>
      <c r="R1462" t="s">
        <v>3404</v>
      </c>
      <c r="T1462" t="s">
        <v>3402</v>
      </c>
      <c r="U1462">
        <v>29</v>
      </c>
      <c r="V1462" t="s">
        <v>3420</v>
      </c>
    </row>
    <row r="1463" spans="1:22" ht="12.75" customHeight="1" x14ac:dyDescent="0.15">
      <c r="A1463">
        <v>21</v>
      </c>
      <c r="B1463">
        <v>2026</v>
      </c>
      <c r="C1463" s="21">
        <v>46169</v>
      </c>
      <c r="D1463" t="s">
        <v>101</v>
      </c>
      <c r="E1463" t="s">
        <v>102</v>
      </c>
      <c r="F1463" t="s">
        <v>75</v>
      </c>
      <c r="G1463">
        <v>7.6</v>
      </c>
      <c r="H1463" t="s">
        <v>3391</v>
      </c>
      <c r="I1463" t="s">
        <v>353</v>
      </c>
      <c r="J1463" s="1" t="s">
        <v>253</v>
      </c>
      <c r="K1463" t="s">
        <v>181</v>
      </c>
      <c r="L1463" t="s">
        <v>3333</v>
      </c>
      <c r="M1463">
        <v>19</v>
      </c>
      <c r="N1463">
        <v>0.38</v>
      </c>
      <c r="O1463" t="s">
        <v>3334</v>
      </c>
      <c r="P1463">
        <v>30.59</v>
      </c>
      <c r="Q1463">
        <v>3</v>
      </c>
      <c r="R1463" t="s">
        <v>3403</v>
      </c>
      <c r="T1463" t="s">
        <v>3402</v>
      </c>
      <c r="U1463">
        <v>29</v>
      </c>
      <c r="V1463" t="s">
        <v>3420</v>
      </c>
    </row>
    <row r="1464" spans="1:22" ht="12.75" customHeight="1" x14ac:dyDescent="0.15">
      <c r="A1464">
        <v>21</v>
      </c>
      <c r="B1464">
        <v>2026</v>
      </c>
      <c r="C1464" s="21">
        <v>46169</v>
      </c>
      <c r="D1464" t="s">
        <v>101</v>
      </c>
      <c r="E1464" t="s">
        <v>102</v>
      </c>
      <c r="F1464" t="s">
        <v>75</v>
      </c>
      <c r="G1464">
        <v>7.6</v>
      </c>
      <c r="H1464" t="s">
        <v>3391</v>
      </c>
      <c r="I1464" t="s">
        <v>353</v>
      </c>
      <c r="J1464" s="1" t="s">
        <v>253</v>
      </c>
      <c r="K1464" t="s">
        <v>181</v>
      </c>
      <c r="L1464" t="s">
        <v>3340</v>
      </c>
      <c r="M1464">
        <v>78</v>
      </c>
      <c r="N1464">
        <v>0.49</v>
      </c>
      <c r="O1464" t="s">
        <v>211</v>
      </c>
      <c r="P1464">
        <v>27</v>
      </c>
      <c r="Q1464">
        <v>3</v>
      </c>
      <c r="R1464" t="s">
        <v>3341</v>
      </c>
      <c r="S1464" t="s">
        <v>4111</v>
      </c>
      <c r="T1464" t="s">
        <v>3402</v>
      </c>
      <c r="U1464">
        <v>29</v>
      </c>
      <c r="V1464" t="s">
        <v>3422</v>
      </c>
    </row>
    <row r="1465" spans="1:22" ht="12.75" customHeight="1" x14ac:dyDescent="0.15">
      <c r="A1465">
        <v>21</v>
      </c>
      <c r="B1465">
        <v>2026</v>
      </c>
      <c r="C1465" s="21">
        <v>46169</v>
      </c>
      <c r="D1465" t="s">
        <v>101</v>
      </c>
      <c r="E1465" t="s">
        <v>102</v>
      </c>
      <c r="F1465" t="s">
        <v>75</v>
      </c>
      <c r="G1465">
        <v>7.6</v>
      </c>
      <c r="H1465" t="s">
        <v>3391</v>
      </c>
      <c r="I1465" t="s">
        <v>353</v>
      </c>
      <c r="J1465" s="1" t="s">
        <v>253</v>
      </c>
      <c r="K1465" t="s">
        <v>181</v>
      </c>
      <c r="L1465" t="s">
        <v>3587</v>
      </c>
      <c r="M1465">
        <v>120</v>
      </c>
      <c r="N1465">
        <v>7</v>
      </c>
      <c r="O1465" t="s">
        <v>211</v>
      </c>
      <c r="P1465">
        <v>385</v>
      </c>
      <c r="R1465" t="s">
        <v>3415</v>
      </c>
      <c r="T1465" t="s">
        <v>3402</v>
      </c>
      <c r="U1465">
        <v>29</v>
      </c>
      <c r="V1465" t="s">
        <v>4042</v>
      </c>
    </row>
    <row r="1466" spans="1:22" ht="12.75" customHeight="1" x14ac:dyDescent="0.15">
      <c r="A1466">
        <v>21</v>
      </c>
      <c r="B1466">
        <v>2026</v>
      </c>
      <c r="C1466" s="21">
        <v>46169</v>
      </c>
      <c r="D1466" t="s">
        <v>96</v>
      </c>
      <c r="E1466" t="s">
        <v>97</v>
      </c>
      <c r="F1466" t="s">
        <v>21</v>
      </c>
      <c r="G1466">
        <v>4.5</v>
      </c>
      <c r="H1466" t="s">
        <v>3653</v>
      </c>
      <c r="I1466" t="s">
        <v>3566</v>
      </c>
      <c r="J1466" s="1" t="s">
        <v>3389</v>
      </c>
      <c r="K1466" t="s">
        <v>181</v>
      </c>
      <c r="L1466" t="s">
        <v>3333</v>
      </c>
      <c r="M1466">
        <v>11</v>
      </c>
      <c r="N1466">
        <v>0.5</v>
      </c>
      <c r="O1466" t="s">
        <v>213</v>
      </c>
      <c r="P1466">
        <v>45</v>
      </c>
      <c r="Q1466">
        <v>4</v>
      </c>
      <c r="R1466" t="s">
        <v>3564</v>
      </c>
      <c r="T1466" t="s">
        <v>3402</v>
      </c>
      <c r="U1466">
        <v>26</v>
      </c>
      <c r="V1466" t="s">
        <v>3711</v>
      </c>
    </row>
    <row r="1467" spans="1:22" ht="12.75" customHeight="1" x14ac:dyDescent="0.15">
      <c r="A1467">
        <v>21</v>
      </c>
      <c r="B1467">
        <v>2026</v>
      </c>
      <c r="C1467" s="21">
        <v>46169</v>
      </c>
      <c r="D1467" t="s">
        <v>96</v>
      </c>
      <c r="E1467" t="s">
        <v>97</v>
      </c>
      <c r="F1467" t="s">
        <v>21</v>
      </c>
      <c r="G1467">
        <v>4.5</v>
      </c>
      <c r="H1467" t="s">
        <v>3878</v>
      </c>
      <c r="I1467" t="s">
        <v>3566</v>
      </c>
      <c r="J1467" s="1" t="s">
        <v>3389</v>
      </c>
      <c r="K1467" t="s">
        <v>2666</v>
      </c>
      <c r="L1467" t="s">
        <v>3340</v>
      </c>
      <c r="N1467">
        <v>1.52</v>
      </c>
      <c r="O1467" t="s">
        <v>4014</v>
      </c>
      <c r="P1467">
        <v>32.49</v>
      </c>
      <c r="Q1467">
        <v>4</v>
      </c>
      <c r="T1467" t="s">
        <v>3402</v>
      </c>
      <c r="U1467">
        <v>26</v>
      </c>
      <c r="V1467" t="s">
        <v>4112</v>
      </c>
    </row>
    <row r="1468" spans="1:22" ht="12.75" customHeight="1" x14ac:dyDescent="0.15">
      <c r="A1468">
        <v>21</v>
      </c>
      <c r="B1468">
        <v>2026</v>
      </c>
      <c r="C1468" s="21">
        <v>46169</v>
      </c>
      <c r="D1468" t="s">
        <v>19</v>
      </c>
      <c r="E1468" t="s">
        <v>20</v>
      </c>
      <c r="F1468" t="s">
        <v>21</v>
      </c>
      <c r="G1468">
        <v>3.8</v>
      </c>
      <c r="H1468" t="s">
        <v>3945</v>
      </c>
      <c r="I1468" t="s">
        <v>3686</v>
      </c>
      <c r="J1468" s="1" t="s">
        <v>3437</v>
      </c>
      <c r="K1468" t="s">
        <v>181</v>
      </c>
      <c r="L1468" t="s">
        <v>3333</v>
      </c>
      <c r="M1468">
        <v>4</v>
      </c>
      <c r="N1468">
        <v>0.63</v>
      </c>
      <c r="O1468" t="s">
        <v>3334</v>
      </c>
      <c r="P1468">
        <v>50.99</v>
      </c>
      <c r="Q1468">
        <v>5</v>
      </c>
      <c r="R1468" t="s">
        <v>3773</v>
      </c>
      <c r="T1468" t="s">
        <v>3402</v>
      </c>
      <c r="U1468">
        <v>169</v>
      </c>
      <c r="V1468" t="s">
        <v>3352</v>
      </c>
    </row>
    <row r="1469" spans="1:22" ht="12.75" customHeight="1" x14ac:dyDescent="0.15">
      <c r="A1469">
        <v>21</v>
      </c>
      <c r="B1469">
        <v>2026</v>
      </c>
      <c r="C1469" s="21">
        <v>46170</v>
      </c>
      <c r="D1469" t="s">
        <v>101</v>
      </c>
      <c r="E1469" t="s">
        <v>102</v>
      </c>
      <c r="F1469" t="s">
        <v>75</v>
      </c>
      <c r="G1469">
        <v>7.6</v>
      </c>
      <c r="H1469" t="s">
        <v>3400</v>
      </c>
      <c r="I1469" t="s">
        <v>353</v>
      </c>
      <c r="J1469" s="1" t="s">
        <v>253</v>
      </c>
      <c r="K1469" t="s">
        <v>181</v>
      </c>
      <c r="L1469" t="s">
        <v>3340</v>
      </c>
      <c r="M1469">
        <v>45</v>
      </c>
      <c r="N1469">
        <v>0.49</v>
      </c>
      <c r="O1469" t="s">
        <v>211</v>
      </c>
      <c r="P1469">
        <v>27</v>
      </c>
      <c r="Q1469">
        <v>3</v>
      </c>
      <c r="R1469" t="s">
        <v>3377</v>
      </c>
      <c r="T1469" t="s">
        <v>3337</v>
      </c>
      <c r="U1469">
        <v>30</v>
      </c>
      <c r="V1469" t="s">
        <v>3422</v>
      </c>
    </row>
    <row r="1470" spans="1:22" ht="12.75" customHeight="1" x14ac:dyDescent="0.15">
      <c r="A1470">
        <v>21</v>
      </c>
      <c r="B1470">
        <v>2026</v>
      </c>
      <c r="C1470" s="21">
        <v>46170</v>
      </c>
      <c r="D1470" t="s">
        <v>101</v>
      </c>
      <c r="E1470" t="s">
        <v>102</v>
      </c>
      <c r="F1470" t="s">
        <v>75</v>
      </c>
      <c r="G1470">
        <v>7.6</v>
      </c>
      <c r="H1470" t="s">
        <v>3400</v>
      </c>
      <c r="I1470" t="s">
        <v>353</v>
      </c>
      <c r="J1470" s="1" t="s">
        <v>253</v>
      </c>
      <c r="K1470" t="s">
        <v>181</v>
      </c>
      <c r="L1470" t="s">
        <v>3340</v>
      </c>
      <c r="M1470">
        <v>53</v>
      </c>
      <c r="N1470">
        <v>0.49</v>
      </c>
      <c r="O1470" t="s">
        <v>211</v>
      </c>
      <c r="P1470">
        <v>27</v>
      </c>
      <c r="Q1470">
        <v>3</v>
      </c>
      <c r="R1470" t="s">
        <v>3373</v>
      </c>
      <c r="T1470" t="s">
        <v>3337</v>
      </c>
      <c r="U1470">
        <v>30</v>
      </c>
      <c r="V1470" t="s">
        <v>3422</v>
      </c>
    </row>
    <row r="1471" spans="1:22" ht="12.75" customHeight="1" x14ac:dyDescent="0.15">
      <c r="A1471">
        <v>21</v>
      </c>
      <c r="B1471">
        <v>2026</v>
      </c>
      <c r="C1471" s="21">
        <v>46170</v>
      </c>
      <c r="D1471" t="s">
        <v>101</v>
      </c>
      <c r="E1471" t="s">
        <v>102</v>
      </c>
      <c r="F1471" t="s">
        <v>75</v>
      </c>
      <c r="G1471">
        <v>7.6</v>
      </c>
      <c r="H1471" t="s">
        <v>3400</v>
      </c>
      <c r="I1471" t="s">
        <v>353</v>
      </c>
      <c r="J1471" s="1" t="s">
        <v>253</v>
      </c>
      <c r="K1471" t="s">
        <v>181</v>
      </c>
      <c r="L1471" t="s">
        <v>3340</v>
      </c>
      <c r="M1471">
        <v>81</v>
      </c>
      <c r="N1471">
        <v>0.49</v>
      </c>
      <c r="O1471" t="s">
        <v>211</v>
      </c>
      <c r="P1471">
        <v>27</v>
      </c>
      <c r="Q1471">
        <v>3</v>
      </c>
      <c r="R1471" t="s">
        <v>3374</v>
      </c>
      <c r="T1471" t="s">
        <v>3337</v>
      </c>
      <c r="U1471">
        <v>30</v>
      </c>
      <c r="V1471" t="s">
        <v>3422</v>
      </c>
    </row>
    <row r="1472" spans="1:22" ht="12.75" customHeight="1" x14ac:dyDescent="0.15">
      <c r="A1472">
        <v>21</v>
      </c>
      <c r="B1472">
        <v>2026</v>
      </c>
      <c r="C1472" s="21">
        <v>46170</v>
      </c>
      <c r="D1472" t="s">
        <v>101</v>
      </c>
      <c r="E1472" t="s">
        <v>102</v>
      </c>
      <c r="F1472" t="s">
        <v>75</v>
      </c>
      <c r="G1472">
        <v>7.6</v>
      </c>
      <c r="H1472" t="s">
        <v>3400</v>
      </c>
      <c r="I1472" t="s">
        <v>353</v>
      </c>
      <c r="J1472" s="1" t="s">
        <v>253</v>
      </c>
      <c r="K1472" t="s">
        <v>181</v>
      </c>
      <c r="L1472" t="s">
        <v>3340</v>
      </c>
      <c r="M1472">
        <v>58</v>
      </c>
      <c r="N1472">
        <v>0.49</v>
      </c>
      <c r="O1472" t="s">
        <v>211</v>
      </c>
      <c r="P1472">
        <v>27</v>
      </c>
      <c r="Q1472">
        <v>3</v>
      </c>
      <c r="R1472" t="s">
        <v>3343</v>
      </c>
      <c r="T1472" t="s">
        <v>3337</v>
      </c>
      <c r="U1472">
        <v>30</v>
      </c>
      <c r="V1472" t="s">
        <v>3422</v>
      </c>
    </row>
    <row r="1473" spans="1:22" ht="12.75" customHeight="1" x14ac:dyDescent="0.15">
      <c r="A1473">
        <v>21</v>
      </c>
      <c r="B1473">
        <v>2026</v>
      </c>
      <c r="C1473" s="21">
        <v>46170</v>
      </c>
      <c r="D1473" t="s">
        <v>101</v>
      </c>
      <c r="E1473" t="s">
        <v>102</v>
      </c>
      <c r="F1473" t="s">
        <v>75</v>
      </c>
      <c r="G1473">
        <v>7.6</v>
      </c>
      <c r="H1473" t="s">
        <v>3400</v>
      </c>
      <c r="I1473" t="s">
        <v>353</v>
      </c>
      <c r="J1473" s="1" t="s">
        <v>253</v>
      </c>
      <c r="K1473" t="s">
        <v>181</v>
      </c>
      <c r="L1473" t="s">
        <v>3340</v>
      </c>
      <c r="M1473">
        <v>132</v>
      </c>
      <c r="N1473">
        <v>0.49</v>
      </c>
      <c r="O1473" t="s">
        <v>211</v>
      </c>
      <c r="P1473">
        <v>27</v>
      </c>
      <c r="Q1473">
        <v>3</v>
      </c>
      <c r="R1473" t="s">
        <v>3368</v>
      </c>
      <c r="T1473" t="s">
        <v>3337</v>
      </c>
      <c r="U1473">
        <v>30</v>
      </c>
      <c r="V1473" t="s">
        <v>3422</v>
      </c>
    </row>
    <row r="1474" spans="1:22" ht="12.75" customHeight="1" x14ac:dyDescent="0.15">
      <c r="A1474">
        <v>21</v>
      </c>
      <c r="B1474">
        <v>2026</v>
      </c>
      <c r="C1474" s="21">
        <v>46170</v>
      </c>
      <c r="D1474" t="s">
        <v>101</v>
      </c>
      <c r="E1474" t="s">
        <v>102</v>
      </c>
      <c r="F1474" t="s">
        <v>75</v>
      </c>
      <c r="G1474">
        <v>7.6</v>
      </c>
      <c r="H1474" t="s">
        <v>3400</v>
      </c>
      <c r="I1474" t="s">
        <v>353</v>
      </c>
      <c r="J1474" s="1" t="s">
        <v>253</v>
      </c>
      <c r="K1474" t="s">
        <v>181</v>
      </c>
      <c r="L1474" t="s">
        <v>3340</v>
      </c>
      <c r="M1474">
        <v>62</v>
      </c>
      <c r="N1474">
        <v>0.49</v>
      </c>
      <c r="O1474" t="s">
        <v>211</v>
      </c>
      <c r="P1474">
        <v>27</v>
      </c>
      <c r="Q1474">
        <v>3</v>
      </c>
      <c r="R1474" t="s">
        <v>3375</v>
      </c>
      <c r="T1474" t="s">
        <v>3337</v>
      </c>
      <c r="U1474">
        <v>30</v>
      </c>
      <c r="V1474" t="s">
        <v>3422</v>
      </c>
    </row>
    <row r="1475" spans="1:22" ht="12.75" customHeight="1" x14ac:dyDescent="0.15">
      <c r="A1475">
        <v>21</v>
      </c>
      <c r="B1475">
        <v>2026</v>
      </c>
      <c r="C1475" s="21">
        <v>46170</v>
      </c>
      <c r="D1475" t="s">
        <v>101</v>
      </c>
      <c r="E1475" t="s">
        <v>102</v>
      </c>
      <c r="F1475" t="s">
        <v>75</v>
      </c>
      <c r="G1475">
        <v>7.6</v>
      </c>
      <c r="H1475" t="s">
        <v>3400</v>
      </c>
      <c r="I1475" t="s">
        <v>353</v>
      </c>
      <c r="J1475" s="1" t="s">
        <v>253</v>
      </c>
      <c r="K1475" t="s">
        <v>181</v>
      </c>
      <c r="L1475" t="s">
        <v>3333</v>
      </c>
      <c r="M1475">
        <v>2</v>
      </c>
      <c r="N1475">
        <v>1</v>
      </c>
      <c r="O1475" t="s">
        <v>3440</v>
      </c>
      <c r="P1475">
        <v>90.49</v>
      </c>
      <c r="Q1475">
        <v>8</v>
      </c>
      <c r="R1475" t="s">
        <v>3424</v>
      </c>
      <c r="T1475" t="s">
        <v>3337</v>
      </c>
      <c r="U1475">
        <v>30</v>
      </c>
      <c r="V1475" t="s">
        <v>3982</v>
      </c>
    </row>
    <row r="1476" spans="1:22" ht="12.75" customHeight="1" x14ac:dyDescent="0.15">
      <c r="A1476">
        <v>21</v>
      </c>
      <c r="B1476">
        <v>2026</v>
      </c>
      <c r="C1476" s="21">
        <v>46170</v>
      </c>
      <c r="D1476" t="s">
        <v>101</v>
      </c>
      <c r="E1476" t="s">
        <v>102</v>
      </c>
      <c r="F1476" t="s">
        <v>75</v>
      </c>
      <c r="G1476">
        <v>7.6</v>
      </c>
      <c r="H1476" t="s">
        <v>3400</v>
      </c>
      <c r="I1476" t="s">
        <v>353</v>
      </c>
      <c r="J1476" s="1" t="s">
        <v>253</v>
      </c>
      <c r="K1476" t="s">
        <v>181</v>
      </c>
      <c r="L1476" t="s">
        <v>3340</v>
      </c>
      <c r="M1476">
        <v>25</v>
      </c>
      <c r="N1476">
        <v>1</v>
      </c>
      <c r="O1476" t="s">
        <v>211</v>
      </c>
      <c r="P1476">
        <v>55</v>
      </c>
      <c r="R1476" t="s">
        <v>3413</v>
      </c>
      <c r="T1476" t="s">
        <v>3337</v>
      </c>
      <c r="U1476">
        <v>30</v>
      </c>
      <c r="V1476" t="s">
        <v>4088</v>
      </c>
    </row>
    <row r="1477" spans="1:22" ht="12.75" customHeight="1" x14ac:dyDescent="0.15">
      <c r="A1477">
        <v>21</v>
      </c>
      <c r="B1477">
        <v>2026</v>
      </c>
      <c r="C1477" s="21">
        <v>46170</v>
      </c>
      <c r="D1477" t="s">
        <v>101</v>
      </c>
      <c r="E1477" t="s">
        <v>102</v>
      </c>
      <c r="F1477" t="s">
        <v>75</v>
      </c>
      <c r="G1477">
        <v>7.6</v>
      </c>
      <c r="H1477" t="s">
        <v>3953</v>
      </c>
      <c r="I1477" t="s">
        <v>3954</v>
      </c>
      <c r="J1477" s="1" t="s">
        <v>253</v>
      </c>
      <c r="K1477" t="s">
        <v>181</v>
      </c>
      <c r="L1477" t="s">
        <v>3333</v>
      </c>
      <c r="M1477">
        <v>1</v>
      </c>
      <c r="N1477">
        <v>1</v>
      </c>
      <c r="O1477" t="s">
        <v>3358</v>
      </c>
      <c r="P1477">
        <v>71.86</v>
      </c>
      <c r="Q1477">
        <v>8</v>
      </c>
      <c r="R1477" t="s">
        <v>3359</v>
      </c>
      <c r="T1477" t="s">
        <v>3337</v>
      </c>
      <c r="U1477">
        <v>30</v>
      </c>
      <c r="V1477" t="s">
        <v>3545</v>
      </c>
    </row>
    <row r="1478" spans="1:22" ht="12.75" customHeight="1" x14ac:dyDescent="0.15">
      <c r="A1478">
        <v>21</v>
      </c>
      <c r="B1478">
        <v>2026</v>
      </c>
      <c r="C1478" s="21">
        <v>46170</v>
      </c>
      <c r="D1478" t="s">
        <v>101</v>
      </c>
      <c r="E1478" t="s">
        <v>102</v>
      </c>
      <c r="F1478" t="s">
        <v>75</v>
      </c>
      <c r="G1478">
        <v>7.6</v>
      </c>
      <c r="H1478" t="s">
        <v>3953</v>
      </c>
      <c r="I1478" t="s">
        <v>3954</v>
      </c>
      <c r="J1478" s="1" t="s">
        <v>253</v>
      </c>
      <c r="K1478" t="s">
        <v>181</v>
      </c>
      <c r="L1478" t="s">
        <v>3333</v>
      </c>
      <c r="M1478">
        <v>6</v>
      </c>
      <c r="N1478">
        <v>1</v>
      </c>
      <c r="O1478" t="s">
        <v>3334</v>
      </c>
      <c r="P1478">
        <v>81.58</v>
      </c>
      <c r="Q1478">
        <v>8</v>
      </c>
      <c r="R1478" t="s">
        <v>3335</v>
      </c>
      <c r="T1478" t="s">
        <v>3337</v>
      </c>
      <c r="U1478">
        <v>30</v>
      </c>
      <c r="V1478" t="s">
        <v>3338</v>
      </c>
    </row>
    <row r="1479" spans="1:22" ht="12.75" customHeight="1" x14ac:dyDescent="0.15">
      <c r="A1479">
        <v>21</v>
      </c>
      <c r="B1479">
        <v>2026</v>
      </c>
      <c r="C1479" s="21">
        <v>46170</v>
      </c>
      <c r="D1479" t="s">
        <v>101</v>
      </c>
      <c r="E1479" t="s">
        <v>102</v>
      </c>
      <c r="F1479" t="s">
        <v>75</v>
      </c>
      <c r="G1479">
        <v>7.6</v>
      </c>
      <c r="H1479" t="s">
        <v>3391</v>
      </c>
      <c r="I1479" t="s">
        <v>353</v>
      </c>
      <c r="J1479" s="1" t="s">
        <v>253</v>
      </c>
      <c r="K1479" t="s">
        <v>181</v>
      </c>
      <c r="L1479" t="s">
        <v>3333</v>
      </c>
      <c r="M1479">
        <v>67</v>
      </c>
      <c r="N1479">
        <v>0.63</v>
      </c>
      <c r="O1479" t="s">
        <v>3334</v>
      </c>
      <c r="P1479">
        <v>50.99</v>
      </c>
      <c r="Q1479">
        <v>5</v>
      </c>
      <c r="R1479" t="s">
        <v>3404</v>
      </c>
      <c r="S1479" t="s">
        <v>4113</v>
      </c>
      <c r="T1479" t="s">
        <v>3402</v>
      </c>
      <c r="U1479">
        <v>30</v>
      </c>
      <c r="V1479" t="s">
        <v>4114</v>
      </c>
    </row>
    <row r="1480" spans="1:22" ht="12.75" customHeight="1" x14ac:dyDescent="0.15">
      <c r="A1480">
        <v>21</v>
      </c>
      <c r="B1480">
        <v>2026</v>
      </c>
      <c r="C1480" s="21">
        <v>46170</v>
      </c>
      <c r="D1480" t="s">
        <v>101</v>
      </c>
      <c r="E1480" t="s">
        <v>102</v>
      </c>
      <c r="F1480" t="s">
        <v>75</v>
      </c>
      <c r="G1480">
        <v>7.6</v>
      </c>
      <c r="H1480" t="s">
        <v>3391</v>
      </c>
      <c r="I1480" t="s">
        <v>353</v>
      </c>
      <c r="J1480" s="1" t="s">
        <v>253</v>
      </c>
      <c r="K1480" t="s">
        <v>181</v>
      </c>
      <c r="L1480" t="s">
        <v>3333</v>
      </c>
      <c r="M1480">
        <v>19</v>
      </c>
      <c r="N1480">
        <v>0.63</v>
      </c>
      <c r="O1480" t="s">
        <v>3334</v>
      </c>
      <c r="P1480">
        <v>50.99</v>
      </c>
      <c r="Q1480">
        <v>5</v>
      </c>
      <c r="R1480" t="s">
        <v>3403</v>
      </c>
      <c r="S1480" t="s">
        <v>4115</v>
      </c>
      <c r="T1480" t="s">
        <v>3402</v>
      </c>
      <c r="U1480">
        <v>30</v>
      </c>
      <c r="V1480" t="s">
        <v>4114</v>
      </c>
    </row>
    <row r="1481" spans="1:22" ht="12.75" customHeight="1" x14ac:dyDescent="0.15">
      <c r="A1481">
        <v>21</v>
      </c>
      <c r="B1481">
        <v>2026</v>
      </c>
      <c r="C1481" s="21">
        <v>46170</v>
      </c>
      <c r="D1481" t="s">
        <v>101</v>
      </c>
      <c r="E1481" t="s">
        <v>102</v>
      </c>
      <c r="F1481" t="s">
        <v>75</v>
      </c>
      <c r="G1481">
        <v>7.6</v>
      </c>
      <c r="H1481" t="s">
        <v>3391</v>
      </c>
      <c r="I1481" t="s">
        <v>353</v>
      </c>
      <c r="J1481" s="1" t="s">
        <v>253</v>
      </c>
      <c r="K1481" t="s">
        <v>181</v>
      </c>
      <c r="L1481" t="s">
        <v>3340</v>
      </c>
      <c r="M1481">
        <v>78</v>
      </c>
      <c r="N1481">
        <v>0.82</v>
      </c>
      <c r="O1481" t="s">
        <v>211</v>
      </c>
      <c r="P1481">
        <v>45</v>
      </c>
      <c r="Q1481">
        <v>5</v>
      </c>
      <c r="R1481" t="s">
        <v>3341</v>
      </c>
      <c r="S1481" t="s">
        <v>4116</v>
      </c>
      <c r="T1481" t="s">
        <v>3402</v>
      </c>
      <c r="U1481">
        <v>30</v>
      </c>
      <c r="V1481" t="s">
        <v>3348</v>
      </c>
    </row>
    <row r="1482" spans="1:22" ht="12.75" customHeight="1" x14ac:dyDescent="0.15">
      <c r="A1482">
        <v>21</v>
      </c>
      <c r="B1482">
        <v>2026</v>
      </c>
      <c r="C1482" s="21">
        <v>46170</v>
      </c>
      <c r="D1482" t="s">
        <v>101</v>
      </c>
      <c r="E1482" t="s">
        <v>102</v>
      </c>
      <c r="F1482" t="s">
        <v>75</v>
      </c>
      <c r="G1482">
        <v>7.6</v>
      </c>
      <c r="H1482" t="s">
        <v>3391</v>
      </c>
      <c r="I1482" t="s">
        <v>353</v>
      </c>
      <c r="J1482" s="1" t="s">
        <v>253</v>
      </c>
      <c r="K1482" t="s">
        <v>181</v>
      </c>
      <c r="L1482" t="s">
        <v>3587</v>
      </c>
      <c r="M1482">
        <v>120</v>
      </c>
      <c r="N1482">
        <v>5</v>
      </c>
      <c r="O1482" t="s">
        <v>211</v>
      </c>
      <c r="P1482">
        <v>275</v>
      </c>
      <c r="R1482" t="s">
        <v>3415</v>
      </c>
      <c r="T1482" t="s">
        <v>3402</v>
      </c>
      <c r="U1482">
        <v>30</v>
      </c>
      <c r="V1482" t="s">
        <v>3984</v>
      </c>
    </row>
    <row r="1483" spans="1:22" ht="12.75" customHeight="1" x14ac:dyDescent="0.15">
      <c r="A1483">
        <v>21</v>
      </c>
      <c r="B1483">
        <v>2026</v>
      </c>
      <c r="C1483" s="21">
        <v>46170</v>
      </c>
      <c r="D1483" t="s">
        <v>139</v>
      </c>
      <c r="E1483" t="s">
        <v>140</v>
      </c>
      <c r="F1483" t="s">
        <v>75</v>
      </c>
      <c r="G1483">
        <v>0.8</v>
      </c>
      <c r="H1483" t="s">
        <v>4096</v>
      </c>
      <c r="I1483" t="s">
        <v>3684</v>
      </c>
      <c r="J1483" s="1" t="s">
        <v>3668</v>
      </c>
      <c r="K1483" t="s">
        <v>181</v>
      </c>
      <c r="L1483" t="s">
        <v>3333</v>
      </c>
      <c r="M1483">
        <v>86</v>
      </c>
      <c r="N1483">
        <v>0.63</v>
      </c>
      <c r="O1483" t="s">
        <v>3334</v>
      </c>
      <c r="P1483" s="1">
        <v>50.99</v>
      </c>
      <c r="Q1483">
        <v>5</v>
      </c>
      <c r="R1483" t="s">
        <v>3386</v>
      </c>
      <c r="T1483" t="s">
        <v>3402</v>
      </c>
      <c r="U1483">
        <v>2</v>
      </c>
      <c r="V1483" t="s">
        <v>4098</v>
      </c>
    </row>
    <row r="1484" spans="1:22" ht="12.75" customHeight="1" x14ac:dyDescent="0.15">
      <c r="A1484">
        <v>21</v>
      </c>
      <c r="B1484">
        <v>2026</v>
      </c>
      <c r="C1484" s="21">
        <v>46170</v>
      </c>
      <c r="D1484" t="s">
        <v>68</v>
      </c>
      <c r="E1484" t="s">
        <v>69</v>
      </c>
      <c r="F1484" t="s">
        <v>21</v>
      </c>
      <c r="G1484">
        <v>1</v>
      </c>
      <c r="H1484" t="s">
        <v>3845</v>
      </c>
      <c r="I1484" t="s">
        <v>380</v>
      </c>
      <c r="J1484" s="1" t="s">
        <v>3533</v>
      </c>
      <c r="K1484" t="s">
        <v>181</v>
      </c>
      <c r="L1484" t="s">
        <v>3333</v>
      </c>
      <c r="M1484">
        <v>86</v>
      </c>
      <c r="N1484">
        <v>0.38</v>
      </c>
      <c r="O1484" t="s">
        <v>3334</v>
      </c>
      <c r="P1484">
        <v>30.59</v>
      </c>
      <c r="Q1484">
        <v>3</v>
      </c>
      <c r="R1484" t="s">
        <v>3386</v>
      </c>
      <c r="T1484" t="s">
        <v>3402</v>
      </c>
      <c r="U1484">
        <v>56</v>
      </c>
      <c r="V1484" t="s">
        <v>3491</v>
      </c>
    </row>
    <row r="1485" spans="1:22" ht="12.75" customHeight="1" x14ac:dyDescent="0.15">
      <c r="A1485">
        <v>21</v>
      </c>
      <c r="B1485">
        <v>2026</v>
      </c>
      <c r="C1485" s="21">
        <v>46170</v>
      </c>
      <c r="D1485" t="s">
        <v>96</v>
      </c>
      <c r="E1485" t="s">
        <v>97</v>
      </c>
      <c r="F1485" t="s">
        <v>21</v>
      </c>
      <c r="G1485">
        <v>4.5</v>
      </c>
      <c r="H1485" t="s">
        <v>3653</v>
      </c>
      <c r="I1485" t="s">
        <v>3566</v>
      </c>
      <c r="J1485" s="1" t="s">
        <v>3389</v>
      </c>
      <c r="K1485" t="s">
        <v>181</v>
      </c>
      <c r="L1485" t="s">
        <v>3340</v>
      </c>
      <c r="M1485">
        <v>86</v>
      </c>
      <c r="N1485">
        <v>0.55000000000000004</v>
      </c>
      <c r="O1485" t="s">
        <v>211</v>
      </c>
      <c r="P1485">
        <v>30</v>
      </c>
      <c r="Q1485">
        <v>2</v>
      </c>
      <c r="R1485" t="s">
        <v>3386</v>
      </c>
      <c r="T1485" t="s">
        <v>3402</v>
      </c>
      <c r="U1485">
        <v>27</v>
      </c>
      <c r="V1485" t="s">
        <v>3382</v>
      </c>
    </row>
    <row r="1486" spans="1:22" ht="12.75" customHeight="1" x14ac:dyDescent="0.15">
      <c r="A1486">
        <v>21</v>
      </c>
      <c r="B1486">
        <v>2026</v>
      </c>
      <c r="C1486" s="21">
        <v>46170</v>
      </c>
      <c r="D1486" t="s">
        <v>96</v>
      </c>
      <c r="E1486" t="s">
        <v>97</v>
      </c>
      <c r="F1486" t="s">
        <v>21</v>
      </c>
      <c r="G1486">
        <v>4.5</v>
      </c>
      <c r="H1486" t="s">
        <v>3878</v>
      </c>
      <c r="I1486" t="s">
        <v>3566</v>
      </c>
      <c r="J1486" s="1" t="s">
        <v>3389</v>
      </c>
      <c r="K1486" t="s">
        <v>2666</v>
      </c>
      <c r="L1486" t="s">
        <v>3340</v>
      </c>
      <c r="N1486">
        <v>0.76</v>
      </c>
      <c r="O1486" t="s">
        <v>4014</v>
      </c>
      <c r="P1486">
        <v>16.239999999999998</v>
      </c>
      <c r="Q1486">
        <v>2</v>
      </c>
      <c r="T1486" t="s">
        <v>3402</v>
      </c>
      <c r="U1486">
        <v>27</v>
      </c>
      <c r="V1486" t="s">
        <v>3839</v>
      </c>
    </row>
    <row r="1487" spans="1:22" ht="12.75" customHeight="1" x14ac:dyDescent="0.15">
      <c r="A1487">
        <v>21</v>
      </c>
      <c r="B1487">
        <v>2026</v>
      </c>
      <c r="C1487" s="21">
        <v>46170</v>
      </c>
      <c r="D1487" t="s">
        <v>96</v>
      </c>
      <c r="E1487" t="s">
        <v>97</v>
      </c>
      <c r="F1487" t="s">
        <v>21</v>
      </c>
      <c r="G1487">
        <v>4.5</v>
      </c>
      <c r="H1487" t="s">
        <v>3653</v>
      </c>
      <c r="I1487" t="s">
        <v>3566</v>
      </c>
      <c r="J1487" s="1" t="s">
        <v>3389</v>
      </c>
      <c r="K1487" t="s">
        <v>181</v>
      </c>
      <c r="L1487" t="s">
        <v>3333</v>
      </c>
      <c r="M1487">
        <v>11</v>
      </c>
      <c r="N1487">
        <v>0.5</v>
      </c>
      <c r="O1487" t="s">
        <v>213</v>
      </c>
      <c r="P1487">
        <v>45</v>
      </c>
      <c r="Q1487">
        <v>4</v>
      </c>
      <c r="R1487" t="s">
        <v>3564</v>
      </c>
      <c r="T1487" t="s">
        <v>3402</v>
      </c>
      <c r="U1487">
        <v>27</v>
      </c>
      <c r="V1487" t="s">
        <v>3711</v>
      </c>
    </row>
    <row r="1488" spans="1:22" ht="12.75" customHeight="1" x14ac:dyDescent="0.15">
      <c r="A1488">
        <v>21</v>
      </c>
      <c r="B1488">
        <v>2026</v>
      </c>
      <c r="C1488" s="21">
        <v>46170</v>
      </c>
      <c r="D1488" t="s">
        <v>96</v>
      </c>
      <c r="E1488" t="s">
        <v>97</v>
      </c>
      <c r="F1488" t="s">
        <v>21</v>
      </c>
      <c r="G1488">
        <v>4.5</v>
      </c>
      <c r="H1488" t="s">
        <v>3878</v>
      </c>
      <c r="I1488" t="s">
        <v>3566</v>
      </c>
      <c r="J1488" s="1" t="s">
        <v>3389</v>
      </c>
      <c r="K1488" t="s">
        <v>2666</v>
      </c>
      <c r="L1488" t="s">
        <v>3340</v>
      </c>
      <c r="N1488">
        <v>1.52</v>
      </c>
      <c r="O1488" t="s">
        <v>4014</v>
      </c>
      <c r="P1488">
        <v>32.49</v>
      </c>
      <c r="Q1488">
        <v>4</v>
      </c>
      <c r="T1488" t="s">
        <v>3402</v>
      </c>
      <c r="U1488">
        <v>27</v>
      </c>
      <c r="V1488" t="s">
        <v>4112</v>
      </c>
    </row>
    <row r="1489" spans="1:22" ht="12.75" customHeight="1" x14ac:dyDescent="0.15">
      <c r="A1489">
        <v>21</v>
      </c>
      <c r="B1489">
        <v>2026</v>
      </c>
      <c r="C1489" s="21">
        <v>46170</v>
      </c>
      <c r="D1489" t="s">
        <v>68</v>
      </c>
      <c r="E1489" t="s">
        <v>69</v>
      </c>
      <c r="F1489" t="s">
        <v>21</v>
      </c>
      <c r="G1489">
        <v>1</v>
      </c>
      <c r="H1489" t="s">
        <v>3803</v>
      </c>
      <c r="I1489" t="s">
        <v>3537</v>
      </c>
      <c r="J1489" s="1" t="s">
        <v>3533</v>
      </c>
      <c r="K1489" t="s">
        <v>181</v>
      </c>
      <c r="L1489" t="s">
        <v>3333</v>
      </c>
      <c r="M1489">
        <v>4</v>
      </c>
      <c r="N1489">
        <v>0.38</v>
      </c>
      <c r="O1489" t="s">
        <v>3334</v>
      </c>
      <c r="P1489">
        <v>30.59</v>
      </c>
      <c r="Q1489">
        <v>3</v>
      </c>
      <c r="R1489" t="s">
        <v>3773</v>
      </c>
      <c r="T1489" t="s">
        <v>3402</v>
      </c>
      <c r="U1489">
        <v>56</v>
      </c>
      <c r="V1489" t="s">
        <v>3491</v>
      </c>
    </row>
    <row r="1490" spans="1:22" ht="12.75" customHeight="1" x14ac:dyDescent="0.15">
      <c r="A1490">
        <v>21</v>
      </c>
      <c r="B1490">
        <v>2026</v>
      </c>
      <c r="C1490" s="21">
        <v>46170</v>
      </c>
      <c r="D1490" t="s">
        <v>139</v>
      </c>
      <c r="E1490" t="s">
        <v>140</v>
      </c>
      <c r="F1490" t="s">
        <v>75</v>
      </c>
      <c r="G1490">
        <v>0.8</v>
      </c>
      <c r="H1490" t="s">
        <v>3845</v>
      </c>
      <c r="I1490" t="s">
        <v>380</v>
      </c>
      <c r="J1490" s="1" t="s">
        <v>3533</v>
      </c>
      <c r="K1490" t="s">
        <v>181</v>
      </c>
      <c r="L1490" t="s">
        <v>3333</v>
      </c>
      <c r="M1490">
        <v>3</v>
      </c>
      <c r="N1490">
        <v>1</v>
      </c>
      <c r="O1490" t="s">
        <v>3334</v>
      </c>
      <c r="P1490" s="1">
        <v>81.58</v>
      </c>
      <c r="Q1490">
        <v>8</v>
      </c>
      <c r="R1490" t="s">
        <v>3478</v>
      </c>
      <c r="T1490" t="s">
        <v>3402</v>
      </c>
      <c r="U1490">
        <v>2</v>
      </c>
      <c r="V1490" t="s">
        <v>4095</v>
      </c>
    </row>
    <row r="1491" spans="1:22" ht="12.75" customHeight="1" x14ac:dyDescent="0.15">
      <c r="A1491">
        <v>21</v>
      </c>
      <c r="B1491">
        <v>2026</v>
      </c>
      <c r="C1491" s="21">
        <v>46170</v>
      </c>
      <c r="D1491" t="s">
        <v>139</v>
      </c>
      <c r="E1491" t="s">
        <v>140</v>
      </c>
      <c r="F1491" t="s">
        <v>75</v>
      </c>
      <c r="G1491">
        <v>0.8</v>
      </c>
      <c r="H1491" t="s">
        <v>3845</v>
      </c>
      <c r="I1491" t="s">
        <v>380</v>
      </c>
      <c r="J1491" s="1" t="s">
        <v>3533</v>
      </c>
      <c r="K1491" t="s">
        <v>181</v>
      </c>
      <c r="L1491" t="s">
        <v>3340</v>
      </c>
      <c r="M1491">
        <v>3</v>
      </c>
      <c r="N1491">
        <v>5</v>
      </c>
      <c r="O1491" t="s">
        <v>211</v>
      </c>
      <c r="P1491" s="1">
        <v>275</v>
      </c>
      <c r="R1491" t="s">
        <v>3478</v>
      </c>
      <c r="T1491" t="s">
        <v>3402</v>
      </c>
      <c r="U1491">
        <v>2</v>
      </c>
      <c r="V1491" t="s">
        <v>4117</v>
      </c>
    </row>
    <row r="1492" spans="1:22" ht="12.75" customHeight="1" x14ac:dyDescent="0.15">
      <c r="A1492">
        <v>22</v>
      </c>
      <c r="B1492">
        <v>2026</v>
      </c>
      <c r="C1492" s="21">
        <v>46171</v>
      </c>
      <c r="D1492" t="s">
        <v>96</v>
      </c>
      <c r="E1492" t="s">
        <v>97</v>
      </c>
      <c r="F1492" t="s">
        <v>21</v>
      </c>
      <c r="G1492">
        <v>4.5</v>
      </c>
      <c r="H1492" t="s">
        <v>3519</v>
      </c>
      <c r="I1492" t="s">
        <v>214</v>
      </c>
      <c r="J1492" s="1" t="s">
        <v>215</v>
      </c>
      <c r="K1492" t="s">
        <v>181</v>
      </c>
      <c r="L1492" t="s">
        <v>3340</v>
      </c>
      <c r="M1492">
        <v>62</v>
      </c>
      <c r="N1492">
        <v>0.73</v>
      </c>
      <c r="O1492" t="s">
        <v>211</v>
      </c>
      <c r="P1492">
        <v>40</v>
      </c>
      <c r="R1492" t="s">
        <v>3375</v>
      </c>
      <c r="S1492" t="s">
        <v>3646</v>
      </c>
      <c r="T1492" t="s">
        <v>3337</v>
      </c>
      <c r="U1492">
        <v>28</v>
      </c>
      <c r="V1492" t="s">
        <v>4021</v>
      </c>
    </row>
    <row r="1493" spans="1:22" ht="12.75" customHeight="1" x14ac:dyDescent="0.15">
      <c r="A1493">
        <v>22</v>
      </c>
      <c r="B1493">
        <v>2026</v>
      </c>
      <c r="C1493" s="21">
        <v>46171</v>
      </c>
      <c r="D1493" t="s">
        <v>96</v>
      </c>
      <c r="E1493" t="s">
        <v>97</v>
      </c>
      <c r="F1493" t="s">
        <v>21</v>
      </c>
      <c r="G1493">
        <v>4.5</v>
      </c>
      <c r="H1493" t="s">
        <v>3519</v>
      </c>
      <c r="I1493" t="s">
        <v>214</v>
      </c>
      <c r="J1493" s="1" t="s">
        <v>215</v>
      </c>
      <c r="K1493" t="s">
        <v>181</v>
      </c>
      <c r="L1493" t="s">
        <v>3340</v>
      </c>
      <c r="M1493">
        <v>45</v>
      </c>
      <c r="N1493">
        <v>0.73</v>
      </c>
      <c r="O1493" t="s">
        <v>211</v>
      </c>
      <c r="P1493">
        <v>40</v>
      </c>
      <c r="R1493" t="s">
        <v>3377</v>
      </c>
      <c r="T1493" t="s">
        <v>3337</v>
      </c>
      <c r="U1493">
        <v>28</v>
      </c>
      <c r="V1493" t="s">
        <v>4021</v>
      </c>
    </row>
    <row r="1494" spans="1:22" ht="12.75" customHeight="1" x14ac:dyDescent="0.15">
      <c r="A1494">
        <v>22</v>
      </c>
      <c r="B1494">
        <v>2026</v>
      </c>
      <c r="C1494" s="21">
        <v>46171</v>
      </c>
      <c r="D1494" t="s">
        <v>96</v>
      </c>
      <c r="E1494" t="s">
        <v>97</v>
      </c>
      <c r="F1494" t="s">
        <v>21</v>
      </c>
      <c r="G1494">
        <v>4.5</v>
      </c>
      <c r="H1494" t="s">
        <v>3519</v>
      </c>
      <c r="I1494" t="s">
        <v>214</v>
      </c>
      <c r="J1494" s="1" t="s">
        <v>215</v>
      </c>
      <c r="K1494" t="s">
        <v>181</v>
      </c>
      <c r="L1494" t="s">
        <v>3340</v>
      </c>
      <c r="M1494">
        <v>53</v>
      </c>
      <c r="N1494">
        <v>0.73</v>
      </c>
      <c r="O1494" t="s">
        <v>211</v>
      </c>
      <c r="P1494">
        <v>40</v>
      </c>
      <c r="R1494" t="s">
        <v>3373</v>
      </c>
      <c r="T1494" t="s">
        <v>3337</v>
      </c>
      <c r="U1494">
        <v>28</v>
      </c>
      <c r="V1494" t="s">
        <v>4021</v>
      </c>
    </row>
    <row r="1495" spans="1:22" ht="12.75" customHeight="1" x14ac:dyDescent="0.15">
      <c r="A1495">
        <v>22</v>
      </c>
      <c r="B1495">
        <v>2026</v>
      </c>
      <c r="C1495" s="21">
        <v>46171</v>
      </c>
      <c r="D1495" t="s">
        <v>96</v>
      </c>
      <c r="E1495" t="s">
        <v>97</v>
      </c>
      <c r="F1495" t="s">
        <v>21</v>
      </c>
      <c r="G1495">
        <v>4.5</v>
      </c>
      <c r="H1495" t="s">
        <v>3519</v>
      </c>
      <c r="I1495" t="s">
        <v>214</v>
      </c>
      <c r="J1495" s="1" t="s">
        <v>215</v>
      </c>
      <c r="K1495" t="s">
        <v>181</v>
      </c>
      <c r="L1495" t="s">
        <v>3340</v>
      </c>
      <c r="M1495">
        <v>132</v>
      </c>
      <c r="N1495">
        <v>0.73</v>
      </c>
      <c r="O1495" t="s">
        <v>211</v>
      </c>
      <c r="P1495">
        <v>40</v>
      </c>
      <c r="R1495" t="s">
        <v>3368</v>
      </c>
      <c r="T1495" t="s">
        <v>3337</v>
      </c>
      <c r="U1495">
        <v>28</v>
      </c>
      <c r="V1495" t="s">
        <v>4021</v>
      </c>
    </row>
    <row r="1496" spans="1:22" ht="12.75" customHeight="1" x14ac:dyDescent="0.15">
      <c r="A1496">
        <v>22</v>
      </c>
      <c r="B1496">
        <v>2026</v>
      </c>
      <c r="C1496" s="21">
        <v>46171</v>
      </c>
      <c r="D1496" t="s">
        <v>96</v>
      </c>
      <c r="E1496" t="s">
        <v>97</v>
      </c>
      <c r="F1496" t="s">
        <v>21</v>
      </c>
      <c r="G1496">
        <v>4.5</v>
      </c>
      <c r="H1496" t="s">
        <v>3519</v>
      </c>
      <c r="I1496" t="s">
        <v>214</v>
      </c>
      <c r="J1496" s="1" t="s">
        <v>215</v>
      </c>
      <c r="K1496" t="s">
        <v>181</v>
      </c>
      <c r="L1496" t="s">
        <v>3340</v>
      </c>
      <c r="M1496">
        <v>58</v>
      </c>
      <c r="N1496">
        <v>0.73</v>
      </c>
      <c r="O1496" t="s">
        <v>211</v>
      </c>
      <c r="P1496">
        <v>40</v>
      </c>
      <c r="R1496" t="s">
        <v>3343</v>
      </c>
      <c r="T1496" t="s">
        <v>3337</v>
      </c>
      <c r="U1496">
        <v>28</v>
      </c>
      <c r="V1496" t="s">
        <v>4021</v>
      </c>
    </row>
    <row r="1497" spans="1:22" ht="12.75" customHeight="1" x14ac:dyDescent="0.15">
      <c r="A1497">
        <v>22</v>
      </c>
      <c r="B1497">
        <v>2026</v>
      </c>
      <c r="C1497" s="21">
        <v>46171</v>
      </c>
      <c r="D1497" t="s">
        <v>96</v>
      </c>
      <c r="E1497" t="s">
        <v>97</v>
      </c>
      <c r="F1497" t="s">
        <v>21</v>
      </c>
      <c r="G1497">
        <v>4.5</v>
      </c>
      <c r="H1497" t="s">
        <v>3519</v>
      </c>
      <c r="I1497" t="s">
        <v>214</v>
      </c>
      <c r="J1497" s="1" t="s">
        <v>215</v>
      </c>
      <c r="K1497" t="s">
        <v>181</v>
      </c>
      <c r="L1497" t="s">
        <v>3340</v>
      </c>
      <c r="M1497">
        <v>81</v>
      </c>
      <c r="N1497">
        <v>0.73</v>
      </c>
      <c r="O1497" t="s">
        <v>211</v>
      </c>
      <c r="P1497">
        <v>40</v>
      </c>
      <c r="R1497" t="s">
        <v>3374</v>
      </c>
      <c r="T1497" t="s">
        <v>3337</v>
      </c>
      <c r="U1497">
        <v>28</v>
      </c>
      <c r="V1497" t="s">
        <v>4021</v>
      </c>
    </row>
    <row r="1498" spans="1:22" ht="12.75" customHeight="1" x14ac:dyDescent="0.15">
      <c r="A1498">
        <v>22</v>
      </c>
      <c r="B1498">
        <v>2026</v>
      </c>
      <c r="C1498" s="21">
        <v>46171</v>
      </c>
      <c r="D1498" t="s">
        <v>19</v>
      </c>
      <c r="E1498" t="s">
        <v>20</v>
      </c>
      <c r="F1498" t="s">
        <v>21</v>
      </c>
      <c r="G1498">
        <v>3.8</v>
      </c>
      <c r="H1498" t="s">
        <v>3519</v>
      </c>
      <c r="I1498" t="s">
        <v>214</v>
      </c>
      <c r="J1498" s="1" t="s">
        <v>215</v>
      </c>
      <c r="K1498" t="s">
        <v>181</v>
      </c>
      <c r="L1498" t="s">
        <v>3340</v>
      </c>
      <c r="M1498">
        <v>62</v>
      </c>
      <c r="N1498">
        <v>0.12</v>
      </c>
      <c r="O1498" t="s">
        <v>211</v>
      </c>
      <c r="P1498">
        <v>6.7</v>
      </c>
      <c r="R1498" t="s">
        <v>3375</v>
      </c>
      <c r="S1498" t="s">
        <v>4118</v>
      </c>
      <c r="T1498" t="s">
        <v>3337</v>
      </c>
      <c r="U1498">
        <v>171</v>
      </c>
      <c r="V1498" t="s">
        <v>3999</v>
      </c>
    </row>
    <row r="1499" spans="1:22" ht="12.75" customHeight="1" x14ac:dyDescent="0.15">
      <c r="A1499">
        <v>22</v>
      </c>
      <c r="B1499">
        <v>2026</v>
      </c>
      <c r="C1499" s="21">
        <v>46171</v>
      </c>
      <c r="D1499" t="s">
        <v>19</v>
      </c>
      <c r="E1499" t="s">
        <v>20</v>
      </c>
      <c r="F1499" t="s">
        <v>21</v>
      </c>
      <c r="G1499">
        <v>3.8</v>
      </c>
      <c r="H1499" t="s">
        <v>3519</v>
      </c>
      <c r="I1499" t="s">
        <v>214</v>
      </c>
      <c r="J1499" s="1" t="s">
        <v>215</v>
      </c>
      <c r="K1499" t="s">
        <v>181</v>
      </c>
      <c r="L1499" t="s">
        <v>3340</v>
      </c>
      <c r="M1499">
        <v>45</v>
      </c>
      <c r="N1499">
        <v>0.12</v>
      </c>
      <c r="O1499" t="s">
        <v>211</v>
      </c>
      <c r="P1499">
        <v>6.7</v>
      </c>
      <c r="R1499" t="s">
        <v>3377</v>
      </c>
      <c r="T1499" t="s">
        <v>3337</v>
      </c>
      <c r="U1499">
        <v>171</v>
      </c>
      <c r="V1499" t="s">
        <v>3999</v>
      </c>
    </row>
    <row r="1500" spans="1:22" ht="12.75" customHeight="1" x14ac:dyDescent="0.15">
      <c r="A1500">
        <v>22</v>
      </c>
      <c r="B1500">
        <v>2026</v>
      </c>
      <c r="C1500" s="21">
        <v>46171</v>
      </c>
      <c r="D1500" t="s">
        <v>19</v>
      </c>
      <c r="E1500" t="s">
        <v>20</v>
      </c>
      <c r="F1500" t="s">
        <v>21</v>
      </c>
      <c r="G1500">
        <v>3.8</v>
      </c>
      <c r="H1500" t="s">
        <v>3519</v>
      </c>
      <c r="I1500" t="s">
        <v>214</v>
      </c>
      <c r="J1500" s="1" t="s">
        <v>215</v>
      </c>
      <c r="K1500" t="s">
        <v>181</v>
      </c>
      <c r="L1500" t="s">
        <v>3340</v>
      </c>
      <c r="M1500">
        <v>53</v>
      </c>
      <c r="N1500">
        <v>0.12</v>
      </c>
      <c r="O1500" t="s">
        <v>211</v>
      </c>
      <c r="P1500">
        <v>6.7</v>
      </c>
      <c r="R1500" t="s">
        <v>3373</v>
      </c>
      <c r="T1500" t="s">
        <v>3337</v>
      </c>
      <c r="U1500">
        <v>171</v>
      </c>
      <c r="V1500" t="s">
        <v>3999</v>
      </c>
    </row>
    <row r="1501" spans="1:22" ht="12.75" customHeight="1" x14ac:dyDescent="0.15">
      <c r="A1501">
        <v>22</v>
      </c>
      <c r="B1501">
        <v>2026</v>
      </c>
      <c r="C1501" s="21">
        <v>46171</v>
      </c>
      <c r="D1501" t="s">
        <v>19</v>
      </c>
      <c r="E1501" t="s">
        <v>20</v>
      </c>
      <c r="F1501" t="s">
        <v>21</v>
      </c>
      <c r="G1501">
        <v>3.8</v>
      </c>
      <c r="H1501" t="s">
        <v>3519</v>
      </c>
      <c r="I1501" t="s">
        <v>214</v>
      </c>
      <c r="J1501" s="1" t="s">
        <v>215</v>
      </c>
      <c r="K1501" t="s">
        <v>181</v>
      </c>
      <c r="L1501" t="s">
        <v>3340</v>
      </c>
      <c r="M1501">
        <v>132</v>
      </c>
      <c r="N1501">
        <v>0.12</v>
      </c>
      <c r="O1501" t="s">
        <v>211</v>
      </c>
      <c r="P1501">
        <v>6.7</v>
      </c>
      <c r="R1501" t="s">
        <v>3368</v>
      </c>
      <c r="T1501" t="s">
        <v>3337</v>
      </c>
      <c r="U1501">
        <v>171</v>
      </c>
      <c r="V1501" t="s">
        <v>3999</v>
      </c>
    </row>
    <row r="1502" spans="1:22" ht="12.75" customHeight="1" x14ac:dyDescent="0.15">
      <c r="A1502">
        <v>22</v>
      </c>
      <c r="B1502">
        <v>2026</v>
      </c>
      <c r="C1502" s="21">
        <v>46171</v>
      </c>
      <c r="D1502" t="s">
        <v>19</v>
      </c>
      <c r="E1502" t="s">
        <v>20</v>
      </c>
      <c r="F1502" t="s">
        <v>21</v>
      </c>
      <c r="G1502">
        <v>3.8</v>
      </c>
      <c r="H1502" t="s">
        <v>3519</v>
      </c>
      <c r="I1502" t="s">
        <v>214</v>
      </c>
      <c r="J1502" s="1" t="s">
        <v>215</v>
      </c>
      <c r="K1502" t="s">
        <v>181</v>
      </c>
      <c r="L1502" t="s">
        <v>3340</v>
      </c>
      <c r="M1502">
        <v>58</v>
      </c>
      <c r="N1502">
        <v>0.12</v>
      </c>
      <c r="O1502" t="s">
        <v>211</v>
      </c>
      <c r="P1502">
        <v>6.7</v>
      </c>
      <c r="R1502" t="s">
        <v>3343</v>
      </c>
      <c r="T1502" t="s">
        <v>3337</v>
      </c>
      <c r="U1502">
        <v>171</v>
      </c>
      <c r="V1502" t="s">
        <v>3999</v>
      </c>
    </row>
    <row r="1503" spans="1:22" ht="12.75" customHeight="1" x14ac:dyDescent="0.15">
      <c r="A1503">
        <v>22</v>
      </c>
      <c r="B1503">
        <v>2026</v>
      </c>
      <c r="C1503" s="21">
        <v>46171</v>
      </c>
      <c r="D1503" t="s">
        <v>19</v>
      </c>
      <c r="E1503" t="s">
        <v>20</v>
      </c>
      <c r="F1503" t="s">
        <v>21</v>
      </c>
      <c r="G1503">
        <v>3.8</v>
      </c>
      <c r="H1503" t="s">
        <v>3519</v>
      </c>
      <c r="I1503" t="s">
        <v>214</v>
      </c>
      <c r="J1503" s="1" t="s">
        <v>215</v>
      </c>
      <c r="K1503" t="s">
        <v>181</v>
      </c>
      <c r="L1503" t="s">
        <v>3340</v>
      </c>
      <c r="M1503">
        <v>81</v>
      </c>
      <c r="N1503">
        <v>0.12</v>
      </c>
      <c r="O1503" t="s">
        <v>211</v>
      </c>
      <c r="P1503">
        <v>6.7</v>
      </c>
      <c r="R1503" t="s">
        <v>3374</v>
      </c>
      <c r="T1503" t="s">
        <v>3337</v>
      </c>
      <c r="U1503">
        <v>171</v>
      </c>
      <c r="V1503" t="s">
        <v>3999</v>
      </c>
    </row>
    <row r="1504" spans="1:22" ht="12.75" customHeight="1" x14ac:dyDescent="0.15">
      <c r="A1504">
        <v>22</v>
      </c>
      <c r="B1504">
        <v>2026</v>
      </c>
      <c r="C1504" s="21">
        <v>46171</v>
      </c>
      <c r="D1504" t="s">
        <v>101</v>
      </c>
      <c r="E1504" t="s">
        <v>102</v>
      </c>
      <c r="F1504" t="s">
        <v>75</v>
      </c>
      <c r="G1504">
        <v>7.6</v>
      </c>
      <c r="H1504" t="s">
        <v>3400</v>
      </c>
      <c r="I1504" t="s">
        <v>353</v>
      </c>
      <c r="J1504" s="1" t="s">
        <v>253</v>
      </c>
      <c r="K1504" t="s">
        <v>181</v>
      </c>
      <c r="L1504" t="s">
        <v>3333</v>
      </c>
      <c r="M1504">
        <v>2</v>
      </c>
      <c r="N1504">
        <v>1</v>
      </c>
      <c r="O1504" t="s">
        <v>3440</v>
      </c>
      <c r="P1504">
        <v>90.49</v>
      </c>
      <c r="Q1504">
        <v>8</v>
      </c>
      <c r="R1504" t="s">
        <v>3424</v>
      </c>
      <c r="T1504" t="s">
        <v>3337</v>
      </c>
      <c r="U1504">
        <v>31</v>
      </c>
      <c r="V1504" t="s">
        <v>3982</v>
      </c>
    </row>
    <row r="1505" spans="1:22" ht="12.75" customHeight="1" x14ac:dyDescent="0.15">
      <c r="A1505">
        <v>22</v>
      </c>
      <c r="B1505">
        <v>2026</v>
      </c>
      <c r="C1505" s="21">
        <v>46171</v>
      </c>
      <c r="D1505" t="s">
        <v>101</v>
      </c>
      <c r="E1505" t="s">
        <v>102</v>
      </c>
      <c r="F1505" t="s">
        <v>75</v>
      </c>
      <c r="G1505">
        <v>7.6</v>
      </c>
      <c r="H1505" t="s">
        <v>3400</v>
      </c>
      <c r="I1505" t="s">
        <v>353</v>
      </c>
      <c r="J1505" s="1" t="s">
        <v>253</v>
      </c>
      <c r="K1505" t="s">
        <v>181</v>
      </c>
      <c r="L1505" t="s">
        <v>3340</v>
      </c>
      <c r="M1505">
        <v>25</v>
      </c>
      <c r="N1505">
        <v>1</v>
      </c>
      <c r="O1505" t="s">
        <v>211</v>
      </c>
      <c r="P1505">
        <v>55</v>
      </c>
      <c r="R1505" t="s">
        <v>3413</v>
      </c>
      <c r="T1505" t="s">
        <v>3337</v>
      </c>
      <c r="U1505">
        <v>31</v>
      </c>
      <c r="V1505" t="s">
        <v>4088</v>
      </c>
    </row>
    <row r="1506" spans="1:22" ht="12.75" customHeight="1" x14ac:dyDescent="0.15">
      <c r="A1506">
        <v>22</v>
      </c>
      <c r="B1506">
        <v>2026</v>
      </c>
      <c r="C1506" s="21">
        <v>46171</v>
      </c>
      <c r="D1506" t="s">
        <v>101</v>
      </c>
      <c r="E1506" t="s">
        <v>102</v>
      </c>
      <c r="F1506" t="s">
        <v>75</v>
      </c>
      <c r="G1506">
        <v>7.6</v>
      </c>
      <c r="H1506" t="s">
        <v>3953</v>
      </c>
      <c r="I1506" t="s">
        <v>3954</v>
      </c>
      <c r="J1506" s="1" t="s">
        <v>253</v>
      </c>
      <c r="K1506" t="s">
        <v>181</v>
      </c>
      <c r="L1506" t="s">
        <v>3333</v>
      </c>
      <c r="M1506">
        <v>1</v>
      </c>
      <c r="N1506">
        <v>1</v>
      </c>
      <c r="O1506" t="s">
        <v>3358</v>
      </c>
      <c r="P1506">
        <v>71.86</v>
      </c>
      <c r="Q1506">
        <v>8</v>
      </c>
      <c r="R1506" t="s">
        <v>3359</v>
      </c>
      <c r="T1506" t="s">
        <v>3337</v>
      </c>
      <c r="U1506">
        <v>31</v>
      </c>
      <c r="V1506" t="s">
        <v>3545</v>
      </c>
    </row>
    <row r="1507" spans="1:22" ht="12.75" customHeight="1" x14ac:dyDescent="0.15">
      <c r="A1507">
        <v>22</v>
      </c>
      <c r="B1507">
        <v>2026</v>
      </c>
      <c r="C1507" s="21">
        <v>46171</v>
      </c>
      <c r="D1507" t="s">
        <v>101</v>
      </c>
      <c r="E1507" t="s">
        <v>102</v>
      </c>
      <c r="F1507" t="s">
        <v>75</v>
      </c>
      <c r="G1507">
        <v>7.6</v>
      </c>
      <c r="H1507" t="s">
        <v>3953</v>
      </c>
      <c r="I1507" t="s">
        <v>3954</v>
      </c>
      <c r="J1507" s="1" t="s">
        <v>253</v>
      </c>
      <c r="K1507" t="s">
        <v>181</v>
      </c>
      <c r="L1507" t="s">
        <v>3333</v>
      </c>
      <c r="M1507">
        <v>6</v>
      </c>
      <c r="N1507">
        <v>1</v>
      </c>
      <c r="O1507" t="s">
        <v>3334</v>
      </c>
      <c r="P1507">
        <v>81.58</v>
      </c>
      <c r="Q1507">
        <v>8</v>
      </c>
      <c r="R1507" t="s">
        <v>3335</v>
      </c>
      <c r="T1507" t="s">
        <v>3337</v>
      </c>
      <c r="U1507">
        <v>31</v>
      </c>
      <c r="V1507" t="s">
        <v>3338</v>
      </c>
    </row>
    <row r="1508" spans="1:22" ht="12.75" customHeight="1" x14ac:dyDescent="0.15">
      <c r="A1508">
        <v>22</v>
      </c>
      <c r="B1508">
        <v>2026</v>
      </c>
      <c r="C1508" s="21">
        <v>46171</v>
      </c>
      <c r="D1508" t="s">
        <v>96</v>
      </c>
      <c r="E1508" t="s">
        <v>97</v>
      </c>
      <c r="F1508" t="s">
        <v>21</v>
      </c>
      <c r="G1508">
        <v>4.5</v>
      </c>
      <c r="H1508" t="s">
        <v>3653</v>
      </c>
      <c r="I1508" t="s">
        <v>3566</v>
      </c>
      <c r="J1508" s="1" t="s">
        <v>3389</v>
      </c>
      <c r="K1508" t="s">
        <v>181</v>
      </c>
      <c r="L1508" t="s">
        <v>3333</v>
      </c>
      <c r="M1508">
        <v>11</v>
      </c>
      <c r="N1508">
        <v>0.63</v>
      </c>
      <c r="O1508" t="s">
        <v>213</v>
      </c>
      <c r="P1508">
        <v>56.25</v>
      </c>
      <c r="Q1508">
        <v>5</v>
      </c>
      <c r="R1508" t="s">
        <v>3564</v>
      </c>
      <c r="T1508" t="s">
        <v>3402</v>
      </c>
      <c r="U1508">
        <v>28</v>
      </c>
      <c r="V1508" t="s">
        <v>3610</v>
      </c>
    </row>
    <row r="1509" spans="1:22" ht="12.75" customHeight="1" x14ac:dyDescent="0.15">
      <c r="A1509">
        <v>22</v>
      </c>
      <c r="B1509">
        <v>2026</v>
      </c>
      <c r="C1509" s="21">
        <v>46171</v>
      </c>
      <c r="D1509" t="s">
        <v>96</v>
      </c>
      <c r="E1509" t="s">
        <v>97</v>
      </c>
      <c r="F1509" t="s">
        <v>21</v>
      </c>
      <c r="G1509">
        <v>4.5</v>
      </c>
      <c r="H1509" t="s">
        <v>3878</v>
      </c>
      <c r="I1509" t="s">
        <v>3566</v>
      </c>
      <c r="J1509" s="1" t="s">
        <v>3389</v>
      </c>
      <c r="K1509" t="s">
        <v>2666</v>
      </c>
      <c r="L1509" t="s">
        <v>3340</v>
      </c>
      <c r="N1509">
        <v>1.9</v>
      </c>
      <c r="O1509" t="s">
        <v>4014</v>
      </c>
      <c r="P1509">
        <v>40.61</v>
      </c>
      <c r="Q1509">
        <v>5</v>
      </c>
      <c r="T1509" t="s">
        <v>3402</v>
      </c>
      <c r="U1509">
        <v>28</v>
      </c>
      <c r="V1509" t="s">
        <v>4119</v>
      </c>
    </row>
    <row r="1510" spans="1:22" ht="12.75" customHeight="1" x14ac:dyDescent="0.15">
      <c r="A1510">
        <v>22</v>
      </c>
      <c r="B1510">
        <v>2026</v>
      </c>
      <c r="C1510" s="21">
        <v>46171</v>
      </c>
      <c r="D1510" t="s">
        <v>68</v>
      </c>
      <c r="E1510" t="s">
        <v>69</v>
      </c>
      <c r="F1510" t="s">
        <v>21</v>
      </c>
      <c r="G1510">
        <v>1</v>
      </c>
      <c r="H1510" t="s">
        <v>3605</v>
      </c>
      <c r="I1510" t="s">
        <v>335</v>
      </c>
      <c r="J1510" s="1" t="s">
        <v>3533</v>
      </c>
      <c r="K1510" t="s">
        <v>181</v>
      </c>
      <c r="L1510" t="s">
        <v>3333</v>
      </c>
      <c r="M1510">
        <v>4</v>
      </c>
      <c r="N1510">
        <v>0.38</v>
      </c>
      <c r="O1510" t="s">
        <v>3334</v>
      </c>
      <c r="P1510">
        <v>30.59</v>
      </c>
      <c r="Q1510">
        <v>3</v>
      </c>
      <c r="R1510" t="s">
        <v>3773</v>
      </c>
      <c r="T1510" t="s">
        <v>3402</v>
      </c>
      <c r="U1510">
        <v>57</v>
      </c>
      <c r="V1510" t="s">
        <v>3491</v>
      </c>
    </row>
    <row r="1511" spans="1:22" ht="12.75" customHeight="1" x14ac:dyDescent="0.15">
      <c r="A1511">
        <v>22</v>
      </c>
      <c r="B1511">
        <v>2026</v>
      </c>
      <c r="C1511" s="21">
        <v>46171</v>
      </c>
      <c r="D1511" t="s">
        <v>101</v>
      </c>
      <c r="E1511" t="s">
        <v>102</v>
      </c>
      <c r="F1511" t="s">
        <v>75</v>
      </c>
      <c r="G1511">
        <v>7.6</v>
      </c>
      <c r="H1511" t="s">
        <v>3391</v>
      </c>
      <c r="I1511" t="s">
        <v>353</v>
      </c>
      <c r="J1511" s="1" t="s">
        <v>253</v>
      </c>
      <c r="K1511" t="s">
        <v>181</v>
      </c>
      <c r="L1511" t="s">
        <v>3333</v>
      </c>
      <c r="M1511">
        <v>67</v>
      </c>
      <c r="N1511">
        <v>0.75</v>
      </c>
      <c r="O1511" t="s">
        <v>3334</v>
      </c>
      <c r="P1511">
        <v>61.19</v>
      </c>
      <c r="Q1511">
        <v>6</v>
      </c>
      <c r="R1511" t="s">
        <v>3404</v>
      </c>
      <c r="T1511" t="s">
        <v>3402</v>
      </c>
      <c r="U1511">
        <v>31</v>
      </c>
      <c r="V1511" t="s">
        <v>3354</v>
      </c>
    </row>
    <row r="1512" spans="1:22" ht="12.75" customHeight="1" x14ac:dyDescent="0.15">
      <c r="A1512">
        <v>22</v>
      </c>
      <c r="B1512">
        <v>2026</v>
      </c>
      <c r="C1512" s="21">
        <v>46171</v>
      </c>
      <c r="D1512" t="s">
        <v>101</v>
      </c>
      <c r="E1512" t="s">
        <v>102</v>
      </c>
      <c r="F1512" t="s">
        <v>75</v>
      </c>
      <c r="G1512">
        <v>7.6</v>
      </c>
      <c r="H1512" t="s">
        <v>3391</v>
      </c>
      <c r="I1512" t="s">
        <v>353</v>
      </c>
      <c r="J1512" s="1" t="s">
        <v>253</v>
      </c>
      <c r="K1512" t="s">
        <v>181</v>
      </c>
      <c r="L1512" t="s">
        <v>3333</v>
      </c>
      <c r="M1512">
        <v>19</v>
      </c>
      <c r="N1512">
        <v>0.75</v>
      </c>
      <c r="O1512" t="s">
        <v>3334</v>
      </c>
      <c r="P1512">
        <v>61.19</v>
      </c>
      <c r="Q1512">
        <v>6</v>
      </c>
      <c r="R1512" t="s">
        <v>3403</v>
      </c>
      <c r="T1512" t="s">
        <v>3402</v>
      </c>
      <c r="U1512">
        <v>31</v>
      </c>
      <c r="V1512" t="s">
        <v>3354</v>
      </c>
    </row>
    <row r="1513" spans="1:22" ht="12.75" customHeight="1" x14ac:dyDescent="0.15">
      <c r="A1513">
        <v>22</v>
      </c>
      <c r="B1513">
        <v>2026</v>
      </c>
      <c r="C1513" s="21">
        <v>46171</v>
      </c>
      <c r="D1513" t="s">
        <v>101</v>
      </c>
      <c r="E1513" t="s">
        <v>102</v>
      </c>
      <c r="F1513" t="s">
        <v>75</v>
      </c>
      <c r="G1513">
        <v>7.6</v>
      </c>
      <c r="H1513" t="s">
        <v>3391</v>
      </c>
      <c r="I1513" t="s">
        <v>353</v>
      </c>
      <c r="J1513" s="1" t="s">
        <v>253</v>
      </c>
      <c r="K1513" t="s">
        <v>181</v>
      </c>
      <c r="L1513" t="s">
        <v>3340</v>
      </c>
      <c r="M1513">
        <v>78</v>
      </c>
      <c r="N1513">
        <v>0.98</v>
      </c>
      <c r="O1513" t="s">
        <v>211</v>
      </c>
      <c r="P1513">
        <v>54</v>
      </c>
      <c r="Q1513">
        <v>6</v>
      </c>
      <c r="R1513" t="s">
        <v>3341</v>
      </c>
      <c r="S1513" t="s">
        <v>4120</v>
      </c>
      <c r="T1513" t="s">
        <v>3402</v>
      </c>
      <c r="U1513">
        <v>31</v>
      </c>
      <c r="V1513" t="s">
        <v>3405</v>
      </c>
    </row>
    <row r="1514" spans="1:22" ht="12.75" customHeight="1" x14ac:dyDescent="0.15">
      <c r="A1514">
        <v>22</v>
      </c>
      <c r="B1514">
        <v>2026</v>
      </c>
      <c r="C1514" s="21">
        <v>46171</v>
      </c>
      <c r="D1514" t="s">
        <v>68</v>
      </c>
      <c r="E1514" t="s">
        <v>69</v>
      </c>
      <c r="F1514" t="s">
        <v>21</v>
      </c>
      <c r="G1514">
        <v>1</v>
      </c>
      <c r="H1514" t="s">
        <v>3845</v>
      </c>
      <c r="I1514" t="s">
        <v>380</v>
      </c>
      <c r="J1514" s="1" t="s">
        <v>3533</v>
      </c>
      <c r="K1514" t="s">
        <v>181</v>
      </c>
      <c r="L1514" t="s">
        <v>3333</v>
      </c>
      <c r="M1514">
        <v>3</v>
      </c>
      <c r="N1514">
        <v>0.63</v>
      </c>
      <c r="O1514" t="s">
        <v>3334</v>
      </c>
      <c r="P1514">
        <v>50.99</v>
      </c>
      <c r="Q1514">
        <v>5</v>
      </c>
      <c r="R1514" t="s">
        <v>3478</v>
      </c>
      <c r="T1514" t="s">
        <v>3402</v>
      </c>
      <c r="U1514">
        <v>57</v>
      </c>
      <c r="V1514" t="s">
        <v>3574</v>
      </c>
    </row>
    <row r="1515" spans="1:22" ht="12.75" customHeight="1" x14ac:dyDescent="0.15">
      <c r="A1515">
        <v>22</v>
      </c>
      <c r="B1515">
        <v>2026</v>
      </c>
      <c r="C1515" s="21">
        <v>46171</v>
      </c>
      <c r="D1515" t="s">
        <v>101</v>
      </c>
      <c r="E1515" t="s">
        <v>102</v>
      </c>
      <c r="F1515" t="s">
        <v>75</v>
      </c>
      <c r="G1515">
        <v>7.6</v>
      </c>
      <c r="H1515" t="s">
        <v>3391</v>
      </c>
      <c r="I1515" t="s">
        <v>353</v>
      </c>
      <c r="J1515" s="1" t="s">
        <v>253</v>
      </c>
      <c r="K1515" t="s">
        <v>181</v>
      </c>
      <c r="L1515" t="s">
        <v>3587</v>
      </c>
      <c r="M1515">
        <v>120</v>
      </c>
      <c r="N1515">
        <v>7</v>
      </c>
      <c r="O1515" t="s">
        <v>211</v>
      </c>
      <c r="P1515">
        <v>385</v>
      </c>
      <c r="Q1515">
        <v>7</v>
      </c>
      <c r="R1515" t="s">
        <v>3415</v>
      </c>
      <c r="T1515" t="s">
        <v>3402</v>
      </c>
      <c r="U1515">
        <v>31</v>
      </c>
      <c r="V1515" t="s">
        <v>4042</v>
      </c>
    </row>
    <row r="1516" spans="1:22" ht="12.75" customHeight="1" x14ac:dyDescent="0.15">
      <c r="A1516">
        <v>22</v>
      </c>
      <c r="B1516">
        <v>2026</v>
      </c>
      <c r="C1516" s="21">
        <v>46172</v>
      </c>
      <c r="D1516" t="s">
        <v>19</v>
      </c>
      <c r="E1516" t="s">
        <v>20</v>
      </c>
      <c r="F1516" t="s">
        <v>21</v>
      </c>
      <c r="G1516">
        <v>3.8</v>
      </c>
      <c r="H1516" t="s">
        <v>4121</v>
      </c>
      <c r="I1516" t="s">
        <v>4122</v>
      </c>
      <c r="J1516" s="1" t="s">
        <v>307</v>
      </c>
      <c r="K1516" t="s">
        <v>181</v>
      </c>
      <c r="L1516" t="s">
        <v>3340</v>
      </c>
      <c r="M1516">
        <v>62</v>
      </c>
      <c r="N1516">
        <v>0.95</v>
      </c>
      <c r="O1516" t="s">
        <v>211</v>
      </c>
      <c r="P1516">
        <v>52.25</v>
      </c>
      <c r="R1516" t="s">
        <v>3375</v>
      </c>
      <c r="T1516" t="s">
        <v>3337</v>
      </c>
      <c r="U1516">
        <v>172</v>
      </c>
      <c r="V1516" t="s">
        <v>4123</v>
      </c>
    </row>
    <row r="1517" spans="1:22" ht="12.75" customHeight="1" x14ac:dyDescent="0.15">
      <c r="A1517">
        <v>22</v>
      </c>
      <c r="B1517">
        <v>2026</v>
      </c>
      <c r="C1517" s="21">
        <v>46172</v>
      </c>
      <c r="D1517" t="s">
        <v>19</v>
      </c>
      <c r="E1517" t="s">
        <v>20</v>
      </c>
      <c r="F1517" t="s">
        <v>21</v>
      </c>
      <c r="G1517">
        <v>3.8</v>
      </c>
      <c r="H1517" t="s">
        <v>4121</v>
      </c>
      <c r="I1517" t="s">
        <v>4122</v>
      </c>
      <c r="J1517" s="1" t="s">
        <v>307</v>
      </c>
      <c r="K1517" t="s">
        <v>181</v>
      </c>
      <c r="L1517" t="s">
        <v>3340</v>
      </c>
      <c r="M1517">
        <v>53</v>
      </c>
      <c r="N1517">
        <v>0.95</v>
      </c>
      <c r="O1517" t="s">
        <v>211</v>
      </c>
      <c r="P1517">
        <v>52.25</v>
      </c>
      <c r="R1517" t="s">
        <v>3373</v>
      </c>
      <c r="T1517" t="s">
        <v>3337</v>
      </c>
      <c r="U1517">
        <v>172</v>
      </c>
      <c r="V1517" t="s">
        <v>4123</v>
      </c>
    </row>
    <row r="1518" spans="1:22" ht="12.75" customHeight="1" x14ac:dyDescent="0.15">
      <c r="A1518">
        <v>22</v>
      </c>
      <c r="B1518">
        <v>2026</v>
      </c>
      <c r="C1518" s="21">
        <v>46172</v>
      </c>
      <c r="D1518" t="s">
        <v>19</v>
      </c>
      <c r="E1518" t="s">
        <v>20</v>
      </c>
      <c r="F1518" t="s">
        <v>21</v>
      </c>
      <c r="G1518">
        <v>3.8</v>
      </c>
      <c r="H1518" t="s">
        <v>4121</v>
      </c>
      <c r="I1518" t="s">
        <v>4122</v>
      </c>
      <c r="J1518" s="1" t="s">
        <v>307</v>
      </c>
      <c r="K1518" t="s">
        <v>181</v>
      </c>
      <c r="L1518" t="s">
        <v>3340</v>
      </c>
      <c r="M1518">
        <v>132</v>
      </c>
      <c r="N1518">
        <v>0.2</v>
      </c>
      <c r="O1518" t="s">
        <v>211</v>
      </c>
      <c r="P1518">
        <v>11</v>
      </c>
      <c r="R1518" t="s">
        <v>3368</v>
      </c>
      <c r="S1518" t="s">
        <v>4124</v>
      </c>
      <c r="T1518" t="s">
        <v>3337</v>
      </c>
      <c r="U1518">
        <v>172</v>
      </c>
      <c r="V1518" t="s">
        <v>4125</v>
      </c>
    </row>
    <row r="1519" spans="1:22" ht="12.75" customHeight="1" x14ac:dyDescent="0.15">
      <c r="A1519">
        <v>22</v>
      </c>
      <c r="B1519">
        <v>2026</v>
      </c>
      <c r="C1519" s="21">
        <v>46172</v>
      </c>
      <c r="D1519" t="s">
        <v>19</v>
      </c>
      <c r="E1519" t="s">
        <v>20</v>
      </c>
      <c r="F1519" t="s">
        <v>21</v>
      </c>
      <c r="G1519">
        <v>3.8</v>
      </c>
      <c r="H1519" t="s">
        <v>4121</v>
      </c>
      <c r="I1519" t="s">
        <v>4122</v>
      </c>
      <c r="J1519" s="1" t="s">
        <v>307</v>
      </c>
      <c r="K1519" t="s">
        <v>181</v>
      </c>
      <c r="L1519" t="s">
        <v>3340</v>
      </c>
      <c r="M1519">
        <v>58</v>
      </c>
      <c r="N1519">
        <v>0.95</v>
      </c>
      <c r="O1519" t="s">
        <v>211</v>
      </c>
      <c r="P1519">
        <v>52.25</v>
      </c>
      <c r="R1519" t="s">
        <v>3343</v>
      </c>
      <c r="T1519" t="s">
        <v>3337</v>
      </c>
      <c r="U1519">
        <v>172</v>
      </c>
      <c r="V1519" t="s">
        <v>4123</v>
      </c>
    </row>
    <row r="1520" spans="1:22" ht="12.75" customHeight="1" x14ac:dyDescent="0.15">
      <c r="A1520">
        <v>22</v>
      </c>
      <c r="B1520">
        <v>2026</v>
      </c>
      <c r="C1520" s="21">
        <v>46172</v>
      </c>
      <c r="D1520" t="s">
        <v>19</v>
      </c>
      <c r="E1520" t="s">
        <v>20</v>
      </c>
      <c r="F1520" t="s">
        <v>21</v>
      </c>
      <c r="G1520">
        <v>3.8</v>
      </c>
      <c r="H1520" t="s">
        <v>4121</v>
      </c>
      <c r="I1520" t="s">
        <v>4122</v>
      </c>
      <c r="J1520" s="1" t="s">
        <v>307</v>
      </c>
      <c r="K1520" t="s">
        <v>181</v>
      </c>
      <c r="L1520" t="s">
        <v>3340</v>
      </c>
      <c r="M1520">
        <v>81</v>
      </c>
      <c r="N1520">
        <v>0.95</v>
      </c>
      <c r="O1520" t="s">
        <v>211</v>
      </c>
      <c r="P1520">
        <v>52.25</v>
      </c>
      <c r="R1520" t="s">
        <v>3374</v>
      </c>
      <c r="T1520" t="s">
        <v>3337</v>
      </c>
      <c r="U1520">
        <v>172</v>
      </c>
      <c r="V1520" t="s">
        <v>4123</v>
      </c>
    </row>
    <row r="1521" spans="1:22" ht="12.75" customHeight="1" x14ac:dyDescent="0.15">
      <c r="A1521">
        <v>22</v>
      </c>
      <c r="B1521">
        <v>2026</v>
      </c>
      <c r="C1521" s="21">
        <v>46172</v>
      </c>
      <c r="D1521" t="s">
        <v>101</v>
      </c>
      <c r="E1521" t="s">
        <v>102</v>
      </c>
      <c r="F1521" t="s">
        <v>75</v>
      </c>
      <c r="G1521">
        <v>7.6</v>
      </c>
      <c r="H1521" t="s">
        <v>3400</v>
      </c>
      <c r="I1521" t="s">
        <v>353</v>
      </c>
      <c r="J1521" s="1" t="s">
        <v>253</v>
      </c>
      <c r="K1521" t="s">
        <v>181</v>
      </c>
      <c r="L1521" t="s">
        <v>3333</v>
      </c>
      <c r="M1521">
        <v>2</v>
      </c>
      <c r="N1521">
        <v>1</v>
      </c>
      <c r="O1521" t="s">
        <v>3440</v>
      </c>
      <c r="P1521">
        <v>90.49</v>
      </c>
      <c r="Q1521">
        <v>8</v>
      </c>
      <c r="R1521" t="s">
        <v>3424</v>
      </c>
      <c r="T1521" t="s">
        <v>3337</v>
      </c>
      <c r="U1521">
        <v>32</v>
      </c>
      <c r="V1521" t="s">
        <v>3982</v>
      </c>
    </row>
    <row r="1522" spans="1:22" ht="12.75" customHeight="1" x14ac:dyDescent="0.15">
      <c r="A1522">
        <v>22</v>
      </c>
      <c r="B1522">
        <v>2026</v>
      </c>
      <c r="C1522" s="21">
        <v>46172</v>
      </c>
      <c r="D1522" t="s">
        <v>101</v>
      </c>
      <c r="E1522" t="s">
        <v>102</v>
      </c>
      <c r="F1522" t="s">
        <v>75</v>
      </c>
      <c r="G1522">
        <v>7.6</v>
      </c>
      <c r="H1522" t="s">
        <v>3400</v>
      </c>
      <c r="I1522" t="s">
        <v>353</v>
      </c>
      <c r="J1522" s="1" t="s">
        <v>253</v>
      </c>
      <c r="K1522" t="s">
        <v>181</v>
      </c>
      <c r="L1522" t="s">
        <v>3340</v>
      </c>
      <c r="M1522">
        <v>25</v>
      </c>
      <c r="N1522">
        <v>1</v>
      </c>
      <c r="O1522" t="s">
        <v>211</v>
      </c>
      <c r="P1522">
        <v>55</v>
      </c>
      <c r="R1522" t="s">
        <v>3413</v>
      </c>
      <c r="T1522" t="s">
        <v>3337</v>
      </c>
      <c r="U1522">
        <v>32</v>
      </c>
      <c r="V1522" t="s">
        <v>4088</v>
      </c>
    </row>
    <row r="1523" spans="1:22" ht="12.75" customHeight="1" x14ac:dyDescent="0.15">
      <c r="A1523">
        <v>22</v>
      </c>
      <c r="B1523">
        <v>2026</v>
      </c>
      <c r="C1523" s="21">
        <v>46172</v>
      </c>
      <c r="D1523" t="s">
        <v>101</v>
      </c>
      <c r="E1523" t="s">
        <v>102</v>
      </c>
      <c r="F1523" t="s">
        <v>75</v>
      </c>
      <c r="G1523">
        <v>7.6</v>
      </c>
      <c r="H1523" t="s">
        <v>3953</v>
      </c>
      <c r="I1523" t="s">
        <v>3954</v>
      </c>
      <c r="J1523" s="1" t="s">
        <v>253</v>
      </c>
      <c r="K1523" t="s">
        <v>181</v>
      </c>
      <c r="L1523" t="s">
        <v>3333</v>
      </c>
      <c r="M1523">
        <v>1</v>
      </c>
      <c r="N1523">
        <v>1</v>
      </c>
      <c r="O1523" t="s">
        <v>3358</v>
      </c>
      <c r="P1523">
        <v>71.86</v>
      </c>
      <c r="Q1523">
        <v>8</v>
      </c>
      <c r="R1523" t="s">
        <v>3359</v>
      </c>
      <c r="T1523" t="s">
        <v>3337</v>
      </c>
      <c r="U1523">
        <v>32</v>
      </c>
      <c r="V1523" t="s">
        <v>3545</v>
      </c>
    </row>
    <row r="1524" spans="1:22" ht="12.75" customHeight="1" x14ac:dyDescent="0.15">
      <c r="A1524">
        <v>22</v>
      </c>
      <c r="B1524">
        <v>2026</v>
      </c>
      <c r="C1524" s="21">
        <v>46172</v>
      </c>
      <c r="D1524" t="s">
        <v>101</v>
      </c>
      <c r="E1524" t="s">
        <v>102</v>
      </c>
      <c r="F1524" t="s">
        <v>75</v>
      </c>
      <c r="G1524">
        <v>7.6</v>
      </c>
      <c r="H1524" t="s">
        <v>3953</v>
      </c>
      <c r="I1524" t="s">
        <v>3954</v>
      </c>
      <c r="J1524" s="1" t="s">
        <v>253</v>
      </c>
      <c r="K1524" t="s">
        <v>181</v>
      </c>
      <c r="L1524" t="s">
        <v>3333</v>
      </c>
      <c r="M1524">
        <v>6</v>
      </c>
      <c r="N1524">
        <v>1</v>
      </c>
      <c r="O1524" t="s">
        <v>3334</v>
      </c>
      <c r="P1524">
        <v>81.58</v>
      </c>
      <c r="Q1524">
        <v>8</v>
      </c>
      <c r="R1524" t="s">
        <v>3335</v>
      </c>
      <c r="T1524" t="s">
        <v>3337</v>
      </c>
      <c r="U1524">
        <v>32</v>
      </c>
      <c r="V1524" t="s">
        <v>3338</v>
      </c>
    </row>
    <row r="1525" spans="1:22" ht="12.75" customHeight="1" x14ac:dyDescent="0.15">
      <c r="A1525">
        <v>22</v>
      </c>
      <c r="B1525">
        <v>2026</v>
      </c>
      <c r="C1525" s="21">
        <v>46172</v>
      </c>
      <c r="D1525" t="s">
        <v>96</v>
      </c>
      <c r="E1525" t="s">
        <v>97</v>
      </c>
      <c r="F1525" t="s">
        <v>21</v>
      </c>
      <c r="G1525">
        <v>4.5</v>
      </c>
      <c r="H1525" t="s">
        <v>3653</v>
      </c>
      <c r="I1525" t="s">
        <v>3566</v>
      </c>
      <c r="J1525" s="1" t="s">
        <v>3389</v>
      </c>
      <c r="K1525" t="s">
        <v>181</v>
      </c>
      <c r="L1525" t="s">
        <v>3333</v>
      </c>
      <c r="M1525">
        <v>11</v>
      </c>
      <c r="N1525">
        <v>0.88</v>
      </c>
      <c r="O1525" t="s">
        <v>213</v>
      </c>
      <c r="P1525">
        <v>78.75</v>
      </c>
      <c r="Q1525">
        <v>7</v>
      </c>
      <c r="R1525" t="s">
        <v>3564</v>
      </c>
      <c r="T1525" t="s">
        <v>3402</v>
      </c>
      <c r="U1525">
        <v>29</v>
      </c>
      <c r="V1525" t="s">
        <v>4126</v>
      </c>
    </row>
    <row r="1526" spans="1:22" ht="12.75" customHeight="1" x14ac:dyDescent="0.15">
      <c r="A1526">
        <v>22</v>
      </c>
      <c r="B1526">
        <v>2026</v>
      </c>
      <c r="C1526" s="21">
        <v>46172</v>
      </c>
      <c r="D1526" t="s">
        <v>96</v>
      </c>
      <c r="E1526" t="s">
        <v>97</v>
      </c>
      <c r="F1526" t="s">
        <v>21</v>
      </c>
      <c r="G1526">
        <v>4.5</v>
      </c>
      <c r="H1526" t="s">
        <v>3878</v>
      </c>
      <c r="I1526" t="s">
        <v>3566</v>
      </c>
      <c r="J1526" s="1" t="s">
        <v>3389</v>
      </c>
      <c r="K1526" t="s">
        <v>2666</v>
      </c>
      <c r="L1526" t="s">
        <v>3587</v>
      </c>
      <c r="P1526">
        <v>57.4</v>
      </c>
      <c r="Q1526">
        <v>7</v>
      </c>
      <c r="T1526" t="s">
        <v>3402</v>
      </c>
      <c r="U1526">
        <v>29</v>
      </c>
      <c r="V1526" t="s">
        <v>4127</v>
      </c>
    </row>
    <row r="1527" spans="1:22" ht="12.75" customHeight="1" x14ac:dyDescent="0.15">
      <c r="A1527">
        <v>22</v>
      </c>
      <c r="B1527">
        <v>2026</v>
      </c>
      <c r="C1527" s="21">
        <v>46172</v>
      </c>
      <c r="D1527" t="s">
        <v>139</v>
      </c>
      <c r="E1527" t="s">
        <v>140</v>
      </c>
      <c r="F1527" t="s">
        <v>75</v>
      </c>
      <c r="G1527">
        <v>0.8</v>
      </c>
      <c r="H1527" t="s">
        <v>3804</v>
      </c>
      <c r="I1527" t="s">
        <v>3805</v>
      </c>
      <c r="J1527" s="1" t="s">
        <v>3660</v>
      </c>
      <c r="K1527" t="s">
        <v>181</v>
      </c>
      <c r="L1527" t="s">
        <v>3333</v>
      </c>
      <c r="M1527">
        <v>3</v>
      </c>
      <c r="N1527">
        <v>1</v>
      </c>
      <c r="O1527" t="s">
        <v>3334</v>
      </c>
      <c r="P1527" s="1">
        <v>81.58</v>
      </c>
      <c r="Q1527">
        <v>8</v>
      </c>
      <c r="R1527" t="s">
        <v>3478</v>
      </c>
      <c r="T1527" t="s">
        <v>3402</v>
      </c>
      <c r="U1527">
        <v>4</v>
      </c>
      <c r="V1527" t="s">
        <v>4095</v>
      </c>
    </row>
    <row r="1528" spans="1:22" ht="12.75" customHeight="1" x14ac:dyDescent="0.15">
      <c r="A1528">
        <v>22</v>
      </c>
      <c r="B1528">
        <v>2026</v>
      </c>
      <c r="C1528" s="21">
        <v>46172</v>
      </c>
      <c r="D1528" t="s">
        <v>139</v>
      </c>
      <c r="E1528" t="s">
        <v>140</v>
      </c>
      <c r="F1528" t="s">
        <v>75</v>
      </c>
      <c r="G1528">
        <v>0.8</v>
      </c>
      <c r="H1528" t="s">
        <v>3804</v>
      </c>
      <c r="I1528" t="s">
        <v>3805</v>
      </c>
      <c r="J1528" s="1" t="s">
        <v>3660</v>
      </c>
      <c r="K1528" t="s">
        <v>181</v>
      </c>
      <c r="L1528" t="s">
        <v>3340</v>
      </c>
      <c r="M1528">
        <v>78</v>
      </c>
      <c r="N1528">
        <v>0.98</v>
      </c>
      <c r="O1528" t="s">
        <v>211</v>
      </c>
      <c r="P1528" s="1">
        <v>54</v>
      </c>
      <c r="Q1528">
        <v>6</v>
      </c>
      <c r="R1528" t="s">
        <v>3341</v>
      </c>
      <c r="T1528" t="s">
        <v>3402</v>
      </c>
      <c r="U1528">
        <v>4</v>
      </c>
      <c r="V1528" t="s">
        <v>3641</v>
      </c>
    </row>
    <row r="1529" spans="1:22" ht="12.75" customHeight="1" x14ac:dyDescent="0.15">
      <c r="A1529">
        <v>22</v>
      </c>
      <c r="B1529">
        <v>2026</v>
      </c>
      <c r="C1529" s="21">
        <v>46172</v>
      </c>
      <c r="D1529" t="s">
        <v>101</v>
      </c>
      <c r="E1529" t="s">
        <v>102</v>
      </c>
      <c r="F1529" t="s">
        <v>75</v>
      </c>
      <c r="G1529">
        <v>7.6</v>
      </c>
      <c r="H1529" t="s">
        <v>3391</v>
      </c>
      <c r="I1529" t="s">
        <v>353</v>
      </c>
      <c r="J1529" s="1" t="s">
        <v>253</v>
      </c>
      <c r="K1529" t="s">
        <v>181</v>
      </c>
      <c r="L1529" t="s">
        <v>3340</v>
      </c>
      <c r="M1529">
        <v>78</v>
      </c>
      <c r="N1529">
        <v>0.33</v>
      </c>
      <c r="O1529" t="s">
        <v>211</v>
      </c>
      <c r="P1529">
        <v>18</v>
      </c>
      <c r="Q1529">
        <v>2</v>
      </c>
      <c r="R1529" t="s">
        <v>3341</v>
      </c>
      <c r="T1529" t="s">
        <v>3402</v>
      </c>
      <c r="U1529">
        <v>32</v>
      </c>
      <c r="V1529" t="s">
        <v>3442</v>
      </c>
    </row>
    <row r="1530" spans="1:22" ht="12.75" customHeight="1" x14ac:dyDescent="0.15">
      <c r="A1530">
        <v>22</v>
      </c>
      <c r="B1530">
        <v>2026</v>
      </c>
      <c r="C1530" s="21">
        <v>46172</v>
      </c>
      <c r="D1530" t="s">
        <v>101</v>
      </c>
      <c r="E1530" t="s">
        <v>102</v>
      </c>
      <c r="F1530" t="s">
        <v>75</v>
      </c>
      <c r="G1530">
        <v>7.6</v>
      </c>
      <c r="H1530" t="s">
        <v>3391</v>
      </c>
      <c r="I1530" t="s">
        <v>353</v>
      </c>
      <c r="J1530" s="1" t="s">
        <v>253</v>
      </c>
      <c r="K1530" t="s">
        <v>181</v>
      </c>
      <c r="L1530" t="s">
        <v>3333</v>
      </c>
      <c r="M1530">
        <v>67</v>
      </c>
      <c r="N1530">
        <v>0.38</v>
      </c>
      <c r="O1530" t="s">
        <v>3334</v>
      </c>
      <c r="P1530">
        <v>30.59</v>
      </c>
      <c r="Q1530">
        <v>3</v>
      </c>
      <c r="R1530" t="s">
        <v>3404</v>
      </c>
      <c r="T1530" t="s">
        <v>3402</v>
      </c>
      <c r="U1530">
        <v>32</v>
      </c>
      <c r="V1530" t="s">
        <v>3420</v>
      </c>
    </row>
    <row r="1531" spans="1:22" ht="12.75" customHeight="1" x14ac:dyDescent="0.15">
      <c r="A1531">
        <v>22</v>
      </c>
      <c r="B1531">
        <v>2026</v>
      </c>
      <c r="C1531" s="21">
        <v>46172</v>
      </c>
      <c r="D1531" t="s">
        <v>101</v>
      </c>
      <c r="E1531" t="s">
        <v>102</v>
      </c>
      <c r="F1531" t="s">
        <v>75</v>
      </c>
      <c r="G1531">
        <v>7.6</v>
      </c>
      <c r="H1531" t="s">
        <v>3391</v>
      </c>
      <c r="I1531" t="s">
        <v>353</v>
      </c>
      <c r="J1531" s="1" t="s">
        <v>253</v>
      </c>
      <c r="K1531" t="s">
        <v>181</v>
      </c>
      <c r="L1531" t="s">
        <v>3333</v>
      </c>
      <c r="M1531">
        <v>19</v>
      </c>
      <c r="N1531">
        <v>0.38</v>
      </c>
      <c r="O1531" t="s">
        <v>3334</v>
      </c>
      <c r="P1531">
        <v>30.59</v>
      </c>
      <c r="Q1531">
        <v>3</v>
      </c>
      <c r="R1531" t="s">
        <v>3403</v>
      </c>
      <c r="T1531" t="s">
        <v>3402</v>
      </c>
      <c r="U1531">
        <v>32</v>
      </c>
      <c r="V1531" t="s">
        <v>3420</v>
      </c>
    </row>
    <row r="1532" spans="1:22" ht="12.75" customHeight="1" x14ac:dyDescent="0.15">
      <c r="A1532">
        <v>22</v>
      </c>
      <c r="B1532">
        <v>2026</v>
      </c>
      <c r="C1532" s="21">
        <v>46172</v>
      </c>
      <c r="D1532" t="s">
        <v>101</v>
      </c>
      <c r="E1532" t="s">
        <v>102</v>
      </c>
      <c r="F1532" t="s">
        <v>75</v>
      </c>
      <c r="G1532">
        <v>7.6</v>
      </c>
      <c r="H1532" t="s">
        <v>3391</v>
      </c>
      <c r="I1532" t="s">
        <v>353</v>
      </c>
      <c r="J1532" s="1" t="s">
        <v>253</v>
      </c>
      <c r="K1532" t="s">
        <v>181</v>
      </c>
      <c r="L1532" t="s">
        <v>3587</v>
      </c>
      <c r="M1532">
        <v>120</v>
      </c>
      <c r="N1532">
        <v>5</v>
      </c>
      <c r="O1532" t="s">
        <v>211</v>
      </c>
      <c r="P1532">
        <v>275</v>
      </c>
      <c r="Q1532">
        <v>5</v>
      </c>
      <c r="R1532" t="s">
        <v>3415</v>
      </c>
      <c r="T1532" t="s">
        <v>3402</v>
      </c>
      <c r="U1532">
        <v>32</v>
      </c>
      <c r="V1532" t="s">
        <v>3984</v>
      </c>
    </row>
    <row r="1533" spans="1:22" ht="12.75" customHeight="1" x14ac:dyDescent="0.15">
      <c r="A1533">
        <v>22</v>
      </c>
      <c r="B1533">
        <v>2026</v>
      </c>
      <c r="C1533" s="21">
        <v>46172</v>
      </c>
      <c r="D1533" t="s">
        <v>101</v>
      </c>
      <c r="E1533" t="s">
        <v>102</v>
      </c>
      <c r="F1533" t="s">
        <v>75</v>
      </c>
      <c r="G1533">
        <v>7.6</v>
      </c>
      <c r="H1533" t="s">
        <v>3391</v>
      </c>
      <c r="I1533" t="s">
        <v>353</v>
      </c>
      <c r="J1533" s="1" t="s">
        <v>253</v>
      </c>
      <c r="K1533" t="s">
        <v>181</v>
      </c>
      <c r="L1533" t="s">
        <v>3333</v>
      </c>
      <c r="M1533">
        <v>67</v>
      </c>
      <c r="N1533">
        <v>0.38</v>
      </c>
      <c r="O1533" t="s">
        <v>3334</v>
      </c>
      <c r="P1533">
        <v>30.59</v>
      </c>
      <c r="Q1533">
        <v>3</v>
      </c>
      <c r="R1533" t="s">
        <v>3404</v>
      </c>
      <c r="T1533" t="s">
        <v>3402</v>
      </c>
      <c r="U1533">
        <v>32</v>
      </c>
      <c r="V1533" t="s">
        <v>3420</v>
      </c>
    </row>
    <row r="1534" spans="1:22" ht="12.75" customHeight="1" x14ac:dyDescent="0.15">
      <c r="A1534">
        <v>22</v>
      </c>
      <c r="B1534">
        <v>2026</v>
      </c>
      <c r="C1534" s="21">
        <v>46172</v>
      </c>
      <c r="D1534" t="s">
        <v>101</v>
      </c>
      <c r="E1534" t="s">
        <v>102</v>
      </c>
      <c r="F1534" t="s">
        <v>75</v>
      </c>
      <c r="G1534">
        <v>7.6</v>
      </c>
      <c r="H1534" t="s">
        <v>3391</v>
      </c>
      <c r="I1534" t="s">
        <v>353</v>
      </c>
      <c r="J1534" s="1" t="s">
        <v>253</v>
      </c>
      <c r="K1534" t="s">
        <v>181</v>
      </c>
      <c r="L1534" t="s">
        <v>3333</v>
      </c>
      <c r="M1534">
        <v>19</v>
      </c>
      <c r="N1534">
        <v>0.38</v>
      </c>
      <c r="O1534" t="s">
        <v>3334</v>
      </c>
      <c r="P1534">
        <v>30.59</v>
      </c>
      <c r="Q1534">
        <v>3</v>
      </c>
      <c r="R1534" t="s">
        <v>3403</v>
      </c>
      <c r="T1534" t="s">
        <v>3402</v>
      </c>
      <c r="U1534">
        <v>32</v>
      </c>
      <c r="V1534" t="s">
        <v>3420</v>
      </c>
    </row>
    <row r="1535" spans="1:22" ht="12.75" customHeight="1" x14ac:dyDescent="0.15">
      <c r="A1535">
        <v>18</v>
      </c>
      <c r="B1535">
        <v>2026</v>
      </c>
      <c r="C1535" s="21">
        <v>46143</v>
      </c>
      <c r="D1535" t="s">
        <v>53</v>
      </c>
      <c r="E1535" t="s">
        <v>54</v>
      </c>
      <c r="F1535" t="s">
        <v>21</v>
      </c>
      <c r="G1535">
        <v>2</v>
      </c>
      <c r="H1535" t="s">
        <v>3514</v>
      </c>
      <c r="I1535" t="s">
        <v>366</v>
      </c>
      <c r="J1535" s="1" t="s">
        <v>215</v>
      </c>
      <c r="K1535" t="s">
        <v>181</v>
      </c>
      <c r="L1535" t="s">
        <v>3340</v>
      </c>
      <c r="M1535">
        <v>45</v>
      </c>
      <c r="N1535">
        <v>0.95</v>
      </c>
      <c r="O1535" t="s">
        <v>211</v>
      </c>
      <c r="P1535">
        <v>52.5</v>
      </c>
      <c r="R1535" t="s">
        <v>3377</v>
      </c>
      <c r="S1535" t="s">
        <v>4128</v>
      </c>
      <c r="T1535" t="s">
        <v>3337</v>
      </c>
      <c r="U1535">
        <v>57</v>
      </c>
      <c r="V1535" t="s">
        <v>4129</v>
      </c>
    </row>
    <row r="1536" spans="1:22" ht="12.75" customHeight="1" x14ac:dyDescent="0.15">
      <c r="A1536">
        <v>18</v>
      </c>
      <c r="B1536">
        <v>2026</v>
      </c>
      <c r="C1536" s="21">
        <v>46143</v>
      </c>
      <c r="D1536" t="s">
        <v>53</v>
      </c>
      <c r="E1536" t="s">
        <v>54</v>
      </c>
      <c r="F1536" t="s">
        <v>21</v>
      </c>
      <c r="G1536">
        <v>2</v>
      </c>
      <c r="H1536" t="s">
        <v>3514</v>
      </c>
      <c r="I1536" t="s">
        <v>366</v>
      </c>
      <c r="J1536" s="1" t="s">
        <v>215</v>
      </c>
      <c r="K1536" t="s">
        <v>181</v>
      </c>
      <c r="L1536" t="s">
        <v>3340</v>
      </c>
      <c r="M1536">
        <v>81</v>
      </c>
      <c r="N1536">
        <v>0.95</v>
      </c>
      <c r="O1536" t="s">
        <v>211</v>
      </c>
      <c r="P1536">
        <v>52.5</v>
      </c>
      <c r="R1536" t="s">
        <v>3374</v>
      </c>
      <c r="T1536" t="s">
        <v>3337</v>
      </c>
      <c r="U1536">
        <v>57</v>
      </c>
      <c r="V1536" t="s">
        <v>4129</v>
      </c>
    </row>
    <row r="1537" spans="1:22" ht="12.75" customHeight="1" x14ac:dyDescent="0.15">
      <c r="A1537">
        <v>18</v>
      </c>
      <c r="B1537">
        <v>2026</v>
      </c>
      <c r="C1537" s="21">
        <v>46143</v>
      </c>
      <c r="D1537" t="s">
        <v>53</v>
      </c>
      <c r="E1537" t="s">
        <v>54</v>
      </c>
      <c r="F1537" t="s">
        <v>21</v>
      </c>
      <c r="G1537">
        <v>2</v>
      </c>
      <c r="H1537" t="s">
        <v>3514</v>
      </c>
      <c r="I1537" t="s">
        <v>366</v>
      </c>
      <c r="J1537" s="1" t="s">
        <v>215</v>
      </c>
      <c r="K1537" t="s">
        <v>181</v>
      </c>
      <c r="L1537" t="s">
        <v>3340</v>
      </c>
      <c r="M1537">
        <v>62</v>
      </c>
      <c r="N1537">
        <v>0.95</v>
      </c>
      <c r="O1537" t="s">
        <v>211</v>
      </c>
      <c r="P1537">
        <v>52.5</v>
      </c>
      <c r="R1537" t="s">
        <v>3375</v>
      </c>
      <c r="T1537" t="s">
        <v>3337</v>
      </c>
      <c r="U1537">
        <v>57</v>
      </c>
      <c r="V1537" t="s">
        <v>4129</v>
      </c>
    </row>
    <row r="1538" spans="1:22" ht="12.75" customHeight="1" x14ac:dyDescent="0.15">
      <c r="A1538">
        <v>18</v>
      </c>
      <c r="B1538">
        <v>2026</v>
      </c>
      <c r="C1538" s="21">
        <v>46143</v>
      </c>
      <c r="D1538" t="s">
        <v>53</v>
      </c>
      <c r="E1538" t="s">
        <v>54</v>
      </c>
      <c r="F1538" t="s">
        <v>21</v>
      </c>
      <c r="G1538">
        <v>2</v>
      </c>
      <c r="H1538" t="s">
        <v>3514</v>
      </c>
      <c r="I1538" t="s">
        <v>366</v>
      </c>
      <c r="J1538" s="1" t="s">
        <v>215</v>
      </c>
      <c r="K1538" t="s">
        <v>181</v>
      </c>
      <c r="L1538" t="s">
        <v>3340</v>
      </c>
      <c r="M1538">
        <v>132</v>
      </c>
      <c r="N1538">
        <v>0.95</v>
      </c>
      <c r="O1538" t="s">
        <v>211</v>
      </c>
      <c r="P1538">
        <v>52.5</v>
      </c>
      <c r="R1538" t="s">
        <v>3368</v>
      </c>
      <c r="T1538" t="s">
        <v>3337</v>
      </c>
      <c r="U1538">
        <v>57</v>
      </c>
      <c r="V1538" t="s">
        <v>4129</v>
      </c>
    </row>
    <row r="1539" spans="1:22" ht="12.75" customHeight="1" x14ac:dyDescent="0.15">
      <c r="A1539">
        <v>18</v>
      </c>
      <c r="B1539">
        <v>2026</v>
      </c>
      <c r="C1539" s="21">
        <v>46143</v>
      </c>
      <c r="D1539" t="s">
        <v>60</v>
      </c>
      <c r="E1539" t="s">
        <v>61</v>
      </c>
      <c r="F1539" t="s">
        <v>21</v>
      </c>
      <c r="G1539">
        <v>1.6</v>
      </c>
      <c r="H1539" t="s">
        <v>3514</v>
      </c>
      <c r="I1539" t="s">
        <v>366</v>
      </c>
      <c r="J1539" s="1" t="s">
        <v>215</v>
      </c>
      <c r="K1539" t="s">
        <v>181</v>
      </c>
      <c r="L1539" t="s">
        <v>3340</v>
      </c>
      <c r="M1539">
        <v>45</v>
      </c>
      <c r="N1539">
        <v>0.64</v>
      </c>
      <c r="O1539" t="s">
        <v>211</v>
      </c>
      <c r="P1539">
        <v>35</v>
      </c>
      <c r="R1539" t="s">
        <v>3377</v>
      </c>
      <c r="S1539" t="s">
        <v>3520</v>
      </c>
      <c r="T1539" t="s">
        <v>3337</v>
      </c>
      <c r="U1539">
        <v>35</v>
      </c>
      <c r="V1539" t="s">
        <v>4130</v>
      </c>
    </row>
    <row r="1540" spans="1:22" ht="12.75" customHeight="1" x14ac:dyDescent="0.15">
      <c r="A1540">
        <v>18</v>
      </c>
      <c r="B1540">
        <v>2026</v>
      </c>
      <c r="C1540" s="21">
        <v>46143</v>
      </c>
      <c r="D1540" t="s">
        <v>60</v>
      </c>
      <c r="E1540" t="s">
        <v>61</v>
      </c>
      <c r="F1540" t="s">
        <v>21</v>
      </c>
      <c r="G1540">
        <v>1.6</v>
      </c>
      <c r="H1540" t="s">
        <v>3514</v>
      </c>
      <c r="I1540" t="s">
        <v>366</v>
      </c>
      <c r="J1540" s="1" t="s">
        <v>215</v>
      </c>
      <c r="K1540" t="s">
        <v>181</v>
      </c>
      <c r="L1540" t="s">
        <v>3340</v>
      </c>
      <c r="M1540">
        <v>81</v>
      </c>
      <c r="N1540">
        <v>0.64</v>
      </c>
      <c r="O1540" t="s">
        <v>211</v>
      </c>
      <c r="P1540">
        <v>35</v>
      </c>
      <c r="R1540" t="s">
        <v>3374</v>
      </c>
      <c r="T1540" t="s">
        <v>3337</v>
      </c>
      <c r="U1540">
        <v>35</v>
      </c>
      <c r="V1540" t="s">
        <v>4130</v>
      </c>
    </row>
    <row r="1541" spans="1:22" ht="12.75" customHeight="1" x14ac:dyDescent="0.15">
      <c r="A1541">
        <v>18</v>
      </c>
      <c r="B1541">
        <v>2026</v>
      </c>
      <c r="C1541" s="21">
        <v>46143</v>
      </c>
      <c r="D1541" t="s">
        <v>60</v>
      </c>
      <c r="E1541" t="s">
        <v>61</v>
      </c>
      <c r="F1541" t="s">
        <v>21</v>
      </c>
      <c r="G1541">
        <v>1.6</v>
      </c>
      <c r="H1541" t="s">
        <v>3514</v>
      </c>
      <c r="I1541" t="s">
        <v>366</v>
      </c>
      <c r="J1541" s="1" t="s">
        <v>215</v>
      </c>
      <c r="K1541" t="s">
        <v>181</v>
      </c>
      <c r="L1541" t="s">
        <v>3340</v>
      </c>
      <c r="M1541">
        <v>62</v>
      </c>
      <c r="N1541">
        <v>0.64</v>
      </c>
      <c r="O1541" t="s">
        <v>211</v>
      </c>
      <c r="P1541">
        <v>35</v>
      </c>
      <c r="R1541" t="s">
        <v>3375</v>
      </c>
      <c r="T1541" t="s">
        <v>3337</v>
      </c>
      <c r="U1541">
        <v>35</v>
      </c>
      <c r="V1541" t="s">
        <v>4130</v>
      </c>
    </row>
    <row r="1542" spans="1:22" ht="12.75" customHeight="1" x14ac:dyDescent="0.15">
      <c r="A1542">
        <v>18</v>
      </c>
      <c r="B1542">
        <v>2026</v>
      </c>
      <c r="C1542" s="21">
        <v>46143</v>
      </c>
      <c r="D1542" t="s">
        <v>60</v>
      </c>
      <c r="E1542" t="s">
        <v>61</v>
      </c>
      <c r="F1542" t="s">
        <v>21</v>
      </c>
      <c r="G1542">
        <v>1.6</v>
      </c>
      <c r="H1542" t="s">
        <v>3514</v>
      </c>
      <c r="I1542" t="s">
        <v>366</v>
      </c>
      <c r="J1542" s="1" t="s">
        <v>215</v>
      </c>
      <c r="K1542" t="s">
        <v>181</v>
      </c>
      <c r="L1542" t="s">
        <v>3340</v>
      </c>
      <c r="M1542">
        <v>132</v>
      </c>
      <c r="N1542">
        <v>0.64</v>
      </c>
      <c r="O1542" t="s">
        <v>211</v>
      </c>
      <c r="P1542">
        <v>35</v>
      </c>
      <c r="R1542" t="s">
        <v>3368</v>
      </c>
      <c r="T1542" t="s">
        <v>3337</v>
      </c>
      <c r="U1542">
        <v>35</v>
      </c>
      <c r="V1542" t="s">
        <v>4130</v>
      </c>
    </row>
    <row r="1543" spans="1:22" ht="12.75" customHeight="1" x14ac:dyDescent="0.15">
      <c r="A1543">
        <v>18</v>
      </c>
      <c r="B1543">
        <v>2026</v>
      </c>
      <c r="C1543" s="21">
        <v>46143</v>
      </c>
      <c r="D1543" t="s">
        <v>101</v>
      </c>
      <c r="E1543" t="s">
        <v>102</v>
      </c>
      <c r="F1543" t="s">
        <v>75</v>
      </c>
      <c r="G1543">
        <v>7.6</v>
      </c>
      <c r="H1543" t="s">
        <v>3495</v>
      </c>
      <c r="I1543" t="s">
        <v>29</v>
      </c>
      <c r="J1543" s="1" t="s">
        <v>30</v>
      </c>
      <c r="K1543" t="s">
        <v>181</v>
      </c>
      <c r="L1543" t="s">
        <v>3340</v>
      </c>
      <c r="M1543">
        <v>45</v>
      </c>
      <c r="N1543">
        <v>0.41</v>
      </c>
      <c r="O1543" t="s">
        <v>211</v>
      </c>
      <c r="P1543">
        <v>22.6</v>
      </c>
      <c r="R1543" t="s">
        <v>3377</v>
      </c>
      <c r="S1543" t="s">
        <v>4131</v>
      </c>
      <c r="T1543" t="s">
        <v>3337</v>
      </c>
      <c r="U1543">
        <v>3</v>
      </c>
      <c r="V1543" t="s">
        <v>3543</v>
      </c>
    </row>
    <row r="1544" spans="1:22" ht="12.75" customHeight="1" x14ac:dyDescent="0.15">
      <c r="A1544">
        <v>18</v>
      </c>
      <c r="B1544">
        <v>2026</v>
      </c>
      <c r="C1544" s="21">
        <v>46143</v>
      </c>
      <c r="D1544" t="s">
        <v>101</v>
      </c>
      <c r="E1544" t="s">
        <v>102</v>
      </c>
      <c r="F1544" t="s">
        <v>75</v>
      </c>
      <c r="G1544">
        <v>7.6</v>
      </c>
      <c r="H1544" t="s">
        <v>3495</v>
      </c>
      <c r="I1544" t="s">
        <v>29</v>
      </c>
      <c r="J1544" s="1" t="s">
        <v>30</v>
      </c>
      <c r="K1544" t="s">
        <v>181</v>
      </c>
      <c r="L1544" t="s">
        <v>3340</v>
      </c>
      <c r="M1544">
        <v>81</v>
      </c>
      <c r="N1544">
        <v>0.41</v>
      </c>
      <c r="O1544" t="s">
        <v>211</v>
      </c>
      <c r="P1544">
        <v>22.6</v>
      </c>
      <c r="R1544" t="s">
        <v>3374</v>
      </c>
      <c r="T1544" t="s">
        <v>3337</v>
      </c>
      <c r="U1544">
        <v>3</v>
      </c>
      <c r="V1544" t="s">
        <v>3543</v>
      </c>
    </row>
    <row r="1545" spans="1:22" ht="12.75" customHeight="1" x14ac:dyDescent="0.15">
      <c r="A1545">
        <v>18</v>
      </c>
      <c r="B1545">
        <v>2026</v>
      </c>
      <c r="C1545" s="21">
        <v>46143</v>
      </c>
      <c r="D1545" t="s">
        <v>101</v>
      </c>
      <c r="E1545" t="s">
        <v>102</v>
      </c>
      <c r="F1545" t="s">
        <v>75</v>
      </c>
      <c r="G1545">
        <v>7.6</v>
      </c>
      <c r="H1545" t="s">
        <v>3495</v>
      </c>
      <c r="I1545" t="s">
        <v>29</v>
      </c>
      <c r="J1545" s="1" t="s">
        <v>30</v>
      </c>
      <c r="K1545" t="s">
        <v>181</v>
      </c>
      <c r="L1545" t="s">
        <v>3340</v>
      </c>
      <c r="M1545">
        <v>62</v>
      </c>
      <c r="N1545">
        <v>0.41</v>
      </c>
      <c r="O1545" t="s">
        <v>211</v>
      </c>
      <c r="P1545">
        <v>22.6</v>
      </c>
      <c r="R1545" t="s">
        <v>3375</v>
      </c>
      <c r="T1545" t="s">
        <v>3337</v>
      </c>
      <c r="U1545">
        <v>3</v>
      </c>
      <c r="V1545" t="s">
        <v>3543</v>
      </c>
    </row>
    <row r="1546" spans="1:22" ht="12.75" customHeight="1" x14ac:dyDescent="0.15">
      <c r="A1546">
        <v>18</v>
      </c>
      <c r="B1546">
        <v>2026</v>
      </c>
      <c r="C1546" s="21">
        <v>46143</v>
      </c>
      <c r="D1546" t="s">
        <v>101</v>
      </c>
      <c r="E1546" t="s">
        <v>102</v>
      </c>
      <c r="F1546" t="s">
        <v>75</v>
      </c>
      <c r="G1546">
        <v>7.6</v>
      </c>
      <c r="H1546" t="s">
        <v>3495</v>
      </c>
      <c r="I1546" t="s">
        <v>29</v>
      </c>
      <c r="J1546" s="1" t="s">
        <v>30</v>
      </c>
      <c r="K1546" t="s">
        <v>181</v>
      </c>
      <c r="L1546" t="s">
        <v>3340</v>
      </c>
      <c r="M1546">
        <v>132</v>
      </c>
      <c r="N1546">
        <v>0.41</v>
      </c>
      <c r="O1546" t="s">
        <v>211</v>
      </c>
      <c r="P1546">
        <v>22.6</v>
      </c>
      <c r="R1546" t="s">
        <v>3368</v>
      </c>
      <c r="T1546" t="s">
        <v>3337</v>
      </c>
      <c r="U1546">
        <v>3</v>
      </c>
      <c r="V1546" t="s">
        <v>3543</v>
      </c>
    </row>
    <row r="1547" spans="1:22" ht="12.75" customHeight="1" x14ac:dyDescent="0.15">
      <c r="A1547">
        <v>18</v>
      </c>
      <c r="B1547">
        <v>2026</v>
      </c>
      <c r="C1547" s="21">
        <v>46143</v>
      </c>
      <c r="D1547" t="s">
        <v>101</v>
      </c>
      <c r="E1547" t="s">
        <v>102</v>
      </c>
      <c r="F1547" t="s">
        <v>75</v>
      </c>
      <c r="G1547">
        <v>7.6</v>
      </c>
      <c r="H1547" t="s">
        <v>3495</v>
      </c>
      <c r="I1547" t="s">
        <v>29</v>
      </c>
      <c r="J1547" s="1" t="s">
        <v>30</v>
      </c>
      <c r="K1547" t="s">
        <v>181</v>
      </c>
      <c r="L1547" t="s">
        <v>3333</v>
      </c>
      <c r="M1547">
        <v>2</v>
      </c>
      <c r="N1547">
        <v>0.25</v>
      </c>
      <c r="O1547" t="s">
        <v>3440</v>
      </c>
      <c r="P1547">
        <v>22.62</v>
      </c>
      <c r="Q1547">
        <v>2</v>
      </c>
      <c r="R1547" t="s">
        <v>3424</v>
      </c>
      <c r="T1547" t="s">
        <v>3337</v>
      </c>
      <c r="U1547">
        <v>3</v>
      </c>
      <c r="V1547" t="s">
        <v>4132</v>
      </c>
    </row>
    <row r="1548" spans="1:22" ht="12.75" customHeight="1" x14ac:dyDescent="0.15">
      <c r="A1548">
        <v>18</v>
      </c>
      <c r="B1548">
        <v>2026</v>
      </c>
      <c r="C1548" s="21">
        <v>46143</v>
      </c>
      <c r="D1548" t="s">
        <v>96</v>
      </c>
      <c r="E1548" t="s">
        <v>97</v>
      </c>
      <c r="F1548" t="s">
        <v>21</v>
      </c>
      <c r="G1548">
        <v>4.5</v>
      </c>
      <c r="H1548" t="s">
        <v>3495</v>
      </c>
      <c r="I1548" t="s">
        <v>29</v>
      </c>
      <c r="J1548" s="1" t="s">
        <v>30</v>
      </c>
      <c r="K1548" t="s">
        <v>181</v>
      </c>
      <c r="L1548" t="s">
        <v>23</v>
      </c>
      <c r="M1548">
        <v>198</v>
      </c>
      <c r="N1548">
        <v>1.5</v>
      </c>
      <c r="P1548">
        <v>1950</v>
      </c>
      <c r="R1548" t="s">
        <v>3746</v>
      </c>
      <c r="S1548" t="s">
        <v>4133</v>
      </c>
      <c r="T1548" t="s">
        <v>3337</v>
      </c>
      <c r="U1548">
        <v>0</v>
      </c>
      <c r="V1548" t="s">
        <v>4134</v>
      </c>
    </row>
    <row r="1549" spans="1:22" ht="12.75" customHeight="1" x14ac:dyDescent="0.15">
      <c r="A1549">
        <v>18</v>
      </c>
      <c r="B1549">
        <v>2026</v>
      </c>
      <c r="C1549" s="21">
        <v>46143</v>
      </c>
      <c r="D1549" t="s">
        <v>96</v>
      </c>
      <c r="E1549" t="s">
        <v>97</v>
      </c>
      <c r="F1549" t="s">
        <v>21</v>
      </c>
      <c r="G1549">
        <v>4.5</v>
      </c>
      <c r="H1549" t="s">
        <v>3454</v>
      </c>
      <c r="I1549" t="s">
        <v>212</v>
      </c>
      <c r="J1549" s="1" t="s">
        <v>188</v>
      </c>
      <c r="K1549" t="s">
        <v>181</v>
      </c>
      <c r="L1549" t="s">
        <v>3333</v>
      </c>
      <c r="M1549">
        <v>1</v>
      </c>
      <c r="N1549">
        <v>1.5</v>
      </c>
      <c r="O1549" t="s">
        <v>3358</v>
      </c>
      <c r="P1549">
        <v>71.86</v>
      </c>
      <c r="Q1549">
        <v>8</v>
      </c>
      <c r="R1549" t="s">
        <v>3359</v>
      </c>
      <c r="T1549" t="s">
        <v>3337</v>
      </c>
      <c r="U1549">
        <v>0</v>
      </c>
      <c r="V1549" t="s">
        <v>3817</v>
      </c>
    </row>
    <row r="1550" spans="1:22" ht="12.75" customHeight="1" x14ac:dyDescent="0.15">
      <c r="A1550">
        <v>18</v>
      </c>
      <c r="B1550">
        <v>2026</v>
      </c>
      <c r="C1550" s="21">
        <v>46143</v>
      </c>
      <c r="D1550" t="s">
        <v>101</v>
      </c>
      <c r="E1550" t="s">
        <v>102</v>
      </c>
      <c r="F1550" t="s">
        <v>75</v>
      </c>
      <c r="G1550">
        <v>7.6</v>
      </c>
      <c r="H1550" t="s">
        <v>3454</v>
      </c>
      <c r="I1550" t="s">
        <v>212</v>
      </c>
      <c r="J1550" s="1" t="s">
        <v>188</v>
      </c>
      <c r="K1550" t="s">
        <v>181</v>
      </c>
      <c r="L1550" t="s">
        <v>3333</v>
      </c>
      <c r="M1550">
        <v>6</v>
      </c>
      <c r="N1550">
        <v>1</v>
      </c>
      <c r="O1550" t="s">
        <v>3334</v>
      </c>
      <c r="P1550">
        <v>81.58</v>
      </c>
      <c r="Q1550">
        <v>8</v>
      </c>
      <c r="R1550" t="s">
        <v>3335</v>
      </c>
      <c r="T1550" t="s">
        <v>3337</v>
      </c>
      <c r="U1550">
        <v>3</v>
      </c>
      <c r="V1550" t="s">
        <v>3338</v>
      </c>
    </row>
    <row r="1551" spans="1:22" ht="12.75" customHeight="1" x14ac:dyDescent="0.15">
      <c r="A1551">
        <v>18</v>
      </c>
      <c r="B1551">
        <v>2026</v>
      </c>
      <c r="C1551" s="21">
        <v>46143</v>
      </c>
      <c r="D1551" t="s">
        <v>91</v>
      </c>
      <c r="E1551" t="s">
        <v>92</v>
      </c>
      <c r="F1551" t="s">
        <v>21</v>
      </c>
      <c r="G1551">
        <v>1.3</v>
      </c>
      <c r="H1551" t="s">
        <v>4135</v>
      </c>
      <c r="I1551" t="s">
        <v>4136</v>
      </c>
      <c r="J1551" s="1" t="s">
        <v>3533</v>
      </c>
      <c r="K1551" t="s">
        <v>181</v>
      </c>
      <c r="L1551" t="s">
        <v>3333</v>
      </c>
      <c r="M1551">
        <v>3</v>
      </c>
      <c r="N1551">
        <v>0.13</v>
      </c>
      <c r="O1551" t="s">
        <v>3334</v>
      </c>
      <c r="P1551">
        <v>10.199999999999999</v>
      </c>
      <c r="Q1551">
        <v>1</v>
      </c>
      <c r="R1551" t="s">
        <v>3478</v>
      </c>
      <c r="T1551" t="s">
        <v>3402</v>
      </c>
      <c r="U1551">
        <v>13</v>
      </c>
      <c r="V1551" t="s">
        <v>3794</v>
      </c>
    </row>
    <row r="1552" spans="1:22" ht="12.75" customHeight="1" x14ac:dyDescent="0.15">
      <c r="A1552">
        <v>18</v>
      </c>
      <c r="B1552">
        <v>2026</v>
      </c>
      <c r="C1552" s="21">
        <v>46143</v>
      </c>
      <c r="D1552" t="s">
        <v>91</v>
      </c>
      <c r="E1552" t="s">
        <v>92</v>
      </c>
      <c r="F1552" t="s">
        <v>21</v>
      </c>
      <c r="G1552">
        <v>1.3</v>
      </c>
      <c r="H1552" t="s">
        <v>3770</v>
      </c>
      <c r="I1552" t="s">
        <v>3593</v>
      </c>
      <c r="J1552" s="1" t="s">
        <v>3533</v>
      </c>
      <c r="K1552" t="s">
        <v>181</v>
      </c>
      <c r="L1552" t="s">
        <v>3333</v>
      </c>
      <c r="M1552">
        <v>3</v>
      </c>
      <c r="N1552">
        <v>0.63</v>
      </c>
      <c r="O1552" t="s">
        <v>3334</v>
      </c>
      <c r="P1552">
        <v>50.99</v>
      </c>
      <c r="Q1552">
        <v>5</v>
      </c>
      <c r="R1552" t="s">
        <v>3478</v>
      </c>
      <c r="T1552" t="s">
        <v>3402</v>
      </c>
      <c r="U1552">
        <v>13</v>
      </c>
      <c r="V1552" t="s">
        <v>4137</v>
      </c>
    </row>
    <row r="1553" spans="1:22" ht="12.75" customHeight="1" x14ac:dyDescent="0.15">
      <c r="A1553">
        <v>18</v>
      </c>
      <c r="B1553">
        <v>2026</v>
      </c>
      <c r="C1553" s="21">
        <v>46143</v>
      </c>
      <c r="D1553" t="s">
        <v>91</v>
      </c>
      <c r="E1553" t="s">
        <v>92</v>
      </c>
      <c r="F1553" t="s">
        <v>21</v>
      </c>
      <c r="G1553">
        <v>1.3</v>
      </c>
      <c r="H1553" t="s">
        <v>4135</v>
      </c>
      <c r="I1553" t="s">
        <v>4136</v>
      </c>
      <c r="J1553" s="1" t="s">
        <v>3533</v>
      </c>
      <c r="K1553" t="s">
        <v>181</v>
      </c>
      <c r="L1553" t="s">
        <v>3333</v>
      </c>
      <c r="M1553">
        <v>86</v>
      </c>
      <c r="N1553">
        <v>0.13</v>
      </c>
      <c r="O1553" t="s">
        <v>3334</v>
      </c>
      <c r="P1553">
        <v>10.199999999999999</v>
      </c>
      <c r="Q1553">
        <v>1</v>
      </c>
      <c r="R1553" t="s">
        <v>3386</v>
      </c>
      <c r="T1553" t="s">
        <v>3402</v>
      </c>
      <c r="U1553">
        <v>13</v>
      </c>
      <c r="V1553" t="s">
        <v>3794</v>
      </c>
    </row>
    <row r="1554" spans="1:22" ht="12.75" customHeight="1" x14ac:dyDescent="0.15">
      <c r="A1554">
        <v>18</v>
      </c>
      <c r="B1554">
        <v>2026</v>
      </c>
      <c r="C1554" s="21">
        <v>46143</v>
      </c>
      <c r="D1554" t="s">
        <v>101</v>
      </c>
      <c r="E1554" t="s">
        <v>102</v>
      </c>
      <c r="F1554" t="s">
        <v>75</v>
      </c>
      <c r="G1554">
        <v>7.6</v>
      </c>
      <c r="H1554" t="s">
        <v>3505</v>
      </c>
      <c r="I1554" t="s">
        <v>29</v>
      </c>
      <c r="J1554" s="1" t="s">
        <v>30</v>
      </c>
      <c r="K1554" t="s">
        <v>181</v>
      </c>
      <c r="L1554" t="s">
        <v>3340</v>
      </c>
      <c r="M1554">
        <v>67</v>
      </c>
      <c r="N1554">
        <v>0.41</v>
      </c>
      <c r="O1554" t="s">
        <v>211</v>
      </c>
      <c r="P1554">
        <v>22.6</v>
      </c>
      <c r="R1554" t="s">
        <v>3404</v>
      </c>
      <c r="T1554" t="s">
        <v>3402</v>
      </c>
      <c r="U1554">
        <v>3</v>
      </c>
      <c r="V1554" t="s">
        <v>3543</v>
      </c>
    </row>
    <row r="1555" spans="1:22" ht="12.75" customHeight="1" x14ac:dyDescent="0.15">
      <c r="A1555">
        <v>18</v>
      </c>
      <c r="B1555">
        <v>2026</v>
      </c>
      <c r="C1555" s="21">
        <v>46143</v>
      </c>
      <c r="D1555" t="s">
        <v>101</v>
      </c>
      <c r="E1555" t="s">
        <v>102</v>
      </c>
      <c r="F1555" t="s">
        <v>75</v>
      </c>
      <c r="G1555">
        <v>7.6</v>
      </c>
      <c r="H1555" t="s">
        <v>3505</v>
      </c>
      <c r="I1555" t="s">
        <v>29</v>
      </c>
      <c r="J1555" s="1" t="s">
        <v>30</v>
      </c>
      <c r="K1555" t="s">
        <v>181</v>
      </c>
      <c r="L1555" t="s">
        <v>3340</v>
      </c>
      <c r="M1555">
        <v>19</v>
      </c>
      <c r="N1555">
        <v>0.41</v>
      </c>
      <c r="O1555" t="s">
        <v>211</v>
      </c>
      <c r="P1555">
        <v>22.6</v>
      </c>
      <c r="R1555" t="s">
        <v>3403</v>
      </c>
      <c r="T1555" t="s">
        <v>3402</v>
      </c>
      <c r="U1555">
        <v>3</v>
      </c>
      <c r="V1555" t="s">
        <v>3543</v>
      </c>
    </row>
    <row r="1556" spans="1:22" ht="12.75" customHeight="1" x14ac:dyDescent="0.15">
      <c r="A1556">
        <v>18</v>
      </c>
      <c r="B1556">
        <v>2026</v>
      </c>
      <c r="C1556" s="21">
        <v>46143</v>
      </c>
      <c r="D1556" t="s">
        <v>101</v>
      </c>
      <c r="E1556" t="s">
        <v>102</v>
      </c>
      <c r="F1556" t="s">
        <v>75</v>
      </c>
      <c r="G1556">
        <v>7.6</v>
      </c>
      <c r="H1556" t="s">
        <v>3505</v>
      </c>
      <c r="I1556" t="s">
        <v>29</v>
      </c>
      <c r="J1556" s="1" t="s">
        <v>30</v>
      </c>
      <c r="K1556" t="s">
        <v>181</v>
      </c>
      <c r="L1556" t="s">
        <v>3340</v>
      </c>
      <c r="M1556">
        <v>91</v>
      </c>
      <c r="N1556">
        <v>0.41</v>
      </c>
      <c r="O1556" t="s">
        <v>211</v>
      </c>
      <c r="P1556">
        <v>22.6</v>
      </c>
      <c r="R1556" t="s">
        <v>3412</v>
      </c>
      <c r="T1556" t="s">
        <v>3402</v>
      </c>
      <c r="U1556">
        <v>3</v>
      </c>
      <c r="V1556" t="s">
        <v>3543</v>
      </c>
    </row>
    <row r="1557" spans="1:22" ht="12.75" customHeight="1" x14ac:dyDescent="0.15">
      <c r="A1557">
        <v>18</v>
      </c>
      <c r="B1557">
        <v>2026</v>
      </c>
      <c r="C1557" s="21">
        <v>46143</v>
      </c>
      <c r="D1557" t="s">
        <v>101</v>
      </c>
      <c r="E1557" t="s">
        <v>102</v>
      </c>
      <c r="F1557" t="s">
        <v>75</v>
      </c>
      <c r="G1557">
        <v>7.6</v>
      </c>
      <c r="H1557" t="s">
        <v>3505</v>
      </c>
      <c r="I1557" t="s">
        <v>29</v>
      </c>
      <c r="J1557" s="1" t="s">
        <v>30</v>
      </c>
      <c r="K1557" t="s">
        <v>181</v>
      </c>
      <c r="L1557" t="s">
        <v>3340</v>
      </c>
      <c r="M1557">
        <v>78</v>
      </c>
      <c r="N1557">
        <v>0.41</v>
      </c>
      <c r="O1557" t="s">
        <v>211</v>
      </c>
      <c r="P1557">
        <v>22.6</v>
      </c>
      <c r="R1557" t="s">
        <v>3341</v>
      </c>
      <c r="T1557" t="s">
        <v>3402</v>
      </c>
      <c r="U1557">
        <v>3</v>
      </c>
      <c r="V1557" t="s">
        <v>3543</v>
      </c>
    </row>
    <row r="1558" spans="1:22" ht="12.75" customHeight="1" x14ac:dyDescent="0.15">
      <c r="A1558">
        <v>18</v>
      </c>
      <c r="B1558">
        <v>2026</v>
      </c>
      <c r="C1558" s="21">
        <v>46144</v>
      </c>
      <c r="D1558" t="s">
        <v>137</v>
      </c>
      <c r="E1558" t="s">
        <v>138</v>
      </c>
      <c r="F1558" t="s">
        <v>75</v>
      </c>
      <c r="G1558">
        <v>1</v>
      </c>
      <c r="H1558" t="s">
        <v>3654</v>
      </c>
      <c r="I1558" t="s">
        <v>3655</v>
      </c>
      <c r="J1558" s="1" t="s">
        <v>3389</v>
      </c>
      <c r="K1558" t="s">
        <v>181</v>
      </c>
      <c r="L1558" t="s">
        <v>3340</v>
      </c>
      <c r="M1558">
        <v>45</v>
      </c>
      <c r="N1558">
        <v>0.37</v>
      </c>
      <c r="O1558" t="s">
        <v>211</v>
      </c>
      <c r="P1558">
        <v>20.6</v>
      </c>
      <c r="R1558" t="s">
        <v>3377</v>
      </c>
      <c r="T1558" t="s">
        <v>3337</v>
      </c>
      <c r="U1558">
        <v>-76</v>
      </c>
      <c r="V1558" t="s">
        <v>4138</v>
      </c>
    </row>
    <row r="1559" spans="1:22" ht="12.75" customHeight="1" x14ac:dyDescent="0.15">
      <c r="A1559">
        <v>18</v>
      </c>
      <c r="B1559">
        <v>2026</v>
      </c>
      <c r="C1559" s="21">
        <v>46144</v>
      </c>
      <c r="D1559" t="s">
        <v>137</v>
      </c>
      <c r="E1559" t="s">
        <v>138</v>
      </c>
      <c r="F1559" t="s">
        <v>75</v>
      </c>
      <c r="G1559">
        <v>1</v>
      </c>
      <c r="H1559" t="s">
        <v>3654</v>
      </c>
      <c r="I1559" t="s">
        <v>3655</v>
      </c>
      <c r="J1559" s="1" t="s">
        <v>3389</v>
      </c>
      <c r="K1559" t="s">
        <v>181</v>
      </c>
      <c r="L1559" t="s">
        <v>3340</v>
      </c>
      <c r="M1559">
        <v>81</v>
      </c>
      <c r="N1559">
        <v>0.37</v>
      </c>
      <c r="O1559" t="s">
        <v>211</v>
      </c>
      <c r="P1559">
        <v>20.6</v>
      </c>
      <c r="R1559" t="s">
        <v>3374</v>
      </c>
      <c r="T1559" t="s">
        <v>3337</v>
      </c>
      <c r="U1559">
        <v>-76</v>
      </c>
      <c r="V1559" t="s">
        <v>4138</v>
      </c>
    </row>
    <row r="1560" spans="1:22" ht="12.75" customHeight="1" x14ac:dyDescent="0.15">
      <c r="A1560">
        <v>18</v>
      </c>
      <c r="B1560">
        <v>2026</v>
      </c>
      <c r="C1560" s="21">
        <v>46144</v>
      </c>
      <c r="D1560" t="s">
        <v>137</v>
      </c>
      <c r="E1560" t="s">
        <v>138</v>
      </c>
      <c r="F1560" t="s">
        <v>75</v>
      </c>
      <c r="G1560">
        <v>1</v>
      </c>
      <c r="H1560" t="s">
        <v>3654</v>
      </c>
      <c r="I1560" t="s">
        <v>3655</v>
      </c>
      <c r="J1560" s="1" t="s">
        <v>3389</v>
      </c>
      <c r="K1560" t="s">
        <v>181</v>
      </c>
      <c r="L1560" t="s">
        <v>3340</v>
      </c>
      <c r="M1560">
        <v>62</v>
      </c>
      <c r="N1560">
        <v>0.37</v>
      </c>
      <c r="O1560" t="s">
        <v>211</v>
      </c>
      <c r="P1560">
        <v>20.6</v>
      </c>
      <c r="R1560" t="s">
        <v>3375</v>
      </c>
      <c r="T1560" t="s">
        <v>3337</v>
      </c>
      <c r="U1560">
        <v>-76</v>
      </c>
      <c r="V1560" t="s">
        <v>4138</v>
      </c>
    </row>
    <row r="1561" spans="1:22" ht="12.75" customHeight="1" x14ac:dyDescent="0.15">
      <c r="A1561">
        <v>18</v>
      </c>
      <c r="B1561">
        <v>2026</v>
      </c>
      <c r="C1561" s="21">
        <v>46144</v>
      </c>
      <c r="D1561" t="s">
        <v>137</v>
      </c>
      <c r="E1561" t="s">
        <v>138</v>
      </c>
      <c r="F1561" t="s">
        <v>75</v>
      </c>
      <c r="G1561">
        <v>1</v>
      </c>
      <c r="H1561" t="s">
        <v>3654</v>
      </c>
      <c r="I1561" t="s">
        <v>3655</v>
      </c>
      <c r="J1561" s="1" t="s">
        <v>3389</v>
      </c>
      <c r="K1561" t="s">
        <v>181</v>
      </c>
      <c r="L1561" t="s">
        <v>3340</v>
      </c>
      <c r="M1561">
        <v>58</v>
      </c>
      <c r="N1561">
        <v>0.37</v>
      </c>
      <c r="O1561" t="s">
        <v>211</v>
      </c>
      <c r="P1561">
        <v>20.6</v>
      </c>
      <c r="R1561" t="s">
        <v>3343</v>
      </c>
      <c r="T1561" t="s">
        <v>3337</v>
      </c>
      <c r="U1561">
        <v>-76</v>
      </c>
      <c r="V1561" t="s">
        <v>4138</v>
      </c>
    </row>
    <row r="1562" spans="1:22" ht="12.75" customHeight="1" x14ac:dyDescent="0.15">
      <c r="A1562">
        <v>18</v>
      </c>
      <c r="B1562">
        <v>2026</v>
      </c>
      <c r="C1562" s="21">
        <v>46144</v>
      </c>
      <c r="D1562" t="s">
        <v>101</v>
      </c>
      <c r="E1562" t="s">
        <v>102</v>
      </c>
      <c r="F1562" t="s">
        <v>75</v>
      </c>
      <c r="G1562">
        <v>7.6</v>
      </c>
      <c r="H1562" t="s">
        <v>3829</v>
      </c>
      <c r="I1562" t="s">
        <v>190</v>
      </c>
      <c r="J1562" s="1" t="s">
        <v>30</v>
      </c>
      <c r="K1562" t="s">
        <v>181</v>
      </c>
      <c r="L1562" t="s">
        <v>3340</v>
      </c>
      <c r="M1562">
        <v>81</v>
      </c>
      <c r="N1562">
        <v>1.64</v>
      </c>
      <c r="O1562" t="s">
        <v>211</v>
      </c>
      <c r="P1562">
        <v>90</v>
      </c>
      <c r="R1562" t="s">
        <v>3374</v>
      </c>
      <c r="S1562" t="s">
        <v>4139</v>
      </c>
      <c r="T1562" t="s">
        <v>3337</v>
      </c>
      <c r="U1562">
        <v>4</v>
      </c>
      <c r="V1562" t="s">
        <v>3396</v>
      </c>
    </row>
    <row r="1563" spans="1:22" ht="12.75" customHeight="1" x14ac:dyDescent="0.15">
      <c r="A1563">
        <v>18</v>
      </c>
      <c r="B1563">
        <v>2026</v>
      </c>
      <c r="C1563" s="21">
        <v>46144</v>
      </c>
      <c r="D1563" t="s">
        <v>101</v>
      </c>
      <c r="E1563" t="s">
        <v>102</v>
      </c>
      <c r="F1563" t="s">
        <v>75</v>
      </c>
      <c r="G1563">
        <v>7.6</v>
      </c>
      <c r="H1563" t="s">
        <v>3829</v>
      </c>
      <c r="I1563" t="s">
        <v>190</v>
      </c>
      <c r="J1563" s="1" t="s">
        <v>30</v>
      </c>
      <c r="K1563" t="s">
        <v>181</v>
      </c>
      <c r="L1563" t="s">
        <v>3340</v>
      </c>
      <c r="M1563">
        <v>62</v>
      </c>
      <c r="N1563">
        <v>1.64</v>
      </c>
      <c r="O1563" t="s">
        <v>211</v>
      </c>
      <c r="P1563">
        <v>90</v>
      </c>
      <c r="R1563" t="s">
        <v>3375</v>
      </c>
      <c r="T1563" t="s">
        <v>3337</v>
      </c>
      <c r="U1563">
        <v>4</v>
      </c>
      <c r="V1563" t="s">
        <v>3396</v>
      </c>
    </row>
    <row r="1564" spans="1:22" ht="12.75" customHeight="1" x14ac:dyDescent="0.15">
      <c r="A1564">
        <v>18</v>
      </c>
      <c r="B1564">
        <v>2026</v>
      </c>
      <c r="C1564" s="21">
        <v>46144</v>
      </c>
      <c r="D1564" t="s">
        <v>47</v>
      </c>
      <c r="E1564" t="s">
        <v>48</v>
      </c>
      <c r="F1564" t="s">
        <v>21</v>
      </c>
      <c r="G1564">
        <v>2</v>
      </c>
      <c r="H1564" t="s">
        <v>3400</v>
      </c>
      <c r="I1564" t="s">
        <v>353</v>
      </c>
      <c r="J1564" s="1" t="s">
        <v>253</v>
      </c>
      <c r="K1564" t="s">
        <v>181</v>
      </c>
      <c r="L1564" t="s">
        <v>3340</v>
      </c>
      <c r="M1564">
        <v>2</v>
      </c>
      <c r="N1564">
        <v>0.91</v>
      </c>
      <c r="O1564" t="s">
        <v>211</v>
      </c>
      <c r="P1564">
        <v>50</v>
      </c>
      <c r="R1564" t="s">
        <v>3424</v>
      </c>
      <c r="T1564" t="s">
        <v>3337</v>
      </c>
      <c r="U1564">
        <v>72</v>
      </c>
      <c r="V1564" t="s">
        <v>3608</v>
      </c>
    </row>
    <row r="1565" spans="1:22" ht="12.75" customHeight="1" x14ac:dyDescent="0.15">
      <c r="A1565">
        <v>18</v>
      </c>
      <c r="B1565">
        <v>2026</v>
      </c>
      <c r="C1565" s="21">
        <v>46144</v>
      </c>
      <c r="D1565" t="s">
        <v>101</v>
      </c>
      <c r="E1565" t="s">
        <v>102</v>
      </c>
      <c r="F1565" t="s">
        <v>75</v>
      </c>
      <c r="G1565">
        <v>7.6</v>
      </c>
      <c r="H1565" t="s">
        <v>3829</v>
      </c>
      <c r="I1565" t="s">
        <v>190</v>
      </c>
      <c r="J1565" s="1" t="s">
        <v>30</v>
      </c>
      <c r="K1565" t="s">
        <v>181</v>
      </c>
      <c r="L1565" t="s">
        <v>3340</v>
      </c>
      <c r="M1565">
        <v>2</v>
      </c>
      <c r="N1565">
        <v>0.91</v>
      </c>
      <c r="O1565" t="s">
        <v>211</v>
      </c>
      <c r="P1565">
        <v>50</v>
      </c>
      <c r="R1565" t="s">
        <v>3424</v>
      </c>
      <c r="T1565" t="s">
        <v>3337</v>
      </c>
      <c r="U1565">
        <v>4</v>
      </c>
      <c r="V1565" t="s">
        <v>3957</v>
      </c>
    </row>
    <row r="1566" spans="1:22" ht="12.75" customHeight="1" x14ac:dyDescent="0.15">
      <c r="A1566">
        <v>18</v>
      </c>
      <c r="B1566">
        <v>2026</v>
      </c>
      <c r="C1566" s="21">
        <v>46144</v>
      </c>
      <c r="D1566" t="s">
        <v>101</v>
      </c>
      <c r="E1566" t="s">
        <v>102</v>
      </c>
      <c r="F1566" t="s">
        <v>75</v>
      </c>
      <c r="G1566">
        <v>7.6</v>
      </c>
      <c r="H1566" t="s">
        <v>3453</v>
      </c>
      <c r="I1566" t="s">
        <v>187</v>
      </c>
      <c r="J1566" s="1" t="s">
        <v>188</v>
      </c>
      <c r="K1566" t="s">
        <v>181</v>
      </c>
      <c r="L1566" t="s">
        <v>3340</v>
      </c>
      <c r="M1566">
        <v>1</v>
      </c>
      <c r="N1566">
        <v>0.91</v>
      </c>
      <c r="O1566" t="s">
        <v>211</v>
      </c>
      <c r="P1566">
        <v>50</v>
      </c>
      <c r="R1566" t="s">
        <v>3359</v>
      </c>
      <c r="T1566" t="s">
        <v>3337</v>
      </c>
      <c r="U1566">
        <v>4</v>
      </c>
      <c r="V1566" t="s">
        <v>3957</v>
      </c>
    </row>
    <row r="1567" spans="1:22" ht="12.75" customHeight="1" x14ac:dyDescent="0.15">
      <c r="A1567">
        <v>18</v>
      </c>
      <c r="B1567">
        <v>2026</v>
      </c>
      <c r="C1567" s="21">
        <v>46144</v>
      </c>
      <c r="D1567" t="s">
        <v>101</v>
      </c>
      <c r="E1567" t="s">
        <v>102</v>
      </c>
      <c r="F1567" t="s">
        <v>75</v>
      </c>
      <c r="G1567">
        <v>7.6</v>
      </c>
      <c r="H1567" t="s">
        <v>3829</v>
      </c>
      <c r="I1567" t="s">
        <v>190</v>
      </c>
      <c r="J1567" s="1" t="s">
        <v>30</v>
      </c>
      <c r="K1567" t="s">
        <v>181</v>
      </c>
      <c r="L1567" t="s">
        <v>3340</v>
      </c>
      <c r="M1567">
        <v>1</v>
      </c>
      <c r="N1567">
        <v>0.91</v>
      </c>
      <c r="O1567" t="s">
        <v>211</v>
      </c>
      <c r="P1567">
        <v>50</v>
      </c>
      <c r="R1567" t="s">
        <v>3359</v>
      </c>
      <c r="T1567" t="s">
        <v>3337</v>
      </c>
      <c r="U1567">
        <v>4</v>
      </c>
      <c r="V1567" t="s">
        <v>3957</v>
      </c>
    </row>
    <row r="1568" spans="1:22" ht="12.75" customHeight="1" x14ac:dyDescent="0.15">
      <c r="A1568">
        <v>18</v>
      </c>
      <c r="B1568">
        <v>2026</v>
      </c>
      <c r="C1568" s="21">
        <v>46144</v>
      </c>
      <c r="D1568" t="s">
        <v>101</v>
      </c>
      <c r="E1568" t="s">
        <v>102</v>
      </c>
      <c r="F1568" t="s">
        <v>75</v>
      </c>
      <c r="G1568">
        <v>7.6</v>
      </c>
      <c r="H1568" t="s">
        <v>3454</v>
      </c>
      <c r="I1568" t="s">
        <v>212</v>
      </c>
      <c r="J1568" s="1" t="s">
        <v>188</v>
      </c>
      <c r="K1568" t="s">
        <v>181</v>
      </c>
      <c r="L1568" t="s">
        <v>3340</v>
      </c>
      <c r="M1568">
        <v>6</v>
      </c>
      <c r="N1568">
        <v>1.45</v>
      </c>
      <c r="O1568" t="s">
        <v>211</v>
      </c>
      <c r="P1568">
        <v>80</v>
      </c>
      <c r="R1568" t="s">
        <v>3335</v>
      </c>
      <c r="T1568" t="s">
        <v>3337</v>
      </c>
      <c r="U1568">
        <v>4</v>
      </c>
      <c r="V1568" t="s">
        <v>3989</v>
      </c>
    </row>
    <row r="1569" spans="1:22" ht="12.75" customHeight="1" x14ac:dyDescent="0.15">
      <c r="A1569">
        <v>18</v>
      </c>
      <c r="B1569">
        <v>2026</v>
      </c>
      <c r="C1569" s="21">
        <v>46144</v>
      </c>
      <c r="D1569" t="s">
        <v>101</v>
      </c>
      <c r="E1569" t="s">
        <v>102</v>
      </c>
      <c r="F1569" t="s">
        <v>75</v>
      </c>
      <c r="G1569">
        <v>7.6</v>
      </c>
      <c r="H1569" t="s">
        <v>3626</v>
      </c>
      <c r="I1569" t="s">
        <v>331</v>
      </c>
      <c r="J1569" s="1" t="s">
        <v>30</v>
      </c>
      <c r="K1569" t="s">
        <v>181</v>
      </c>
      <c r="L1569" t="s">
        <v>3340</v>
      </c>
      <c r="M1569">
        <v>72</v>
      </c>
      <c r="N1569">
        <v>0.91</v>
      </c>
      <c r="O1569" t="s">
        <v>211</v>
      </c>
      <c r="P1569">
        <v>50</v>
      </c>
      <c r="R1569" t="s">
        <v>3488</v>
      </c>
      <c r="T1569" t="s">
        <v>3337</v>
      </c>
      <c r="U1569">
        <v>4</v>
      </c>
      <c r="V1569" t="s">
        <v>3957</v>
      </c>
    </row>
    <row r="1570" spans="1:22" ht="12.75" customHeight="1" x14ac:dyDescent="0.15">
      <c r="A1570">
        <v>18</v>
      </c>
      <c r="B1570">
        <v>2026</v>
      </c>
      <c r="C1570" s="21">
        <v>46144</v>
      </c>
      <c r="D1570" t="s">
        <v>101</v>
      </c>
      <c r="E1570" t="s">
        <v>102</v>
      </c>
      <c r="F1570" t="s">
        <v>75</v>
      </c>
      <c r="G1570">
        <v>7.6</v>
      </c>
      <c r="H1570" t="s">
        <v>3829</v>
      </c>
      <c r="I1570" t="s">
        <v>190</v>
      </c>
      <c r="J1570" s="1" t="s">
        <v>30</v>
      </c>
      <c r="K1570" t="s">
        <v>181</v>
      </c>
      <c r="L1570" t="s">
        <v>3340</v>
      </c>
      <c r="M1570">
        <v>72</v>
      </c>
      <c r="N1570">
        <v>0.91</v>
      </c>
      <c r="O1570" t="s">
        <v>211</v>
      </c>
      <c r="P1570">
        <v>50</v>
      </c>
      <c r="R1570" t="s">
        <v>3488</v>
      </c>
      <c r="T1570" t="s">
        <v>3337</v>
      </c>
      <c r="U1570">
        <v>4</v>
      </c>
      <c r="V1570" t="s">
        <v>3957</v>
      </c>
    </row>
    <row r="1571" spans="1:22" ht="12.75" customHeight="1" x14ac:dyDescent="0.15">
      <c r="A1571">
        <v>18</v>
      </c>
      <c r="B1571">
        <v>2026</v>
      </c>
      <c r="C1571" s="21">
        <v>46144</v>
      </c>
      <c r="D1571" t="s">
        <v>68</v>
      </c>
      <c r="E1571" t="s">
        <v>69</v>
      </c>
      <c r="F1571" t="s">
        <v>21</v>
      </c>
      <c r="G1571">
        <v>1</v>
      </c>
      <c r="H1571" t="s">
        <v>4140</v>
      </c>
      <c r="I1571" t="s">
        <v>349</v>
      </c>
      <c r="J1571" s="1" t="s">
        <v>3389</v>
      </c>
      <c r="K1571" t="s">
        <v>181</v>
      </c>
      <c r="L1571" t="s">
        <v>3333</v>
      </c>
      <c r="M1571">
        <v>11</v>
      </c>
      <c r="N1571">
        <v>0.18</v>
      </c>
      <c r="O1571" t="s">
        <v>213</v>
      </c>
      <c r="P1571">
        <v>16</v>
      </c>
      <c r="Q1571">
        <v>1.5</v>
      </c>
      <c r="R1571" t="s">
        <v>3564</v>
      </c>
      <c r="T1571" t="s">
        <v>3402</v>
      </c>
      <c r="U1571">
        <v>30</v>
      </c>
      <c r="V1571" t="s">
        <v>4141</v>
      </c>
    </row>
    <row r="1572" spans="1:22" ht="12.75" customHeight="1" x14ac:dyDescent="0.15">
      <c r="A1572">
        <v>18</v>
      </c>
      <c r="B1572">
        <v>2026</v>
      </c>
      <c r="C1572" s="21">
        <v>46144</v>
      </c>
      <c r="D1572" t="s">
        <v>68</v>
      </c>
      <c r="E1572" t="s">
        <v>69</v>
      </c>
      <c r="F1572" t="s">
        <v>21</v>
      </c>
      <c r="G1572">
        <v>1</v>
      </c>
      <c r="H1572" t="s">
        <v>4142</v>
      </c>
      <c r="I1572" t="s">
        <v>349</v>
      </c>
      <c r="J1572" s="1" t="s">
        <v>3389</v>
      </c>
      <c r="K1572" t="s">
        <v>2666</v>
      </c>
      <c r="L1572" t="s">
        <v>3587</v>
      </c>
      <c r="N1572">
        <v>0.56999999999999995</v>
      </c>
      <c r="O1572" t="s">
        <v>3838</v>
      </c>
      <c r="P1572">
        <v>12.19</v>
      </c>
      <c r="Q1572">
        <v>1.5</v>
      </c>
      <c r="T1572" t="s">
        <v>3402</v>
      </c>
      <c r="U1572">
        <v>30</v>
      </c>
      <c r="V1572" t="s">
        <v>4030</v>
      </c>
    </row>
    <row r="1573" spans="1:22" ht="12.75" customHeight="1" x14ac:dyDescent="0.15">
      <c r="A1573">
        <v>18</v>
      </c>
      <c r="B1573">
        <v>2026</v>
      </c>
      <c r="C1573" s="21">
        <v>46145</v>
      </c>
      <c r="D1573" t="s">
        <v>101</v>
      </c>
      <c r="E1573" t="s">
        <v>102</v>
      </c>
      <c r="F1573" t="s">
        <v>75</v>
      </c>
      <c r="G1573">
        <v>7.6</v>
      </c>
      <c r="H1573" t="s">
        <v>3495</v>
      </c>
      <c r="I1573" t="s">
        <v>29</v>
      </c>
      <c r="J1573" s="1" t="s">
        <v>30</v>
      </c>
      <c r="K1573" t="s">
        <v>181</v>
      </c>
      <c r="L1573" t="s">
        <v>23</v>
      </c>
      <c r="M1573">
        <v>120</v>
      </c>
      <c r="P1573">
        <v>360</v>
      </c>
      <c r="R1573" t="s">
        <v>3415</v>
      </c>
      <c r="T1573" t="s">
        <v>3337</v>
      </c>
      <c r="U1573">
        <v>5</v>
      </c>
      <c r="V1573" t="s">
        <v>3992</v>
      </c>
    </row>
    <row r="1574" spans="1:22" ht="12.75" customHeight="1" x14ac:dyDescent="0.15">
      <c r="A1574">
        <v>18</v>
      </c>
      <c r="B1574">
        <v>2026</v>
      </c>
      <c r="C1574" s="21">
        <v>46145</v>
      </c>
      <c r="D1574" t="s">
        <v>101</v>
      </c>
      <c r="E1574" t="s">
        <v>102</v>
      </c>
      <c r="F1574" t="s">
        <v>75</v>
      </c>
      <c r="G1574">
        <v>7.6</v>
      </c>
      <c r="H1574" t="s">
        <v>3495</v>
      </c>
      <c r="I1574" t="s">
        <v>29</v>
      </c>
      <c r="J1574" s="1" t="s">
        <v>30</v>
      </c>
      <c r="K1574" t="s">
        <v>181</v>
      </c>
      <c r="L1574" t="s">
        <v>3340</v>
      </c>
      <c r="M1574">
        <v>81</v>
      </c>
      <c r="N1574">
        <v>2.74</v>
      </c>
      <c r="O1574" t="s">
        <v>211</v>
      </c>
      <c r="P1574">
        <v>150.54</v>
      </c>
      <c r="R1574" t="s">
        <v>3374</v>
      </c>
      <c r="S1574" t="s">
        <v>4143</v>
      </c>
      <c r="T1574" t="s">
        <v>3337</v>
      </c>
      <c r="U1574">
        <v>5</v>
      </c>
      <c r="V1574" t="s">
        <v>4144</v>
      </c>
    </row>
    <row r="1575" spans="1:22" ht="12.75" customHeight="1" x14ac:dyDescent="0.15">
      <c r="A1575">
        <v>18</v>
      </c>
      <c r="B1575">
        <v>2026</v>
      </c>
      <c r="C1575" s="21">
        <v>46145</v>
      </c>
      <c r="D1575" t="s">
        <v>101</v>
      </c>
      <c r="E1575" t="s">
        <v>102</v>
      </c>
      <c r="F1575" t="s">
        <v>75</v>
      </c>
      <c r="G1575">
        <v>7.6</v>
      </c>
      <c r="H1575" t="s">
        <v>3495</v>
      </c>
      <c r="I1575" t="s">
        <v>29</v>
      </c>
      <c r="J1575" s="1" t="s">
        <v>30</v>
      </c>
      <c r="K1575" t="s">
        <v>181</v>
      </c>
      <c r="L1575" t="s">
        <v>3340</v>
      </c>
      <c r="M1575">
        <v>2</v>
      </c>
      <c r="N1575">
        <v>2.74</v>
      </c>
      <c r="O1575" t="s">
        <v>211</v>
      </c>
      <c r="P1575">
        <v>150.54</v>
      </c>
      <c r="R1575" t="s">
        <v>3424</v>
      </c>
      <c r="T1575" t="s">
        <v>3337</v>
      </c>
      <c r="U1575">
        <v>5</v>
      </c>
      <c r="V1575" t="s">
        <v>4144</v>
      </c>
    </row>
    <row r="1576" spans="1:22" ht="12.75" customHeight="1" x14ac:dyDescent="0.15">
      <c r="A1576">
        <v>18</v>
      </c>
      <c r="B1576">
        <v>2026</v>
      </c>
      <c r="C1576" s="21">
        <v>46145</v>
      </c>
      <c r="D1576" t="s">
        <v>101</v>
      </c>
      <c r="E1576" t="s">
        <v>102</v>
      </c>
      <c r="F1576" t="s">
        <v>75</v>
      </c>
      <c r="G1576">
        <v>7.6</v>
      </c>
      <c r="H1576" t="s">
        <v>3454</v>
      </c>
      <c r="I1576" t="s">
        <v>212</v>
      </c>
      <c r="J1576" s="1" t="s">
        <v>188</v>
      </c>
      <c r="K1576" t="s">
        <v>181</v>
      </c>
      <c r="L1576" t="s">
        <v>3340</v>
      </c>
      <c r="M1576">
        <v>6</v>
      </c>
      <c r="N1576">
        <v>1.82</v>
      </c>
      <c r="O1576" t="s">
        <v>211</v>
      </c>
      <c r="P1576">
        <v>100</v>
      </c>
      <c r="R1576" t="s">
        <v>3335</v>
      </c>
      <c r="T1576" t="s">
        <v>3337</v>
      </c>
      <c r="U1576">
        <v>5</v>
      </c>
      <c r="V1576" t="s">
        <v>3459</v>
      </c>
    </row>
    <row r="1577" spans="1:22" ht="12.75" customHeight="1" x14ac:dyDescent="0.15">
      <c r="A1577">
        <v>18</v>
      </c>
      <c r="B1577">
        <v>2026</v>
      </c>
      <c r="C1577" s="21">
        <v>46145</v>
      </c>
      <c r="D1577" t="s">
        <v>101</v>
      </c>
      <c r="E1577" t="s">
        <v>102</v>
      </c>
      <c r="F1577" t="s">
        <v>75</v>
      </c>
      <c r="G1577">
        <v>7.6</v>
      </c>
      <c r="H1577" t="s">
        <v>3626</v>
      </c>
      <c r="I1577" t="s">
        <v>331</v>
      </c>
      <c r="J1577" s="1" t="s">
        <v>30</v>
      </c>
      <c r="K1577" t="s">
        <v>181</v>
      </c>
      <c r="L1577" t="s">
        <v>3340</v>
      </c>
      <c r="M1577">
        <v>72</v>
      </c>
      <c r="N1577">
        <v>1.82</v>
      </c>
      <c r="O1577" t="s">
        <v>211</v>
      </c>
      <c r="P1577">
        <v>100</v>
      </c>
      <c r="R1577" t="s">
        <v>3488</v>
      </c>
      <c r="S1577" t="s">
        <v>4145</v>
      </c>
      <c r="T1577" t="s">
        <v>3337</v>
      </c>
      <c r="U1577">
        <v>5</v>
      </c>
      <c r="V1577" t="s">
        <v>3459</v>
      </c>
    </row>
    <row r="1578" spans="1:22" ht="12.75" customHeight="1" x14ac:dyDescent="0.15">
      <c r="A1578">
        <v>18</v>
      </c>
      <c r="B1578">
        <v>2026</v>
      </c>
      <c r="C1578" s="21">
        <v>46145</v>
      </c>
      <c r="D1578" t="s">
        <v>101</v>
      </c>
      <c r="E1578" t="s">
        <v>102</v>
      </c>
      <c r="F1578" t="s">
        <v>75</v>
      </c>
      <c r="G1578">
        <v>7.6</v>
      </c>
      <c r="H1578" t="s">
        <v>3626</v>
      </c>
      <c r="I1578" t="s">
        <v>331</v>
      </c>
      <c r="J1578" s="1" t="s">
        <v>30</v>
      </c>
      <c r="K1578" t="s">
        <v>181</v>
      </c>
      <c r="L1578" t="s">
        <v>23</v>
      </c>
      <c r="M1578">
        <v>120</v>
      </c>
      <c r="P1578">
        <v>360</v>
      </c>
      <c r="R1578" t="s">
        <v>3415</v>
      </c>
      <c r="S1578" t="s">
        <v>4146</v>
      </c>
      <c r="T1578" t="s">
        <v>3337</v>
      </c>
      <c r="U1578">
        <v>5</v>
      </c>
      <c r="V1578" t="s">
        <v>3992</v>
      </c>
    </row>
    <row r="1579" spans="1:22" ht="12.75" customHeight="1" x14ac:dyDescent="0.15">
      <c r="A1579">
        <v>18</v>
      </c>
      <c r="B1579">
        <v>2026</v>
      </c>
      <c r="C1579" s="21">
        <v>46145</v>
      </c>
      <c r="D1579" t="s">
        <v>101</v>
      </c>
      <c r="E1579" t="s">
        <v>102</v>
      </c>
      <c r="F1579" t="s">
        <v>75</v>
      </c>
      <c r="G1579">
        <v>7.6</v>
      </c>
      <c r="H1579" t="s">
        <v>3505</v>
      </c>
      <c r="I1579" t="s">
        <v>29</v>
      </c>
      <c r="J1579" s="1" t="s">
        <v>30</v>
      </c>
      <c r="K1579" t="s">
        <v>181</v>
      </c>
      <c r="L1579" t="s">
        <v>3340</v>
      </c>
      <c r="M1579">
        <v>67</v>
      </c>
      <c r="N1579">
        <v>2.74</v>
      </c>
      <c r="O1579" t="s">
        <v>211</v>
      </c>
      <c r="P1579">
        <v>150.54</v>
      </c>
      <c r="R1579" t="s">
        <v>3404</v>
      </c>
      <c r="T1579" t="s">
        <v>3402</v>
      </c>
      <c r="U1579">
        <v>5</v>
      </c>
      <c r="V1579" t="s">
        <v>4144</v>
      </c>
    </row>
    <row r="1580" spans="1:22" ht="12.75" customHeight="1" x14ac:dyDescent="0.15">
      <c r="A1580">
        <v>18</v>
      </c>
      <c r="B1580">
        <v>2026</v>
      </c>
      <c r="C1580" s="21">
        <v>46145</v>
      </c>
      <c r="D1580" t="s">
        <v>101</v>
      </c>
      <c r="E1580" t="s">
        <v>102</v>
      </c>
      <c r="F1580" t="s">
        <v>75</v>
      </c>
      <c r="G1580">
        <v>7.6</v>
      </c>
      <c r="H1580" t="s">
        <v>3505</v>
      </c>
      <c r="I1580" t="s">
        <v>29</v>
      </c>
      <c r="J1580" s="1" t="s">
        <v>30</v>
      </c>
      <c r="K1580" t="s">
        <v>181</v>
      </c>
      <c r="L1580" t="s">
        <v>3340</v>
      </c>
      <c r="M1580">
        <v>19</v>
      </c>
      <c r="N1580">
        <v>2.74</v>
      </c>
      <c r="O1580" t="s">
        <v>211</v>
      </c>
      <c r="P1580">
        <v>150.54</v>
      </c>
      <c r="R1580" t="s">
        <v>3403</v>
      </c>
      <c r="T1580" t="s">
        <v>3402</v>
      </c>
      <c r="U1580">
        <v>5</v>
      </c>
      <c r="V1580" t="s">
        <v>4144</v>
      </c>
    </row>
    <row r="1581" spans="1:22" ht="12.75" customHeight="1" x14ac:dyDescent="0.15">
      <c r="A1581">
        <v>18</v>
      </c>
      <c r="B1581">
        <v>2026</v>
      </c>
      <c r="C1581" s="21">
        <v>46145</v>
      </c>
      <c r="D1581" t="s">
        <v>101</v>
      </c>
      <c r="E1581" t="s">
        <v>102</v>
      </c>
      <c r="F1581" t="s">
        <v>75</v>
      </c>
      <c r="G1581">
        <v>7.6</v>
      </c>
      <c r="H1581" t="s">
        <v>3505</v>
      </c>
      <c r="I1581" t="s">
        <v>29</v>
      </c>
      <c r="J1581" s="1" t="s">
        <v>30</v>
      </c>
      <c r="K1581" t="s">
        <v>181</v>
      </c>
      <c r="L1581" t="s">
        <v>3340</v>
      </c>
      <c r="M1581">
        <v>78</v>
      </c>
      <c r="N1581">
        <v>2.74</v>
      </c>
      <c r="O1581" t="s">
        <v>211</v>
      </c>
      <c r="P1581">
        <v>150.54</v>
      </c>
      <c r="R1581" t="s">
        <v>3341</v>
      </c>
      <c r="T1581" t="s">
        <v>3402</v>
      </c>
      <c r="U1581">
        <v>5</v>
      </c>
      <c r="V1581" t="s">
        <v>4144</v>
      </c>
    </row>
    <row r="1582" spans="1:22" ht="12.75" customHeight="1" x14ac:dyDescent="0.15">
      <c r="A1582">
        <v>18</v>
      </c>
      <c r="B1582">
        <v>2026</v>
      </c>
      <c r="C1582" s="21">
        <v>46145</v>
      </c>
      <c r="D1582" t="s">
        <v>91</v>
      </c>
      <c r="E1582" t="s">
        <v>92</v>
      </c>
      <c r="F1582" t="s">
        <v>21</v>
      </c>
      <c r="G1582">
        <v>1.3</v>
      </c>
      <c r="H1582" t="s">
        <v>3565</v>
      </c>
      <c r="I1582" t="s">
        <v>3566</v>
      </c>
      <c r="J1582" s="1" t="s">
        <v>3389</v>
      </c>
      <c r="K1582" t="s">
        <v>181</v>
      </c>
      <c r="L1582" t="s">
        <v>3333</v>
      </c>
      <c r="M1582">
        <v>11</v>
      </c>
      <c r="N1582">
        <v>0.68</v>
      </c>
      <c r="O1582" t="s">
        <v>213</v>
      </c>
      <c r="P1582">
        <v>61.2</v>
      </c>
      <c r="Q1582">
        <v>6</v>
      </c>
      <c r="R1582" t="s">
        <v>3564</v>
      </c>
      <c r="S1582" t="s">
        <v>4147</v>
      </c>
      <c r="T1582" t="s">
        <v>3402</v>
      </c>
      <c r="U1582">
        <v>15</v>
      </c>
      <c r="V1582" t="s">
        <v>4148</v>
      </c>
    </row>
    <row r="1583" spans="1:22" ht="12.75" customHeight="1" x14ac:dyDescent="0.15">
      <c r="A1583">
        <v>18</v>
      </c>
      <c r="B1583">
        <v>2026</v>
      </c>
      <c r="C1583" s="21">
        <v>46145</v>
      </c>
      <c r="D1583" t="s">
        <v>91</v>
      </c>
      <c r="E1583" t="s">
        <v>92</v>
      </c>
      <c r="F1583" t="s">
        <v>21</v>
      </c>
      <c r="G1583">
        <v>1.3</v>
      </c>
      <c r="H1583" t="s">
        <v>3878</v>
      </c>
      <c r="I1583" t="s">
        <v>3566</v>
      </c>
      <c r="J1583" s="1" t="s">
        <v>3389</v>
      </c>
      <c r="K1583" t="s">
        <v>2666</v>
      </c>
      <c r="L1583" t="s">
        <v>3587</v>
      </c>
      <c r="N1583">
        <v>2.2799999999999998</v>
      </c>
      <c r="O1583" t="s">
        <v>3838</v>
      </c>
      <c r="P1583">
        <v>48.75</v>
      </c>
      <c r="Q1583">
        <v>6</v>
      </c>
      <c r="T1583" t="s">
        <v>3402</v>
      </c>
      <c r="U1583">
        <v>15</v>
      </c>
      <c r="V1583" t="s">
        <v>4149</v>
      </c>
    </row>
    <row r="1584" spans="1:22" ht="12.75" customHeight="1" x14ac:dyDescent="0.15">
      <c r="A1584">
        <v>18</v>
      </c>
      <c r="B1584">
        <v>2026</v>
      </c>
      <c r="C1584" s="21">
        <v>46146</v>
      </c>
      <c r="D1584" t="s">
        <v>437</v>
      </c>
      <c r="E1584" t="s">
        <v>437</v>
      </c>
      <c r="G1584">
        <v>1</v>
      </c>
      <c r="H1584" t="s">
        <v>3796</v>
      </c>
      <c r="I1584" t="s">
        <v>3667</v>
      </c>
      <c r="J1584" s="1" t="s">
        <v>3668</v>
      </c>
      <c r="K1584" t="s">
        <v>181</v>
      </c>
      <c r="L1584" t="s">
        <v>3333</v>
      </c>
      <c r="M1584">
        <v>1</v>
      </c>
      <c r="N1584">
        <v>1</v>
      </c>
      <c r="O1584" t="s">
        <v>3358</v>
      </c>
      <c r="P1584">
        <v>71.86</v>
      </c>
      <c r="Q1584">
        <v>8</v>
      </c>
      <c r="R1584" t="s">
        <v>3359</v>
      </c>
      <c r="T1584" t="s">
        <v>3337</v>
      </c>
      <c r="U1584">
        <v>123</v>
      </c>
      <c r="V1584" t="s">
        <v>3358</v>
      </c>
    </row>
    <row r="1585" spans="1:22" ht="12.75" customHeight="1" x14ac:dyDescent="0.15">
      <c r="A1585">
        <v>18</v>
      </c>
      <c r="B1585">
        <v>2026</v>
      </c>
      <c r="C1585" s="21">
        <v>46146</v>
      </c>
      <c r="D1585" t="s">
        <v>437</v>
      </c>
      <c r="E1585" t="s">
        <v>437</v>
      </c>
      <c r="G1585">
        <v>1</v>
      </c>
      <c r="H1585" t="s">
        <v>3796</v>
      </c>
      <c r="I1585" t="s">
        <v>3667</v>
      </c>
      <c r="J1585" s="1" t="s">
        <v>3668</v>
      </c>
      <c r="K1585" t="s">
        <v>181</v>
      </c>
      <c r="L1585" t="s">
        <v>3333</v>
      </c>
      <c r="M1585">
        <v>6</v>
      </c>
      <c r="N1585">
        <v>1</v>
      </c>
      <c r="O1585" t="s">
        <v>3334</v>
      </c>
      <c r="P1585">
        <v>81.58</v>
      </c>
      <c r="Q1585">
        <v>8</v>
      </c>
      <c r="R1585" t="s">
        <v>3335</v>
      </c>
      <c r="T1585" t="s">
        <v>3337</v>
      </c>
      <c r="U1585">
        <v>123</v>
      </c>
      <c r="V1585" t="s">
        <v>3334</v>
      </c>
    </row>
    <row r="1586" spans="1:22" ht="12.75" customHeight="1" x14ac:dyDescent="0.15">
      <c r="A1586">
        <v>18</v>
      </c>
      <c r="B1586">
        <v>2026</v>
      </c>
      <c r="C1586" s="21">
        <v>46146</v>
      </c>
      <c r="D1586" t="s">
        <v>96</v>
      </c>
      <c r="E1586" t="s">
        <v>97</v>
      </c>
      <c r="F1586" t="s">
        <v>21</v>
      </c>
      <c r="G1586">
        <v>4.5</v>
      </c>
      <c r="H1586" t="s">
        <v>3914</v>
      </c>
      <c r="I1586" t="s">
        <v>3810</v>
      </c>
      <c r="J1586" s="1" t="s">
        <v>30</v>
      </c>
      <c r="K1586" t="s">
        <v>181</v>
      </c>
      <c r="L1586" t="s">
        <v>3340</v>
      </c>
      <c r="M1586">
        <v>132</v>
      </c>
      <c r="N1586">
        <v>0.91</v>
      </c>
      <c r="O1586" t="s">
        <v>211</v>
      </c>
      <c r="P1586">
        <v>50</v>
      </c>
      <c r="R1586" t="s">
        <v>3368</v>
      </c>
      <c r="S1586" t="s">
        <v>4150</v>
      </c>
      <c r="T1586" t="s">
        <v>3337</v>
      </c>
      <c r="U1586">
        <v>3</v>
      </c>
      <c r="V1586" t="s">
        <v>4151</v>
      </c>
    </row>
    <row r="1587" spans="1:22" ht="12.75" customHeight="1" x14ac:dyDescent="0.15">
      <c r="A1587">
        <v>18</v>
      </c>
      <c r="B1587">
        <v>2026</v>
      </c>
      <c r="C1587" s="21">
        <v>46146</v>
      </c>
      <c r="D1587" t="s">
        <v>96</v>
      </c>
      <c r="E1587" t="s">
        <v>97</v>
      </c>
      <c r="F1587" t="s">
        <v>21</v>
      </c>
      <c r="G1587">
        <v>4.5</v>
      </c>
      <c r="H1587" t="s">
        <v>3914</v>
      </c>
      <c r="I1587" t="s">
        <v>3810</v>
      </c>
      <c r="J1587" s="1" t="s">
        <v>30</v>
      </c>
      <c r="K1587" t="s">
        <v>181</v>
      </c>
      <c r="L1587" t="s">
        <v>3340</v>
      </c>
      <c r="M1587">
        <v>81</v>
      </c>
      <c r="N1587">
        <v>0.91</v>
      </c>
      <c r="O1587" t="s">
        <v>211</v>
      </c>
      <c r="P1587">
        <v>50</v>
      </c>
      <c r="R1587" t="s">
        <v>3374</v>
      </c>
      <c r="T1587" t="s">
        <v>3337</v>
      </c>
      <c r="U1587">
        <v>3</v>
      </c>
      <c r="V1587" t="s">
        <v>4151</v>
      </c>
    </row>
    <row r="1588" spans="1:22" ht="12.75" customHeight="1" x14ac:dyDescent="0.15">
      <c r="A1588">
        <v>18</v>
      </c>
      <c r="B1588">
        <v>2026</v>
      </c>
      <c r="C1588" s="21">
        <v>46146</v>
      </c>
      <c r="D1588" t="s">
        <v>96</v>
      </c>
      <c r="E1588" t="s">
        <v>97</v>
      </c>
      <c r="F1588" t="s">
        <v>21</v>
      </c>
      <c r="G1588">
        <v>4.5</v>
      </c>
      <c r="H1588" t="s">
        <v>3895</v>
      </c>
      <c r="I1588" t="s">
        <v>3842</v>
      </c>
      <c r="J1588" s="1" t="s">
        <v>3533</v>
      </c>
      <c r="K1588" t="s">
        <v>181</v>
      </c>
      <c r="L1588" t="s">
        <v>3340</v>
      </c>
      <c r="M1588">
        <v>45</v>
      </c>
      <c r="N1588">
        <v>0.17</v>
      </c>
      <c r="O1588" t="s">
        <v>211</v>
      </c>
      <c r="P1588">
        <v>9.16</v>
      </c>
      <c r="R1588" t="s">
        <v>3377</v>
      </c>
      <c r="S1588" t="s">
        <v>4152</v>
      </c>
      <c r="T1588" t="s">
        <v>3337</v>
      </c>
      <c r="U1588">
        <v>3</v>
      </c>
      <c r="V1588" t="s">
        <v>4153</v>
      </c>
    </row>
    <row r="1589" spans="1:22" ht="12.75" customHeight="1" x14ac:dyDescent="0.15">
      <c r="A1589">
        <v>18</v>
      </c>
      <c r="B1589">
        <v>2026</v>
      </c>
      <c r="C1589" s="21">
        <v>46146</v>
      </c>
      <c r="D1589" t="s">
        <v>96</v>
      </c>
      <c r="E1589" t="s">
        <v>97</v>
      </c>
      <c r="F1589" t="s">
        <v>21</v>
      </c>
      <c r="G1589">
        <v>4.5</v>
      </c>
      <c r="H1589" t="s">
        <v>3895</v>
      </c>
      <c r="I1589" t="s">
        <v>3842</v>
      </c>
      <c r="J1589" s="1" t="s">
        <v>3533</v>
      </c>
      <c r="K1589" t="s">
        <v>181</v>
      </c>
      <c r="L1589" t="s">
        <v>3340</v>
      </c>
      <c r="M1589">
        <v>62</v>
      </c>
      <c r="N1589">
        <v>0.17</v>
      </c>
      <c r="O1589" t="s">
        <v>211</v>
      </c>
      <c r="P1589">
        <v>9.16</v>
      </c>
      <c r="R1589" t="s">
        <v>3375</v>
      </c>
      <c r="T1589" t="s">
        <v>3337</v>
      </c>
      <c r="U1589">
        <v>3</v>
      </c>
      <c r="V1589" t="s">
        <v>4153</v>
      </c>
    </row>
    <row r="1590" spans="1:22" ht="12.75" customHeight="1" x14ac:dyDescent="0.15">
      <c r="A1590">
        <v>18</v>
      </c>
      <c r="B1590">
        <v>2026</v>
      </c>
      <c r="C1590" s="21">
        <v>46146</v>
      </c>
      <c r="D1590" t="s">
        <v>96</v>
      </c>
      <c r="E1590" t="s">
        <v>97</v>
      </c>
      <c r="F1590" t="s">
        <v>21</v>
      </c>
      <c r="G1590">
        <v>4.5</v>
      </c>
      <c r="H1590" t="s">
        <v>3895</v>
      </c>
      <c r="I1590" t="s">
        <v>3842</v>
      </c>
      <c r="J1590" s="1" t="s">
        <v>3533</v>
      </c>
      <c r="K1590" t="s">
        <v>181</v>
      </c>
      <c r="L1590" t="s">
        <v>3340</v>
      </c>
      <c r="M1590">
        <v>58</v>
      </c>
      <c r="N1590">
        <v>0.17</v>
      </c>
      <c r="O1590" t="s">
        <v>211</v>
      </c>
      <c r="P1590">
        <v>9.16</v>
      </c>
      <c r="R1590" t="s">
        <v>3343</v>
      </c>
      <c r="T1590" t="s">
        <v>3337</v>
      </c>
      <c r="U1590">
        <v>3</v>
      </c>
      <c r="V1590" t="s">
        <v>4153</v>
      </c>
    </row>
    <row r="1591" spans="1:22" ht="12.75" customHeight="1" x14ac:dyDescent="0.15">
      <c r="A1591">
        <v>18</v>
      </c>
      <c r="B1591">
        <v>2026</v>
      </c>
      <c r="C1591" s="21">
        <v>46146</v>
      </c>
      <c r="D1591" t="s">
        <v>96</v>
      </c>
      <c r="E1591" t="s">
        <v>97</v>
      </c>
      <c r="F1591" t="s">
        <v>21</v>
      </c>
      <c r="G1591">
        <v>4.5</v>
      </c>
      <c r="H1591" t="s">
        <v>3536</v>
      </c>
      <c r="I1591" t="s">
        <v>3676</v>
      </c>
      <c r="J1591" s="1" t="s">
        <v>3533</v>
      </c>
      <c r="K1591" t="s">
        <v>181</v>
      </c>
      <c r="L1591" t="s">
        <v>3340</v>
      </c>
      <c r="M1591">
        <v>45</v>
      </c>
      <c r="N1591">
        <v>0.33</v>
      </c>
      <c r="O1591" t="s">
        <v>211</v>
      </c>
      <c r="P1591">
        <v>18.3</v>
      </c>
      <c r="R1591" t="s">
        <v>3377</v>
      </c>
      <c r="S1591" t="s">
        <v>4154</v>
      </c>
      <c r="T1591" t="s">
        <v>3337</v>
      </c>
      <c r="U1591">
        <v>3</v>
      </c>
      <c r="V1591" t="s">
        <v>4155</v>
      </c>
    </row>
    <row r="1592" spans="1:22" ht="12.75" customHeight="1" x14ac:dyDescent="0.15">
      <c r="A1592">
        <v>18</v>
      </c>
      <c r="B1592">
        <v>2026</v>
      </c>
      <c r="C1592" s="21">
        <v>46146</v>
      </c>
      <c r="D1592" t="s">
        <v>96</v>
      </c>
      <c r="E1592" t="s">
        <v>97</v>
      </c>
      <c r="F1592" t="s">
        <v>21</v>
      </c>
      <c r="G1592">
        <v>4.5</v>
      </c>
      <c r="H1592" t="s">
        <v>3536</v>
      </c>
      <c r="I1592" t="s">
        <v>3676</v>
      </c>
      <c r="J1592" s="1" t="s">
        <v>3533</v>
      </c>
      <c r="K1592" t="s">
        <v>181</v>
      </c>
      <c r="L1592" t="s">
        <v>3340</v>
      </c>
      <c r="M1592">
        <v>62</v>
      </c>
      <c r="N1592">
        <v>0.33</v>
      </c>
      <c r="O1592" t="s">
        <v>211</v>
      </c>
      <c r="P1592">
        <v>18.3</v>
      </c>
      <c r="R1592" t="s">
        <v>3375</v>
      </c>
      <c r="T1592" t="s">
        <v>3337</v>
      </c>
      <c r="U1592">
        <v>3</v>
      </c>
      <c r="V1592" t="s">
        <v>4155</v>
      </c>
    </row>
    <row r="1593" spans="1:22" ht="12.75" customHeight="1" x14ac:dyDescent="0.15">
      <c r="A1593">
        <v>18</v>
      </c>
      <c r="B1593">
        <v>2026</v>
      </c>
      <c r="C1593" s="21">
        <v>46146</v>
      </c>
      <c r="D1593" t="s">
        <v>96</v>
      </c>
      <c r="E1593" t="s">
        <v>97</v>
      </c>
      <c r="F1593" t="s">
        <v>21</v>
      </c>
      <c r="G1593">
        <v>4.5</v>
      </c>
      <c r="H1593" t="s">
        <v>3536</v>
      </c>
      <c r="I1593" t="s">
        <v>3676</v>
      </c>
      <c r="J1593" s="1" t="s">
        <v>3533</v>
      </c>
      <c r="K1593" t="s">
        <v>181</v>
      </c>
      <c r="L1593" t="s">
        <v>3340</v>
      </c>
      <c r="M1593">
        <v>58</v>
      </c>
      <c r="N1593">
        <v>0.33</v>
      </c>
      <c r="O1593" t="s">
        <v>211</v>
      </c>
      <c r="P1593">
        <v>18.3</v>
      </c>
      <c r="R1593" t="s">
        <v>3343</v>
      </c>
      <c r="T1593" t="s">
        <v>3337</v>
      </c>
      <c r="U1593">
        <v>3</v>
      </c>
      <c r="V1593" t="s">
        <v>4155</v>
      </c>
    </row>
    <row r="1594" spans="1:22" ht="12.75" customHeight="1" x14ac:dyDescent="0.15">
      <c r="A1594">
        <v>18</v>
      </c>
      <c r="B1594">
        <v>2026</v>
      </c>
      <c r="C1594" s="21">
        <v>46146</v>
      </c>
      <c r="D1594" t="s">
        <v>96</v>
      </c>
      <c r="E1594" t="s">
        <v>97</v>
      </c>
      <c r="F1594" t="s">
        <v>21</v>
      </c>
      <c r="G1594">
        <v>4.5</v>
      </c>
      <c r="H1594" t="s">
        <v>3453</v>
      </c>
      <c r="I1594" t="s">
        <v>187</v>
      </c>
      <c r="J1594" s="1" t="s">
        <v>188</v>
      </c>
      <c r="K1594" t="s">
        <v>181</v>
      </c>
      <c r="L1594" t="s">
        <v>3340</v>
      </c>
      <c r="M1594">
        <v>45</v>
      </c>
      <c r="N1594">
        <v>0.17</v>
      </c>
      <c r="O1594" t="s">
        <v>211</v>
      </c>
      <c r="P1594">
        <v>9.16</v>
      </c>
      <c r="R1594" t="s">
        <v>3377</v>
      </c>
      <c r="S1594" t="s">
        <v>4152</v>
      </c>
      <c r="T1594" t="s">
        <v>3337</v>
      </c>
      <c r="U1594">
        <v>3</v>
      </c>
      <c r="V1594" t="s">
        <v>4153</v>
      </c>
    </row>
    <row r="1595" spans="1:22" ht="12.75" customHeight="1" x14ac:dyDescent="0.15">
      <c r="A1595">
        <v>18</v>
      </c>
      <c r="B1595">
        <v>2026</v>
      </c>
      <c r="C1595" s="21">
        <v>46146</v>
      </c>
      <c r="D1595" t="s">
        <v>96</v>
      </c>
      <c r="E1595" t="s">
        <v>97</v>
      </c>
      <c r="F1595" t="s">
        <v>21</v>
      </c>
      <c r="G1595">
        <v>4.5</v>
      </c>
      <c r="H1595" t="s">
        <v>3453</v>
      </c>
      <c r="I1595" t="s">
        <v>187</v>
      </c>
      <c r="J1595" s="1" t="s">
        <v>188</v>
      </c>
      <c r="K1595" t="s">
        <v>181</v>
      </c>
      <c r="L1595" t="s">
        <v>3340</v>
      </c>
      <c r="M1595">
        <v>62</v>
      </c>
      <c r="N1595">
        <v>0.17</v>
      </c>
      <c r="O1595" t="s">
        <v>211</v>
      </c>
      <c r="P1595">
        <v>9.16</v>
      </c>
      <c r="R1595" t="s">
        <v>3375</v>
      </c>
      <c r="T1595" t="s">
        <v>3337</v>
      </c>
      <c r="U1595">
        <v>3</v>
      </c>
      <c r="V1595" t="s">
        <v>4153</v>
      </c>
    </row>
    <row r="1596" spans="1:22" ht="12.75" customHeight="1" x14ac:dyDescent="0.15">
      <c r="A1596">
        <v>18</v>
      </c>
      <c r="B1596">
        <v>2026</v>
      </c>
      <c r="C1596" s="21">
        <v>46146</v>
      </c>
      <c r="D1596" t="s">
        <v>96</v>
      </c>
      <c r="E1596" t="s">
        <v>97</v>
      </c>
      <c r="F1596" t="s">
        <v>21</v>
      </c>
      <c r="G1596">
        <v>4.5</v>
      </c>
      <c r="H1596" t="s">
        <v>3453</v>
      </c>
      <c r="I1596" t="s">
        <v>187</v>
      </c>
      <c r="J1596" s="1" t="s">
        <v>188</v>
      </c>
      <c r="K1596" t="s">
        <v>181</v>
      </c>
      <c r="L1596" t="s">
        <v>3340</v>
      </c>
      <c r="M1596">
        <v>58</v>
      </c>
      <c r="N1596">
        <v>0.17</v>
      </c>
      <c r="O1596" t="s">
        <v>211</v>
      </c>
      <c r="P1596">
        <v>9.16</v>
      </c>
      <c r="R1596" t="s">
        <v>3343</v>
      </c>
      <c r="T1596" t="s">
        <v>3337</v>
      </c>
      <c r="U1596">
        <v>3</v>
      </c>
      <c r="V1596" t="s">
        <v>4153</v>
      </c>
    </row>
    <row r="1597" spans="1:22" ht="12.75" customHeight="1" x14ac:dyDescent="0.15">
      <c r="A1597">
        <v>18</v>
      </c>
      <c r="B1597">
        <v>2026</v>
      </c>
      <c r="C1597" s="21">
        <v>46146</v>
      </c>
      <c r="D1597" t="s">
        <v>96</v>
      </c>
      <c r="E1597" t="s">
        <v>97</v>
      </c>
      <c r="F1597" t="s">
        <v>21</v>
      </c>
      <c r="G1597">
        <v>4.5</v>
      </c>
      <c r="H1597" t="s">
        <v>3495</v>
      </c>
      <c r="I1597" t="s">
        <v>29</v>
      </c>
      <c r="J1597" s="1" t="s">
        <v>30</v>
      </c>
      <c r="K1597" t="s">
        <v>181</v>
      </c>
      <c r="L1597" t="s">
        <v>23</v>
      </c>
      <c r="M1597">
        <v>198</v>
      </c>
      <c r="N1597">
        <v>0.8</v>
      </c>
      <c r="P1597">
        <v>1120</v>
      </c>
      <c r="R1597" t="s">
        <v>3746</v>
      </c>
      <c r="S1597" t="s">
        <v>4156</v>
      </c>
      <c r="T1597" t="s">
        <v>3337</v>
      </c>
      <c r="U1597">
        <v>3</v>
      </c>
      <c r="V1597" t="s">
        <v>4157</v>
      </c>
    </row>
    <row r="1598" spans="1:22" ht="12.75" customHeight="1" x14ac:dyDescent="0.15">
      <c r="A1598">
        <v>18</v>
      </c>
      <c r="B1598">
        <v>2026</v>
      </c>
      <c r="C1598" s="21">
        <v>46146</v>
      </c>
      <c r="D1598" t="s">
        <v>47</v>
      </c>
      <c r="E1598" t="s">
        <v>48</v>
      </c>
      <c r="F1598" t="s">
        <v>21</v>
      </c>
      <c r="G1598">
        <v>2</v>
      </c>
      <c r="H1598" t="s">
        <v>3391</v>
      </c>
      <c r="I1598" t="s">
        <v>353</v>
      </c>
      <c r="J1598" s="1" t="s">
        <v>253</v>
      </c>
      <c r="K1598" t="s">
        <v>181</v>
      </c>
      <c r="L1598" t="s">
        <v>3333</v>
      </c>
      <c r="M1598">
        <v>67</v>
      </c>
      <c r="N1598">
        <v>0.63</v>
      </c>
      <c r="O1598" t="s">
        <v>3334</v>
      </c>
      <c r="P1598">
        <v>50.99</v>
      </c>
      <c r="Q1598">
        <v>5</v>
      </c>
      <c r="R1598" t="s">
        <v>3404</v>
      </c>
      <c r="T1598" t="s">
        <v>3402</v>
      </c>
      <c r="U1598">
        <v>74</v>
      </c>
      <c r="V1598" t="s">
        <v>3500</v>
      </c>
    </row>
    <row r="1599" spans="1:22" ht="12.75" customHeight="1" x14ac:dyDescent="0.15">
      <c r="A1599">
        <v>18</v>
      </c>
      <c r="B1599">
        <v>2026</v>
      </c>
      <c r="C1599" s="21">
        <v>46146</v>
      </c>
      <c r="D1599" t="s">
        <v>47</v>
      </c>
      <c r="E1599" t="s">
        <v>48</v>
      </c>
      <c r="F1599" t="s">
        <v>21</v>
      </c>
      <c r="G1599">
        <v>2</v>
      </c>
      <c r="H1599" t="s">
        <v>3391</v>
      </c>
      <c r="I1599" t="s">
        <v>353</v>
      </c>
      <c r="J1599" s="1" t="s">
        <v>253</v>
      </c>
      <c r="K1599" t="s">
        <v>181</v>
      </c>
      <c r="L1599" t="s">
        <v>3333</v>
      </c>
      <c r="M1599">
        <v>19</v>
      </c>
      <c r="N1599">
        <v>0.63</v>
      </c>
      <c r="O1599" t="s">
        <v>3334</v>
      </c>
      <c r="P1599">
        <v>50.99</v>
      </c>
      <c r="Q1599">
        <v>5</v>
      </c>
      <c r="R1599" t="s">
        <v>3403</v>
      </c>
      <c r="T1599" t="s">
        <v>3402</v>
      </c>
      <c r="U1599">
        <v>74</v>
      </c>
      <c r="V1599" t="s">
        <v>3500</v>
      </c>
    </row>
    <row r="1600" spans="1:22" ht="12.75" customHeight="1" x14ac:dyDescent="0.15">
      <c r="A1600">
        <v>18</v>
      </c>
      <c r="B1600">
        <v>2026</v>
      </c>
      <c r="C1600" s="21">
        <v>46146</v>
      </c>
      <c r="D1600" t="s">
        <v>47</v>
      </c>
      <c r="E1600" t="s">
        <v>48</v>
      </c>
      <c r="F1600" t="s">
        <v>21</v>
      </c>
      <c r="G1600">
        <v>2</v>
      </c>
      <c r="H1600" t="s">
        <v>3391</v>
      </c>
      <c r="I1600" t="s">
        <v>353</v>
      </c>
      <c r="J1600" s="1" t="s">
        <v>253</v>
      </c>
      <c r="K1600" t="s">
        <v>181</v>
      </c>
      <c r="L1600" t="s">
        <v>3340</v>
      </c>
      <c r="M1600">
        <v>78</v>
      </c>
      <c r="N1600">
        <v>0.82</v>
      </c>
      <c r="O1600" t="s">
        <v>211</v>
      </c>
      <c r="P1600">
        <v>45</v>
      </c>
      <c r="Q1600">
        <v>5</v>
      </c>
      <c r="R1600" t="s">
        <v>3341</v>
      </c>
      <c r="T1600" t="s">
        <v>3402</v>
      </c>
      <c r="U1600">
        <v>74</v>
      </c>
      <c r="V1600" t="s">
        <v>3523</v>
      </c>
    </row>
    <row r="1601" spans="1:22" ht="12.75" customHeight="1" x14ac:dyDescent="0.15">
      <c r="A1601">
        <v>18</v>
      </c>
      <c r="B1601">
        <v>2026</v>
      </c>
      <c r="C1601" s="21">
        <v>46146</v>
      </c>
      <c r="D1601" t="s">
        <v>96</v>
      </c>
      <c r="E1601" t="s">
        <v>97</v>
      </c>
      <c r="F1601" t="s">
        <v>21</v>
      </c>
      <c r="G1601">
        <v>4.5</v>
      </c>
      <c r="H1601" t="s">
        <v>3895</v>
      </c>
      <c r="I1601" t="s">
        <v>3842</v>
      </c>
      <c r="J1601" s="1" t="s">
        <v>3533</v>
      </c>
      <c r="K1601" t="s">
        <v>181</v>
      </c>
      <c r="L1601" t="s">
        <v>3333</v>
      </c>
      <c r="M1601">
        <v>3</v>
      </c>
      <c r="N1601">
        <v>1</v>
      </c>
      <c r="O1601" t="s">
        <v>3334</v>
      </c>
      <c r="P1601">
        <v>81.58</v>
      </c>
      <c r="Q1601">
        <v>8</v>
      </c>
      <c r="R1601" t="s">
        <v>3478</v>
      </c>
      <c r="T1601" t="s">
        <v>3402</v>
      </c>
      <c r="U1601">
        <v>3</v>
      </c>
      <c r="V1601" t="s">
        <v>3826</v>
      </c>
    </row>
    <row r="1602" spans="1:22" ht="12.75" customHeight="1" x14ac:dyDescent="0.15">
      <c r="A1602">
        <v>18</v>
      </c>
      <c r="B1602">
        <v>2026</v>
      </c>
      <c r="C1602" s="21">
        <v>46146</v>
      </c>
      <c r="D1602" t="s">
        <v>96</v>
      </c>
      <c r="E1602" t="s">
        <v>97</v>
      </c>
      <c r="F1602" t="s">
        <v>21</v>
      </c>
      <c r="G1602">
        <v>4.5</v>
      </c>
      <c r="H1602" t="s">
        <v>3841</v>
      </c>
      <c r="I1602" t="s">
        <v>3842</v>
      </c>
      <c r="J1602" s="1" t="s">
        <v>3533</v>
      </c>
      <c r="K1602" t="s">
        <v>181</v>
      </c>
      <c r="L1602" t="s">
        <v>3333</v>
      </c>
      <c r="M1602">
        <v>4</v>
      </c>
      <c r="N1602">
        <v>1</v>
      </c>
      <c r="O1602" t="s">
        <v>3334</v>
      </c>
      <c r="P1602">
        <v>81.58</v>
      </c>
      <c r="Q1602">
        <v>8</v>
      </c>
      <c r="R1602" t="s">
        <v>3773</v>
      </c>
      <c r="T1602" t="s">
        <v>3402</v>
      </c>
      <c r="U1602">
        <v>3</v>
      </c>
      <c r="V1602" t="s">
        <v>3826</v>
      </c>
    </row>
    <row r="1603" spans="1:22" ht="12.75" customHeight="1" x14ac:dyDescent="0.15">
      <c r="A1603">
        <v>18</v>
      </c>
      <c r="B1603">
        <v>2026</v>
      </c>
      <c r="C1603" s="21">
        <v>46146</v>
      </c>
      <c r="D1603" t="s">
        <v>96</v>
      </c>
      <c r="E1603" t="s">
        <v>97</v>
      </c>
      <c r="F1603" t="s">
        <v>21</v>
      </c>
      <c r="G1603">
        <v>4.5</v>
      </c>
      <c r="H1603" t="s">
        <v>3845</v>
      </c>
      <c r="I1603" t="s">
        <v>380</v>
      </c>
      <c r="J1603" s="1" t="s">
        <v>3533</v>
      </c>
      <c r="K1603" t="s">
        <v>181</v>
      </c>
      <c r="L1603" t="s">
        <v>3340</v>
      </c>
      <c r="M1603">
        <v>3</v>
      </c>
      <c r="N1603">
        <v>0.16</v>
      </c>
      <c r="O1603" t="s">
        <v>211</v>
      </c>
      <c r="P1603">
        <v>9</v>
      </c>
      <c r="Q1603">
        <v>1</v>
      </c>
      <c r="R1603" t="s">
        <v>3478</v>
      </c>
      <c r="T1603" t="s">
        <v>3402</v>
      </c>
      <c r="U1603">
        <v>3</v>
      </c>
      <c r="V1603" t="s">
        <v>3801</v>
      </c>
    </row>
    <row r="1604" spans="1:22" ht="12.75" customHeight="1" x14ac:dyDescent="0.15">
      <c r="A1604">
        <v>18</v>
      </c>
      <c r="B1604">
        <v>2026</v>
      </c>
      <c r="C1604" s="21">
        <v>46146</v>
      </c>
      <c r="D1604" t="s">
        <v>96</v>
      </c>
      <c r="E1604" t="s">
        <v>97</v>
      </c>
      <c r="F1604" t="s">
        <v>21</v>
      </c>
      <c r="G1604">
        <v>4.5</v>
      </c>
      <c r="H1604" t="s">
        <v>3841</v>
      </c>
      <c r="I1604" t="s">
        <v>3842</v>
      </c>
      <c r="J1604" s="1" t="s">
        <v>3533</v>
      </c>
      <c r="K1604" t="s">
        <v>181</v>
      </c>
      <c r="L1604" t="s">
        <v>3333</v>
      </c>
      <c r="M1604">
        <v>86</v>
      </c>
      <c r="N1604">
        <v>1</v>
      </c>
      <c r="O1604" t="s">
        <v>3334</v>
      </c>
      <c r="P1604">
        <v>81.58</v>
      </c>
      <c r="Q1604">
        <v>8</v>
      </c>
      <c r="R1604" t="s">
        <v>3386</v>
      </c>
      <c r="T1604" t="s">
        <v>3402</v>
      </c>
      <c r="U1604">
        <v>3</v>
      </c>
      <c r="V1604" t="s">
        <v>3826</v>
      </c>
    </row>
    <row r="1605" spans="1:22" ht="12.75" customHeight="1" x14ac:dyDescent="0.15">
      <c r="A1605">
        <v>18</v>
      </c>
      <c r="B1605">
        <v>2026</v>
      </c>
      <c r="C1605" s="21">
        <v>46147</v>
      </c>
      <c r="D1605" t="s">
        <v>101</v>
      </c>
      <c r="E1605" t="s">
        <v>102</v>
      </c>
      <c r="F1605" t="s">
        <v>75</v>
      </c>
      <c r="G1605">
        <v>7.6</v>
      </c>
      <c r="H1605" t="s">
        <v>3595</v>
      </c>
      <c r="I1605" t="s">
        <v>190</v>
      </c>
      <c r="J1605" s="1" t="s">
        <v>30</v>
      </c>
      <c r="K1605" t="s">
        <v>181</v>
      </c>
      <c r="L1605" t="s">
        <v>3340</v>
      </c>
      <c r="M1605">
        <v>45</v>
      </c>
      <c r="N1605">
        <v>0.5</v>
      </c>
      <c r="O1605" t="s">
        <v>211</v>
      </c>
      <c r="P1605">
        <v>27.5</v>
      </c>
      <c r="R1605" t="s">
        <v>3377</v>
      </c>
      <c r="S1605" t="s">
        <v>4158</v>
      </c>
      <c r="T1605" t="s">
        <v>3337</v>
      </c>
      <c r="U1605">
        <v>7</v>
      </c>
      <c r="V1605" t="s">
        <v>4159</v>
      </c>
    </row>
    <row r="1606" spans="1:22" ht="12.75" customHeight="1" x14ac:dyDescent="0.15">
      <c r="A1606">
        <v>18</v>
      </c>
      <c r="B1606">
        <v>2026</v>
      </c>
      <c r="C1606" s="21">
        <v>46147</v>
      </c>
      <c r="D1606" t="s">
        <v>101</v>
      </c>
      <c r="E1606" t="s">
        <v>102</v>
      </c>
      <c r="F1606" t="s">
        <v>75</v>
      </c>
      <c r="G1606">
        <v>7.6</v>
      </c>
      <c r="H1606" t="s">
        <v>3595</v>
      </c>
      <c r="I1606" t="s">
        <v>190</v>
      </c>
      <c r="J1606" s="1" t="s">
        <v>30</v>
      </c>
      <c r="K1606" t="s">
        <v>181</v>
      </c>
      <c r="L1606" t="s">
        <v>3340</v>
      </c>
      <c r="M1606">
        <v>62</v>
      </c>
      <c r="N1606">
        <v>0.5</v>
      </c>
      <c r="O1606" t="s">
        <v>211</v>
      </c>
      <c r="P1606">
        <v>27.5</v>
      </c>
      <c r="R1606" t="s">
        <v>3375</v>
      </c>
      <c r="T1606" t="s">
        <v>3337</v>
      </c>
      <c r="U1606">
        <v>7</v>
      </c>
      <c r="V1606" t="s">
        <v>4159</v>
      </c>
    </row>
    <row r="1607" spans="1:22" ht="12.75" customHeight="1" x14ac:dyDescent="0.15">
      <c r="A1607">
        <v>18</v>
      </c>
      <c r="B1607">
        <v>2026</v>
      </c>
      <c r="C1607" s="21">
        <v>46147</v>
      </c>
      <c r="D1607" t="s">
        <v>101</v>
      </c>
      <c r="E1607" t="s">
        <v>102</v>
      </c>
      <c r="F1607" t="s">
        <v>75</v>
      </c>
      <c r="G1607">
        <v>7.6</v>
      </c>
      <c r="H1607" t="s">
        <v>3595</v>
      </c>
      <c r="I1607" t="s">
        <v>190</v>
      </c>
      <c r="J1607" s="1" t="s">
        <v>30</v>
      </c>
      <c r="K1607" t="s">
        <v>181</v>
      </c>
      <c r="L1607" t="s">
        <v>3340</v>
      </c>
      <c r="M1607">
        <v>58</v>
      </c>
      <c r="N1607">
        <v>0.5</v>
      </c>
      <c r="O1607" t="s">
        <v>211</v>
      </c>
      <c r="P1607">
        <v>27.5</v>
      </c>
      <c r="R1607" t="s">
        <v>3343</v>
      </c>
      <c r="T1607" t="s">
        <v>3337</v>
      </c>
      <c r="U1607">
        <v>7</v>
      </c>
      <c r="V1607" t="s">
        <v>4159</v>
      </c>
    </row>
    <row r="1608" spans="1:22" ht="12.75" customHeight="1" x14ac:dyDescent="0.15">
      <c r="A1608">
        <v>18</v>
      </c>
      <c r="B1608">
        <v>2026</v>
      </c>
      <c r="C1608" s="21">
        <v>46147</v>
      </c>
      <c r="D1608" t="s">
        <v>101</v>
      </c>
      <c r="E1608" t="s">
        <v>102</v>
      </c>
      <c r="F1608" t="s">
        <v>75</v>
      </c>
      <c r="G1608">
        <v>7.6</v>
      </c>
      <c r="H1608" t="s">
        <v>3595</v>
      </c>
      <c r="I1608" t="s">
        <v>190</v>
      </c>
      <c r="J1608" s="1" t="s">
        <v>30</v>
      </c>
      <c r="K1608" t="s">
        <v>181</v>
      </c>
      <c r="L1608" t="s">
        <v>3340</v>
      </c>
      <c r="M1608">
        <v>132</v>
      </c>
      <c r="N1608">
        <v>0.5</v>
      </c>
      <c r="O1608" t="s">
        <v>211</v>
      </c>
      <c r="P1608">
        <v>27.5</v>
      </c>
      <c r="R1608" t="s">
        <v>3368</v>
      </c>
      <c r="T1608" t="s">
        <v>3337</v>
      </c>
      <c r="U1608">
        <v>7</v>
      </c>
      <c r="V1608" t="s">
        <v>4159</v>
      </c>
    </row>
    <row r="1609" spans="1:22" ht="12.75" customHeight="1" x14ac:dyDescent="0.15">
      <c r="A1609">
        <v>18</v>
      </c>
      <c r="B1609">
        <v>2026</v>
      </c>
      <c r="C1609" s="21">
        <v>46147</v>
      </c>
      <c r="D1609" t="s">
        <v>101</v>
      </c>
      <c r="E1609" t="s">
        <v>102</v>
      </c>
      <c r="F1609" t="s">
        <v>75</v>
      </c>
      <c r="G1609">
        <v>7.6</v>
      </c>
      <c r="H1609" t="s">
        <v>3595</v>
      </c>
      <c r="I1609" t="s">
        <v>190</v>
      </c>
      <c r="J1609" s="1" t="s">
        <v>30</v>
      </c>
      <c r="K1609" t="s">
        <v>181</v>
      </c>
      <c r="L1609" t="s">
        <v>3340</v>
      </c>
      <c r="M1609">
        <v>81</v>
      </c>
      <c r="N1609">
        <v>0.5</v>
      </c>
      <c r="O1609" t="s">
        <v>211</v>
      </c>
      <c r="P1609">
        <v>27.5</v>
      </c>
      <c r="R1609" t="s">
        <v>3374</v>
      </c>
      <c r="T1609" t="s">
        <v>3337</v>
      </c>
      <c r="U1609">
        <v>7</v>
      </c>
      <c r="V1609" t="s">
        <v>4159</v>
      </c>
    </row>
    <row r="1610" spans="1:22" ht="12.75" customHeight="1" x14ac:dyDescent="0.15">
      <c r="A1610">
        <v>18</v>
      </c>
      <c r="B1610">
        <v>2026</v>
      </c>
      <c r="C1610" s="21">
        <v>46147</v>
      </c>
      <c r="D1610" t="s">
        <v>96</v>
      </c>
      <c r="E1610" t="s">
        <v>97</v>
      </c>
      <c r="F1610" t="s">
        <v>21</v>
      </c>
      <c r="G1610">
        <v>4.5</v>
      </c>
      <c r="H1610" t="s">
        <v>4135</v>
      </c>
      <c r="I1610" t="s">
        <v>4136</v>
      </c>
      <c r="J1610" s="1" t="s">
        <v>3533</v>
      </c>
      <c r="K1610" t="s">
        <v>181</v>
      </c>
      <c r="L1610" t="s">
        <v>3340</v>
      </c>
      <c r="M1610">
        <v>45</v>
      </c>
      <c r="N1610">
        <v>1</v>
      </c>
      <c r="O1610" t="s">
        <v>211</v>
      </c>
      <c r="P1610">
        <v>55</v>
      </c>
      <c r="R1610" t="s">
        <v>3377</v>
      </c>
      <c r="S1610" t="s">
        <v>4160</v>
      </c>
      <c r="T1610" t="s">
        <v>3337</v>
      </c>
      <c r="U1610">
        <v>4</v>
      </c>
      <c r="V1610" t="s">
        <v>365</v>
      </c>
    </row>
    <row r="1611" spans="1:22" ht="12.75" customHeight="1" x14ac:dyDescent="0.15">
      <c r="A1611">
        <v>18</v>
      </c>
      <c r="B1611">
        <v>2026</v>
      </c>
      <c r="C1611" s="21">
        <v>46147</v>
      </c>
      <c r="D1611" t="s">
        <v>96</v>
      </c>
      <c r="E1611" t="s">
        <v>97</v>
      </c>
      <c r="F1611" t="s">
        <v>21</v>
      </c>
      <c r="G1611">
        <v>4.5</v>
      </c>
      <c r="H1611" t="s">
        <v>4135</v>
      </c>
      <c r="I1611" t="s">
        <v>4136</v>
      </c>
      <c r="J1611" s="1" t="s">
        <v>3533</v>
      </c>
      <c r="K1611" t="s">
        <v>181</v>
      </c>
      <c r="L1611" t="s">
        <v>3340</v>
      </c>
      <c r="M1611">
        <v>62</v>
      </c>
      <c r="N1611">
        <v>1</v>
      </c>
      <c r="O1611" t="s">
        <v>211</v>
      </c>
      <c r="P1611">
        <v>55</v>
      </c>
      <c r="R1611" t="s">
        <v>3375</v>
      </c>
      <c r="T1611" t="s">
        <v>3337</v>
      </c>
      <c r="U1611">
        <v>4</v>
      </c>
      <c r="V1611" t="s">
        <v>365</v>
      </c>
    </row>
    <row r="1612" spans="1:22" ht="12.75" customHeight="1" x14ac:dyDescent="0.15">
      <c r="A1612">
        <v>18</v>
      </c>
      <c r="B1612">
        <v>2026</v>
      </c>
      <c r="C1612" s="21">
        <v>46147</v>
      </c>
      <c r="D1612" t="s">
        <v>96</v>
      </c>
      <c r="E1612" t="s">
        <v>97</v>
      </c>
      <c r="F1612" t="s">
        <v>21</v>
      </c>
      <c r="G1612">
        <v>4.5</v>
      </c>
      <c r="H1612" t="s">
        <v>4135</v>
      </c>
      <c r="I1612" t="s">
        <v>4136</v>
      </c>
      <c r="J1612" s="1" t="s">
        <v>3533</v>
      </c>
      <c r="K1612" t="s">
        <v>181</v>
      </c>
      <c r="L1612" t="s">
        <v>3340</v>
      </c>
      <c r="M1612">
        <v>58</v>
      </c>
      <c r="N1612">
        <v>1</v>
      </c>
      <c r="O1612" t="s">
        <v>211</v>
      </c>
      <c r="P1612">
        <v>55</v>
      </c>
      <c r="R1612" t="s">
        <v>3343</v>
      </c>
      <c r="T1612" t="s">
        <v>3337</v>
      </c>
      <c r="U1612">
        <v>4</v>
      </c>
      <c r="V1612" t="s">
        <v>365</v>
      </c>
    </row>
    <row r="1613" spans="1:22" ht="12.75" customHeight="1" x14ac:dyDescent="0.15">
      <c r="A1613">
        <v>18</v>
      </c>
      <c r="B1613">
        <v>2026</v>
      </c>
      <c r="C1613" s="21">
        <v>46147</v>
      </c>
      <c r="D1613" t="s">
        <v>96</v>
      </c>
      <c r="E1613" t="s">
        <v>97</v>
      </c>
      <c r="F1613" t="s">
        <v>21</v>
      </c>
      <c r="G1613">
        <v>4.5</v>
      </c>
      <c r="H1613" t="s">
        <v>4135</v>
      </c>
      <c r="I1613" t="s">
        <v>4136</v>
      </c>
      <c r="J1613" s="1" t="s">
        <v>3533</v>
      </c>
      <c r="K1613" t="s">
        <v>181</v>
      </c>
      <c r="L1613" t="s">
        <v>3340</v>
      </c>
      <c r="M1613">
        <v>132</v>
      </c>
      <c r="N1613">
        <v>1</v>
      </c>
      <c r="O1613" t="s">
        <v>211</v>
      </c>
      <c r="P1613">
        <v>55</v>
      </c>
      <c r="R1613" t="s">
        <v>3368</v>
      </c>
      <c r="T1613" t="s">
        <v>3337</v>
      </c>
      <c r="U1613">
        <v>4</v>
      </c>
      <c r="V1613" t="s">
        <v>365</v>
      </c>
    </row>
    <row r="1614" spans="1:22" ht="12.75" customHeight="1" x14ac:dyDescent="0.15">
      <c r="A1614">
        <v>18</v>
      </c>
      <c r="B1614">
        <v>2026</v>
      </c>
      <c r="C1614" s="21">
        <v>46147</v>
      </c>
      <c r="D1614" t="s">
        <v>96</v>
      </c>
      <c r="E1614" t="s">
        <v>97</v>
      </c>
      <c r="F1614" t="s">
        <v>21</v>
      </c>
      <c r="G1614">
        <v>4.5</v>
      </c>
      <c r="H1614" t="s">
        <v>4135</v>
      </c>
      <c r="I1614" t="s">
        <v>4136</v>
      </c>
      <c r="J1614" s="1" t="s">
        <v>3533</v>
      </c>
      <c r="K1614" t="s">
        <v>181</v>
      </c>
      <c r="L1614" t="s">
        <v>3340</v>
      </c>
      <c r="M1614">
        <v>81</v>
      </c>
      <c r="N1614">
        <v>1</v>
      </c>
      <c r="O1614" t="s">
        <v>211</v>
      </c>
      <c r="P1614">
        <v>55</v>
      </c>
      <c r="R1614" t="s">
        <v>3374</v>
      </c>
      <c r="T1614" t="s">
        <v>3337</v>
      </c>
      <c r="U1614">
        <v>4</v>
      </c>
      <c r="V1614" t="s">
        <v>365</v>
      </c>
    </row>
    <row r="1615" spans="1:22" ht="12.75" customHeight="1" x14ac:dyDescent="0.15">
      <c r="A1615">
        <v>18</v>
      </c>
      <c r="B1615">
        <v>2026</v>
      </c>
      <c r="C1615" s="21">
        <v>46147</v>
      </c>
      <c r="D1615" t="s">
        <v>101</v>
      </c>
      <c r="E1615" t="s">
        <v>102</v>
      </c>
      <c r="F1615" t="s">
        <v>75</v>
      </c>
      <c r="G1615">
        <v>7.6</v>
      </c>
      <c r="H1615" t="s">
        <v>3453</v>
      </c>
      <c r="I1615" t="s">
        <v>187</v>
      </c>
      <c r="J1615" s="1" t="s">
        <v>188</v>
      </c>
      <c r="K1615" t="s">
        <v>181</v>
      </c>
      <c r="L1615" t="s">
        <v>3333</v>
      </c>
      <c r="M1615">
        <v>6</v>
      </c>
      <c r="N1615">
        <v>0.63</v>
      </c>
      <c r="O1615" t="s">
        <v>3334</v>
      </c>
      <c r="P1615">
        <v>50.99</v>
      </c>
      <c r="Q1615">
        <v>5</v>
      </c>
      <c r="R1615" t="s">
        <v>3335</v>
      </c>
      <c r="T1615" t="s">
        <v>3337</v>
      </c>
      <c r="U1615">
        <v>7</v>
      </c>
      <c r="V1615" t="s">
        <v>4114</v>
      </c>
    </row>
    <row r="1616" spans="1:22" ht="12.75" customHeight="1" x14ac:dyDescent="0.15">
      <c r="A1616">
        <v>18</v>
      </c>
      <c r="B1616">
        <v>2026</v>
      </c>
      <c r="C1616" s="21">
        <v>46147</v>
      </c>
      <c r="D1616" t="s">
        <v>47</v>
      </c>
      <c r="E1616" t="s">
        <v>48</v>
      </c>
      <c r="F1616" t="s">
        <v>21</v>
      </c>
      <c r="G1616">
        <v>2</v>
      </c>
      <c r="H1616" t="s">
        <v>3400</v>
      </c>
      <c r="I1616" t="s">
        <v>353</v>
      </c>
      <c r="J1616" s="1" t="s">
        <v>253</v>
      </c>
      <c r="K1616" t="s">
        <v>181</v>
      </c>
      <c r="L1616" t="s">
        <v>3333</v>
      </c>
      <c r="M1616">
        <v>2</v>
      </c>
      <c r="N1616">
        <v>0.88</v>
      </c>
      <c r="O1616" t="s">
        <v>3440</v>
      </c>
      <c r="P1616">
        <v>79.180000000000007</v>
      </c>
      <c r="Q1616">
        <v>7</v>
      </c>
      <c r="R1616" t="s">
        <v>3424</v>
      </c>
      <c r="T1616" t="s">
        <v>3337</v>
      </c>
      <c r="U1616">
        <v>75</v>
      </c>
      <c r="V1616" t="s">
        <v>3923</v>
      </c>
    </row>
    <row r="1617" spans="1:22" ht="12.75" customHeight="1" x14ac:dyDescent="0.15">
      <c r="A1617">
        <v>18</v>
      </c>
      <c r="B1617">
        <v>2026</v>
      </c>
      <c r="C1617" s="21">
        <v>46147</v>
      </c>
      <c r="D1617" t="s">
        <v>96</v>
      </c>
      <c r="E1617" t="s">
        <v>97</v>
      </c>
      <c r="F1617" t="s">
        <v>21</v>
      </c>
      <c r="G1617">
        <v>4.5</v>
      </c>
      <c r="H1617" t="s">
        <v>3626</v>
      </c>
      <c r="I1617" t="s">
        <v>331</v>
      </c>
      <c r="J1617" s="1" t="s">
        <v>30</v>
      </c>
      <c r="K1617" t="s">
        <v>181</v>
      </c>
      <c r="L1617" t="s">
        <v>3340</v>
      </c>
      <c r="M1617">
        <v>72</v>
      </c>
      <c r="N1617">
        <v>0.36</v>
      </c>
      <c r="O1617" t="s">
        <v>211</v>
      </c>
      <c r="P1617">
        <v>20</v>
      </c>
      <c r="R1617" t="s">
        <v>3488</v>
      </c>
      <c r="T1617" t="s">
        <v>3337</v>
      </c>
      <c r="U1617">
        <v>4</v>
      </c>
      <c r="V1617" t="s">
        <v>4161</v>
      </c>
    </row>
    <row r="1618" spans="1:22" ht="12.75" customHeight="1" x14ac:dyDescent="0.15">
      <c r="A1618">
        <v>18</v>
      </c>
      <c r="B1618">
        <v>2026</v>
      </c>
      <c r="C1618" s="21">
        <v>46147</v>
      </c>
      <c r="D1618" t="s">
        <v>96</v>
      </c>
      <c r="E1618" t="s">
        <v>97</v>
      </c>
      <c r="F1618" t="s">
        <v>21</v>
      </c>
      <c r="G1618">
        <v>4.5</v>
      </c>
      <c r="H1618" t="s">
        <v>3845</v>
      </c>
      <c r="I1618" t="s">
        <v>380</v>
      </c>
      <c r="J1618" s="1" t="s">
        <v>3533</v>
      </c>
      <c r="K1618" t="s">
        <v>181</v>
      </c>
      <c r="L1618" t="s">
        <v>3333</v>
      </c>
      <c r="M1618">
        <v>4</v>
      </c>
      <c r="N1618">
        <v>1</v>
      </c>
      <c r="O1618" t="s">
        <v>3334</v>
      </c>
      <c r="P1618">
        <v>81.58</v>
      </c>
      <c r="Q1618">
        <v>8</v>
      </c>
      <c r="R1618" t="s">
        <v>3773</v>
      </c>
      <c r="T1618" t="s">
        <v>3402</v>
      </c>
      <c r="U1618">
        <v>4</v>
      </c>
      <c r="V1618" t="s">
        <v>3826</v>
      </c>
    </row>
    <row r="1619" spans="1:22" ht="12.75" customHeight="1" x14ac:dyDescent="0.15">
      <c r="A1619">
        <v>18</v>
      </c>
      <c r="B1619">
        <v>2026</v>
      </c>
      <c r="C1619" s="21">
        <v>46147</v>
      </c>
      <c r="D1619" t="s">
        <v>96</v>
      </c>
      <c r="E1619" t="s">
        <v>97</v>
      </c>
      <c r="F1619" t="s">
        <v>21</v>
      </c>
      <c r="G1619">
        <v>4.5</v>
      </c>
      <c r="H1619" t="s">
        <v>3845</v>
      </c>
      <c r="I1619" t="s">
        <v>380</v>
      </c>
      <c r="J1619" s="1" t="s">
        <v>3533</v>
      </c>
      <c r="K1619" t="s">
        <v>181</v>
      </c>
      <c r="L1619" t="s">
        <v>3333</v>
      </c>
      <c r="M1619">
        <v>3</v>
      </c>
      <c r="N1619">
        <v>1</v>
      </c>
      <c r="O1619" t="s">
        <v>3334</v>
      </c>
      <c r="P1619">
        <v>81.58</v>
      </c>
      <c r="Q1619">
        <v>8</v>
      </c>
      <c r="R1619" t="s">
        <v>3478</v>
      </c>
      <c r="T1619" t="s">
        <v>3402</v>
      </c>
      <c r="U1619">
        <v>4</v>
      </c>
      <c r="V1619" t="s">
        <v>3826</v>
      </c>
    </row>
    <row r="1620" spans="1:22" ht="12.75" customHeight="1" x14ac:dyDescent="0.15">
      <c r="A1620">
        <v>18</v>
      </c>
      <c r="B1620">
        <v>2026</v>
      </c>
      <c r="C1620" s="21">
        <v>46147</v>
      </c>
      <c r="D1620" t="s">
        <v>96</v>
      </c>
      <c r="E1620" t="s">
        <v>97</v>
      </c>
      <c r="F1620" t="s">
        <v>21</v>
      </c>
      <c r="G1620">
        <v>4.5</v>
      </c>
      <c r="H1620" t="s">
        <v>3845</v>
      </c>
      <c r="I1620" t="s">
        <v>380</v>
      </c>
      <c r="J1620" s="1" t="s">
        <v>3533</v>
      </c>
      <c r="K1620" t="s">
        <v>181</v>
      </c>
      <c r="L1620" t="s">
        <v>3340</v>
      </c>
      <c r="M1620">
        <v>3</v>
      </c>
      <c r="N1620">
        <v>0.91</v>
      </c>
      <c r="O1620" t="s">
        <v>211</v>
      </c>
      <c r="P1620">
        <v>50</v>
      </c>
      <c r="R1620" t="s">
        <v>3478</v>
      </c>
      <c r="T1620" t="s">
        <v>3402</v>
      </c>
      <c r="U1620">
        <v>4</v>
      </c>
      <c r="V1620" t="s">
        <v>4151</v>
      </c>
    </row>
    <row r="1621" spans="1:22" ht="12.75" customHeight="1" x14ac:dyDescent="0.15">
      <c r="A1621">
        <v>18</v>
      </c>
      <c r="B1621">
        <v>2026</v>
      </c>
      <c r="C1621" s="21">
        <v>46147</v>
      </c>
      <c r="D1621" t="s">
        <v>96</v>
      </c>
      <c r="E1621" t="s">
        <v>97</v>
      </c>
      <c r="F1621" t="s">
        <v>21</v>
      </c>
      <c r="G1621">
        <v>4.5</v>
      </c>
      <c r="H1621" t="s">
        <v>3845</v>
      </c>
      <c r="I1621" t="s">
        <v>380</v>
      </c>
      <c r="J1621" s="1" t="s">
        <v>3533</v>
      </c>
      <c r="K1621" t="s">
        <v>181</v>
      </c>
      <c r="L1621" t="s">
        <v>3340</v>
      </c>
      <c r="M1621">
        <v>4</v>
      </c>
      <c r="N1621">
        <v>0.91</v>
      </c>
      <c r="O1621" t="s">
        <v>211</v>
      </c>
      <c r="P1621">
        <v>50</v>
      </c>
      <c r="R1621" t="s">
        <v>3773</v>
      </c>
      <c r="T1621" t="s">
        <v>3402</v>
      </c>
      <c r="U1621">
        <v>4</v>
      </c>
      <c r="V1621" t="s">
        <v>4151</v>
      </c>
    </row>
    <row r="1622" spans="1:22" ht="12.75" customHeight="1" x14ac:dyDescent="0.15">
      <c r="A1622">
        <v>18</v>
      </c>
      <c r="B1622">
        <v>2026</v>
      </c>
      <c r="C1622" s="21">
        <v>46147</v>
      </c>
      <c r="D1622" t="s">
        <v>96</v>
      </c>
      <c r="E1622" t="s">
        <v>97</v>
      </c>
      <c r="F1622" t="s">
        <v>21</v>
      </c>
      <c r="G1622">
        <v>4.5</v>
      </c>
      <c r="H1622" t="s">
        <v>3803</v>
      </c>
      <c r="I1622" t="s">
        <v>3676</v>
      </c>
      <c r="J1622" s="1" t="s">
        <v>3533</v>
      </c>
      <c r="K1622" t="s">
        <v>181</v>
      </c>
      <c r="L1622" t="s">
        <v>3333</v>
      </c>
      <c r="M1622">
        <v>86</v>
      </c>
      <c r="N1622">
        <v>0.63</v>
      </c>
      <c r="O1622" t="s">
        <v>3334</v>
      </c>
      <c r="P1622">
        <v>50.99</v>
      </c>
      <c r="Q1622">
        <v>5</v>
      </c>
      <c r="R1622" t="s">
        <v>3386</v>
      </c>
      <c r="T1622" t="s">
        <v>3402</v>
      </c>
      <c r="U1622">
        <v>4</v>
      </c>
      <c r="V1622" t="s">
        <v>3815</v>
      </c>
    </row>
    <row r="1623" spans="1:22" ht="12.75" customHeight="1" x14ac:dyDescent="0.15">
      <c r="A1623">
        <v>18</v>
      </c>
      <c r="B1623">
        <v>2026</v>
      </c>
      <c r="C1623" s="21">
        <v>46147</v>
      </c>
      <c r="D1623" t="s">
        <v>47</v>
      </c>
      <c r="E1623" t="s">
        <v>48</v>
      </c>
      <c r="F1623" t="s">
        <v>21</v>
      </c>
      <c r="G1623">
        <v>2</v>
      </c>
      <c r="H1623" t="s">
        <v>3391</v>
      </c>
      <c r="I1623" t="s">
        <v>353</v>
      </c>
      <c r="J1623" s="1" t="s">
        <v>253</v>
      </c>
      <c r="K1623" t="s">
        <v>181</v>
      </c>
      <c r="L1623" t="s">
        <v>3340</v>
      </c>
      <c r="M1623">
        <v>78</v>
      </c>
      <c r="N1623">
        <v>0.33</v>
      </c>
      <c r="O1623" t="s">
        <v>211</v>
      </c>
      <c r="P1623">
        <v>18</v>
      </c>
      <c r="Q1623">
        <v>2</v>
      </c>
      <c r="R1623" t="s">
        <v>3341</v>
      </c>
      <c r="T1623" t="s">
        <v>3402</v>
      </c>
      <c r="U1623">
        <v>75</v>
      </c>
      <c r="V1623" t="s">
        <v>3473</v>
      </c>
    </row>
    <row r="1624" spans="1:22" ht="12.75" customHeight="1" x14ac:dyDescent="0.15">
      <c r="A1624">
        <v>18</v>
      </c>
      <c r="B1624">
        <v>2026</v>
      </c>
      <c r="C1624" s="21">
        <v>46147</v>
      </c>
      <c r="D1624" t="s">
        <v>47</v>
      </c>
      <c r="E1624" t="s">
        <v>48</v>
      </c>
      <c r="F1624" t="s">
        <v>21</v>
      </c>
      <c r="G1624">
        <v>2</v>
      </c>
      <c r="H1624" t="s">
        <v>3391</v>
      </c>
      <c r="I1624" t="s">
        <v>353</v>
      </c>
      <c r="J1624" s="1" t="s">
        <v>253</v>
      </c>
      <c r="K1624" t="s">
        <v>181</v>
      </c>
      <c r="L1624" t="s">
        <v>3333</v>
      </c>
      <c r="M1624">
        <v>67</v>
      </c>
      <c r="N1624">
        <v>0.5</v>
      </c>
      <c r="O1624" t="s">
        <v>3334</v>
      </c>
      <c r="P1624">
        <v>40.79</v>
      </c>
      <c r="Q1624">
        <v>4</v>
      </c>
      <c r="R1624" t="s">
        <v>3404</v>
      </c>
      <c r="T1624" t="s">
        <v>3402</v>
      </c>
      <c r="U1624">
        <v>75</v>
      </c>
      <c r="V1624" t="s">
        <v>3474</v>
      </c>
    </row>
    <row r="1625" spans="1:22" ht="12.75" customHeight="1" x14ac:dyDescent="0.15">
      <c r="A1625">
        <v>18</v>
      </c>
      <c r="B1625">
        <v>2026</v>
      </c>
      <c r="C1625" s="21">
        <v>46147</v>
      </c>
      <c r="D1625" t="s">
        <v>47</v>
      </c>
      <c r="E1625" t="s">
        <v>48</v>
      </c>
      <c r="F1625" t="s">
        <v>21</v>
      </c>
      <c r="G1625">
        <v>2</v>
      </c>
      <c r="H1625" t="s">
        <v>3391</v>
      </c>
      <c r="I1625" t="s">
        <v>353</v>
      </c>
      <c r="J1625" s="1" t="s">
        <v>253</v>
      </c>
      <c r="K1625" t="s">
        <v>181</v>
      </c>
      <c r="L1625" t="s">
        <v>3333</v>
      </c>
      <c r="M1625">
        <v>19</v>
      </c>
      <c r="N1625">
        <v>0.5</v>
      </c>
      <c r="O1625" t="s">
        <v>3334</v>
      </c>
      <c r="P1625">
        <v>40.79</v>
      </c>
      <c r="Q1625">
        <v>4</v>
      </c>
      <c r="R1625" t="s">
        <v>3403</v>
      </c>
      <c r="T1625" t="s">
        <v>3402</v>
      </c>
      <c r="U1625">
        <v>75</v>
      </c>
      <c r="V1625" t="s">
        <v>3474</v>
      </c>
    </row>
    <row r="1626" spans="1:22" ht="12.75" customHeight="1" x14ac:dyDescent="0.15">
      <c r="A1626">
        <v>18</v>
      </c>
      <c r="B1626">
        <v>2026</v>
      </c>
      <c r="C1626" s="21">
        <v>46147</v>
      </c>
      <c r="D1626" t="s">
        <v>96</v>
      </c>
      <c r="E1626" t="s">
        <v>97</v>
      </c>
      <c r="F1626" t="s">
        <v>21</v>
      </c>
      <c r="G1626">
        <v>4.5</v>
      </c>
      <c r="H1626" t="s">
        <v>3914</v>
      </c>
      <c r="I1626" t="s">
        <v>3810</v>
      </c>
      <c r="J1626" s="1" t="s">
        <v>30</v>
      </c>
      <c r="K1626" t="s">
        <v>181</v>
      </c>
      <c r="L1626" t="s">
        <v>3333</v>
      </c>
      <c r="M1626">
        <v>86</v>
      </c>
      <c r="N1626">
        <v>0.38</v>
      </c>
      <c r="O1626" t="s">
        <v>3334</v>
      </c>
      <c r="P1626">
        <v>30.59</v>
      </c>
      <c r="Q1626">
        <v>3</v>
      </c>
      <c r="R1626" t="s">
        <v>3386</v>
      </c>
      <c r="T1626" t="s">
        <v>3402</v>
      </c>
      <c r="U1626">
        <v>4</v>
      </c>
      <c r="V1626" t="s">
        <v>3816</v>
      </c>
    </row>
    <row r="1627" spans="1:22" ht="12.75" customHeight="1" x14ac:dyDescent="0.15">
      <c r="A1627">
        <v>18</v>
      </c>
      <c r="B1627">
        <v>2026</v>
      </c>
      <c r="C1627" s="21">
        <v>46147</v>
      </c>
      <c r="D1627" t="s">
        <v>96</v>
      </c>
      <c r="E1627" t="s">
        <v>97</v>
      </c>
      <c r="F1627" t="s">
        <v>21</v>
      </c>
      <c r="G1627">
        <v>4.5</v>
      </c>
      <c r="H1627" t="s">
        <v>3809</v>
      </c>
      <c r="I1627" t="s">
        <v>3810</v>
      </c>
      <c r="J1627" s="1" t="s">
        <v>30</v>
      </c>
      <c r="K1627" t="s">
        <v>181</v>
      </c>
      <c r="L1627" t="s">
        <v>3587</v>
      </c>
      <c r="N1627">
        <v>1.1399999999999999</v>
      </c>
      <c r="O1627" t="s">
        <v>3838</v>
      </c>
      <c r="P1627">
        <v>24.37</v>
      </c>
      <c r="Q1627">
        <v>3</v>
      </c>
      <c r="T1627" t="s">
        <v>3402</v>
      </c>
      <c r="U1627">
        <v>4</v>
      </c>
      <c r="V1627" t="s">
        <v>3980</v>
      </c>
    </row>
    <row r="1628" spans="1:22" ht="12.75" customHeight="1" x14ac:dyDescent="0.15">
      <c r="A1628">
        <v>18</v>
      </c>
      <c r="B1628">
        <v>2026</v>
      </c>
      <c r="C1628" s="21">
        <v>46148</v>
      </c>
      <c r="D1628" t="s">
        <v>101</v>
      </c>
      <c r="E1628" t="s">
        <v>102</v>
      </c>
      <c r="F1628" t="s">
        <v>75</v>
      </c>
      <c r="G1628">
        <v>7.6</v>
      </c>
      <c r="H1628" t="s">
        <v>3495</v>
      </c>
      <c r="I1628" t="s">
        <v>29</v>
      </c>
      <c r="J1628" s="1" t="s">
        <v>30</v>
      </c>
      <c r="K1628" t="s">
        <v>181</v>
      </c>
      <c r="L1628" t="s">
        <v>3340</v>
      </c>
      <c r="M1628">
        <v>45</v>
      </c>
      <c r="N1628">
        <v>2.02</v>
      </c>
      <c r="O1628" t="s">
        <v>211</v>
      </c>
      <c r="P1628">
        <v>111</v>
      </c>
      <c r="R1628" t="s">
        <v>3377</v>
      </c>
      <c r="S1628" t="s">
        <v>4162</v>
      </c>
      <c r="T1628" t="s">
        <v>3337</v>
      </c>
      <c r="U1628">
        <v>8</v>
      </c>
      <c r="V1628" t="s">
        <v>4163</v>
      </c>
    </row>
    <row r="1629" spans="1:22" ht="12.75" customHeight="1" x14ac:dyDescent="0.15">
      <c r="A1629">
        <v>18</v>
      </c>
      <c r="B1629">
        <v>2026</v>
      </c>
      <c r="C1629" s="21">
        <v>46148</v>
      </c>
      <c r="D1629" t="s">
        <v>101</v>
      </c>
      <c r="E1629" t="s">
        <v>102</v>
      </c>
      <c r="F1629" t="s">
        <v>75</v>
      </c>
      <c r="G1629">
        <v>7.6</v>
      </c>
      <c r="H1629" t="s">
        <v>3495</v>
      </c>
      <c r="I1629" t="s">
        <v>29</v>
      </c>
      <c r="J1629" s="1" t="s">
        <v>30</v>
      </c>
      <c r="K1629" t="s">
        <v>181</v>
      </c>
      <c r="L1629" t="s">
        <v>3340</v>
      </c>
      <c r="M1629">
        <v>62</v>
      </c>
      <c r="N1629">
        <v>2.02</v>
      </c>
      <c r="O1629" t="s">
        <v>211</v>
      </c>
      <c r="P1629">
        <v>111</v>
      </c>
      <c r="R1629" t="s">
        <v>3375</v>
      </c>
      <c r="T1629" t="s">
        <v>3337</v>
      </c>
      <c r="U1629">
        <v>8</v>
      </c>
      <c r="V1629" t="s">
        <v>4163</v>
      </c>
    </row>
    <row r="1630" spans="1:22" ht="12.75" customHeight="1" x14ac:dyDescent="0.15">
      <c r="A1630">
        <v>18</v>
      </c>
      <c r="B1630">
        <v>2026</v>
      </c>
      <c r="C1630" s="21">
        <v>46148</v>
      </c>
      <c r="D1630" t="s">
        <v>101</v>
      </c>
      <c r="E1630" t="s">
        <v>102</v>
      </c>
      <c r="F1630" t="s">
        <v>75</v>
      </c>
      <c r="G1630">
        <v>7.6</v>
      </c>
      <c r="H1630" t="s">
        <v>3495</v>
      </c>
      <c r="I1630" t="s">
        <v>29</v>
      </c>
      <c r="J1630" s="1" t="s">
        <v>30</v>
      </c>
      <c r="K1630" t="s">
        <v>181</v>
      </c>
      <c r="L1630" t="s">
        <v>3340</v>
      </c>
      <c r="M1630">
        <v>58</v>
      </c>
      <c r="N1630">
        <v>2.02</v>
      </c>
      <c r="O1630" t="s">
        <v>211</v>
      </c>
      <c r="P1630">
        <v>111</v>
      </c>
      <c r="R1630" t="s">
        <v>3343</v>
      </c>
      <c r="T1630" t="s">
        <v>3337</v>
      </c>
      <c r="U1630">
        <v>8</v>
      </c>
      <c r="V1630" t="s">
        <v>4163</v>
      </c>
    </row>
    <row r="1631" spans="1:22" ht="12.75" customHeight="1" x14ac:dyDescent="0.15">
      <c r="A1631">
        <v>18</v>
      </c>
      <c r="B1631">
        <v>2026</v>
      </c>
      <c r="C1631" s="21">
        <v>46148</v>
      </c>
      <c r="D1631" t="s">
        <v>101</v>
      </c>
      <c r="E1631" t="s">
        <v>102</v>
      </c>
      <c r="F1631" t="s">
        <v>75</v>
      </c>
      <c r="G1631">
        <v>7.6</v>
      </c>
      <c r="H1631" t="s">
        <v>3495</v>
      </c>
      <c r="I1631" t="s">
        <v>29</v>
      </c>
      <c r="J1631" s="1" t="s">
        <v>30</v>
      </c>
      <c r="K1631" t="s">
        <v>181</v>
      </c>
      <c r="L1631" t="s">
        <v>3340</v>
      </c>
      <c r="M1631">
        <v>132</v>
      </c>
      <c r="N1631">
        <v>2.02</v>
      </c>
      <c r="O1631" t="s">
        <v>211</v>
      </c>
      <c r="P1631">
        <v>111</v>
      </c>
      <c r="R1631" t="s">
        <v>3368</v>
      </c>
      <c r="T1631" t="s">
        <v>3337</v>
      </c>
      <c r="U1631">
        <v>8</v>
      </c>
      <c r="V1631" t="s">
        <v>4163</v>
      </c>
    </row>
    <row r="1632" spans="1:22" ht="12.75" customHeight="1" x14ac:dyDescent="0.15">
      <c r="A1632">
        <v>18</v>
      </c>
      <c r="B1632">
        <v>2026</v>
      </c>
      <c r="C1632" s="21">
        <v>46148</v>
      </c>
      <c r="D1632" t="s">
        <v>101</v>
      </c>
      <c r="E1632" t="s">
        <v>102</v>
      </c>
      <c r="F1632" t="s">
        <v>75</v>
      </c>
      <c r="G1632">
        <v>7.6</v>
      </c>
      <c r="H1632" t="s">
        <v>3495</v>
      </c>
      <c r="I1632" t="s">
        <v>29</v>
      </c>
      <c r="J1632" s="1" t="s">
        <v>30</v>
      </c>
      <c r="K1632" t="s">
        <v>181</v>
      </c>
      <c r="L1632" t="s">
        <v>3340</v>
      </c>
      <c r="M1632">
        <v>81</v>
      </c>
      <c r="N1632">
        <v>2.02</v>
      </c>
      <c r="O1632" t="s">
        <v>211</v>
      </c>
      <c r="P1632">
        <v>111</v>
      </c>
      <c r="R1632" t="s">
        <v>3374</v>
      </c>
      <c r="T1632" t="s">
        <v>3337</v>
      </c>
      <c r="U1632">
        <v>8</v>
      </c>
      <c r="V1632" t="s">
        <v>4163</v>
      </c>
    </row>
    <row r="1633" spans="1:22" ht="12.75" customHeight="1" x14ac:dyDescent="0.15">
      <c r="A1633">
        <v>18</v>
      </c>
      <c r="B1633">
        <v>2026</v>
      </c>
      <c r="C1633" s="21">
        <v>46148</v>
      </c>
      <c r="D1633" t="s">
        <v>101</v>
      </c>
      <c r="E1633" t="s">
        <v>102</v>
      </c>
      <c r="F1633" t="s">
        <v>75</v>
      </c>
      <c r="G1633">
        <v>7.6</v>
      </c>
      <c r="H1633" t="s">
        <v>3852</v>
      </c>
      <c r="I1633" t="s">
        <v>3467</v>
      </c>
      <c r="J1633" s="1" t="s">
        <v>3468</v>
      </c>
      <c r="K1633" t="s">
        <v>181</v>
      </c>
      <c r="L1633" t="s">
        <v>3333</v>
      </c>
      <c r="M1633">
        <v>1</v>
      </c>
      <c r="N1633">
        <v>0.38</v>
      </c>
      <c r="O1633" t="s">
        <v>3358</v>
      </c>
      <c r="P1633">
        <v>26.95</v>
      </c>
      <c r="Q1633">
        <v>3</v>
      </c>
      <c r="R1633" t="s">
        <v>3359</v>
      </c>
      <c r="T1633" t="s">
        <v>3337</v>
      </c>
      <c r="U1633">
        <v>8</v>
      </c>
      <c r="V1633" t="s">
        <v>3422</v>
      </c>
    </row>
    <row r="1634" spans="1:22" ht="12.75" customHeight="1" x14ac:dyDescent="0.15">
      <c r="A1634">
        <v>18</v>
      </c>
      <c r="B1634">
        <v>2026</v>
      </c>
      <c r="C1634" s="21">
        <v>46148</v>
      </c>
      <c r="D1634" t="s">
        <v>101</v>
      </c>
      <c r="E1634" t="s">
        <v>102</v>
      </c>
      <c r="F1634" t="s">
        <v>75</v>
      </c>
      <c r="G1634">
        <v>7.6</v>
      </c>
      <c r="H1634" t="s">
        <v>3346</v>
      </c>
      <c r="I1634" t="s">
        <v>212</v>
      </c>
      <c r="J1634" s="1" t="s">
        <v>188</v>
      </c>
      <c r="K1634" t="s">
        <v>181</v>
      </c>
      <c r="L1634" t="s">
        <v>3333</v>
      </c>
      <c r="M1634">
        <v>1</v>
      </c>
      <c r="N1634">
        <v>0.63</v>
      </c>
      <c r="O1634" t="s">
        <v>3358</v>
      </c>
      <c r="P1634">
        <v>44.91</v>
      </c>
      <c r="Q1634">
        <v>5</v>
      </c>
      <c r="R1634" t="s">
        <v>3359</v>
      </c>
      <c r="T1634" t="s">
        <v>3337</v>
      </c>
      <c r="U1634">
        <v>8</v>
      </c>
      <c r="V1634" t="s">
        <v>4164</v>
      </c>
    </row>
    <row r="1635" spans="1:22" ht="12.75" customHeight="1" x14ac:dyDescent="0.15">
      <c r="A1635">
        <v>18</v>
      </c>
      <c r="B1635">
        <v>2026</v>
      </c>
      <c r="C1635" s="21">
        <v>46148</v>
      </c>
      <c r="D1635" t="s">
        <v>73</v>
      </c>
      <c r="E1635" t="s">
        <v>74</v>
      </c>
      <c r="F1635" t="s">
        <v>75</v>
      </c>
      <c r="G1635">
        <v>2.2999999999999998</v>
      </c>
      <c r="H1635" t="s">
        <v>4165</v>
      </c>
      <c r="I1635" t="s">
        <v>194</v>
      </c>
      <c r="J1635" s="1" t="s">
        <v>188</v>
      </c>
      <c r="K1635" t="s">
        <v>181</v>
      </c>
      <c r="L1635" t="s">
        <v>3333</v>
      </c>
      <c r="M1635">
        <v>6</v>
      </c>
      <c r="N1635">
        <v>0.38</v>
      </c>
      <c r="O1635" t="s">
        <v>3334</v>
      </c>
      <c r="P1635">
        <v>30.59</v>
      </c>
      <c r="Q1635">
        <v>3</v>
      </c>
      <c r="R1635" t="s">
        <v>3335</v>
      </c>
      <c r="T1635" t="s">
        <v>3337</v>
      </c>
      <c r="U1635">
        <v>18</v>
      </c>
      <c r="V1635" t="s">
        <v>358</v>
      </c>
    </row>
    <row r="1636" spans="1:22" ht="12.75" customHeight="1" x14ac:dyDescent="0.15">
      <c r="A1636">
        <v>18</v>
      </c>
      <c r="B1636">
        <v>2026</v>
      </c>
      <c r="C1636" s="21">
        <v>46148</v>
      </c>
      <c r="D1636" t="s">
        <v>101</v>
      </c>
      <c r="E1636" t="s">
        <v>102</v>
      </c>
      <c r="F1636" t="s">
        <v>75</v>
      </c>
      <c r="G1636">
        <v>7.6</v>
      </c>
      <c r="H1636" t="s">
        <v>3346</v>
      </c>
      <c r="I1636" t="s">
        <v>212</v>
      </c>
      <c r="J1636" s="1" t="s">
        <v>188</v>
      </c>
      <c r="K1636" t="s">
        <v>181</v>
      </c>
      <c r="L1636" t="s">
        <v>3333</v>
      </c>
      <c r="M1636">
        <v>6</v>
      </c>
      <c r="N1636">
        <v>0.63</v>
      </c>
      <c r="O1636" t="s">
        <v>3334</v>
      </c>
      <c r="P1636">
        <v>50.99</v>
      </c>
      <c r="Q1636">
        <v>5</v>
      </c>
      <c r="R1636" t="s">
        <v>3335</v>
      </c>
      <c r="T1636" t="s">
        <v>3337</v>
      </c>
      <c r="U1636">
        <v>8</v>
      </c>
      <c r="V1636" t="s">
        <v>4114</v>
      </c>
    </row>
    <row r="1637" spans="1:22" ht="12.75" customHeight="1" x14ac:dyDescent="0.15">
      <c r="A1637">
        <v>18</v>
      </c>
      <c r="B1637">
        <v>2026</v>
      </c>
      <c r="C1637" s="21">
        <v>46148</v>
      </c>
      <c r="D1637" t="s">
        <v>101</v>
      </c>
      <c r="E1637" t="s">
        <v>102</v>
      </c>
      <c r="F1637" t="s">
        <v>75</v>
      </c>
      <c r="G1637">
        <v>7.6</v>
      </c>
      <c r="H1637" t="s">
        <v>3505</v>
      </c>
      <c r="I1637" t="s">
        <v>29</v>
      </c>
      <c r="J1637" s="1" t="s">
        <v>30</v>
      </c>
      <c r="K1637" t="s">
        <v>181</v>
      </c>
      <c r="L1637" t="s">
        <v>3333</v>
      </c>
      <c r="M1637">
        <v>2</v>
      </c>
      <c r="N1637">
        <v>0.88</v>
      </c>
      <c r="O1637" t="s">
        <v>3440</v>
      </c>
      <c r="P1637">
        <v>79.180000000000007</v>
      </c>
      <c r="Q1637">
        <v>7</v>
      </c>
      <c r="R1637" t="s">
        <v>3424</v>
      </c>
      <c r="T1637" t="s">
        <v>3337</v>
      </c>
      <c r="U1637">
        <v>8</v>
      </c>
      <c r="V1637" t="s">
        <v>4166</v>
      </c>
    </row>
    <row r="1638" spans="1:22" ht="12.75" customHeight="1" x14ac:dyDescent="0.15">
      <c r="A1638">
        <v>18</v>
      </c>
      <c r="B1638">
        <v>2026</v>
      </c>
      <c r="C1638" s="21">
        <v>46148</v>
      </c>
      <c r="D1638" t="s">
        <v>101</v>
      </c>
      <c r="E1638" t="s">
        <v>102</v>
      </c>
      <c r="F1638" t="s">
        <v>75</v>
      </c>
      <c r="G1638">
        <v>7.6</v>
      </c>
      <c r="H1638" t="s">
        <v>3505</v>
      </c>
      <c r="I1638" t="s">
        <v>29</v>
      </c>
      <c r="J1638" s="1" t="s">
        <v>30</v>
      </c>
      <c r="K1638" t="s">
        <v>181</v>
      </c>
      <c r="L1638" t="s">
        <v>3340</v>
      </c>
      <c r="M1638">
        <v>2</v>
      </c>
      <c r="N1638">
        <v>0.57999999999999996</v>
      </c>
      <c r="O1638" t="s">
        <v>211</v>
      </c>
      <c r="P1638">
        <v>31.83</v>
      </c>
      <c r="R1638" t="s">
        <v>3424</v>
      </c>
      <c r="T1638" t="s">
        <v>3337</v>
      </c>
      <c r="U1638">
        <v>8</v>
      </c>
      <c r="V1638" t="s">
        <v>4037</v>
      </c>
    </row>
    <row r="1639" spans="1:22" ht="12.75" customHeight="1" x14ac:dyDescent="0.15">
      <c r="A1639">
        <v>18</v>
      </c>
      <c r="B1639">
        <v>2026</v>
      </c>
      <c r="C1639" s="21">
        <v>46148</v>
      </c>
      <c r="D1639" t="s">
        <v>96</v>
      </c>
      <c r="E1639" t="s">
        <v>97</v>
      </c>
      <c r="F1639" t="s">
        <v>21</v>
      </c>
      <c r="G1639">
        <v>4.5</v>
      </c>
      <c r="H1639" t="s">
        <v>3845</v>
      </c>
      <c r="I1639" t="s">
        <v>380</v>
      </c>
      <c r="J1639" s="1" t="s">
        <v>3533</v>
      </c>
      <c r="K1639" t="s">
        <v>181</v>
      </c>
      <c r="L1639" t="s">
        <v>3333</v>
      </c>
      <c r="M1639">
        <v>3</v>
      </c>
      <c r="N1639">
        <v>0.63</v>
      </c>
      <c r="O1639" t="s">
        <v>3334</v>
      </c>
      <c r="P1639">
        <v>50.99</v>
      </c>
      <c r="Q1639">
        <v>5</v>
      </c>
      <c r="R1639" t="s">
        <v>3478</v>
      </c>
      <c r="T1639" t="s">
        <v>3402</v>
      </c>
      <c r="U1639">
        <v>5</v>
      </c>
      <c r="V1639" t="s">
        <v>3815</v>
      </c>
    </row>
    <row r="1640" spans="1:22" ht="12.75" customHeight="1" x14ac:dyDescent="0.15">
      <c r="A1640">
        <v>18</v>
      </c>
      <c r="B1640">
        <v>2026</v>
      </c>
      <c r="C1640" s="21">
        <v>46148</v>
      </c>
      <c r="E1640" t="s">
        <v>97</v>
      </c>
      <c r="F1640" t="s">
        <v>21</v>
      </c>
      <c r="G1640">
        <v>4.5</v>
      </c>
      <c r="H1640" t="s">
        <v>3845</v>
      </c>
      <c r="I1640" t="s">
        <v>380</v>
      </c>
      <c r="J1640" s="1" t="s">
        <v>3533</v>
      </c>
      <c r="K1640" t="s">
        <v>181</v>
      </c>
      <c r="L1640" t="s">
        <v>3333</v>
      </c>
      <c r="M1640">
        <v>4</v>
      </c>
      <c r="N1640">
        <v>0.63</v>
      </c>
      <c r="O1640" t="s">
        <v>3334</v>
      </c>
      <c r="P1640">
        <v>50.99</v>
      </c>
      <c r="Q1640">
        <v>5</v>
      </c>
      <c r="R1640" t="s">
        <v>3773</v>
      </c>
      <c r="T1640" t="s">
        <v>3402</v>
      </c>
      <c r="U1640">
        <v>5</v>
      </c>
      <c r="V1640" t="s">
        <v>3815</v>
      </c>
    </row>
    <row r="1641" spans="1:22" ht="12.75" customHeight="1" x14ac:dyDescent="0.15">
      <c r="A1641">
        <v>18</v>
      </c>
      <c r="B1641">
        <v>2026</v>
      </c>
      <c r="C1641" s="21">
        <v>46148</v>
      </c>
      <c r="D1641" t="s">
        <v>96</v>
      </c>
      <c r="E1641" t="s">
        <v>97</v>
      </c>
      <c r="F1641" t="s">
        <v>21</v>
      </c>
      <c r="G1641">
        <v>4.5</v>
      </c>
      <c r="H1641" t="s">
        <v>3803</v>
      </c>
      <c r="I1641" t="s">
        <v>3676</v>
      </c>
      <c r="J1641" s="1" t="s">
        <v>3533</v>
      </c>
      <c r="K1641" t="s">
        <v>181</v>
      </c>
      <c r="L1641" t="s">
        <v>3333</v>
      </c>
      <c r="M1641">
        <v>3</v>
      </c>
      <c r="N1641">
        <v>0.38</v>
      </c>
      <c r="O1641" t="s">
        <v>3334</v>
      </c>
      <c r="P1641">
        <v>30.59</v>
      </c>
      <c r="Q1641">
        <v>3</v>
      </c>
      <c r="R1641" t="s">
        <v>3478</v>
      </c>
      <c r="T1641" t="s">
        <v>3402</v>
      </c>
      <c r="U1641">
        <v>5</v>
      </c>
      <c r="V1641" t="s">
        <v>3816</v>
      </c>
    </row>
    <row r="1642" spans="1:22" ht="12.75" customHeight="1" x14ac:dyDescent="0.15">
      <c r="A1642">
        <v>18</v>
      </c>
      <c r="B1642">
        <v>2026</v>
      </c>
      <c r="C1642" s="21">
        <v>46148</v>
      </c>
      <c r="D1642" t="s">
        <v>96</v>
      </c>
      <c r="E1642" t="s">
        <v>97</v>
      </c>
      <c r="F1642" t="s">
        <v>21</v>
      </c>
      <c r="G1642">
        <v>4.5</v>
      </c>
      <c r="H1642" t="s">
        <v>3803</v>
      </c>
      <c r="I1642" t="s">
        <v>3676</v>
      </c>
      <c r="J1642" s="1" t="s">
        <v>3533</v>
      </c>
      <c r="K1642" t="s">
        <v>181</v>
      </c>
      <c r="L1642" t="s">
        <v>3333</v>
      </c>
      <c r="M1642">
        <v>4</v>
      </c>
      <c r="N1642">
        <v>0.38</v>
      </c>
      <c r="O1642" t="s">
        <v>3334</v>
      </c>
      <c r="P1642">
        <v>30.59</v>
      </c>
      <c r="Q1642">
        <v>3</v>
      </c>
      <c r="R1642" t="s">
        <v>3773</v>
      </c>
      <c r="T1642" t="s">
        <v>3402</v>
      </c>
      <c r="U1642">
        <v>5</v>
      </c>
      <c r="V1642" t="s">
        <v>3816</v>
      </c>
    </row>
    <row r="1643" spans="1:22" ht="12.75" customHeight="1" x14ac:dyDescent="0.15">
      <c r="A1643">
        <v>18</v>
      </c>
      <c r="B1643">
        <v>2026</v>
      </c>
      <c r="C1643" s="21">
        <v>46148</v>
      </c>
      <c r="D1643" t="s">
        <v>96</v>
      </c>
      <c r="E1643" t="s">
        <v>97</v>
      </c>
      <c r="F1643" t="s">
        <v>21</v>
      </c>
      <c r="G1643">
        <v>4.5</v>
      </c>
      <c r="H1643" t="s">
        <v>3339</v>
      </c>
      <c r="I1643" t="s">
        <v>187</v>
      </c>
      <c r="J1643" s="1" t="s">
        <v>188</v>
      </c>
      <c r="K1643" t="s">
        <v>181</v>
      </c>
      <c r="L1643" t="s">
        <v>3340</v>
      </c>
      <c r="M1643">
        <v>3</v>
      </c>
      <c r="N1643">
        <v>0.5</v>
      </c>
      <c r="O1643" t="s">
        <v>211</v>
      </c>
      <c r="P1643">
        <v>27.5</v>
      </c>
      <c r="R1643" t="s">
        <v>3478</v>
      </c>
      <c r="T1643" t="s">
        <v>3402</v>
      </c>
      <c r="U1643">
        <v>5</v>
      </c>
      <c r="V1643" t="s">
        <v>4167</v>
      </c>
    </row>
    <row r="1644" spans="1:22" ht="12.75" customHeight="1" x14ac:dyDescent="0.15">
      <c r="A1644">
        <v>18</v>
      </c>
      <c r="B1644">
        <v>2026</v>
      </c>
      <c r="C1644" s="21">
        <v>46148</v>
      </c>
      <c r="D1644" t="s">
        <v>96</v>
      </c>
      <c r="E1644" t="s">
        <v>97</v>
      </c>
      <c r="F1644" t="s">
        <v>21</v>
      </c>
      <c r="G1644">
        <v>4.5</v>
      </c>
      <c r="H1644" t="s">
        <v>3339</v>
      </c>
      <c r="I1644" t="s">
        <v>187</v>
      </c>
      <c r="J1644" s="1" t="s">
        <v>188</v>
      </c>
      <c r="K1644" t="s">
        <v>181</v>
      </c>
      <c r="L1644" t="s">
        <v>3340</v>
      </c>
      <c r="M1644">
        <v>4</v>
      </c>
      <c r="N1644">
        <v>0.5</v>
      </c>
      <c r="O1644" t="s">
        <v>211</v>
      </c>
      <c r="P1644">
        <v>27.5</v>
      </c>
      <c r="R1644" t="s">
        <v>3773</v>
      </c>
      <c r="T1644" t="s">
        <v>3402</v>
      </c>
      <c r="U1644">
        <v>5</v>
      </c>
      <c r="V1644" t="s">
        <v>4167</v>
      </c>
    </row>
    <row r="1645" spans="1:22" ht="12.75" customHeight="1" x14ac:dyDescent="0.15">
      <c r="A1645">
        <v>18</v>
      </c>
      <c r="B1645">
        <v>2026</v>
      </c>
      <c r="C1645" s="21">
        <v>46148</v>
      </c>
      <c r="D1645" t="s">
        <v>96</v>
      </c>
      <c r="E1645" t="s">
        <v>97</v>
      </c>
      <c r="F1645" t="s">
        <v>21</v>
      </c>
      <c r="G1645">
        <v>4.5</v>
      </c>
      <c r="H1645" t="s">
        <v>3339</v>
      </c>
      <c r="I1645" t="s">
        <v>187</v>
      </c>
      <c r="J1645" s="1" t="s">
        <v>188</v>
      </c>
      <c r="K1645" t="s">
        <v>181</v>
      </c>
      <c r="L1645" t="s">
        <v>3340</v>
      </c>
      <c r="M1645">
        <v>78</v>
      </c>
      <c r="N1645">
        <v>0.73</v>
      </c>
      <c r="O1645" t="s">
        <v>211</v>
      </c>
      <c r="P1645">
        <v>40</v>
      </c>
      <c r="R1645" t="s">
        <v>3341</v>
      </c>
      <c r="T1645" t="s">
        <v>3402</v>
      </c>
      <c r="U1645">
        <v>5</v>
      </c>
      <c r="V1645" t="s">
        <v>4021</v>
      </c>
    </row>
    <row r="1646" spans="1:22" ht="12.75" customHeight="1" x14ac:dyDescent="0.15">
      <c r="A1646">
        <v>18</v>
      </c>
      <c r="B1646">
        <v>2026</v>
      </c>
      <c r="C1646" s="21">
        <v>46148</v>
      </c>
      <c r="D1646" t="s">
        <v>96</v>
      </c>
      <c r="E1646" t="s">
        <v>97</v>
      </c>
      <c r="F1646" t="s">
        <v>21</v>
      </c>
      <c r="G1646">
        <v>4.5</v>
      </c>
      <c r="H1646" t="s">
        <v>3339</v>
      </c>
      <c r="I1646" t="s">
        <v>187</v>
      </c>
      <c r="J1646" s="1" t="s">
        <v>188</v>
      </c>
      <c r="K1646" t="s">
        <v>181</v>
      </c>
      <c r="L1646" t="s">
        <v>3333</v>
      </c>
      <c r="M1646">
        <v>86</v>
      </c>
      <c r="N1646">
        <v>0.38</v>
      </c>
      <c r="O1646" t="s">
        <v>3334</v>
      </c>
      <c r="P1646">
        <v>30.59</v>
      </c>
      <c r="Q1646">
        <v>3</v>
      </c>
      <c r="R1646" t="s">
        <v>3386</v>
      </c>
      <c r="T1646" t="s">
        <v>3402</v>
      </c>
      <c r="U1646">
        <v>5</v>
      </c>
      <c r="V1646" t="s">
        <v>3816</v>
      </c>
    </row>
    <row r="1647" spans="1:22" ht="12.75" customHeight="1" x14ac:dyDescent="0.15">
      <c r="A1647">
        <v>18</v>
      </c>
      <c r="B1647">
        <v>2026</v>
      </c>
      <c r="C1647" s="21">
        <v>46148</v>
      </c>
      <c r="D1647" t="s">
        <v>101</v>
      </c>
      <c r="E1647" t="s">
        <v>102</v>
      </c>
      <c r="F1647" t="s">
        <v>75</v>
      </c>
      <c r="G1647">
        <v>7.6</v>
      </c>
      <c r="H1647" t="s">
        <v>3495</v>
      </c>
      <c r="I1647" t="s">
        <v>29</v>
      </c>
      <c r="J1647" s="1" t="s">
        <v>30</v>
      </c>
      <c r="K1647" t="s">
        <v>181</v>
      </c>
      <c r="L1647" t="s">
        <v>3333</v>
      </c>
      <c r="M1647">
        <v>67</v>
      </c>
      <c r="N1647">
        <v>0.81</v>
      </c>
      <c r="O1647" t="s">
        <v>3334</v>
      </c>
      <c r="P1647">
        <v>66.28</v>
      </c>
      <c r="Q1647">
        <v>6.5</v>
      </c>
      <c r="R1647" t="s">
        <v>3404</v>
      </c>
      <c r="T1647" t="s">
        <v>3402</v>
      </c>
      <c r="U1647">
        <v>8</v>
      </c>
      <c r="V1647" t="s">
        <v>4168</v>
      </c>
    </row>
    <row r="1648" spans="1:22" ht="12.75" customHeight="1" x14ac:dyDescent="0.15">
      <c r="A1648">
        <v>18</v>
      </c>
      <c r="B1648">
        <v>2026</v>
      </c>
      <c r="C1648" s="21">
        <v>46148</v>
      </c>
      <c r="D1648" t="s">
        <v>101</v>
      </c>
      <c r="E1648" t="s">
        <v>102</v>
      </c>
      <c r="F1648" t="s">
        <v>75</v>
      </c>
      <c r="G1648">
        <v>7.6</v>
      </c>
      <c r="H1648" t="s">
        <v>3495</v>
      </c>
      <c r="I1648" t="s">
        <v>29</v>
      </c>
      <c r="J1648" s="1" t="s">
        <v>30</v>
      </c>
      <c r="K1648" t="s">
        <v>181</v>
      </c>
      <c r="L1648" t="s">
        <v>3333</v>
      </c>
      <c r="M1648">
        <v>19</v>
      </c>
      <c r="N1648">
        <v>0.81</v>
      </c>
      <c r="O1648" t="s">
        <v>3334</v>
      </c>
      <c r="P1648">
        <v>66.28</v>
      </c>
      <c r="Q1648">
        <v>6.5</v>
      </c>
      <c r="R1648" t="s">
        <v>3403</v>
      </c>
      <c r="T1648" t="s">
        <v>3402</v>
      </c>
      <c r="U1648">
        <v>8</v>
      </c>
      <c r="V1648" t="s">
        <v>4168</v>
      </c>
    </row>
    <row r="1649" spans="1:22" ht="12.75" customHeight="1" x14ac:dyDescent="0.15">
      <c r="A1649">
        <v>18</v>
      </c>
      <c r="B1649">
        <v>2026</v>
      </c>
      <c r="C1649" s="21">
        <v>46148</v>
      </c>
      <c r="D1649" t="s">
        <v>101</v>
      </c>
      <c r="E1649" t="s">
        <v>102</v>
      </c>
      <c r="F1649" t="s">
        <v>75</v>
      </c>
      <c r="G1649">
        <v>7.6</v>
      </c>
      <c r="H1649" t="s">
        <v>3495</v>
      </c>
      <c r="I1649" t="s">
        <v>29</v>
      </c>
      <c r="J1649" s="1" t="s">
        <v>30</v>
      </c>
      <c r="K1649" t="s">
        <v>181</v>
      </c>
      <c r="L1649" t="s">
        <v>3340</v>
      </c>
      <c r="M1649">
        <v>67</v>
      </c>
      <c r="N1649">
        <v>0.81</v>
      </c>
      <c r="O1649" t="s">
        <v>211</v>
      </c>
      <c r="P1649">
        <v>44.72</v>
      </c>
      <c r="R1649" t="s">
        <v>3404</v>
      </c>
      <c r="T1649" t="s">
        <v>3402</v>
      </c>
      <c r="U1649">
        <v>8</v>
      </c>
      <c r="V1649" t="s">
        <v>4169</v>
      </c>
    </row>
    <row r="1650" spans="1:22" ht="12.75" customHeight="1" x14ac:dyDescent="0.15">
      <c r="A1650">
        <v>18</v>
      </c>
      <c r="B1650">
        <v>2026</v>
      </c>
      <c r="C1650" s="21">
        <v>46148</v>
      </c>
      <c r="D1650" t="s">
        <v>101</v>
      </c>
      <c r="E1650" t="s">
        <v>102</v>
      </c>
      <c r="F1650" t="s">
        <v>75</v>
      </c>
      <c r="G1650">
        <v>7.6</v>
      </c>
      <c r="H1650" t="s">
        <v>3495</v>
      </c>
      <c r="I1650" t="s">
        <v>29</v>
      </c>
      <c r="J1650" s="1" t="s">
        <v>30</v>
      </c>
      <c r="K1650" t="s">
        <v>181</v>
      </c>
      <c r="L1650" t="s">
        <v>3340</v>
      </c>
      <c r="M1650">
        <v>19</v>
      </c>
      <c r="N1650">
        <v>0.81</v>
      </c>
      <c r="O1650" t="s">
        <v>211</v>
      </c>
      <c r="P1650">
        <v>44.72</v>
      </c>
      <c r="R1650" t="s">
        <v>3403</v>
      </c>
      <c r="T1650" t="s">
        <v>3402</v>
      </c>
      <c r="U1650">
        <v>8</v>
      </c>
      <c r="V1650" t="s">
        <v>4169</v>
      </c>
    </row>
    <row r="1651" spans="1:22" ht="12.75" customHeight="1" x14ac:dyDescent="0.15">
      <c r="A1651">
        <v>18</v>
      </c>
      <c r="B1651">
        <v>2026</v>
      </c>
      <c r="C1651" s="21">
        <v>46149</v>
      </c>
      <c r="D1651" t="s">
        <v>101</v>
      </c>
      <c r="E1651" t="s">
        <v>102</v>
      </c>
      <c r="F1651" t="s">
        <v>75</v>
      </c>
      <c r="G1651">
        <v>7.6</v>
      </c>
      <c r="H1651" t="s">
        <v>3495</v>
      </c>
      <c r="I1651" t="s">
        <v>29</v>
      </c>
      <c r="J1651" s="1" t="s">
        <v>30</v>
      </c>
      <c r="K1651" t="s">
        <v>181</v>
      </c>
      <c r="L1651" t="s">
        <v>3340</v>
      </c>
      <c r="M1651">
        <v>45</v>
      </c>
      <c r="N1651">
        <v>1.87</v>
      </c>
      <c r="O1651" t="s">
        <v>211</v>
      </c>
      <c r="P1651">
        <v>102.66</v>
      </c>
      <c r="R1651" t="s">
        <v>3377</v>
      </c>
      <c r="S1651" t="s">
        <v>4170</v>
      </c>
      <c r="T1651" t="s">
        <v>3337</v>
      </c>
      <c r="U1651">
        <v>9</v>
      </c>
      <c r="V1651" t="s">
        <v>4171</v>
      </c>
    </row>
    <row r="1652" spans="1:22" ht="12.75" customHeight="1" x14ac:dyDescent="0.15">
      <c r="A1652">
        <v>18</v>
      </c>
      <c r="B1652">
        <v>2026</v>
      </c>
      <c r="C1652" s="21">
        <v>46149</v>
      </c>
      <c r="D1652" t="s">
        <v>101</v>
      </c>
      <c r="E1652" t="s">
        <v>102</v>
      </c>
      <c r="F1652" t="s">
        <v>75</v>
      </c>
      <c r="G1652">
        <v>7.6</v>
      </c>
      <c r="H1652" t="s">
        <v>3495</v>
      </c>
      <c r="I1652" t="s">
        <v>29</v>
      </c>
      <c r="J1652" s="1" t="s">
        <v>30</v>
      </c>
      <c r="K1652" t="s">
        <v>181</v>
      </c>
      <c r="L1652" t="s">
        <v>3340</v>
      </c>
      <c r="M1652">
        <v>62</v>
      </c>
      <c r="N1652">
        <v>1.87</v>
      </c>
      <c r="O1652" t="s">
        <v>211</v>
      </c>
      <c r="P1652">
        <v>102.66</v>
      </c>
      <c r="R1652" t="s">
        <v>3375</v>
      </c>
      <c r="T1652" t="s">
        <v>3337</v>
      </c>
      <c r="U1652">
        <v>9</v>
      </c>
      <c r="V1652" t="s">
        <v>4171</v>
      </c>
    </row>
    <row r="1653" spans="1:22" ht="12.75" customHeight="1" x14ac:dyDescent="0.15">
      <c r="A1653">
        <v>18</v>
      </c>
      <c r="B1653">
        <v>2026</v>
      </c>
      <c r="C1653" s="21">
        <v>46149</v>
      </c>
      <c r="D1653" t="s">
        <v>101</v>
      </c>
      <c r="E1653" t="s">
        <v>102</v>
      </c>
      <c r="F1653" t="s">
        <v>75</v>
      </c>
      <c r="G1653">
        <v>7.6</v>
      </c>
      <c r="H1653" t="s">
        <v>3495</v>
      </c>
      <c r="I1653" t="s">
        <v>29</v>
      </c>
      <c r="J1653" s="1" t="s">
        <v>30</v>
      </c>
      <c r="K1653" t="s">
        <v>181</v>
      </c>
      <c r="L1653" t="s">
        <v>3340</v>
      </c>
      <c r="M1653">
        <v>58</v>
      </c>
      <c r="N1653">
        <v>1.87</v>
      </c>
      <c r="O1653" t="s">
        <v>211</v>
      </c>
      <c r="P1653">
        <v>102.66</v>
      </c>
      <c r="R1653" t="s">
        <v>3343</v>
      </c>
      <c r="T1653" t="s">
        <v>3337</v>
      </c>
      <c r="U1653">
        <v>9</v>
      </c>
      <c r="V1653" t="s">
        <v>4171</v>
      </c>
    </row>
    <row r="1654" spans="1:22" ht="12.75" customHeight="1" x14ac:dyDescent="0.15">
      <c r="A1654">
        <v>18</v>
      </c>
      <c r="B1654">
        <v>2026</v>
      </c>
      <c r="C1654" s="21">
        <v>46149</v>
      </c>
      <c r="D1654" t="s">
        <v>101</v>
      </c>
      <c r="E1654" t="s">
        <v>102</v>
      </c>
      <c r="F1654" t="s">
        <v>75</v>
      </c>
      <c r="G1654">
        <v>7.6</v>
      </c>
      <c r="H1654" t="s">
        <v>3495</v>
      </c>
      <c r="I1654" t="s">
        <v>29</v>
      </c>
      <c r="J1654" s="1" t="s">
        <v>30</v>
      </c>
      <c r="K1654" t="s">
        <v>181</v>
      </c>
      <c r="L1654" t="s">
        <v>3340</v>
      </c>
      <c r="M1654">
        <v>132</v>
      </c>
      <c r="N1654">
        <v>1.87</v>
      </c>
      <c r="O1654" t="s">
        <v>211</v>
      </c>
      <c r="P1654">
        <v>102.66</v>
      </c>
      <c r="R1654" t="s">
        <v>3368</v>
      </c>
      <c r="T1654" t="s">
        <v>3337</v>
      </c>
      <c r="U1654">
        <v>9</v>
      </c>
      <c r="V1654" t="s">
        <v>4171</v>
      </c>
    </row>
    <row r="1655" spans="1:22" ht="12.75" customHeight="1" x14ac:dyDescent="0.15">
      <c r="A1655">
        <v>18</v>
      </c>
      <c r="B1655">
        <v>2026</v>
      </c>
      <c r="C1655" s="21">
        <v>46149</v>
      </c>
      <c r="D1655" t="s">
        <v>101</v>
      </c>
      <c r="E1655" t="s">
        <v>102</v>
      </c>
      <c r="F1655" t="s">
        <v>75</v>
      </c>
      <c r="G1655">
        <v>7.6</v>
      </c>
      <c r="H1655" t="s">
        <v>3495</v>
      </c>
      <c r="I1655" t="s">
        <v>29</v>
      </c>
      <c r="J1655" s="1" t="s">
        <v>30</v>
      </c>
      <c r="K1655" t="s">
        <v>181</v>
      </c>
      <c r="L1655" t="s">
        <v>3340</v>
      </c>
      <c r="M1655">
        <v>81</v>
      </c>
      <c r="N1655">
        <v>1.87</v>
      </c>
      <c r="O1655" t="s">
        <v>211</v>
      </c>
      <c r="P1655">
        <v>102.66</v>
      </c>
      <c r="R1655" t="s">
        <v>3374</v>
      </c>
      <c r="T1655" t="s">
        <v>3337</v>
      </c>
      <c r="U1655">
        <v>9</v>
      </c>
      <c r="V1655" t="s">
        <v>4171</v>
      </c>
    </row>
    <row r="1656" spans="1:22" ht="12.75" customHeight="1" x14ac:dyDescent="0.15">
      <c r="A1656">
        <v>18</v>
      </c>
      <c r="B1656">
        <v>2026</v>
      </c>
      <c r="C1656" s="21">
        <v>46149</v>
      </c>
      <c r="D1656" t="s">
        <v>101</v>
      </c>
      <c r="E1656" t="s">
        <v>102</v>
      </c>
      <c r="F1656" t="s">
        <v>75</v>
      </c>
      <c r="G1656">
        <v>7.6</v>
      </c>
      <c r="H1656" t="s">
        <v>3495</v>
      </c>
      <c r="I1656" t="s">
        <v>29</v>
      </c>
      <c r="J1656" s="1" t="s">
        <v>30</v>
      </c>
      <c r="K1656" t="s">
        <v>181</v>
      </c>
      <c r="L1656" t="s">
        <v>3333</v>
      </c>
      <c r="M1656">
        <v>2</v>
      </c>
      <c r="N1656">
        <v>0.5</v>
      </c>
      <c r="O1656" t="s">
        <v>3440</v>
      </c>
      <c r="P1656">
        <v>45.25</v>
      </c>
      <c r="Q1656">
        <v>4</v>
      </c>
      <c r="R1656" t="s">
        <v>3424</v>
      </c>
      <c r="T1656" t="s">
        <v>3337</v>
      </c>
      <c r="U1656">
        <v>9</v>
      </c>
      <c r="V1656" t="s">
        <v>3996</v>
      </c>
    </row>
    <row r="1657" spans="1:22" ht="12.75" customHeight="1" x14ac:dyDescent="0.15">
      <c r="A1657">
        <v>18</v>
      </c>
      <c r="B1657">
        <v>2026</v>
      </c>
      <c r="C1657" s="21">
        <v>46149</v>
      </c>
      <c r="D1657" t="s">
        <v>101</v>
      </c>
      <c r="E1657" t="s">
        <v>102</v>
      </c>
      <c r="F1657" t="s">
        <v>75</v>
      </c>
      <c r="G1657">
        <v>7.6</v>
      </c>
      <c r="H1657" t="s">
        <v>3495</v>
      </c>
      <c r="I1657" t="s">
        <v>29</v>
      </c>
      <c r="J1657" s="1" t="s">
        <v>30</v>
      </c>
      <c r="K1657" t="s">
        <v>181</v>
      </c>
      <c r="L1657" t="s">
        <v>3340</v>
      </c>
      <c r="M1657">
        <v>2</v>
      </c>
      <c r="N1657">
        <v>1.04</v>
      </c>
      <c r="O1657" t="s">
        <v>211</v>
      </c>
      <c r="P1657">
        <v>57.42</v>
      </c>
      <c r="R1657" t="s">
        <v>3424</v>
      </c>
      <c r="T1657" t="s">
        <v>3337</v>
      </c>
      <c r="U1657">
        <v>9</v>
      </c>
      <c r="V1657" t="s">
        <v>3834</v>
      </c>
    </row>
    <row r="1658" spans="1:22" ht="12.75" customHeight="1" x14ac:dyDescent="0.15">
      <c r="A1658">
        <v>18</v>
      </c>
      <c r="B1658">
        <v>2026</v>
      </c>
      <c r="C1658" s="21">
        <v>46149</v>
      </c>
      <c r="D1658" t="s">
        <v>96</v>
      </c>
      <c r="E1658" t="s">
        <v>97</v>
      </c>
      <c r="F1658" t="s">
        <v>21</v>
      </c>
      <c r="G1658">
        <v>4.5</v>
      </c>
      <c r="H1658" t="s">
        <v>3495</v>
      </c>
      <c r="I1658" t="s">
        <v>29</v>
      </c>
      <c r="J1658" s="1" t="s">
        <v>30</v>
      </c>
      <c r="K1658" t="s">
        <v>181</v>
      </c>
      <c r="L1658" t="s">
        <v>23</v>
      </c>
      <c r="M1658">
        <v>198</v>
      </c>
      <c r="N1658">
        <v>0.8</v>
      </c>
      <c r="P1658">
        <v>3015</v>
      </c>
      <c r="R1658" t="s">
        <v>3746</v>
      </c>
      <c r="T1658" t="s">
        <v>3337</v>
      </c>
      <c r="U1658">
        <v>6</v>
      </c>
      <c r="V1658" t="s">
        <v>3835</v>
      </c>
    </row>
    <row r="1659" spans="1:22" ht="12.75" customHeight="1" x14ac:dyDescent="0.15">
      <c r="A1659">
        <v>18</v>
      </c>
      <c r="B1659">
        <v>2026</v>
      </c>
      <c r="C1659" s="21">
        <v>46149</v>
      </c>
      <c r="D1659" t="s">
        <v>101</v>
      </c>
      <c r="E1659" t="s">
        <v>102</v>
      </c>
      <c r="F1659" t="s">
        <v>75</v>
      </c>
      <c r="G1659">
        <v>7.6</v>
      </c>
      <c r="H1659" t="s">
        <v>3454</v>
      </c>
      <c r="I1659" t="s">
        <v>212</v>
      </c>
      <c r="J1659" s="1" t="s">
        <v>188</v>
      </c>
      <c r="K1659" t="s">
        <v>181</v>
      </c>
      <c r="L1659" t="s">
        <v>3333</v>
      </c>
      <c r="M1659">
        <v>1</v>
      </c>
      <c r="N1659">
        <v>1</v>
      </c>
      <c r="O1659" t="s">
        <v>3358</v>
      </c>
      <c r="P1659">
        <v>71.86</v>
      </c>
      <c r="Q1659">
        <v>8</v>
      </c>
      <c r="R1659" t="s">
        <v>3359</v>
      </c>
      <c r="T1659" t="s">
        <v>3337</v>
      </c>
      <c r="U1659">
        <v>9</v>
      </c>
      <c r="V1659" t="s">
        <v>3545</v>
      </c>
    </row>
    <row r="1660" spans="1:22" ht="12.75" customHeight="1" x14ac:dyDescent="0.15">
      <c r="A1660">
        <v>18</v>
      </c>
      <c r="B1660">
        <v>2026</v>
      </c>
      <c r="C1660" s="21">
        <v>46149</v>
      </c>
      <c r="D1660" t="s">
        <v>101</v>
      </c>
      <c r="E1660" t="s">
        <v>102</v>
      </c>
      <c r="F1660" t="s">
        <v>75</v>
      </c>
      <c r="G1660">
        <v>7.6</v>
      </c>
      <c r="H1660" t="s">
        <v>3454</v>
      </c>
      <c r="I1660" t="s">
        <v>212</v>
      </c>
      <c r="J1660" s="1" t="s">
        <v>188</v>
      </c>
      <c r="K1660" t="s">
        <v>181</v>
      </c>
      <c r="L1660" t="s">
        <v>3333</v>
      </c>
      <c r="M1660">
        <v>6</v>
      </c>
      <c r="N1660">
        <v>1</v>
      </c>
      <c r="O1660" t="s">
        <v>3334</v>
      </c>
      <c r="P1660">
        <v>81.58</v>
      </c>
      <c r="Q1660">
        <v>8</v>
      </c>
      <c r="R1660" t="s">
        <v>3335</v>
      </c>
      <c r="T1660" t="s">
        <v>3337</v>
      </c>
      <c r="U1660">
        <v>9</v>
      </c>
      <c r="V1660" t="s">
        <v>3338</v>
      </c>
    </row>
    <row r="1661" spans="1:22" ht="12.75" customHeight="1" x14ac:dyDescent="0.15">
      <c r="A1661">
        <v>18</v>
      </c>
      <c r="B1661">
        <v>2026</v>
      </c>
      <c r="C1661" s="21">
        <v>46149</v>
      </c>
      <c r="D1661" t="s">
        <v>96</v>
      </c>
      <c r="E1661" t="s">
        <v>97</v>
      </c>
      <c r="F1661" t="s">
        <v>21</v>
      </c>
      <c r="G1661">
        <v>4.5</v>
      </c>
      <c r="H1661" t="s">
        <v>3836</v>
      </c>
      <c r="I1661" t="s">
        <v>3810</v>
      </c>
      <c r="J1661" s="1" t="s">
        <v>30</v>
      </c>
      <c r="K1661" t="s">
        <v>181</v>
      </c>
      <c r="L1661" t="s">
        <v>3333</v>
      </c>
      <c r="M1661">
        <v>86</v>
      </c>
      <c r="N1661">
        <v>0.25</v>
      </c>
      <c r="O1661" t="s">
        <v>3334</v>
      </c>
      <c r="P1661">
        <v>20.399999999999999</v>
      </c>
      <c r="Q1661">
        <v>2</v>
      </c>
      <c r="R1661" t="s">
        <v>3386</v>
      </c>
      <c r="T1661" t="s">
        <v>3402</v>
      </c>
      <c r="U1661">
        <v>6</v>
      </c>
      <c r="V1661" t="s">
        <v>3837</v>
      </c>
    </row>
    <row r="1662" spans="1:22" ht="12.75" customHeight="1" x14ac:dyDescent="0.15">
      <c r="A1662">
        <v>18</v>
      </c>
      <c r="B1662">
        <v>2026</v>
      </c>
      <c r="C1662" s="21">
        <v>46149</v>
      </c>
      <c r="D1662" t="s">
        <v>96</v>
      </c>
      <c r="E1662" t="s">
        <v>97</v>
      </c>
      <c r="F1662" t="s">
        <v>21</v>
      </c>
      <c r="G1662">
        <v>4.5</v>
      </c>
      <c r="H1662" t="s">
        <v>3809</v>
      </c>
      <c r="I1662" t="s">
        <v>3810</v>
      </c>
      <c r="J1662" s="1" t="s">
        <v>30</v>
      </c>
      <c r="K1662" t="s">
        <v>181</v>
      </c>
      <c r="L1662" t="s">
        <v>3587</v>
      </c>
      <c r="N1662">
        <v>0.76</v>
      </c>
      <c r="O1662" t="s">
        <v>3838</v>
      </c>
      <c r="P1662">
        <v>16.25</v>
      </c>
      <c r="Q1662">
        <v>2</v>
      </c>
      <c r="T1662" t="s">
        <v>3402</v>
      </c>
      <c r="U1662">
        <v>6</v>
      </c>
      <c r="V1662" t="s">
        <v>3839</v>
      </c>
    </row>
    <row r="1663" spans="1:22" ht="12.75" customHeight="1" x14ac:dyDescent="0.15">
      <c r="A1663">
        <v>18</v>
      </c>
      <c r="B1663">
        <v>2026</v>
      </c>
      <c r="C1663" s="21">
        <v>46149</v>
      </c>
      <c r="D1663" t="s">
        <v>96</v>
      </c>
      <c r="E1663" t="s">
        <v>97</v>
      </c>
      <c r="F1663" t="s">
        <v>21</v>
      </c>
      <c r="G1663">
        <v>4.5</v>
      </c>
      <c r="H1663" t="s">
        <v>3803</v>
      </c>
      <c r="I1663" t="s">
        <v>3676</v>
      </c>
      <c r="J1663" s="1" t="s">
        <v>3533</v>
      </c>
      <c r="K1663" t="s">
        <v>181</v>
      </c>
      <c r="L1663" t="s">
        <v>3333</v>
      </c>
      <c r="M1663">
        <v>86</v>
      </c>
      <c r="N1663">
        <v>0.13</v>
      </c>
      <c r="O1663" t="s">
        <v>3334</v>
      </c>
      <c r="P1663">
        <v>10.199999999999999</v>
      </c>
      <c r="Q1663">
        <v>1</v>
      </c>
      <c r="R1663" t="s">
        <v>3386</v>
      </c>
      <c r="T1663" t="s">
        <v>3402</v>
      </c>
      <c r="U1663">
        <v>6</v>
      </c>
      <c r="V1663" t="s">
        <v>3840</v>
      </c>
    </row>
    <row r="1664" spans="1:22" ht="12.75" customHeight="1" x14ac:dyDescent="0.15">
      <c r="A1664">
        <v>18</v>
      </c>
      <c r="B1664">
        <v>2026</v>
      </c>
      <c r="C1664" s="21">
        <v>46149</v>
      </c>
      <c r="D1664" t="s">
        <v>96</v>
      </c>
      <c r="E1664" t="s">
        <v>97</v>
      </c>
      <c r="F1664" t="s">
        <v>21</v>
      </c>
      <c r="G1664">
        <v>4.5</v>
      </c>
      <c r="H1664" t="s">
        <v>3841</v>
      </c>
      <c r="I1664" t="s">
        <v>3842</v>
      </c>
      <c r="J1664" s="1" t="s">
        <v>3533</v>
      </c>
      <c r="K1664" t="s">
        <v>181</v>
      </c>
      <c r="L1664" t="s">
        <v>3333</v>
      </c>
      <c r="M1664">
        <v>3</v>
      </c>
      <c r="N1664">
        <v>0.63</v>
      </c>
      <c r="O1664" t="s">
        <v>3334</v>
      </c>
      <c r="P1664">
        <v>50.99</v>
      </c>
      <c r="Q1664">
        <v>5</v>
      </c>
      <c r="R1664" t="s">
        <v>3478</v>
      </c>
      <c r="S1664" t="s">
        <v>3843</v>
      </c>
      <c r="T1664" t="s">
        <v>3402</v>
      </c>
      <c r="U1664">
        <v>6</v>
      </c>
      <c r="V1664" t="s">
        <v>3815</v>
      </c>
    </row>
    <row r="1665" spans="1:22" ht="12.75" customHeight="1" x14ac:dyDescent="0.15">
      <c r="A1665">
        <v>18</v>
      </c>
      <c r="B1665">
        <v>2026</v>
      </c>
      <c r="C1665" s="21">
        <v>46149</v>
      </c>
      <c r="D1665" t="s">
        <v>96</v>
      </c>
      <c r="E1665" t="s">
        <v>97</v>
      </c>
      <c r="F1665" t="s">
        <v>21</v>
      </c>
      <c r="G1665">
        <v>4.5</v>
      </c>
      <c r="H1665" t="s">
        <v>3841</v>
      </c>
      <c r="I1665" t="s">
        <v>3842</v>
      </c>
      <c r="J1665" s="1" t="s">
        <v>3533</v>
      </c>
      <c r="K1665" t="s">
        <v>181</v>
      </c>
      <c r="L1665" t="s">
        <v>3333</v>
      </c>
      <c r="M1665">
        <v>4</v>
      </c>
      <c r="N1665">
        <v>0.63</v>
      </c>
      <c r="O1665" t="s">
        <v>3334</v>
      </c>
      <c r="P1665">
        <v>50.99</v>
      </c>
      <c r="Q1665">
        <v>5</v>
      </c>
      <c r="R1665" t="s">
        <v>3773</v>
      </c>
      <c r="S1665" t="s">
        <v>3844</v>
      </c>
      <c r="T1665" t="s">
        <v>3402</v>
      </c>
      <c r="U1665">
        <v>6</v>
      </c>
      <c r="V1665" t="s">
        <v>3815</v>
      </c>
    </row>
    <row r="1666" spans="1:22" ht="12.75" customHeight="1" x14ac:dyDescent="0.15">
      <c r="A1666">
        <v>18</v>
      </c>
      <c r="B1666">
        <v>2026</v>
      </c>
      <c r="C1666" s="21">
        <v>46149</v>
      </c>
      <c r="D1666" t="s">
        <v>96</v>
      </c>
      <c r="E1666" t="s">
        <v>97</v>
      </c>
      <c r="F1666" t="s">
        <v>21</v>
      </c>
      <c r="G1666">
        <v>4.5</v>
      </c>
      <c r="H1666" t="s">
        <v>3845</v>
      </c>
      <c r="I1666" t="s">
        <v>380</v>
      </c>
      <c r="J1666" s="1" t="s">
        <v>3533</v>
      </c>
      <c r="K1666" t="s">
        <v>181</v>
      </c>
      <c r="L1666" t="s">
        <v>3333</v>
      </c>
      <c r="M1666">
        <v>3</v>
      </c>
      <c r="N1666">
        <v>0.38</v>
      </c>
      <c r="O1666" t="s">
        <v>3334</v>
      </c>
      <c r="P1666">
        <v>30.59</v>
      </c>
      <c r="Q1666">
        <v>3</v>
      </c>
      <c r="R1666" t="s">
        <v>3478</v>
      </c>
      <c r="S1666" t="s">
        <v>3846</v>
      </c>
      <c r="T1666" t="s">
        <v>3402</v>
      </c>
      <c r="U1666">
        <v>6</v>
      </c>
      <c r="V1666" t="s">
        <v>3816</v>
      </c>
    </row>
    <row r="1667" spans="1:22" ht="12.75" customHeight="1" x14ac:dyDescent="0.15">
      <c r="A1667">
        <v>18</v>
      </c>
      <c r="B1667">
        <v>2026</v>
      </c>
      <c r="C1667" s="21">
        <v>46149</v>
      </c>
      <c r="D1667" t="s">
        <v>96</v>
      </c>
      <c r="E1667" t="s">
        <v>97</v>
      </c>
      <c r="F1667" t="s">
        <v>21</v>
      </c>
      <c r="G1667">
        <v>4.5</v>
      </c>
      <c r="H1667" t="s">
        <v>3845</v>
      </c>
      <c r="I1667" t="s">
        <v>380</v>
      </c>
      <c r="J1667" s="1" t="s">
        <v>3533</v>
      </c>
      <c r="K1667" t="s">
        <v>181</v>
      </c>
      <c r="L1667" t="s">
        <v>3333</v>
      </c>
      <c r="M1667">
        <v>4</v>
      </c>
      <c r="N1667">
        <v>0.38</v>
      </c>
      <c r="O1667" t="s">
        <v>3334</v>
      </c>
      <c r="P1667">
        <v>30.59</v>
      </c>
      <c r="Q1667">
        <v>3</v>
      </c>
      <c r="R1667" t="s">
        <v>3773</v>
      </c>
      <c r="T1667" t="s">
        <v>3402</v>
      </c>
      <c r="U1667">
        <v>6</v>
      </c>
      <c r="V1667" t="s">
        <v>3816</v>
      </c>
    </row>
    <row r="1668" spans="1:22" ht="12.75" customHeight="1" x14ac:dyDescent="0.15">
      <c r="A1668">
        <v>18</v>
      </c>
      <c r="B1668">
        <v>2026</v>
      </c>
      <c r="C1668" s="21">
        <v>46149</v>
      </c>
      <c r="D1668" t="s">
        <v>101</v>
      </c>
      <c r="E1668" t="s">
        <v>102</v>
      </c>
      <c r="F1668" t="s">
        <v>75</v>
      </c>
      <c r="G1668">
        <v>7.6</v>
      </c>
      <c r="H1668" t="s">
        <v>3495</v>
      </c>
      <c r="I1668" t="s">
        <v>29</v>
      </c>
      <c r="J1668" s="1" t="s">
        <v>30</v>
      </c>
      <c r="K1668" t="s">
        <v>181</v>
      </c>
      <c r="L1668" t="s">
        <v>3340</v>
      </c>
      <c r="M1668">
        <v>78</v>
      </c>
      <c r="N1668">
        <v>1.85</v>
      </c>
      <c r="O1668" t="s">
        <v>211</v>
      </c>
      <c r="P1668">
        <v>102</v>
      </c>
      <c r="R1668" t="s">
        <v>3341</v>
      </c>
      <c r="T1668" t="s">
        <v>3402</v>
      </c>
      <c r="U1668">
        <v>9</v>
      </c>
      <c r="V1668" t="s">
        <v>3352</v>
      </c>
    </row>
    <row r="1669" spans="1:22" ht="12.75" customHeight="1" x14ac:dyDescent="0.15">
      <c r="A1669">
        <v>18</v>
      </c>
      <c r="B1669">
        <v>2026</v>
      </c>
      <c r="C1669" s="21">
        <v>46149</v>
      </c>
      <c r="D1669" t="s">
        <v>101</v>
      </c>
      <c r="E1669" t="s">
        <v>102</v>
      </c>
      <c r="F1669" t="s">
        <v>75</v>
      </c>
      <c r="G1669">
        <v>7.6</v>
      </c>
      <c r="H1669" t="s">
        <v>3495</v>
      </c>
      <c r="I1669" t="s">
        <v>29</v>
      </c>
      <c r="J1669" s="1" t="s">
        <v>30</v>
      </c>
      <c r="K1669" t="s">
        <v>181</v>
      </c>
      <c r="L1669" t="s">
        <v>3333</v>
      </c>
      <c r="M1669">
        <v>67</v>
      </c>
      <c r="N1669">
        <v>0.5</v>
      </c>
      <c r="O1669" t="s">
        <v>3334</v>
      </c>
      <c r="P1669">
        <v>40.79</v>
      </c>
      <c r="Q1669">
        <v>4</v>
      </c>
      <c r="R1669" t="s">
        <v>3404</v>
      </c>
      <c r="T1669" t="s">
        <v>3402</v>
      </c>
      <c r="U1669">
        <v>9</v>
      </c>
      <c r="V1669" t="s">
        <v>3455</v>
      </c>
    </row>
    <row r="1670" spans="1:22" ht="12.75" customHeight="1" x14ac:dyDescent="0.15">
      <c r="A1670">
        <v>18</v>
      </c>
      <c r="B1670">
        <v>2026</v>
      </c>
      <c r="C1670" s="21">
        <v>46149</v>
      </c>
      <c r="D1670" t="s">
        <v>101</v>
      </c>
      <c r="E1670" t="s">
        <v>102</v>
      </c>
      <c r="F1670" t="s">
        <v>75</v>
      </c>
      <c r="G1670">
        <v>7.6</v>
      </c>
      <c r="H1670" t="s">
        <v>3495</v>
      </c>
      <c r="I1670" t="s">
        <v>29</v>
      </c>
      <c r="J1670" s="1" t="s">
        <v>30</v>
      </c>
      <c r="K1670" t="s">
        <v>181</v>
      </c>
      <c r="L1670" t="s">
        <v>3333</v>
      </c>
      <c r="M1670">
        <v>19</v>
      </c>
      <c r="N1670">
        <v>0.5</v>
      </c>
      <c r="O1670" t="s">
        <v>3334</v>
      </c>
      <c r="P1670">
        <v>40.79</v>
      </c>
      <c r="Q1670">
        <v>4</v>
      </c>
      <c r="R1670" t="s">
        <v>3403</v>
      </c>
      <c r="T1670" t="s">
        <v>3402</v>
      </c>
      <c r="U1670">
        <v>9</v>
      </c>
      <c r="V1670" t="s">
        <v>3455</v>
      </c>
    </row>
    <row r="1671" spans="1:22" ht="12.75" customHeight="1" x14ac:dyDescent="0.15">
      <c r="A1671">
        <v>18</v>
      </c>
      <c r="B1671">
        <v>2026</v>
      </c>
      <c r="C1671" s="21">
        <v>46149</v>
      </c>
      <c r="D1671" t="s">
        <v>101</v>
      </c>
      <c r="E1671" t="s">
        <v>102</v>
      </c>
      <c r="F1671" t="s">
        <v>75</v>
      </c>
      <c r="G1671">
        <v>7.6</v>
      </c>
      <c r="H1671" t="s">
        <v>3495</v>
      </c>
      <c r="I1671" t="s">
        <v>29</v>
      </c>
      <c r="J1671" s="1" t="s">
        <v>30</v>
      </c>
      <c r="K1671" t="s">
        <v>181</v>
      </c>
      <c r="L1671" t="s">
        <v>3340</v>
      </c>
      <c r="M1671">
        <v>67</v>
      </c>
      <c r="N1671">
        <v>1.1100000000000001</v>
      </c>
      <c r="O1671" t="s">
        <v>211</v>
      </c>
      <c r="P1671">
        <v>61.2</v>
      </c>
      <c r="R1671" t="s">
        <v>3404</v>
      </c>
      <c r="T1671" t="s">
        <v>3402</v>
      </c>
      <c r="U1671">
        <v>9</v>
      </c>
      <c r="V1671" t="s">
        <v>3354</v>
      </c>
    </row>
    <row r="1672" spans="1:22" ht="12.75" customHeight="1" x14ac:dyDescent="0.15">
      <c r="A1672">
        <v>18</v>
      </c>
      <c r="B1672">
        <v>2026</v>
      </c>
      <c r="C1672" s="21">
        <v>46149</v>
      </c>
      <c r="D1672" t="s">
        <v>101</v>
      </c>
      <c r="E1672" t="s">
        <v>102</v>
      </c>
      <c r="F1672" t="s">
        <v>75</v>
      </c>
      <c r="G1672">
        <v>7.6</v>
      </c>
      <c r="H1672" t="s">
        <v>3495</v>
      </c>
      <c r="I1672" t="s">
        <v>29</v>
      </c>
      <c r="J1672" s="1" t="s">
        <v>30</v>
      </c>
      <c r="K1672" t="s">
        <v>181</v>
      </c>
      <c r="L1672" t="s">
        <v>3340</v>
      </c>
      <c r="M1672">
        <v>19</v>
      </c>
      <c r="N1672">
        <v>1.1100000000000001</v>
      </c>
      <c r="O1672" t="s">
        <v>211</v>
      </c>
      <c r="P1672">
        <v>61.2</v>
      </c>
      <c r="R1672" t="s">
        <v>3403</v>
      </c>
      <c r="T1672" t="s">
        <v>3402</v>
      </c>
      <c r="U1672">
        <v>9</v>
      </c>
      <c r="V1672" t="s">
        <v>3354</v>
      </c>
    </row>
    <row r="1673" spans="1:22" ht="12.75" customHeight="1" x14ac:dyDescent="0.15">
      <c r="A1673">
        <v>18</v>
      </c>
      <c r="B1673">
        <v>2026</v>
      </c>
      <c r="C1673" s="21">
        <v>46149</v>
      </c>
      <c r="D1673" t="s">
        <v>96</v>
      </c>
      <c r="E1673" t="s">
        <v>97</v>
      </c>
      <c r="F1673" t="s">
        <v>21</v>
      </c>
      <c r="G1673">
        <v>4.5</v>
      </c>
      <c r="H1673" t="s">
        <v>3847</v>
      </c>
      <c r="I1673" t="s">
        <v>3848</v>
      </c>
      <c r="J1673" s="1" t="s">
        <v>26</v>
      </c>
      <c r="K1673" t="s">
        <v>181</v>
      </c>
      <c r="L1673" t="s">
        <v>3333</v>
      </c>
      <c r="M1673">
        <v>86</v>
      </c>
      <c r="N1673">
        <v>0.63</v>
      </c>
      <c r="O1673" t="s">
        <v>3334</v>
      </c>
      <c r="P1673">
        <v>50.99</v>
      </c>
      <c r="Q1673">
        <v>5</v>
      </c>
      <c r="R1673" t="s">
        <v>3386</v>
      </c>
      <c r="T1673" t="s">
        <v>3402</v>
      </c>
      <c r="U1673">
        <v>6</v>
      </c>
      <c r="V1673" t="s">
        <v>3815</v>
      </c>
    </row>
    <row r="1674" spans="1:22" ht="12.75" customHeight="1" x14ac:dyDescent="0.15">
      <c r="A1674">
        <v>18</v>
      </c>
      <c r="B1674">
        <v>2026</v>
      </c>
      <c r="C1674" s="21">
        <v>46149</v>
      </c>
      <c r="D1674" t="s">
        <v>96</v>
      </c>
      <c r="E1674" t="s">
        <v>97</v>
      </c>
      <c r="F1674" t="s">
        <v>21</v>
      </c>
      <c r="G1674">
        <v>4.5</v>
      </c>
      <c r="H1674" t="s">
        <v>3849</v>
      </c>
      <c r="I1674" t="s">
        <v>3850</v>
      </c>
      <c r="J1674" s="1" t="s">
        <v>26</v>
      </c>
      <c r="K1674" t="s">
        <v>2666</v>
      </c>
      <c r="L1674" t="s">
        <v>3587</v>
      </c>
      <c r="N1674">
        <v>1.9</v>
      </c>
      <c r="O1674" t="s">
        <v>3838</v>
      </c>
      <c r="P1674">
        <v>40.619999999999997</v>
      </c>
      <c r="Q1674">
        <v>5</v>
      </c>
      <c r="T1674" t="s">
        <v>3402</v>
      </c>
      <c r="U1674">
        <v>6</v>
      </c>
      <c r="V1674" t="s">
        <v>3851</v>
      </c>
    </row>
    <row r="1675" spans="1:22" ht="12.75" customHeight="1" x14ac:dyDescent="0.15">
      <c r="A1675">
        <v>19</v>
      </c>
      <c r="B1675">
        <v>2026</v>
      </c>
      <c r="C1675" s="21">
        <v>46150</v>
      </c>
      <c r="D1675" t="s">
        <v>96</v>
      </c>
      <c r="E1675" t="s">
        <v>97</v>
      </c>
      <c r="F1675" t="s">
        <v>21</v>
      </c>
      <c r="G1675">
        <v>4.5</v>
      </c>
      <c r="H1675" t="s">
        <v>3803</v>
      </c>
      <c r="I1675" t="s">
        <v>3676</v>
      </c>
      <c r="J1675" s="1" t="s">
        <v>3533</v>
      </c>
      <c r="K1675" t="s">
        <v>181</v>
      </c>
      <c r="L1675" t="s">
        <v>3340</v>
      </c>
      <c r="M1675">
        <v>45</v>
      </c>
      <c r="N1675">
        <v>0.74</v>
      </c>
      <c r="O1675" t="s">
        <v>211</v>
      </c>
      <c r="P1675">
        <v>40.5</v>
      </c>
      <c r="Q1675">
        <v>4.5</v>
      </c>
      <c r="R1675" t="s">
        <v>3377</v>
      </c>
      <c r="T1675" t="s">
        <v>3337</v>
      </c>
      <c r="U1675">
        <v>7</v>
      </c>
      <c r="V1675" t="s">
        <v>3473</v>
      </c>
    </row>
    <row r="1676" spans="1:22" ht="12.75" customHeight="1" x14ac:dyDescent="0.15">
      <c r="A1676">
        <v>19</v>
      </c>
      <c r="B1676">
        <v>2026</v>
      </c>
      <c r="C1676" s="21">
        <v>46150</v>
      </c>
      <c r="D1676" t="s">
        <v>96</v>
      </c>
      <c r="E1676" t="s">
        <v>97</v>
      </c>
      <c r="F1676" t="s">
        <v>21</v>
      </c>
      <c r="G1676">
        <v>4.5</v>
      </c>
      <c r="H1676" t="s">
        <v>3803</v>
      </c>
      <c r="I1676" t="s">
        <v>3676</v>
      </c>
      <c r="J1676" s="1" t="s">
        <v>3533</v>
      </c>
      <c r="K1676" t="s">
        <v>181</v>
      </c>
      <c r="L1676" t="s">
        <v>3340</v>
      </c>
      <c r="M1676">
        <v>62</v>
      </c>
      <c r="N1676">
        <v>0.74</v>
      </c>
      <c r="O1676" t="s">
        <v>211</v>
      </c>
      <c r="P1676">
        <v>40.5</v>
      </c>
      <c r="Q1676">
        <v>4.5</v>
      </c>
      <c r="R1676" t="s">
        <v>3375</v>
      </c>
      <c r="T1676" t="s">
        <v>3337</v>
      </c>
      <c r="U1676">
        <v>7</v>
      </c>
      <c r="V1676" t="s">
        <v>3473</v>
      </c>
    </row>
    <row r="1677" spans="1:22" ht="12.75" customHeight="1" x14ac:dyDescent="0.15">
      <c r="A1677">
        <v>19</v>
      </c>
      <c r="B1677">
        <v>2026</v>
      </c>
      <c r="C1677" s="21">
        <v>46150</v>
      </c>
      <c r="D1677" t="s">
        <v>96</v>
      </c>
      <c r="E1677" t="s">
        <v>97</v>
      </c>
      <c r="F1677" t="s">
        <v>21</v>
      </c>
      <c r="G1677">
        <v>4.5</v>
      </c>
      <c r="H1677" t="s">
        <v>3803</v>
      </c>
      <c r="I1677" t="s">
        <v>3676</v>
      </c>
      <c r="J1677" s="1" t="s">
        <v>3533</v>
      </c>
      <c r="K1677" t="s">
        <v>181</v>
      </c>
      <c r="L1677" t="s">
        <v>3340</v>
      </c>
      <c r="M1677">
        <v>58</v>
      </c>
      <c r="N1677">
        <v>0.74</v>
      </c>
      <c r="O1677" t="s">
        <v>211</v>
      </c>
      <c r="P1677">
        <v>40.5</v>
      </c>
      <c r="Q1677">
        <v>4.5</v>
      </c>
      <c r="R1677" t="s">
        <v>3343</v>
      </c>
      <c r="T1677" t="s">
        <v>3337</v>
      </c>
      <c r="U1677">
        <v>7</v>
      </c>
      <c r="V1677" t="s">
        <v>3473</v>
      </c>
    </row>
    <row r="1678" spans="1:22" ht="12.75" customHeight="1" x14ac:dyDescent="0.15">
      <c r="A1678">
        <v>19</v>
      </c>
      <c r="B1678">
        <v>2026</v>
      </c>
      <c r="C1678" s="21">
        <v>46150</v>
      </c>
      <c r="D1678" t="s">
        <v>96</v>
      </c>
      <c r="E1678" t="s">
        <v>97</v>
      </c>
      <c r="F1678" t="s">
        <v>21</v>
      </c>
      <c r="G1678">
        <v>4.5</v>
      </c>
      <c r="H1678" t="s">
        <v>3803</v>
      </c>
      <c r="I1678" t="s">
        <v>3676</v>
      </c>
      <c r="J1678" s="1" t="s">
        <v>3533</v>
      </c>
      <c r="K1678" t="s">
        <v>181</v>
      </c>
      <c r="L1678" t="s">
        <v>3340</v>
      </c>
      <c r="M1678">
        <v>132</v>
      </c>
      <c r="N1678">
        <v>0.74</v>
      </c>
      <c r="O1678" t="s">
        <v>211</v>
      </c>
      <c r="P1678">
        <v>40.5</v>
      </c>
      <c r="Q1678">
        <v>4.5</v>
      </c>
      <c r="R1678" t="s">
        <v>3368</v>
      </c>
      <c r="T1678" t="s">
        <v>3337</v>
      </c>
      <c r="U1678">
        <v>7</v>
      </c>
      <c r="V1678" t="s">
        <v>3473</v>
      </c>
    </row>
    <row r="1679" spans="1:22" ht="12.75" customHeight="1" x14ac:dyDescent="0.15">
      <c r="A1679">
        <v>19</v>
      </c>
      <c r="B1679">
        <v>2026</v>
      </c>
      <c r="C1679" s="21">
        <v>46150</v>
      </c>
      <c r="D1679" t="s">
        <v>96</v>
      </c>
      <c r="E1679" t="s">
        <v>97</v>
      </c>
      <c r="F1679" t="s">
        <v>21</v>
      </c>
      <c r="G1679">
        <v>4.5</v>
      </c>
      <c r="H1679" t="s">
        <v>3803</v>
      </c>
      <c r="I1679" t="s">
        <v>3676</v>
      </c>
      <c r="J1679" s="1" t="s">
        <v>3533</v>
      </c>
      <c r="K1679" t="s">
        <v>181</v>
      </c>
      <c r="L1679" t="s">
        <v>3340</v>
      </c>
      <c r="M1679">
        <v>81</v>
      </c>
      <c r="N1679">
        <v>0.74</v>
      </c>
      <c r="O1679" t="s">
        <v>211</v>
      </c>
      <c r="P1679">
        <v>40.5</v>
      </c>
      <c r="Q1679">
        <v>4.5</v>
      </c>
      <c r="R1679" t="s">
        <v>3374</v>
      </c>
      <c r="T1679" t="s">
        <v>3337</v>
      </c>
      <c r="U1679">
        <v>7</v>
      </c>
      <c r="V1679" t="s">
        <v>3473</v>
      </c>
    </row>
    <row r="1680" spans="1:22" ht="12.75" customHeight="1" x14ac:dyDescent="0.15">
      <c r="A1680">
        <v>19</v>
      </c>
      <c r="B1680">
        <v>2026</v>
      </c>
      <c r="C1680" s="21">
        <v>46150</v>
      </c>
      <c r="D1680" t="s">
        <v>101</v>
      </c>
      <c r="E1680" t="s">
        <v>102</v>
      </c>
      <c r="F1680" t="s">
        <v>75</v>
      </c>
      <c r="G1680">
        <v>7.6</v>
      </c>
      <c r="H1680" t="s">
        <v>3346</v>
      </c>
      <c r="I1680" t="s">
        <v>212</v>
      </c>
      <c r="J1680" s="1" t="s">
        <v>188</v>
      </c>
      <c r="K1680" t="s">
        <v>181</v>
      </c>
      <c r="L1680" t="s">
        <v>3333</v>
      </c>
      <c r="M1680">
        <v>6</v>
      </c>
      <c r="N1680">
        <v>1</v>
      </c>
      <c r="O1680" t="s">
        <v>3334</v>
      </c>
      <c r="P1680">
        <v>81.58</v>
      </c>
      <c r="Q1680">
        <v>8</v>
      </c>
      <c r="R1680" t="s">
        <v>3335</v>
      </c>
      <c r="T1680" t="s">
        <v>3337</v>
      </c>
      <c r="U1680">
        <v>10</v>
      </c>
      <c r="V1680" t="s">
        <v>3338</v>
      </c>
    </row>
    <row r="1681" spans="1:22" ht="12.75" customHeight="1" x14ac:dyDescent="0.15">
      <c r="A1681">
        <v>19</v>
      </c>
      <c r="B1681">
        <v>2026</v>
      </c>
      <c r="C1681" s="21">
        <v>46150</v>
      </c>
      <c r="D1681" t="s">
        <v>101</v>
      </c>
      <c r="E1681" t="s">
        <v>102</v>
      </c>
      <c r="F1681" t="s">
        <v>75</v>
      </c>
      <c r="G1681">
        <v>7.6</v>
      </c>
      <c r="H1681" t="s">
        <v>3852</v>
      </c>
      <c r="I1681" t="s">
        <v>3467</v>
      </c>
      <c r="J1681" s="1" t="s">
        <v>3468</v>
      </c>
      <c r="K1681" t="s">
        <v>181</v>
      </c>
      <c r="L1681" t="s">
        <v>3333</v>
      </c>
      <c r="M1681">
        <v>1</v>
      </c>
      <c r="N1681">
        <v>0.56000000000000005</v>
      </c>
      <c r="O1681" t="s">
        <v>3358</v>
      </c>
      <c r="P1681">
        <v>40.42</v>
      </c>
      <c r="Q1681">
        <v>4.5</v>
      </c>
      <c r="R1681" t="s">
        <v>3359</v>
      </c>
      <c r="T1681" t="s">
        <v>3337</v>
      </c>
      <c r="U1681">
        <v>10</v>
      </c>
      <c r="V1681" t="s">
        <v>3853</v>
      </c>
    </row>
    <row r="1682" spans="1:22" ht="12.75" customHeight="1" x14ac:dyDescent="0.15">
      <c r="A1682">
        <v>19</v>
      </c>
      <c r="B1682">
        <v>2026</v>
      </c>
      <c r="C1682" s="25">
        <v>46150</v>
      </c>
      <c r="D1682" t="s">
        <v>96</v>
      </c>
      <c r="E1682" t="s">
        <v>97</v>
      </c>
      <c r="F1682" t="s">
        <v>21</v>
      </c>
      <c r="G1682">
        <v>4.5</v>
      </c>
      <c r="H1682" t="s">
        <v>3845</v>
      </c>
      <c r="I1682" t="s">
        <v>380</v>
      </c>
      <c r="J1682" s="1" t="s">
        <v>3533</v>
      </c>
      <c r="K1682" t="s">
        <v>181</v>
      </c>
      <c r="L1682" t="s">
        <v>3333</v>
      </c>
      <c r="M1682">
        <v>4</v>
      </c>
      <c r="N1682">
        <v>1</v>
      </c>
      <c r="O1682" t="s">
        <v>3334</v>
      </c>
      <c r="P1682">
        <v>81.58</v>
      </c>
      <c r="Q1682">
        <v>8</v>
      </c>
      <c r="R1682" t="s">
        <v>3773</v>
      </c>
      <c r="T1682" t="s">
        <v>3402</v>
      </c>
      <c r="U1682">
        <v>7</v>
      </c>
      <c r="V1682" t="s">
        <v>3826</v>
      </c>
    </row>
    <row r="1683" spans="1:22" ht="12.75" customHeight="1" x14ac:dyDescent="0.15">
      <c r="A1683">
        <v>19</v>
      </c>
      <c r="B1683">
        <v>2026</v>
      </c>
      <c r="C1683" s="25">
        <v>46150</v>
      </c>
      <c r="D1683" t="s">
        <v>96</v>
      </c>
      <c r="E1683" t="s">
        <v>97</v>
      </c>
      <c r="F1683" t="s">
        <v>21</v>
      </c>
      <c r="G1683">
        <v>4.5</v>
      </c>
      <c r="H1683" t="s">
        <v>3845</v>
      </c>
      <c r="I1683" t="s">
        <v>380</v>
      </c>
      <c r="J1683" s="1" t="s">
        <v>3533</v>
      </c>
      <c r="K1683" t="s">
        <v>181</v>
      </c>
      <c r="L1683" t="s">
        <v>3333</v>
      </c>
      <c r="M1683">
        <v>3</v>
      </c>
      <c r="N1683">
        <v>1</v>
      </c>
      <c r="O1683" t="s">
        <v>3334</v>
      </c>
      <c r="P1683">
        <v>81.58</v>
      </c>
      <c r="Q1683">
        <v>8</v>
      </c>
      <c r="R1683" t="s">
        <v>3478</v>
      </c>
      <c r="T1683" t="s">
        <v>3402</v>
      </c>
      <c r="U1683">
        <v>7</v>
      </c>
      <c r="V1683" t="s">
        <v>3826</v>
      </c>
    </row>
    <row r="1684" spans="1:22" ht="12.75" customHeight="1" x14ac:dyDescent="0.15">
      <c r="A1684">
        <v>19</v>
      </c>
      <c r="B1684">
        <v>2026</v>
      </c>
      <c r="C1684" s="25">
        <v>46150</v>
      </c>
      <c r="D1684" t="s">
        <v>96</v>
      </c>
      <c r="E1684" t="s">
        <v>97</v>
      </c>
      <c r="F1684" t="s">
        <v>21</v>
      </c>
      <c r="G1684">
        <v>4.5</v>
      </c>
      <c r="H1684" t="s">
        <v>3845</v>
      </c>
      <c r="I1684" t="s">
        <v>380</v>
      </c>
      <c r="J1684" s="1" t="s">
        <v>3533</v>
      </c>
      <c r="K1684" t="s">
        <v>181</v>
      </c>
      <c r="L1684" t="s">
        <v>3333</v>
      </c>
      <c r="M1684">
        <v>86</v>
      </c>
      <c r="N1684">
        <v>1</v>
      </c>
      <c r="O1684" t="s">
        <v>3334</v>
      </c>
      <c r="P1684">
        <v>81.58</v>
      </c>
      <c r="Q1684">
        <v>8</v>
      </c>
      <c r="R1684" t="s">
        <v>3386</v>
      </c>
      <c r="T1684" t="s">
        <v>3402</v>
      </c>
      <c r="U1684">
        <v>7</v>
      </c>
      <c r="V1684" t="s">
        <v>3826</v>
      </c>
    </row>
    <row r="1685" spans="1:22" ht="12.75" customHeight="1" x14ac:dyDescent="0.15">
      <c r="A1685">
        <v>19</v>
      </c>
      <c r="B1685">
        <v>2026</v>
      </c>
      <c r="C1685" s="25">
        <v>46150</v>
      </c>
      <c r="D1685" t="s">
        <v>96</v>
      </c>
      <c r="E1685" t="s">
        <v>97</v>
      </c>
      <c r="F1685" t="s">
        <v>21</v>
      </c>
      <c r="G1685">
        <v>4.5</v>
      </c>
      <c r="H1685" t="s">
        <v>3847</v>
      </c>
      <c r="I1685" t="s">
        <v>3848</v>
      </c>
      <c r="J1685" s="1" t="s">
        <v>26</v>
      </c>
      <c r="K1685" t="s">
        <v>181</v>
      </c>
      <c r="L1685" t="s">
        <v>3333</v>
      </c>
      <c r="M1685">
        <v>11</v>
      </c>
      <c r="N1685">
        <v>0.11</v>
      </c>
      <c r="O1685" t="s">
        <v>213</v>
      </c>
      <c r="P1685">
        <v>10.199999999999999</v>
      </c>
      <c r="Q1685">
        <v>1</v>
      </c>
      <c r="R1685" t="s">
        <v>3564</v>
      </c>
      <c r="T1685" t="s">
        <v>3402</v>
      </c>
      <c r="U1685">
        <v>7</v>
      </c>
      <c r="V1685" t="s">
        <v>3840</v>
      </c>
    </row>
    <row r="1686" spans="1:22" ht="12.75" customHeight="1" x14ac:dyDescent="0.15">
      <c r="A1686">
        <v>19</v>
      </c>
      <c r="B1686">
        <v>2026</v>
      </c>
      <c r="C1686" s="25">
        <v>46150</v>
      </c>
      <c r="D1686" t="s">
        <v>96</v>
      </c>
      <c r="E1686" t="s">
        <v>97</v>
      </c>
      <c r="F1686" t="s">
        <v>21</v>
      </c>
      <c r="G1686">
        <v>4.5</v>
      </c>
      <c r="H1686" t="s">
        <v>3849</v>
      </c>
      <c r="I1686" t="s">
        <v>3850</v>
      </c>
      <c r="J1686" s="1" t="s">
        <v>26</v>
      </c>
      <c r="K1686" t="s">
        <v>2666</v>
      </c>
      <c r="L1686" t="s">
        <v>3587</v>
      </c>
      <c r="N1686">
        <v>3.45</v>
      </c>
      <c r="O1686" t="s">
        <v>3838</v>
      </c>
      <c r="P1686">
        <v>73.790000000000006</v>
      </c>
      <c r="T1686" t="s">
        <v>3402</v>
      </c>
      <c r="U1686">
        <v>7</v>
      </c>
      <c r="V1686" t="s">
        <v>3854</v>
      </c>
    </row>
    <row r="1687" spans="1:22" ht="12.75" customHeight="1" x14ac:dyDescent="0.15">
      <c r="A1687">
        <v>19</v>
      </c>
      <c r="B1687">
        <v>2026</v>
      </c>
      <c r="C1687" s="25">
        <v>46151</v>
      </c>
      <c r="D1687" t="s">
        <v>73</v>
      </c>
      <c r="E1687" t="s">
        <v>74</v>
      </c>
      <c r="F1687" t="s">
        <v>75</v>
      </c>
      <c r="G1687">
        <v>2.2999999999999998</v>
      </c>
      <c r="H1687" t="s">
        <v>3855</v>
      </c>
      <c r="I1687" t="s">
        <v>3808</v>
      </c>
      <c r="J1687" s="1" t="s">
        <v>26</v>
      </c>
      <c r="K1687" t="s">
        <v>181</v>
      </c>
      <c r="L1687" t="s">
        <v>3340</v>
      </c>
      <c r="M1687">
        <v>45</v>
      </c>
      <c r="N1687">
        <v>1.82</v>
      </c>
      <c r="O1687" t="s">
        <v>211</v>
      </c>
      <c r="P1687">
        <v>100</v>
      </c>
      <c r="R1687" t="s">
        <v>3377</v>
      </c>
      <c r="T1687" t="s">
        <v>3337</v>
      </c>
      <c r="U1687">
        <v>21</v>
      </c>
      <c r="V1687" t="s">
        <v>3856</v>
      </c>
    </row>
    <row r="1688" spans="1:22" ht="12.75" customHeight="1" x14ac:dyDescent="0.15">
      <c r="A1688">
        <v>19</v>
      </c>
      <c r="B1688">
        <v>2026</v>
      </c>
      <c r="C1688" s="25">
        <v>46151</v>
      </c>
      <c r="D1688" t="s">
        <v>73</v>
      </c>
      <c r="E1688" t="s">
        <v>74</v>
      </c>
      <c r="F1688" t="s">
        <v>75</v>
      </c>
      <c r="G1688">
        <v>2.2999999999999998</v>
      </c>
      <c r="H1688" t="s">
        <v>3855</v>
      </c>
      <c r="I1688" t="s">
        <v>3808</v>
      </c>
      <c r="J1688" s="1" t="s">
        <v>26</v>
      </c>
      <c r="K1688" t="s">
        <v>181</v>
      </c>
      <c r="L1688" t="s">
        <v>3340</v>
      </c>
      <c r="M1688">
        <v>62</v>
      </c>
      <c r="N1688">
        <v>1.82</v>
      </c>
      <c r="O1688" t="s">
        <v>211</v>
      </c>
      <c r="P1688">
        <v>100</v>
      </c>
      <c r="R1688" t="s">
        <v>3375</v>
      </c>
      <c r="T1688" t="s">
        <v>3337</v>
      </c>
      <c r="U1688">
        <v>21</v>
      </c>
      <c r="V1688" t="s">
        <v>3856</v>
      </c>
    </row>
    <row r="1689" spans="1:22" ht="12.75" customHeight="1" x14ac:dyDescent="0.15">
      <c r="A1689">
        <v>19</v>
      </c>
      <c r="B1689">
        <v>2026</v>
      </c>
      <c r="C1689" s="25">
        <v>46151</v>
      </c>
      <c r="D1689" t="s">
        <v>73</v>
      </c>
      <c r="E1689" t="s">
        <v>74</v>
      </c>
      <c r="F1689" t="s">
        <v>75</v>
      </c>
      <c r="G1689">
        <v>2.2999999999999998</v>
      </c>
      <c r="H1689" t="s">
        <v>3855</v>
      </c>
      <c r="I1689" t="s">
        <v>3808</v>
      </c>
      <c r="J1689" s="1" t="s">
        <v>26</v>
      </c>
      <c r="K1689" t="s">
        <v>181</v>
      </c>
      <c r="L1689" t="s">
        <v>3340</v>
      </c>
      <c r="M1689">
        <v>58</v>
      </c>
      <c r="N1689">
        <v>1.82</v>
      </c>
      <c r="O1689" t="s">
        <v>211</v>
      </c>
      <c r="P1689">
        <v>100</v>
      </c>
      <c r="R1689" t="s">
        <v>3343</v>
      </c>
      <c r="T1689" t="s">
        <v>3337</v>
      </c>
      <c r="U1689">
        <v>21</v>
      </c>
      <c r="V1689" t="s">
        <v>3856</v>
      </c>
    </row>
    <row r="1690" spans="1:22" ht="12.75" customHeight="1" x14ac:dyDescent="0.15">
      <c r="A1690">
        <v>19</v>
      </c>
      <c r="B1690">
        <v>2026</v>
      </c>
      <c r="C1690" s="25">
        <v>46151</v>
      </c>
      <c r="D1690" t="s">
        <v>73</v>
      </c>
      <c r="E1690" t="s">
        <v>74</v>
      </c>
      <c r="F1690" t="s">
        <v>75</v>
      </c>
      <c r="G1690">
        <v>2.2999999999999998</v>
      </c>
      <c r="H1690" t="s">
        <v>3855</v>
      </c>
      <c r="I1690" t="s">
        <v>3808</v>
      </c>
      <c r="J1690" s="1" t="s">
        <v>26</v>
      </c>
      <c r="K1690" t="s">
        <v>181</v>
      </c>
      <c r="L1690" t="s">
        <v>3340</v>
      </c>
      <c r="M1690">
        <v>132</v>
      </c>
      <c r="N1690">
        <v>1.82</v>
      </c>
      <c r="O1690" t="s">
        <v>211</v>
      </c>
      <c r="P1690">
        <v>100</v>
      </c>
      <c r="R1690" t="s">
        <v>3368</v>
      </c>
      <c r="T1690" t="s">
        <v>3337</v>
      </c>
      <c r="U1690">
        <v>21</v>
      </c>
      <c r="V1690" t="s">
        <v>3856</v>
      </c>
    </row>
    <row r="1691" spans="1:22" ht="12.75" customHeight="1" x14ac:dyDescent="0.15">
      <c r="A1691">
        <v>19</v>
      </c>
      <c r="B1691">
        <v>2026</v>
      </c>
      <c r="C1691" s="25">
        <v>46151</v>
      </c>
      <c r="D1691" t="s">
        <v>73</v>
      </c>
      <c r="E1691" t="s">
        <v>74</v>
      </c>
      <c r="F1691" t="s">
        <v>75</v>
      </c>
      <c r="G1691">
        <v>2.2999999999999998</v>
      </c>
      <c r="H1691" t="s">
        <v>3855</v>
      </c>
      <c r="I1691" t="s">
        <v>3808</v>
      </c>
      <c r="J1691" s="1" t="s">
        <v>26</v>
      </c>
      <c r="K1691" t="s">
        <v>181</v>
      </c>
      <c r="L1691" t="s">
        <v>3340</v>
      </c>
      <c r="M1691">
        <v>81</v>
      </c>
      <c r="N1691">
        <v>1.82</v>
      </c>
      <c r="O1691" t="s">
        <v>211</v>
      </c>
      <c r="P1691">
        <v>100</v>
      </c>
      <c r="R1691" t="s">
        <v>3374</v>
      </c>
      <c r="T1691" t="s">
        <v>3337</v>
      </c>
      <c r="U1691">
        <v>21</v>
      </c>
      <c r="V1691" t="s">
        <v>3856</v>
      </c>
    </row>
    <row r="1692" spans="1:22" ht="12.75" customHeight="1" x14ac:dyDescent="0.15">
      <c r="A1692">
        <v>19</v>
      </c>
      <c r="B1692">
        <v>2026</v>
      </c>
      <c r="C1692" s="25">
        <v>46151</v>
      </c>
      <c r="D1692" t="s">
        <v>47</v>
      </c>
      <c r="E1692" t="s">
        <v>48</v>
      </c>
      <c r="F1692" t="s">
        <v>21</v>
      </c>
      <c r="G1692">
        <v>2</v>
      </c>
      <c r="H1692" t="s">
        <v>3346</v>
      </c>
      <c r="I1692" t="s">
        <v>212</v>
      </c>
      <c r="J1692" s="1" t="s">
        <v>188</v>
      </c>
      <c r="K1692" t="s">
        <v>181</v>
      </c>
      <c r="L1692" t="s">
        <v>3333</v>
      </c>
      <c r="M1692">
        <v>1</v>
      </c>
      <c r="N1692">
        <v>1</v>
      </c>
      <c r="O1692" t="s">
        <v>3358</v>
      </c>
      <c r="P1692">
        <v>71.86</v>
      </c>
      <c r="Q1692">
        <v>8</v>
      </c>
      <c r="R1692" t="s">
        <v>3359</v>
      </c>
      <c r="T1692" t="s">
        <v>3337</v>
      </c>
      <c r="U1692">
        <v>79</v>
      </c>
      <c r="V1692" t="s">
        <v>3452</v>
      </c>
    </row>
    <row r="1693" spans="1:22" ht="12.75" customHeight="1" x14ac:dyDescent="0.15">
      <c r="A1693">
        <v>19</v>
      </c>
      <c r="B1693">
        <v>2026</v>
      </c>
      <c r="C1693" s="25">
        <v>46151</v>
      </c>
      <c r="D1693" t="s">
        <v>101</v>
      </c>
      <c r="E1693" t="s">
        <v>102</v>
      </c>
      <c r="F1693" t="s">
        <v>75</v>
      </c>
      <c r="G1693">
        <v>7.6</v>
      </c>
      <c r="H1693" t="s">
        <v>3346</v>
      </c>
      <c r="I1693" t="s">
        <v>212</v>
      </c>
      <c r="J1693" s="1" t="s">
        <v>188</v>
      </c>
      <c r="K1693" t="s">
        <v>181</v>
      </c>
      <c r="L1693" t="s">
        <v>3333</v>
      </c>
      <c r="M1693">
        <v>6</v>
      </c>
      <c r="N1693">
        <v>1</v>
      </c>
      <c r="O1693" t="s">
        <v>3334</v>
      </c>
      <c r="P1693">
        <v>81.58</v>
      </c>
      <c r="Q1693">
        <v>8</v>
      </c>
      <c r="R1693" t="s">
        <v>3335</v>
      </c>
      <c r="S1693" t="s">
        <v>3857</v>
      </c>
      <c r="T1693" t="s">
        <v>3337</v>
      </c>
      <c r="U1693">
        <v>11</v>
      </c>
      <c r="V1693" t="s">
        <v>3338</v>
      </c>
    </row>
    <row r="1694" spans="1:22" ht="12.75" customHeight="1" x14ac:dyDescent="0.15">
      <c r="A1694">
        <v>19</v>
      </c>
      <c r="B1694">
        <v>2026</v>
      </c>
      <c r="C1694" s="25">
        <v>46151</v>
      </c>
      <c r="D1694" t="s">
        <v>96</v>
      </c>
      <c r="E1694" t="s">
        <v>97</v>
      </c>
      <c r="F1694" t="s">
        <v>21</v>
      </c>
      <c r="G1694">
        <v>4.5</v>
      </c>
      <c r="H1694" t="s">
        <v>3505</v>
      </c>
      <c r="I1694" t="s">
        <v>29</v>
      </c>
      <c r="J1694" s="1" t="s">
        <v>30</v>
      </c>
      <c r="K1694" t="s">
        <v>181</v>
      </c>
      <c r="L1694" t="s">
        <v>3333</v>
      </c>
      <c r="M1694">
        <v>2</v>
      </c>
      <c r="N1694">
        <v>0.33</v>
      </c>
      <c r="O1694" t="s">
        <v>3440</v>
      </c>
      <c r="P1694">
        <v>29.41</v>
      </c>
      <c r="Q1694">
        <v>2.6</v>
      </c>
      <c r="R1694" t="s">
        <v>3424</v>
      </c>
      <c r="T1694" t="s">
        <v>3337</v>
      </c>
      <c r="U1694">
        <v>8</v>
      </c>
      <c r="V1694" t="s">
        <v>3858</v>
      </c>
    </row>
    <row r="1695" spans="1:22" ht="12.75" customHeight="1" x14ac:dyDescent="0.15">
      <c r="A1695">
        <v>19</v>
      </c>
      <c r="B1695">
        <v>2026</v>
      </c>
      <c r="C1695" s="25">
        <v>46151</v>
      </c>
      <c r="D1695" t="s">
        <v>96</v>
      </c>
      <c r="E1695" t="s">
        <v>97</v>
      </c>
      <c r="F1695" t="s">
        <v>21</v>
      </c>
      <c r="G1695">
        <v>4.5</v>
      </c>
      <c r="H1695" t="s">
        <v>3505</v>
      </c>
      <c r="I1695" t="s">
        <v>29</v>
      </c>
      <c r="J1695" s="1" t="s">
        <v>30</v>
      </c>
      <c r="K1695" t="s">
        <v>181</v>
      </c>
      <c r="L1695" t="s">
        <v>3340</v>
      </c>
      <c r="M1695">
        <v>2</v>
      </c>
      <c r="N1695">
        <v>0.13</v>
      </c>
      <c r="O1695" t="s">
        <v>211</v>
      </c>
      <c r="P1695">
        <v>7.31</v>
      </c>
      <c r="R1695" t="s">
        <v>3424</v>
      </c>
      <c r="T1695" t="s">
        <v>3337</v>
      </c>
      <c r="U1695">
        <v>8</v>
      </c>
      <c r="V1695" t="s">
        <v>3859</v>
      </c>
    </row>
    <row r="1696" spans="1:22" ht="12.75" customHeight="1" x14ac:dyDescent="0.15">
      <c r="A1696">
        <v>19</v>
      </c>
      <c r="B1696">
        <v>2026</v>
      </c>
      <c r="C1696" s="25">
        <v>46151</v>
      </c>
      <c r="D1696" t="s">
        <v>96</v>
      </c>
      <c r="E1696" t="s">
        <v>97</v>
      </c>
      <c r="F1696" t="s">
        <v>21</v>
      </c>
      <c r="G1696">
        <v>4.5</v>
      </c>
      <c r="H1696" t="s">
        <v>3495</v>
      </c>
      <c r="I1696" t="s">
        <v>29</v>
      </c>
      <c r="J1696" s="1" t="s">
        <v>30</v>
      </c>
      <c r="K1696" t="s">
        <v>181</v>
      </c>
      <c r="L1696" t="s">
        <v>3333</v>
      </c>
      <c r="M1696">
        <v>67</v>
      </c>
      <c r="N1696">
        <v>0.41</v>
      </c>
      <c r="O1696" t="s">
        <v>3334</v>
      </c>
      <c r="P1696">
        <v>33.14</v>
      </c>
      <c r="Q1696">
        <v>3.25</v>
      </c>
      <c r="R1696" t="s">
        <v>3404</v>
      </c>
      <c r="S1696" t="s">
        <v>3860</v>
      </c>
      <c r="T1696" t="s">
        <v>3402</v>
      </c>
      <c r="U1696">
        <v>8</v>
      </c>
      <c r="V1696" t="s">
        <v>3861</v>
      </c>
    </row>
    <row r="1697" spans="1:22" ht="12.75" customHeight="1" x14ac:dyDescent="0.15">
      <c r="A1697">
        <v>19</v>
      </c>
      <c r="B1697">
        <v>2026</v>
      </c>
      <c r="C1697" s="25">
        <v>46151</v>
      </c>
      <c r="D1697" t="s">
        <v>96</v>
      </c>
      <c r="E1697" t="s">
        <v>97</v>
      </c>
      <c r="F1697" t="s">
        <v>21</v>
      </c>
      <c r="G1697">
        <v>4.5</v>
      </c>
      <c r="H1697" t="s">
        <v>3495</v>
      </c>
      <c r="I1697" t="s">
        <v>29</v>
      </c>
      <c r="J1697" s="1" t="s">
        <v>30</v>
      </c>
      <c r="K1697" t="s">
        <v>181</v>
      </c>
      <c r="L1697" t="s">
        <v>3333</v>
      </c>
      <c r="M1697">
        <v>19</v>
      </c>
      <c r="N1697">
        <v>0.41</v>
      </c>
      <c r="O1697" t="s">
        <v>3334</v>
      </c>
      <c r="P1697">
        <v>33.14</v>
      </c>
      <c r="Q1697">
        <v>3.25</v>
      </c>
      <c r="R1697" t="s">
        <v>3403</v>
      </c>
      <c r="T1697" t="s">
        <v>3402</v>
      </c>
      <c r="U1697">
        <v>8</v>
      </c>
      <c r="V1697" t="s">
        <v>3861</v>
      </c>
    </row>
    <row r="1698" spans="1:22" ht="12.75" customHeight="1" x14ac:dyDescent="0.15">
      <c r="A1698">
        <v>19</v>
      </c>
      <c r="B1698">
        <v>2026</v>
      </c>
      <c r="C1698" s="25">
        <v>46151</v>
      </c>
      <c r="D1698" t="s">
        <v>96</v>
      </c>
      <c r="E1698" t="s">
        <v>97</v>
      </c>
      <c r="F1698" t="s">
        <v>21</v>
      </c>
      <c r="G1698">
        <v>4.5</v>
      </c>
      <c r="H1698" t="s">
        <v>3845</v>
      </c>
      <c r="I1698" t="s">
        <v>380</v>
      </c>
      <c r="J1698" s="1" t="s">
        <v>3533</v>
      </c>
      <c r="K1698" t="s">
        <v>181</v>
      </c>
      <c r="L1698" t="s">
        <v>3333</v>
      </c>
      <c r="M1698">
        <v>4</v>
      </c>
      <c r="N1698">
        <v>1</v>
      </c>
      <c r="O1698" t="s">
        <v>3334</v>
      </c>
      <c r="P1698">
        <v>81.58</v>
      </c>
      <c r="Q1698">
        <v>8</v>
      </c>
      <c r="R1698" t="s">
        <v>3773</v>
      </c>
      <c r="T1698" t="s">
        <v>3402</v>
      </c>
      <c r="U1698">
        <v>8</v>
      </c>
      <c r="V1698" t="s">
        <v>3826</v>
      </c>
    </row>
    <row r="1699" spans="1:22" ht="12.75" customHeight="1" x14ac:dyDescent="0.15">
      <c r="A1699">
        <v>19</v>
      </c>
      <c r="B1699">
        <v>2026</v>
      </c>
      <c r="C1699" s="25">
        <v>46151</v>
      </c>
      <c r="D1699" t="s">
        <v>96</v>
      </c>
      <c r="E1699" t="s">
        <v>97</v>
      </c>
      <c r="F1699" t="s">
        <v>21</v>
      </c>
      <c r="G1699">
        <v>4.5</v>
      </c>
      <c r="H1699" t="s">
        <v>3845</v>
      </c>
      <c r="I1699" t="s">
        <v>380</v>
      </c>
      <c r="J1699" s="1" t="s">
        <v>3533</v>
      </c>
      <c r="K1699" t="s">
        <v>181</v>
      </c>
      <c r="L1699" t="s">
        <v>3333</v>
      </c>
      <c r="M1699">
        <v>3</v>
      </c>
      <c r="N1699">
        <v>1</v>
      </c>
      <c r="O1699" t="s">
        <v>3334</v>
      </c>
      <c r="P1699">
        <v>81.58</v>
      </c>
      <c r="Q1699">
        <v>8</v>
      </c>
      <c r="R1699" t="s">
        <v>3478</v>
      </c>
      <c r="T1699" t="s">
        <v>3402</v>
      </c>
      <c r="U1699">
        <v>8</v>
      </c>
      <c r="V1699" t="s">
        <v>3826</v>
      </c>
    </row>
    <row r="1700" spans="1:22" ht="12.75" customHeight="1" x14ac:dyDescent="0.15">
      <c r="A1700">
        <v>19</v>
      </c>
      <c r="B1700">
        <v>2026</v>
      </c>
      <c r="C1700" s="25">
        <v>46151</v>
      </c>
      <c r="D1700" t="s">
        <v>96</v>
      </c>
      <c r="E1700" t="s">
        <v>97</v>
      </c>
      <c r="F1700" t="s">
        <v>21</v>
      </c>
      <c r="G1700">
        <v>4.5</v>
      </c>
      <c r="H1700" t="s">
        <v>3803</v>
      </c>
      <c r="I1700" t="s">
        <v>3676</v>
      </c>
      <c r="J1700" s="1" t="s">
        <v>3533</v>
      </c>
      <c r="K1700" t="s">
        <v>181</v>
      </c>
      <c r="L1700" t="s">
        <v>3333</v>
      </c>
      <c r="M1700">
        <v>86</v>
      </c>
      <c r="N1700">
        <v>0.63</v>
      </c>
      <c r="O1700" t="s">
        <v>3334</v>
      </c>
      <c r="P1700">
        <v>50.99</v>
      </c>
      <c r="Q1700">
        <v>5</v>
      </c>
      <c r="R1700" t="s">
        <v>3386</v>
      </c>
      <c r="T1700" t="s">
        <v>3402</v>
      </c>
      <c r="U1700">
        <v>8</v>
      </c>
      <c r="V1700" t="s">
        <v>3815</v>
      </c>
    </row>
    <row r="1701" spans="1:22" ht="12.75" customHeight="1" x14ac:dyDescent="0.15">
      <c r="A1701">
        <v>19</v>
      </c>
      <c r="B1701">
        <v>2026</v>
      </c>
      <c r="C1701" s="25">
        <v>46151</v>
      </c>
      <c r="D1701" t="s">
        <v>53</v>
      </c>
      <c r="E1701" t="s">
        <v>54</v>
      </c>
      <c r="F1701" t="s">
        <v>21</v>
      </c>
      <c r="G1701">
        <v>2</v>
      </c>
      <c r="H1701" t="s">
        <v>3332</v>
      </c>
      <c r="I1701" t="s">
        <v>177</v>
      </c>
      <c r="J1701" s="1" t="s">
        <v>26</v>
      </c>
      <c r="K1701" t="s">
        <v>181</v>
      </c>
      <c r="L1701" t="s">
        <v>3333</v>
      </c>
      <c r="M1701">
        <v>86</v>
      </c>
      <c r="N1701">
        <v>0.25</v>
      </c>
      <c r="O1701" t="s">
        <v>3334</v>
      </c>
      <c r="P1701">
        <v>20.399999999999999</v>
      </c>
      <c r="Q1701">
        <v>2</v>
      </c>
      <c r="R1701" t="s">
        <v>3386</v>
      </c>
      <c r="T1701" t="s">
        <v>3402</v>
      </c>
      <c r="U1701">
        <v>65</v>
      </c>
      <c r="V1701" t="s">
        <v>3472</v>
      </c>
    </row>
    <row r="1702" spans="1:22" ht="12.75" customHeight="1" x14ac:dyDescent="0.15">
      <c r="A1702">
        <v>19</v>
      </c>
      <c r="B1702">
        <v>2026</v>
      </c>
      <c r="C1702" s="25">
        <v>46153</v>
      </c>
      <c r="D1702" t="s">
        <v>96</v>
      </c>
      <c r="E1702" t="s">
        <v>97</v>
      </c>
      <c r="F1702" t="s">
        <v>21</v>
      </c>
      <c r="G1702">
        <v>4.5</v>
      </c>
      <c r="H1702" t="s">
        <v>3519</v>
      </c>
      <c r="I1702" t="s">
        <v>214</v>
      </c>
      <c r="J1702" s="1" t="s">
        <v>215</v>
      </c>
      <c r="K1702" t="s">
        <v>181</v>
      </c>
      <c r="L1702" t="s">
        <v>3340</v>
      </c>
      <c r="M1702">
        <v>58</v>
      </c>
      <c r="N1702">
        <v>1.21</v>
      </c>
      <c r="O1702" t="s">
        <v>211</v>
      </c>
      <c r="P1702">
        <v>66.599999999999994</v>
      </c>
      <c r="R1702" t="s">
        <v>3343</v>
      </c>
      <c r="S1702" t="s">
        <v>3862</v>
      </c>
      <c r="T1702" t="s">
        <v>3337</v>
      </c>
      <c r="U1702">
        <v>10</v>
      </c>
      <c r="V1702" t="s">
        <v>3863</v>
      </c>
    </row>
    <row r="1703" spans="1:22" ht="12.75" customHeight="1" x14ac:dyDescent="0.15">
      <c r="A1703">
        <v>19</v>
      </c>
      <c r="B1703">
        <v>2026</v>
      </c>
      <c r="C1703" s="25">
        <v>46153</v>
      </c>
      <c r="D1703" t="s">
        <v>96</v>
      </c>
      <c r="E1703" t="s">
        <v>97</v>
      </c>
      <c r="F1703" t="s">
        <v>21</v>
      </c>
      <c r="G1703">
        <v>4.5</v>
      </c>
      <c r="H1703" t="s">
        <v>3519</v>
      </c>
      <c r="I1703" t="s">
        <v>214</v>
      </c>
      <c r="J1703" s="1" t="s">
        <v>215</v>
      </c>
      <c r="K1703" t="s">
        <v>181</v>
      </c>
      <c r="L1703" t="s">
        <v>3340</v>
      </c>
      <c r="M1703">
        <v>132</v>
      </c>
      <c r="N1703">
        <v>1.21</v>
      </c>
      <c r="O1703" t="s">
        <v>211</v>
      </c>
      <c r="P1703">
        <v>66.599999999999994</v>
      </c>
      <c r="R1703" t="s">
        <v>3368</v>
      </c>
      <c r="T1703" t="s">
        <v>3337</v>
      </c>
      <c r="U1703">
        <v>10</v>
      </c>
      <c r="V1703" t="s">
        <v>3863</v>
      </c>
    </row>
    <row r="1704" spans="1:22" ht="12.75" customHeight="1" x14ac:dyDescent="0.15">
      <c r="A1704">
        <v>19</v>
      </c>
      <c r="B1704">
        <v>2026</v>
      </c>
      <c r="C1704" s="25">
        <v>46153</v>
      </c>
      <c r="D1704" t="s">
        <v>96</v>
      </c>
      <c r="E1704" t="s">
        <v>97</v>
      </c>
      <c r="F1704" t="s">
        <v>21</v>
      </c>
      <c r="G1704">
        <v>4.5</v>
      </c>
      <c r="H1704" t="s">
        <v>3519</v>
      </c>
      <c r="I1704" t="s">
        <v>214</v>
      </c>
      <c r="J1704" s="1" t="s">
        <v>215</v>
      </c>
      <c r="K1704" t="s">
        <v>181</v>
      </c>
      <c r="L1704" t="s">
        <v>3340</v>
      </c>
      <c r="M1704">
        <v>81</v>
      </c>
      <c r="N1704">
        <v>1.21</v>
      </c>
      <c r="O1704" t="s">
        <v>211</v>
      </c>
      <c r="P1704">
        <v>66.599999999999994</v>
      </c>
      <c r="R1704" t="s">
        <v>3374</v>
      </c>
      <c r="T1704" t="s">
        <v>3337</v>
      </c>
      <c r="U1704">
        <v>10</v>
      </c>
      <c r="V1704" t="s">
        <v>3863</v>
      </c>
    </row>
    <row r="1705" spans="1:22" ht="12.75" customHeight="1" x14ac:dyDescent="0.15">
      <c r="A1705">
        <v>19</v>
      </c>
      <c r="B1705">
        <v>2026</v>
      </c>
      <c r="C1705" s="25">
        <v>46153</v>
      </c>
      <c r="D1705" t="s">
        <v>73</v>
      </c>
      <c r="E1705" t="s">
        <v>74</v>
      </c>
      <c r="F1705" t="s">
        <v>75</v>
      </c>
      <c r="G1705">
        <v>2.2999999999999998</v>
      </c>
      <c r="H1705" t="s">
        <v>3789</v>
      </c>
      <c r="I1705" t="s">
        <v>3790</v>
      </c>
      <c r="J1705" s="1" t="s">
        <v>207</v>
      </c>
      <c r="K1705" t="s">
        <v>181</v>
      </c>
      <c r="L1705" t="s">
        <v>3340</v>
      </c>
      <c r="M1705">
        <v>58</v>
      </c>
      <c r="N1705">
        <v>0.25</v>
      </c>
      <c r="O1705" t="s">
        <v>211</v>
      </c>
      <c r="P1705">
        <v>13.75</v>
      </c>
      <c r="R1705" t="s">
        <v>3343</v>
      </c>
      <c r="T1705" t="s">
        <v>3337</v>
      </c>
      <c r="U1705">
        <v>23</v>
      </c>
      <c r="V1705" t="s">
        <v>3864</v>
      </c>
    </row>
    <row r="1706" spans="1:22" ht="12.75" customHeight="1" x14ac:dyDescent="0.15">
      <c r="A1706">
        <v>19</v>
      </c>
      <c r="B1706">
        <v>2026</v>
      </c>
      <c r="C1706" s="25">
        <v>46153</v>
      </c>
      <c r="D1706" t="s">
        <v>73</v>
      </c>
      <c r="E1706" t="s">
        <v>74</v>
      </c>
      <c r="F1706" t="s">
        <v>75</v>
      </c>
      <c r="G1706">
        <v>2.2999999999999998</v>
      </c>
      <c r="H1706" t="s">
        <v>3789</v>
      </c>
      <c r="I1706" t="s">
        <v>3790</v>
      </c>
      <c r="J1706" s="1" t="s">
        <v>207</v>
      </c>
      <c r="K1706" t="s">
        <v>181</v>
      </c>
      <c r="L1706" t="s">
        <v>3340</v>
      </c>
      <c r="M1706">
        <v>81</v>
      </c>
      <c r="N1706">
        <v>0.25</v>
      </c>
      <c r="O1706" t="s">
        <v>211</v>
      </c>
      <c r="P1706">
        <v>13.75</v>
      </c>
      <c r="R1706" t="s">
        <v>3374</v>
      </c>
      <c r="T1706" t="s">
        <v>3337</v>
      </c>
      <c r="U1706">
        <v>23</v>
      </c>
      <c r="V1706" t="s">
        <v>3864</v>
      </c>
    </row>
    <row r="1707" spans="1:22" ht="12.75" customHeight="1" x14ac:dyDescent="0.15">
      <c r="A1707">
        <v>19</v>
      </c>
      <c r="B1707">
        <v>2026</v>
      </c>
      <c r="C1707" s="25">
        <v>46153</v>
      </c>
      <c r="D1707" t="s">
        <v>101</v>
      </c>
      <c r="E1707" t="s">
        <v>102</v>
      </c>
      <c r="F1707" t="s">
        <v>75</v>
      </c>
      <c r="G1707">
        <v>7.6</v>
      </c>
      <c r="H1707" t="s">
        <v>3865</v>
      </c>
      <c r="I1707" t="s">
        <v>3866</v>
      </c>
      <c r="J1707" s="1" t="s">
        <v>30</v>
      </c>
      <c r="K1707" t="s">
        <v>181</v>
      </c>
      <c r="L1707" t="s">
        <v>3340</v>
      </c>
      <c r="M1707">
        <v>58</v>
      </c>
      <c r="N1707">
        <v>0.25</v>
      </c>
      <c r="O1707" t="s">
        <v>211</v>
      </c>
      <c r="P1707">
        <v>13.75</v>
      </c>
      <c r="R1707" t="s">
        <v>3343</v>
      </c>
      <c r="T1707" t="s">
        <v>3337</v>
      </c>
      <c r="U1707">
        <v>13</v>
      </c>
      <c r="V1707" t="s">
        <v>3867</v>
      </c>
    </row>
    <row r="1708" spans="1:22" ht="12.75" customHeight="1" x14ac:dyDescent="0.15">
      <c r="A1708">
        <v>19</v>
      </c>
      <c r="B1708">
        <v>2026</v>
      </c>
      <c r="C1708" s="25">
        <v>46153</v>
      </c>
      <c r="D1708" t="s">
        <v>101</v>
      </c>
      <c r="E1708" t="s">
        <v>102</v>
      </c>
      <c r="F1708" t="s">
        <v>75</v>
      </c>
      <c r="G1708">
        <v>7.6</v>
      </c>
      <c r="H1708" t="s">
        <v>3865</v>
      </c>
      <c r="I1708" t="s">
        <v>3866</v>
      </c>
      <c r="J1708" s="1" t="s">
        <v>30</v>
      </c>
      <c r="K1708" t="s">
        <v>181</v>
      </c>
      <c r="L1708" t="s">
        <v>3340</v>
      </c>
      <c r="M1708">
        <v>81</v>
      </c>
      <c r="N1708">
        <v>0.25</v>
      </c>
      <c r="O1708" t="s">
        <v>211</v>
      </c>
      <c r="P1708">
        <v>13.75</v>
      </c>
      <c r="R1708" t="s">
        <v>3374</v>
      </c>
      <c r="T1708" t="s">
        <v>3337</v>
      </c>
      <c r="U1708">
        <v>13</v>
      </c>
      <c r="V1708" t="s">
        <v>3867</v>
      </c>
    </row>
    <row r="1709" spans="1:22" ht="12.75" customHeight="1" x14ac:dyDescent="0.15">
      <c r="A1709">
        <v>19</v>
      </c>
      <c r="B1709">
        <v>2026</v>
      </c>
      <c r="C1709" s="25">
        <v>46153</v>
      </c>
      <c r="D1709" t="s">
        <v>107</v>
      </c>
      <c r="E1709" t="s">
        <v>108</v>
      </c>
      <c r="F1709" t="s">
        <v>21</v>
      </c>
      <c r="G1709">
        <v>4.5</v>
      </c>
      <c r="H1709" t="s">
        <v>3868</v>
      </c>
      <c r="I1709" t="s">
        <v>3869</v>
      </c>
      <c r="J1709" s="1" t="s">
        <v>3696</v>
      </c>
      <c r="K1709" t="s">
        <v>181</v>
      </c>
      <c r="L1709" t="s">
        <v>3333</v>
      </c>
      <c r="M1709">
        <v>6</v>
      </c>
      <c r="N1709">
        <v>0.5</v>
      </c>
      <c r="O1709" t="s">
        <v>3334</v>
      </c>
      <c r="P1709">
        <v>40.79</v>
      </c>
      <c r="Q1709">
        <v>4</v>
      </c>
      <c r="R1709" t="s">
        <v>3335</v>
      </c>
      <c r="T1709" t="s">
        <v>3337</v>
      </c>
      <c r="U1709">
        <v>-4</v>
      </c>
      <c r="V1709" t="s">
        <v>3870</v>
      </c>
    </row>
    <row r="1710" spans="1:22" ht="12.75" customHeight="1" x14ac:dyDescent="0.15">
      <c r="A1710">
        <v>19</v>
      </c>
      <c r="B1710">
        <v>2026</v>
      </c>
      <c r="C1710" s="25">
        <v>46153</v>
      </c>
      <c r="D1710" t="s">
        <v>80</v>
      </c>
      <c r="E1710" t="s">
        <v>81</v>
      </c>
      <c r="F1710" t="s">
        <v>21</v>
      </c>
      <c r="G1710">
        <v>2.2999999999999998</v>
      </c>
      <c r="H1710" t="s">
        <v>3339</v>
      </c>
      <c r="I1710" t="s">
        <v>187</v>
      </c>
      <c r="J1710" s="1" t="s">
        <v>188</v>
      </c>
      <c r="K1710" t="s">
        <v>181</v>
      </c>
      <c r="L1710" t="s">
        <v>3333</v>
      </c>
      <c r="M1710">
        <v>6</v>
      </c>
      <c r="N1710">
        <v>0.5</v>
      </c>
      <c r="O1710" t="s">
        <v>3334</v>
      </c>
      <c r="P1710">
        <v>40.79</v>
      </c>
      <c r="Q1710">
        <v>4</v>
      </c>
      <c r="R1710" t="s">
        <v>3335</v>
      </c>
      <c r="T1710" t="s">
        <v>3337</v>
      </c>
      <c r="U1710">
        <v>39</v>
      </c>
      <c r="V1710" t="s">
        <v>3871</v>
      </c>
    </row>
    <row r="1711" spans="1:22" ht="12.75" customHeight="1" x14ac:dyDescent="0.15">
      <c r="A1711">
        <v>19</v>
      </c>
      <c r="B1711">
        <v>2026</v>
      </c>
      <c r="C1711" s="25">
        <v>46153</v>
      </c>
      <c r="D1711" t="s">
        <v>107</v>
      </c>
      <c r="E1711" t="s">
        <v>108</v>
      </c>
      <c r="F1711" t="s">
        <v>21</v>
      </c>
      <c r="G1711">
        <v>4.5</v>
      </c>
      <c r="H1711" t="s">
        <v>3868</v>
      </c>
      <c r="I1711" t="s">
        <v>3869</v>
      </c>
      <c r="J1711" s="1" t="s">
        <v>3696</v>
      </c>
      <c r="K1711" t="s">
        <v>181</v>
      </c>
      <c r="L1711" t="s">
        <v>3333</v>
      </c>
      <c r="M1711">
        <v>1</v>
      </c>
      <c r="N1711">
        <v>0.5</v>
      </c>
      <c r="O1711" t="s">
        <v>3358</v>
      </c>
      <c r="P1711">
        <v>35.93</v>
      </c>
      <c r="Q1711">
        <v>4</v>
      </c>
      <c r="R1711" t="s">
        <v>3359</v>
      </c>
      <c r="T1711" t="s">
        <v>3337</v>
      </c>
      <c r="U1711">
        <v>-4</v>
      </c>
      <c r="V1711" t="s">
        <v>3872</v>
      </c>
    </row>
    <row r="1712" spans="1:22" ht="12.75" customHeight="1" x14ac:dyDescent="0.15">
      <c r="A1712">
        <v>19</v>
      </c>
      <c r="B1712">
        <v>2026</v>
      </c>
      <c r="C1712" s="25">
        <v>46153</v>
      </c>
      <c r="D1712" t="s">
        <v>39</v>
      </c>
      <c r="E1712" t="s">
        <v>40</v>
      </c>
      <c r="F1712" t="s">
        <v>21</v>
      </c>
      <c r="G1712">
        <v>1.91</v>
      </c>
      <c r="H1712" t="s">
        <v>3796</v>
      </c>
      <c r="I1712" t="s">
        <v>3667</v>
      </c>
      <c r="J1712" s="1" t="s">
        <v>3668</v>
      </c>
      <c r="K1712" t="s">
        <v>181</v>
      </c>
      <c r="L1712" t="s">
        <v>3333</v>
      </c>
      <c r="M1712">
        <v>1</v>
      </c>
      <c r="N1712">
        <v>0.5</v>
      </c>
      <c r="O1712" t="s">
        <v>3358</v>
      </c>
      <c r="P1712">
        <v>35.93</v>
      </c>
      <c r="Q1712">
        <v>4</v>
      </c>
      <c r="R1712" t="s">
        <v>3359</v>
      </c>
      <c r="T1712" t="s">
        <v>3337</v>
      </c>
      <c r="U1712">
        <v>116</v>
      </c>
      <c r="V1712" t="s">
        <v>3511</v>
      </c>
    </row>
    <row r="1713" spans="1:22" ht="12.75" customHeight="1" x14ac:dyDescent="0.15">
      <c r="A1713">
        <v>19</v>
      </c>
      <c r="B1713">
        <v>2026</v>
      </c>
      <c r="C1713" s="25">
        <v>46153</v>
      </c>
      <c r="D1713" t="s">
        <v>96</v>
      </c>
      <c r="E1713" t="s">
        <v>97</v>
      </c>
      <c r="F1713" t="s">
        <v>21</v>
      </c>
      <c r="G1713">
        <v>4.5</v>
      </c>
      <c r="H1713" t="s">
        <v>3614</v>
      </c>
      <c r="I1713" t="s">
        <v>3615</v>
      </c>
      <c r="J1713" s="1" t="s">
        <v>3533</v>
      </c>
      <c r="K1713" t="s">
        <v>181</v>
      </c>
      <c r="L1713" t="s">
        <v>3333</v>
      </c>
      <c r="M1713">
        <v>3</v>
      </c>
      <c r="N1713">
        <v>0.22</v>
      </c>
      <c r="O1713" t="s">
        <v>3334</v>
      </c>
      <c r="P1713">
        <v>17.850000000000001</v>
      </c>
      <c r="Q1713">
        <v>1.75</v>
      </c>
      <c r="R1713" t="s">
        <v>3478</v>
      </c>
      <c r="T1713" t="s">
        <v>3402</v>
      </c>
      <c r="U1713">
        <v>10</v>
      </c>
      <c r="V1713" t="s">
        <v>3873</v>
      </c>
    </row>
    <row r="1714" spans="1:22" ht="12.75" customHeight="1" x14ac:dyDescent="0.15">
      <c r="A1714">
        <v>19</v>
      </c>
      <c r="B1714">
        <v>2026</v>
      </c>
      <c r="C1714" s="25">
        <v>46153</v>
      </c>
      <c r="D1714" t="s">
        <v>96</v>
      </c>
      <c r="E1714" t="s">
        <v>97</v>
      </c>
      <c r="F1714" t="s">
        <v>21</v>
      </c>
      <c r="G1714">
        <v>4.5</v>
      </c>
      <c r="H1714" t="s">
        <v>3614</v>
      </c>
      <c r="I1714" t="s">
        <v>3615</v>
      </c>
      <c r="J1714" s="1" t="s">
        <v>3533</v>
      </c>
      <c r="K1714" t="s">
        <v>181</v>
      </c>
      <c r="L1714" t="s">
        <v>3333</v>
      </c>
      <c r="M1714">
        <v>4</v>
      </c>
      <c r="N1714">
        <v>0.22</v>
      </c>
      <c r="O1714" t="s">
        <v>3334</v>
      </c>
      <c r="P1714">
        <v>17.850000000000001</v>
      </c>
      <c r="Q1714">
        <v>1.75</v>
      </c>
      <c r="R1714" t="s">
        <v>3773</v>
      </c>
      <c r="T1714" t="s">
        <v>3402</v>
      </c>
      <c r="U1714">
        <v>10</v>
      </c>
      <c r="V1714" t="s">
        <v>3873</v>
      </c>
    </row>
    <row r="1715" spans="1:22" ht="12.75" customHeight="1" x14ac:dyDescent="0.15">
      <c r="A1715">
        <v>19</v>
      </c>
      <c r="B1715">
        <v>2026</v>
      </c>
      <c r="C1715" s="25">
        <v>46153</v>
      </c>
      <c r="D1715" t="s">
        <v>96</v>
      </c>
      <c r="E1715" t="s">
        <v>97</v>
      </c>
      <c r="F1715" t="s">
        <v>21</v>
      </c>
      <c r="G1715">
        <v>4.5</v>
      </c>
      <c r="H1715" t="s">
        <v>3799</v>
      </c>
      <c r="I1715" t="s">
        <v>3551</v>
      </c>
      <c r="J1715" s="1" t="s">
        <v>3533</v>
      </c>
      <c r="K1715" t="s">
        <v>181</v>
      </c>
      <c r="L1715" t="s">
        <v>3333</v>
      </c>
      <c r="M1715">
        <v>3</v>
      </c>
      <c r="N1715">
        <v>0.25</v>
      </c>
      <c r="O1715" t="s">
        <v>3334</v>
      </c>
      <c r="P1715">
        <v>20.399999999999999</v>
      </c>
      <c r="Q1715">
        <v>2</v>
      </c>
      <c r="R1715" t="s">
        <v>3478</v>
      </c>
      <c r="T1715" t="s">
        <v>3402</v>
      </c>
      <c r="U1715">
        <v>10</v>
      </c>
      <c r="V1715" t="s">
        <v>3837</v>
      </c>
    </row>
    <row r="1716" spans="1:22" ht="12.75" customHeight="1" x14ac:dyDescent="0.15">
      <c r="A1716">
        <v>19</v>
      </c>
      <c r="B1716">
        <v>2026</v>
      </c>
      <c r="C1716" s="25">
        <v>46153</v>
      </c>
      <c r="D1716" t="s">
        <v>96</v>
      </c>
      <c r="E1716" t="s">
        <v>97</v>
      </c>
      <c r="F1716" t="s">
        <v>21</v>
      </c>
      <c r="G1716">
        <v>4.5</v>
      </c>
      <c r="H1716" t="s">
        <v>3799</v>
      </c>
      <c r="I1716" t="s">
        <v>3551</v>
      </c>
      <c r="J1716" s="1" t="s">
        <v>3533</v>
      </c>
      <c r="K1716" t="s">
        <v>181</v>
      </c>
      <c r="L1716" t="s">
        <v>3333</v>
      </c>
      <c r="M1716">
        <v>4</v>
      </c>
      <c r="N1716">
        <v>0.25</v>
      </c>
      <c r="O1716" t="s">
        <v>3334</v>
      </c>
      <c r="P1716">
        <v>20.399999999999999</v>
      </c>
      <c r="Q1716">
        <v>2</v>
      </c>
      <c r="R1716" t="s">
        <v>3773</v>
      </c>
      <c r="T1716" t="s">
        <v>3402</v>
      </c>
      <c r="U1716">
        <v>10</v>
      </c>
      <c r="V1716" t="s">
        <v>3837</v>
      </c>
    </row>
    <row r="1717" spans="1:22" ht="12.75" customHeight="1" x14ac:dyDescent="0.15">
      <c r="A1717">
        <v>19</v>
      </c>
      <c r="B1717">
        <v>2026</v>
      </c>
      <c r="C1717" s="25">
        <v>46153</v>
      </c>
      <c r="D1717" t="s">
        <v>68</v>
      </c>
      <c r="E1717" t="s">
        <v>69</v>
      </c>
      <c r="F1717" t="s">
        <v>21</v>
      </c>
      <c r="G1717">
        <v>1</v>
      </c>
      <c r="H1717" t="s">
        <v>3874</v>
      </c>
      <c r="I1717" t="s">
        <v>3532</v>
      </c>
      <c r="J1717" s="1" t="s">
        <v>3533</v>
      </c>
      <c r="K1717" t="s">
        <v>181</v>
      </c>
      <c r="L1717" t="s">
        <v>3333</v>
      </c>
      <c r="M1717">
        <v>3</v>
      </c>
      <c r="N1717">
        <v>0.06</v>
      </c>
      <c r="O1717" t="s">
        <v>3334</v>
      </c>
      <c r="P1717">
        <v>5.0999999999999996</v>
      </c>
      <c r="Q1717">
        <v>0.5</v>
      </c>
      <c r="R1717" t="s">
        <v>3478</v>
      </c>
      <c r="T1717" t="s">
        <v>3402</v>
      </c>
      <c r="U1717">
        <v>39</v>
      </c>
      <c r="V1717" t="s">
        <v>3463</v>
      </c>
    </row>
    <row r="1718" spans="1:22" ht="12.75" customHeight="1" x14ac:dyDescent="0.15">
      <c r="A1718">
        <v>19</v>
      </c>
      <c r="B1718">
        <v>2026</v>
      </c>
      <c r="C1718" s="25">
        <v>46153</v>
      </c>
      <c r="D1718" t="s">
        <v>68</v>
      </c>
      <c r="E1718" t="s">
        <v>69</v>
      </c>
      <c r="F1718" t="s">
        <v>21</v>
      </c>
      <c r="G1718">
        <v>1</v>
      </c>
      <c r="H1718" t="s">
        <v>3874</v>
      </c>
      <c r="I1718" t="s">
        <v>3532</v>
      </c>
      <c r="J1718" s="1" t="s">
        <v>3533</v>
      </c>
      <c r="K1718" t="s">
        <v>181</v>
      </c>
      <c r="L1718" t="s">
        <v>3333</v>
      </c>
      <c r="M1718">
        <v>4</v>
      </c>
      <c r="N1718">
        <v>0.06</v>
      </c>
      <c r="O1718" t="s">
        <v>3334</v>
      </c>
      <c r="P1718">
        <v>5.0999999999999996</v>
      </c>
      <c r="Q1718">
        <v>0.5</v>
      </c>
      <c r="R1718" t="s">
        <v>3773</v>
      </c>
      <c r="T1718" t="s">
        <v>3402</v>
      </c>
      <c r="U1718">
        <v>39</v>
      </c>
      <c r="V1718" t="s">
        <v>3463</v>
      </c>
    </row>
    <row r="1719" spans="1:22" ht="12.75" customHeight="1" x14ac:dyDescent="0.15">
      <c r="A1719">
        <v>19</v>
      </c>
      <c r="B1719">
        <v>2026</v>
      </c>
      <c r="C1719" s="25">
        <v>46153</v>
      </c>
      <c r="D1719" t="s">
        <v>89</v>
      </c>
      <c r="E1719" t="s">
        <v>90</v>
      </c>
      <c r="F1719" t="s">
        <v>21</v>
      </c>
      <c r="G1719">
        <v>1</v>
      </c>
      <c r="H1719" t="s">
        <v>3653</v>
      </c>
      <c r="I1719" t="s">
        <v>3566</v>
      </c>
      <c r="J1719" s="1" t="s">
        <v>3389</v>
      </c>
      <c r="K1719" t="s">
        <v>181</v>
      </c>
      <c r="L1719" t="s">
        <v>3333</v>
      </c>
      <c r="M1719">
        <v>86</v>
      </c>
      <c r="N1719">
        <v>0.13</v>
      </c>
      <c r="O1719" t="s">
        <v>3334</v>
      </c>
      <c r="P1719">
        <v>10.199999999999999</v>
      </c>
      <c r="Q1719">
        <v>1</v>
      </c>
      <c r="R1719" t="s">
        <v>3386</v>
      </c>
      <c r="T1719" t="s">
        <v>3402</v>
      </c>
      <c r="U1719">
        <v>26</v>
      </c>
      <c r="V1719" t="s">
        <v>3472</v>
      </c>
    </row>
    <row r="1720" spans="1:22" ht="12.75" customHeight="1" x14ac:dyDescent="0.15">
      <c r="A1720">
        <v>19</v>
      </c>
      <c r="B1720">
        <v>2026</v>
      </c>
      <c r="C1720" s="25">
        <v>46153</v>
      </c>
      <c r="D1720" t="s">
        <v>101</v>
      </c>
      <c r="E1720" t="s">
        <v>102</v>
      </c>
      <c r="F1720" t="s">
        <v>75</v>
      </c>
      <c r="G1720">
        <v>7.6</v>
      </c>
      <c r="H1720" t="s">
        <v>3875</v>
      </c>
      <c r="I1720" t="s">
        <v>3876</v>
      </c>
      <c r="J1720" s="1" t="s">
        <v>30</v>
      </c>
      <c r="K1720" t="s">
        <v>181</v>
      </c>
      <c r="L1720" t="s">
        <v>3333</v>
      </c>
      <c r="M1720">
        <v>86</v>
      </c>
      <c r="N1720">
        <v>0.25</v>
      </c>
      <c r="O1720" t="s">
        <v>3334</v>
      </c>
      <c r="P1720">
        <v>20.399999999999999</v>
      </c>
      <c r="Q1720">
        <v>2</v>
      </c>
      <c r="R1720" t="s">
        <v>3386</v>
      </c>
      <c r="T1720" t="s">
        <v>3402</v>
      </c>
      <c r="U1720">
        <v>13</v>
      </c>
      <c r="V1720" t="s">
        <v>3441</v>
      </c>
    </row>
    <row r="1721" spans="1:22" ht="12.75" customHeight="1" x14ac:dyDescent="0.15">
      <c r="A1721">
        <v>19</v>
      </c>
      <c r="B1721">
        <v>2026</v>
      </c>
      <c r="C1721" s="25">
        <v>46153</v>
      </c>
      <c r="D1721" t="s">
        <v>89</v>
      </c>
      <c r="E1721" t="s">
        <v>90</v>
      </c>
      <c r="F1721" t="s">
        <v>21</v>
      </c>
      <c r="G1721">
        <v>1</v>
      </c>
      <c r="H1721" t="s">
        <v>3653</v>
      </c>
      <c r="I1721" t="s">
        <v>3566</v>
      </c>
      <c r="J1721" s="1" t="s">
        <v>3389</v>
      </c>
      <c r="K1721" t="s">
        <v>181</v>
      </c>
      <c r="L1721" t="s">
        <v>3333</v>
      </c>
      <c r="M1721">
        <v>11</v>
      </c>
      <c r="N1721">
        <v>0.34</v>
      </c>
      <c r="O1721" t="s">
        <v>213</v>
      </c>
      <c r="P1721">
        <v>30.6</v>
      </c>
      <c r="Q1721">
        <v>3</v>
      </c>
      <c r="R1721" t="s">
        <v>3564</v>
      </c>
      <c r="T1721" t="s">
        <v>3402</v>
      </c>
      <c r="U1721">
        <v>26</v>
      </c>
      <c r="V1721" t="s">
        <v>3877</v>
      </c>
    </row>
    <row r="1722" spans="1:22" ht="12.75" customHeight="1" x14ac:dyDescent="0.15">
      <c r="A1722">
        <v>19</v>
      </c>
      <c r="B1722">
        <v>2026</v>
      </c>
      <c r="C1722" s="25">
        <v>46153</v>
      </c>
      <c r="D1722" t="s">
        <v>89</v>
      </c>
      <c r="E1722" t="s">
        <v>90</v>
      </c>
      <c r="F1722" t="s">
        <v>21</v>
      </c>
      <c r="G1722">
        <v>1</v>
      </c>
      <c r="H1722" t="s">
        <v>3878</v>
      </c>
      <c r="I1722" t="s">
        <v>3566</v>
      </c>
      <c r="J1722" s="1" t="s">
        <v>3389</v>
      </c>
      <c r="K1722" t="s">
        <v>2666</v>
      </c>
      <c r="L1722" t="s">
        <v>3587</v>
      </c>
      <c r="N1722">
        <v>1.53</v>
      </c>
      <c r="O1722" t="s">
        <v>3838</v>
      </c>
      <c r="P1722">
        <v>32.799999999999997</v>
      </c>
      <c r="T1722" t="s">
        <v>3402</v>
      </c>
      <c r="U1722">
        <v>26</v>
      </c>
      <c r="V1722" t="s">
        <v>3879</v>
      </c>
    </row>
    <row r="1723" spans="1:22" ht="12.75" customHeight="1" x14ac:dyDescent="0.15">
      <c r="A1723">
        <v>19</v>
      </c>
      <c r="B1723">
        <v>2026</v>
      </c>
      <c r="C1723" s="25">
        <v>46153</v>
      </c>
      <c r="D1723" t="s">
        <v>73</v>
      </c>
      <c r="E1723" t="s">
        <v>74</v>
      </c>
      <c r="F1723" t="s">
        <v>75</v>
      </c>
      <c r="G1723">
        <v>2.2999999999999998</v>
      </c>
      <c r="H1723" t="s">
        <v>3878</v>
      </c>
      <c r="I1723" t="s">
        <v>3566</v>
      </c>
      <c r="J1723" s="1" t="s">
        <v>3389</v>
      </c>
      <c r="K1723" t="s">
        <v>2666</v>
      </c>
      <c r="L1723" t="s">
        <v>3587</v>
      </c>
      <c r="N1723">
        <v>1.92</v>
      </c>
      <c r="O1723" t="s">
        <v>3838</v>
      </c>
      <c r="P1723">
        <v>41</v>
      </c>
      <c r="T1723" t="s">
        <v>3402</v>
      </c>
      <c r="U1723">
        <v>23</v>
      </c>
      <c r="V1723" t="s">
        <v>3880</v>
      </c>
    </row>
    <row r="1724" spans="1:22" ht="12.75" customHeight="1" x14ac:dyDescent="0.15">
      <c r="A1724">
        <v>19</v>
      </c>
      <c r="B1724">
        <v>2026</v>
      </c>
      <c r="C1724" s="25">
        <v>46154</v>
      </c>
      <c r="D1724" t="s">
        <v>73</v>
      </c>
      <c r="E1724" t="s">
        <v>74</v>
      </c>
      <c r="F1724" t="s">
        <v>75</v>
      </c>
      <c r="G1724">
        <v>2.2999999999999998</v>
      </c>
      <c r="H1724" t="s">
        <v>3776</v>
      </c>
      <c r="I1724" t="s">
        <v>3777</v>
      </c>
      <c r="J1724" s="1" t="s">
        <v>215</v>
      </c>
      <c r="K1724" t="s">
        <v>181</v>
      </c>
      <c r="L1724" t="s">
        <v>3340</v>
      </c>
      <c r="M1724">
        <v>45</v>
      </c>
      <c r="N1724">
        <v>0.13</v>
      </c>
      <c r="O1724" t="s">
        <v>211</v>
      </c>
      <c r="P1724">
        <v>7.15</v>
      </c>
      <c r="R1724" t="s">
        <v>3377</v>
      </c>
      <c r="S1724">
        <v>1.3</v>
      </c>
      <c r="T1724" t="s">
        <v>3337</v>
      </c>
      <c r="U1724">
        <v>24</v>
      </c>
      <c r="V1724" t="s">
        <v>3881</v>
      </c>
    </row>
    <row r="1725" spans="1:22" ht="12.75" customHeight="1" x14ac:dyDescent="0.15">
      <c r="A1725">
        <v>19</v>
      </c>
      <c r="B1725">
        <v>2026</v>
      </c>
      <c r="C1725" s="25">
        <v>46154</v>
      </c>
      <c r="D1725" t="s">
        <v>73</v>
      </c>
      <c r="E1725" t="s">
        <v>74</v>
      </c>
      <c r="F1725" t="s">
        <v>75</v>
      </c>
      <c r="G1725">
        <v>2.2999999999999998</v>
      </c>
      <c r="H1725" t="s">
        <v>3776</v>
      </c>
      <c r="I1725" t="s">
        <v>3777</v>
      </c>
      <c r="J1725" s="1" t="s">
        <v>215</v>
      </c>
      <c r="K1725" t="s">
        <v>181</v>
      </c>
      <c r="L1725" t="s">
        <v>3340</v>
      </c>
      <c r="M1725">
        <v>62</v>
      </c>
      <c r="N1725">
        <v>0.13</v>
      </c>
      <c r="O1725" t="s">
        <v>211</v>
      </c>
      <c r="P1725">
        <v>7.15</v>
      </c>
      <c r="R1725" t="s">
        <v>3375</v>
      </c>
      <c r="T1725" t="s">
        <v>3337</v>
      </c>
      <c r="U1725">
        <v>24</v>
      </c>
      <c r="V1725" t="s">
        <v>3881</v>
      </c>
    </row>
    <row r="1726" spans="1:22" ht="12.75" customHeight="1" x14ac:dyDescent="0.15">
      <c r="A1726">
        <v>19</v>
      </c>
      <c r="B1726">
        <v>2026</v>
      </c>
      <c r="C1726" s="25">
        <v>46154</v>
      </c>
      <c r="D1726" t="s">
        <v>73</v>
      </c>
      <c r="E1726" t="s">
        <v>74</v>
      </c>
      <c r="F1726" t="s">
        <v>75</v>
      </c>
      <c r="G1726">
        <v>2.2999999999999998</v>
      </c>
      <c r="H1726" t="s">
        <v>3776</v>
      </c>
      <c r="I1726" t="s">
        <v>3777</v>
      </c>
      <c r="J1726" s="1" t="s">
        <v>215</v>
      </c>
      <c r="K1726" t="s">
        <v>181</v>
      </c>
      <c r="L1726" t="s">
        <v>3340</v>
      </c>
      <c r="M1726">
        <v>58</v>
      </c>
      <c r="N1726">
        <v>0.13</v>
      </c>
      <c r="O1726" t="s">
        <v>211</v>
      </c>
      <c r="P1726">
        <v>7.15</v>
      </c>
      <c r="R1726" t="s">
        <v>3343</v>
      </c>
      <c r="T1726" t="s">
        <v>3337</v>
      </c>
      <c r="U1726">
        <v>24</v>
      </c>
      <c r="V1726" t="s">
        <v>3881</v>
      </c>
    </row>
    <row r="1727" spans="1:22" ht="12.75" customHeight="1" x14ac:dyDescent="0.15">
      <c r="A1727">
        <v>19</v>
      </c>
      <c r="B1727">
        <v>2026</v>
      </c>
      <c r="C1727" s="25">
        <v>46154</v>
      </c>
      <c r="D1727" t="s">
        <v>73</v>
      </c>
      <c r="E1727" t="s">
        <v>74</v>
      </c>
      <c r="F1727" t="s">
        <v>75</v>
      </c>
      <c r="G1727">
        <v>2.2999999999999998</v>
      </c>
      <c r="H1727" t="s">
        <v>3776</v>
      </c>
      <c r="I1727" t="s">
        <v>3777</v>
      </c>
      <c r="J1727" s="1" t="s">
        <v>215</v>
      </c>
      <c r="K1727" t="s">
        <v>181</v>
      </c>
      <c r="L1727" t="s">
        <v>3340</v>
      </c>
      <c r="M1727">
        <v>132</v>
      </c>
      <c r="N1727">
        <v>0.13</v>
      </c>
      <c r="O1727" t="s">
        <v>211</v>
      </c>
      <c r="P1727">
        <v>7.15</v>
      </c>
      <c r="R1727" t="s">
        <v>3368</v>
      </c>
      <c r="T1727" t="s">
        <v>3337</v>
      </c>
      <c r="U1727">
        <v>24</v>
      </c>
      <c r="V1727" t="s">
        <v>3881</v>
      </c>
    </row>
    <row r="1728" spans="1:22" ht="12.75" customHeight="1" x14ac:dyDescent="0.15">
      <c r="A1728">
        <v>19</v>
      </c>
      <c r="B1728">
        <v>2026</v>
      </c>
      <c r="C1728" s="25">
        <v>46154</v>
      </c>
      <c r="D1728" t="s">
        <v>73</v>
      </c>
      <c r="E1728" t="s">
        <v>74</v>
      </c>
      <c r="F1728" t="s">
        <v>75</v>
      </c>
      <c r="G1728">
        <v>2.2999999999999998</v>
      </c>
      <c r="H1728" t="s">
        <v>3776</v>
      </c>
      <c r="I1728" t="s">
        <v>3777</v>
      </c>
      <c r="J1728" s="1" t="s">
        <v>215</v>
      </c>
      <c r="K1728" t="s">
        <v>181</v>
      </c>
      <c r="L1728" t="s">
        <v>3340</v>
      </c>
      <c r="M1728">
        <v>81</v>
      </c>
      <c r="N1728">
        <v>0.13</v>
      </c>
      <c r="O1728" t="s">
        <v>211</v>
      </c>
      <c r="P1728">
        <v>7.15</v>
      </c>
      <c r="R1728" t="s">
        <v>3374</v>
      </c>
      <c r="T1728" t="s">
        <v>3337</v>
      </c>
      <c r="U1728">
        <v>24</v>
      </c>
      <c r="V1728" t="s">
        <v>3881</v>
      </c>
    </row>
    <row r="1729" spans="1:22" ht="12.75" customHeight="1" x14ac:dyDescent="0.15">
      <c r="A1729">
        <v>19</v>
      </c>
      <c r="B1729">
        <v>2026</v>
      </c>
      <c r="C1729" s="25">
        <v>46154</v>
      </c>
      <c r="D1729" t="s">
        <v>73</v>
      </c>
      <c r="E1729" t="s">
        <v>74</v>
      </c>
      <c r="F1729" t="s">
        <v>75</v>
      </c>
      <c r="G1729">
        <v>2.2999999999999998</v>
      </c>
      <c r="H1729" t="s">
        <v>3785</v>
      </c>
      <c r="I1729" t="s">
        <v>206</v>
      </c>
      <c r="J1729" s="1" t="s">
        <v>207</v>
      </c>
      <c r="K1729" t="s">
        <v>181</v>
      </c>
      <c r="L1729" t="s">
        <v>3340</v>
      </c>
      <c r="M1729">
        <v>45</v>
      </c>
      <c r="N1729">
        <v>0.46</v>
      </c>
      <c r="O1729" t="s">
        <v>211</v>
      </c>
      <c r="P1729">
        <v>25.3</v>
      </c>
      <c r="R1729" t="s">
        <v>3377</v>
      </c>
      <c r="T1729" t="s">
        <v>3337</v>
      </c>
      <c r="U1729">
        <v>24</v>
      </c>
      <c r="V1729" t="s">
        <v>3882</v>
      </c>
    </row>
    <row r="1730" spans="1:22" ht="12.75" customHeight="1" x14ac:dyDescent="0.15">
      <c r="A1730">
        <v>19</v>
      </c>
      <c r="B1730">
        <v>2026</v>
      </c>
      <c r="C1730" s="25">
        <v>46154</v>
      </c>
      <c r="D1730" t="s">
        <v>73</v>
      </c>
      <c r="E1730" t="s">
        <v>74</v>
      </c>
      <c r="F1730" t="s">
        <v>75</v>
      </c>
      <c r="G1730">
        <v>2.2999999999999998</v>
      </c>
      <c r="H1730" t="s">
        <v>3785</v>
      </c>
      <c r="I1730" t="s">
        <v>206</v>
      </c>
      <c r="J1730" s="1" t="s">
        <v>207</v>
      </c>
      <c r="K1730" t="s">
        <v>181</v>
      </c>
      <c r="L1730" t="s">
        <v>3340</v>
      </c>
      <c r="M1730">
        <v>62</v>
      </c>
      <c r="N1730">
        <v>0.46</v>
      </c>
      <c r="O1730" t="s">
        <v>211</v>
      </c>
      <c r="P1730">
        <v>25.3</v>
      </c>
      <c r="R1730" t="s">
        <v>3375</v>
      </c>
      <c r="T1730" t="s">
        <v>3337</v>
      </c>
      <c r="U1730">
        <v>24</v>
      </c>
      <c r="V1730" t="s">
        <v>3882</v>
      </c>
    </row>
    <row r="1731" spans="1:22" ht="12.75" customHeight="1" x14ac:dyDescent="0.15">
      <c r="A1731">
        <v>19</v>
      </c>
      <c r="B1731">
        <v>2026</v>
      </c>
      <c r="C1731" s="25">
        <v>46154</v>
      </c>
      <c r="D1731" t="s">
        <v>73</v>
      </c>
      <c r="E1731" t="s">
        <v>74</v>
      </c>
      <c r="F1731" t="s">
        <v>75</v>
      </c>
      <c r="G1731">
        <v>2.2999999999999998</v>
      </c>
      <c r="H1731" t="s">
        <v>3785</v>
      </c>
      <c r="I1731" t="s">
        <v>206</v>
      </c>
      <c r="J1731" s="1" t="s">
        <v>207</v>
      </c>
      <c r="K1731" t="s">
        <v>181</v>
      </c>
      <c r="L1731" t="s">
        <v>3340</v>
      </c>
      <c r="M1731">
        <v>58</v>
      </c>
      <c r="N1731">
        <v>0.46</v>
      </c>
      <c r="O1731" t="s">
        <v>211</v>
      </c>
      <c r="P1731">
        <v>25.3</v>
      </c>
      <c r="R1731" t="s">
        <v>3343</v>
      </c>
      <c r="T1731" t="s">
        <v>3337</v>
      </c>
      <c r="U1731">
        <v>24</v>
      </c>
      <c r="V1731" t="s">
        <v>3882</v>
      </c>
    </row>
    <row r="1732" spans="1:22" ht="12.75" customHeight="1" x14ac:dyDescent="0.15">
      <c r="A1732">
        <v>19</v>
      </c>
      <c r="B1732">
        <v>2026</v>
      </c>
      <c r="C1732" s="25">
        <v>46154</v>
      </c>
      <c r="D1732" t="s">
        <v>73</v>
      </c>
      <c r="E1732" t="s">
        <v>74</v>
      </c>
      <c r="F1732" t="s">
        <v>75</v>
      </c>
      <c r="G1732">
        <v>2.2999999999999998</v>
      </c>
      <c r="H1732" t="s">
        <v>3785</v>
      </c>
      <c r="I1732" t="s">
        <v>206</v>
      </c>
      <c r="J1732" s="1" t="s">
        <v>207</v>
      </c>
      <c r="K1732" t="s">
        <v>181</v>
      </c>
      <c r="L1732" t="s">
        <v>3340</v>
      </c>
      <c r="M1732">
        <v>132</v>
      </c>
      <c r="N1732">
        <v>0.46</v>
      </c>
      <c r="O1732" t="s">
        <v>211</v>
      </c>
      <c r="P1732">
        <v>25.3</v>
      </c>
      <c r="R1732" t="s">
        <v>3368</v>
      </c>
      <c r="T1732" t="s">
        <v>3337</v>
      </c>
      <c r="U1732">
        <v>24</v>
      </c>
      <c r="V1732" t="s">
        <v>3882</v>
      </c>
    </row>
    <row r="1733" spans="1:22" ht="12.75" customHeight="1" x14ac:dyDescent="0.15">
      <c r="A1733">
        <v>19</v>
      </c>
      <c r="B1733">
        <v>2026</v>
      </c>
      <c r="C1733" s="25">
        <v>46154</v>
      </c>
      <c r="D1733" t="s">
        <v>73</v>
      </c>
      <c r="E1733" t="s">
        <v>74</v>
      </c>
      <c r="F1733" t="s">
        <v>75</v>
      </c>
      <c r="G1733">
        <v>2.2999999999999998</v>
      </c>
      <c r="H1733" t="s">
        <v>3785</v>
      </c>
      <c r="I1733" t="s">
        <v>206</v>
      </c>
      <c r="J1733" s="1" t="s">
        <v>207</v>
      </c>
      <c r="K1733" t="s">
        <v>181</v>
      </c>
      <c r="L1733" t="s">
        <v>3340</v>
      </c>
      <c r="M1733">
        <v>81</v>
      </c>
      <c r="N1733">
        <v>0.46</v>
      </c>
      <c r="O1733" t="s">
        <v>211</v>
      </c>
      <c r="P1733">
        <v>25.3</v>
      </c>
      <c r="R1733" t="s">
        <v>3374</v>
      </c>
      <c r="T1733" t="s">
        <v>3337</v>
      </c>
      <c r="U1733">
        <v>24</v>
      </c>
      <c r="V1733" t="s">
        <v>3882</v>
      </c>
    </row>
    <row r="1734" spans="1:22" ht="12.75" customHeight="1" x14ac:dyDescent="0.15">
      <c r="A1734">
        <v>19</v>
      </c>
      <c r="B1734">
        <v>2026</v>
      </c>
      <c r="C1734" s="25">
        <v>46154</v>
      </c>
      <c r="D1734" t="s">
        <v>84</v>
      </c>
      <c r="E1734" t="s">
        <v>85</v>
      </c>
      <c r="F1734" t="s">
        <v>21</v>
      </c>
      <c r="G1734">
        <v>2</v>
      </c>
      <c r="H1734" t="s">
        <v>3855</v>
      </c>
      <c r="I1734" t="s">
        <v>3808</v>
      </c>
      <c r="J1734" s="1" t="s">
        <v>26</v>
      </c>
      <c r="K1734" t="s">
        <v>181</v>
      </c>
      <c r="L1734" t="s">
        <v>3340</v>
      </c>
      <c r="M1734">
        <v>45</v>
      </c>
      <c r="N1734">
        <v>1.82</v>
      </c>
      <c r="O1734" t="s">
        <v>211</v>
      </c>
      <c r="P1734">
        <v>100</v>
      </c>
      <c r="R1734" t="s">
        <v>3377</v>
      </c>
      <c r="T1734" t="s">
        <v>3337</v>
      </c>
      <c r="U1734">
        <v>22</v>
      </c>
      <c r="V1734" t="s">
        <v>240</v>
      </c>
    </row>
    <row r="1735" spans="1:22" ht="12.75" customHeight="1" x14ac:dyDescent="0.15">
      <c r="A1735">
        <v>19</v>
      </c>
      <c r="B1735">
        <v>2026</v>
      </c>
      <c r="C1735" s="25">
        <v>46154</v>
      </c>
      <c r="D1735" t="s">
        <v>84</v>
      </c>
      <c r="E1735" t="s">
        <v>85</v>
      </c>
      <c r="F1735" t="s">
        <v>21</v>
      </c>
      <c r="G1735">
        <v>2</v>
      </c>
      <c r="H1735" t="s">
        <v>3855</v>
      </c>
      <c r="I1735" t="s">
        <v>3808</v>
      </c>
      <c r="J1735" s="1" t="s">
        <v>26</v>
      </c>
      <c r="K1735" t="s">
        <v>181</v>
      </c>
      <c r="L1735" t="s">
        <v>3340</v>
      </c>
      <c r="M1735">
        <v>62</v>
      </c>
      <c r="N1735">
        <v>1.82</v>
      </c>
      <c r="O1735" t="s">
        <v>211</v>
      </c>
      <c r="P1735">
        <v>100</v>
      </c>
      <c r="R1735" t="s">
        <v>3375</v>
      </c>
      <c r="T1735" t="s">
        <v>3337</v>
      </c>
      <c r="U1735">
        <v>22</v>
      </c>
      <c r="V1735" t="s">
        <v>240</v>
      </c>
    </row>
    <row r="1736" spans="1:22" ht="12.75" customHeight="1" x14ac:dyDescent="0.15">
      <c r="A1736">
        <v>19</v>
      </c>
      <c r="B1736">
        <v>2026</v>
      </c>
      <c r="C1736" s="25">
        <v>46154</v>
      </c>
      <c r="D1736" t="s">
        <v>84</v>
      </c>
      <c r="E1736" t="s">
        <v>85</v>
      </c>
      <c r="F1736" t="s">
        <v>21</v>
      </c>
      <c r="G1736">
        <v>2</v>
      </c>
      <c r="H1736" t="s">
        <v>3855</v>
      </c>
      <c r="I1736" t="s">
        <v>3808</v>
      </c>
      <c r="J1736" s="1" t="s">
        <v>26</v>
      </c>
      <c r="K1736" t="s">
        <v>181</v>
      </c>
      <c r="L1736" t="s">
        <v>3340</v>
      </c>
      <c r="M1736">
        <v>58</v>
      </c>
      <c r="N1736">
        <v>1.82</v>
      </c>
      <c r="O1736" t="s">
        <v>211</v>
      </c>
      <c r="P1736">
        <v>100</v>
      </c>
      <c r="R1736" t="s">
        <v>3343</v>
      </c>
      <c r="T1736" t="s">
        <v>3337</v>
      </c>
      <c r="U1736">
        <v>22</v>
      </c>
      <c r="V1736" t="s">
        <v>240</v>
      </c>
    </row>
    <row r="1737" spans="1:22" ht="12.75" customHeight="1" x14ac:dyDescent="0.15">
      <c r="A1737">
        <v>19</v>
      </c>
      <c r="B1737">
        <v>2026</v>
      </c>
      <c r="C1737" s="25">
        <v>46154</v>
      </c>
      <c r="D1737" t="s">
        <v>84</v>
      </c>
      <c r="E1737" t="s">
        <v>85</v>
      </c>
      <c r="F1737" t="s">
        <v>21</v>
      </c>
      <c r="G1737">
        <v>2</v>
      </c>
      <c r="H1737" t="s">
        <v>3855</v>
      </c>
      <c r="I1737" t="s">
        <v>3808</v>
      </c>
      <c r="J1737" s="1" t="s">
        <v>26</v>
      </c>
      <c r="K1737" t="s">
        <v>181</v>
      </c>
      <c r="L1737" t="s">
        <v>3340</v>
      </c>
      <c r="M1737">
        <v>132</v>
      </c>
      <c r="N1737">
        <v>1.82</v>
      </c>
      <c r="O1737" t="s">
        <v>211</v>
      </c>
      <c r="P1737">
        <v>100</v>
      </c>
      <c r="R1737" t="s">
        <v>3368</v>
      </c>
      <c r="T1737" t="s">
        <v>3337</v>
      </c>
      <c r="U1737">
        <v>22</v>
      </c>
      <c r="V1737" t="s">
        <v>240</v>
      </c>
    </row>
    <row r="1738" spans="1:22" ht="12.75" customHeight="1" x14ac:dyDescent="0.15">
      <c r="A1738">
        <v>19</v>
      </c>
      <c r="B1738">
        <v>2026</v>
      </c>
      <c r="C1738" s="25">
        <v>46154</v>
      </c>
      <c r="D1738" t="s">
        <v>84</v>
      </c>
      <c r="E1738" t="s">
        <v>85</v>
      </c>
      <c r="F1738" t="s">
        <v>21</v>
      </c>
      <c r="G1738">
        <v>2</v>
      </c>
      <c r="H1738" t="s">
        <v>3855</v>
      </c>
      <c r="I1738" t="s">
        <v>3808</v>
      </c>
      <c r="J1738" s="1" t="s">
        <v>26</v>
      </c>
      <c r="K1738" t="s">
        <v>181</v>
      </c>
      <c r="L1738" t="s">
        <v>3340</v>
      </c>
      <c r="M1738">
        <v>81</v>
      </c>
      <c r="N1738">
        <v>1.82</v>
      </c>
      <c r="O1738" t="s">
        <v>211</v>
      </c>
      <c r="P1738">
        <v>100</v>
      </c>
      <c r="R1738" t="s">
        <v>3374</v>
      </c>
      <c r="T1738" t="s">
        <v>3337</v>
      </c>
      <c r="U1738">
        <v>22</v>
      </c>
      <c r="V1738" t="s">
        <v>240</v>
      </c>
    </row>
    <row r="1739" spans="1:22" ht="12.75" customHeight="1" x14ac:dyDescent="0.15">
      <c r="A1739">
        <v>19</v>
      </c>
      <c r="B1739">
        <v>2026</v>
      </c>
      <c r="C1739" s="25">
        <v>46154</v>
      </c>
      <c r="D1739" t="s">
        <v>47</v>
      </c>
      <c r="E1739" t="s">
        <v>48</v>
      </c>
      <c r="F1739" t="s">
        <v>21</v>
      </c>
      <c r="G1739">
        <v>2</v>
      </c>
      <c r="H1739" t="s">
        <v>3883</v>
      </c>
      <c r="I1739" t="s">
        <v>3884</v>
      </c>
      <c r="J1739" s="1" t="s">
        <v>207</v>
      </c>
      <c r="K1739" t="s">
        <v>181</v>
      </c>
      <c r="L1739" t="s">
        <v>3333</v>
      </c>
      <c r="M1739">
        <v>2</v>
      </c>
      <c r="N1739">
        <v>0.13</v>
      </c>
      <c r="O1739" t="s">
        <v>3440</v>
      </c>
      <c r="P1739">
        <v>11.31</v>
      </c>
      <c r="Q1739">
        <v>1</v>
      </c>
      <c r="R1739" t="s">
        <v>3424</v>
      </c>
      <c r="T1739" t="s">
        <v>3337</v>
      </c>
      <c r="U1739">
        <v>82</v>
      </c>
      <c r="V1739" t="s">
        <v>3885</v>
      </c>
    </row>
    <row r="1740" spans="1:22" ht="12.75" customHeight="1" x14ac:dyDescent="0.15">
      <c r="A1740">
        <v>19</v>
      </c>
      <c r="B1740">
        <v>2026</v>
      </c>
      <c r="C1740" s="25">
        <v>46154</v>
      </c>
      <c r="D1740" t="s">
        <v>73</v>
      </c>
      <c r="E1740" t="s">
        <v>74</v>
      </c>
      <c r="F1740" t="s">
        <v>75</v>
      </c>
      <c r="G1740">
        <v>2.2999999999999998</v>
      </c>
      <c r="H1740" t="s">
        <v>3796</v>
      </c>
      <c r="I1740" t="s">
        <v>3667</v>
      </c>
      <c r="J1740" s="1" t="s">
        <v>3668</v>
      </c>
      <c r="K1740" t="s">
        <v>181</v>
      </c>
      <c r="L1740" t="s">
        <v>3333</v>
      </c>
      <c r="M1740">
        <v>6</v>
      </c>
      <c r="N1740">
        <v>0.44</v>
      </c>
      <c r="O1740" t="s">
        <v>3334</v>
      </c>
      <c r="P1740">
        <v>35.69</v>
      </c>
      <c r="Q1740">
        <v>3.5</v>
      </c>
      <c r="R1740" t="s">
        <v>3335</v>
      </c>
      <c r="T1740" t="s">
        <v>3337</v>
      </c>
      <c r="U1740">
        <v>24</v>
      </c>
      <c r="V1740" t="s">
        <v>3886</v>
      </c>
    </row>
    <row r="1741" spans="1:22" ht="12.75" customHeight="1" x14ac:dyDescent="0.15">
      <c r="A1741">
        <v>19</v>
      </c>
      <c r="B1741">
        <v>2026</v>
      </c>
      <c r="C1741" s="25">
        <v>46154</v>
      </c>
      <c r="D1741" t="s">
        <v>107</v>
      </c>
      <c r="E1741" t="s">
        <v>108</v>
      </c>
      <c r="F1741" t="s">
        <v>21</v>
      </c>
      <c r="G1741">
        <v>4.5</v>
      </c>
      <c r="H1741" t="s">
        <v>3569</v>
      </c>
      <c r="I1741" t="s">
        <v>3570</v>
      </c>
      <c r="J1741" s="1" t="s">
        <v>26</v>
      </c>
      <c r="K1741" t="s">
        <v>181</v>
      </c>
      <c r="L1741" t="s">
        <v>3333</v>
      </c>
      <c r="M1741">
        <v>6</v>
      </c>
      <c r="N1741">
        <v>0.56000000000000005</v>
      </c>
      <c r="O1741" t="s">
        <v>3334</v>
      </c>
      <c r="P1741">
        <v>45.89</v>
      </c>
      <c r="Q1741">
        <v>4.5</v>
      </c>
      <c r="R1741" t="s">
        <v>3335</v>
      </c>
      <c r="T1741" t="s">
        <v>3337</v>
      </c>
      <c r="U1741">
        <v>-3</v>
      </c>
      <c r="V1741" t="s">
        <v>3472</v>
      </c>
    </row>
    <row r="1742" spans="1:22" ht="12.75" customHeight="1" x14ac:dyDescent="0.15">
      <c r="A1742">
        <v>19</v>
      </c>
      <c r="B1742">
        <v>2026</v>
      </c>
      <c r="C1742" s="25">
        <v>46154</v>
      </c>
      <c r="D1742" t="s">
        <v>73</v>
      </c>
      <c r="E1742" t="s">
        <v>74</v>
      </c>
      <c r="F1742" t="s">
        <v>75</v>
      </c>
      <c r="G1742">
        <v>2.2999999999999998</v>
      </c>
      <c r="H1742" t="s">
        <v>3796</v>
      </c>
      <c r="I1742" t="s">
        <v>3667</v>
      </c>
      <c r="J1742" s="1" t="s">
        <v>3668</v>
      </c>
      <c r="K1742" t="s">
        <v>181</v>
      </c>
      <c r="L1742" t="s">
        <v>3333</v>
      </c>
      <c r="M1742">
        <v>1</v>
      </c>
      <c r="N1742">
        <v>0.44</v>
      </c>
      <c r="O1742" t="s">
        <v>3358</v>
      </c>
      <c r="P1742">
        <v>31.44</v>
      </c>
      <c r="Q1742">
        <v>3.5</v>
      </c>
      <c r="R1742" t="s">
        <v>3359</v>
      </c>
      <c r="T1742" t="s">
        <v>3337</v>
      </c>
      <c r="U1742">
        <v>24</v>
      </c>
      <c r="V1742" t="s">
        <v>3887</v>
      </c>
    </row>
    <row r="1743" spans="1:22" ht="12.75" customHeight="1" x14ac:dyDescent="0.15">
      <c r="A1743">
        <v>19</v>
      </c>
      <c r="B1743">
        <v>2026</v>
      </c>
      <c r="C1743" s="25">
        <v>46154</v>
      </c>
      <c r="D1743" t="s">
        <v>47</v>
      </c>
      <c r="E1743" t="s">
        <v>48</v>
      </c>
      <c r="F1743" t="s">
        <v>21</v>
      </c>
      <c r="G1743">
        <v>2</v>
      </c>
      <c r="H1743" t="s">
        <v>3346</v>
      </c>
      <c r="I1743" t="s">
        <v>212</v>
      </c>
      <c r="J1743" s="1" t="s">
        <v>188</v>
      </c>
      <c r="K1743" t="s">
        <v>181</v>
      </c>
      <c r="L1743" t="s">
        <v>3333</v>
      </c>
      <c r="M1743">
        <v>1</v>
      </c>
      <c r="N1743">
        <v>0.19</v>
      </c>
      <c r="O1743" t="s">
        <v>3358</v>
      </c>
      <c r="P1743">
        <v>13.47</v>
      </c>
      <c r="Q1743">
        <v>1.5</v>
      </c>
      <c r="R1743" t="s">
        <v>3359</v>
      </c>
      <c r="T1743" t="s">
        <v>3337</v>
      </c>
      <c r="U1743">
        <v>82</v>
      </c>
      <c r="V1743" t="s">
        <v>3888</v>
      </c>
    </row>
    <row r="1744" spans="1:22" ht="12.75" customHeight="1" x14ac:dyDescent="0.15">
      <c r="A1744">
        <v>19</v>
      </c>
      <c r="B1744">
        <v>2026</v>
      </c>
      <c r="C1744" s="25">
        <v>46154</v>
      </c>
      <c r="D1744" t="s">
        <v>80</v>
      </c>
      <c r="E1744" t="s">
        <v>81</v>
      </c>
      <c r="F1744" t="s">
        <v>21</v>
      </c>
      <c r="G1744">
        <v>2.2999999999999998</v>
      </c>
      <c r="H1744" t="s">
        <v>3339</v>
      </c>
      <c r="I1744" t="s">
        <v>187</v>
      </c>
      <c r="J1744" s="1" t="s">
        <v>188</v>
      </c>
      <c r="K1744" t="s">
        <v>181</v>
      </c>
      <c r="L1744" t="s">
        <v>3333</v>
      </c>
      <c r="M1744">
        <v>1</v>
      </c>
      <c r="N1744">
        <v>0.38</v>
      </c>
      <c r="O1744" t="s">
        <v>3358</v>
      </c>
      <c r="P1744">
        <v>26.95</v>
      </c>
      <c r="Q1744">
        <v>3</v>
      </c>
      <c r="R1744" t="s">
        <v>3359</v>
      </c>
      <c r="T1744" t="s">
        <v>3337</v>
      </c>
      <c r="U1744">
        <v>40</v>
      </c>
      <c r="V1744" t="s">
        <v>3889</v>
      </c>
    </row>
    <row r="1745" spans="1:22" ht="12.75" customHeight="1" x14ac:dyDescent="0.15">
      <c r="A1745">
        <v>19</v>
      </c>
      <c r="B1745">
        <v>2026</v>
      </c>
      <c r="C1745" s="25">
        <v>46154</v>
      </c>
      <c r="D1745" t="s">
        <v>101</v>
      </c>
      <c r="E1745" t="s">
        <v>102</v>
      </c>
      <c r="F1745" t="s">
        <v>75</v>
      </c>
      <c r="G1745">
        <v>7.6</v>
      </c>
      <c r="H1745" t="s">
        <v>3890</v>
      </c>
      <c r="I1745" t="s">
        <v>3891</v>
      </c>
      <c r="J1745" s="1" t="s">
        <v>30</v>
      </c>
      <c r="K1745" t="s">
        <v>181</v>
      </c>
      <c r="L1745" t="s">
        <v>3340</v>
      </c>
      <c r="M1745">
        <v>78</v>
      </c>
      <c r="N1745">
        <v>0.55000000000000004</v>
      </c>
      <c r="O1745" t="s">
        <v>211</v>
      </c>
      <c r="P1745">
        <v>30</v>
      </c>
      <c r="R1745" t="s">
        <v>3341</v>
      </c>
      <c r="S1745" t="s">
        <v>3892</v>
      </c>
      <c r="T1745" t="s">
        <v>3402</v>
      </c>
      <c r="U1745">
        <v>14</v>
      </c>
      <c r="V1745" t="s">
        <v>3893</v>
      </c>
    </row>
    <row r="1746" spans="1:22" ht="12.75" customHeight="1" x14ac:dyDescent="0.15">
      <c r="A1746">
        <v>19</v>
      </c>
      <c r="B1746">
        <v>2026</v>
      </c>
      <c r="C1746" s="25">
        <v>46154</v>
      </c>
      <c r="D1746" t="s">
        <v>96</v>
      </c>
      <c r="E1746" t="s">
        <v>97</v>
      </c>
      <c r="F1746" t="s">
        <v>21</v>
      </c>
      <c r="G1746">
        <v>4.5</v>
      </c>
      <c r="H1746" t="s">
        <v>3894</v>
      </c>
      <c r="I1746" t="s">
        <v>380</v>
      </c>
      <c r="J1746" s="1" t="s">
        <v>3533</v>
      </c>
      <c r="K1746" t="s">
        <v>181</v>
      </c>
      <c r="L1746" t="s">
        <v>3333</v>
      </c>
      <c r="M1746">
        <v>3</v>
      </c>
      <c r="N1746">
        <v>0.25</v>
      </c>
      <c r="O1746" t="s">
        <v>3334</v>
      </c>
      <c r="P1746">
        <v>20.399999999999999</v>
      </c>
      <c r="Q1746">
        <v>2</v>
      </c>
      <c r="R1746" t="s">
        <v>3478</v>
      </c>
      <c r="T1746" t="s">
        <v>3402</v>
      </c>
      <c r="U1746">
        <v>11</v>
      </c>
      <c r="V1746" t="s">
        <v>3837</v>
      </c>
    </row>
    <row r="1747" spans="1:22" ht="12.75" customHeight="1" x14ac:dyDescent="0.15">
      <c r="A1747">
        <v>19</v>
      </c>
      <c r="B1747">
        <v>2026</v>
      </c>
      <c r="C1747" s="25">
        <v>46154</v>
      </c>
      <c r="D1747" t="s">
        <v>96</v>
      </c>
      <c r="E1747" t="s">
        <v>97</v>
      </c>
      <c r="F1747" t="s">
        <v>21</v>
      </c>
      <c r="G1747">
        <v>4.5</v>
      </c>
      <c r="H1747" t="s">
        <v>3894</v>
      </c>
      <c r="I1747" t="s">
        <v>380</v>
      </c>
      <c r="J1747" s="1" t="s">
        <v>3533</v>
      </c>
      <c r="K1747" t="s">
        <v>181</v>
      </c>
      <c r="L1747" t="s">
        <v>3333</v>
      </c>
      <c r="M1747">
        <v>4</v>
      </c>
      <c r="N1747">
        <v>0.25</v>
      </c>
      <c r="O1747" t="s">
        <v>3334</v>
      </c>
      <c r="P1747">
        <v>20.399999999999999</v>
      </c>
      <c r="Q1747">
        <v>2</v>
      </c>
      <c r="R1747" t="s">
        <v>3773</v>
      </c>
      <c r="T1747" t="s">
        <v>3402</v>
      </c>
      <c r="U1747">
        <v>11</v>
      </c>
      <c r="V1747" t="s">
        <v>3837</v>
      </c>
    </row>
    <row r="1748" spans="1:22" ht="12.75" customHeight="1" x14ac:dyDescent="0.15">
      <c r="A1748">
        <v>19</v>
      </c>
      <c r="B1748">
        <v>2026</v>
      </c>
      <c r="C1748" s="25">
        <v>46154</v>
      </c>
      <c r="D1748" t="s">
        <v>68</v>
      </c>
      <c r="E1748" t="s">
        <v>69</v>
      </c>
      <c r="F1748" t="s">
        <v>21</v>
      </c>
      <c r="G1748">
        <v>1</v>
      </c>
      <c r="H1748" t="s">
        <v>3895</v>
      </c>
      <c r="I1748" t="s">
        <v>3842</v>
      </c>
      <c r="J1748" s="1" t="s">
        <v>3533</v>
      </c>
      <c r="K1748" t="s">
        <v>181</v>
      </c>
      <c r="L1748" t="s">
        <v>3333</v>
      </c>
      <c r="M1748">
        <v>3</v>
      </c>
      <c r="N1748">
        <v>0.38</v>
      </c>
      <c r="O1748" t="s">
        <v>3334</v>
      </c>
      <c r="P1748">
        <v>30.59</v>
      </c>
      <c r="Q1748">
        <v>3</v>
      </c>
      <c r="R1748" t="s">
        <v>3478</v>
      </c>
      <c r="T1748" t="s">
        <v>3402</v>
      </c>
      <c r="U1748">
        <v>40</v>
      </c>
      <c r="V1748" t="s">
        <v>3491</v>
      </c>
    </row>
    <row r="1749" spans="1:22" ht="12.75" customHeight="1" x14ac:dyDescent="0.15">
      <c r="A1749">
        <v>19</v>
      </c>
      <c r="B1749">
        <v>2026</v>
      </c>
      <c r="C1749" s="25">
        <v>46154</v>
      </c>
      <c r="D1749" t="s">
        <v>68</v>
      </c>
      <c r="E1749" t="s">
        <v>69</v>
      </c>
      <c r="F1749" t="s">
        <v>21</v>
      </c>
      <c r="G1749">
        <v>1</v>
      </c>
      <c r="H1749" t="s">
        <v>3895</v>
      </c>
      <c r="I1749" t="s">
        <v>3842</v>
      </c>
      <c r="J1749" s="1" t="s">
        <v>3533</v>
      </c>
      <c r="K1749" t="s">
        <v>181</v>
      </c>
      <c r="L1749" t="s">
        <v>3333</v>
      </c>
      <c r="M1749">
        <v>4</v>
      </c>
      <c r="N1749">
        <v>0.38</v>
      </c>
      <c r="O1749" t="s">
        <v>3334</v>
      </c>
      <c r="P1749">
        <v>30.59</v>
      </c>
      <c r="Q1749">
        <v>3</v>
      </c>
      <c r="R1749" t="s">
        <v>3773</v>
      </c>
      <c r="T1749" t="s">
        <v>3402</v>
      </c>
      <c r="U1749">
        <v>40</v>
      </c>
      <c r="V1749" t="s">
        <v>3491</v>
      </c>
    </row>
    <row r="1750" spans="1:22" ht="12.75" customHeight="1" x14ac:dyDescent="0.15">
      <c r="A1750">
        <v>19</v>
      </c>
      <c r="B1750">
        <v>2026</v>
      </c>
      <c r="C1750" s="25">
        <v>46154</v>
      </c>
      <c r="D1750" t="s">
        <v>47</v>
      </c>
      <c r="E1750" t="s">
        <v>48</v>
      </c>
      <c r="F1750" t="s">
        <v>21</v>
      </c>
      <c r="G1750">
        <v>2</v>
      </c>
      <c r="H1750" t="s">
        <v>3896</v>
      </c>
      <c r="I1750" t="s">
        <v>3884</v>
      </c>
      <c r="J1750" s="1" t="s">
        <v>207</v>
      </c>
      <c r="K1750" t="s">
        <v>181</v>
      </c>
      <c r="L1750" t="s">
        <v>3340</v>
      </c>
      <c r="M1750">
        <v>67</v>
      </c>
      <c r="N1750">
        <v>0.25</v>
      </c>
      <c r="O1750" t="s">
        <v>211</v>
      </c>
      <c r="P1750">
        <v>13.75</v>
      </c>
      <c r="R1750" t="s">
        <v>3404</v>
      </c>
      <c r="T1750" t="s">
        <v>3402</v>
      </c>
      <c r="U1750">
        <v>82</v>
      </c>
      <c r="V1750" t="s">
        <v>3897</v>
      </c>
    </row>
    <row r="1751" spans="1:22" ht="12.75" customHeight="1" x14ac:dyDescent="0.15">
      <c r="A1751">
        <v>19</v>
      </c>
      <c r="B1751">
        <v>2026</v>
      </c>
      <c r="C1751" s="25">
        <v>46154</v>
      </c>
      <c r="D1751" t="s">
        <v>47</v>
      </c>
      <c r="E1751" t="s">
        <v>48</v>
      </c>
      <c r="F1751" t="s">
        <v>21</v>
      </c>
      <c r="G1751">
        <v>2</v>
      </c>
      <c r="H1751" t="s">
        <v>3896</v>
      </c>
      <c r="I1751" t="s">
        <v>3884</v>
      </c>
      <c r="J1751" s="1" t="s">
        <v>207</v>
      </c>
      <c r="K1751" t="s">
        <v>181</v>
      </c>
      <c r="L1751" t="s">
        <v>3340</v>
      </c>
      <c r="M1751">
        <v>19</v>
      </c>
      <c r="N1751">
        <v>0.25</v>
      </c>
      <c r="O1751" t="s">
        <v>211</v>
      </c>
      <c r="P1751">
        <v>13.75</v>
      </c>
      <c r="R1751" t="s">
        <v>3403</v>
      </c>
      <c r="T1751" t="s">
        <v>3402</v>
      </c>
      <c r="U1751">
        <v>82</v>
      </c>
      <c r="V1751" t="s">
        <v>3897</v>
      </c>
    </row>
    <row r="1752" spans="1:22" ht="12.75" customHeight="1" x14ac:dyDescent="0.15">
      <c r="A1752">
        <v>19</v>
      </c>
      <c r="B1752">
        <v>2026</v>
      </c>
      <c r="C1752" s="25">
        <v>46154</v>
      </c>
      <c r="D1752" t="s">
        <v>47</v>
      </c>
      <c r="E1752" t="s">
        <v>48</v>
      </c>
      <c r="F1752" t="s">
        <v>21</v>
      </c>
      <c r="G1752">
        <v>2</v>
      </c>
      <c r="H1752" t="s">
        <v>3896</v>
      </c>
      <c r="I1752" t="s">
        <v>3884</v>
      </c>
      <c r="J1752" s="1" t="s">
        <v>207</v>
      </c>
      <c r="K1752" t="s">
        <v>181</v>
      </c>
      <c r="L1752" t="s">
        <v>3340</v>
      </c>
      <c r="M1752">
        <v>78</v>
      </c>
      <c r="N1752">
        <v>0.25</v>
      </c>
      <c r="O1752" t="s">
        <v>211</v>
      </c>
      <c r="P1752">
        <v>13.75</v>
      </c>
      <c r="R1752" t="s">
        <v>3341</v>
      </c>
      <c r="T1752" t="s">
        <v>3402</v>
      </c>
      <c r="U1752">
        <v>82</v>
      </c>
      <c r="V1752" t="s">
        <v>3897</v>
      </c>
    </row>
    <row r="1753" spans="1:22" ht="12.75" customHeight="1" x14ac:dyDescent="0.15">
      <c r="A1753">
        <v>19</v>
      </c>
      <c r="B1753">
        <v>2026</v>
      </c>
      <c r="C1753" s="25">
        <v>46154</v>
      </c>
      <c r="D1753" t="s">
        <v>19</v>
      </c>
      <c r="E1753" t="s">
        <v>20</v>
      </c>
      <c r="F1753" t="s">
        <v>21</v>
      </c>
      <c r="G1753">
        <v>3.8</v>
      </c>
      <c r="H1753" t="s">
        <v>3898</v>
      </c>
      <c r="I1753" t="s">
        <v>3899</v>
      </c>
      <c r="J1753" s="1" t="s">
        <v>307</v>
      </c>
      <c r="K1753" t="s">
        <v>181</v>
      </c>
      <c r="L1753" t="s">
        <v>3333</v>
      </c>
      <c r="M1753">
        <v>86</v>
      </c>
      <c r="N1753">
        <v>0.25</v>
      </c>
      <c r="O1753" t="s">
        <v>3334</v>
      </c>
      <c r="P1753">
        <v>20.399999999999999</v>
      </c>
      <c r="Q1753">
        <v>2</v>
      </c>
      <c r="R1753" t="s">
        <v>3386</v>
      </c>
      <c r="T1753" t="s">
        <v>3402</v>
      </c>
      <c r="U1753">
        <v>154</v>
      </c>
      <c r="V1753" t="s">
        <v>3455</v>
      </c>
    </row>
    <row r="1754" spans="1:22" ht="12.75" customHeight="1" x14ac:dyDescent="0.15">
      <c r="A1754">
        <v>19</v>
      </c>
      <c r="B1754">
        <v>2026</v>
      </c>
      <c r="C1754" s="25">
        <v>46154</v>
      </c>
      <c r="D1754" t="s">
        <v>73</v>
      </c>
      <c r="E1754" t="s">
        <v>74</v>
      </c>
      <c r="F1754" t="s">
        <v>75</v>
      </c>
      <c r="G1754">
        <v>2.2999999999999998</v>
      </c>
      <c r="H1754" t="s">
        <v>3565</v>
      </c>
      <c r="I1754" t="s">
        <v>3566</v>
      </c>
      <c r="J1754" s="1" t="s">
        <v>3389</v>
      </c>
      <c r="K1754" t="s">
        <v>181</v>
      </c>
      <c r="L1754" t="s">
        <v>3333</v>
      </c>
      <c r="M1754">
        <v>86</v>
      </c>
      <c r="N1754">
        <v>0.75</v>
      </c>
      <c r="O1754" t="s">
        <v>3334</v>
      </c>
      <c r="P1754">
        <v>61.19</v>
      </c>
      <c r="Q1754">
        <v>6</v>
      </c>
      <c r="R1754" t="s">
        <v>3386</v>
      </c>
      <c r="T1754" t="s">
        <v>3402</v>
      </c>
      <c r="U1754">
        <v>24</v>
      </c>
      <c r="V1754" t="s">
        <v>3900</v>
      </c>
    </row>
    <row r="1755" spans="1:22" ht="12.75" customHeight="1" x14ac:dyDescent="0.15">
      <c r="A1755">
        <v>19</v>
      </c>
      <c r="B1755">
        <v>2026</v>
      </c>
      <c r="C1755" s="25">
        <v>46154</v>
      </c>
      <c r="D1755" t="s">
        <v>73</v>
      </c>
      <c r="E1755" t="s">
        <v>74</v>
      </c>
      <c r="F1755" t="s">
        <v>75</v>
      </c>
      <c r="G1755">
        <v>2.2999999999999998</v>
      </c>
      <c r="H1755" t="s">
        <v>3565</v>
      </c>
      <c r="I1755" t="s">
        <v>3566</v>
      </c>
      <c r="J1755" s="1" t="s">
        <v>3389</v>
      </c>
      <c r="K1755" t="s">
        <v>181</v>
      </c>
      <c r="L1755" t="s">
        <v>3340</v>
      </c>
      <c r="M1755">
        <v>86</v>
      </c>
      <c r="N1755">
        <v>0.55000000000000004</v>
      </c>
      <c r="O1755" t="s">
        <v>211</v>
      </c>
      <c r="P1755">
        <v>30</v>
      </c>
      <c r="R1755" t="s">
        <v>3386</v>
      </c>
      <c r="S1755" t="s">
        <v>3901</v>
      </c>
      <c r="T1755" t="s">
        <v>3402</v>
      </c>
      <c r="U1755">
        <v>24</v>
      </c>
      <c r="V1755" t="s">
        <v>3902</v>
      </c>
    </row>
    <row r="1756" spans="1:22" ht="12.75" customHeight="1" x14ac:dyDescent="0.15">
      <c r="A1756">
        <v>19</v>
      </c>
      <c r="B1756">
        <v>2026</v>
      </c>
      <c r="C1756" s="25">
        <v>46154</v>
      </c>
      <c r="D1756" t="s">
        <v>84</v>
      </c>
      <c r="E1756" t="s">
        <v>85</v>
      </c>
      <c r="F1756" t="s">
        <v>21</v>
      </c>
      <c r="G1756">
        <v>2</v>
      </c>
      <c r="H1756" t="s">
        <v>3878</v>
      </c>
      <c r="I1756" t="s">
        <v>3566</v>
      </c>
      <c r="J1756" s="1" t="s">
        <v>3389</v>
      </c>
      <c r="K1756" t="s">
        <v>2666</v>
      </c>
      <c r="L1756" t="s">
        <v>3587</v>
      </c>
      <c r="N1756">
        <v>1.92</v>
      </c>
      <c r="O1756" t="s">
        <v>3838</v>
      </c>
      <c r="P1756">
        <v>41</v>
      </c>
      <c r="T1756" t="s">
        <v>3402</v>
      </c>
      <c r="U1756">
        <v>22</v>
      </c>
      <c r="V1756" t="s">
        <v>3903</v>
      </c>
    </row>
    <row r="1757" spans="1:22" ht="12.75" customHeight="1" x14ac:dyDescent="0.15">
      <c r="A1757">
        <v>19</v>
      </c>
      <c r="B1757">
        <v>2026</v>
      </c>
      <c r="C1757" s="25">
        <v>46155</v>
      </c>
      <c r="D1757" t="s">
        <v>80</v>
      </c>
      <c r="E1757" t="s">
        <v>81</v>
      </c>
      <c r="F1757" t="s">
        <v>21</v>
      </c>
      <c r="G1757">
        <v>2.2999999999999998</v>
      </c>
      <c r="H1757" t="s">
        <v>3514</v>
      </c>
      <c r="I1757" t="s">
        <v>366</v>
      </c>
      <c r="J1757" s="1" t="s">
        <v>215</v>
      </c>
      <c r="K1757" t="s">
        <v>181</v>
      </c>
      <c r="L1757" t="s">
        <v>3340</v>
      </c>
      <c r="M1757">
        <v>45</v>
      </c>
      <c r="N1757">
        <v>0.64</v>
      </c>
      <c r="O1757" t="s">
        <v>211</v>
      </c>
      <c r="P1757">
        <v>35</v>
      </c>
      <c r="R1757" t="s">
        <v>3377</v>
      </c>
      <c r="S1757" t="s">
        <v>3904</v>
      </c>
      <c r="T1757" t="s">
        <v>3337</v>
      </c>
      <c r="U1757">
        <v>41</v>
      </c>
      <c r="V1757" t="s">
        <v>3905</v>
      </c>
    </row>
    <row r="1758" spans="1:22" ht="12.75" customHeight="1" x14ac:dyDescent="0.15">
      <c r="A1758">
        <v>19</v>
      </c>
      <c r="B1758">
        <v>2026</v>
      </c>
      <c r="C1758" s="25">
        <v>46155</v>
      </c>
      <c r="D1758" t="s">
        <v>80</v>
      </c>
      <c r="E1758" t="s">
        <v>81</v>
      </c>
      <c r="F1758" t="s">
        <v>21</v>
      </c>
      <c r="G1758">
        <v>2.2999999999999998</v>
      </c>
      <c r="H1758" t="s">
        <v>3514</v>
      </c>
      <c r="I1758" t="s">
        <v>366</v>
      </c>
      <c r="J1758" s="1" t="s">
        <v>215</v>
      </c>
      <c r="K1758" t="s">
        <v>181</v>
      </c>
      <c r="L1758" t="s">
        <v>3340</v>
      </c>
      <c r="M1758">
        <v>62</v>
      </c>
      <c r="N1758">
        <v>0.64</v>
      </c>
      <c r="O1758" t="s">
        <v>211</v>
      </c>
      <c r="P1758">
        <v>35</v>
      </c>
      <c r="R1758" t="s">
        <v>3375</v>
      </c>
      <c r="T1758" t="s">
        <v>3337</v>
      </c>
      <c r="U1758">
        <v>41</v>
      </c>
      <c r="V1758" t="s">
        <v>3905</v>
      </c>
    </row>
    <row r="1759" spans="1:22" ht="12.75" customHeight="1" x14ac:dyDescent="0.15">
      <c r="A1759">
        <v>19</v>
      </c>
      <c r="B1759">
        <v>2026</v>
      </c>
      <c r="C1759" s="25">
        <v>46155</v>
      </c>
      <c r="D1759" t="s">
        <v>80</v>
      </c>
      <c r="E1759" t="s">
        <v>81</v>
      </c>
      <c r="F1759" t="s">
        <v>21</v>
      </c>
      <c r="G1759">
        <v>2.2999999999999998</v>
      </c>
      <c r="H1759" t="s">
        <v>3514</v>
      </c>
      <c r="I1759" t="s">
        <v>366</v>
      </c>
      <c r="J1759" s="1" t="s">
        <v>215</v>
      </c>
      <c r="K1759" t="s">
        <v>181</v>
      </c>
      <c r="L1759" t="s">
        <v>3340</v>
      </c>
      <c r="M1759">
        <v>58</v>
      </c>
      <c r="N1759">
        <v>0.64</v>
      </c>
      <c r="O1759" t="s">
        <v>211</v>
      </c>
      <c r="P1759">
        <v>35</v>
      </c>
      <c r="R1759" t="s">
        <v>3343</v>
      </c>
      <c r="T1759" t="s">
        <v>3337</v>
      </c>
      <c r="U1759">
        <v>41</v>
      </c>
      <c r="V1759" t="s">
        <v>3905</v>
      </c>
    </row>
    <row r="1760" spans="1:22" ht="12.75" customHeight="1" x14ac:dyDescent="0.15">
      <c r="A1760">
        <v>19</v>
      </c>
      <c r="B1760">
        <v>2026</v>
      </c>
      <c r="C1760" s="25">
        <v>46155</v>
      </c>
      <c r="D1760" t="s">
        <v>80</v>
      </c>
      <c r="E1760" t="s">
        <v>81</v>
      </c>
      <c r="F1760" t="s">
        <v>21</v>
      </c>
      <c r="G1760">
        <v>2.2999999999999998</v>
      </c>
      <c r="H1760" t="s">
        <v>3514</v>
      </c>
      <c r="I1760" t="s">
        <v>366</v>
      </c>
      <c r="J1760" s="1" t="s">
        <v>215</v>
      </c>
      <c r="K1760" t="s">
        <v>181</v>
      </c>
      <c r="L1760" t="s">
        <v>3340</v>
      </c>
      <c r="M1760">
        <v>132</v>
      </c>
      <c r="N1760">
        <v>0.64</v>
      </c>
      <c r="O1760" t="s">
        <v>211</v>
      </c>
      <c r="P1760">
        <v>35</v>
      </c>
      <c r="R1760" t="s">
        <v>3368</v>
      </c>
      <c r="T1760" t="s">
        <v>3337</v>
      </c>
      <c r="U1760">
        <v>41</v>
      </c>
      <c r="V1760" t="s">
        <v>3905</v>
      </c>
    </row>
    <row r="1761" spans="1:22" ht="12.75" customHeight="1" x14ac:dyDescent="0.15">
      <c r="A1761">
        <v>19</v>
      </c>
      <c r="B1761">
        <v>2026</v>
      </c>
      <c r="C1761" s="25">
        <v>46155</v>
      </c>
      <c r="D1761" t="s">
        <v>80</v>
      </c>
      <c r="E1761" t="s">
        <v>81</v>
      </c>
      <c r="F1761" t="s">
        <v>21</v>
      </c>
      <c r="G1761">
        <v>2.2999999999999998</v>
      </c>
      <c r="H1761" t="s">
        <v>3514</v>
      </c>
      <c r="I1761" t="s">
        <v>366</v>
      </c>
      <c r="J1761" s="1" t="s">
        <v>215</v>
      </c>
      <c r="K1761" t="s">
        <v>181</v>
      </c>
      <c r="L1761" t="s">
        <v>3340</v>
      </c>
      <c r="M1761">
        <v>81</v>
      </c>
      <c r="N1761">
        <v>0.64</v>
      </c>
      <c r="O1761" t="s">
        <v>211</v>
      </c>
      <c r="P1761">
        <v>35</v>
      </c>
      <c r="R1761" t="s">
        <v>3374</v>
      </c>
      <c r="T1761" t="s">
        <v>3337</v>
      </c>
      <c r="U1761">
        <v>41</v>
      </c>
      <c r="V1761" t="s">
        <v>3905</v>
      </c>
    </row>
    <row r="1762" spans="1:22" ht="12.75" customHeight="1" x14ac:dyDescent="0.15">
      <c r="A1762">
        <v>19</v>
      </c>
      <c r="B1762">
        <v>2026</v>
      </c>
      <c r="C1762" s="25">
        <v>46155</v>
      </c>
      <c r="D1762" t="s">
        <v>80</v>
      </c>
      <c r="E1762" t="s">
        <v>81</v>
      </c>
      <c r="F1762" t="s">
        <v>21</v>
      </c>
      <c r="G1762">
        <v>2.2999999999999998</v>
      </c>
      <c r="H1762" t="s">
        <v>3514</v>
      </c>
      <c r="I1762" t="s">
        <v>366</v>
      </c>
      <c r="J1762" s="1" t="s">
        <v>215</v>
      </c>
      <c r="K1762" t="s">
        <v>181</v>
      </c>
      <c r="L1762" t="s">
        <v>3340</v>
      </c>
      <c r="M1762">
        <v>53</v>
      </c>
      <c r="N1762">
        <v>0.64</v>
      </c>
      <c r="O1762" t="s">
        <v>211</v>
      </c>
      <c r="P1762">
        <v>35</v>
      </c>
      <c r="R1762" t="s">
        <v>3373</v>
      </c>
      <c r="T1762" t="s">
        <v>3337</v>
      </c>
      <c r="U1762">
        <v>41</v>
      </c>
      <c r="V1762" t="s">
        <v>3905</v>
      </c>
    </row>
    <row r="1763" spans="1:22" ht="12.75" customHeight="1" x14ac:dyDescent="0.15">
      <c r="A1763">
        <v>19</v>
      </c>
      <c r="B1763">
        <v>2026</v>
      </c>
      <c r="C1763" s="25">
        <v>46155</v>
      </c>
      <c r="D1763" t="s">
        <v>39</v>
      </c>
      <c r="E1763" t="s">
        <v>40</v>
      </c>
      <c r="F1763" t="s">
        <v>21</v>
      </c>
      <c r="G1763">
        <v>1.91</v>
      </c>
      <c r="H1763" t="s">
        <v>3514</v>
      </c>
      <c r="I1763" t="s">
        <v>366</v>
      </c>
      <c r="J1763" s="1" t="s">
        <v>215</v>
      </c>
      <c r="K1763" t="s">
        <v>181</v>
      </c>
      <c r="L1763" t="s">
        <v>3340</v>
      </c>
      <c r="M1763">
        <v>45</v>
      </c>
      <c r="N1763">
        <v>0.85</v>
      </c>
      <c r="O1763" t="s">
        <v>211</v>
      </c>
      <c r="P1763">
        <v>46.6</v>
      </c>
      <c r="R1763" t="s">
        <v>3377</v>
      </c>
      <c r="S1763" t="s">
        <v>3906</v>
      </c>
      <c r="T1763" t="s">
        <v>3337</v>
      </c>
      <c r="U1763">
        <v>118</v>
      </c>
      <c r="V1763" t="s">
        <v>3907</v>
      </c>
    </row>
    <row r="1764" spans="1:22" ht="12.75" customHeight="1" x14ac:dyDescent="0.15">
      <c r="A1764">
        <v>19</v>
      </c>
      <c r="B1764">
        <v>2026</v>
      </c>
      <c r="C1764" s="25">
        <v>46155</v>
      </c>
      <c r="D1764" t="s">
        <v>39</v>
      </c>
      <c r="E1764" t="s">
        <v>40</v>
      </c>
      <c r="F1764" t="s">
        <v>21</v>
      </c>
      <c r="G1764">
        <v>1.91</v>
      </c>
      <c r="H1764" t="s">
        <v>3514</v>
      </c>
      <c r="I1764" t="s">
        <v>366</v>
      </c>
      <c r="J1764" s="1" t="s">
        <v>215</v>
      </c>
      <c r="K1764" t="s">
        <v>181</v>
      </c>
      <c r="L1764" t="s">
        <v>3340</v>
      </c>
      <c r="M1764">
        <v>62</v>
      </c>
      <c r="N1764">
        <v>0.85</v>
      </c>
      <c r="O1764" t="s">
        <v>211</v>
      </c>
      <c r="P1764">
        <v>46.6</v>
      </c>
      <c r="R1764" t="s">
        <v>3375</v>
      </c>
      <c r="T1764" t="s">
        <v>3337</v>
      </c>
      <c r="U1764">
        <v>118</v>
      </c>
      <c r="V1764" t="s">
        <v>3907</v>
      </c>
    </row>
    <row r="1765" spans="1:22" ht="12.75" customHeight="1" x14ac:dyDescent="0.15">
      <c r="A1765">
        <v>19</v>
      </c>
      <c r="B1765">
        <v>2026</v>
      </c>
      <c r="C1765" s="25">
        <v>46155</v>
      </c>
      <c r="D1765" t="s">
        <v>39</v>
      </c>
      <c r="E1765" t="s">
        <v>40</v>
      </c>
      <c r="F1765" t="s">
        <v>21</v>
      </c>
      <c r="G1765">
        <v>1.91</v>
      </c>
      <c r="H1765" t="s">
        <v>3514</v>
      </c>
      <c r="I1765" t="s">
        <v>366</v>
      </c>
      <c r="J1765" s="1" t="s">
        <v>215</v>
      </c>
      <c r="K1765" t="s">
        <v>181</v>
      </c>
      <c r="L1765" t="s">
        <v>3340</v>
      </c>
      <c r="M1765">
        <v>58</v>
      </c>
      <c r="N1765">
        <v>0.85</v>
      </c>
      <c r="O1765" t="s">
        <v>211</v>
      </c>
      <c r="P1765">
        <v>46.6</v>
      </c>
      <c r="R1765" t="s">
        <v>3343</v>
      </c>
      <c r="T1765" t="s">
        <v>3337</v>
      </c>
      <c r="U1765">
        <v>118</v>
      </c>
      <c r="V1765" t="s">
        <v>3907</v>
      </c>
    </row>
    <row r="1766" spans="1:22" ht="12.75" customHeight="1" x14ac:dyDescent="0.15">
      <c r="A1766">
        <v>19</v>
      </c>
      <c r="B1766">
        <v>2026</v>
      </c>
      <c r="C1766" s="25">
        <v>46155</v>
      </c>
      <c r="D1766" t="s">
        <v>39</v>
      </c>
      <c r="E1766" t="s">
        <v>40</v>
      </c>
      <c r="F1766" t="s">
        <v>21</v>
      </c>
      <c r="G1766">
        <v>1.91</v>
      </c>
      <c r="H1766" t="s">
        <v>3514</v>
      </c>
      <c r="I1766" t="s">
        <v>366</v>
      </c>
      <c r="J1766" s="1" t="s">
        <v>215</v>
      </c>
      <c r="K1766" t="s">
        <v>181</v>
      </c>
      <c r="L1766" t="s">
        <v>3340</v>
      </c>
      <c r="M1766">
        <v>132</v>
      </c>
      <c r="N1766">
        <v>0.85</v>
      </c>
      <c r="O1766" t="s">
        <v>211</v>
      </c>
      <c r="P1766">
        <v>46.6</v>
      </c>
      <c r="R1766" t="s">
        <v>3368</v>
      </c>
      <c r="T1766" t="s">
        <v>3337</v>
      </c>
      <c r="U1766">
        <v>118</v>
      </c>
      <c r="V1766" t="s">
        <v>3907</v>
      </c>
    </row>
    <row r="1767" spans="1:22" ht="12.75" customHeight="1" x14ac:dyDescent="0.15">
      <c r="A1767">
        <v>19</v>
      </c>
      <c r="B1767">
        <v>2026</v>
      </c>
      <c r="C1767" s="25">
        <v>46155</v>
      </c>
      <c r="D1767" t="s">
        <v>39</v>
      </c>
      <c r="E1767" t="s">
        <v>40</v>
      </c>
      <c r="F1767" t="s">
        <v>21</v>
      </c>
      <c r="G1767">
        <v>1.91</v>
      </c>
      <c r="H1767" t="s">
        <v>3514</v>
      </c>
      <c r="I1767" t="s">
        <v>366</v>
      </c>
      <c r="J1767" s="1" t="s">
        <v>215</v>
      </c>
      <c r="K1767" t="s">
        <v>181</v>
      </c>
      <c r="L1767" t="s">
        <v>3340</v>
      </c>
      <c r="M1767">
        <v>81</v>
      </c>
      <c r="N1767">
        <v>0.85</v>
      </c>
      <c r="O1767" t="s">
        <v>211</v>
      </c>
      <c r="P1767">
        <v>46.6</v>
      </c>
      <c r="R1767" t="s">
        <v>3374</v>
      </c>
      <c r="T1767" t="s">
        <v>3337</v>
      </c>
      <c r="U1767">
        <v>118</v>
      </c>
      <c r="V1767" t="s">
        <v>3907</v>
      </c>
    </row>
    <row r="1768" spans="1:22" ht="12.75" customHeight="1" x14ac:dyDescent="0.15">
      <c r="A1768">
        <v>19</v>
      </c>
      <c r="B1768">
        <v>2026</v>
      </c>
      <c r="C1768" s="25">
        <v>46155</v>
      </c>
      <c r="D1768" t="s">
        <v>39</v>
      </c>
      <c r="E1768" t="s">
        <v>40</v>
      </c>
      <c r="F1768" t="s">
        <v>21</v>
      </c>
      <c r="G1768">
        <v>1.91</v>
      </c>
      <c r="H1768" t="s">
        <v>3514</v>
      </c>
      <c r="I1768" t="s">
        <v>366</v>
      </c>
      <c r="J1768" s="1" t="s">
        <v>215</v>
      </c>
      <c r="K1768" t="s">
        <v>181</v>
      </c>
      <c r="L1768" t="s">
        <v>3340</v>
      </c>
      <c r="M1768">
        <v>53</v>
      </c>
      <c r="N1768">
        <v>0.85</v>
      </c>
      <c r="O1768" t="s">
        <v>211</v>
      </c>
      <c r="P1768">
        <v>46.6</v>
      </c>
      <c r="R1768" t="s">
        <v>3373</v>
      </c>
      <c r="T1768" t="s">
        <v>3337</v>
      </c>
      <c r="U1768">
        <v>118</v>
      </c>
      <c r="V1768" t="s">
        <v>3907</v>
      </c>
    </row>
    <row r="1769" spans="1:22" ht="12.75" customHeight="1" x14ac:dyDescent="0.15">
      <c r="A1769">
        <v>19</v>
      </c>
      <c r="B1769">
        <v>2026</v>
      </c>
      <c r="C1769" s="25">
        <v>46155</v>
      </c>
      <c r="D1769" t="s">
        <v>107</v>
      </c>
      <c r="E1769" t="s">
        <v>108</v>
      </c>
      <c r="F1769" t="s">
        <v>21</v>
      </c>
      <c r="G1769">
        <v>4.5</v>
      </c>
      <c r="H1769" t="s">
        <v>3908</v>
      </c>
      <c r="I1769" t="s">
        <v>3909</v>
      </c>
      <c r="J1769" s="1" t="s">
        <v>3389</v>
      </c>
      <c r="K1769" t="s">
        <v>181</v>
      </c>
      <c r="L1769" t="s">
        <v>3333</v>
      </c>
      <c r="M1769">
        <v>2</v>
      </c>
      <c r="N1769">
        <v>0.13</v>
      </c>
      <c r="O1769" t="s">
        <v>3440</v>
      </c>
      <c r="P1769">
        <v>11.31</v>
      </c>
      <c r="Q1769">
        <v>1</v>
      </c>
      <c r="R1769" t="s">
        <v>3424</v>
      </c>
      <c r="T1769" t="s">
        <v>3337</v>
      </c>
      <c r="U1769">
        <v>-2</v>
      </c>
      <c r="V1769" t="s">
        <v>3910</v>
      </c>
    </row>
    <row r="1770" spans="1:22" ht="12.75" customHeight="1" x14ac:dyDescent="0.15">
      <c r="A1770">
        <v>19</v>
      </c>
      <c r="B1770">
        <v>2026</v>
      </c>
      <c r="C1770" s="25">
        <v>46155</v>
      </c>
      <c r="D1770" t="s">
        <v>80</v>
      </c>
      <c r="E1770" t="s">
        <v>81</v>
      </c>
      <c r="F1770" t="s">
        <v>21</v>
      </c>
      <c r="G1770">
        <v>2.2999999999999998</v>
      </c>
      <c r="H1770" t="s">
        <v>3339</v>
      </c>
      <c r="I1770" t="s">
        <v>187</v>
      </c>
      <c r="J1770" s="1" t="s">
        <v>188</v>
      </c>
      <c r="K1770" t="s">
        <v>181</v>
      </c>
      <c r="L1770" t="s">
        <v>3333</v>
      </c>
      <c r="M1770">
        <v>1</v>
      </c>
      <c r="N1770">
        <v>0.5</v>
      </c>
      <c r="O1770" t="s">
        <v>3358</v>
      </c>
      <c r="P1770">
        <v>35.93</v>
      </c>
      <c r="Q1770">
        <v>4</v>
      </c>
      <c r="R1770" t="s">
        <v>3359</v>
      </c>
      <c r="T1770" t="s">
        <v>3337</v>
      </c>
      <c r="U1770">
        <v>41</v>
      </c>
      <c r="V1770" t="s">
        <v>3911</v>
      </c>
    </row>
    <row r="1771" spans="1:22" ht="12.75" customHeight="1" x14ac:dyDescent="0.15">
      <c r="A1771">
        <v>19</v>
      </c>
      <c r="B1771">
        <v>2026</v>
      </c>
      <c r="C1771" s="25">
        <v>46155</v>
      </c>
      <c r="D1771" t="s">
        <v>80</v>
      </c>
      <c r="E1771" t="s">
        <v>81</v>
      </c>
      <c r="F1771" t="s">
        <v>21</v>
      </c>
      <c r="G1771">
        <v>2.2999999999999998</v>
      </c>
      <c r="H1771" t="s">
        <v>3346</v>
      </c>
      <c r="I1771" t="s">
        <v>212</v>
      </c>
      <c r="J1771" s="1" t="s">
        <v>188</v>
      </c>
      <c r="K1771" t="s">
        <v>181</v>
      </c>
      <c r="L1771" t="s">
        <v>3333</v>
      </c>
      <c r="M1771">
        <v>1</v>
      </c>
      <c r="N1771">
        <v>0.5</v>
      </c>
      <c r="O1771" t="s">
        <v>3358</v>
      </c>
      <c r="P1771">
        <v>35.93</v>
      </c>
      <c r="Q1771">
        <v>4</v>
      </c>
      <c r="R1771" t="s">
        <v>3359</v>
      </c>
      <c r="T1771" t="s">
        <v>3337</v>
      </c>
      <c r="U1771">
        <v>41</v>
      </c>
      <c r="V1771" t="s">
        <v>3911</v>
      </c>
    </row>
    <row r="1772" spans="1:22" ht="12.75" customHeight="1" x14ac:dyDescent="0.15">
      <c r="A1772">
        <v>19</v>
      </c>
      <c r="B1772">
        <v>2026</v>
      </c>
      <c r="C1772" s="25">
        <v>46155</v>
      </c>
      <c r="D1772" t="s">
        <v>107</v>
      </c>
      <c r="E1772" t="s">
        <v>108</v>
      </c>
      <c r="F1772" t="s">
        <v>21</v>
      </c>
      <c r="G1772">
        <v>4.5</v>
      </c>
      <c r="H1772" t="s">
        <v>3339</v>
      </c>
      <c r="I1772" t="s">
        <v>187</v>
      </c>
      <c r="J1772" s="1" t="s">
        <v>188</v>
      </c>
      <c r="K1772" t="s">
        <v>181</v>
      </c>
      <c r="L1772" t="s">
        <v>3333</v>
      </c>
      <c r="M1772">
        <v>6</v>
      </c>
      <c r="N1772">
        <v>1</v>
      </c>
      <c r="O1772" t="s">
        <v>3334</v>
      </c>
      <c r="P1772">
        <v>81.58</v>
      </c>
      <c r="Q1772">
        <v>8</v>
      </c>
      <c r="R1772" t="s">
        <v>3335</v>
      </c>
      <c r="T1772" t="s">
        <v>3337</v>
      </c>
      <c r="U1772">
        <v>-2</v>
      </c>
      <c r="V1772" t="s">
        <v>3826</v>
      </c>
    </row>
    <row r="1773" spans="1:22" ht="12.75" customHeight="1" x14ac:dyDescent="0.15">
      <c r="A1773">
        <v>19</v>
      </c>
      <c r="B1773">
        <v>2026</v>
      </c>
      <c r="C1773" s="25">
        <v>46155</v>
      </c>
      <c r="D1773" t="s">
        <v>96</v>
      </c>
      <c r="E1773" t="s">
        <v>97</v>
      </c>
      <c r="F1773" t="s">
        <v>21</v>
      </c>
      <c r="G1773">
        <v>4.5</v>
      </c>
      <c r="H1773" t="s">
        <v>3912</v>
      </c>
      <c r="I1773" t="s">
        <v>3913</v>
      </c>
      <c r="J1773" s="1" t="s">
        <v>3533</v>
      </c>
      <c r="K1773" t="s">
        <v>181</v>
      </c>
      <c r="L1773" t="s">
        <v>3333</v>
      </c>
      <c r="M1773">
        <v>3</v>
      </c>
      <c r="N1773">
        <v>0.5</v>
      </c>
      <c r="O1773" t="s">
        <v>3334</v>
      </c>
      <c r="P1773">
        <v>40.79</v>
      </c>
      <c r="Q1773">
        <v>4</v>
      </c>
      <c r="R1773" t="s">
        <v>3478</v>
      </c>
      <c r="T1773" t="s">
        <v>3402</v>
      </c>
      <c r="U1773">
        <v>12</v>
      </c>
      <c r="V1773" t="s">
        <v>3870</v>
      </c>
    </row>
    <row r="1774" spans="1:22" ht="12.75" customHeight="1" x14ac:dyDescent="0.15">
      <c r="A1774">
        <v>19</v>
      </c>
      <c r="B1774">
        <v>2026</v>
      </c>
      <c r="C1774" s="25">
        <v>46155</v>
      </c>
      <c r="D1774" t="s">
        <v>96</v>
      </c>
      <c r="E1774" t="s">
        <v>97</v>
      </c>
      <c r="F1774" t="s">
        <v>21</v>
      </c>
      <c r="G1774">
        <v>4.5</v>
      </c>
      <c r="H1774" t="s">
        <v>3912</v>
      </c>
      <c r="I1774" t="s">
        <v>3913</v>
      </c>
      <c r="J1774" s="1" t="s">
        <v>3533</v>
      </c>
      <c r="K1774" t="s">
        <v>181</v>
      </c>
      <c r="L1774" t="s">
        <v>3333</v>
      </c>
      <c r="M1774">
        <v>4</v>
      </c>
      <c r="N1774">
        <v>0.5</v>
      </c>
      <c r="O1774" t="s">
        <v>3334</v>
      </c>
      <c r="P1774">
        <v>40.79</v>
      </c>
      <c r="Q1774">
        <v>4</v>
      </c>
      <c r="R1774" t="s">
        <v>3773</v>
      </c>
      <c r="T1774" t="s">
        <v>3402</v>
      </c>
      <c r="U1774">
        <v>12</v>
      </c>
      <c r="V1774" t="s">
        <v>3870</v>
      </c>
    </row>
    <row r="1775" spans="1:22" ht="12.75" customHeight="1" x14ac:dyDescent="0.15">
      <c r="A1775">
        <v>19</v>
      </c>
      <c r="B1775">
        <v>2026</v>
      </c>
      <c r="C1775" s="25">
        <v>46155</v>
      </c>
      <c r="D1775" t="s">
        <v>96</v>
      </c>
      <c r="E1775" t="s">
        <v>97</v>
      </c>
      <c r="F1775" t="s">
        <v>21</v>
      </c>
      <c r="G1775">
        <v>4.5</v>
      </c>
      <c r="H1775" t="s">
        <v>3912</v>
      </c>
      <c r="I1775" t="s">
        <v>3913</v>
      </c>
      <c r="J1775" s="1" t="s">
        <v>3533</v>
      </c>
      <c r="K1775" t="s">
        <v>181</v>
      </c>
      <c r="L1775" t="s">
        <v>3340</v>
      </c>
      <c r="M1775">
        <v>53</v>
      </c>
      <c r="N1775">
        <v>0.65</v>
      </c>
      <c r="O1775" t="s">
        <v>211</v>
      </c>
      <c r="P1775">
        <v>36</v>
      </c>
      <c r="Q1775">
        <v>4</v>
      </c>
      <c r="R1775" t="s">
        <v>3373</v>
      </c>
      <c r="T1775" t="s">
        <v>3402</v>
      </c>
      <c r="U1775">
        <v>12</v>
      </c>
      <c r="V1775" t="s">
        <v>183</v>
      </c>
    </row>
    <row r="1776" spans="1:22" ht="12.75" customHeight="1" x14ac:dyDescent="0.15">
      <c r="A1776">
        <v>19</v>
      </c>
      <c r="B1776">
        <v>2026</v>
      </c>
      <c r="C1776" s="25">
        <v>46155</v>
      </c>
      <c r="D1776" t="s">
        <v>68</v>
      </c>
      <c r="E1776" t="s">
        <v>69</v>
      </c>
      <c r="F1776" t="s">
        <v>21</v>
      </c>
      <c r="G1776">
        <v>1</v>
      </c>
      <c r="H1776" t="s">
        <v>3536</v>
      </c>
      <c r="I1776" t="s">
        <v>3676</v>
      </c>
      <c r="J1776" s="1" t="s">
        <v>3533</v>
      </c>
      <c r="K1776" t="s">
        <v>181</v>
      </c>
      <c r="L1776" t="s">
        <v>3333</v>
      </c>
      <c r="M1776">
        <v>3</v>
      </c>
      <c r="N1776">
        <v>0.5</v>
      </c>
      <c r="O1776" t="s">
        <v>3334</v>
      </c>
      <c r="P1776">
        <v>40.79</v>
      </c>
      <c r="Q1776">
        <v>4</v>
      </c>
      <c r="R1776" t="s">
        <v>3478</v>
      </c>
      <c r="T1776" t="s">
        <v>3402</v>
      </c>
      <c r="U1776">
        <v>41</v>
      </c>
      <c r="V1776" t="s">
        <v>3456</v>
      </c>
    </row>
    <row r="1777" spans="1:22" ht="12.75" customHeight="1" x14ac:dyDescent="0.15">
      <c r="A1777">
        <v>19</v>
      </c>
      <c r="B1777">
        <v>2026</v>
      </c>
      <c r="C1777" s="25">
        <v>46155</v>
      </c>
      <c r="D1777" t="s">
        <v>68</v>
      </c>
      <c r="E1777" t="s">
        <v>69</v>
      </c>
      <c r="F1777" t="s">
        <v>21</v>
      </c>
      <c r="G1777">
        <v>1</v>
      </c>
      <c r="H1777" t="s">
        <v>3536</v>
      </c>
      <c r="I1777" t="s">
        <v>3676</v>
      </c>
      <c r="J1777" s="1" t="s">
        <v>3533</v>
      </c>
      <c r="K1777" t="s">
        <v>181</v>
      </c>
      <c r="L1777" t="s">
        <v>3333</v>
      </c>
      <c r="M1777">
        <v>4</v>
      </c>
      <c r="N1777">
        <v>0.5</v>
      </c>
      <c r="O1777" t="s">
        <v>3334</v>
      </c>
      <c r="P1777">
        <v>40.79</v>
      </c>
      <c r="Q1777">
        <v>4</v>
      </c>
      <c r="R1777" t="s">
        <v>3773</v>
      </c>
      <c r="T1777" t="s">
        <v>3402</v>
      </c>
      <c r="U1777">
        <v>41</v>
      </c>
      <c r="V1777" t="s">
        <v>3456</v>
      </c>
    </row>
    <row r="1778" spans="1:22" ht="12.75" customHeight="1" x14ac:dyDescent="0.15">
      <c r="A1778">
        <v>19</v>
      </c>
      <c r="B1778">
        <v>2026</v>
      </c>
      <c r="C1778" s="25">
        <v>46155</v>
      </c>
      <c r="D1778" t="s">
        <v>68</v>
      </c>
      <c r="E1778" t="s">
        <v>69</v>
      </c>
      <c r="F1778" t="s">
        <v>21</v>
      </c>
      <c r="G1778">
        <v>1</v>
      </c>
      <c r="H1778" t="s">
        <v>3536</v>
      </c>
      <c r="I1778" t="s">
        <v>3676</v>
      </c>
      <c r="J1778" s="1" t="s">
        <v>3533</v>
      </c>
      <c r="K1778" t="s">
        <v>181</v>
      </c>
      <c r="L1778" t="s">
        <v>3340</v>
      </c>
      <c r="M1778">
        <v>53</v>
      </c>
      <c r="N1778">
        <v>0.16</v>
      </c>
      <c r="O1778" t="s">
        <v>211</v>
      </c>
      <c r="P1778">
        <v>9</v>
      </c>
      <c r="Q1778">
        <v>1</v>
      </c>
      <c r="R1778" t="s">
        <v>3373</v>
      </c>
      <c r="T1778" t="s">
        <v>3402</v>
      </c>
      <c r="U1778">
        <v>41</v>
      </c>
      <c r="V1778" t="s">
        <v>3473</v>
      </c>
    </row>
    <row r="1779" spans="1:22" ht="12.75" customHeight="1" x14ac:dyDescent="0.15">
      <c r="A1779">
        <v>19</v>
      </c>
      <c r="B1779">
        <v>2026</v>
      </c>
      <c r="C1779" s="25">
        <v>46155</v>
      </c>
      <c r="D1779" t="s">
        <v>107</v>
      </c>
      <c r="E1779" t="s">
        <v>108</v>
      </c>
      <c r="F1779" t="s">
        <v>21</v>
      </c>
      <c r="G1779">
        <v>4.5</v>
      </c>
      <c r="H1779" t="s">
        <v>3908</v>
      </c>
      <c r="I1779" t="s">
        <v>3909</v>
      </c>
      <c r="J1779" s="1" t="s">
        <v>3389</v>
      </c>
      <c r="K1779" t="s">
        <v>181</v>
      </c>
      <c r="L1779" t="s">
        <v>3333</v>
      </c>
      <c r="M1779">
        <v>67</v>
      </c>
      <c r="N1779">
        <v>0.13</v>
      </c>
      <c r="O1779" t="s">
        <v>3334</v>
      </c>
      <c r="P1779">
        <v>10.199999999999999</v>
      </c>
      <c r="Q1779">
        <v>1</v>
      </c>
      <c r="R1779" t="s">
        <v>3404</v>
      </c>
      <c r="T1779" t="s">
        <v>3402</v>
      </c>
      <c r="U1779">
        <v>-2</v>
      </c>
      <c r="V1779" t="s">
        <v>3840</v>
      </c>
    </row>
    <row r="1780" spans="1:22" ht="12.75" customHeight="1" x14ac:dyDescent="0.15">
      <c r="A1780">
        <v>19</v>
      </c>
      <c r="B1780">
        <v>2026</v>
      </c>
      <c r="C1780" s="25">
        <v>46155</v>
      </c>
      <c r="D1780" t="s">
        <v>107</v>
      </c>
      <c r="E1780" t="s">
        <v>108</v>
      </c>
      <c r="F1780" t="s">
        <v>21</v>
      </c>
      <c r="G1780">
        <v>4.5</v>
      </c>
      <c r="H1780" t="s">
        <v>3908</v>
      </c>
      <c r="I1780" t="s">
        <v>3909</v>
      </c>
      <c r="J1780" s="1" t="s">
        <v>3389</v>
      </c>
      <c r="K1780" t="s">
        <v>181</v>
      </c>
      <c r="L1780" t="s">
        <v>3333</v>
      </c>
      <c r="M1780">
        <v>19</v>
      </c>
      <c r="N1780">
        <v>0.13</v>
      </c>
      <c r="O1780" t="s">
        <v>3334</v>
      </c>
      <c r="P1780">
        <v>10.199999999999999</v>
      </c>
      <c r="Q1780">
        <v>1</v>
      </c>
      <c r="R1780" t="s">
        <v>3403</v>
      </c>
      <c r="T1780" t="s">
        <v>3402</v>
      </c>
      <c r="U1780">
        <v>-2</v>
      </c>
      <c r="V1780" t="s">
        <v>3840</v>
      </c>
    </row>
    <row r="1781" spans="1:22" ht="12.75" customHeight="1" x14ac:dyDescent="0.15">
      <c r="A1781">
        <v>19</v>
      </c>
      <c r="B1781">
        <v>2026</v>
      </c>
      <c r="C1781" s="25">
        <v>46155</v>
      </c>
      <c r="D1781" t="s">
        <v>107</v>
      </c>
      <c r="E1781" t="s">
        <v>108</v>
      </c>
      <c r="F1781" t="s">
        <v>21</v>
      </c>
      <c r="G1781">
        <v>4.5</v>
      </c>
      <c r="H1781" t="s">
        <v>3908</v>
      </c>
      <c r="I1781" t="s">
        <v>3909</v>
      </c>
      <c r="J1781" s="1" t="s">
        <v>3389</v>
      </c>
      <c r="K1781" t="s">
        <v>181</v>
      </c>
      <c r="L1781" t="s">
        <v>3340</v>
      </c>
      <c r="M1781">
        <v>78</v>
      </c>
      <c r="N1781">
        <v>0.16</v>
      </c>
      <c r="O1781" t="s">
        <v>211</v>
      </c>
      <c r="P1781">
        <v>9</v>
      </c>
      <c r="Q1781">
        <v>1</v>
      </c>
      <c r="R1781" t="s">
        <v>3341</v>
      </c>
      <c r="T1781" t="s">
        <v>3402</v>
      </c>
      <c r="U1781">
        <v>-2</v>
      </c>
      <c r="V1781" t="s">
        <v>3801</v>
      </c>
    </row>
    <row r="1782" spans="1:22" ht="12.75" customHeight="1" x14ac:dyDescent="0.15">
      <c r="A1782">
        <v>19</v>
      </c>
      <c r="B1782">
        <v>2026</v>
      </c>
      <c r="C1782" s="25">
        <v>46155</v>
      </c>
      <c r="D1782" t="s">
        <v>73</v>
      </c>
      <c r="E1782" t="s">
        <v>74</v>
      </c>
      <c r="F1782" t="s">
        <v>75</v>
      </c>
      <c r="G1782">
        <v>2.2999999999999998</v>
      </c>
      <c r="H1782" t="s">
        <v>3565</v>
      </c>
      <c r="I1782" t="s">
        <v>3566</v>
      </c>
      <c r="J1782" s="1" t="s">
        <v>3389</v>
      </c>
      <c r="K1782" t="s">
        <v>181</v>
      </c>
      <c r="L1782" t="s">
        <v>3333</v>
      </c>
      <c r="M1782">
        <v>86</v>
      </c>
      <c r="N1782">
        <v>0.13</v>
      </c>
      <c r="O1782" t="s">
        <v>3334</v>
      </c>
      <c r="P1782">
        <v>10.199999999999999</v>
      </c>
      <c r="Q1782">
        <v>1</v>
      </c>
      <c r="R1782" t="s">
        <v>3386</v>
      </c>
      <c r="T1782" t="s">
        <v>3402</v>
      </c>
      <c r="U1782">
        <v>25</v>
      </c>
      <c r="V1782" t="s">
        <v>3713</v>
      </c>
    </row>
    <row r="1783" spans="1:22" ht="12.75" customHeight="1" x14ac:dyDescent="0.15">
      <c r="A1783">
        <v>19</v>
      </c>
      <c r="B1783">
        <v>2026</v>
      </c>
      <c r="C1783" s="25">
        <v>46155</v>
      </c>
      <c r="D1783" t="s">
        <v>84</v>
      </c>
      <c r="E1783" t="s">
        <v>85</v>
      </c>
      <c r="F1783" t="s">
        <v>21</v>
      </c>
      <c r="G1783">
        <v>2</v>
      </c>
      <c r="H1783" t="s">
        <v>3565</v>
      </c>
      <c r="I1783" t="s">
        <v>3566</v>
      </c>
      <c r="J1783" s="1" t="s">
        <v>3389</v>
      </c>
      <c r="K1783" t="s">
        <v>181</v>
      </c>
      <c r="L1783" t="s">
        <v>3333</v>
      </c>
      <c r="M1783">
        <v>86</v>
      </c>
      <c r="N1783">
        <v>0.5</v>
      </c>
      <c r="O1783" t="s">
        <v>3334</v>
      </c>
      <c r="P1783">
        <v>40.79</v>
      </c>
      <c r="Q1783">
        <v>4</v>
      </c>
      <c r="R1783" t="s">
        <v>3386</v>
      </c>
      <c r="T1783" t="s">
        <v>3402</v>
      </c>
      <c r="U1783">
        <v>23</v>
      </c>
      <c r="V1783" t="s">
        <v>3474</v>
      </c>
    </row>
    <row r="1784" spans="1:22" ht="12.75" customHeight="1" x14ac:dyDescent="0.15">
      <c r="A1784">
        <v>19</v>
      </c>
      <c r="B1784">
        <v>2026</v>
      </c>
      <c r="C1784" s="25">
        <v>46155</v>
      </c>
      <c r="D1784" t="s">
        <v>107</v>
      </c>
      <c r="E1784" t="s">
        <v>108</v>
      </c>
      <c r="F1784" t="s">
        <v>21</v>
      </c>
      <c r="G1784">
        <v>4.5</v>
      </c>
      <c r="H1784" t="s">
        <v>3914</v>
      </c>
      <c r="I1784" t="s">
        <v>3810</v>
      </c>
      <c r="J1784" s="1" t="s">
        <v>30</v>
      </c>
      <c r="K1784" t="s">
        <v>181</v>
      </c>
      <c r="L1784" t="s">
        <v>3333</v>
      </c>
      <c r="M1784">
        <v>86</v>
      </c>
      <c r="N1784">
        <v>0.38</v>
      </c>
      <c r="O1784" t="s">
        <v>3334</v>
      </c>
      <c r="P1784">
        <v>30.59</v>
      </c>
      <c r="Q1784">
        <v>3</v>
      </c>
      <c r="R1784" t="s">
        <v>3386</v>
      </c>
      <c r="T1784" t="s">
        <v>3402</v>
      </c>
      <c r="U1784">
        <v>-2</v>
      </c>
      <c r="V1784" t="s">
        <v>3816</v>
      </c>
    </row>
    <row r="1785" spans="1:22" ht="12.75" customHeight="1" x14ac:dyDescent="0.15">
      <c r="A1785">
        <v>19</v>
      </c>
      <c r="B1785">
        <v>2026</v>
      </c>
      <c r="C1785" s="25">
        <v>46155</v>
      </c>
      <c r="D1785" t="s">
        <v>107</v>
      </c>
      <c r="E1785" t="s">
        <v>108</v>
      </c>
      <c r="F1785" t="s">
        <v>21</v>
      </c>
      <c r="G1785">
        <v>4.5</v>
      </c>
      <c r="H1785" t="s">
        <v>3836</v>
      </c>
      <c r="I1785" t="s">
        <v>3810</v>
      </c>
      <c r="J1785" s="1" t="s">
        <v>30</v>
      </c>
      <c r="K1785" t="s">
        <v>181</v>
      </c>
      <c r="L1785" t="s">
        <v>3340</v>
      </c>
      <c r="M1785">
        <v>86</v>
      </c>
      <c r="N1785">
        <v>0.41</v>
      </c>
      <c r="O1785" t="s">
        <v>211</v>
      </c>
      <c r="P1785">
        <v>22.5</v>
      </c>
      <c r="Q1785">
        <v>1.5</v>
      </c>
      <c r="R1785" t="s">
        <v>3386</v>
      </c>
      <c r="T1785" t="s">
        <v>3402</v>
      </c>
      <c r="U1785">
        <v>-2</v>
      </c>
      <c r="V1785" t="s">
        <v>3504</v>
      </c>
    </row>
    <row r="1786" spans="1:22" ht="12.75" customHeight="1" x14ac:dyDescent="0.15">
      <c r="A1786">
        <v>19</v>
      </c>
      <c r="B1786">
        <v>2026</v>
      </c>
      <c r="C1786" s="25">
        <v>46155</v>
      </c>
      <c r="D1786" t="s">
        <v>84</v>
      </c>
      <c r="E1786" t="s">
        <v>85</v>
      </c>
      <c r="F1786" t="s">
        <v>21</v>
      </c>
      <c r="G1786">
        <v>2</v>
      </c>
      <c r="H1786" t="s">
        <v>3653</v>
      </c>
      <c r="I1786" t="s">
        <v>3566</v>
      </c>
      <c r="J1786" s="1" t="s">
        <v>3389</v>
      </c>
      <c r="K1786" t="s">
        <v>181</v>
      </c>
      <c r="L1786" t="s">
        <v>3340</v>
      </c>
      <c r="M1786">
        <v>86</v>
      </c>
      <c r="N1786">
        <v>0.55000000000000004</v>
      </c>
      <c r="O1786" t="s">
        <v>211</v>
      </c>
      <c r="P1786">
        <v>30</v>
      </c>
      <c r="Q1786">
        <v>2</v>
      </c>
      <c r="R1786" t="s">
        <v>3386</v>
      </c>
      <c r="T1786" t="s">
        <v>3402</v>
      </c>
      <c r="U1786">
        <v>23</v>
      </c>
      <c r="V1786" t="s">
        <v>3915</v>
      </c>
    </row>
    <row r="1787" spans="1:22" ht="12.75" customHeight="1" x14ac:dyDescent="0.15">
      <c r="A1787">
        <v>19</v>
      </c>
      <c r="B1787">
        <v>2026</v>
      </c>
      <c r="C1787" s="25">
        <v>46155</v>
      </c>
      <c r="D1787" t="s">
        <v>84</v>
      </c>
      <c r="E1787" t="s">
        <v>85</v>
      </c>
      <c r="F1787" t="s">
        <v>21</v>
      </c>
      <c r="G1787">
        <v>2</v>
      </c>
      <c r="H1787" t="s">
        <v>3878</v>
      </c>
      <c r="I1787" t="s">
        <v>3566</v>
      </c>
      <c r="J1787" s="1" t="s">
        <v>3389</v>
      </c>
      <c r="K1787" t="s">
        <v>2666</v>
      </c>
      <c r="L1787" t="s">
        <v>3587</v>
      </c>
      <c r="N1787">
        <v>2.2799999999999998</v>
      </c>
      <c r="O1787" t="s">
        <v>3838</v>
      </c>
      <c r="P1787">
        <v>48.75</v>
      </c>
      <c r="Q1787">
        <v>6</v>
      </c>
      <c r="T1787" t="s">
        <v>3402</v>
      </c>
      <c r="U1787">
        <v>23</v>
      </c>
      <c r="V1787" t="s">
        <v>3916</v>
      </c>
    </row>
    <row r="1788" spans="1:22" ht="12.75" customHeight="1" x14ac:dyDescent="0.15">
      <c r="A1788">
        <v>19</v>
      </c>
      <c r="B1788">
        <v>2026</v>
      </c>
      <c r="C1788" s="25">
        <v>46155</v>
      </c>
      <c r="D1788" t="s">
        <v>107</v>
      </c>
      <c r="E1788" t="s">
        <v>108</v>
      </c>
      <c r="F1788" t="s">
        <v>21</v>
      </c>
      <c r="G1788">
        <v>4.5</v>
      </c>
      <c r="H1788" t="s">
        <v>3809</v>
      </c>
      <c r="I1788" t="s">
        <v>3810</v>
      </c>
      <c r="J1788" s="1" t="s">
        <v>30</v>
      </c>
      <c r="K1788" t="s">
        <v>181</v>
      </c>
      <c r="L1788" t="s">
        <v>3587</v>
      </c>
      <c r="N1788">
        <v>1.71</v>
      </c>
      <c r="O1788" t="s">
        <v>3838</v>
      </c>
      <c r="P1788">
        <v>36.56</v>
      </c>
      <c r="Q1788">
        <v>4.5</v>
      </c>
      <c r="T1788" t="s">
        <v>3402</v>
      </c>
      <c r="U1788">
        <v>-2</v>
      </c>
      <c r="V1788" t="s">
        <v>3917</v>
      </c>
    </row>
    <row r="1789" spans="1:22" ht="12.75" customHeight="1" x14ac:dyDescent="0.15">
      <c r="A1789">
        <v>19</v>
      </c>
      <c r="B1789">
        <v>2026</v>
      </c>
      <c r="C1789" s="25">
        <v>46156</v>
      </c>
      <c r="D1789" t="s">
        <v>101</v>
      </c>
      <c r="E1789" t="s">
        <v>102</v>
      </c>
      <c r="F1789" t="s">
        <v>75</v>
      </c>
      <c r="G1789">
        <v>7.6</v>
      </c>
      <c r="H1789" t="s">
        <v>3855</v>
      </c>
      <c r="I1789" t="s">
        <v>3808</v>
      </c>
      <c r="J1789" s="1" t="s">
        <v>26</v>
      </c>
      <c r="K1789" t="s">
        <v>181</v>
      </c>
      <c r="L1789" t="s">
        <v>3340</v>
      </c>
      <c r="M1789">
        <v>53</v>
      </c>
      <c r="N1789">
        <v>1.82</v>
      </c>
      <c r="O1789" t="s">
        <v>211</v>
      </c>
      <c r="P1789">
        <v>100</v>
      </c>
      <c r="R1789" t="s">
        <v>3373</v>
      </c>
      <c r="T1789" t="s">
        <v>3337</v>
      </c>
      <c r="U1789">
        <v>16</v>
      </c>
      <c r="V1789" t="s">
        <v>3459</v>
      </c>
    </row>
    <row r="1790" spans="1:22" ht="12.75" customHeight="1" x14ac:dyDescent="0.15">
      <c r="A1790">
        <v>19</v>
      </c>
      <c r="B1790">
        <v>2026</v>
      </c>
      <c r="C1790" s="25">
        <v>46156</v>
      </c>
      <c r="D1790" t="s">
        <v>101</v>
      </c>
      <c r="E1790" t="s">
        <v>102</v>
      </c>
      <c r="F1790" t="s">
        <v>75</v>
      </c>
      <c r="G1790">
        <v>7.6</v>
      </c>
      <c r="H1790" t="s">
        <v>3855</v>
      </c>
      <c r="I1790" t="s">
        <v>3808</v>
      </c>
      <c r="J1790" s="1" t="s">
        <v>26</v>
      </c>
      <c r="K1790" t="s">
        <v>181</v>
      </c>
      <c r="L1790" t="s">
        <v>3340</v>
      </c>
      <c r="M1790">
        <v>45</v>
      </c>
      <c r="N1790">
        <v>1.82</v>
      </c>
      <c r="O1790" t="s">
        <v>211</v>
      </c>
      <c r="P1790">
        <v>100</v>
      </c>
      <c r="R1790" t="s">
        <v>3377</v>
      </c>
      <c r="T1790" t="s">
        <v>3337</v>
      </c>
      <c r="U1790">
        <v>16</v>
      </c>
      <c r="V1790" t="s">
        <v>3459</v>
      </c>
    </row>
    <row r="1791" spans="1:22" ht="12.75" customHeight="1" x14ac:dyDescent="0.15">
      <c r="A1791">
        <v>19</v>
      </c>
      <c r="B1791">
        <v>2026</v>
      </c>
      <c r="C1791" s="25">
        <v>46156</v>
      </c>
      <c r="D1791" t="s">
        <v>101</v>
      </c>
      <c r="E1791" t="s">
        <v>102</v>
      </c>
      <c r="F1791" t="s">
        <v>75</v>
      </c>
      <c r="G1791">
        <v>7.6</v>
      </c>
      <c r="H1791" t="s">
        <v>3855</v>
      </c>
      <c r="I1791" t="s">
        <v>3808</v>
      </c>
      <c r="J1791" s="1" t="s">
        <v>26</v>
      </c>
      <c r="K1791" t="s">
        <v>181</v>
      </c>
      <c r="L1791" t="s">
        <v>3340</v>
      </c>
      <c r="M1791">
        <v>62</v>
      </c>
      <c r="N1791">
        <v>1.82</v>
      </c>
      <c r="O1791" t="s">
        <v>211</v>
      </c>
      <c r="P1791">
        <v>100</v>
      </c>
      <c r="R1791" t="s">
        <v>3375</v>
      </c>
      <c r="T1791" t="s">
        <v>3337</v>
      </c>
      <c r="U1791">
        <v>16</v>
      </c>
      <c r="V1791" t="s">
        <v>3459</v>
      </c>
    </row>
    <row r="1792" spans="1:22" ht="12.75" customHeight="1" x14ac:dyDescent="0.15">
      <c r="A1792">
        <v>19</v>
      </c>
      <c r="B1792">
        <v>2026</v>
      </c>
      <c r="C1792" s="25">
        <v>46156</v>
      </c>
      <c r="D1792" t="s">
        <v>101</v>
      </c>
      <c r="E1792" t="s">
        <v>102</v>
      </c>
      <c r="F1792" t="s">
        <v>75</v>
      </c>
      <c r="G1792">
        <v>7.6</v>
      </c>
      <c r="H1792" t="s">
        <v>3855</v>
      </c>
      <c r="I1792" t="s">
        <v>3808</v>
      </c>
      <c r="J1792" s="1" t="s">
        <v>26</v>
      </c>
      <c r="K1792" t="s">
        <v>181</v>
      </c>
      <c r="L1792" t="s">
        <v>3340</v>
      </c>
      <c r="M1792">
        <v>58</v>
      </c>
      <c r="N1792">
        <v>1.82</v>
      </c>
      <c r="O1792" t="s">
        <v>211</v>
      </c>
      <c r="P1792">
        <v>100</v>
      </c>
      <c r="R1792" t="s">
        <v>3343</v>
      </c>
      <c r="T1792" t="s">
        <v>3337</v>
      </c>
      <c r="U1792">
        <v>16</v>
      </c>
      <c r="V1792" t="s">
        <v>3459</v>
      </c>
    </row>
    <row r="1793" spans="1:22" ht="12.75" customHeight="1" x14ac:dyDescent="0.15">
      <c r="A1793">
        <v>19</v>
      </c>
      <c r="B1793">
        <v>2026</v>
      </c>
      <c r="C1793" s="25">
        <v>46156</v>
      </c>
      <c r="D1793" t="s">
        <v>101</v>
      </c>
      <c r="E1793" t="s">
        <v>102</v>
      </c>
      <c r="F1793" t="s">
        <v>75</v>
      </c>
      <c r="G1793">
        <v>7.6</v>
      </c>
      <c r="H1793" t="s">
        <v>3855</v>
      </c>
      <c r="I1793" t="s">
        <v>3808</v>
      </c>
      <c r="J1793" s="1" t="s">
        <v>26</v>
      </c>
      <c r="K1793" t="s">
        <v>181</v>
      </c>
      <c r="L1793" t="s">
        <v>3340</v>
      </c>
      <c r="M1793">
        <v>132</v>
      </c>
      <c r="N1793">
        <v>1.82</v>
      </c>
      <c r="O1793" t="s">
        <v>211</v>
      </c>
      <c r="P1793">
        <v>100</v>
      </c>
      <c r="R1793" t="s">
        <v>3368</v>
      </c>
      <c r="T1793" t="s">
        <v>3337</v>
      </c>
      <c r="U1793">
        <v>16</v>
      </c>
      <c r="V1793" t="s">
        <v>3459</v>
      </c>
    </row>
    <row r="1794" spans="1:22" ht="12.75" customHeight="1" x14ac:dyDescent="0.15">
      <c r="A1794">
        <v>19</v>
      </c>
      <c r="B1794">
        <v>2026</v>
      </c>
      <c r="C1794" s="25">
        <v>46156</v>
      </c>
      <c r="D1794" t="s">
        <v>107</v>
      </c>
      <c r="E1794" t="s">
        <v>108</v>
      </c>
      <c r="F1794" t="s">
        <v>21</v>
      </c>
      <c r="G1794">
        <v>4.5</v>
      </c>
      <c r="H1794" t="s">
        <v>3346</v>
      </c>
      <c r="I1794" t="s">
        <v>212</v>
      </c>
      <c r="J1794" s="1" t="s">
        <v>188</v>
      </c>
      <c r="K1794" t="s">
        <v>181</v>
      </c>
      <c r="L1794" t="s">
        <v>3333</v>
      </c>
      <c r="M1794">
        <v>6</v>
      </c>
      <c r="N1794">
        <v>1</v>
      </c>
      <c r="O1794" t="s">
        <v>3334</v>
      </c>
      <c r="P1794">
        <v>81.58</v>
      </c>
      <c r="Q1794">
        <v>8</v>
      </c>
      <c r="R1794" t="s">
        <v>3335</v>
      </c>
      <c r="T1794" t="s">
        <v>3337</v>
      </c>
      <c r="U1794">
        <v>-1</v>
      </c>
      <c r="V1794" t="s">
        <v>3826</v>
      </c>
    </row>
    <row r="1795" spans="1:22" ht="12.75" customHeight="1" x14ac:dyDescent="0.15">
      <c r="A1795">
        <v>19</v>
      </c>
      <c r="B1795">
        <v>2026</v>
      </c>
      <c r="C1795" s="25">
        <v>46156</v>
      </c>
      <c r="D1795" t="s">
        <v>107</v>
      </c>
      <c r="E1795" t="s">
        <v>108</v>
      </c>
      <c r="F1795" t="s">
        <v>21</v>
      </c>
      <c r="G1795">
        <v>4.5</v>
      </c>
      <c r="H1795" t="s">
        <v>3346</v>
      </c>
      <c r="I1795" t="s">
        <v>212</v>
      </c>
      <c r="J1795" s="1" t="s">
        <v>188</v>
      </c>
      <c r="K1795" t="s">
        <v>181</v>
      </c>
      <c r="L1795" t="s">
        <v>3340</v>
      </c>
      <c r="M1795">
        <v>6</v>
      </c>
      <c r="N1795">
        <v>3.22</v>
      </c>
      <c r="O1795" t="s">
        <v>211</v>
      </c>
      <c r="P1795">
        <v>177.04</v>
      </c>
      <c r="R1795" t="s">
        <v>3335</v>
      </c>
      <c r="S1795" t="s">
        <v>3918</v>
      </c>
      <c r="T1795" t="s">
        <v>3337</v>
      </c>
      <c r="U1795">
        <v>-1</v>
      </c>
      <c r="V1795" t="s">
        <v>3618</v>
      </c>
    </row>
    <row r="1796" spans="1:22" ht="12.75" customHeight="1" x14ac:dyDescent="0.15">
      <c r="A1796">
        <v>19</v>
      </c>
      <c r="B1796">
        <v>2026</v>
      </c>
      <c r="C1796" s="25">
        <v>46156</v>
      </c>
      <c r="D1796" t="s">
        <v>80</v>
      </c>
      <c r="E1796" t="s">
        <v>81</v>
      </c>
      <c r="F1796" t="s">
        <v>21</v>
      </c>
      <c r="G1796">
        <v>2.2999999999999998</v>
      </c>
      <c r="H1796" t="s">
        <v>3346</v>
      </c>
      <c r="I1796" t="s">
        <v>212</v>
      </c>
      <c r="J1796" s="1" t="s">
        <v>188</v>
      </c>
      <c r="K1796" t="s">
        <v>181</v>
      </c>
      <c r="L1796" t="s">
        <v>3333</v>
      </c>
      <c r="M1796">
        <v>1</v>
      </c>
      <c r="N1796">
        <v>0.25</v>
      </c>
      <c r="O1796" t="s">
        <v>3358</v>
      </c>
      <c r="P1796">
        <v>17.97</v>
      </c>
      <c r="Q1796">
        <v>2</v>
      </c>
      <c r="R1796" t="s">
        <v>3359</v>
      </c>
      <c r="T1796" t="s">
        <v>3337</v>
      </c>
      <c r="U1796">
        <v>42</v>
      </c>
      <c r="V1796" t="s">
        <v>3919</v>
      </c>
    </row>
    <row r="1797" spans="1:22" ht="12.75" customHeight="1" x14ac:dyDescent="0.15">
      <c r="A1797">
        <v>19</v>
      </c>
      <c r="B1797">
        <v>2026</v>
      </c>
      <c r="C1797" s="25">
        <v>46156</v>
      </c>
      <c r="D1797" t="s">
        <v>39</v>
      </c>
      <c r="E1797" t="s">
        <v>40</v>
      </c>
      <c r="F1797" t="s">
        <v>21</v>
      </c>
      <c r="G1797">
        <v>1.91</v>
      </c>
      <c r="H1797" t="s">
        <v>3346</v>
      </c>
      <c r="I1797" t="s">
        <v>212</v>
      </c>
      <c r="J1797" s="1" t="s">
        <v>188</v>
      </c>
      <c r="K1797" t="s">
        <v>181</v>
      </c>
      <c r="L1797" t="s">
        <v>3333</v>
      </c>
      <c r="M1797">
        <v>1</v>
      </c>
      <c r="N1797">
        <v>0.75</v>
      </c>
      <c r="O1797" t="s">
        <v>3358</v>
      </c>
      <c r="P1797">
        <v>53.9</v>
      </c>
      <c r="Q1797">
        <v>6</v>
      </c>
      <c r="R1797" t="s">
        <v>3359</v>
      </c>
      <c r="T1797" t="s">
        <v>3337</v>
      </c>
      <c r="U1797">
        <v>119</v>
      </c>
      <c r="V1797" t="s">
        <v>3920</v>
      </c>
    </row>
    <row r="1798" spans="1:22" ht="12.75" customHeight="1" x14ac:dyDescent="0.15">
      <c r="A1798">
        <v>19</v>
      </c>
      <c r="B1798">
        <v>2026</v>
      </c>
      <c r="C1798" s="25">
        <v>46156</v>
      </c>
      <c r="D1798" t="s">
        <v>89</v>
      </c>
      <c r="E1798" t="s">
        <v>90</v>
      </c>
      <c r="F1798" t="s">
        <v>21</v>
      </c>
      <c r="G1798">
        <v>1</v>
      </c>
      <c r="H1798" t="s">
        <v>3921</v>
      </c>
      <c r="I1798" t="s">
        <v>3922</v>
      </c>
      <c r="J1798" s="1" t="s">
        <v>3389</v>
      </c>
      <c r="K1798" t="s">
        <v>181</v>
      </c>
      <c r="L1798" t="s">
        <v>3333</v>
      </c>
      <c r="M1798">
        <v>2</v>
      </c>
      <c r="N1798">
        <v>0.44</v>
      </c>
      <c r="O1798" t="s">
        <v>3440</v>
      </c>
      <c r="P1798">
        <v>39.590000000000003</v>
      </c>
      <c r="Q1798">
        <v>3.5</v>
      </c>
      <c r="R1798" t="s">
        <v>3424</v>
      </c>
      <c r="T1798" t="s">
        <v>3337</v>
      </c>
      <c r="U1798">
        <v>29</v>
      </c>
      <c r="V1798" t="s">
        <v>3923</v>
      </c>
    </row>
    <row r="1799" spans="1:22" ht="12.75" customHeight="1" x14ac:dyDescent="0.15">
      <c r="A1799">
        <v>19</v>
      </c>
      <c r="B1799">
        <v>2026</v>
      </c>
      <c r="C1799" s="25">
        <v>46156</v>
      </c>
      <c r="D1799" t="s">
        <v>89</v>
      </c>
      <c r="E1799" t="s">
        <v>90</v>
      </c>
      <c r="F1799" t="s">
        <v>21</v>
      </c>
      <c r="G1799">
        <v>1</v>
      </c>
      <c r="H1799" t="s">
        <v>3391</v>
      </c>
      <c r="I1799" t="s">
        <v>353</v>
      </c>
      <c r="J1799" s="1" t="s">
        <v>253</v>
      </c>
      <c r="K1799" t="s">
        <v>181</v>
      </c>
      <c r="L1799" t="s">
        <v>3333</v>
      </c>
      <c r="M1799">
        <v>2</v>
      </c>
      <c r="N1799">
        <v>0.38</v>
      </c>
      <c r="O1799" t="s">
        <v>3440</v>
      </c>
      <c r="P1799">
        <v>33.93</v>
      </c>
      <c r="Q1799">
        <v>3</v>
      </c>
      <c r="R1799" t="s">
        <v>3424</v>
      </c>
      <c r="T1799" t="s">
        <v>3337</v>
      </c>
      <c r="U1799">
        <v>29</v>
      </c>
      <c r="V1799" t="s">
        <v>3924</v>
      </c>
    </row>
    <row r="1800" spans="1:22" ht="12.75" customHeight="1" x14ac:dyDescent="0.15">
      <c r="A1800">
        <v>19</v>
      </c>
      <c r="B1800">
        <v>2026</v>
      </c>
      <c r="C1800" s="25">
        <v>46156</v>
      </c>
      <c r="D1800" t="s">
        <v>89</v>
      </c>
      <c r="E1800" t="s">
        <v>90</v>
      </c>
      <c r="F1800" t="s">
        <v>21</v>
      </c>
      <c r="G1800">
        <v>1</v>
      </c>
      <c r="H1800" t="s">
        <v>3921</v>
      </c>
      <c r="I1800" t="s">
        <v>3922</v>
      </c>
      <c r="J1800" s="1" t="s">
        <v>3389</v>
      </c>
      <c r="K1800" t="s">
        <v>181</v>
      </c>
      <c r="L1800" t="s">
        <v>3333</v>
      </c>
      <c r="M1800">
        <v>67</v>
      </c>
      <c r="N1800">
        <v>0.44</v>
      </c>
      <c r="O1800" t="s">
        <v>3334</v>
      </c>
      <c r="P1800">
        <v>35.69</v>
      </c>
      <c r="Q1800">
        <v>3.5</v>
      </c>
      <c r="R1800" t="s">
        <v>3404</v>
      </c>
      <c r="T1800" t="s">
        <v>3402</v>
      </c>
      <c r="U1800">
        <v>29</v>
      </c>
      <c r="V1800" t="s">
        <v>3469</v>
      </c>
    </row>
    <row r="1801" spans="1:22" ht="12.75" customHeight="1" x14ac:dyDescent="0.15">
      <c r="A1801">
        <v>19</v>
      </c>
      <c r="B1801">
        <v>2026</v>
      </c>
      <c r="C1801" s="25">
        <v>46156</v>
      </c>
      <c r="D1801" t="s">
        <v>89</v>
      </c>
      <c r="E1801" t="s">
        <v>90</v>
      </c>
      <c r="F1801" t="s">
        <v>21</v>
      </c>
      <c r="G1801">
        <v>1</v>
      </c>
      <c r="H1801" t="s">
        <v>3921</v>
      </c>
      <c r="I1801" t="s">
        <v>3922</v>
      </c>
      <c r="J1801" s="1" t="s">
        <v>3389</v>
      </c>
      <c r="K1801" t="s">
        <v>181</v>
      </c>
      <c r="L1801" t="s">
        <v>3333</v>
      </c>
      <c r="M1801">
        <v>19</v>
      </c>
      <c r="N1801">
        <v>0.44</v>
      </c>
      <c r="O1801" t="s">
        <v>3334</v>
      </c>
      <c r="P1801">
        <v>35.69</v>
      </c>
      <c r="Q1801">
        <v>3.5</v>
      </c>
      <c r="R1801" t="s">
        <v>3403</v>
      </c>
      <c r="T1801" t="s">
        <v>3402</v>
      </c>
      <c r="U1801">
        <v>29</v>
      </c>
      <c r="V1801" t="s">
        <v>3469</v>
      </c>
    </row>
    <row r="1802" spans="1:22" ht="12.75" customHeight="1" x14ac:dyDescent="0.15">
      <c r="A1802">
        <v>19</v>
      </c>
      <c r="B1802">
        <v>2026</v>
      </c>
      <c r="C1802" s="25">
        <v>46156</v>
      </c>
      <c r="D1802" t="s">
        <v>89</v>
      </c>
      <c r="E1802" t="s">
        <v>90</v>
      </c>
      <c r="F1802" t="s">
        <v>21</v>
      </c>
      <c r="G1802">
        <v>1</v>
      </c>
      <c r="H1802" t="s">
        <v>3391</v>
      </c>
      <c r="I1802" t="s">
        <v>353</v>
      </c>
      <c r="J1802" s="1" t="s">
        <v>253</v>
      </c>
      <c r="K1802" t="s">
        <v>181</v>
      </c>
      <c r="L1802" t="s">
        <v>3333</v>
      </c>
      <c r="M1802">
        <v>67</v>
      </c>
      <c r="N1802">
        <v>0.38</v>
      </c>
      <c r="O1802" t="s">
        <v>3334</v>
      </c>
      <c r="P1802">
        <v>30.59</v>
      </c>
      <c r="Q1802">
        <v>3</v>
      </c>
      <c r="R1802" t="s">
        <v>3404</v>
      </c>
      <c r="T1802" t="s">
        <v>3402</v>
      </c>
      <c r="U1802">
        <v>29</v>
      </c>
      <c r="V1802" t="s">
        <v>3491</v>
      </c>
    </row>
    <row r="1803" spans="1:22" ht="12.75" customHeight="1" x14ac:dyDescent="0.15">
      <c r="A1803">
        <v>19</v>
      </c>
      <c r="B1803">
        <v>2026</v>
      </c>
      <c r="C1803" s="25">
        <v>46156</v>
      </c>
      <c r="D1803" t="s">
        <v>89</v>
      </c>
      <c r="E1803" t="s">
        <v>90</v>
      </c>
      <c r="F1803" t="s">
        <v>21</v>
      </c>
      <c r="G1803">
        <v>1</v>
      </c>
      <c r="H1803" t="s">
        <v>3391</v>
      </c>
      <c r="I1803" t="s">
        <v>353</v>
      </c>
      <c r="J1803" s="1" t="s">
        <v>253</v>
      </c>
      <c r="K1803" t="s">
        <v>181</v>
      </c>
      <c r="L1803" t="s">
        <v>3333</v>
      </c>
      <c r="M1803">
        <v>19</v>
      </c>
      <c r="N1803">
        <v>0.38</v>
      </c>
      <c r="O1803" t="s">
        <v>3334</v>
      </c>
      <c r="P1803">
        <v>30.59</v>
      </c>
      <c r="Q1803">
        <v>3</v>
      </c>
      <c r="R1803" t="s">
        <v>3403</v>
      </c>
      <c r="T1803" t="s">
        <v>3402</v>
      </c>
      <c r="U1803">
        <v>29</v>
      </c>
      <c r="V1803" t="s">
        <v>3491</v>
      </c>
    </row>
    <row r="1804" spans="1:22" ht="12.75" customHeight="1" x14ac:dyDescent="0.15">
      <c r="A1804">
        <v>19</v>
      </c>
      <c r="B1804">
        <v>2026</v>
      </c>
      <c r="C1804" s="25">
        <v>46156</v>
      </c>
      <c r="D1804" t="s">
        <v>68</v>
      </c>
      <c r="E1804" t="s">
        <v>69</v>
      </c>
      <c r="F1804" t="s">
        <v>21</v>
      </c>
      <c r="G1804">
        <v>1</v>
      </c>
      <c r="H1804" t="s">
        <v>3841</v>
      </c>
      <c r="I1804" t="s">
        <v>3842</v>
      </c>
      <c r="J1804" s="1" t="s">
        <v>3533</v>
      </c>
      <c r="K1804" t="s">
        <v>181</v>
      </c>
      <c r="L1804" t="s">
        <v>3333</v>
      </c>
      <c r="M1804">
        <v>3</v>
      </c>
      <c r="N1804">
        <v>0.88</v>
      </c>
      <c r="O1804" t="s">
        <v>3334</v>
      </c>
      <c r="P1804">
        <v>71.38</v>
      </c>
      <c r="Q1804">
        <v>7</v>
      </c>
      <c r="R1804" t="s">
        <v>3478</v>
      </c>
      <c r="T1804" t="s">
        <v>3402</v>
      </c>
      <c r="U1804">
        <v>42</v>
      </c>
      <c r="V1804" t="s">
        <v>3925</v>
      </c>
    </row>
    <row r="1805" spans="1:22" ht="12.75" customHeight="1" x14ac:dyDescent="0.15">
      <c r="A1805">
        <v>19</v>
      </c>
      <c r="B1805">
        <v>2026</v>
      </c>
      <c r="C1805" s="25">
        <v>46156</v>
      </c>
      <c r="D1805" t="s">
        <v>68</v>
      </c>
      <c r="E1805" t="s">
        <v>69</v>
      </c>
      <c r="F1805" t="s">
        <v>21</v>
      </c>
      <c r="G1805">
        <v>1</v>
      </c>
      <c r="H1805" t="s">
        <v>3841</v>
      </c>
      <c r="I1805" t="s">
        <v>3842</v>
      </c>
      <c r="J1805" s="1" t="s">
        <v>3533</v>
      </c>
      <c r="K1805" t="s">
        <v>181</v>
      </c>
      <c r="L1805" t="s">
        <v>3333</v>
      </c>
      <c r="M1805">
        <v>4</v>
      </c>
      <c r="N1805">
        <v>0.88</v>
      </c>
      <c r="O1805" t="s">
        <v>3334</v>
      </c>
      <c r="P1805">
        <v>71.38</v>
      </c>
      <c r="Q1805">
        <v>7</v>
      </c>
      <c r="R1805" t="s">
        <v>3773</v>
      </c>
      <c r="T1805" t="s">
        <v>3402</v>
      </c>
      <c r="U1805">
        <v>42</v>
      </c>
      <c r="V1805" t="s">
        <v>3925</v>
      </c>
    </row>
    <row r="1806" spans="1:22" ht="12.75" customHeight="1" x14ac:dyDescent="0.15">
      <c r="A1806">
        <v>19</v>
      </c>
      <c r="B1806">
        <v>2026</v>
      </c>
      <c r="C1806" s="25">
        <v>46156</v>
      </c>
      <c r="D1806" t="s">
        <v>68</v>
      </c>
      <c r="E1806" t="s">
        <v>69</v>
      </c>
      <c r="F1806" t="s">
        <v>21</v>
      </c>
      <c r="G1806">
        <v>1</v>
      </c>
      <c r="H1806" t="s">
        <v>3841</v>
      </c>
      <c r="I1806" t="s">
        <v>3842</v>
      </c>
      <c r="J1806" s="1" t="s">
        <v>3533</v>
      </c>
      <c r="K1806" t="s">
        <v>181</v>
      </c>
      <c r="L1806" t="s">
        <v>3340</v>
      </c>
      <c r="M1806">
        <v>78</v>
      </c>
      <c r="N1806">
        <v>0.98</v>
      </c>
      <c r="O1806" t="s">
        <v>211</v>
      </c>
      <c r="P1806">
        <v>54</v>
      </c>
      <c r="Q1806">
        <v>6</v>
      </c>
      <c r="R1806" t="s">
        <v>3341</v>
      </c>
      <c r="T1806" t="s">
        <v>3402</v>
      </c>
      <c r="U1806">
        <v>42</v>
      </c>
      <c r="V1806" t="s">
        <v>3926</v>
      </c>
    </row>
    <row r="1807" spans="1:22" ht="12.75" customHeight="1" x14ac:dyDescent="0.15">
      <c r="A1807">
        <v>19</v>
      </c>
      <c r="B1807">
        <v>2026</v>
      </c>
      <c r="C1807" s="25">
        <v>46156</v>
      </c>
      <c r="D1807" t="s">
        <v>68</v>
      </c>
      <c r="E1807" t="s">
        <v>69</v>
      </c>
      <c r="F1807" t="s">
        <v>21</v>
      </c>
      <c r="G1807">
        <v>1</v>
      </c>
      <c r="H1807" t="s">
        <v>3605</v>
      </c>
      <c r="I1807" t="s">
        <v>335</v>
      </c>
      <c r="J1807" s="1" t="s">
        <v>3533</v>
      </c>
      <c r="K1807" t="s">
        <v>181</v>
      </c>
      <c r="L1807" t="s">
        <v>3333</v>
      </c>
      <c r="M1807">
        <v>3</v>
      </c>
      <c r="N1807">
        <v>0.13</v>
      </c>
      <c r="O1807" t="s">
        <v>3334</v>
      </c>
      <c r="P1807">
        <v>10.199999999999999</v>
      </c>
      <c r="Q1807">
        <v>1</v>
      </c>
      <c r="R1807" t="s">
        <v>3478</v>
      </c>
      <c r="T1807" t="s">
        <v>3402</v>
      </c>
      <c r="U1807">
        <v>42</v>
      </c>
      <c r="V1807" t="s">
        <v>3472</v>
      </c>
    </row>
    <row r="1808" spans="1:22" ht="12.75" customHeight="1" x14ac:dyDescent="0.15">
      <c r="A1808">
        <v>19</v>
      </c>
      <c r="B1808">
        <v>2026</v>
      </c>
      <c r="C1808" s="25">
        <v>46156</v>
      </c>
      <c r="D1808" t="s">
        <v>68</v>
      </c>
      <c r="E1808" t="s">
        <v>69</v>
      </c>
      <c r="F1808" t="s">
        <v>21</v>
      </c>
      <c r="G1808">
        <v>1</v>
      </c>
      <c r="H1808" t="s">
        <v>3605</v>
      </c>
      <c r="I1808" t="s">
        <v>335</v>
      </c>
      <c r="J1808" s="1" t="s">
        <v>3533</v>
      </c>
      <c r="K1808" t="s">
        <v>181</v>
      </c>
      <c r="L1808" t="s">
        <v>3333</v>
      </c>
      <c r="M1808">
        <v>4</v>
      </c>
      <c r="N1808">
        <v>0.13</v>
      </c>
      <c r="O1808" t="s">
        <v>3334</v>
      </c>
      <c r="P1808">
        <v>10.199999999999999</v>
      </c>
      <c r="Q1808">
        <v>1</v>
      </c>
      <c r="R1808" t="s">
        <v>3773</v>
      </c>
      <c r="T1808" t="s">
        <v>3402</v>
      </c>
      <c r="U1808">
        <v>42</v>
      </c>
      <c r="V1808" t="s">
        <v>3472</v>
      </c>
    </row>
    <row r="1809" spans="1:22" ht="12.75" customHeight="1" x14ac:dyDescent="0.15">
      <c r="A1809">
        <v>19</v>
      </c>
      <c r="B1809">
        <v>2026</v>
      </c>
      <c r="C1809" s="25">
        <v>46156</v>
      </c>
      <c r="D1809" t="s">
        <v>84</v>
      </c>
      <c r="E1809" t="s">
        <v>85</v>
      </c>
      <c r="F1809" t="s">
        <v>21</v>
      </c>
      <c r="G1809">
        <v>2</v>
      </c>
      <c r="H1809" t="s">
        <v>3653</v>
      </c>
      <c r="I1809" t="s">
        <v>3566</v>
      </c>
      <c r="J1809" s="1" t="s">
        <v>3389</v>
      </c>
      <c r="K1809" t="s">
        <v>181</v>
      </c>
      <c r="L1809" t="s">
        <v>3333</v>
      </c>
      <c r="M1809">
        <v>11</v>
      </c>
      <c r="N1809">
        <v>0.25</v>
      </c>
      <c r="O1809" t="s">
        <v>213</v>
      </c>
      <c r="P1809">
        <v>22.5</v>
      </c>
      <c r="Q1809">
        <v>2</v>
      </c>
      <c r="R1809" t="s">
        <v>3564</v>
      </c>
      <c r="S1809" t="s">
        <v>3927</v>
      </c>
      <c r="T1809" t="s">
        <v>3402</v>
      </c>
      <c r="U1809">
        <v>24</v>
      </c>
      <c r="V1809" t="s">
        <v>3561</v>
      </c>
    </row>
    <row r="1810" spans="1:22" ht="12.75" customHeight="1" x14ac:dyDescent="0.15">
      <c r="A1810">
        <v>19</v>
      </c>
      <c r="B1810">
        <v>2026</v>
      </c>
      <c r="C1810" s="25">
        <v>46156</v>
      </c>
      <c r="D1810" t="s">
        <v>84</v>
      </c>
      <c r="E1810" t="s">
        <v>85</v>
      </c>
      <c r="F1810" t="s">
        <v>21</v>
      </c>
      <c r="G1810">
        <v>2</v>
      </c>
      <c r="H1810" t="s">
        <v>3653</v>
      </c>
      <c r="I1810" t="s">
        <v>3566</v>
      </c>
      <c r="J1810" s="1" t="s">
        <v>3389</v>
      </c>
      <c r="K1810" t="s">
        <v>181</v>
      </c>
      <c r="L1810" t="s">
        <v>3333</v>
      </c>
      <c r="M1810">
        <v>80</v>
      </c>
      <c r="N1810">
        <v>0.11</v>
      </c>
      <c r="O1810" t="s">
        <v>213</v>
      </c>
      <c r="P1810">
        <v>10.199999999999999</v>
      </c>
      <c r="Q1810">
        <v>1</v>
      </c>
      <c r="R1810" t="s">
        <v>3560</v>
      </c>
      <c r="T1810" t="s">
        <v>3402</v>
      </c>
      <c r="U1810">
        <v>24</v>
      </c>
      <c r="V1810" t="s">
        <v>3463</v>
      </c>
    </row>
    <row r="1811" spans="1:22" ht="12.75" customHeight="1" x14ac:dyDescent="0.15">
      <c r="A1811">
        <v>19</v>
      </c>
      <c r="B1811">
        <v>2026</v>
      </c>
      <c r="C1811" s="25">
        <v>46156</v>
      </c>
      <c r="D1811" t="s">
        <v>96</v>
      </c>
      <c r="E1811" t="s">
        <v>97</v>
      </c>
      <c r="F1811" t="s">
        <v>21</v>
      </c>
      <c r="G1811">
        <v>4.5</v>
      </c>
      <c r="H1811" t="s">
        <v>3836</v>
      </c>
      <c r="I1811" t="s">
        <v>3810</v>
      </c>
      <c r="J1811" s="1" t="s">
        <v>30</v>
      </c>
      <c r="K1811" t="s">
        <v>181</v>
      </c>
      <c r="L1811" t="s">
        <v>3340</v>
      </c>
      <c r="M1811">
        <v>86</v>
      </c>
      <c r="N1811">
        <v>0.55000000000000004</v>
      </c>
      <c r="O1811" t="s">
        <v>211</v>
      </c>
      <c r="P1811">
        <v>30</v>
      </c>
      <c r="R1811" t="s">
        <v>3386</v>
      </c>
      <c r="S1811" t="s">
        <v>3928</v>
      </c>
      <c r="T1811" t="s">
        <v>3402</v>
      </c>
      <c r="U1811">
        <v>13</v>
      </c>
      <c r="V1811" t="s">
        <v>3382</v>
      </c>
    </row>
    <row r="1812" spans="1:22" ht="12.75" customHeight="1" x14ac:dyDescent="0.15">
      <c r="A1812">
        <v>19</v>
      </c>
      <c r="B1812">
        <v>2026</v>
      </c>
      <c r="C1812" s="25">
        <v>46156</v>
      </c>
      <c r="D1812" t="s">
        <v>115</v>
      </c>
      <c r="E1812" t="s">
        <v>116</v>
      </c>
      <c r="F1812" t="s">
        <v>21</v>
      </c>
      <c r="G1812">
        <v>2</v>
      </c>
      <c r="H1812" t="s">
        <v>3929</v>
      </c>
      <c r="I1812" t="s">
        <v>3848</v>
      </c>
      <c r="J1812" s="1" t="s">
        <v>26</v>
      </c>
      <c r="K1812" t="s">
        <v>181</v>
      </c>
      <c r="L1812" t="s">
        <v>3333</v>
      </c>
      <c r="M1812">
        <v>86</v>
      </c>
      <c r="N1812">
        <v>0.38</v>
      </c>
      <c r="O1812" t="s">
        <v>3334</v>
      </c>
      <c r="P1812">
        <v>30.59</v>
      </c>
      <c r="Q1812">
        <v>3</v>
      </c>
      <c r="R1812" t="s">
        <v>3386</v>
      </c>
      <c r="T1812" t="s">
        <v>3402</v>
      </c>
      <c r="U1812">
        <v>-7</v>
      </c>
      <c r="V1812" t="s">
        <v>3475</v>
      </c>
    </row>
    <row r="1813" spans="1:22" ht="12.75" customHeight="1" x14ac:dyDescent="0.15">
      <c r="A1813">
        <v>19</v>
      </c>
      <c r="B1813">
        <v>2026</v>
      </c>
      <c r="C1813" s="25">
        <v>46156</v>
      </c>
      <c r="D1813" t="s">
        <v>141</v>
      </c>
      <c r="E1813" t="s">
        <v>142</v>
      </c>
      <c r="F1813" t="s">
        <v>75</v>
      </c>
      <c r="G1813">
        <v>1</v>
      </c>
      <c r="H1813" t="s">
        <v>3930</v>
      </c>
      <c r="I1813" t="s">
        <v>3931</v>
      </c>
      <c r="J1813" s="1" t="s">
        <v>3660</v>
      </c>
      <c r="K1813" t="s">
        <v>181</v>
      </c>
      <c r="L1813" t="s">
        <v>3333</v>
      </c>
      <c r="M1813">
        <v>86</v>
      </c>
      <c r="N1813">
        <v>0.5</v>
      </c>
      <c r="O1813" t="s">
        <v>3334</v>
      </c>
      <c r="P1813">
        <v>40.79</v>
      </c>
      <c r="Q1813">
        <v>4</v>
      </c>
      <c r="R1813" t="s">
        <v>3386</v>
      </c>
      <c r="T1813" t="s">
        <v>3402</v>
      </c>
      <c r="U1813">
        <v>-40</v>
      </c>
      <c r="V1813" t="s">
        <v>3456</v>
      </c>
    </row>
    <row r="1814" spans="1:22" ht="12.75" customHeight="1" x14ac:dyDescent="0.15">
      <c r="A1814">
        <v>19</v>
      </c>
      <c r="B1814">
        <v>2026</v>
      </c>
      <c r="C1814" s="25">
        <v>46156</v>
      </c>
      <c r="D1814" t="s">
        <v>84</v>
      </c>
      <c r="E1814" t="s">
        <v>85</v>
      </c>
      <c r="F1814" t="s">
        <v>21</v>
      </c>
      <c r="G1814">
        <v>2</v>
      </c>
      <c r="H1814" t="s">
        <v>3565</v>
      </c>
      <c r="I1814" t="s">
        <v>3566</v>
      </c>
      <c r="J1814" s="1" t="s">
        <v>3389</v>
      </c>
      <c r="K1814" t="s">
        <v>181</v>
      </c>
      <c r="L1814" t="s">
        <v>3333</v>
      </c>
      <c r="M1814">
        <v>86</v>
      </c>
      <c r="N1814">
        <v>0.13</v>
      </c>
      <c r="O1814" t="s">
        <v>3334</v>
      </c>
      <c r="P1814">
        <v>10.199999999999999</v>
      </c>
      <c r="Q1814">
        <v>1</v>
      </c>
      <c r="R1814" t="s">
        <v>3386</v>
      </c>
      <c r="T1814" t="s">
        <v>3402</v>
      </c>
      <c r="U1814">
        <v>24</v>
      </c>
      <c r="V1814" t="s">
        <v>3463</v>
      </c>
    </row>
    <row r="1815" spans="1:22" ht="12.75" customHeight="1" x14ac:dyDescent="0.15">
      <c r="A1815">
        <v>19</v>
      </c>
      <c r="B1815">
        <v>2026</v>
      </c>
      <c r="C1815" s="25">
        <v>46156</v>
      </c>
      <c r="D1815" t="s">
        <v>115</v>
      </c>
      <c r="E1815" t="s">
        <v>116</v>
      </c>
      <c r="F1815" t="s">
        <v>21</v>
      </c>
      <c r="G1815">
        <v>2</v>
      </c>
      <c r="H1815" t="s">
        <v>3929</v>
      </c>
      <c r="I1815" t="s">
        <v>3848</v>
      </c>
      <c r="J1815" s="1" t="s">
        <v>26</v>
      </c>
      <c r="K1815" t="s">
        <v>181</v>
      </c>
      <c r="L1815" t="s">
        <v>3333</v>
      </c>
      <c r="M1815">
        <v>11</v>
      </c>
      <c r="N1815">
        <v>0.34</v>
      </c>
      <c r="O1815" t="s">
        <v>213</v>
      </c>
      <c r="P1815">
        <v>30.6</v>
      </c>
      <c r="Q1815">
        <v>3</v>
      </c>
      <c r="R1815" t="s">
        <v>3564</v>
      </c>
      <c r="T1815" t="s">
        <v>3402</v>
      </c>
      <c r="U1815">
        <v>-7</v>
      </c>
      <c r="V1815" t="s">
        <v>3475</v>
      </c>
    </row>
    <row r="1816" spans="1:22" ht="12.75" customHeight="1" x14ac:dyDescent="0.15">
      <c r="A1816">
        <v>19</v>
      </c>
      <c r="B1816">
        <v>2026</v>
      </c>
      <c r="C1816" s="25">
        <v>46156</v>
      </c>
      <c r="D1816" t="s">
        <v>84</v>
      </c>
      <c r="E1816" t="s">
        <v>85</v>
      </c>
      <c r="F1816" t="s">
        <v>21</v>
      </c>
      <c r="G1816">
        <v>2</v>
      </c>
      <c r="H1816" t="s">
        <v>3565</v>
      </c>
      <c r="I1816" t="s">
        <v>3566</v>
      </c>
      <c r="J1816" s="1" t="s">
        <v>3389</v>
      </c>
      <c r="K1816" t="s">
        <v>181</v>
      </c>
      <c r="L1816" t="s">
        <v>3333</v>
      </c>
      <c r="M1816">
        <v>11</v>
      </c>
      <c r="N1816">
        <v>0.34</v>
      </c>
      <c r="O1816" t="s">
        <v>213</v>
      </c>
      <c r="P1816">
        <v>30.6</v>
      </c>
      <c r="Q1816">
        <v>3</v>
      </c>
      <c r="R1816" t="s">
        <v>3564</v>
      </c>
      <c r="T1816" t="s">
        <v>3402</v>
      </c>
      <c r="U1816">
        <v>24</v>
      </c>
      <c r="V1816" t="s">
        <v>3475</v>
      </c>
    </row>
    <row r="1817" spans="1:22" ht="12.75" customHeight="1" x14ac:dyDescent="0.15">
      <c r="A1817">
        <v>19</v>
      </c>
      <c r="B1817">
        <v>2026</v>
      </c>
      <c r="C1817" s="25">
        <v>46156</v>
      </c>
      <c r="D1817" t="s">
        <v>84</v>
      </c>
      <c r="E1817" t="s">
        <v>85</v>
      </c>
      <c r="F1817" t="s">
        <v>21</v>
      </c>
      <c r="G1817">
        <v>2</v>
      </c>
      <c r="H1817" t="s">
        <v>3878</v>
      </c>
      <c r="I1817" t="s">
        <v>3566</v>
      </c>
      <c r="J1817" s="1" t="s">
        <v>3389</v>
      </c>
      <c r="K1817" t="s">
        <v>2666</v>
      </c>
      <c r="L1817" t="s">
        <v>3587</v>
      </c>
      <c r="N1817">
        <v>1.92</v>
      </c>
      <c r="O1817" t="s">
        <v>3838</v>
      </c>
      <c r="P1817">
        <v>41</v>
      </c>
      <c r="T1817" t="s">
        <v>3402</v>
      </c>
      <c r="U1817">
        <v>24</v>
      </c>
      <c r="V1817" t="s">
        <v>3903</v>
      </c>
    </row>
    <row r="1818" spans="1:22" ht="12.75" customHeight="1" x14ac:dyDescent="0.15">
      <c r="A1818">
        <v>20</v>
      </c>
      <c r="B1818">
        <v>2026</v>
      </c>
      <c r="C1818" s="25">
        <v>46157</v>
      </c>
      <c r="D1818" t="s">
        <v>19</v>
      </c>
      <c r="E1818" t="s">
        <v>20</v>
      </c>
      <c r="F1818" t="s">
        <v>21</v>
      </c>
      <c r="G1818">
        <v>3.8</v>
      </c>
      <c r="H1818" t="s">
        <v>3932</v>
      </c>
      <c r="I1818" t="s">
        <v>371</v>
      </c>
      <c r="J1818" s="1" t="s">
        <v>307</v>
      </c>
      <c r="K1818" t="s">
        <v>181</v>
      </c>
      <c r="L1818" t="s">
        <v>23</v>
      </c>
      <c r="M1818">
        <v>119</v>
      </c>
      <c r="P1818">
        <v>450</v>
      </c>
      <c r="R1818" t="s">
        <v>3933</v>
      </c>
      <c r="T1818" t="s">
        <v>3337</v>
      </c>
      <c r="U1818">
        <v>157</v>
      </c>
      <c r="V1818" t="s">
        <v>3934</v>
      </c>
    </row>
    <row r="1819" spans="1:22" ht="12.75" customHeight="1" x14ac:dyDescent="0.15">
      <c r="A1819">
        <v>20</v>
      </c>
      <c r="B1819">
        <v>2026</v>
      </c>
      <c r="C1819" s="25">
        <v>46157</v>
      </c>
      <c r="D1819" t="s">
        <v>19</v>
      </c>
      <c r="E1819" t="s">
        <v>20</v>
      </c>
      <c r="F1819" t="s">
        <v>21</v>
      </c>
      <c r="G1819">
        <v>3.8</v>
      </c>
      <c r="H1819" t="s">
        <v>3935</v>
      </c>
      <c r="I1819" t="s">
        <v>370</v>
      </c>
      <c r="J1819" s="1" t="s">
        <v>307</v>
      </c>
      <c r="K1819" t="s">
        <v>181</v>
      </c>
      <c r="L1819" t="s">
        <v>23</v>
      </c>
      <c r="M1819">
        <v>119</v>
      </c>
      <c r="P1819">
        <v>80</v>
      </c>
      <c r="R1819" t="s">
        <v>3933</v>
      </c>
      <c r="T1819" t="s">
        <v>3337</v>
      </c>
      <c r="U1819">
        <v>157</v>
      </c>
      <c r="V1819" t="s">
        <v>3936</v>
      </c>
    </row>
    <row r="1820" spans="1:22" ht="12.75" customHeight="1" x14ac:dyDescent="0.15">
      <c r="A1820">
        <v>20</v>
      </c>
      <c r="B1820">
        <v>2026</v>
      </c>
      <c r="C1820" s="25">
        <v>46157</v>
      </c>
      <c r="D1820" t="s">
        <v>19</v>
      </c>
      <c r="E1820" t="s">
        <v>20</v>
      </c>
      <c r="F1820" t="s">
        <v>21</v>
      </c>
      <c r="G1820">
        <v>3.8</v>
      </c>
      <c r="H1820" t="s">
        <v>3937</v>
      </c>
      <c r="I1820" t="s">
        <v>309</v>
      </c>
      <c r="J1820" s="1" t="s">
        <v>307</v>
      </c>
      <c r="K1820" t="s">
        <v>181</v>
      </c>
      <c r="L1820" t="s">
        <v>3340</v>
      </c>
      <c r="M1820">
        <v>53</v>
      </c>
      <c r="N1820">
        <v>1.76</v>
      </c>
      <c r="O1820" t="s">
        <v>211</v>
      </c>
      <c r="P1820">
        <v>96.91</v>
      </c>
      <c r="R1820" t="s">
        <v>3373</v>
      </c>
      <c r="S1820" t="s">
        <v>3938</v>
      </c>
      <c r="T1820" t="s">
        <v>3337</v>
      </c>
      <c r="U1820">
        <v>157</v>
      </c>
      <c r="V1820" t="s">
        <v>3939</v>
      </c>
    </row>
    <row r="1821" spans="1:22" ht="12.75" customHeight="1" x14ac:dyDescent="0.15">
      <c r="A1821">
        <v>20</v>
      </c>
      <c r="B1821">
        <v>2026</v>
      </c>
      <c r="C1821" s="25">
        <v>46157</v>
      </c>
      <c r="D1821" t="s">
        <v>19</v>
      </c>
      <c r="E1821" t="s">
        <v>20</v>
      </c>
      <c r="F1821" t="s">
        <v>21</v>
      </c>
      <c r="G1821">
        <v>3.8</v>
      </c>
      <c r="H1821" t="s">
        <v>3937</v>
      </c>
      <c r="I1821" t="s">
        <v>309</v>
      </c>
      <c r="J1821" s="1" t="s">
        <v>307</v>
      </c>
      <c r="K1821" t="s">
        <v>181</v>
      </c>
      <c r="L1821" t="s">
        <v>3340</v>
      </c>
      <c r="M1821">
        <v>45</v>
      </c>
      <c r="N1821">
        <v>1.76</v>
      </c>
      <c r="O1821" t="s">
        <v>211</v>
      </c>
      <c r="P1821">
        <v>96.91</v>
      </c>
      <c r="R1821" t="s">
        <v>3377</v>
      </c>
      <c r="T1821" t="s">
        <v>3337</v>
      </c>
      <c r="U1821">
        <v>157</v>
      </c>
      <c r="V1821" t="s">
        <v>3939</v>
      </c>
    </row>
    <row r="1822" spans="1:22" ht="12.75" customHeight="1" x14ac:dyDescent="0.15">
      <c r="A1822">
        <v>20</v>
      </c>
      <c r="B1822">
        <v>2026</v>
      </c>
      <c r="C1822" s="25">
        <v>46157</v>
      </c>
      <c r="D1822" t="s">
        <v>19</v>
      </c>
      <c r="E1822" t="s">
        <v>20</v>
      </c>
      <c r="F1822" t="s">
        <v>21</v>
      </c>
      <c r="G1822">
        <v>3.8</v>
      </c>
      <c r="H1822" t="s">
        <v>3937</v>
      </c>
      <c r="I1822" t="s">
        <v>309</v>
      </c>
      <c r="J1822" s="1" t="s">
        <v>307</v>
      </c>
      <c r="K1822" t="s">
        <v>181</v>
      </c>
      <c r="L1822" t="s">
        <v>3340</v>
      </c>
      <c r="M1822">
        <v>62</v>
      </c>
      <c r="N1822">
        <v>1.76</v>
      </c>
      <c r="O1822" t="s">
        <v>211</v>
      </c>
      <c r="P1822">
        <v>96.91</v>
      </c>
      <c r="R1822" t="s">
        <v>3375</v>
      </c>
      <c r="T1822" t="s">
        <v>3337</v>
      </c>
      <c r="U1822">
        <v>157</v>
      </c>
      <c r="V1822" t="s">
        <v>3939</v>
      </c>
    </row>
    <row r="1823" spans="1:22" ht="12.75" customHeight="1" x14ac:dyDescent="0.15">
      <c r="A1823">
        <v>20</v>
      </c>
      <c r="B1823">
        <v>2026</v>
      </c>
      <c r="C1823" s="25">
        <v>46157</v>
      </c>
      <c r="D1823" t="s">
        <v>19</v>
      </c>
      <c r="E1823" t="s">
        <v>20</v>
      </c>
      <c r="F1823" t="s">
        <v>21</v>
      </c>
      <c r="G1823">
        <v>3.8</v>
      </c>
      <c r="H1823" t="s">
        <v>3937</v>
      </c>
      <c r="I1823" t="s">
        <v>309</v>
      </c>
      <c r="J1823" s="1" t="s">
        <v>307</v>
      </c>
      <c r="K1823" t="s">
        <v>181</v>
      </c>
      <c r="L1823" t="s">
        <v>3340</v>
      </c>
      <c r="M1823">
        <v>58</v>
      </c>
      <c r="N1823">
        <v>1.76</v>
      </c>
      <c r="O1823" t="s">
        <v>211</v>
      </c>
      <c r="P1823">
        <v>96.91</v>
      </c>
      <c r="R1823" t="s">
        <v>3343</v>
      </c>
      <c r="T1823" t="s">
        <v>3337</v>
      </c>
      <c r="U1823">
        <v>157</v>
      </c>
      <c r="V1823" t="s">
        <v>3939</v>
      </c>
    </row>
    <row r="1824" spans="1:22" ht="12.75" customHeight="1" x14ac:dyDescent="0.15">
      <c r="A1824">
        <v>20</v>
      </c>
      <c r="B1824">
        <v>2026</v>
      </c>
      <c r="C1824" s="25">
        <v>46157</v>
      </c>
      <c r="D1824" t="s">
        <v>19</v>
      </c>
      <c r="E1824" t="s">
        <v>20</v>
      </c>
      <c r="F1824" t="s">
        <v>21</v>
      </c>
      <c r="G1824">
        <v>3.8</v>
      </c>
      <c r="H1824" t="s">
        <v>3937</v>
      </c>
      <c r="I1824" t="s">
        <v>309</v>
      </c>
      <c r="J1824" s="1" t="s">
        <v>307</v>
      </c>
      <c r="K1824" t="s">
        <v>181</v>
      </c>
      <c r="L1824" t="s">
        <v>3340</v>
      </c>
      <c r="M1824">
        <v>132</v>
      </c>
      <c r="N1824">
        <v>1.76</v>
      </c>
      <c r="O1824" t="s">
        <v>211</v>
      </c>
      <c r="P1824">
        <v>96.91</v>
      </c>
      <c r="R1824" t="s">
        <v>3368</v>
      </c>
      <c r="T1824" t="s">
        <v>3337</v>
      </c>
      <c r="U1824">
        <v>157</v>
      </c>
      <c r="V1824" t="s">
        <v>3939</v>
      </c>
    </row>
    <row r="1825" spans="1:22" ht="12.75" customHeight="1" x14ac:dyDescent="0.15">
      <c r="A1825">
        <v>20</v>
      </c>
      <c r="B1825">
        <v>2026</v>
      </c>
      <c r="C1825" s="25">
        <v>46157</v>
      </c>
      <c r="D1825" t="s">
        <v>19</v>
      </c>
      <c r="E1825" t="s">
        <v>20</v>
      </c>
      <c r="F1825" t="s">
        <v>21</v>
      </c>
      <c r="G1825">
        <v>3.8</v>
      </c>
      <c r="H1825" t="s">
        <v>3937</v>
      </c>
      <c r="I1825" t="s">
        <v>309</v>
      </c>
      <c r="J1825" s="1" t="s">
        <v>307</v>
      </c>
      <c r="K1825" t="s">
        <v>181</v>
      </c>
      <c r="L1825" t="s">
        <v>3340</v>
      </c>
      <c r="M1825">
        <v>81</v>
      </c>
      <c r="N1825">
        <v>1.76</v>
      </c>
      <c r="O1825" t="s">
        <v>211</v>
      </c>
      <c r="P1825">
        <v>96.91</v>
      </c>
      <c r="R1825" t="s">
        <v>3374</v>
      </c>
      <c r="T1825" t="s">
        <v>3337</v>
      </c>
      <c r="U1825">
        <v>157</v>
      </c>
      <c r="V1825" t="s">
        <v>3939</v>
      </c>
    </row>
    <row r="1826" spans="1:22" ht="12.75" customHeight="1" x14ac:dyDescent="0.15">
      <c r="A1826">
        <v>20</v>
      </c>
      <c r="B1826">
        <v>2026</v>
      </c>
      <c r="C1826" s="25">
        <v>46157</v>
      </c>
      <c r="D1826" t="s">
        <v>107</v>
      </c>
      <c r="E1826" t="s">
        <v>108</v>
      </c>
      <c r="F1826" t="s">
        <v>21</v>
      </c>
      <c r="G1826">
        <v>4.5</v>
      </c>
      <c r="H1826" t="s">
        <v>3346</v>
      </c>
      <c r="I1826" t="s">
        <v>212</v>
      </c>
      <c r="J1826" s="1" t="s">
        <v>188</v>
      </c>
      <c r="K1826" t="s">
        <v>181</v>
      </c>
      <c r="L1826" t="s">
        <v>3333</v>
      </c>
      <c r="M1826">
        <v>6</v>
      </c>
      <c r="N1826">
        <v>1</v>
      </c>
      <c r="O1826" t="s">
        <v>3334</v>
      </c>
      <c r="P1826">
        <v>81.58</v>
      </c>
      <c r="Q1826">
        <v>8</v>
      </c>
      <c r="R1826" t="s">
        <v>3335</v>
      </c>
      <c r="T1826" t="s">
        <v>3337</v>
      </c>
      <c r="U1826">
        <v>0</v>
      </c>
      <c r="V1826" t="s">
        <v>3826</v>
      </c>
    </row>
    <row r="1827" spans="1:22" ht="12.75" customHeight="1" x14ac:dyDescent="0.15">
      <c r="A1827">
        <v>20</v>
      </c>
      <c r="B1827">
        <v>2026</v>
      </c>
      <c r="C1827" s="25">
        <v>46157</v>
      </c>
      <c r="D1827" t="s">
        <v>107</v>
      </c>
      <c r="E1827" t="s">
        <v>108</v>
      </c>
      <c r="F1827" t="s">
        <v>21</v>
      </c>
      <c r="G1827">
        <v>4.5</v>
      </c>
      <c r="H1827" t="s">
        <v>3453</v>
      </c>
      <c r="I1827" t="s">
        <v>187</v>
      </c>
      <c r="J1827" s="1" t="s">
        <v>188</v>
      </c>
      <c r="K1827" t="s">
        <v>181</v>
      </c>
      <c r="L1827" t="s">
        <v>3333</v>
      </c>
      <c r="M1827">
        <v>1</v>
      </c>
      <c r="N1827">
        <v>1</v>
      </c>
      <c r="O1827" t="s">
        <v>3358</v>
      </c>
      <c r="P1827">
        <v>71.86</v>
      </c>
      <c r="Q1827">
        <v>8</v>
      </c>
      <c r="R1827" t="s">
        <v>3359</v>
      </c>
      <c r="T1827" t="s">
        <v>3337</v>
      </c>
      <c r="U1827">
        <v>0</v>
      </c>
      <c r="V1827" t="s">
        <v>3817</v>
      </c>
    </row>
    <row r="1828" spans="1:22" ht="12.75" customHeight="1" x14ac:dyDescent="0.15">
      <c r="A1828">
        <v>20</v>
      </c>
      <c r="B1828">
        <v>2026</v>
      </c>
      <c r="C1828" s="25">
        <v>46157</v>
      </c>
      <c r="D1828" t="s">
        <v>73</v>
      </c>
      <c r="E1828" t="s">
        <v>74</v>
      </c>
      <c r="F1828" t="s">
        <v>75</v>
      </c>
      <c r="G1828">
        <v>2.2999999999999998</v>
      </c>
      <c r="H1828" t="s">
        <v>3492</v>
      </c>
      <c r="I1828" t="s">
        <v>194</v>
      </c>
      <c r="J1828" s="1" t="s">
        <v>188</v>
      </c>
      <c r="K1828" t="s">
        <v>181</v>
      </c>
      <c r="L1828" t="s">
        <v>3340</v>
      </c>
      <c r="M1828">
        <v>1</v>
      </c>
      <c r="N1828">
        <v>0.16</v>
      </c>
      <c r="O1828" t="s">
        <v>211</v>
      </c>
      <c r="P1828">
        <v>9</v>
      </c>
      <c r="Q1828">
        <v>1</v>
      </c>
      <c r="R1828" t="s">
        <v>3359</v>
      </c>
      <c r="T1828" t="s">
        <v>3337</v>
      </c>
      <c r="U1828">
        <v>27</v>
      </c>
      <c r="V1828" t="s">
        <v>3712</v>
      </c>
    </row>
    <row r="1829" spans="1:22" ht="12.75" customHeight="1" x14ac:dyDescent="0.15">
      <c r="A1829">
        <v>20</v>
      </c>
      <c r="B1829">
        <v>2026</v>
      </c>
      <c r="C1829" s="25">
        <v>46157</v>
      </c>
      <c r="D1829" t="s">
        <v>19</v>
      </c>
      <c r="E1829" t="s">
        <v>20</v>
      </c>
      <c r="F1829" t="s">
        <v>21</v>
      </c>
      <c r="G1829">
        <v>3.8</v>
      </c>
      <c r="H1829" t="s">
        <v>3937</v>
      </c>
      <c r="I1829" t="s">
        <v>309</v>
      </c>
      <c r="J1829" s="1" t="s">
        <v>307</v>
      </c>
      <c r="K1829" t="s">
        <v>181</v>
      </c>
      <c r="L1829" t="s">
        <v>3333</v>
      </c>
      <c r="M1829">
        <v>67</v>
      </c>
      <c r="N1829">
        <v>0.69</v>
      </c>
      <c r="O1829" t="s">
        <v>3334</v>
      </c>
      <c r="P1829">
        <v>56.09</v>
      </c>
      <c r="Q1829">
        <v>5.5</v>
      </c>
      <c r="R1829" t="s">
        <v>3404</v>
      </c>
      <c r="S1829" t="s">
        <v>3940</v>
      </c>
      <c r="T1829" t="s">
        <v>3402</v>
      </c>
      <c r="U1829">
        <v>157</v>
      </c>
      <c r="V1829" t="s">
        <v>3941</v>
      </c>
    </row>
    <row r="1830" spans="1:22" ht="12.75" customHeight="1" x14ac:dyDescent="0.15">
      <c r="A1830">
        <v>20</v>
      </c>
      <c r="B1830">
        <v>2026</v>
      </c>
      <c r="C1830" s="25">
        <v>46157</v>
      </c>
      <c r="D1830" t="s">
        <v>19</v>
      </c>
      <c r="E1830" t="s">
        <v>20</v>
      </c>
      <c r="F1830" t="s">
        <v>21</v>
      </c>
      <c r="G1830">
        <v>3.8</v>
      </c>
      <c r="H1830" t="s">
        <v>3937</v>
      </c>
      <c r="I1830" t="s">
        <v>309</v>
      </c>
      <c r="J1830" s="1" t="s">
        <v>307</v>
      </c>
      <c r="K1830" t="s">
        <v>181</v>
      </c>
      <c r="L1830" t="s">
        <v>3333</v>
      </c>
      <c r="M1830">
        <v>19</v>
      </c>
      <c r="N1830">
        <v>0.69</v>
      </c>
      <c r="O1830" t="s">
        <v>3334</v>
      </c>
      <c r="P1830">
        <v>56.09</v>
      </c>
      <c r="Q1830">
        <v>5.5</v>
      </c>
      <c r="R1830" t="s">
        <v>3403</v>
      </c>
      <c r="T1830" t="s">
        <v>3402</v>
      </c>
      <c r="U1830">
        <v>157</v>
      </c>
      <c r="V1830" t="s">
        <v>3941</v>
      </c>
    </row>
    <row r="1831" spans="1:22" ht="12.75" customHeight="1" x14ac:dyDescent="0.15">
      <c r="A1831">
        <v>20</v>
      </c>
      <c r="B1831">
        <v>2026</v>
      </c>
      <c r="C1831" s="25">
        <v>46157</v>
      </c>
      <c r="D1831" t="s">
        <v>19</v>
      </c>
      <c r="E1831" t="s">
        <v>20</v>
      </c>
      <c r="F1831" t="s">
        <v>21</v>
      </c>
      <c r="G1831">
        <v>3.8</v>
      </c>
      <c r="H1831" t="s">
        <v>3937</v>
      </c>
      <c r="I1831" t="s">
        <v>309</v>
      </c>
      <c r="J1831" s="1" t="s">
        <v>307</v>
      </c>
      <c r="K1831" t="s">
        <v>181</v>
      </c>
      <c r="L1831" t="s">
        <v>3340</v>
      </c>
      <c r="M1831">
        <v>78</v>
      </c>
      <c r="N1831">
        <v>1.29</v>
      </c>
      <c r="O1831" t="s">
        <v>211</v>
      </c>
      <c r="P1831">
        <v>71</v>
      </c>
      <c r="R1831" t="s">
        <v>3341</v>
      </c>
      <c r="S1831" t="s">
        <v>3942</v>
      </c>
      <c r="T1831" t="s">
        <v>3402</v>
      </c>
      <c r="U1831">
        <v>157</v>
      </c>
      <c r="V1831" t="s">
        <v>3943</v>
      </c>
    </row>
    <row r="1832" spans="1:22" ht="12.75" customHeight="1" x14ac:dyDescent="0.15">
      <c r="A1832">
        <v>20</v>
      </c>
      <c r="B1832">
        <v>2026</v>
      </c>
      <c r="C1832" s="25">
        <v>46157</v>
      </c>
      <c r="D1832" t="s">
        <v>19</v>
      </c>
      <c r="E1832" t="s">
        <v>20</v>
      </c>
      <c r="F1832" t="s">
        <v>21</v>
      </c>
      <c r="G1832">
        <v>3.8</v>
      </c>
      <c r="H1832" t="s">
        <v>3937</v>
      </c>
      <c r="I1832" t="s">
        <v>309</v>
      </c>
      <c r="J1832" s="1" t="s">
        <v>307</v>
      </c>
      <c r="K1832" t="s">
        <v>181</v>
      </c>
      <c r="L1832" t="s">
        <v>3340</v>
      </c>
      <c r="M1832">
        <v>67</v>
      </c>
      <c r="N1832">
        <v>0.27</v>
      </c>
      <c r="O1832" t="s">
        <v>211</v>
      </c>
      <c r="P1832">
        <v>14.91</v>
      </c>
      <c r="R1832" t="s">
        <v>3404</v>
      </c>
      <c r="T1832" t="s">
        <v>3402</v>
      </c>
      <c r="U1832">
        <v>157</v>
      </c>
      <c r="V1832" t="s">
        <v>3944</v>
      </c>
    </row>
    <row r="1833" spans="1:22" ht="12.75" customHeight="1" x14ac:dyDescent="0.15">
      <c r="A1833">
        <v>20</v>
      </c>
      <c r="B1833">
        <v>2026</v>
      </c>
      <c r="C1833" s="25">
        <v>46157</v>
      </c>
      <c r="D1833" t="s">
        <v>19</v>
      </c>
      <c r="E1833" t="s">
        <v>20</v>
      </c>
      <c r="F1833" t="s">
        <v>21</v>
      </c>
      <c r="G1833">
        <v>3.8</v>
      </c>
      <c r="H1833" t="s">
        <v>3937</v>
      </c>
      <c r="I1833" t="s">
        <v>309</v>
      </c>
      <c r="J1833" s="1" t="s">
        <v>307</v>
      </c>
      <c r="K1833" t="s">
        <v>181</v>
      </c>
      <c r="L1833" t="s">
        <v>3340</v>
      </c>
      <c r="M1833">
        <v>19</v>
      </c>
      <c r="N1833">
        <v>0.27</v>
      </c>
      <c r="O1833" t="s">
        <v>211</v>
      </c>
      <c r="P1833">
        <v>14.91</v>
      </c>
      <c r="R1833" t="s">
        <v>3403</v>
      </c>
      <c r="T1833" t="s">
        <v>3402</v>
      </c>
      <c r="U1833">
        <v>157</v>
      </c>
      <c r="V1833" t="s">
        <v>3944</v>
      </c>
    </row>
    <row r="1834" spans="1:22" ht="12.75" customHeight="1" x14ac:dyDescent="0.15">
      <c r="A1834">
        <v>20</v>
      </c>
      <c r="B1834">
        <v>2026</v>
      </c>
      <c r="C1834" s="25">
        <v>46157</v>
      </c>
      <c r="D1834" t="s">
        <v>89</v>
      </c>
      <c r="E1834" t="s">
        <v>90</v>
      </c>
      <c r="F1834" t="s">
        <v>21</v>
      </c>
      <c r="G1834">
        <v>1</v>
      </c>
      <c r="H1834" t="s">
        <v>3803</v>
      </c>
      <c r="I1834" t="s">
        <v>3676</v>
      </c>
      <c r="J1834" s="1" t="s">
        <v>3533</v>
      </c>
      <c r="K1834" t="s">
        <v>181</v>
      </c>
      <c r="L1834" t="s">
        <v>3333</v>
      </c>
      <c r="M1834">
        <v>3</v>
      </c>
      <c r="N1834">
        <v>0.5</v>
      </c>
      <c r="O1834" t="s">
        <v>3334</v>
      </c>
      <c r="P1834">
        <v>40.79</v>
      </c>
      <c r="Q1834">
        <v>4</v>
      </c>
      <c r="R1834" t="s">
        <v>3478</v>
      </c>
      <c r="T1834" t="s">
        <v>3402</v>
      </c>
      <c r="U1834">
        <v>30</v>
      </c>
      <c r="V1834" t="s">
        <v>3456</v>
      </c>
    </row>
    <row r="1835" spans="1:22" ht="12.75" customHeight="1" x14ac:dyDescent="0.15">
      <c r="A1835">
        <v>20</v>
      </c>
      <c r="B1835">
        <v>2026</v>
      </c>
      <c r="C1835" s="25">
        <v>46157</v>
      </c>
      <c r="D1835" t="s">
        <v>68</v>
      </c>
      <c r="E1835" t="s">
        <v>69</v>
      </c>
      <c r="F1835" t="s">
        <v>21</v>
      </c>
      <c r="G1835">
        <v>1</v>
      </c>
      <c r="H1835" t="s">
        <v>3845</v>
      </c>
      <c r="I1835" t="s">
        <v>380</v>
      </c>
      <c r="J1835" s="1" t="s">
        <v>3533</v>
      </c>
      <c r="K1835" t="s">
        <v>181</v>
      </c>
      <c r="L1835" t="s">
        <v>3333</v>
      </c>
      <c r="M1835">
        <v>3</v>
      </c>
      <c r="N1835">
        <v>0.13</v>
      </c>
      <c r="O1835" t="s">
        <v>3334</v>
      </c>
      <c r="P1835">
        <v>10.199999999999999</v>
      </c>
      <c r="Q1835">
        <v>1</v>
      </c>
      <c r="R1835" t="s">
        <v>3478</v>
      </c>
      <c r="T1835" t="s">
        <v>3402</v>
      </c>
      <c r="U1835">
        <v>43</v>
      </c>
      <c r="V1835" t="s">
        <v>3472</v>
      </c>
    </row>
    <row r="1836" spans="1:22" ht="12.75" customHeight="1" x14ac:dyDescent="0.15">
      <c r="A1836">
        <v>20</v>
      </c>
      <c r="B1836">
        <v>2026</v>
      </c>
      <c r="C1836" s="25">
        <v>46157</v>
      </c>
      <c r="D1836" t="s">
        <v>19</v>
      </c>
      <c r="E1836" t="s">
        <v>20</v>
      </c>
      <c r="F1836" t="s">
        <v>21</v>
      </c>
      <c r="G1836">
        <v>3.8</v>
      </c>
      <c r="H1836" t="s">
        <v>3945</v>
      </c>
      <c r="I1836" t="s">
        <v>3686</v>
      </c>
      <c r="J1836" s="1" t="s">
        <v>3437</v>
      </c>
      <c r="K1836" t="s">
        <v>181</v>
      </c>
      <c r="L1836" t="s">
        <v>3340</v>
      </c>
      <c r="M1836">
        <v>4</v>
      </c>
      <c r="N1836">
        <v>0.33</v>
      </c>
      <c r="O1836" t="s">
        <v>211</v>
      </c>
      <c r="P1836">
        <v>18</v>
      </c>
      <c r="Q1836">
        <v>2</v>
      </c>
      <c r="R1836" t="s">
        <v>3773</v>
      </c>
      <c r="T1836" t="s">
        <v>3402</v>
      </c>
      <c r="U1836">
        <v>157</v>
      </c>
      <c r="V1836" t="s">
        <v>3414</v>
      </c>
    </row>
    <row r="1837" spans="1:22" ht="12.75" customHeight="1" x14ac:dyDescent="0.15">
      <c r="A1837">
        <v>20</v>
      </c>
      <c r="B1837">
        <v>2026</v>
      </c>
      <c r="C1837" s="25">
        <v>46157</v>
      </c>
      <c r="D1837" t="s">
        <v>19</v>
      </c>
      <c r="E1837" t="s">
        <v>20</v>
      </c>
      <c r="F1837" t="s">
        <v>21</v>
      </c>
      <c r="G1837">
        <v>3.8</v>
      </c>
      <c r="H1837" t="s">
        <v>3945</v>
      </c>
      <c r="I1837" t="s">
        <v>3686</v>
      </c>
      <c r="J1837" s="1" t="s">
        <v>3437</v>
      </c>
      <c r="K1837" t="s">
        <v>181</v>
      </c>
      <c r="L1837" t="s">
        <v>3333</v>
      </c>
      <c r="M1837">
        <v>4</v>
      </c>
      <c r="N1837">
        <v>1</v>
      </c>
      <c r="O1837" t="s">
        <v>3334</v>
      </c>
      <c r="P1837">
        <v>81.58</v>
      </c>
      <c r="Q1837">
        <v>8</v>
      </c>
      <c r="R1837" t="s">
        <v>3773</v>
      </c>
      <c r="T1837" t="s">
        <v>3402</v>
      </c>
      <c r="U1837">
        <v>157</v>
      </c>
      <c r="V1837" t="s">
        <v>3797</v>
      </c>
    </row>
    <row r="1838" spans="1:22" ht="12.75" customHeight="1" x14ac:dyDescent="0.15">
      <c r="A1838">
        <v>20</v>
      </c>
      <c r="B1838">
        <v>2026</v>
      </c>
      <c r="C1838" s="25">
        <v>46157</v>
      </c>
      <c r="D1838" t="s">
        <v>107</v>
      </c>
      <c r="E1838" t="s">
        <v>108</v>
      </c>
      <c r="F1838" t="s">
        <v>21</v>
      </c>
      <c r="G1838">
        <v>4.5</v>
      </c>
      <c r="H1838" t="s">
        <v>3914</v>
      </c>
      <c r="I1838" t="s">
        <v>3810</v>
      </c>
      <c r="J1838" s="1" t="s">
        <v>30</v>
      </c>
      <c r="K1838" t="s">
        <v>181</v>
      </c>
      <c r="L1838" t="s">
        <v>3333</v>
      </c>
      <c r="M1838">
        <v>86</v>
      </c>
      <c r="N1838">
        <v>0.38</v>
      </c>
      <c r="O1838" t="s">
        <v>3334</v>
      </c>
      <c r="P1838">
        <v>30.59</v>
      </c>
      <c r="Q1838">
        <v>3</v>
      </c>
      <c r="R1838" t="s">
        <v>3386</v>
      </c>
      <c r="T1838" t="s">
        <v>3402</v>
      </c>
      <c r="U1838">
        <v>0</v>
      </c>
      <c r="V1838" t="s">
        <v>3816</v>
      </c>
    </row>
    <row r="1839" spans="1:22" ht="12.75" customHeight="1" x14ac:dyDescent="0.15">
      <c r="A1839">
        <v>20</v>
      </c>
      <c r="B1839">
        <v>2026</v>
      </c>
      <c r="C1839" s="25">
        <v>46157</v>
      </c>
      <c r="D1839" t="s">
        <v>115</v>
      </c>
      <c r="E1839" t="s">
        <v>116</v>
      </c>
      <c r="F1839" t="s">
        <v>21</v>
      </c>
      <c r="G1839">
        <v>2</v>
      </c>
      <c r="H1839" t="s">
        <v>3672</v>
      </c>
      <c r="I1839" t="s">
        <v>3673</v>
      </c>
      <c r="J1839" s="1" t="s">
        <v>26</v>
      </c>
      <c r="K1839" t="s">
        <v>181</v>
      </c>
      <c r="L1839" t="s">
        <v>3333</v>
      </c>
      <c r="M1839">
        <v>86</v>
      </c>
      <c r="N1839">
        <v>0.5</v>
      </c>
      <c r="O1839" t="s">
        <v>3334</v>
      </c>
      <c r="P1839">
        <v>40.79</v>
      </c>
      <c r="Q1839">
        <v>4</v>
      </c>
      <c r="R1839" t="s">
        <v>3386</v>
      </c>
      <c r="S1839" t="s">
        <v>3946</v>
      </c>
      <c r="T1839" t="s">
        <v>3402</v>
      </c>
      <c r="U1839">
        <v>-6</v>
      </c>
      <c r="V1839" t="s">
        <v>3474</v>
      </c>
    </row>
    <row r="1840" spans="1:22" ht="12.75" customHeight="1" x14ac:dyDescent="0.15">
      <c r="A1840">
        <v>20</v>
      </c>
      <c r="B1840">
        <v>2026</v>
      </c>
      <c r="C1840" s="25">
        <v>46157</v>
      </c>
      <c r="D1840" t="s">
        <v>115</v>
      </c>
      <c r="E1840" t="s">
        <v>116</v>
      </c>
      <c r="F1840" t="s">
        <v>21</v>
      </c>
      <c r="G1840">
        <v>2</v>
      </c>
      <c r="H1840" t="s">
        <v>3947</v>
      </c>
      <c r="I1840" t="s">
        <v>3673</v>
      </c>
      <c r="J1840" s="1" t="s">
        <v>26</v>
      </c>
      <c r="K1840" t="s">
        <v>2666</v>
      </c>
      <c r="L1840" t="s">
        <v>3587</v>
      </c>
      <c r="N1840">
        <v>1.52</v>
      </c>
      <c r="O1840" t="s">
        <v>3838</v>
      </c>
      <c r="P1840">
        <v>32.5</v>
      </c>
      <c r="Q1840">
        <v>4</v>
      </c>
      <c r="T1840" t="s">
        <v>3402</v>
      </c>
      <c r="U1840">
        <v>-6</v>
      </c>
      <c r="V1840" t="s">
        <v>3948</v>
      </c>
    </row>
    <row r="1841" spans="1:22" ht="12.75" customHeight="1" x14ac:dyDescent="0.15">
      <c r="A1841">
        <v>20</v>
      </c>
      <c r="B1841">
        <v>2026</v>
      </c>
      <c r="C1841" s="25">
        <v>46157</v>
      </c>
      <c r="D1841" t="s">
        <v>19</v>
      </c>
      <c r="E1841" t="s">
        <v>20</v>
      </c>
      <c r="F1841" t="s">
        <v>21</v>
      </c>
      <c r="G1841">
        <v>3.8</v>
      </c>
      <c r="H1841" t="s">
        <v>3949</v>
      </c>
      <c r="I1841" t="s">
        <v>385</v>
      </c>
      <c r="J1841" s="1" t="s">
        <v>307</v>
      </c>
      <c r="K1841" t="s">
        <v>178</v>
      </c>
      <c r="L1841" t="s">
        <v>3587</v>
      </c>
      <c r="N1841">
        <v>1</v>
      </c>
      <c r="P1841">
        <v>400</v>
      </c>
      <c r="T1841" t="s">
        <v>3402</v>
      </c>
      <c r="U1841">
        <v>157</v>
      </c>
      <c r="V1841" t="s">
        <v>3950</v>
      </c>
    </row>
    <row r="1842" spans="1:22" ht="12.75" customHeight="1" x14ac:dyDescent="0.15">
      <c r="A1842">
        <v>20</v>
      </c>
      <c r="B1842">
        <v>2026</v>
      </c>
      <c r="C1842" s="25">
        <v>46158</v>
      </c>
      <c r="D1842" t="s">
        <v>19</v>
      </c>
      <c r="E1842" t="s">
        <v>20</v>
      </c>
      <c r="F1842" t="s">
        <v>21</v>
      </c>
      <c r="G1842">
        <v>3.8</v>
      </c>
      <c r="H1842" t="s">
        <v>3937</v>
      </c>
      <c r="I1842" t="s">
        <v>309</v>
      </c>
      <c r="J1842" s="1" t="s">
        <v>307</v>
      </c>
      <c r="K1842" t="s">
        <v>181</v>
      </c>
      <c r="L1842" t="s">
        <v>3340</v>
      </c>
      <c r="M1842">
        <v>53</v>
      </c>
      <c r="N1842">
        <v>1.38</v>
      </c>
      <c r="O1842" t="s">
        <v>211</v>
      </c>
      <c r="P1842">
        <v>75.83</v>
      </c>
      <c r="R1842" t="s">
        <v>3373</v>
      </c>
      <c r="S1842" t="s">
        <v>3951</v>
      </c>
      <c r="T1842" t="s">
        <v>3337</v>
      </c>
      <c r="U1842">
        <v>158</v>
      </c>
      <c r="V1842" t="s">
        <v>3952</v>
      </c>
    </row>
    <row r="1843" spans="1:22" ht="12.75" customHeight="1" x14ac:dyDescent="0.15">
      <c r="A1843">
        <v>20</v>
      </c>
      <c r="B1843">
        <v>2026</v>
      </c>
      <c r="C1843" s="25">
        <v>46158</v>
      </c>
      <c r="D1843" t="s">
        <v>19</v>
      </c>
      <c r="E1843" t="s">
        <v>20</v>
      </c>
      <c r="F1843" t="s">
        <v>21</v>
      </c>
      <c r="G1843">
        <v>3.8</v>
      </c>
      <c r="H1843" t="s">
        <v>3937</v>
      </c>
      <c r="I1843" t="s">
        <v>309</v>
      </c>
      <c r="J1843" s="1" t="s">
        <v>307</v>
      </c>
      <c r="K1843" t="s">
        <v>181</v>
      </c>
      <c r="L1843" t="s">
        <v>3340</v>
      </c>
      <c r="M1843">
        <v>45</v>
      </c>
      <c r="N1843">
        <v>1.38</v>
      </c>
      <c r="O1843" t="s">
        <v>211</v>
      </c>
      <c r="P1843">
        <v>75.83</v>
      </c>
      <c r="R1843" t="s">
        <v>3377</v>
      </c>
      <c r="T1843" t="s">
        <v>3337</v>
      </c>
      <c r="U1843">
        <v>158</v>
      </c>
      <c r="V1843" t="s">
        <v>3952</v>
      </c>
    </row>
    <row r="1844" spans="1:22" ht="12.75" customHeight="1" x14ac:dyDescent="0.15">
      <c r="A1844">
        <v>20</v>
      </c>
      <c r="B1844">
        <v>2026</v>
      </c>
      <c r="C1844" s="25">
        <v>46158</v>
      </c>
      <c r="D1844" t="s">
        <v>19</v>
      </c>
      <c r="E1844" t="s">
        <v>20</v>
      </c>
      <c r="F1844" t="s">
        <v>21</v>
      </c>
      <c r="G1844">
        <v>3.8</v>
      </c>
      <c r="H1844" t="s">
        <v>3937</v>
      </c>
      <c r="I1844" t="s">
        <v>309</v>
      </c>
      <c r="J1844" s="1" t="s">
        <v>307</v>
      </c>
      <c r="K1844" t="s">
        <v>181</v>
      </c>
      <c r="L1844" t="s">
        <v>3340</v>
      </c>
      <c r="M1844">
        <v>62</v>
      </c>
      <c r="N1844">
        <v>1.38</v>
      </c>
      <c r="O1844" t="s">
        <v>211</v>
      </c>
      <c r="P1844">
        <v>75.83</v>
      </c>
      <c r="R1844" t="s">
        <v>3375</v>
      </c>
      <c r="T1844" t="s">
        <v>3337</v>
      </c>
      <c r="U1844">
        <v>158</v>
      </c>
      <c r="V1844" t="s">
        <v>3952</v>
      </c>
    </row>
    <row r="1845" spans="1:22" ht="12.75" customHeight="1" x14ac:dyDescent="0.15">
      <c r="A1845">
        <v>20</v>
      </c>
      <c r="B1845">
        <v>2026</v>
      </c>
      <c r="C1845" s="25">
        <v>46158</v>
      </c>
      <c r="D1845" t="s">
        <v>19</v>
      </c>
      <c r="E1845" t="s">
        <v>20</v>
      </c>
      <c r="F1845" t="s">
        <v>21</v>
      </c>
      <c r="G1845">
        <v>3.8</v>
      </c>
      <c r="H1845" t="s">
        <v>3937</v>
      </c>
      <c r="I1845" t="s">
        <v>309</v>
      </c>
      <c r="J1845" s="1" t="s">
        <v>307</v>
      </c>
      <c r="K1845" t="s">
        <v>181</v>
      </c>
      <c r="L1845" t="s">
        <v>3340</v>
      </c>
      <c r="M1845">
        <v>58</v>
      </c>
      <c r="N1845">
        <v>1.38</v>
      </c>
      <c r="O1845" t="s">
        <v>211</v>
      </c>
      <c r="P1845">
        <v>75.83</v>
      </c>
      <c r="R1845" t="s">
        <v>3343</v>
      </c>
      <c r="T1845" t="s">
        <v>3337</v>
      </c>
      <c r="U1845">
        <v>158</v>
      </c>
      <c r="V1845" t="s">
        <v>3952</v>
      </c>
    </row>
    <row r="1846" spans="1:22" ht="12.75" customHeight="1" x14ac:dyDescent="0.15">
      <c r="A1846">
        <v>20</v>
      </c>
      <c r="B1846">
        <v>2026</v>
      </c>
      <c r="C1846" s="25">
        <v>46158</v>
      </c>
      <c r="D1846" t="s">
        <v>19</v>
      </c>
      <c r="E1846" t="s">
        <v>20</v>
      </c>
      <c r="F1846" t="s">
        <v>21</v>
      </c>
      <c r="G1846">
        <v>3.8</v>
      </c>
      <c r="H1846" t="s">
        <v>3937</v>
      </c>
      <c r="I1846" t="s">
        <v>309</v>
      </c>
      <c r="J1846" s="1" t="s">
        <v>307</v>
      </c>
      <c r="K1846" t="s">
        <v>181</v>
      </c>
      <c r="L1846" t="s">
        <v>3340</v>
      </c>
      <c r="M1846">
        <v>132</v>
      </c>
      <c r="N1846">
        <v>1.38</v>
      </c>
      <c r="O1846" t="s">
        <v>211</v>
      </c>
      <c r="P1846">
        <v>75.83</v>
      </c>
      <c r="R1846" t="s">
        <v>3368</v>
      </c>
      <c r="T1846" t="s">
        <v>3337</v>
      </c>
      <c r="U1846">
        <v>158</v>
      </c>
      <c r="V1846" t="s">
        <v>3952</v>
      </c>
    </row>
    <row r="1847" spans="1:22" ht="12.75" customHeight="1" x14ac:dyDescent="0.15">
      <c r="A1847">
        <v>20</v>
      </c>
      <c r="B1847">
        <v>2026</v>
      </c>
      <c r="C1847" s="25">
        <v>46158</v>
      </c>
      <c r="D1847" t="s">
        <v>19</v>
      </c>
      <c r="E1847" t="s">
        <v>20</v>
      </c>
      <c r="F1847" t="s">
        <v>21</v>
      </c>
      <c r="G1847">
        <v>3.8</v>
      </c>
      <c r="H1847" t="s">
        <v>3937</v>
      </c>
      <c r="I1847" t="s">
        <v>309</v>
      </c>
      <c r="J1847" s="1" t="s">
        <v>307</v>
      </c>
      <c r="K1847" t="s">
        <v>181</v>
      </c>
      <c r="L1847" t="s">
        <v>3340</v>
      </c>
      <c r="M1847">
        <v>81</v>
      </c>
      <c r="N1847">
        <v>1.38</v>
      </c>
      <c r="O1847" t="s">
        <v>211</v>
      </c>
      <c r="P1847">
        <v>75.83</v>
      </c>
      <c r="R1847" t="s">
        <v>3374</v>
      </c>
      <c r="T1847" t="s">
        <v>3337</v>
      </c>
      <c r="U1847">
        <v>158</v>
      </c>
      <c r="V1847" t="s">
        <v>3952</v>
      </c>
    </row>
    <row r="1848" spans="1:22" ht="12.75" customHeight="1" x14ac:dyDescent="0.15">
      <c r="A1848">
        <v>20</v>
      </c>
      <c r="B1848">
        <v>2026</v>
      </c>
      <c r="C1848" s="25">
        <v>46158</v>
      </c>
      <c r="D1848" t="s">
        <v>107</v>
      </c>
      <c r="E1848" t="s">
        <v>108</v>
      </c>
      <c r="F1848" t="s">
        <v>21</v>
      </c>
      <c r="G1848">
        <v>4.5</v>
      </c>
      <c r="H1848" t="s">
        <v>3346</v>
      </c>
      <c r="I1848" t="s">
        <v>212</v>
      </c>
      <c r="J1848" s="1" t="s">
        <v>188</v>
      </c>
      <c r="K1848" t="s">
        <v>181</v>
      </c>
      <c r="L1848" t="s">
        <v>3333</v>
      </c>
      <c r="M1848">
        <v>6</v>
      </c>
      <c r="N1848">
        <v>1</v>
      </c>
      <c r="O1848" t="s">
        <v>3334</v>
      </c>
      <c r="P1848">
        <v>81.58</v>
      </c>
      <c r="Q1848">
        <v>8</v>
      </c>
      <c r="R1848" t="s">
        <v>3335</v>
      </c>
      <c r="T1848" t="s">
        <v>3337</v>
      </c>
      <c r="U1848">
        <v>1</v>
      </c>
      <c r="V1848" t="s">
        <v>3826</v>
      </c>
    </row>
    <row r="1849" spans="1:22" ht="12.75" customHeight="1" x14ac:dyDescent="0.15">
      <c r="A1849">
        <v>20</v>
      </c>
      <c r="B1849">
        <v>2026</v>
      </c>
      <c r="C1849" s="25">
        <v>46158</v>
      </c>
      <c r="D1849" t="s">
        <v>80</v>
      </c>
      <c r="E1849" t="s">
        <v>81</v>
      </c>
      <c r="F1849" t="s">
        <v>21</v>
      </c>
      <c r="G1849">
        <v>2.2999999999999998</v>
      </c>
      <c r="H1849" t="s">
        <v>3453</v>
      </c>
      <c r="I1849" t="s">
        <v>187</v>
      </c>
      <c r="J1849" s="1" t="s">
        <v>188</v>
      </c>
      <c r="K1849" t="s">
        <v>181</v>
      </c>
      <c r="L1849" t="s">
        <v>3333</v>
      </c>
      <c r="M1849">
        <v>1</v>
      </c>
      <c r="N1849">
        <v>0.5</v>
      </c>
      <c r="O1849" t="s">
        <v>3358</v>
      </c>
      <c r="P1849">
        <v>35.93</v>
      </c>
      <c r="Q1849">
        <v>4</v>
      </c>
      <c r="R1849" t="s">
        <v>3359</v>
      </c>
      <c r="T1849" t="s">
        <v>3337</v>
      </c>
      <c r="U1849">
        <v>44</v>
      </c>
      <c r="V1849" t="s">
        <v>3911</v>
      </c>
    </row>
    <row r="1850" spans="1:22" ht="12.75" customHeight="1" x14ac:dyDescent="0.15">
      <c r="A1850">
        <v>20</v>
      </c>
      <c r="B1850">
        <v>2026</v>
      </c>
      <c r="C1850" s="25">
        <v>46158</v>
      </c>
      <c r="D1850" t="s">
        <v>73</v>
      </c>
      <c r="E1850" t="s">
        <v>74</v>
      </c>
      <c r="F1850" t="s">
        <v>75</v>
      </c>
      <c r="G1850">
        <v>2.2999999999999998</v>
      </c>
      <c r="H1850" t="s">
        <v>3953</v>
      </c>
      <c r="I1850" t="s">
        <v>3954</v>
      </c>
      <c r="J1850" s="1" t="s">
        <v>253</v>
      </c>
      <c r="K1850" t="s">
        <v>181</v>
      </c>
      <c r="L1850" t="s">
        <v>3333</v>
      </c>
      <c r="M1850">
        <v>1</v>
      </c>
      <c r="N1850">
        <v>0.5</v>
      </c>
      <c r="O1850" t="s">
        <v>3358</v>
      </c>
      <c r="P1850">
        <v>35.93</v>
      </c>
      <c r="Q1850">
        <v>4</v>
      </c>
      <c r="R1850" t="s">
        <v>3359</v>
      </c>
      <c r="T1850" t="s">
        <v>3337</v>
      </c>
      <c r="U1850">
        <v>28</v>
      </c>
      <c r="V1850" t="s">
        <v>3911</v>
      </c>
    </row>
    <row r="1851" spans="1:22" ht="12.75" customHeight="1" x14ac:dyDescent="0.15">
      <c r="A1851">
        <v>20</v>
      </c>
      <c r="B1851">
        <v>2026</v>
      </c>
      <c r="C1851" s="25">
        <v>46158</v>
      </c>
      <c r="D1851" t="s">
        <v>19</v>
      </c>
      <c r="E1851" t="s">
        <v>20</v>
      </c>
      <c r="F1851" t="s">
        <v>21</v>
      </c>
      <c r="G1851">
        <v>3.8</v>
      </c>
      <c r="H1851" t="s">
        <v>3937</v>
      </c>
      <c r="I1851" t="s">
        <v>309</v>
      </c>
      <c r="J1851" s="1" t="s">
        <v>307</v>
      </c>
      <c r="K1851" t="s">
        <v>181</v>
      </c>
      <c r="L1851" t="s">
        <v>3333</v>
      </c>
      <c r="M1851">
        <v>67</v>
      </c>
      <c r="N1851">
        <v>0.69</v>
      </c>
      <c r="O1851" t="s">
        <v>3334</v>
      </c>
      <c r="P1851">
        <v>56.09</v>
      </c>
      <c r="Q1851">
        <v>5.5</v>
      </c>
      <c r="R1851" t="s">
        <v>3404</v>
      </c>
      <c r="S1851" t="s">
        <v>3955</v>
      </c>
      <c r="T1851" t="s">
        <v>3402</v>
      </c>
      <c r="U1851">
        <v>158</v>
      </c>
      <c r="V1851" t="s">
        <v>3941</v>
      </c>
    </row>
    <row r="1852" spans="1:22" ht="12.75" customHeight="1" x14ac:dyDescent="0.15">
      <c r="A1852">
        <v>20</v>
      </c>
      <c r="B1852">
        <v>2026</v>
      </c>
      <c r="C1852" s="25">
        <v>46158</v>
      </c>
      <c r="D1852" t="s">
        <v>19</v>
      </c>
      <c r="E1852" t="s">
        <v>20</v>
      </c>
      <c r="F1852" t="s">
        <v>21</v>
      </c>
      <c r="G1852">
        <v>3.8</v>
      </c>
      <c r="H1852" t="s">
        <v>3937</v>
      </c>
      <c r="I1852" t="s">
        <v>309</v>
      </c>
      <c r="J1852" s="1" t="s">
        <v>307</v>
      </c>
      <c r="K1852" t="s">
        <v>181</v>
      </c>
      <c r="L1852" t="s">
        <v>3333</v>
      </c>
      <c r="M1852">
        <v>19</v>
      </c>
      <c r="N1852">
        <v>0.69</v>
      </c>
      <c r="O1852" t="s">
        <v>3334</v>
      </c>
      <c r="P1852">
        <v>56.09</v>
      </c>
      <c r="Q1852">
        <v>5.5</v>
      </c>
      <c r="R1852" t="s">
        <v>3403</v>
      </c>
      <c r="T1852" t="s">
        <v>3402</v>
      </c>
      <c r="U1852">
        <v>158</v>
      </c>
      <c r="V1852" t="s">
        <v>3941</v>
      </c>
    </row>
    <row r="1853" spans="1:22" ht="12.75" customHeight="1" x14ac:dyDescent="0.15">
      <c r="A1853">
        <v>20</v>
      </c>
      <c r="B1853">
        <v>2026</v>
      </c>
      <c r="C1853" s="25">
        <v>46158</v>
      </c>
      <c r="D1853" t="s">
        <v>19</v>
      </c>
      <c r="E1853" t="s">
        <v>20</v>
      </c>
      <c r="F1853" t="s">
        <v>21</v>
      </c>
      <c r="G1853">
        <v>3.8</v>
      </c>
      <c r="H1853" t="s">
        <v>3937</v>
      </c>
      <c r="I1853" t="s">
        <v>309</v>
      </c>
      <c r="J1853" s="1" t="s">
        <v>307</v>
      </c>
      <c r="K1853" t="s">
        <v>181</v>
      </c>
      <c r="L1853" t="s">
        <v>3340</v>
      </c>
      <c r="M1853">
        <v>78</v>
      </c>
      <c r="N1853">
        <v>1.47</v>
      </c>
      <c r="O1853" t="s">
        <v>211</v>
      </c>
      <c r="P1853">
        <v>81</v>
      </c>
      <c r="R1853" t="s">
        <v>3341</v>
      </c>
      <c r="T1853" t="s">
        <v>3402</v>
      </c>
      <c r="U1853">
        <v>158</v>
      </c>
      <c r="V1853" t="s">
        <v>3956</v>
      </c>
    </row>
    <row r="1854" spans="1:22" ht="12.75" customHeight="1" x14ac:dyDescent="0.15">
      <c r="A1854">
        <v>20</v>
      </c>
      <c r="B1854">
        <v>2026</v>
      </c>
      <c r="C1854" s="25">
        <v>46158</v>
      </c>
      <c r="D1854" t="s">
        <v>19</v>
      </c>
      <c r="E1854" t="s">
        <v>20</v>
      </c>
      <c r="F1854" t="s">
        <v>21</v>
      </c>
      <c r="G1854">
        <v>3.8</v>
      </c>
      <c r="H1854" t="s">
        <v>3937</v>
      </c>
      <c r="I1854" t="s">
        <v>309</v>
      </c>
      <c r="J1854" s="1" t="s">
        <v>307</v>
      </c>
      <c r="K1854" t="s">
        <v>181</v>
      </c>
      <c r="L1854" t="s">
        <v>3340</v>
      </c>
      <c r="M1854">
        <v>67</v>
      </c>
      <c r="N1854">
        <v>0.45</v>
      </c>
      <c r="O1854" t="s">
        <v>211</v>
      </c>
      <c r="P1854">
        <v>25</v>
      </c>
      <c r="R1854" t="s">
        <v>3404</v>
      </c>
      <c r="T1854" t="s">
        <v>3402</v>
      </c>
      <c r="U1854">
        <v>158</v>
      </c>
      <c r="V1854" t="s">
        <v>3957</v>
      </c>
    </row>
    <row r="1855" spans="1:22" ht="12.75" customHeight="1" x14ac:dyDescent="0.15">
      <c r="A1855">
        <v>20</v>
      </c>
      <c r="B1855">
        <v>2026</v>
      </c>
      <c r="C1855" s="25">
        <v>46158</v>
      </c>
      <c r="D1855" t="s">
        <v>19</v>
      </c>
      <c r="E1855" t="s">
        <v>20</v>
      </c>
      <c r="F1855" t="s">
        <v>21</v>
      </c>
      <c r="G1855">
        <v>3.8</v>
      </c>
      <c r="H1855" t="s">
        <v>3937</v>
      </c>
      <c r="I1855" t="s">
        <v>309</v>
      </c>
      <c r="J1855" s="1" t="s">
        <v>307</v>
      </c>
      <c r="K1855" t="s">
        <v>181</v>
      </c>
      <c r="L1855" t="s">
        <v>3340</v>
      </c>
      <c r="M1855">
        <v>19</v>
      </c>
      <c r="N1855">
        <v>0.45</v>
      </c>
      <c r="O1855" t="s">
        <v>211</v>
      </c>
      <c r="P1855">
        <v>25</v>
      </c>
      <c r="R1855" t="s">
        <v>3403</v>
      </c>
      <c r="T1855" t="s">
        <v>3402</v>
      </c>
      <c r="U1855">
        <v>158</v>
      </c>
      <c r="V1855" t="s">
        <v>3957</v>
      </c>
    </row>
    <row r="1856" spans="1:22" ht="12.75" customHeight="1" x14ac:dyDescent="0.15">
      <c r="A1856">
        <v>20</v>
      </c>
      <c r="B1856">
        <v>2026</v>
      </c>
      <c r="C1856" s="25">
        <v>46158</v>
      </c>
      <c r="D1856" t="s">
        <v>115</v>
      </c>
      <c r="E1856" t="s">
        <v>116</v>
      </c>
      <c r="F1856" t="s">
        <v>21</v>
      </c>
      <c r="G1856">
        <v>2</v>
      </c>
      <c r="H1856" t="s">
        <v>3841</v>
      </c>
      <c r="I1856" t="s">
        <v>3842</v>
      </c>
      <c r="J1856" s="1" t="s">
        <v>3533</v>
      </c>
      <c r="K1856" t="s">
        <v>181</v>
      </c>
      <c r="L1856" t="s">
        <v>3333</v>
      </c>
      <c r="M1856">
        <v>3</v>
      </c>
      <c r="N1856">
        <v>1</v>
      </c>
      <c r="O1856" t="s">
        <v>3334</v>
      </c>
      <c r="P1856">
        <v>81.58</v>
      </c>
      <c r="Q1856">
        <v>8</v>
      </c>
      <c r="R1856" t="s">
        <v>3478</v>
      </c>
      <c r="T1856" t="s">
        <v>3402</v>
      </c>
      <c r="U1856">
        <v>-5</v>
      </c>
      <c r="V1856" t="s">
        <v>3456</v>
      </c>
    </row>
    <row r="1857" spans="1:22" ht="12.75" customHeight="1" x14ac:dyDescent="0.15">
      <c r="A1857">
        <v>20</v>
      </c>
      <c r="B1857">
        <v>2026</v>
      </c>
      <c r="C1857" s="25">
        <v>46158</v>
      </c>
      <c r="D1857" t="s">
        <v>19</v>
      </c>
      <c r="E1857" t="s">
        <v>20</v>
      </c>
      <c r="F1857" t="s">
        <v>21</v>
      </c>
      <c r="G1857">
        <v>3.8</v>
      </c>
      <c r="H1857" t="s">
        <v>3945</v>
      </c>
      <c r="I1857" t="s">
        <v>3686</v>
      </c>
      <c r="J1857" s="1" t="s">
        <v>3437</v>
      </c>
      <c r="K1857" t="s">
        <v>181</v>
      </c>
      <c r="L1857" t="s">
        <v>3333</v>
      </c>
      <c r="M1857">
        <v>4</v>
      </c>
      <c r="N1857">
        <v>0.69</v>
      </c>
      <c r="O1857" t="s">
        <v>3334</v>
      </c>
      <c r="P1857">
        <v>56.09</v>
      </c>
      <c r="Q1857">
        <v>5.5</v>
      </c>
      <c r="R1857" t="s">
        <v>3773</v>
      </c>
      <c r="T1857" t="s">
        <v>3402</v>
      </c>
      <c r="U1857">
        <v>158</v>
      </c>
      <c r="V1857" t="s">
        <v>3941</v>
      </c>
    </row>
    <row r="1858" spans="1:22" ht="12.75" customHeight="1" x14ac:dyDescent="0.15">
      <c r="A1858">
        <v>20</v>
      </c>
      <c r="B1858">
        <v>2026</v>
      </c>
      <c r="C1858" s="25">
        <v>46158</v>
      </c>
      <c r="D1858" t="s">
        <v>19</v>
      </c>
      <c r="E1858" t="s">
        <v>20</v>
      </c>
      <c r="F1858" t="s">
        <v>21</v>
      </c>
      <c r="G1858">
        <v>3.8</v>
      </c>
      <c r="H1858" t="s">
        <v>3945</v>
      </c>
      <c r="I1858" t="s">
        <v>3686</v>
      </c>
      <c r="J1858" s="1" t="s">
        <v>3437</v>
      </c>
      <c r="K1858" t="s">
        <v>181</v>
      </c>
      <c r="L1858" t="s">
        <v>3340</v>
      </c>
      <c r="M1858">
        <v>4</v>
      </c>
      <c r="N1858">
        <v>0.33</v>
      </c>
      <c r="O1858" t="s">
        <v>211</v>
      </c>
      <c r="P1858">
        <v>18</v>
      </c>
      <c r="Q1858">
        <v>2</v>
      </c>
      <c r="R1858" t="s">
        <v>3773</v>
      </c>
      <c r="T1858" t="s">
        <v>3402</v>
      </c>
      <c r="U1858">
        <v>158</v>
      </c>
      <c r="V1858" t="s">
        <v>3414</v>
      </c>
    </row>
    <row r="1859" spans="1:22" ht="12.75" customHeight="1" x14ac:dyDescent="0.15">
      <c r="A1859">
        <v>20</v>
      </c>
      <c r="B1859">
        <v>2026</v>
      </c>
      <c r="C1859" s="25">
        <v>46158</v>
      </c>
      <c r="D1859" t="s">
        <v>107</v>
      </c>
      <c r="E1859" t="s">
        <v>108</v>
      </c>
      <c r="F1859" t="s">
        <v>21</v>
      </c>
      <c r="G1859">
        <v>4.5</v>
      </c>
      <c r="H1859" t="s">
        <v>3836</v>
      </c>
      <c r="I1859" t="s">
        <v>3810</v>
      </c>
      <c r="J1859" s="1" t="s">
        <v>30</v>
      </c>
      <c r="K1859" t="s">
        <v>181</v>
      </c>
      <c r="L1859" t="s">
        <v>3333</v>
      </c>
      <c r="M1859">
        <v>86</v>
      </c>
      <c r="N1859">
        <v>0.38</v>
      </c>
      <c r="O1859" t="s">
        <v>3334</v>
      </c>
      <c r="P1859">
        <v>30.59</v>
      </c>
      <c r="Q1859">
        <v>3</v>
      </c>
      <c r="R1859" t="s">
        <v>3386</v>
      </c>
      <c r="T1859" t="s">
        <v>3402</v>
      </c>
      <c r="U1859">
        <v>1</v>
      </c>
      <c r="V1859" t="s">
        <v>3816</v>
      </c>
    </row>
    <row r="1860" spans="1:22" ht="12.75" customHeight="1" x14ac:dyDescent="0.15">
      <c r="A1860">
        <v>20</v>
      </c>
      <c r="B1860">
        <v>2026</v>
      </c>
      <c r="C1860" s="25">
        <v>46158</v>
      </c>
      <c r="D1860" t="s">
        <v>115</v>
      </c>
      <c r="E1860" t="s">
        <v>116</v>
      </c>
      <c r="F1860" t="s">
        <v>21</v>
      </c>
      <c r="G1860">
        <v>2</v>
      </c>
      <c r="H1860" t="s">
        <v>3841</v>
      </c>
      <c r="I1860" t="s">
        <v>3842</v>
      </c>
      <c r="J1860" s="1" t="s">
        <v>3533</v>
      </c>
      <c r="K1860" t="s">
        <v>181</v>
      </c>
      <c r="L1860" t="s">
        <v>3333</v>
      </c>
      <c r="M1860">
        <v>86</v>
      </c>
      <c r="N1860">
        <v>0.63</v>
      </c>
      <c r="O1860" t="s">
        <v>3334</v>
      </c>
      <c r="P1860">
        <v>50.99</v>
      </c>
      <c r="Q1860">
        <v>5</v>
      </c>
      <c r="R1860" t="s">
        <v>3386</v>
      </c>
      <c r="T1860" t="s">
        <v>3402</v>
      </c>
      <c r="U1860">
        <v>-5</v>
      </c>
      <c r="V1860" t="s">
        <v>3500</v>
      </c>
    </row>
    <row r="1861" spans="1:22" ht="12.75" customHeight="1" x14ac:dyDescent="0.15">
      <c r="A1861">
        <v>20</v>
      </c>
      <c r="B1861">
        <v>2026</v>
      </c>
      <c r="C1861" s="25">
        <v>46159</v>
      </c>
      <c r="D1861" t="s">
        <v>19</v>
      </c>
      <c r="E1861" t="s">
        <v>20</v>
      </c>
      <c r="F1861" t="s">
        <v>21</v>
      </c>
      <c r="G1861">
        <v>3.8</v>
      </c>
      <c r="H1861" t="s">
        <v>3937</v>
      </c>
      <c r="I1861" t="s">
        <v>309</v>
      </c>
      <c r="J1861" s="1" t="s">
        <v>307</v>
      </c>
      <c r="K1861" t="s">
        <v>181</v>
      </c>
      <c r="L1861" t="s">
        <v>3340</v>
      </c>
      <c r="M1861">
        <v>53</v>
      </c>
      <c r="N1861">
        <v>0.91</v>
      </c>
      <c r="O1861" t="s">
        <v>211</v>
      </c>
      <c r="P1861">
        <v>50</v>
      </c>
      <c r="R1861" t="s">
        <v>3373</v>
      </c>
      <c r="T1861" t="s">
        <v>3337</v>
      </c>
      <c r="U1861">
        <v>159</v>
      </c>
      <c r="V1861" t="s">
        <v>3459</v>
      </c>
    </row>
    <row r="1862" spans="1:22" ht="12.75" customHeight="1" x14ac:dyDescent="0.15">
      <c r="A1862">
        <v>20</v>
      </c>
      <c r="B1862">
        <v>2026</v>
      </c>
      <c r="C1862" s="25">
        <v>46159</v>
      </c>
      <c r="D1862" t="s">
        <v>19</v>
      </c>
      <c r="E1862" t="s">
        <v>20</v>
      </c>
      <c r="F1862" t="s">
        <v>21</v>
      </c>
      <c r="G1862">
        <v>3.8</v>
      </c>
      <c r="H1862" t="s">
        <v>3937</v>
      </c>
      <c r="I1862" t="s">
        <v>309</v>
      </c>
      <c r="J1862" s="1" t="s">
        <v>307</v>
      </c>
      <c r="K1862" t="s">
        <v>181</v>
      </c>
      <c r="L1862" t="s">
        <v>3340</v>
      </c>
      <c r="M1862">
        <v>45</v>
      </c>
      <c r="N1862">
        <v>0.91</v>
      </c>
      <c r="O1862" t="s">
        <v>211</v>
      </c>
      <c r="P1862">
        <v>50</v>
      </c>
      <c r="R1862" t="s">
        <v>3377</v>
      </c>
      <c r="T1862" t="s">
        <v>3337</v>
      </c>
      <c r="U1862">
        <v>159</v>
      </c>
      <c r="V1862" t="s">
        <v>3459</v>
      </c>
    </row>
    <row r="1863" spans="1:22" ht="12.75" customHeight="1" x14ac:dyDescent="0.15">
      <c r="A1863">
        <v>20</v>
      </c>
      <c r="B1863">
        <v>2026</v>
      </c>
      <c r="C1863" s="25">
        <v>46159</v>
      </c>
      <c r="D1863" t="s">
        <v>19</v>
      </c>
      <c r="E1863" t="s">
        <v>20</v>
      </c>
      <c r="F1863" t="s">
        <v>21</v>
      </c>
      <c r="G1863">
        <v>3.8</v>
      </c>
      <c r="H1863" t="s">
        <v>3937</v>
      </c>
      <c r="I1863" t="s">
        <v>309</v>
      </c>
      <c r="J1863" s="1" t="s">
        <v>307</v>
      </c>
      <c r="K1863" t="s">
        <v>181</v>
      </c>
      <c r="L1863" t="s">
        <v>3340</v>
      </c>
      <c r="M1863">
        <v>62</v>
      </c>
      <c r="N1863">
        <v>1</v>
      </c>
      <c r="O1863" t="s">
        <v>211</v>
      </c>
      <c r="P1863">
        <v>55</v>
      </c>
      <c r="R1863" t="s">
        <v>3375</v>
      </c>
      <c r="T1863" t="s">
        <v>3337</v>
      </c>
      <c r="U1863">
        <v>159</v>
      </c>
      <c r="V1863" t="s">
        <v>3362</v>
      </c>
    </row>
    <row r="1864" spans="1:22" ht="12.75" customHeight="1" x14ac:dyDescent="0.15">
      <c r="A1864">
        <v>20</v>
      </c>
      <c r="B1864">
        <v>2026</v>
      </c>
      <c r="C1864" s="25">
        <v>46159</v>
      </c>
      <c r="D1864" t="s">
        <v>19</v>
      </c>
      <c r="E1864" t="s">
        <v>20</v>
      </c>
      <c r="F1864" t="s">
        <v>21</v>
      </c>
      <c r="G1864">
        <v>3.8</v>
      </c>
      <c r="H1864" t="s">
        <v>3937</v>
      </c>
      <c r="I1864" t="s">
        <v>309</v>
      </c>
      <c r="J1864" s="1" t="s">
        <v>307</v>
      </c>
      <c r="K1864" t="s">
        <v>181</v>
      </c>
      <c r="L1864" t="s">
        <v>3340</v>
      </c>
      <c r="M1864">
        <v>58</v>
      </c>
      <c r="N1864">
        <v>1.0900000000000001</v>
      </c>
      <c r="O1864" t="s">
        <v>211</v>
      </c>
      <c r="P1864">
        <v>60</v>
      </c>
      <c r="R1864" t="s">
        <v>3343</v>
      </c>
      <c r="T1864" t="s">
        <v>3337</v>
      </c>
      <c r="U1864">
        <v>159</v>
      </c>
      <c r="V1864" t="s">
        <v>3958</v>
      </c>
    </row>
    <row r="1865" spans="1:22" ht="12.75" customHeight="1" x14ac:dyDescent="0.15">
      <c r="A1865">
        <v>20</v>
      </c>
      <c r="B1865">
        <v>2026</v>
      </c>
      <c r="C1865" s="25">
        <v>46159</v>
      </c>
      <c r="D1865" t="s">
        <v>19</v>
      </c>
      <c r="E1865" t="s">
        <v>20</v>
      </c>
      <c r="F1865" t="s">
        <v>21</v>
      </c>
      <c r="G1865">
        <v>3.8</v>
      </c>
      <c r="H1865" t="s">
        <v>3937</v>
      </c>
      <c r="I1865" t="s">
        <v>309</v>
      </c>
      <c r="J1865" s="1" t="s">
        <v>307</v>
      </c>
      <c r="K1865" t="s">
        <v>181</v>
      </c>
      <c r="L1865" t="s">
        <v>3340</v>
      </c>
      <c r="M1865">
        <v>81</v>
      </c>
      <c r="N1865">
        <v>1.18</v>
      </c>
      <c r="O1865" t="s">
        <v>211</v>
      </c>
      <c r="P1865">
        <v>65</v>
      </c>
      <c r="R1865" t="s">
        <v>3374</v>
      </c>
      <c r="T1865" t="s">
        <v>3337</v>
      </c>
      <c r="U1865">
        <v>159</v>
      </c>
      <c r="V1865" t="s">
        <v>3435</v>
      </c>
    </row>
    <row r="1866" spans="1:22" ht="12.75" customHeight="1" x14ac:dyDescent="0.15">
      <c r="A1866">
        <v>20</v>
      </c>
      <c r="B1866">
        <v>2026</v>
      </c>
      <c r="C1866" s="25">
        <v>46159</v>
      </c>
      <c r="D1866" t="s">
        <v>107</v>
      </c>
      <c r="E1866" t="s">
        <v>108</v>
      </c>
      <c r="F1866" t="s">
        <v>21</v>
      </c>
      <c r="G1866">
        <v>4.5</v>
      </c>
      <c r="H1866" t="s">
        <v>3505</v>
      </c>
      <c r="I1866" t="s">
        <v>29</v>
      </c>
      <c r="J1866" s="1" t="s">
        <v>30</v>
      </c>
      <c r="K1866" t="s">
        <v>181</v>
      </c>
      <c r="L1866" t="s">
        <v>23</v>
      </c>
      <c r="M1866">
        <v>198</v>
      </c>
      <c r="P1866">
        <v>5850</v>
      </c>
      <c r="R1866" t="s">
        <v>3746</v>
      </c>
      <c r="S1866" t="s">
        <v>3959</v>
      </c>
      <c r="T1866" t="s">
        <v>3337</v>
      </c>
      <c r="U1866">
        <v>2</v>
      </c>
      <c r="V1866" t="s">
        <v>198</v>
      </c>
    </row>
    <row r="1867" spans="1:22" ht="12.75" customHeight="1" x14ac:dyDescent="0.15">
      <c r="A1867">
        <v>20</v>
      </c>
      <c r="B1867">
        <v>2026</v>
      </c>
      <c r="C1867" s="25">
        <v>46159</v>
      </c>
      <c r="D1867" t="s">
        <v>19</v>
      </c>
      <c r="E1867" t="s">
        <v>20</v>
      </c>
      <c r="F1867" t="s">
        <v>21</v>
      </c>
      <c r="G1867">
        <v>3.8</v>
      </c>
      <c r="H1867" t="s">
        <v>3937</v>
      </c>
      <c r="I1867" t="s">
        <v>309</v>
      </c>
      <c r="J1867" s="1" t="s">
        <v>307</v>
      </c>
      <c r="K1867" t="s">
        <v>181</v>
      </c>
      <c r="L1867" t="s">
        <v>3340</v>
      </c>
      <c r="M1867">
        <v>78</v>
      </c>
      <c r="N1867">
        <v>0.84</v>
      </c>
      <c r="O1867" t="s">
        <v>211</v>
      </c>
      <c r="P1867">
        <v>46</v>
      </c>
      <c r="R1867" t="s">
        <v>3341</v>
      </c>
      <c r="T1867" t="s">
        <v>3402</v>
      </c>
      <c r="U1867">
        <v>159</v>
      </c>
      <c r="V1867" t="s">
        <v>3960</v>
      </c>
    </row>
    <row r="1868" spans="1:22" ht="12.75" customHeight="1" x14ac:dyDescent="0.15">
      <c r="A1868">
        <v>20</v>
      </c>
      <c r="B1868">
        <v>2026</v>
      </c>
      <c r="C1868" s="25">
        <v>46159</v>
      </c>
      <c r="D1868" t="s">
        <v>19</v>
      </c>
      <c r="E1868" t="s">
        <v>20</v>
      </c>
      <c r="F1868" t="s">
        <v>21</v>
      </c>
      <c r="G1868">
        <v>3.8</v>
      </c>
      <c r="H1868" t="s">
        <v>3937</v>
      </c>
      <c r="I1868" t="s">
        <v>309</v>
      </c>
      <c r="J1868" s="1" t="s">
        <v>307</v>
      </c>
      <c r="K1868" t="s">
        <v>181</v>
      </c>
      <c r="L1868" t="s">
        <v>3340</v>
      </c>
      <c r="M1868">
        <v>67</v>
      </c>
      <c r="N1868">
        <v>1.67</v>
      </c>
      <c r="O1868" t="s">
        <v>211</v>
      </c>
      <c r="P1868">
        <v>92</v>
      </c>
      <c r="R1868" t="s">
        <v>3404</v>
      </c>
      <c r="T1868" t="s">
        <v>3402</v>
      </c>
      <c r="U1868">
        <v>159</v>
      </c>
      <c r="V1868" t="s">
        <v>3961</v>
      </c>
    </row>
    <row r="1869" spans="1:22" ht="12.75" customHeight="1" x14ac:dyDescent="0.15">
      <c r="A1869">
        <v>20</v>
      </c>
      <c r="B1869">
        <v>2026</v>
      </c>
      <c r="C1869" s="25">
        <v>46159</v>
      </c>
      <c r="D1869" t="s">
        <v>19</v>
      </c>
      <c r="E1869" t="s">
        <v>20</v>
      </c>
      <c r="F1869" t="s">
        <v>21</v>
      </c>
      <c r="G1869">
        <v>3.8</v>
      </c>
      <c r="H1869" t="s">
        <v>3945</v>
      </c>
      <c r="I1869" t="s">
        <v>3686</v>
      </c>
      <c r="J1869" s="1" t="s">
        <v>3437</v>
      </c>
      <c r="K1869" t="s">
        <v>181</v>
      </c>
      <c r="L1869" t="s">
        <v>3340</v>
      </c>
      <c r="M1869">
        <v>4</v>
      </c>
      <c r="N1869">
        <v>0.98</v>
      </c>
      <c r="O1869" t="s">
        <v>211</v>
      </c>
      <c r="P1869">
        <v>54</v>
      </c>
      <c r="Q1869">
        <v>6</v>
      </c>
      <c r="R1869" t="s">
        <v>3773</v>
      </c>
      <c r="S1869" t="s">
        <v>3962</v>
      </c>
      <c r="T1869" t="s">
        <v>3402</v>
      </c>
      <c r="U1869">
        <v>159</v>
      </c>
      <c r="V1869" t="s">
        <v>3411</v>
      </c>
    </row>
    <row r="1870" spans="1:22" ht="12.75" customHeight="1" x14ac:dyDescent="0.15">
      <c r="A1870">
        <v>20</v>
      </c>
      <c r="B1870">
        <v>2026</v>
      </c>
      <c r="C1870" s="25">
        <v>46159</v>
      </c>
      <c r="D1870" t="s">
        <v>19</v>
      </c>
      <c r="E1870" t="s">
        <v>20</v>
      </c>
      <c r="F1870" t="s">
        <v>21</v>
      </c>
      <c r="G1870">
        <v>3.8</v>
      </c>
      <c r="H1870" t="s">
        <v>3963</v>
      </c>
      <c r="I1870" t="s">
        <v>3964</v>
      </c>
      <c r="J1870" s="1" t="s">
        <v>307</v>
      </c>
      <c r="K1870" t="s">
        <v>181</v>
      </c>
      <c r="L1870" t="s">
        <v>3340</v>
      </c>
      <c r="M1870">
        <v>80</v>
      </c>
      <c r="N1870">
        <v>0.33</v>
      </c>
      <c r="O1870" t="s">
        <v>211</v>
      </c>
      <c r="P1870">
        <v>18</v>
      </c>
      <c r="Q1870">
        <v>2</v>
      </c>
      <c r="R1870" t="s">
        <v>3560</v>
      </c>
      <c r="T1870" t="s">
        <v>3402</v>
      </c>
      <c r="U1870">
        <v>159</v>
      </c>
      <c r="V1870" t="s">
        <v>3414</v>
      </c>
    </row>
    <row r="1871" spans="1:22" ht="12.75" customHeight="1" x14ac:dyDescent="0.15">
      <c r="A1871">
        <v>20</v>
      </c>
      <c r="B1871">
        <v>2026</v>
      </c>
      <c r="C1871" s="25">
        <v>46159</v>
      </c>
      <c r="D1871" t="s">
        <v>19</v>
      </c>
      <c r="E1871" t="s">
        <v>20</v>
      </c>
      <c r="F1871" t="s">
        <v>21</v>
      </c>
      <c r="G1871">
        <v>3.8</v>
      </c>
      <c r="H1871" t="s">
        <v>3965</v>
      </c>
      <c r="I1871" t="s">
        <v>3964</v>
      </c>
      <c r="J1871" s="1" t="s">
        <v>307</v>
      </c>
      <c r="K1871" t="s">
        <v>2666</v>
      </c>
      <c r="L1871" t="s">
        <v>3587</v>
      </c>
      <c r="N1871">
        <v>1.94</v>
      </c>
      <c r="O1871" t="s">
        <v>3838</v>
      </c>
      <c r="P1871">
        <v>41.46</v>
      </c>
      <c r="T1871" t="s">
        <v>3402</v>
      </c>
      <c r="U1871">
        <v>159</v>
      </c>
      <c r="V1871" t="s">
        <v>3966</v>
      </c>
    </row>
    <row r="1872" spans="1:22" ht="12.75" customHeight="1" x14ac:dyDescent="0.15">
      <c r="A1872">
        <v>20</v>
      </c>
      <c r="B1872">
        <v>2026</v>
      </c>
      <c r="C1872" s="25">
        <v>46160</v>
      </c>
      <c r="D1872" t="s">
        <v>91</v>
      </c>
      <c r="E1872" t="s">
        <v>92</v>
      </c>
      <c r="F1872" t="s">
        <v>21</v>
      </c>
      <c r="G1872">
        <v>1.3</v>
      </c>
      <c r="H1872" t="s">
        <v>3519</v>
      </c>
      <c r="I1872" t="s">
        <v>214</v>
      </c>
      <c r="J1872" s="1" t="s">
        <v>215</v>
      </c>
      <c r="K1872" t="s">
        <v>181</v>
      </c>
      <c r="L1872" t="s">
        <v>3340</v>
      </c>
      <c r="M1872">
        <v>53</v>
      </c>
      <c r="N1872">
        <v>0.22</v>
      </c>
      <c r="O1872" t="s">
        <v>211</v>
      </c>
      <c r="P1872">
        <v>12</v>
      </c>
      <c r="R1872" t="s">
        <v>3373</v>
      </c>
      <c r="S1872" t="s">
        <v>3967</v>
      </c>
      <c r="T1872" t="s">
        <v>3337</v>
      </c>
      <c r="U1872">
        <v>30</v>
      </c>
      <c r="V1872" t="s">
        <v>3968</v>
      </c>
    </row>
    <row r="1873" spans="1:22" ht="12.75" customHeight="1" x14ac:dyDescent="0.15">
      <c r="A1873">
        <v>20</v>
      </c>
      <c r="B1873">
        <v>2026</v>
      </c>
      <c r="C1873" s="25">
        <v>46160</v>
      </c>
      <c r="D1873" t="s">
        <v>91</v>
      </c>
      <c r="E1873" t="s">
        <v>92</v>
      </c>
      <c r="F1873" t="s">
        <v>21</v>
      </c>
      <c r="G1873">
        <v>1.3</v>
      </c>
      <c r="H1873" t="s">
        <v>3519</v>
      </c>
      <c r="I1873" t="s">
        <v>214</v>
      </c>
      <c r="J1873" s="1" t="s">
        <v>215</v>
      </c>
      <c r="K1873" t="s">
        <v>181</v>
      </c>
      <c r="L1873" t="s">
        <v>3340</v>
      </c>
      <c r="M1873">
        <v>45</v>
      </c>
      <c r="N1873">
        <v>0.22</v>
      </c>
      <c r="O1873" t="s">
        <v>211</v>
      </c>
      <c r="P1873">
        <v>12</v>
      </c>
      <c r="R1873" t="s">
        <v>3377</v>
      </c>
      <c r="T1873" t="s">
        <v>3337</v>
      </c>
      <c r="U1873">
        <v>30</v>
      </c>
      <c r="V1873" t="s">
        <v>3968</v>
      </c>
    </row>
    <row r="1874" spans="1:22" ht="12.75" customHeight="1" x14ac:dyDescent="0.15">
      <c r="A1874">
        <v>20</v>
      </c>
      <c r="B1874">
        <v>2026</v>
      </c>
      <c r="C1874" s="25">
        <v>46160</v>
      </c>
      <c r="D1874" t="s">
        <v>91</v>
      </c>
      <c r="E1874" t="s">
        <v>92</v>
      </c>
      <c r="F1874" t="s">
        <v>21</v>
      </c>
      <c r="G1874">
        <v>1.3</v>
      </c>
      <c r="H1874" t="s">
        <v>3519</v>
      </c>
      <c r="I1874" t="s">
        <v>214</v>
      </c>
      <c r="J1874" s="1" t="s">
        <v>215</v>
      </c>
      <c r="K1874" t="s">
        <v>181</v>
      </c>
      <c r="L1874" t="s">
        <v>3340</v>
      </c>
      <c r="M1874">
        <v>62</v>
      </c>
      <c r="N1874">
        <v>0.22</v>
      </c>
      <c r="O1874" t="s">
        <v>211</v>
      </c>
      <c r="P1874">
        <v>12</v>
      </c>
      <c r="R1874" t="s">
        <v>3375</v>
      </c>
      <c r="T1874" t="s">
        <v>3337</v>
      </c>
      <c r="U1874">
        <v>30</v>
      </c>
      <c r="V1874" t="s">
        <v>3968</v>
      </c>
    </row>
    <row r="1875" spans="1:22" ht="12.75" customHeight="1" x14ac:dyDescent="0.15">
      <c r="A1875">
        <v>20</v>
      </c>
      <c r="B1875">
        <v>2026</v>
      </c>
      <c r="C1875" s="25">
        <v>46160</v>
      </c>
      <c r="D1875" t="s">
        <v>91</v>
      </c>
      <c r="E1875" t="s">
        <v>92</v>
      </c>
      <c r="F1875" t="s">
        <v>21</v>
      </c>
      <c r="G1875">
        <v>1.3</v>
      </c>
      <c r="H1875" t="s">
        <v>3519</v>
      </c>
      <c r="I1875" t="s">
        <v>214</v>
      </c>
      <c r="J1875" s="1" t="s">
        <v>215</v>
      </c>
      <c r="K1875" t="s">
        <v>181</v>
      </c>
      <c r="L1875" t="s">
        <v>3340</v>
      </c>
      <c r="M1875">
        <v>58</v>
      </c>
      <c r="N1875">
        <v>0.22</v>
      </c>
      <c r="O1875" t="s">
        <v>211</v>
      </c>
      <c r="P1875">
        <v>12</v>
      </c>
      <c r="R1875" t="s">
        <v>3343</v>
      </c>
      <c r="T1875" t="s">
        <v>3337</v>
      </c>
      <c r="U1875">
        <v>30</v>
      </c>
      <c r="V1875" t="s">
        <v>3968</v>
      </c>
    </row>
    <row r="1876" spans="1:22" ht="12.75" customHeight="1" x14ac:dyDescent="0.15">
      <c r="A1876">
        <v>20</v>
      </c>
      <c r="B1876">
        <v>2026</v>
      </c>
      <c r="C1876" s="25">
        <v>46160</v>
      </c>
      <c r="D1876" t="s">
        <v>91</v>
      </c>
      <c r="E1876" t="s">
        <v>92</v>
      </c>
      <c r="F1876" t="s">
        <v>21</v>
      </c>
      <c r="G1876">
        <v>1.3</v>
      </c>
      <c r="H1876" t="s">
        <v>3519</v>
      </c>
      <c r="I1876" t="s">
        <v>214</v>
      </c>
      <c r="J1876" s="1" t="s">
        <v>215</v>
      </c>
      <c r="K1876" t="s">
        <v>181</v>
      </c>
      <c r="L1876" t="s">
        <v>3340</v>
      </c>
      <c r="M1876">
        <v>81</v>
      </c>
      <c r="N1876">
        <v>0.22</v>
      </c>
      <c r="O1876" t="s">
        <v>211</v>
      </c>
      <c r="P1876">
        <v>12</v>
      </c>
      <c r="R1876" t="s">
        <v>3374</v>
      </c>
      <c r="T1876" t="s">
        <v>3337</v>
      </c>
      <c r="U1876">
        <v>30</v>
      </c>
      <c r="V1876" t="s">
        <v>3968</v>
      </c>
    </row>
    <row r="1877" spans="1:22" ht="12.75" customHeight="1" x14ac:dyDescent="0.15">
      <c r="A1877">
        <v>20</v>
      </c>
      <c r="B1877">
        <v>2026</v>
      </c>
      <c r="C1877" s="25">
        <v>46160</v>
      </c>
      <c r="D1877" t="s">
        <v>91</v>
      </c>
      <c r="E1877" t="s">
        <v>92</v>
      </c>
      <c r="F1877" t="s">
        <v>21</v>
      </c>
      <c r="G1877">
        <v>1.3</v>
      </c>
      <c r="H1877" t="s">
        <v>3519</v>
      </c>
      <c r="I1877" t="s">
        <v>214</v>
      </c>
      <c r="J1877" s="1" t="s">
        <v>215</v>
      </c>
      <c r="K1877" t="s">
        <v>181</v>
      </c>
      <c r="L1877" t="s">
        <v>3340</v>
      </c>
      <c r="M1877">
        <v>132</v>
      </c>
      <c r="N1877">
        <v>0.22</v>
      </c>
      <c r="O1877" t="s">
        <v>211</v>
      </c>
      <c r="P1877">
        <v>12</v>
      </c>
      <c r="R1877" t="s">
        <v>3368</v>
      </c>
      <c r="T1877" t="s">
        <v>3337</v>
      </c>
      <c r="U1877">
        <v>30</v>
      </c>
      <c r="V1877" t="s">
        <v>3968</v>
      </c>
    </row>
    <row r="1878" spans="1:22" ht="12.75" customHeight="1" x14ac:dyDescent="0.15">
      <c r="A1878">
        <v>20</v>
      </c>
      <c r="B1878">
        <v>2026</v>
      </c>
      <c r="C1878" s="25">
        <v>46160</v>
      </c>
      <c r="D1878" t="s">
        <v>73</v>
      </c>
      <c r="E1878" t="s">
        <v>74</v>
      </c>
      <c r="F1878" t="s">
        <v>75</v>
      </c>
      <c r="G1878">
        <v>2.2999999999999998</v>
      </c>
      <c r="H1878" t="s">
        <v>3519</v>
      </c>
      <c r="I1878" t="s">
        <v>214</v>
      </c>
      <c r="J1878" s="1" t="s">
        <v>215</v>
      </c>
      <c r="K1878" t="s">
        <v>181</v>
      </c>
      <c r="L1878" t="s">
        <v>3340</v>
      </c>
      <c r="M1878">
        <v>53</v>
      </c>
      <c r="N1878">
        <v>0.36</v>
      </c>
      <c r="O1878" t="s">
        <v>211</v>
      </c>
      <c r="P1878">
        <v>20</v>
      </c>
      <c r="R1878" t="s">
        <v>3373</v>
      </c>
      <c r="S1878" t="s">
        <v>3969</v>
      </c>
      <c r="T1878" t="s">
        <v>3337</v>
      </c>
      <c r="U1878">
        <v>30</v>
      </c>
      <c r="V1878" t="s">
        <v>3824</v>
      </c>
    </row>
    <row r="1879" spans="1:22" ht="12.75" customHeight="1" x14ac:dyDescent="0.15">
      <c r="A1879">
        <v>20</v>
      </c>
      <c r="B1879">
        <v>2026</v>
      </c>
      <c r="C1879" s="25">
        <v>46160</v>
      </c>
      <c r="D1879" t="s">
        <v>73</v>
      </c>
      <c r="E1879" t="s">
        <v>74</v>
      </c>
      <c r="F1879" t="s">
        <v>75</v>
      </c>
      <c r="G1879">
        <v>2.2999999999999998</v>
      </c>
      <c r="H1879" t="s">
        <v>3519</v>
      </c>
      <c r="I1879" t="s">
        <v>214</v>
      </c>
      <c r="J1879" s="1" t="s">
        <v>215</v>
      </c>
      <c r="K1879" t="s">
        <v>181</v>
      </c>
      <c r="L1879" t="s">
        <v>3340</v>
      </c>
      <c r="M1879">
        <v>45</v>
      </c>
      <c r="N1879">
        <v>0.36</v>
      </c>
      <c r="O1879" t="s">
        <v>211</v>
      </c>
      <c r="P1879">
        <v>20</v>
      </c>
      <c r="R1879" t="s">
        <v>3377</v>
      </c>
      <c r="T1879" t="s">
        <v>3337</v>
      </c>
      <c r="U1879">
        <v>30</v>
      </c>
      <c r="V1879" t="s">
        <v>3824</v>
      </c>
    </row>
    <row r="1880" spans="1:22" ht="12.75" customHeight="1" x14ac:dyDescent="0.15">
      <c r="A1880">
        <v>20</v>
      </c>
      <c r="B1880">
        <v>2026</v>
      </c>
      <c r="C1880" s="25">
        <v>46160</v>
      </c>
      <c r="D1880" t="s">
        <v>73</v>
      </c>
      <c r="E1880" t="s">
        <v>74</v>
      </c>
      <c r="F1880" t="s">
        <v>75</v>
      </c>
      <c r="G1880">
        <v>2.2999999999999998</v>
      </c>
      <c r="H1880" t="s">
        <v>3519</v>
      </c>
      <c r="I1880" t="s">
        <v>214</v>
      </c>
      <c r="J1880" s="1" t="s">
        <v>215</v>
      </c>
      <c r="K1880" t="s">
        <v>181</v>
      </c>
      <c r="L1880" t="s">
        <v>3340</v>
      </c>
      <c r="M1880">
        <v>62</v>
      </c>
      <c r="N1880">
        <v>0.36</v>
      </c>
      <c r="O1880" t="s">
        <v>211</v>
      </c>
      <c r="P1880">
        <v>20</v>
      </c>
      <c r="R1880" t="s">
        <v>3375</v>
      </c>
      <c r="T1880" t="s">
        <v>3337</v>
      </c>
      <c r="U1880">
        <v>30</v>
      </c>
      <c r="V1880" t="s">
        <v>3824</v>
      </c>
    </row>
    <row r="1881" spans="1:22" ht="12.75" customHeight="1" x14ac:dyDescent="0.15">
      <c r="A1881">
        <v>20</v>
      </c>
      <c r="B1881">
        <v>2026</v>
      </c>
      <c r="C1881" s="25">
        <v>46160</v>
      </c>
      <c r="D1881" t="s">
        <v>73</v>
      </c>
      <c r="E1881" t="s">
        <v>74</v>
      </c>
      <c r="F1881" t="s">
        <v>75</v>
      </c>
      <c r="G1881">
        <v>2.2999999999999998</v>
      </c>
      <c r="H1881" t="s">
        <v>3519</v>
      </c>
      <c r="I1881" t="s">
        <v>214</v>
      </c>
      <c r="J1881" s="1" t="s">
        <v>215</v>
      </c>
      <c r="K1881" t="s">
        <v>181</v>
      </c>
      <c r="L1881" t="s">
        <v>3340</v>
      </c>
      <c r="M1881">
        <v>58</v>
      </c>
      <c r="N1881">
        <v>0.36</v>
      </c>
      <c r="O1881" t="s">
        <v>211</v>
      </c>
      <c r="P1881">
        <v>20</v>
      </c>
      <c r="R1881" t="s">
        <v>3343</v>
      </c>
      <c r="T1881" t="s">
        <v>3337</v>
      </c>
      <c r="U1881">
        <v>30</v>
      </c>
      <c r="V1881" t="s">
        <v>3824</v>
      </c>
    </row>
    <row r="1882" spans="1:22" ht="12.75" customHeight="1" x14ac:dyDescent="0.15">
      <c r="A1882">
        <v>20</v>
      </c>
      <c r="B1882">
        <v>2026</v>
      </c>
      <c r="C1882" s="25">
        <v>46160</v>
      </c>
      <c r="D1882" t="s">
        <v>73</v>
      </c>
      <c r="E1882" t="s">
        <v>74</v>
      </c>
      <c r="F1882" t="s">
        <v>75</v>
      </c>
      <c r="G1882">
        <v>2.2999999999999998</v>
      </c>
      <c r="H1882" t="s">
        <v>3519</v>
      </c>
      <c r="I1882" t="s">
        <v>214</v>
      </c>
      <c r="J1882" s="1" t="s">
        <v>215</v>
      </c>
      <c r="K1882" t="s">
        <v>181</v>
      </c>
      <c r="L1882" t="s">
        <v>3340</v>
      </c>
      <c r="M1882">
        <v>81</v>
      </c>
      <c r="N1882">
        <v>0.36</v>
      </c>
      <c r="O1882" t="s">
        <v>211</v>
      </c>
      <c r="P1882">
        <v>20</v>
      </c>
      <c r="R1882" t="s">
        <v>3374</v>
      </c>
      <c r="T1882" t="s">
        <v>3337</v>
      </c>
      <c r="U1882">
        <v>30</v>
      </c>
      <c r="V1882" t="s">
        <v>3824</v>
      </c>
    </row>
    <row r="1883" spans="1:22" ht="12.75" customHeight="1" x14ac:dyDescent="0.15">
      <c r="A1883">
        <v>20</v>
      </c>
      <c r="B1883">
        <v>2026</v>
      </c>
      <c r="C1883" s="25">
        <v>46160</v>
      </c>
      <c r="D1883" t="s">
        <v>73</v>
      </c>
      <c r="E1883" t="s">
        <v>74</v>
      </c>
      <c r="F1883" t="s">
        <v>75</v>
      </c>
      <c r="G1883">
        <v>2.2999999999999998</v>
      </c>
      <c r="H1883" t="s">
        <v>3519</v>
      </c>
      <c r="I1883" t="s">
        <v>214</v>
      </c>
      <c r="J1883" s="1" t="s">
        <v>215</v>
      </c>
      <c r="K1883" t="s">
        <v>181</v>
      </c>
      <c r="L1883" t="s">
        <v>3340</v>
      </c>
      <c r="M1883">
        <v>132</v>
      </c>
      <c r="N1883">
        <v>0.36</v>
      </c>
      <c r="O1883" t="s">
        <v>211</v>
      </c>
      <c r="P1883">
        <v>20</v>
      </c>
      <c r="R1883" t="s">
        <v>3368</v>
      </c>
      <c r="T1883" t="s">
        <v>3337</v>
      </c>
      <c r="U1883">
        <v>30</v>
      </c>
      <c r="V1883" t="s">
        <v>3824</v>
      </c>
    </row>
    <row r="1884" spans="1:22" ht="12.75" customHeight="1" x14ac:dyDescent="0.15">
      <c r="A1884">
        <v>20</v>
      </c>
      <c r="B1884">
        <v>2026</v>
      </c>
      <c r="C1884" s="25">
        <v>46160</v>
      </c>
      <c r="D1884" t="s">
        <v>89</v>
      </c>
      <c r="E1884" t="s">
        <v>90</v>
      </c>
      <c r="F1884" t="s">
        <v>21</v>
      </c>
      <c r="G1884">
        <v>1</v>
      </c>
      <c r="H1884" t="s">
        <v>3519</v>
      </c>
      <c r="I1884" t="s">
        <v>214</v>
      </c>
      <c r="J1884" s="1" t="s">
        <v>215</v>
      </c>
      <c r="K1884" t="s">
        <v>181</v>
      </c>
      <c r="L1884" t="s">
        <v>3340</v>
      </c>
      <c r="M1884">
        <v>53</v>
      </c>
      <c r="N1884">
        <v>0.24</v>
      </c>
      <c r="O1884" t="s">
        <v>211</v>
      </c>
      <c r="P1884">
        <v>13.3</v>
      </c>
      <c r="R1884" t="s">
        <v>3373</v>
      </c>
      <c r="S1884" t="s">
        <v>3970</v>
      </c>
      <c r="T1884" t="s">
        <v>3337</v>
      </c>
      <c r="U1884">
        <v>33</v>
      </c>
      <c r="V1884" t="s">
        <v>358</v>
      </c>
    </row>
    <row r="1885" spans="1:22" ht="12.75" customHeight="1" x14ac:dyDescent="0.15">
      <c r="A1885">
        <v>20</v>
      </c>
      <c r="B1885">
        <v>2026</v>
      </c>
      <c r="C1885" s="25">
        <v>46160</v>
      </c>
      <c r="D1885" t="s">
        <v>89</v>
      </c>
      <c r="E1885" t="s">
        <v>90</v>
      </c>
      <c r="F1885" t="s">
        <v>21</v>
      </c>
      <c r="G1885">
        <v>1</v>
      </c>
      <c r="H1885" t="s">
        <v>3519</v>
      </c>
      <c r="I1885" t="s">
        <v>214</v>
      </c>
      <c r="J1885" s="1" t="s">
        <v>215</v>
      </c>
      <c r="K1885" t="s">
        <v>181</v>
      </c>
      <c r="L1885" t="s">
        <v>3340</v>
      </c>
      <c r="M1885">
        <v>45</v>
      </c>
      <c r="N1885">
        <v>0.24</v>
      </c>
      <c r="O1885" t="s">
        <v>211</v>
      </c>
      <c r="P1885">
        <v>13.3</v>
      </c>
      <c r="R1885" t="s">
        <v>3377</v>
      </c>
      <c r="T1885" t="s">
        <v>3337</v>
      </c>
      <c r="U1885">
        <v>33</v>
      </c>
      <c r="V1885" t="s">
        <v>358</v>
      </c>
    </row>
    <row r="1886" spans="1:22" ht="12.75" customHeight="1" x14ac:dyDescent="0.15">
      <c r="A1886">
        <v>20</v>
      </c>
      <c r="B1886">
        <v>2026</v>
      </c>
      <c r="C1886" s="25">
        <v>46160</v>
      </c>
      <c r="D1886" t="s">
        <v>89</v>
      </c>
      <c r="E1886" t="s">
        <v>90</v>
      </c>
      <c r="F1886" t="s">
        <v>21</v>
      </c>
      <c r="G1886">
        <v>1</v>
      </c>
      <c r="H1886" t="s">
        <v>3519</v>
      </c>
      <c r="I1886" t="s">
        <v>214</v>
      </c>
      <c r="J1886" s="1" t="s">
        <v>215</v>
      </c>
      <c r="K1886" t="s">
        <v>181</v>
      </c>
      <c r="L1886" t="s">
        <v>3340</v>
      </c>
      <c r="M1886">
        <v>62</v>
      </c>
      <c r="N1886">
        <v>0.24</v>
      </c>
      <c r="O1886" t="s">
        <v>211</v>
      </c>
      <c r="P1886">
        <v>13.3</v>
      </c>
      <c r="R1886" t="s">
        <v>3375</v>
      </c>
      <c r="T1886" t="s">
        <v>3337</v>
      </c>
      <c r="U1886">
        <v>33</v>
      </c>
      <c r="V1886" t="s">
        <v>358</v>
      </c>
    </row>
    <row r="1887" spans="1:22" ht="12.75" customHeight="1" x14ac:dyDescent="0.15">
      <c r="A1887">
        <v>20</v>
      </c>
      <c r="B1887">
        <v>2026</v>
      </c>
      <c r="C1887" s="25">
        <v>46160</v>
      </c>
      <c r="D1887" t="s">
        <v>89</v>
      </c>
      <c r="E1887" t="s">
        <v>90</v>
      </c>
      <c r="F1887" t="s">
        <v>21</v>
      </c>
      <c r="G1887">
        <v>1</v>
      </c>
      <c r="H1887" t="s">
        <v>3519</v>
      </c>
      <c r="I1887" t="s">
        <v>214</v>
      </c>
      <c r="J1887" s="1" t="s">
        <v>215</v>
      </c>
      <c r="K1887" t="s">
        <v>181</v>
      </c>
      <c r="L1887" t="s">
        <v>3340</v>
      </c>
      <c r="M1887">
        <v>58</v>
      </c>
      <c r="N1887">
        <v>0.24</v>
      </c>
      <c r="O1887" t="s">
        <v>211</v>
      </c>
      <c r="P1887">
        <v>13.3</v>
      </c>
      <c r="R1887" t="s">
        <v>3343</v>
      </c>
      <c r="T1887" t="s">
        <v>3337</v>
      </c>
      <c r="U1887">
        <v>33</v>
      </c>
      <c r="V1887" t="s">
        <v>358</v>
      </c>
    </row>
    <row r="1888" spans="1:22" ht="12.75" customHeight="1" x14ac:dyDescent="0.15">
      <c r="A1888">
        <v>20</v>
      </c>
      <c r="B1888">
        <v>2026</v>
      </c>
      <c r="C1888" s="25">
        <v>46160</v>
      </c>
      <c r="D1888" t="s">
        <v>89</v>
      </c>
      <c r="E1888" t="s">
        <v>90</v>
      </c>
      <c r="F1888" t="s">
        <v>21</v>
      </c>
      <c r="G1888">
        <v>1</v>
      </c>
      <c r="H1888" t="s">
        <v>3519</v>
      </c>
      <c r="I1888" t="s">
        <v>214</v>
      </c>
      <c r="J1888" s="1" t="s">
        <v>215</v>
      </c>
      <c r="K1888" t="s">
        <v>181</v>
      </c>
      <c r="L1888" t="s">
        <v>3340</v>
      </c>
      <c r="M1888">
        <v>81</v>
      </c>
      <c r="N1888">
        <v>0.24</v>
      </c>
      <c r="O1888" t="s">
        <v>211</v>
      </c>
      <c r="P1888">
        <v>13.3</v>
      </c>
      <c r="R1888" t="s">
        <v>3374</v>
      </c>
      <c r="T1888" t="s">
        <v>3337</v>
      </c>
      <c r="U1888">
        <v>33</v>
      </c>
      <c r="V1888" t="s">
        <v>358</v>
      </c>
    </row>
    <row r="1889" spans="1:22" ht="12.75" customHeight="1" x14ac:dyDescent="0.15">
      <c r="A1889">
        <v>20</v>
      </c>
      <c r="B1889">
        <v>2026</v>
      </c>
      <c r="C1889" s="25">
        <v>46160</v>
      </c>
      <c r="D1889" t="s">
        <v>89</v>
      </c>
      <c r="E1889" t="s">
        <v>90</v>
      </c>
      <c r="F1889" t="s">
        <v>21</v>
      </c>
      <c r="G1889">
        <v>1</v>
      </c>
      <c r="H1889" t="s">
        <v>3519</v>
      </c>
      <c r="I1889" t="s">
        <v>214</v>
      </c>
      <c r="J1889" s="1" t="s">
        <v>215</v>
      </c>
      <c r="K1889" t="s">
        <v>181</v>
      </c>
      <c r="L1889" t="s">
        <v>3340</v>
      </c>
      <c r="M1889">
        <v>132</v>
      </c>
      <c r="N1889">
        <v>0.24</v>
      </c>
      <c r="O1889" t="s">
        <v>211</v>
      </c>
      <c r="P1889">
        <v>13.3</v>
      </c>
      <c r="R1889" t="s">
        <v>3368</v>
      </c>
      <c r="T1889" t="s">
        <v>3337</v>
      </c>
      <c r="U1889">
        <v>33</v>
      </c>
      <c r="V1889" t="s">
        <v>358</v>
      </c>
    </row>
    <row r="1890" spans="1:22" ht="12.75" customHeight="1" x14ac:dyDescent="0.15">
      <c r="A1890">
        <v>20</v>
      </c>
      <c r="B1890">
        <v>2026</v>
      </c>
      <c r="C1890" s="25">
        <v>46160</v>
      </c>
      <c r="D1890" t="s">
        <v>68</v>
      </c>
      <c r="E1890" t="s">
        <v>69</v>
      </c>
      <c r="F1890" t="s">
        <v>21</v>
      </c>
      <c r="G1890">
        <v>1</v>
      </c>
      <c r="H1890" t="s">
        <v>3514</v>
      </c>
      <c r="I1890" t="s">
        <v>366</v>
      </c>
      <c r="J1890" s="1" t="s">
        <v>215</v>
      </c>
      <c r="K1890" t="s">
        <v>181</v>
      </c>
      <c r="L1890" t="s">
        <v>3340</v>
      </c>
      <c r="M1890">
        <v>53</v>
      </c>
      <c r="N1890">
        <v>0.42</v>
      </c>
      <c r="O1890" t="s">
        <v>211</v>
      </c>
      <c r="P1890">
        <v>23.3</v>
      </c>
      <c r="R1890" t="s">
        <v>3373</v>
      </c>
      <c r="S1890" t="s">
        <v>3971</v>
      </c>
      <c r="T1890" t="s">
        <v>3337</v>
      </c>
      <c r="U1890">
        <v>46</v>
      </c>
      <c r="V1890" t="s">
        <v>3972</v>
      </c>
    </row>
    <row r="1891" spans="1:22" ht="12.75" customHeight="1" x14ac:dyDescent="0.15">
      <c r="A1891">
        <v>20</v>
      </c>
      <c r="B1891">
        <v>2026</v>
      </c>
      <c r="C1891" s="25">
        <v>46160</v>
      </c>
      <c r="D1891" t="s">
        <v>68</v>
      </c>
      <c r="E1891" t="s">
        <v>69</v>
      </c>
      <c r="F1891" t="s">
        <v>21</v>
      </c>
      <c r="G1891">
        <v>1</v>
      </c>
      <c r="H1891" t="s">
        <v>3514</v>
      </c>
      <c r="I1891" t="s">
        <v>366</v>
      </c>
      <c r="J1891" s="1" t="s">
        <v>215</v>
      </c>
      <c r="K1891" t="s">
        <v>181</v>
      </c>
      <c r="L1891" t="s">
        <v>3340</v>
      </c>
      <c r="M1891">
        <v>45</v>
      </c>
      <c r="N1891">
        <v>0.42</v>
      </c>
      <c r="O1891" t="s">
        <v>211</v>
      </c>
      <c r="P1891">
        <v>23.3</v>
      </c>
      <c r="R1891" t="s">
        <v>3377</v>
      </c>
      <c r="T1891" t="s">
        <v>3337</v>
      </c>
      <c r="U1891">
        <v>46</v>
      </c>
      <c r="V1891" t="s">
        <v>3972</v>
      </c>
    </row>
    <row r="1892" spans="1:22" ht="12.75" customHeight="1" x14ac:dyDescent="0.15">
      <c r="A1892">
        <v>20</v>
      </c>
      <c r="B1892">
        <v>2026</v>
      </c>
      <c r="C1892" s="25">
        <v>46160</v>
      </c>
      <c r="D1892" t="s">
        <v>68</v>
      </c>
      <c r="E1892" t="s">
        <v>69</v>
      </c>
      <c r="F1892" t="s">
        <v>21</v>
      </c>
      <c r="G1892">
        <v>1</v>
      </c>
      <c r="H1892" t="s">
        <v>3514</v>
      </c>
      <c r="I1892" t="s">
        <v>366</v>
      </c>
      <c r="J1892" s="1" t="s">
        <v>215</v>
      </c>
      <c r="K1892" t="s">
        <v>181</v>
      </c>
      <c r="L1892" t="s">
        <v>3340</v>
      </c>
      <c r="M1892">
        <v>62</v>
      </c>
      <c r="N1892">
        <v>0.42</v>
      </c>
      <c r="O1892" t="s">
        <v>211</v>
      </c>
      <c r="P1892">
        <v>23.3</v>
      </c>
      <c r="R1892" t="s">
        <v>3375</v>
      </c>
      <c r="T1892" t="s">
        <v>3337</v>
      </c>
      <c r="U1892">
        <v>46</v>
      </c>
      <c r="V1892" t="s">
        <v>3972</v>
      </c>
    </row>
    <row r="1893" spans="1:22" ht="12.75" customHeight="1" x14ac:dyDescent="0.15">
      <c r="A1893">
        <v>20</v>
      </c>
      <c r="B1893">
        <v>2026</v>
      </c>
      <c r="C1893" s="25">
        <v>46160</v>
      </c>
      <c r="D1893" t="s">
        <v>68</v>
      </c>
      <c r="E1893" t="s">
        <v>69</v>
      </c>
      <c r="F1893" t="s">
        <v>21</v>
      </c>
      <c r="G1893">
        <v>1</v>
      </c>
      <c r="H1893" t="s">
        <v>3514</v>
      </c>
      <c r="I1893" t="s">
        <v>366</v>
      </c>
      <c r="J1893" s="1" t="s">
        <v>215</v>
      </c>
      <c r="K1893" t="s">
        <v>181</v>
      </c>
      <c r="L1893" t="s">
        <v>3340</v>
      </c>
      <c r="M1893">
        <v>58</v>
      </c>
      <c r="N1893">
        <v>0.42</v>
      </c>
      <c r="O1893" t="s">
        <v>211</v>
      </c>
      <c r="P1893">
        <v>23.3</v>
      </c>
      <c r="R1893" t="s">
        <v>3343</v>
      </c>
      <c r="T1893" t="s">
        <v>3337</v>
      </c>
      <c r="U1893">
        <v>46</v>
      </c>
      <c r="V1893" t="s">
        <v>3972</v>
      </c>
    </row>
    <row r="1894" spans="1:22" ht="12.75" customHeight="1" x14ac:dyDescent="0.15">
      <c r="A1894">
        <v>20</v>
      </c>
      <c r="B1894">
        <v>2026</v>
      </c>
      <c r="C1894" s="25">
        <v>46160</v>
      </c>
      <c r="D1894" t="s">
        <v>68</v>
      </c>
      <c r="E1894" t="s">
        <v>69</v>
      </c>
      <c r="F1894" t="s">
        <v>21</v>
      </c>
      <c r="G1894">
        <v>1</v>
      </c>
      <c r="H1894" t="s">
        <v>3514</v>
      </c>
      <c r="I1894" t="s">
        <v>366</v>
      </c>
      <c r="J1894" s="1" t="s">
        <v>215</v>
      </c>
      <c r="K1894" t="s">
        <v>181</v>
      </c>
      <c r="L1894" t="s">
        <v>3340</v>
      </c>
      <c r="M1894">
        <v>81</v>
      </c>
      <c r="N1894">
        <v>0.42</v>
      </c>
      <c r="O1894" t="s">
        <v>211</v>
      </c>
      <c r="P1894">
        <v>23.3</v>
      </c>
      <c r="R1894" t="s">
        <v>3374</v>
      </c>
      <c r="T1894" t="s">
        <v>3337</v>
      </c>
      <c r="U1894">
        <v>46</v>
      </c>
      <c r="V1894" t="s">
        <v>3972</v>
      </c>
    </row>
    <row r="1895" spans="1:22" ht="12.75" customHeight="1" x14ac:dyDescent="0.15">
      <c r="A1895">
        <v>20</v>
      </c>
      <c r="B1895">
        <v>2026</v>
      </c>
      <c r="C1895" s="25">
        <v>46160</v>
      </c>
      <c r="D1895" t="s">
        <v>68</v>
      </c>
      <c r="E1895" t="s">
        <v>69</v>
      </c>
      <c r="F1895" t="s">
        <v>21</v>
      </c>
      <c r="G1895">
        <v>1</v>
      </c>
      <c r="H1895" t="s">
        <v>3514</v>
      </c>
      <c r="I1895" t="s">
        <v>366</v>
      </c>
      <c r="J1895" s="1" t="s">
        <v>215</v>
      </c>
      <c r="K1895" t="s">
        <v>181</v>
      </c>
      <c r="L1895" t="s">
        <v>3340</v>
      </c>
      <c r="M1895">
        <v>132</v>
      </c>
      <c r="N1895">
        <v>0.42</v>
      </c>
      <c r="O1895" t="s">
        <v>211</v>
      </c>
      <c r="P1895">
        <v>23.3</v>
      </c>
      <c r="R1895" t="s">
        <v>3368</v>
      </c>
      <c r="T1895" t="s">
        <v>3337</v>
      </c>
      <c r="U1895">
        <v>46</v>
      </c>
      <c r="V1895" t="s">
        <v>3972</v>
      </c>
    </row>
    <row r="1896" spans="1:22" ht="12.75" customHeight="1" x14ac:dyDescent="0.15">
      <c r="A1896">
        <v>20</v>
      </c>
      <c r="B1896">
        <v>2026</v>
      </c>
      <c r="C1896" s="25">
        <v>46160</v>
      </c>
      <c r="D1896" t="s">
        <v>73</v>
      </c>
      <c r="E1896" t="s">
        <v>74</v>
      </c>
      <c r="F1896" t="s">
        <v>75</v>
      </c>
      <c r="G1896">
        <v>2.2999999999999998</v>
      </c>
      <c r="H1896" t="s">
        <v>3953</v>
      </c>
      <c r="I1896" t="s">
        <v>3954</v>
      </c>
      <c r="J1896" s="1" t="s">
        <v>253</v>
      </c>
      <c r="K1896" t="s">
        <v>181</v>
      </c>
      <c r="L1896" t="s">
        <v>3333</v>
      </c>
      <c r="M1896">
        <v>1</v>
      </c>
      <c r="N1896">
        <v>0.88</v>
      </c>
      <c r="O1896" t="s">
        <v>3358</v>
      </c>
      <c r="P1896">
        <v>62.88</v>
      </c>
      <c r="Q1896">
        <v>7</v>
      </c>
      <c r="R1896" t="s">
        <v>3359</v>
      </c>
      <c r="T1896" t="s">
        <v>3337</v>
      </c>
      <c r="U1896">
        <v>30</v>
      </c>
      <c r="V1896" t="s">
        <v>3973</v>
      </c>
    </row>
    <row r="1897" spans="1:22" ht="12.75" customHeight="1" x14ac:dyDescent="0.15">
      <c r="A1897">
        <v>20</v>
      </c>
      <c r="B1897">
        <v>2026</v>
      </c>
      <c r="C1897" s="25">
        <v>46160</v>
      </c>
      <c r="D1897" t="s">
        <v>73</v>
      </c>
      <c r="E1897" t="s">
        <v>74</v>
      </c>
      <c r="F1897" t="s">
        <v>75</v>
      </c>
      <c r="G1897">
        <v>2.2999999999999998</v>
      </c>
      <c r="H1897" t="s">
        <v>3953</v>
      </c>
      <c r="I1897" t="s">
        <v>3954</v>
      </c>
      <c r="J1897" s="1" t="s">
        <v>253</v>
      </c>
      <c r="K1897" t="s">
        <v>181</v>
      </c>
      <c r="L1897" t="s">
        <v>3333</v>
      </c>
      <c r="M1897">
        <v>6</v>
      </c>
      <c r="N1897">
        <v>0.5</v>
      </c>
      <c r="O1897" t="s">
        <v>3334</v>
      </c>
      <c r="P1897">
        <v>40.79</v>
      </c>
      <c r="Q1897">
        <v>4</v>
      </c>
      <c r="R1897" t="s">
        <v>3335</v>
      </c>
      <c r="T1897" t="s">
        <v>3337</v>
      </c>
      <c r="U1897">
        <v>30</v>
      </c>
      <c r="V1897" t="s">
        <v>3871</v>
      </c>
    </row>
    <row r="1898" spans="1:22" ht="12.75" customHeight="1" x14ac:dyDescent="0.15">
      <c r="A1898">
        <v>20</v>
      </c>
      <c r="B1898">
        <v>2026</v>
      </c>
      <c r="C1898" s="25">
        <v>46160</v>
      </c>
      <c r="D1898" t="s">
        <v>107</v>
      </c>
      <c r="E1898" t="s">
        <v>108</v>
      </c>
      <c r="F1898" t="s">
        <v>21</v>
      </c>
      <c r="G1898">
        <v>4.5</v>
      </c>
      <c r="H1898" t="s">
        <v>3346</v>
      </c>
      <c r="I1898" t="s">
        <v>212</v>
      </c>
      <c r="J1898" s="1" t="s">
        <v>188</v>
      </c>
      <c r="K1898" t="s">
        <v>181</v>
      </c>
      <c r="L1898" t="s">
        <v>3333</v>
      </c>
      <c r="M1898">
        <v>6</v>
      </c>
      <c r="N1898">
        <v>0.38</v>
      </c>
      <c r="O1898" t="s">
        <v>3334</v>
      </c>
      <c r="P1898">
        <v>30.59</v>
      </c>
      <c r="Q1898">
        <v>3</v>
      </c>
      <c r="R1898" t="s">
        <v>3335</v>
      </c>
      <c r="T1898" t="s">
        <v>3337</v>
      </c>
      <c r="U1898">
        <v>3</v>
      </c>
      <c r="V1898" t="s">
        <v>3816</v>
      </c>
    </row>
    <row r="1899" spans="1:22" ht="12.75" customHeight="1" x14ac:dyDescent="0.15">
      <c r="A1899">
        <v>20</v>
      </c>
      <c r="B1899">
        <v>2026</v>
      </c>
      <c r="C1899" s="25">
        <v>46160</v>
      </c>
      <c r="D1899" t="s">
        <v>107</v>
      </c>
      <c r="E1899" t="s">
        <v>108</v>
      </c>
      <c r="F1899" t="s">
        <v>21</v>
      </c>
      <c r="G1899">
        <v>4.5</v>
      </c>
      <c r="H1899" t="s">
        <v>3346</v>
      </c>
      <c r="I1899" t="s">
        <v>212</v>
      </c>
      <c r="J1899" s="1" t="s">
        <v>188</v>
      </c>
      <c r="K1899" t="s">
        <v>181</v>
      </c>
      <c r="L1899" t="s">
        <v>3340</v>
      </c>
      <c r="M1899">
        <v>6</v>
      </c>
      <c r="N1899">
        <v>5.93</v>
      </c>
      <c r="O1899" t="s">
        <v>211</v>
      </c>
      <c r="P1899">
        <v>326</v>
      </c>
      <c r="R1899" t="s">
        <v>3335</v>
      </c>
      <c r="S1899" t="s">
        <v>3974</v>
      </c>
      <c r="T1899" t="s">
        <v>3337</v>
      </c>
      <c r="U1899">
        <v>3</v>
      </c>
      <c r="V1899" t="s">
        <v>3975</v>
      </c>
    </row>
    <row r="1900" spans="1:22" ht="12.75" customHeight="1" x14ac:dyDescent="0.15">
      <c r="A1900">
        <v>20</v>
      </c>
      <c r="B1900">
        <v>2026</v>
      </c>
      <c r="C1900" s="25">
        <v>46160</v>
      </c>
      <c r="D1900" t="s">
        <v>89</v>
      </c>
      <c r="E1900" t="s">
        <v>90</v>
      </c>
      <c r="F1900" t="s">
        <v>21</v>
      </c>
      <c r="G1900">
        <v>1</v>
      </c>
      <c r="H1900" t="s">
        <v>3391</v>
      </c>
      <c r="I1900" t="s">
        <v>353</v>
      </c>
      <c r="J1900" s="1" t="s">
        <v>253</v>
      </c>
      <c r="K1900" t="s">
        <v>181</v>
      </c>
      <c r="L1900" t="s">
        <v>3333</v>
      </c>
      <c r="M1900">
        <v>2</v>
      </c>
      <c r="N1900">
        <v>0.5</v>
      </c>
      <c r="O1900" t="s">
        <v>3440</v>
      </c>
      <c r="P1900">
        <v>45.25</v>
      </c>
      <c r="Q1900">
        <v>4</v>
      </c>
      <c r="R1900" t="s">
        <v>3424</v>
      </c>
      <c r="T1900" t="s">
        <v>3337</v>
      </c>
      <c r="U1900">
        <v>33</v>
      </c>
      <c r="V1900" t="s">
        <v>3976</v>
      </c>
    </row>
    <row r="1901" spans="1:22" ht="12.75" customHeight="1" x14ac:dyDescent="0.15">
      <c r="A1901">
        <v>20</v>
      </c>
      <c r="B1901">
        <v>2026</v>
      </c>
      <c r="C1901" s="25">
        <v>46160</v>
      </c>
      <c r="D1901" t="s">
        <v>39</v>
      </c>
      <c r="E1901" t="s">
        <v>40</v>
      </c>
      <c r="F1901" t="s">
        <v>21</v>
      </c>
      <c r="G1901">
        <v>1.91</v>
      </c>
      <c r="H1901" t="s">
        <v>3391</v>
      </c>
      <c r="I1901" t="s">
        <v>353</v>
      </c>
      <c r="J1901" s="1" t="s">
        <v>253</v>
      </c>
      <c r="K1901" t="s">
        <v>181</v>
      </c>
      <c r="L1901" t="s">
        <v>3333</v>
      </c>
      <c r="M1901">
        <v>2</v>
      </c>
      <c r="N1901">
        <v>0.13</v>
      </c>
      <c r="O1901" t="s">
        <v>3440</v>
      </c>
      <c r="P1901">
        <v>11.31</v>
      </c>
      <c r="Q1901">
        <v>1</v>
      </c>
      <c r="R1901" t="s">
        <v>3424</v>
      </c>
      <c r="T1901" t="s">
        <v>3337</v>
      </c>
      <c r="U1901">
        <v>123</v>
      </c>
      <c r="V1901" t="s">
        <v>3348</v>
      </c>
    </row>
    <row r="1902" spans="1:22" ht="12.75" customHeight="1" x14ac:dyDescent="0.15">
      <c r="A1902">
        <v>20</v>
      </c>
      <c r="B1902">
        <v>2026</v>
      </c>
      <c r="C1902" s="25">
        <v>46160</v>
      </c>
      <c r="D1902" t="s">
        <v>73</v>
      </c>
      <c r="E1902" t="s">
        <v>74</v>
      </c>
      <c r="F1902" t="s">
        <v>75</v>
      </c>
      <c r="G1902">
        <v>2.2999999999999998</v>
      </c>
      <c r="H1902" t="s">
        <v>3486</v>
      </c>
      <c r="I1902" t="s">
        <v>3487</v>
      </c>
      <c r="J1902" s="1" t="s">
        <v>215</v>
      </c>
      <c r="K1902" t="s">
        <v>181</v>
      </c>
      <c r="L1902" t="s">
        <v>3333</v>
      </c>
      <c r="M1902">
        <v>2</v>
      </c>
      <c r="N1902">
        <v>0.06</v>
      </c>
      <c r="O1902" t="s">
        <v>3440</v>
      </c>
      <c r="P1902">
        <v>5.66</v>
      </c>
      <c r="Q1902">
        <v>0.5</v>
      </c>
      <c r="R1902" t="s">
        <v>3424</v>
      </c>
      <c r="T1902" t="s">
        <v>3337</v>
      </c>
      <c r="U1902">
        <v>30</v>
      </c>
      <c r="V1902" t="s">
        <v>3977</v>
      </c>
    </row>
    <row r="1903" spans="1:22" ht="12.75" customHeight="1" x14ac:dyDescent="0.15">
      <c r="A1903">
        <v>20</v>
      </c>
      <c r="B1903">
        <v>2026</v>
      </c>
      <c r="C1903" s="25">
        <v>46160</v>
      </c>
      <c r="D1903" t="s">
        <v>89</v>
      </c>
      <c r="E1903" t="s">
        <v>90</v>
      </c>
      <c r="F1903" t="s">
        <v>21</v>
      </c>
      <c r="G1903">
        <v>1</v>
      </c>
      <c r="H1903" t="s">
        <v>3486</v>
      </c>
      <c r="I1903" t="s">
        <v>3487</v>
      </c>
      <c r="J1903" s="1" t="s">
        <v>215</v>
      </c>
      <c r="K1903" t="s">
        <v>181</v>
      </c>
      <c r="L1903" t="s">
        <v>3333</v>
      </c>
      <c r="M1903">
        <v>2</v>
      </c>
      <c r="N1903">
        <v>0.19</v>
      </c>
      <c r="O1903" t="s">
        <v>3440</v>
      </c>
      <c r="P1903">
        <v>16.97</v>
      </c>
      <c r="Q1903">
        <v>1.5</v>
      </c>
      <c r="R1903" t="s">
        <v>3424</v>
      </c>
      <c r="T1903" t="s">
        <v>3337</v>
      </c>
      <c r="U1903">
        <v>33</v>
      </c>
      <c r="V1903" t="s">
        <v>3629</v>
      </c>
    </row>
    <row r="1904" spans="1:22" ht="12.75" customHeight="1" x14ac:dyDescent="0.15">
      <c r="A1904">
        <v>20</v>
      </c>
      <c r="B1904">
        <v>2026</v>
      </c>
      <c r="C1904" s="25">
        <v>46160</v>
      </c>
      <c r="D1904" t="s">
        <v>68</v>
      </c>
      <c r="E1904" t="s">
        <v>69</v>
      </c>
      <c r="F1904" t="s">
        <v>21</v>
      </c>
      <c r="G1904">
        <v>1</v>
      </c>
      <c r="H1904" t="s">
        <v>3486</v>
      </c>
      <c r="I1904" t="s">
        <v>3487</v>
      </c>
      <c r="J1904" s="1" t="s">
        <v>215</v>
      </c>
      <c r="K1904" t="s">
        <v>181</v>
      </c>
      <c r="L1904" t="s">
        <v>3333</v>
      </c>
      <c r="M1904">
        <v>2</v>
      </c>
      <c r="N1904">
        <v>0.13</v>
      </c>
      <c r="O1904" t="s">
        <v>3440</v>
      </c>
      <c r="P1904">
        <v>11.31</v>
      </c>
      <c r="Q1904">
        <v>1</v>
      </c>
      <c r="R1904" t="s">
        <v>3424</v>
      </c>
      <c r="T1904" t="s">
        <v>3337</v>
      </c>
      <c r="U1904">
        <v>46</v>
      </c>
      <c r="V1904" t="s">
        <v>3775</v>
      </c>
    </row>
    <row r="1905" spans="1:22" ht="12.75" customHeight="1" x14ac:dyDescent="0.15">
      <c r="A1905">
        <v>20</v>
      </c>
      <c r="B1905">
        <v>2026</v>
      </c>
      <c r="C1905" s="25">
        <v>46160</v>
      </c>
      <c r="D1905" t="s">
        <v>68</v>
      </c>
      <c r="E1905" t="s">
        <v>69</v>
      </c>
      <c r="F1905" t="s">
        <v>21</v>
      </c>
      <c r="G1905">
        <v>1</v>
      </c>
      <c r="H1905" t="s">
        <v>3486</v>
      </c>
      <c r="I1905" t="s">
        <v>3487</v>
      </c>
      <c r="J1905" s="1" t="s">
        <v>215</v>
      </c>
      <c r="K1905" t="s">
        <v>181</v>
      </c>
      <c r="L1905" t="s">
        <v>3340</v>
      </c>
      <c r="M1905">
        <v>2</v>
      </c>
      <c r="N1905">
        <v>0.08</v>
      </c>
      <c r="O1905" t="s">
        <v>211</v>
      </c>
      <c r="P1905">
        <v>4.5</v>
      </c>
      <c r="Q1905">
        <v>0.5</v>
      </c>
      <c r="R1905" t="s">
        <v>3424</v>
      </c>
      <c r="T1905" t="s">
        <v>3337</v>
      </c>
      <c r="U1905">
        <v>46</v>
      </c>
      <c r="V1905" t="s">
        <v>3464</v>
      </c>
    </row>
    <row r="1906" spans="1:22" ht="12.75" customHeight="1" x14ac:dyDescent="0.15">
      <c r="A1906">
        <v>20</v>
      </c>
      <c r="B1906">
        <v>2026</v>
      </c>
      <c r="C1906" s="25">
        <v>46160</v>
      </c>
      <c r="D1906" t="s">
        <v>137</v>
      </c>
      <c r="E1906" t="s">
        <v>138</v>
      </c>
      <c r="F1906" t="s">
        <v>75</v>
      </c>
      <c r="G1906">
        <v>1</v>
      </c>
      <c r="H1906" t="s">
        <v>3868</v>
      </c>
      <c r="I1906" t="s">
        <v>3869</v>
      </c>
      <c r="J1906" s="1" t="s">
        <v>3696</v>
      </c>
      <c r="K1906" t="s">
        <v>181</v>
      </c>
      <c r="L1906" t="s">
        <v>3333</v>
      </c>
      <c r="M1906">
        <v>3</v>
      </c>
      <c r="N1906">
        <v>0.88</v>
      </c>
      <c r="O1906" t="s">
        <v>3334</v>
      </c>
      <c r="P1906">
        <v>71.38</v>
      </c>
      <c r="Q1906">
        <v>7</v>
      </c>
      <c r="R1906" t="s">
        <v>3478</v>
      </c>
      <c r="T1906" t="s">
        <v>3402</v>
      </c>
      <c r="U1906">
        <v>-60</v>
      </c>
      <c r="V1906" t="s">
        <v>3925</v>
      </c>
    </row>
    <row r="1907" spans="1:22" ht="12.75" customHeight="1" x14ac:dyDescent="0.15">
      <c r="A1907">
        <v>20</v>
      </c>
      <c r="B1907">
        <v>2026</v>
      </c>
      <c r="C1907" s="25">
        <v>46160</v>
      </c>
      <c r="D1907" t="s">
        <v>137</v>
      </c>
      <c r="E1907" t="s">
        <v>138</v>
      </c>
      <c r="F1907" t="s">
        <v>75</v>
      </c>
      <c r="G1907">
        <v>1</v>
      </c>
      <c r="H1907" t="s">
        <v>3868</v>
      </c>
      <c r="I1907" t="s">
        <v>3869</v>
      </c>
      <c r="J1907" s="1" t="s">
        <v>3696</v>
      </c>
      <c r="K1907" t="s">
        <v>181</v>
      </c>
      <c r="L1907" t="s">
        <v>3333</v>
      </c>
      <c r="M1907">
        <v>4</v>
      </c>
      <c r="N1907">
        <v>0.88</v>
      </c>
      <c r="O1907" t="s">
        <v>3334</v>
      </c>
      <c r="P1907">
        <v>71.38</v>
      </c>
      <c r="Q1907">
        <v>7</v>
      </c>
      <c r="R1907" t="s">
        <v>3773</v>
      </c>
      <c r="T1907" t="s">
        <v>3402</v>
      </c>
      <c r="U1907">
        <v>-60</v>
      </c>
      <c r="V1907" t="s">
        <v>3925</v>
      </c>
    </row>
    <row r="1908" spans="1:22" ht="12.75" customHeight="1" x14ac:dyDescent="0.15">
      <c r="A1908">
        <v>20</v>
      </c>
      <c r="B1908">
        <v>2026</v>
      </c>
      <c r="C1908" s="25">
        <v>46160</v>
      </c>
      <c r="D1908" t="s">
        <v>89</v>
      </c>
      <c r="E1908" t="s">
        <v>90</v>
      </c>
      <c r="F1908" t="s">
        <v>21</v>
      </c>
      <c r="G1908">
        <v>1</v>
      </c>
      <c r="H1908" t="s">
        <v>3391</v>
      </c>
      <c r="I1908" t="s">
        <v>353</v>
      </c>
      <c r="J1908" s="1" t="s">
        <v>253</v>
      </c>
      <c r="K1908" t="s">
        <v>181</v>
      </c>
      <c r="L1908" t="s">
        <v>3333</v>
      </c>
      <c r="M1908">
        <v>67</v>
      </c>
      <c r="N1908">
        <v>0.5</v>
      </c>
      <c r="O1908" t="s">
        <v>3334</v>
      </c>
      <c r="P1908">
        <v>40.79</v>
      </c>
      <c r="Q1908">
        <v>4</v>
      </c>
      <c r="R1908" t="s">
        <v>3404</v>
      </c>
      <c r="T1908" t="s">
        <v>3402</v>
      </c>
      <c r="U1908">
        <v>33</v>
      </c>
      <c r="V1908" t="s">
        <v>3456</v>
      </c>
    </row>
    <row r="1909" spans="1:22" ht="12.75" customHeight="1" x14ac:dyDescent="0.15">
      <c r="A1909">
        <v>20</v>
      </c>
      <c r="B1909">
        <v>2026</v>
      </c>
      <c r="C1909" s="25">
        <v>46160</v>
      </c>
      <c r="D1909" t="s">
        <v>89</v>
      </c>
      <c r="E1909" t="s">
        <v>90</v>
      </c>
      <c r="F1909" t="s">
        <v>21</v>
      </c>
      <c r="G1909">
        <v>1</v>
      </c>
      <c r="H1909" t="s">
        <v>3391</v>
      </c>
      <c r="I1909" t="s">
        <v>353</v>
      </c>
      <c r="J1909" s="1" t="s">
        <v>253</v>
      </c>
      <c r="K1909" t="s">
        <v>181</v>
      </c>
      <c r="L1909" t="s">
        <v>3333</v>
      </c>
      <c r="M1909">
        <v>19</v>
      </c>
      <c r="N1909">
        <v>0.5</v>
      </c>
      <c r="O1909" t="s">
        <v>3334</v>
      </c>
      <c r="P1909">
        <v>40.79</v>
      </c>
      <c r="Q1909">
        <v>4</v>
      </c>
      <c r="R1909" t="s">
        <v>3403</v>
      </c>
      <c r="T1909" t="s">
        <v>3402</v>
      </c>
      <c r="U1909">
        <v>33</v>
      </c>
      <c r="V1909" t="s">
        <v>3456</v>
      </c>
    </row>
    <row r="1910" spans="1:22" ht="12.75" customHeight="1" x14ac:dyDescent="0.15">
      <c r="A1910">
        <v>20</v>
      </c>
      <c r="B1910">
        <v>2026</v>
      </c>
      <c r="C1910" s="25">
        <v>46160</v>
      </c>
      <c r="D1910" t="s">
        <v>89</v>
      </c>
      <c r="E1910" t="s">
        <v>90</v>
      </c>
      <c r="F1910" t="s">
        <v>21</v>
      </c>
      <c r="G1910">
        <v>1</v>
      </c>
      <c r="H1910" t="s">
        <v>3391</v>
      </c>
      <c r="I1910" t="s">
        <v>353</v>
      </c>
      <c r="J1910" s="1" t="s">
        <v>253</v>
      </c>
      <c r="K1910" t="s">
        <v>181</v>
      </c>
      <c r="L1910" t="s">
        <v>3340</v>
      </c>
      <c r="M1910">
        <v>78</v>
      </c>
      <c r="N1910">
        <v>0.65</v>
      </c>
      <c r="O1910" t="s">
        <v>211</v>
      </c>
      <c r="P1910">
        <v>36</v>
      </c>
      <c r="Q1910">
        <v>4</v>
      </c>
      <c r="R1910" t="s">
        <v>3341</v>
      </c>
      <c r="T1910" t="s">
        <v>3402</v>
      </c>
      <c r="U1910">
        <v>33</v>
      </c>
      <c r="V1910" t="s">
        <v>3507</v>
      </c>
    </row>
    <row r="1911" spans="1:22" ht="12.75" customHeight="1" x14ac:dyDescent="0.15">
      <c r="A1911">
        <v>20</v>
      </c>
      <c r="B1911">
        <v>2026</v>
      </c>
      <c r="C1911" s="25">
        <v>46160</v>
      </c>
      <c r="D1911" t="s">
        <v>39</v>
      </c>
      <c r="E1911" t="s">
        <v>40</v>
      </c>
      <c r="F1911" t="s">
        <v>21</v>
      </c>
      <c r="G1911">
        <v>1.91</v>
      </c>
      <c r="H1911" t="s">
        <v>3391</v>
      </c>
      <c r="I1911" t="s">
        <v>353</v>
      </c>
      <c r="J1911" s="1" t="s">
        <v>253</v>
      </c>
      <c r="K1911" t="s">
        <v>181</v>
      </c>
      <c r="L1911" t="s">
        <v>3333</v>
      </c>
      <c r="M1911">
        <v>67</v>
      </c>
      <c r="N1911">
        <v>0.5</v>
      </c>
      <c r="O1911" t="s">
        <v>3334</v>
      </c>
      <c r="P1911">
        <v>40.79</v>
      </c>
      <c r="Q1911">
        <v>4</v>
      </c>
      <c r="R1911" t="s">
        <v>3404</v>
      </c>
      <c r="T1911" t="s">
        <v>3402</v>
      </c>
      <c r="U1911">
        <v>123</v>
      </c>
      <c r="V1911" t="s">
        <v>3510</v>
      </c>
    </row>
    <row r="1912" spans="1:22" ht="12.75" customHeight="1" x14ac:dyDescent="0.15">
      <c r="A1912">
        <v>20</v>
      </c>
      <c r="B1912">
        <v>2026</v>
      </c>
      <c r="C1912" s="25">
        <v>46160</v>
      </c>
      <c r="D1912" t="s">
        <v>39</v>
      </c>
      <c r="E1912" t="s">
        <v>40</v>
      </c>
      <c r="F1912" t="s">
        <v>21</v>
      </c>
      <c r="G1912">
        <v>1.91</v>
      </c>
      <c r="H1912" t="s">
        <v>3391</v>
      </c>
      <c r="I1912" t="s">
        <v>353</v>
      </c>
      <c r="J1912" s="1" t="s">
        <v>253</v>
      </c>
      <c r="K1912" t="s">
        <v>181</v>
      </c>
      <c r="L1912" t="s">
        <v>3333</v>
      </c>
      <c r="M1912">
        <v>19</v>
      </c>
      <c r="N1912">
        <v>0.5</v>
      </c>
      <c r="O1912" t="s">
        <v>3334</v>
      </c>
      <c r="P1912">
        <v>40.79</v>
      </c>
      <c r="Q1912">
        <v>4</v>
      </c>
      <c r="R1912" t="s">
        <v>3403</v>
      </c>
      <c r="T1912" t="s">
        <v>3402</v>
      </c>
      <c r="U1912">
        <v>123</v>
      </c>
      <c r="V1912" t="s">
        <v>3510</v>
      </c>
    </row>
    <row r="1913" spans="1:22" ht="12.75" customHeight="1" x14ac:dyDescent="0.15">
      <c r="A1913">
        <v>20</v>
      </c>
      <c r="B1913">
        <v>2026</v>
      </c>
      <c r="C1913" s="25">
        <v>46160</v>
      </c>
      <c r="D1913" t="s">
        <v>39</v>
      </c>
      <c r="E1913" t="s">
        <v>40</v>
      </c>
      <c r="F1913" t="s">
        <v>21</v>
      </c>
      <c r="G1913">
        <v>1.91</v>
      </c>
      <c r="H1913" t="s">
        <v>3391</v>
      </c>
      <c r="I1913" t="s">
        <v>353</v>
      </c>
      <c r="J1913" s="1" t="s">
        <v>253</v>
      </c>
      <c r="K1913" t="s">
        <v>181</v>
      </c>
      <c r="L1913" t="s">
        <v>3340</v>
      </c>
      <c r="M1913">
        <v>78</v>
      </c>
      <c r="N1913">
        <v>0.65</v>
      </c>
      <c r="O1913" t="s">
        <v>211</v>
      </c>
      <c r="P1913">
        <v>36</v>
      </c>
      <c r="Q1913">
        <v>4</v>
      </c>
      <c r="R1913" t="s">
        <v>3341</v>
      </c>
      <c r="T1913" t="s">
        <v>3402</v>
      </c>
      <c r="U1913">
        <v>123</v>
      </c>
      <c r="V1913" t="s">
        <v>3978</v>
      </c>
    </row>
    <row r="1914" spans="1:22" ht="12.75" customHeight="1" x14ac:dyDescent="0.15">
      <c r="A1914">
        <v>20</v>
      </c>
      <c r="B1914">
        <v>2026</v>
      </c>
      <c r="C1914" s="25">
        <v>46160</v>
      </c>
      <c r="D1914" t="s">
        <v>137</v>
      </c>
      <c r="E1914" t="s">
        <v>138</v>
      </c>
      <c r="F1914" t="s">
        <v>75</v>
      </c>
      <c r="G1914">
        <v>1</v>
      </c>
      <c r="H1914" t="s">
        <v>3868</v>
      </c>
      <c r="I1914" t="s">
        <v>3869</v>
      </c>
      <c r="J1914" s="1" t="s">
        <v>3696</v>
      </c>
      <c r="K1914" t="s">
        <v>181</v>
      </c>
      <c r="L1914" t="s">
        <v>3333</v>
      </c>
      <c r="M1914">
        <v>86</v>
      </c>
      <c r="N1914">
        <v>0.88</v>
      </c>
      <c r="O1914" t="s">
        <v>3334</v>
      </c>
      <c r="P1914">
        <v>71.38</v>
      </c>
      <c r="Q1914">
        <v>7</v>
      </c>
      <c r="R1914" t="s">
        <v>3386</v>
      </c>
      <c r="T1914" t="s">
        <v>3402</v>
      </c>
      <c r="U1914">
        <v>-60</v>
      </c>
      <c r="V1914" t="s">
        <v>3925</v>
      </c>
    </row>
    <row r="1915" spans="1:22" ht="12.75" customHeight="1" x14ac:dyDescent="0.15">
      <c r="A1915">
        <v>20</v>
      </c>
      <c r="B1915">
        <v>2026</v>
      </c>
      <c r="C1915" s="25">
        <v>46160</v>
      </c>
      <c r="D1915" t="s">
        <v>101</v>
      </c>
      <c r="E1915" t="s">
        <v>102</v>
      </c>
      <c r="F1915" t="s">
        <v>75</v>
      </c>
      <c r="G1915">
        <v>7.6</v>
      </c>
      <c r="H1915" t="s">
        <v>3585</v>
      </c>
      <c r="I1915" t="s">
        <v>346</v>
      </c>
      <c r="J1915" s="1" t="s">
        <v>3389</v>
      </c>
      <c r="K1915" t="s">
        <v>181</v>
      </c>
      <c r="L1915" t="s">
        <v>3340</v>
      </c>
      <c r="M1915">
        <v>86</v>
      </c>
      <c r="N1915">
        <v>0.41</v>
      </c>
      <c r="O1915" t="s">
        <v>211</v>
      </c>
      <c r="P1915">
        <v>22.5</v>
      </c>
      <c r="Q1915">
        <v>1.5</v>
      </c>
      <c r="R1915" t="s">
        <v>3386</v>
      </c>
      <c r="T1915" t="s">
        <v>3402</v>
      </c>
      <c r="U1915">
        <v>20</v>
      </c>
      <c r="V1915" t="s">
        <v>3979</v>
      </c>
    </row>
    <row r="1916" spans="1:22" ht="12.75" customHeight="1" x14ac:dyDescent="0.15">
      <c r="A1916">
        <v>20</v>
      </c>
      <c r="B1916">
        <v>2026</v>
      </c>
      <c r="C1916" s="25">
        <v>46160</v>
      </c>
      <c r="D1916" t="s">
        <v>101</v>
      </c>
      <c r="E1916" t="s">
        <v>102</v>
      </c>
      <c r="F1916" t="s">
        <v>75</v>
      </c>
      <c r="G1916">
        <v>7.6</v>
      </c>
      <c r="H1916" t="s">
        <v>3653</v>
      </c>
      <c r="I1916" t="s">
        <v>3566</v>
      </c>
      <c r="J1916" s="1" t="s">
        <v>3389</v>
      </c>
      <c r="K1916" t="s">
        <v>181</v>
      </c>
      <c r="L1916" t="s">
        <v>3333</v>
      </c>
      <c r="M1916">
        <v>11</v>
      </c>
      <c r="N1916">
        <v>0.34</v>
      </c>
      <c r="O1916" t="s">
        <v>213</v>
      </c>
      <c r="P1916">
        <v>30.6</v>
      </c>
      <c r="Q1916">
        <v>3</v>
      </c>
      <c r="R1916" t="s">
        <v>3564</v>
      </c>
      <c r="T1916" t="s">
        <v>3402</v>
      </c>
      <c r="U1916">
        <v>20</v>
      </c>
      <c r="V1916" t="s">
        <v>3420</v>
      </c>
    </row>
    <row r="1917" spans="1:22" ht="12.75" customHeight="1" x14ac:dyDescent="0.15">
      <c r="A1917">
        <v>20</v>
      </c>
      <c r="B1917">
        <v>2026</v>
      </c>
      <c r="C1917" s="25">
        <v>46160</v>
      </c>
      <c r="D1917" t="s">
        <v>101</v>
      </c>
      <c r="E1917" t="s">
        <v>102</v>
      </c>
      <c r="F1917" t="s">
        <v>75</v>
      </c>
      <c r="G1917">
        <v>7.6</v>
      </c>
      <c r="H1917" t="s">
        <v>3878</v>
      </c>
      <c r="I1917" t="s">
        <v>3566</v>
      </c>
      <c r="J1917" s="1" t="s">
        <v>3389</v>
      </c>
      <c r="K1917" t="s">
        <v>2666</v>
      </c>
      <c r="L1917" t="s">
        <v>3587</v>
      </c>
      <c r="P1917">
        <v>24.6</v>
      </c>
      <c r="Q1917">
        <v>3</v>
      </c>
      <c r="T1917" t="s">
        <v>3402</v>
      </c>
      <c r="U1917">
        <v>20</v>
      </c>
      <c r="V1917" t="s">
        <v>3555</v>
      </c>
    </row>
    <row r="1918" spans="1:22" ht="12.75" customHeight="1" x14ac:dyDescent="0.15">
      <c r="A1918">
        <v>20</v>
      </c>
      <c r="B1918">
        <v>2026</v>
      </c>
      <c r="C1918" s="25">
        <v>46160</v>
      </c>
      <c r="D1918" t="s">
        <v>101</v>
      </c>
      <c r="E1918" t="s">
        <v>102</v>
      </c>
      <c r="F1918" t="s">
        <v>75</v>
      </c>
      <c r="G1918">
        <v>7.6</v>
      </c>
      <c r="H1918" t="s">
        <v>3653</v>
      </c>
      <c r="I1918" t="s">
        <v>3566</v>
      </c>
      <c r="J1918" s="1" t="s">
        <v>3389</v>
      </c>
      <c r="K1918" t="s">
        <v>181</v>
      </c>
      <c r="L1918" t="s">
        <v>3333</v>
      </c>
      <c r="M1918">
        <v>80</v>
      </c>
      <c r="N1918">
        <v>0.34</v>
      </c>
      <c r="O1918" t="s">
        <v>213</v>
      </c>
      <c r="P1918">
        <v>30.6</v>
      </c>
      <c r="Q1918">
        <v>3</v>
      </c>
      <c r="R1918" t="s">
        <v>3560</v>
      </c>
      <c r="T1918" t="s">
        <v>3402</v>
      </c>
      <c r="U1918">
        <v>20</v>
      </c>
      <c r="V1918" t="s">
        <v>3420</v>
      </c>
    </row>
    <row r="1919" spans="1:22" ht="12.75" customHeight="1" x14ac:dyDescent="0.15">
      <c r="A1919">
        <v>20</v>
      </c>
      <c r="B1919">
        <v>2026</v>
      </c>
      <c r="C1919" s="25">
        <v>46160</v>
      </c>
      <c r="D1919" t="s">
        <v>107</v>
      </c>
      <c r="E1919" t="s">
        <v>108</v>
      </c>
      <c r="F1919" t="s">
        <v>21</v>
      </c>
      <c r="G1919">
        <v>4.5</v>
      </c>
      <c r="H1919" t="s">
        <v>3809</v>
      </c>
      <c r="I1919" t="s">
        <v>3810</v>
      </c>
      <c r="J1919" s="1" t="s">
        <v>30</v>
      </c>
      <c r="K1919" t="s">
        <v>181</v>
      </c>
      <c r="L1919" t="s">
        <v>3587</v>
      </c>
      <c r="N1919">
        <v>1.1399999999999999</v>
      </c>
      <c r="O1919" t="s">
        <v>3838</v>
      </c>
      <c r="P1919">
        <v>24.37</v>
      </c>
      <c r="Q1919">
        <v>3</v>
      </c>
      <c r="T1919" t="s">
        <v>3402</v>
      </c>
      <c r="U1919">
        <v>3</v>
      </c>
      <c r="V1919" t="s">
        <v>3980</v>
      </c>
    </row>
    <row r="1920" spans="1:22" ht="12.75" customHeight="1" x14ac:dyDescent="0.15">
      <c r="A1920">
        <v>20</v>
      </c>
      <c r="B1920">
        <v>2026</v>
      </c>
      <c r="C1920" s="25">
        <v>46161</v>
      </c>
      <c r="D1920" t="s">
        <v>53</v>
      </c>
      <c r="E1920" t="s">
        <v>54</v>
      </c>
      <c r="F1920" t="s">
        <v>21</v>
      </c>
      <c r="G1920">
        <v>2</v>
      </c>
      <c r="H1920" t="s">
        <v>3514</v>
      </c>
      <c r="I1920" t="s">
        <v>366</v>
      </c>
      <c r="J1920" s="1" t="s">
        <v>215</v>
      </c>
      <c r="K1920" t="s">
        <v>181</v>
      </c>
      <c r="L1920" t="s">
        <v>3340</v>
      </c>
      <c r="M1920">
        <v>53</v>
      </c>
      <c r="N1920">
        <v>1.02</v>
      </c>
      <c r="O1920" t="s">
        <v>211</v>
      </c>
      <c r="P1920">
        <v>56</v>
      </c>
      <c r="R1920" t="s">
        <v>3373</v>
      </c>
      <c r="S1920" t="s">
        <v>3981</v>
      </c>
      <c r="T1920" t="s">
        <v>3337</v>
      </c>
      <c r="U1920">
        <v>75</v>
      </c>
      <c r="V1920" t="s">
        <v>3825</v>
      </c>
    </row>
    <row r="1921" spans="1:22" ht="12.75" customHeight="1" x14ac:dyDescent="0.15">
      <c r="A1921">
        <v>20</v>
      </c>
      <c r="B1921">
        <v>2026</v>
      </c>
      <c r="C1921" s="25">
        <v>46161</v>
      </c>
      <c r="D1921" t="s">
        <v>53</v>
      </c>
      <c r="E1921" t="s">
        <v>54</v>
      </c>
      <c r="F1921" t="s">
        <v>21</v>
      </c>
      <c r="G1921">
        <v>2</v>
      </c>
      <c r="H1921" t="s">
        <v>3514</v>
      </c>
      <c r="I1921" t="s">
        <v>366</v>
      </c>
      <c r="J1921" s="1" t="s">
        <v>215</v>
      </c>
      <c r="K1921" t="s">
        <v>181</v>
      </c>
      <c r="L1921" t="s">
        <v>3340</v>
      </c>
      <c r="M1921">
        <v>62</v>
      </c>
      <c r="N1921">
        <v>1.02</v>
      </c>
      <c r="O1921" t="s">
        <v>211</v>
      </c>
      <c r="P1921">
        <v>56</v>
      </c>
      <c r="R1921" t="s">
        <v>3375</v>
      </c>
      <c r="T1921" t="s">
        <v>3337</v>
      </c>
      <c r="U1921">
        <v>75</v>
      </c>
      <c r="V1921" t="s">
        <v>3825</v>
      </c>
    </row>
    <row r="1922" spans="1:22" ht="12.75" customHeight="1" x14ac:dyDescent="0.15">
      <c r="A1922">
        <v>20</v>
      </c>
      <c r="B1922">
        <v>2026</v>
      </c>
      <c r="C1922" s="25">
        <v>46161</v>
      </c>
      <c r="D1922" t="s">
        <v>53</v>
      </c>
      <c r="E1922" t="s">
        <v>54</v>
      </c>
      <c r="F1922" t="s">
        <v>21</v>
      </c>
      <c r="G1922">
        <v>2</v>
      </c>
      <c r="H1922" t="s">
        <v>3514</v>
      </c>
      <c r="I1922" t="s">
        <v>366</v>
      </c>
      <c r="J1922" s="1" t="s">
        <v>215</v>
      </c>
      <c r="K1922" t="s">
        <v>181</v>
      </c>
      <c r="L1922" t="s">
        <v>3340</v>
      </c>
      <c r="M1922">
        <v>58</v>
      </c>
      <c r="N1922">
        <v>1.02</v>
      </c>
      <c r="O1922" t="s">
        <v>211</v>
      </c>
      <c r="P1922">
        <v>56</v>
      </c>
      <c r="R1922" t="s">
        <v>3343</v>
      </c>
      <c r="T1922" t="s">
        <v>3337</v>
      </c>
      <c r="U1922">
        <v>75</v>
      </c>
      <c r="V1922" t="s">
        <v>3825</v>
      </c>
    </row>
    <row r="1923" spans="1:22" ht="12.75" customHeight="1" x14ac:dyDescent="0.15">
      <c r="A1923">
        <v>20</v>
      </c>
      <c r="B1923">
        <v>2026</v>
      </c>
      <c r="C1923" s="25">
        <v>46161</v>
      </c>
      <c r="D1923" t="s">
        <v>53</v>
      </c>
      <c r="E1923" t="s">
        <v>54</v>
      </c>
      <c r="F1923" t="s">
        <v>21</v>
      </c>
      <c r="G1923">
        <v>2</v>
      </c>
      <c r="H1923" t="s">
        <v>3514</v>
      </c>
      <c r="I1923" t="s">
        <v>366</v>
      </c>
      <c r="J1923" s="1" t="s">
        <v>215</v>
      </c>
      <c r="K1923" t="s">
        <v>181</v>
      </c>
      <c r="L1923" t="s">
        <v>3340</v>
      </c>
      <c r="M1923">
        <v>81</v>
      </c>
      <c r="N1923">
        <v>1.02</v>
      </c>
      <c r="O1923" t="s">
        <v>211</v>
      </c>
      <c r="P1923">
        <v>56</v>
      </c>
      <c r="R1923" t="s">
        <v>3374</v>
      </c>
      <c r="T1923" t="s">
        <v>3337</v>
      </c>
      <c r="U1923">
        <v>75</v>
      </c>
      <c r="V1923" t="s">
        <v>3825</v>
      </c>
    </row>
    <row r="1924" spans="1:22" ht="12.75" customHeight="1" x14ac:dyDescent="0.15">
      <c r="A1924">
        <v>20</v>
      </c>
      <c r="B1924">
        <v>2026</v>
      </c>
      <c r="C1924" s="25">
        <v>46161</v>
      </c>
      <c r="D1924" t="s">
        <v>53</v>
      </c>
      <c r="E1924" t="s">
        <v>54</v>
      </c>
      <c r="F1924" t="s">
        <v>21</v>
      </c>
      <c r="G1924">
        <v>2</v>
      </c>
      <c r="H1924" t="s">
        <v>3514</v>
      </c>
      <c r="I1924" t="s">
        <v>366</v>
      </c>
      <c r="J1924" s="1" t="s">
        <v>215</v>
      </c>
      <c r="K1924" t="s">
        <v>181</v>
      </c>
      <c r="L1924" t="s">
        <v>3340</v>
      </c>
      <c r="M1924">
        <v>132</v>
      </c>
      <c r="N1924">
        <v>1.02</v>
      </c>
      <c r="O1924" t="s">
        <v>211</v>
      </c>
      <c r="P1924">
        <v>56</v>
      </c>
      <c r="R1924" t="s">
        <v>3368</v>
      </c>
      <c r="T1924" t="s">
        <v>3337</v>
      </c>
      <c r="U1924">
        <v>75</v>
      </c>
      <c r="V1924" t="s">
        <v>3825</v>
      </c>
    </row>
    <row r="1925" spans="1:22" ht="12.75" customHeight="1" x14ac:dyDescent="0.15">
      <c r="A1925">
        <v>20</v>
      </c>
      <c r="B1925">
        <v>2026</v>
      </c>
      <c r="C1925" s="25">
        <v>46161</v>
      </c>
      <c r="D1925" t="s">
        <v>101</v>
      </c>
      <c r="E1925" t="s">
        <v>102</v>
      </c>
      <c r="F1925" t="s">
        <v>75</v>
      </c>
      <c r="G1925">
        <v>7.6</v>
      </c>
      <c r="H1925" t="s">
        <v>3391</v>
      </c>
      <c r="I1925" t="s">
        <v>353</v>
      </c>
      <c r="J1925" s="1" t="s">
        <v>253</v>
      </c>
      <c r="K1925" t="s">
        <v>181</v>
      </c>
      <c r="L1925" t="s">
        <v>3333</v>
      </c>
      <c r="M1925">
        <v>2</v>
      </c>
      <c r="N1925">
        <v>1</v>
      </c>
      <c r="O1925" t="s">
        <v>3440</v>
      </c>
      <c r="P1925">
        <v>90.49</v>
      </c>
      <c r="Q1925">
        <v>8</v>
      </c>
      <c r="R1925" t="s">
        <v>3424</v>
      </c>
      <c r="T1925" t="s">
        <v>3337</v>
      </c>
      <c r="U1925">
        <v>21</v>
      </c>
      <c r="V1925" t="s">
        <v>3982</v>
      </c>
    </row>
    <row r="1926" spans="1:22" ht="12.75" customHeight="1" x14ac:dyDescent="0.15">
      <c r="A1926">
        <v>20</v>
      </c>
      <c r="B1926">
        <v>2026</v>
      </c>
      <c r="C1926" s="25">
        <v>46161</v>
      </c>
      <c r="D1926" t="s">
        <v>101</v>
      </c>
      <c r="E1926" t="s">
        <v>102</v>
      </c>
      <c r="F1926" t="s">
        <v>75</v>
      </c>
      <c r="G1926">
        <v>7.6</v>
      </c>
      <c r="H1926" t="s">
        <v>3391</v>
      </c>
      <c r="I1926" t="s">
        <v>353</v>
      </c>
      <c r="J1926" s="1" t="s">
        <v>253</v>
      </c>
      <c r="K1926" t="s">
        <v>181</v>
      </c>
      <c r="L1926" t="s">
        <v>3333</v>
      </c>
      <c r="M1926">
        <v>67</v>
      </c>
      <c r="N1926">
        <v>1</v>
      </c>
      <c r="O1926" t="s">
        <v>3334</v>
      </c>
      <c r="P1926">
        <v>81.58</v>
      </c>
      <c r="Q1926">
        <v>8</v>
      </c>
      <c r="R1926" t="s">
        <v>3404</v>
      </c>
      <c r="T1926" t="s">
        <v>3402</v>
      </c>
      <c r="U1926">
        <v>21</v>
      </c>
      <c r="V1926" t="s">
        <v>3338</v>
      </c>
    </row>
    <row r="1927" spans="1:22" ht="12.75" customHeight="1" x14ac:dyDescent="0.15">
      <c r="A1927">
        <v>20</v>
      </c>
      <c r="B1927">
        <v>2026</v>
      </c>
      <c r="C1927" s="25">
        <v>46161</v>
      </c>
      <c r="D1927" t="s">
        <v>101</v>
      </c>
      <c r="E1927" t="s">
        <v>102</v>
      </c>
      <c r="F1927" t="s">
        <v>75</v>
      </c>
      <c r="G1927">
        <v>7.6</v>
      </c>
      <c r="H1927" t="s">
        <v>3391</v>
      </c>
      <c r="I1927" t="s">
        <v>353</v>
      </c>
      <c r="J1927" s="1" t="s">
        <v>253</v>
      </c>
      <c r="K1927" t="s">
        <v>181</v>
      </c>
      <c r="L1927" t="s">
        <v>3333</v>
      </c>
      <c r="M1927">
        <v>19</v>
      </c>
      <c r="N1927">
        <v>1</v>
      </c>
      <c r="O1927" t="s">
        <v>3334</v>
      </c>
      <c r="P1927">
        <v>81.58</v>
      </c>
      <c r="Q1927">
        <v>8</v>
      </c>
      <c r="R1927" t="s">
        <v>3403</v>
      </c>
      <c r="T1927" t="s">
        <v>3402</v>
      </c>
      <c r="U1927">
        <v>21</v>
      </c>
      <c r="V1927" t="s">
        <v>3338</v>
      </c>
    </row>
    <row r="1928" spans="1:22" ht="12.75" customHeight="1" x14ac:dyDescent="0.15">
      <c r="A1928">
        <v>20</v>
      </c>
      <c r="B1928">
        <v>2026</v>
      </c>
      <c r="C1928" s="25">
        <v>46161</v>
      </c>
      <c r="D1928" t="s">
        <v>101</v>
      </c>
      <c r="E1928" t="s">
        <v>102</v>
      </c>
      <c r="F1928" t="s">
        <v>75</v>
      </c>
      <c r="G1928">
        <v>7.6</v>
      </c>
      <c r="H1928" t="s">
        <v>3391</v>
      </c>
      <c r="I1928" t="s">
        <v>353</v>
      </c>
      <c r="J1928" s="1" t="s">
        <v>253</v>
      </c>
      <c r="K1928" t="s">
        <v>181</v>
      </c>
      <c r="L1928" t="s">
        <v>3340</v>
      </c>
      <c r="M1928">
        <v>78</v>
      </c>
      <c r="N1928">
        <v>1.31</v>
      </c>
      <c r="O1928" t="s">
        <v>211</v>
      </c>
      <c r="P1928">
        <v>72</v>
      </c>
      <c r="Q1928">
        <v>8</v>
      </c>
      <c r="R1928" t="s">
        <v>3341</v>
      </c>
      <c r="T1928" t="s">
        <v>3402</v>
      </c>
      <c r="U1928">
        <v>21</v>
      </c>
      <c r="V1928" t="s">
        <v>3399</v>
      </c>
    </row>
    <row r="1929" spans="1:22" ht="12.75" customHeight="1" x14ac:dyDescent="0.15">
      <c r="A1929">
        <v>20</v>
      </c>
      <c r="B1929">
        <v>2026</v>
      </c>
      <c r="C1929" s="25">
        <v>46161</v>
      </c>
      <c r="D1929" t="s">
        <v>101</v>
      </c>
      <c r="E1929" t="s">
        <v>102</v>
      </c>
      <c r="F1929" t="s">
        <v>75</v>
      </c>
      <c r="G1929">
        <v>7.6</v>
      </c>
      <c r="H1929" t="s">
        <v>3391</v>
      </c>
      <c r="I1929" t="s">
        <v>353</v>
      </c>
      <c r="J1929" s="1" t="s">
        <v>253</v>
      </c>
      <c r="K1929" t="s">
        <v>181</v>
      </c>
      <c r="L1929" t="s">
        <v>3587</v>
      </c>
      <c r="M1929">
        <v>120</v>
      </c>
      <c r="N1929">
        <v>5</v>
      </c>
      <c r="O1929" t="s">
        <v>211</v>
      </c>
      <c r="P1929">
        <v>275</v>
      </c>
      <c r="R1929" t="s">
        <v>3415</v>
      </c>
      <c r="S1929" t="s">
        <v>3983</v>
      </c>
      <c r="T1929" t="s">
        <v>3402</v>
      </c>
      <c r="U1929">
        <v>21</v>
      </c>
      <c r="V1929" t="s">
        <v>3984</v>
      </c>
    </row>
    <row r="1930" spans="1:22" ht="12.75" customHeight="1" x14ac:dyDescent="0.15">
      <c r="A1930">
        <v>20</v>
      </c>
      <c r="B1930">
        <v>2026</v>
      </c>
      <c r="C1930" s="25">
        <v>46161</v>
      </c>
      <c r="D1930" t="s">
        <v>101</v>
      </c>
      <c r="E1930" t="s">
        <v>102</v>
      </c>
      <c r="F1930" t="s">
        <v>75</v>
      </c>
      <c r="G1930">
        <v>7.6</v>
      </c>
      <c r="H1930" t="s">
        <v>3985</v>
      </c>
      <c r="I1930" t="s">
        <v>3986</v>
      </c>
      <c r="J1930" s="1" t="s">
        <v>3389</v>
      </c>
      <c r="K1930" t="s">
        <v>3987</v>
      </c>
      <c r="L1930" t="s">
        <v>3587</v>
      </c>
      <c r="M1930">
        <v>199</v>
      </c>
      <c r="P1930">
        <v>80</v>
      </c>
      <c r="R1930" t="s">
        <v>3988</v>
      </c>
      <c r="T1930" t="s">
        <v>3402</v>
      </c>
      <c r="U1930">
        <v>21</v>
      </c>
      <c r="V1930" t="s">
        <v>3989</v>
      </c>
    </row>
    <row r="1931" spans="1:22" ht="12.75" customHeight="1" x14ac:dyDescent="0.15">
      <c r="A1931">
        <v>20</v>
      </c>
      <c r="B1931">
        <v>2026</v>
      </c>
      <c r="C1931" s="25">
        <v>46161</v>
      </c>
      <c r="D1931" t="s">
        <v>101</v>
      </c>
      <c r="E1931" t="s">
        <v>102</v>
      </c>
      <c r="F1931" t="s">
        <v>75</v>
      </c>
      <c r="G1931">
        <v>7.6</v>
      </c>
      <c r="H1931" t="s">
        <v>3653</v>
      </c>
      <c r="I1931" t="s">
        <v>3566</v>
      </c>
      <c r="J1931" s="1" t="s">
        <v>3389</v>
      </c>
      <c r="K1931" t="s">
        <v>181</v>
      </c>
      <c r="L1931" t="s">
        <v>3333</v>
      </c>
      <c r="M1931">
        <v>80</v>
      </c>
      <c r="N1931">
        <v>0.45</v>
      </c>
      <c r="O1931" t="s">
        <v>213</v>
      </c>
      <c r="P1931">
        <v>40.799999999999997</v>
      </c>
      <c r="Q1931">
        <v>4</v>
      </c>
      <c r="R1931" t="s">
        <v>3560</v>
      </c>
      <c r="T1931" t="s">
        <v>3402</v>
      </c>
      <c r="U1931">
        <v>21</v>
      </c>
      <c r="V1931" t="s">
        <v>3455</v>
      </c>
    </row>
    <row r="1932" spans="1:22" ht="12.75" customHeight="1" x14ac:dyDescent="0.15">
      <c r="A1932">
        <v>20</v>
      </c>
      <c r="B1932">
        <v>2026</v>
      </c>
      <c r="C1932" s="25">
        <v>46161</v>
      </c>
      <c r="D1932" t="s">
        <v>101</v>
      </c>
      <c r="E1932" t="s">
        <v>102</v>
      </c>
      <c r="F1932" t="s">
        <v>75</v>
      </c>
      <c r="G1932">
        <v>7.6</v>
      </c>
      <c r="H1932" t="s">
        <v>3585</v>
      </c>
      <c r="I1932" t="s">
        <v>346</v>
      </c>
      <c r="J1932" s="1" t="s">
        <v>3389</v>
      </c>
      <c r="K1932" t="s">
        <v>181</v>
      </c>
      <c r="L1932" t="s">
        <v>3340</v>
      </c>
      <c r="M1932">
        <v>86</v>
      </c>
      <c r="N1932">
        <v>0.55000000000000004</v>
      </c>
      <c r="O1932" t="s">
        <v>211</v>
      </c>
      <c r="P1932">
        <v>30</v>
      </c>
      <c r="Q1932">
        <v>2</v>
      </c>
      <c r="R1932" t="s">
        <v>3386</v>
      </c>
      <c r="T1932" t="s">
        <v>3402</v>
      </c>
      <c r="U1932">
        <v>21</v>
      </c>
      <c r="V1932" t="s">
        <v>3893</v>
      </c>
    </row>
    <row r="1933" spans="1:22" ht="12.75" customHeight="1" x14ac:dyDescent="0.15">
      <c r="A1933">
        <v>20</v>
      </c>
      <c r="B1933">
        <v>2026</v>
      </c>
      <c r="C1933" s="25">
        <v>46162</v>
      </c>
      <c r="D1933" t="s">
        <v>19</v>
      </c>
      <c r="E1933" t="s">
        <v>20</v>
      </c>
      <c r="F1933" t="s">
        <v>21</v>
      </c>
      <c r="G1933">
        <v>3.8</v>
      </c>
      <c r="H1933" t="s">
        <v>3932</v>
      </c>
      <c r="I1933" t="s">
        <v>371</v>
      </c>
      <c r="J1933" s="1" t="s">
        <v>307</v>
      </c>
      <c r="K1933" t="s">
        <v>181</v>
      </c>
      <c r="L1933" t="s">
        <v>23</v>
      </c>
      <c r="M1933">
        <v>119</v>
      </c>
      <c r="P1933">
        <v>420</v>
      </c>
      <c r="R1933" t="s">
        <v>3933</v>
      </c>
      <c r="T1933" t="s">
        <v>3337</v>
      </c>
      <c r="U1933">
        <v>162</v>
      </c>
      <c r="V1933" t="s">
        <v>3990</v>
      </c>
    </row>
    <row r="1934" spans="1:22" ht="12.75" customHeight="1" x14ac:dyDescent="0.15">
      <c r="A1934">
        <v>20</v>
      </c>
      <c r="B1934">
        <v>2026</v>
      </c>
      <c r="C1934" s="25">
        <v>46162</v>
      </c>
      <c r="D1934" t="s">
        <v>19</v>
      </c>
      <c r="E1934" t="s">
        <v>20</v>
      </c>
      <c r="F1934" t="s">
        <v>21</v>
      </c>
      <c r="G1934">
        <v>3.8</v>
      </c>
      <c r="H1934" t="s">
        <v>3935</v>
      </c>
      <c r="I1934" t="s">
        <v>370</v>
      </c>
      <c r="J1934" s="1" t="s">
        <v>307</v>
      </c>
      <c r="K1934" t="s">
        <v>181</v>
      </c>
      <c r="L1934" t="s">
        <v>23</v>
      </c>
      <c r="M1934">
        <v>199</v>
      </c>
      <c r="P1934">
        <v>40</v>
      </c>
      <c r="R1934" t="s">
        <v>3988</v>
      </c>
      <c r="T1934" t="s">
        <v>3337</v>
      </c>
      <c r="U1934">
        <v>162</v>
      </c>
      <c r="V1934" t="s">
        <v>3989</v>
      </c>
    </row>
    <row r="1935" spans="1:22" ht="12.75" customHeight="1" x14ac:dyDescent="0.15">
      <c r="A1935">
        <v>20</v>
      </c>
      <c r="B1935">
        <v>2026</v>
      </c>
      <c r="C1935" s="25">
        <v>46162</v>
      </c>
      <c r="D1935" t="s">
        <v>19</v>
      </c>
      <c r="E1935" t="s">
        <v>20</v>
      </c>
      <c r="F1935" t="s">
        <v>21</v>
      </c>
      <c r="G1935">
        <v>3.8</v>
      </c>
      <c r="H1935" t="s">
        <v>3937</v>
      </c>
      <c r="I1935" t="s">
        <v>309</v>
      </c>
      <c r="J1935" s="1" t="s">
        <v>307</v>
      </c>
      <c r="K1935" t="s">
        <v>181</v>
      </c>
      <c r="L1935" t="s">
        <v>3340</v>
      </c>
      <c r="M1935">
        <v>53</v>
      </c>
      <c r="N1935">
        <v>2.73</v>
      </c>
      <c r="O1935" t="s">
        <v>211</v>
      </c>
      <c r="P1935">
        <v>150</v>
      </c>
      <c r="R1935" t="s">
        <v>3373</v>
      </c>
      <c r="T1935" t="s">
        <v>3337</v>
      </c>
      <c r="U1935">
        <v>162</v>
      </c>
      <c r="V1935" t="s">
        <v>3991</v>
      </c>
    </row>
    <row r="1936" spans="1:22" ht="12.75" customHeight="1" x14ac:dyDescent="0.15">
      <c r="A1936">
        <v>20</v>
      </c>
      <c r="B1936">
        <v>2026</v>
      </c>
      <c r="C1936" s="25">
        <v>46162</v>
      </c>
      <c r="D1936" t="s">
        <v>19</v>
      </c>
      <c r="E1936" t="s">
        <v>20</v>
      </c>
      <c r="F1936" t="s">
        <v>21</v>
      </c>
      <c r="G1936">
        <v>3.8</v>
      </c>
      <c r="H1936" t="s">
        <v>3937</v>
      </c>
      <c r="I1936" t="s">
        <v>309</v>
      </c>
      <c r="J1936" s="1" t="s">
        <v>307</v>
      </c>
      <c r="K1936" t="s">
        <v>181</v>
      </c>
      <c r="L1936" t="s">
        <v>3340</v>
      </c>
      <c r="M1936">
        <v>62</v>
      </c>
      <c r="N1936">
        <v>3.27</v>
      </c>
      <c r="O1936" t="s">
        <v>211</v>
      </c>
      <c r="P1936">
        <v>180</v>
      </c>
      <c r="R1936" t="s">
        <v>3375</v>
      </c>
      <c r="T1936" t="s">
        <v>3337</v>
      </c>
      <c r="U1936">
        <v>162</v>
      </c>
      <c r="V1936" t="s">
        <v>3992</v>
      </c>
    </row>
    <row r="1937" spans="1:22" ht="12.75" customHeight="1" x14ac:dyDescent="0.15">
      <c r="A1937">
        <v>20</v>
      </c>
      <c r="B1937">
        <v>2026</v>
      </c>
      <c r="C1937" s="25">
        <v>46162</v>
      </c>
      <c r="D1937" t="s">
        <v>19</v>
      </c>
      <c r="E1937" t="s">
        <v>20</v>
      </c>
      <c r="F1937" t="s">
        <v>21</v>
      </c>
      <c r="G1937">
        <v>3.8</v>
      </c>
      <c r="H1937" t="s">
        <v>3937</v>
      </c>
      <c r="I1937" t="s">
        <v>309</v>
      </c>
      <c r="J1937" s="1" t="s">
        <v>307</v>
      </c>
      <c r="K1937" t="s">
        <v>181</v>
      </c>
      <c r="L1937" t="s">
        <v>3340</v>
      </c>
      <c r="M1937">
        <v>58</v>
      </c>
      <c r="N1937">
        <v>3.09</v>
      </c>
      <c r="O1937" t="s">
        <v>211</v>
      </c>
      <c r="P1937">
        <v>170</v>
      </c>
      <c r="R1937" t="s">
        <v>3343</v>
      </c>
      <c r="T1937" t="s">
        <v>3337</v>
      </c>
      <c r="U1937">
        <v>162</v>
      </c>
      <c r="V1937" t="s">
        <v>3993</v>
      </c>
    </row>
    <row r="1938" spans="1:22" ht="12.75" customHeight="1" x14ac:dyDescent="0.15">
      <c r="A1938">
        <v>20</v>
      </c>
      <c r="B1938">
        <v>2026</v>
      </c>
      <c r="C1938" s="25">
        <v>46162</v>
      </c>
      <c r="D1938" t="s">
        <v>19</v>
      </c>
      <c r="E1938" t="s">
        <v>20</v>
      </c>
      <c r="F1938" t="s">
        <v>21</v>
      </c>
      <c r="G1938">
        <v>3.8</v>
      </c>
      <c r="H1938" t="s">
        <v>3937</v>
      </c>
      <c r="I1938" t="s">
        <v>309</v>
      </c>
      <c r="J1938" s="1" t="s">
        <v>307</v>
      </c>
      <c r="K1938" t="s">
        <v>181</v>
      </c>
      <c r="L1938" t="s">
        <v>3340</v>
      </c>
      <c r="M1938">
        <v>81</v>
      </c>
      <c r="N1938">
        <v>2.52</v>
      </c>
      <c r="O1938" t="s">
        <v>211</v>
      </c>
      <c r="P1938">
        <v>138.75</v>
      </c>
      <c r="R1938" t="s">
        <v>3374</v>
      </c>
      <c r="T1938" t="s">
        <v>3337</v>
      </c>
      <c r="U1938">
        <v>162</v>
      </c>
      <c r="V1938" t="s">
        <v>3994</v>
      </c>
    </row>
    <row r="1939" spans="1:22" ht="12.75" customHeight="1" x14ac:dyDescent="0.15">
      <c r="A1939">
        <v>20</v>
      </c>
      <c r="B1939">
        <v>2026</v>
      </c>
      <c r="C1939" s="25">
        <v>46162</v>
      </c>
      <c r="D1939" t="s">
        <v>19</v>
      </c>
      <c r="E1939" t="s">
        <v>20</v>
      </c>
      <c r="F1939" t="s">
        <v>21</v>
      </c>
      <c r="G1939">
        <v>3.8</v>
      </c>
      <c r="H1939" t="s">
        <v>3937</v>
      </c>
      <c r="I1939" t="s">
        <v>309</v>
      </c>
      <c r="J1939" s="1" t="s">
        <v>307</v>
      </c>
      <c r="K1939" t="s">
        <v>181</v>
      </c>
      <c r="L1939" t="s">
        <v>3340</v>
      </c>
      <c r="M1939">
        <v>132</v>
      </c>
      <c r="N1939">
        <v>2.73</v>
      </c>
      <c r="O1939" t="s">
        <v>211</v>
      </c>
      <c r="P1939">
        <v>150</v>
      </c>
      <c r="R1939" t="s">
        <v>3368</v>
      </c>
      <c r="T1939" t="s">
        <v>3337</v>
      </c>
      <c r="U1939">
        <v>162</v>
      </c>
      <c r="V1939" t="s">
        <v>3991</v>
      </c>
    </row>
    <row r="1940" spans="1:22" ht="12.75" customHeight="1" x14ac:dyDescent="0.15">
      <c r="A1940">
        <v>20</v>
      </c>
      <c r="B1940">
        <v>2026</v>
      </c>
      <c r="C1940" s="25">
        <v>46162</v>
      </c>
      <c r="D1940" t="s">
        <v>19</v>
      </c>
      <c r="E1940" t="s">
        <v>20</v>
      </c>
      <c r="F1940" t="s">
        <v>21</v>
      </c>
      <c r="G1940">
        <v>3.8</v>
      </c>
      <c r="H1940" t="s">
        <v>3937</v>
      </c>
      <c r="I1940" t="s">
        <v>309</v>
      </c>
      <c r="J1940" s="1" t="s">
        <v>307</v>
      </c>
      <c r="K1940" t="s">
        <v>181</v>
      </c>
      <c r="L1940" t="s">
        <v>3340</v>
      </c>
      <c r="M1940">
        <v>45</v>
      </c>
      <c r="N1940">
        <v>2.91</v>
      </c>
      <c r="O1940" t="s">
        <v>211</v>
      </c>
      <c r="P1940">
        <v>160</v>
      </c>
      <c r="R1940" t="s">
        <v>3377</v>
      </c>
      <c r="T1940" t="s">
        <v>3337</v>
      </c>
      <c r="U1940">
        <v>162</v>
      </c>
      <c r="V1940" t="s">
        <v>3995</v>
      </c>
    </row>
    <row r="1941" spans="1:22" ht="12.75" customHeight="1" x14ac:dyDescent="0.15">
      <c r="A1941">
        <v>20</v>
      </c>
      <c r="B1941">
        <v>2026</v>
      </c>
      <c r="C1941" s="25">
        <v>46162</v>
      </c>
      <c r="D1941" t="s">
        <v>101</v>
      </c>
      <c r="E1941" t="s">
        <v>102</v>
      </c>
      <c r="F1941" t="s">
        <v>75</v>
      </c>
      <c r="G1941">
        <v>7.6</v>
      </c>
      <c r="H1941" t="s">
        <v>3400</v>
      </c>
      <c r="I1941" t="s">
        <v>353</v>
      </c>
      <c r="J1941" s="1" t="s">
        <v>253</v>
      </c>
      <c r="K1941" t="s">
        <v>181</v>
      </c>
      <c r="L1941" t="s">
        <v>3333</v>
      </c>
      <c r="M1941">
        <v>2</v>
      </c>
      <c r="N1941">
        <v>0.5</v>
      </c>
      <c r="O1941" t="s">
        <v>3440</v>
      </c>
      <c r="P1941">
        <v>45.25</v>
      </c>
      <c r="Q1941">
        <v>4</v>
      </c>
      <c r="R1941" t="s">
        <v>3424</v>
      </c>
      <c r="T1941" t="s">
        <v>3337</v>
      </c>
      <c r="U1941">
        <v>22</v>
      </c>
      <c r="V1941" t="s">
        <v>3996</v>
      </c>
    </row>
    <row r="1942" spans="1:22" ht="12.75" customHeight="1" x14ac:dyDescent="0.15">
      <c r="A1942">
        <v>20</v>
      </c>
      <c r="B1942">
        <v>2026</v>
      </c>
      <c r="C1942" s="25">
        <v>46162</v>
      </c>
      <c r="D1942" t="s">
        <v>73</v>
      </c>
      <c r="E1942" t="s">
        <v>74</v>
      </c>
      <c r="F1942" t="s">
        <v>75</v>
      </c>
      <c r="G1942">
        <v>2.2999999999999998</v>
      </c>
      <c r="H1942" t="s">
        <v>3400</v>
      </c>
      <c r="I1942" t="s">
        <v>353</v>
      </c>
      <c r="J1942" s="1" t="s">
        <v>253</v>
      </c>
      <c r="K1942" t="s">
        <v>181</v>
      </c>
      <c r="L1942" t="s">
        <v>3333</v>
      </c>
      <c r="M1942">
        <v>2</v>
      </c>
      <c r="N1942">
        <v>0.5</v>
      </c>
      <c r="O1942" t="s">
        <v>3440</v>
      </c>
      <c r="P1942">
        <v>45.25</v>
      </c>
      <c r="Q1942">
        <v>4</v>
      </c>
      <c r="R1942" t="s">
        <v>3424</v>
      </c>
      <c r="T1942" t="s">
        <v>3337</v>
      </c>
      <c r="U1942">
        <v>32</v>
      </c>
      <c r="V1942" t="s">
        <v>3997</v>
      </c>
    </row>
    <row r="1943" spans="1:22" ht="12.75" customHeight="1" x14ac:dyDescent="0.15">
      <c r="A1943">
        <v>20</v>
      </c>
      <c r="B1943">
        <v>2026</v>
      </c>
      <c r="C1943" s="25">
        <v>46162</v>
      </c>
      <c r="D1943" t="s">
        <v>19</v>
      </c>
      <c r="E1943" t="s">
        <v>20</v>
      </c>
      <c r="F1943" t="s">
        <v>21</v>
      </c>
      <c r="G1943">
        <v>3.8</v>
      </c>
      <c r="H1943" t="s">
        <v>3998</v>
      </c>
      <c r="I1943" t="s">
        <v>3964</v>
      </c>
      <c r="J1943" s="1" t="s">
        <v>307</v>
      </c>
      <c r="K1943" t="s">
        <v>181</v>
      </c>
      <c r="L1943" t="s">
        <v>3340</v>
      </c>
      <c r="M1943">
        <v>53</v>
      </c>
      <c r="N1943">
        <v>0.12</v>
      </c>
      <c r="O1943" t="s">
        <v>211</v>
      </c>
      <c r="P1943">
        <v>6.7</v>
      </c>
      <c r="R1943" t="s">
        <v>3373</v>
      </c>
      <c r="T1943" t="s">
        <v>3337</v>
      </c>
      <c r="U1943">
        <v>162</v>
      </c>
      <c r="V1943" t="s">
        <v>3999</v>
      </c>
    </row>
    <row r="1944" spans="1:22" ht="12.75" customHeight="1" x14ac:dyDescent="0.15">
      <c r="A1944">
        <v>20</v>
      </c>
      <c r="B1944">
        <v>2026</v>
      </c>
      <c r="C1944" s="25">
        <v>46162</v>
      </c>
      <c r="D1944" t="s">
        <v>19</v>
      </c>
      <c r="E1944" t="s">
        <v>20</v>
      </c>
      <c r="F1944" t="s">
        <v>21</v>
      </c>
      <c r="G1944">
        <v>3.8</v>
      </c>
      <c r="H1944" t="s">
        <v>3998</v>
      </c>
      <c r="I1944" t="s">
        <v>3964</v>
      </c>
      <c r="J1944" s="1" t="s">
        <v>307</v>
      </c>
      <c r="K1944" t="s">
        <v>181</v>
      </c>
      <c r="L1944" t="s">
        <v>3340</v>
      </c>
      <c r="M1944">
        <v>62</v>
      </c>
      <c r="N1944">
        <v>0.12</v>
      </c>
      <c r="O1944" t="s">
        <v>211</v>
      </c>
      <c r="P1944">
        <v>6.7</v>
      </c>
      <c r="R1944" t="s">
        <v>3375</v>
      </c>
      <c r="T1944" t="s">
        <v>3337</v>
      </c>
      <c r="U1944">
        <v>162</v>
      </c>
      <c r="V1944" t="s">
        <v>3999</v>
      </c>
    </row>
    <row r="1945" spans="1:22" ht="12.75" customHeight="1" x14ac:dyDescent="0.15">
      <c r="A1945">
        <v>20</v>
      </c>
      <c r="B1945">
        <v>2026</v>
      </c>
      <c r="C1945" s="25">
        <v>46162</v>
      </c>
      <c r="D1945" t="s">
        <v>19</v>
      </c>
      <c r="E1945" t="s">
        <v>20</v>
      </c>
      <c r="F1945" t="s">
        <v>21</v>
      </c>
      <c r="G1945">
        <v>3.8</v>
      </c>
      <c r="H1945" t="s">
        <v>3998</v>
      </c>
      <c r="I1945" t="s">
        <v>3964</v>
      </c>
      <c r="J1945" s="1" t="s">
        <v>307</v>
      </c>
      <c r="K1945" t="s">
        <v>181</v>
      </c>
      <c r="L1945" t="s">
        <v>3340</v>
      </c>
      <c r="M1945">
        <v>58</v>
      </c>
      <c r="N1945">
        <v>0.12</v>
      </c>
      <c r="O1945" t="s">
        <v>211</v>
      </c>
      <c r="P1945">
        <v>6.7</v>
      </c>
      <c r="R1945" t="s">
        <v>3343</v>
      </c>
      <c r="T1945" t="s">
        <v>3337</v>
      </c>
      <c r="U1945">
        <v>162</v>
      </c>
      <c r="V1945" t="s">
        <v>3999</v>
      </c>
    </row>
    <row r="1946" spans="1:22" ht="12.75" customHeight="1" x14ac:dyDescent="0.15">
      <c r="A1946">
        <v>20</v>
      </c>
      <c r="B1946">
        <v>2026</v>
      </c>
      <c r="C1946" s="25">
        <v>46162</v>
      </c>
      <c r="D1946" t="s">
        <v>19</v>
      </c>
      <c r="E1946" t="s">
        <v>20</v>
      </c>
      <c r="F1946" t="s">
        <v>21</v>
      </c>
      <c r="G1946">
        <v>3.8</v>
      </c>
      <c r="H1946" t="s">
        <v>3998</v>
      </c>
      <c r="I1946" t="s">
        <v>3964</v>
      </c>
      <c r="J1946" s="1" t="s">
        <v>307</v>
      </c>
      <c r="K1946" t="s">
        <v>181</v>
      </c>
      <c r="L1946" t="s">
        <v>3340</v>
      </c>
      <c r="M1946">
        <v>81</v>
      </c>
      <c r="N1946">
        <v>0.12</v>
      </c>
      <c r="O1946" t="s">
        <v>211</v>
      </c>
      <c r="P1946">
        <v>6.7</v>
      </c>
      <c r="R1946" t="s">
        <v>3374</v>
      </c>
      <c r="T1946" t="s">
        <v>3337</v>
      </c>
      <c r="U1946">
        <v>162</v>
      </c>
      <c r="V1946" t="s">
        <v>3999</v>
      </c>
    </row>
    <row r="1947" spans="1:22" ht="12.75" customHeight="1" x14ac:dyDescent="0.15">
      <c r="A1947">
        <v>20</v>
      </c>
      <c r="B1947">
        <v>2026</v>
      </c>
      <c r="C1947" s="25">
        <v>46162</v>
      </c>
      <c r="D1947" t="s">
        <v>19</v>
      </c>
      <c r="E1947" t="s">
        <v>20</v>
      </c>
      <c r="F1947" t="s">
        <v>21</v>
      </c>
      <c r="G1947">
        <v>3.8</v>
      </c>
      <c r="H1947" t="s">
        <v>3998</v>
      </c>
      <c r="I1947" t="s">
        <v>3964</v>
      </c>
      <c r="J1947" s="1" t="s">
        <v>307</v>
      </c>
      <c r="K1947" t="s">
        <v>181</v>
      </c>
      <c r="L1947" t="s">
        <v>3340</v>
      </c>
      <c r="M1947">
        <v>132</v>
      </c>
      <c r="N1947">
        <v>0.12</v>
      </c>
      <c r="O1947" t="s">
        <v>211</v>
      </c>
      <c r="P1947">
        <v>6.7</v>
      </c>
      <c r="R1947" t="s">
        <v>3368</v>
      </c>
      <c r="T1947" t="s">
        <v>3337</v>
      </c>
      <c r="U1947">
        <v>162</v>
      </c>
      <c r="V1947" t="s">
        <v>3999</v>
      </c>
    </row>
    <row r="1948" spans="1:22" ht="12.75" customHeight="1" x14ac:dyDescent="0.15">
      <c r="A1948">
        <v>20</v>
      </c>
      <c r="B1948">
        <v>2026</v>
      </c>
      <c r="C1948" s="25">
        <v>46162</v>
      </c>
      <c r="D1948" t="s">
        <v>19</v>
      </c>
      <c r="E1948" t="s">
        <v>20</v>
      </c>
      <c r="F1948" t="s">
        <v>21</v>
      </c>
      <c r="G1948">
        <v>3.8</v>
      </c>
      <c r="H1948" t="s">
        <v>3998</v>
      </c>
      <c r="I1948" t="s">
        <v>3964</v>
      </c>
      <c r="J1948" s="1" t="s">
        <v>307</v>
      </c>
      <c r="K1948" t="s">
        <v>181</v>
      </c>
      <c r="L1948" t="s">
        <v>3340</v>
      </c>
      <c r="M1948">
        <v>45</v>
      </c>
      <c r="N1948">
        <v>0.12</v>
      </c>
      <c r="O1948" t="s">
        <v>211</v>
      </c>
      <c r="P1948">
        <v>6.7</v>
      </c>
      <c r="R1948" t="s">
        <v>3377</v>
      </c>
      <c r="T1948" t="s">
        <v>3337</v>
      </c>
      <c r="U1948">
        <v>162</v>
      </c>
      <c r="V1948" t="s">
        <v>3999</v>
      </c>
    </row>
    <row r="1949" spans="1:22" ht="12.75" customHeight="1" x14ac:dyDescent="0.15">
      <c r="A1949">
        <v>20</v>
      </c>
      <c r="B1949">
        <v>2026</v>
      </c>
      <c r="C1949" s="25">
        <v>46162</v>
      </c>
      <c r="D1949" t="s">
        <v>19</v>
      </c>
      <c r="E1949" t="s">
        <v>20</v>
      </c>
      <c r="F1949" t="s">
        <v>21</v>
      </c>
      <c r="G1949">
        <v>3.8</v>
      </c>
      <c r="H1949" t="s">
        <v>3937</v>
      </c>
      <c r="I1949" t="s">
        <v>309</v>
      </c>
      <c r="J1949" s="1" t="s">
        <v>307</v>
      </c>
      <c r="K1949" t="s">
        <v>181</v>
      </c>
      <c r="L1949" t="s">
        <v>3333</v>
      </c>
      <c r="M1949">
        <v>67</v>
      </c>
      <c r="N1949">
        <v>1</v>
      </c>
      <c r="O1949" t="s">
        <v>3334</v>
      </c>
      <c r="P1949">
        <v>81.58</v>
      </c>
      <c r="Q1949">
        <v>8</v>
      </c>
      <c r="R1949" t="s">
        <v>3404</v>
      </c>
      <c r="T1949" t="s">
        <v>3402</v>
      </c>
      <c r="U1949">
        <v>162</v>
      </c>
      <c r="V1949" t="s">
        <v>3797</v>
      </c>
    </row>
    <row r="1950" spans="1:22" ht="12.75" customHeight="1" x14ac:dyDescent="0.15">
      <c r="A1950">
        <v>20</v>
      </c>
      <c r="B1950">
        <v>2026</v>
      </c>
      <c r="C1950" s="25">
        <v>46162</v>
      </c>
      <c r="D1950" t="s">
        <v>19</v>
      </c>
      <c r="E1950" t="s">
        <v>20</v>
      </c>
      <c r="F1950" t="s">
        <v>21</v>
      </c>
      <c r="G1950">
        <v>3.8</v>
      </c>
      <c r="H1950" t="s">
        <v>3937</v>
      </c>
      <c r="I1950" t="s">
        <v>309</v>
      </c>
      <c r="J1950" s="1" t="s">
        <v>307</v>
      </c>
      <c r="K1950" t="s">
        <v>181</v>
      </c>
      <c r="L1950" t="s">
        <v>3333</v>
      </c>
      <c r="M1950">
        <v>19</v>
      </c>
      <c r="N1950">
        <v>1</v>
      </c>
      <c r="O1950" t="s">
        <v>3334</v>
      </c>
      <c r="P1950">
        <v>81.58</v>
      </c>
      <c r="Q1950">
        <v>8</v>
      </c>
      <c r="R1950" t="s">
        <v>3403</v>
      </c>
      <c r="T1950" t="s">
        <v>3402</v>
      </c>
      <c r="U1950">
        <v>162</v>
      </c>
      <c r="V1950" t="s">
        <v>3797</v>
      </c>
    </row>
    <row r="1951" spans="1:22" ht="12.75" customHeight="1" x14ac:dyDescent="0.15">
      <c r="A1951">
        <v>20</v>
      </c>
      <c r="B1951">
        <v>2026</v>
      </c>
      <c r="C1951" s="25">
        <v>46162</v>
      </c>
      <c r="D1951" t="s">
        <v>19</v>
      </c>
      <c r="E1951" t="s">
        <v>20</v>
      </c>
      <c r="F1951" t="s">
        <v>21</v>
      </c>
      <c r="G1951">
        <v>3.8</v>
      </c>
      <c r="H1951" t="s">
        <v>3937</v>
      </c>
      <c r="I1951" t="s">
        <v>309</v>
      </c>
      <c r="J1951" s="1" t="s">
        <v>307</v>
      </c>
      <c r="K1951" t="s">
        <v>181</v>
      </c>
      <c r="L1951" t="s">
        <v>3340</v>
      </c>
      <c r="M1951">
        <v>78</v>
      </c>
      <c r="N1951">
        <v>1.82</v>
      </c>
      <c r="O1951" t="s">
        <v>211</v>
      </c>
      <c r="P1951">
        <v>100</v>
      </c>
      <c r="R1951" t="s">
        <v>3341</v>
      </c>
      <c r="T1951" t="s">
        <v>3402</v>
      </c>
      <c r="U1951">
        <v>162</v>
      </c>
      <c r="V1951" t="s">
        <v>3350</v>
      </c>
    </row>
    <row r="1952" spans="1:22" ht="12.75" customHeight="1" x14ac:dyDescent="0.15">
      <c r="A1952">
        <v>20</v>
      </c>
      <c r="B1952">
        <v>2026</v>
      </c>
      <c r="C1952" s="25">
        <v>46162</v>
      </c>
      <c r="D1952" t="s">
        <v>19</v>
      </c>
      <c r="E1952" t="s">
        <v>20</v>
      </c>
      <c r="F1952" t="s">
        <v>21</v>
      </c>
      <c r="G1952">
        <v>3.8</v>
      </c>
      <c r="H1952" t="s">
        <v>3937</v>
      </c>
      <c r="I1952" t="s">
        <v>309</v>
      </c>
      <c r="J1952" s="1" t="s">
        <v>307</v>
      </c>
      <c r="K1952" t="s">
        <v>181</v>
      </c>
      <c r="L1952" t="s">
        <v>3340</v>
      </c>
      <c r="M1952">
        <v>67</v>
      </c>
      <c r="N1952">
        <v>0.33</v>
      </c>
      <c r="O1952" t="s">
        <v>211</v>
      </c>
      <c r="P1952">
        <v>18</v>
      </c>
      <c r="R1952" t="s">
        <v>3404</v>
      </c>
      <c r="T1952" t="s">
        <v>3402</v>
      </c>
      <c r="U1952">
        <v>162</v>
      </c>
      <c r="V1952" t="s">
        <v>3414</v>
      </c>
    </row>
    <row r="1953" spans="1:22" ht="12.75" customHeight="1" x14ac:dyDescent="0.15">
      <c r="A1953">
        <v>20</v>
      </c>
      <c r="B1953">
        <v>2026</v>
      </c>
      <c r="C1953" s="25">
        <v>46162</v>
      </c>
      <c r="D1953" t="s">
        <v>19</v>
      </c>
      <c r="E1953" t="s">
        <v>20</v>
      </c>
      <c r="F1953" t="s">
        <v>21</v>
      </c>
      <c r="G1953">
        <v>3.8</v>
      </c>
      <c r="H1953" t="s">
        <v>3937</v>
      </c>
      <c r="I1953" t="s">
        <v>309</v>
      </c>
      <c r="J1953" s="1" t="s">
        <v>307</v>
      </c>
      <c r="K1953" t="s">
        <v>181</v>
      </c>
      <c r="L1953" t="s">
        <v>3340</v>
      </c>
      <c r="M1953">
        <v>19</v>
      </c>
      <c r="N1953">
        <v>0.33</v>
      </c>
      <c r="O1953" t="s">
        <v>211</v>
      </c>
      <c r="P1953">
        <v>18</v>
      </c>
      <c r="R1953" t="s">
        <v>3403</v>
      </c>
      <c r="T1953" t="s">
        <v>3402</v>
      </c>
      <c r="U1953">
        <v>162</v>
      </c>
      <c r="V1953" t="s">
        <v>3414</v>
      </c>
    </row>
    <row r="1954" spans="1:22" ht="12.75" customHeight="1" x14ac:dyDescent="0.15">
      <c r="A1954">
        <v>20</v>
      </c>
      <c r="B1954">
        <v>2026</v>
      </c>
      <c r="C1954" s="25">
        <v>46162</v>
      </c>
      <c r="D1954" t="s">
        <v>19</v>
      </c>
      <c r="E1954" t="s">
        <v>20</v>
      </c>
      <c r="F1954" t="s">
        <v>21</v>
      </c>
      <c r="G1954">
        <v>3.8</v>
      </c>
      <c r="H1954" t="s">
        <v>3945</v>
      </c>
      <c r="I1954" t="s">
        <v>3686</v>
      </c>
      <c r="J1954" s="1" t="s">
        <v>3437</v>
      </c>
      <c r="K1954" t="s">
        <v>181</v>
      </c>
      <c r="L1954" t="s">
        <v>3333</v>
      </c>
      <c r="M1954">
        <v>4</v>
      </c>
      <c r="N1954">
        <v>1</v>
      </c>
      <c r="O1954" t="s">
        <v>3334</v>
      </c>
      <c r="P1954">
        <v>81.58</v>
      </c>
      <c r="Q1954">
        <v>8</v>
      </c>
      <c r="R1954" t="s">
        <v>3773</v>
      </c>
      <c r="T1954" t="s">
        <v>3402</v>
      </c>
      <c r="U1954">
        <v>162</v>
      </c>
      <c r="V1954" t="s">
        <v>3797</v>
      </c>
    </row>
    <row r="1955" spans="1:22" ht="12.75" customHeight="1" x14ac:dyDescent="0.15">
      <c r="A1955">
        <v>20</v>
      </c>
      <c r="B1955">
        <v>2026</v>
      </c>
      <c r="C1955" s="25">
        <v>46162</v>
      </c>
      <c r="D1955" t="s">
        <v>19</v>
      </c>
      <c r="E1955" t="s">
        <v>20</v>
      </c>
      <c r="F1955" t="s">
        <v>21</v>
      </c>
      <c r="G1955">
        <v>3.8</v>
      </c>
      <c r="H1955" t="s">
        <v>3945</v>
      </c>
      <c r="I1955" t="s">
        <v>3686</v>
      </c>
      <c r="J1955" s="1" t="s">
        <v>3437</v>
      </c>
      <c r="K1955" t="s">
        <v>181</v>
      </c>
      <c r="L1955" t="s">
        <v>3340</v>
      </c>
      <c r="M1955">
        <v>4</v>
      </c>
      <c r="N1955">
        <v>0.33</v>
      </c>
      <c r="O1955" t="s">
        <v>211</v>
      </c>
      <c r="P1955">
        <v>18</v>
      </c>
      <c r="Q1955">
        <v>2</v>
      </c>
      <c r="R1955" t="s">
        <v>3773</v>
      </c>
      <c r="T1955" t="s">
        <v>3402</v>
      </c>
      <c r="U1955">
        <v>162</v>
      </c>
      <c r="V1955" t="s">
        <v>3414</v>
      </c>
    </row>
    <row r="1956" spans="1:22" ht="12.75" customHeight="1" x14ac:dyDescent="0.15">
      <c r="A1956">
        <v>20</v>
      </c>
      <c r="B1956">
        <v>2026</v>
      </c>
      <c r="C1956" s="25">
        <v>46162</v>
      </c>
      <c r="D1956" t="s">
        <v>101</v>
      </c>
      <c r="E1956" t="s">
        <v>102</v>
      </c>
      <c r="F1956" t="s">
        <v>75</v>
      </c>
      <c r="G1956">
        <v>7.6</v>
      </c>
      <c r="H1956" t="s">
        <v>3391</v>
      </c>
      <c r="I1956" t="s">
        <v>353</v>
      </c>
      <c r="J1956" s="1" t="s">
        <v>253</v>
      </c>
      <c r="K1956" t="s">
        <v>181</v>
      </c>
      <c r="L1956" t="s">
        <v>3587</v>
      </c>
      <c r="M1956">
        <v>120</v>
      </c>
      <c r="N1956">
        <v>5.84</v>
      </c>
      <c r="O1956" t="s">
        <v>211</v>
      </c>
      <c r="P1956">
        <v>321</v>
      </c>
      <c r="R1956" t="s">
        <v>3415</v>
      </c>
      <c r="S1956" t="s">
        <v>4000</v>
      </c>
      <c r="T1956" t="s">
        <v>3402</v>
      </c>
      <c r="U1956">
        <v>22</v>
      </c>
      <c r="V1956" t="s">
        <v>4001</v>
      </c>
    </row>
    <row r="1957" spans="1:22" ht="12.75" customHeight="1" x14ac:dyDescent="0.15">
      <c r="A1957">
        <v>20</v>
      </c>
      <c r="B1957">
        <v>2026</v>
      </c>
      <c r="C1957" s="25">
        <v>46162</v>
      </c>
      <c r="D1957" t="s">
        <v>73</v>
      </c>
      <c r="E1957" t="s">
        <v>74</v>
      </c>
      <c r="F1957" t="s">
        <v>75</v>
      </c>
      <c r="G1957">
        <v>2.2999999999999998</v>
      </c>
      <c r="H1957" t="s">
        <v>3391</v>
      </c>
      <c r="I1957" t="s">
        <v>353</v>
      </c>
      <c r="J1957" s="1" t="s">
        <v>253</v>
      </c>
      <c r="K1957" t="s">
        <v>181</v>
      </c>
      <c r="L1957" t="s">
        <v>3587</v>
      </c>
      <c r="M1957">
        <v>120</v>
      </c>
      <c r="N1957">
        <v>1.17</v>
      </c>
      <c r="O1957" t="s">
        <v>211</v>
      </c>
      <c r="P1957">
        <v>64.099999999999994</v>
      </c>
      <c r="R1957" t="s">
        <v>3415</v>
      </c>
      <c r="T1957" t="s">
        <v>3402</v>
      </c>
      <c r="U1957">
        <v>32</v>
      </c>
      <c r="V1957" t="s">
        <v>4002</v>
      </c>
    </row>
    <row r="1958" spans="1:22" ht="12.75" customHeight="1" x14ac:dyDescent="0.15">
      <c r="A1958">
        <v>20</v>
      </c>
      <c r="B1958">
        <v>2026</v>
      </c>
      <c r="C1958" s="25">
        <v>46162</v>
      </c>
      <c r="D1958" t="s">
        <v>101</v>
      </c>
      <c r="E1958" t="s">
        <v>102</v>
      </c>
      <c r="F1958" t="s">
        <v>75</v>
      </c>
      <c r="G1958">
        <v>7.6</v>
      </c>
      <c r="H1958" t="s">
        <v>3985</v>
      </c>
      <c r="I1958" t="s">
        <v>3986</v>
      </c>
      <c r="J1958" s="1" t="s">
        <v>3389</v>
      </c>
      <c r="K1958" t="s">
        <v>3987</v>
      </c>
      <c r="L1958" t="s">
        <v>3587</v>
      </c>
      <c r="M1958">
        <v>199</v>
      </c>
      <c r="P1958">
        <v>40</v>
      </c>
      <c r="R1958" t="s">
        <v>3988</v>
      </c>
      <c r="T1958" t="s">
        <v>3402</v>
      </c>
      <c r="U1958">
        <v>22</v>
      </c>
      <c r="V1958" t="s">
        <v>3489</v>
      </c>
    </row>
    <row r="1959" spans="1:22" ht="12.75" customHeight="1" x14ac:dyDescent="0.15">
      <c r="A1959">
        <v>20</v>
      </c>
      <c r="B1959">
        <v>2026</v>
      </c>
      <c r="C1959" s="25">
        <v>46162</v>
      </c>
      <c r="D1959" t="s">
        <v>101</v>
      </c>
      <c r="E1959" t="s">
        <v>102</v>
      </c>
      <c r="F1959" t="s">
        <v>75</v>
      </c>
      <c r="G1959">
        <v>7.6</v>
      </c>
      <c r="H1959" t="s">
        <v>3653</v>
      </c>
      <c r="I1959" t="s">
        <v>3566</v>
      </c>
      <c r="J1959" s="1" t="s">
        <v>3389</v>
      </c>
      <c r="K1959" t="s">
        <v>181</v>
      </c>
      <c r="L1959" t="s">
        <v>3333</v>
      </c>
      <c r="M1959">
        <v>86</v>
      </c>
      <c r="N1959">
        <v>0.25</v>
      </c>
      <c r="O1959" t="s">
        <v>3334</v>
      </c>
      <c r="P1959">
        <v>20.399999999999999</v>
      </c>
      <c r="Q1959">
        <v>2</v>
      </c>
      <c r="R1959" t="s">
        <v>3386</v>
      </c>
      <c r="T1959" t="s">
        <v>3402</v>
      </c>
      <c r="U1959">
        <v>22</v>
      </c>
      <c r="V1959" t="s">
        <v>3441</v>
      </c>
    </row>
    <row r="1960" spans="1:22" ht="12.75" customHeight="1" x14ac:dyDescent="0.15">
      <c r="A1960">
        <v>20</v>
      </c>
      <c r="B1960">
        <v>2026</v>
      </c>
      <c r="C1960" s="25">
        <v>46162</v>
      </c>
      <c r="D1960" t="s">
        <v>73</v>
      </c>
      <c r="E1960" t="s">
        <v>74</v>
      </c>
      <c r="F1960" t="s">
        <v>75</v>
      </c>
      <c r="G1960">
        <v>2.2999999999999998</v>
      </c>
      <c r="H1960" t="s">
        <v>3585</v>
      </c>
      <c r="I1960" t="s">
        <v>346</v>
      </c>
      <c r="J1960" s="1" t="s">
        <v>3389</v>
      </c>
      <c r="K1960" t="s">
        <v>181</v>
      </c>
      <c r="L1960" t="s">
        <v>3333</v>
      </c>
      <c r="M1960">
        <v>86</v>
      </c>
      <c r="N1960">
        <v>0.63</v>
      </c>
      <c r="O1960" t="s">
        <v>3334</v>
      </c>
      <c r="P1960">
        <v>50.99</v>
      </c>
      <c r="Q1960">
        <v>5</v>
      </c>
      <c r="R1960" t="s">
        <v>3386</v>
      </c>
      <c r="T1960" t="s">
        <v>3402</v>
      </c>
      <c r="U1960">
        <v>32</v>
      </c>
      <c r="V1960" t="s">
        <v>3596</v>
      </c>
    </row>
    <row r="1961" spans="1:22" ht="12.75" customHeight="1" x14ac:dyDescent="0.15">
      <c r="A1961">
        <v>20</v>
      </c>
      <c r="B1961">
        <v>2026</v>
      </c>
      <c r="C1961" s="25">
        <v>46162</v>
      </c>
      <c r="D1961" t="s">
        <v>115</v>
      </c>
      <c r="E1961" t="s">
        <v>116</v>
      </c>
      <c r="F1961" t="s">
        <v>21</v>
      </c>
      <c r="G1961">
        <v>2</v>
      </c>
      <c r="H1961" t="s">
        <v>3836</v>
      </c>
      <c r="I1961" t="s">
        <v>3810</v>
      </c>
      <c r="J1961" s="1" t="s">
        <v>30</v>
      </c>
      <c r="K1961" t="s">
        <v>181</v>
      </c>
      <c r="L1961" t="s">
        <v>3333</v>
      </c>
      <c r="M1961">
        <v>86</v>
      </c>
      <c r="N1961">
        <v>0.13</v>
      </c>
      <c r="O1961" t="s">
        <v>3334</v>
      </c>
      <c r="P1961">
        <v>10.199999999999999</v>
      </c>
      <c r="Q1961">
        <v>1</v>
      </c>
      <c r="R1961" t="s">
        <v>3386</v>
      </c>
      <c r="T1961" t="s">
        <v>3402</v>
      </c>
      <c r="U1961">
        <v>-1</v>
      </c>
      <c r="V1961" t="s">
        <v>3463</v>
      </c>
    </row>
    <row r="1962" spans="1:22" ht="12.75" customHeight="1" x14ac:dyDescent="0.15">
      <c r="A1962">
        <v>20</v>
      </c>
      <c r="B1962">
        <v>2026</v>
      </c>
      <c r="C1962" s="25">
        <v>46162</v>
      </c>
      <c r="D1962" t="s">
        <v>115</v>
      </c>
      <c r="E1962" t="s">
        <v>116</v>
      </c>
      <c r="F1962" t="s">
        <v>21</v>
      </c>
      <c r="G1962">
        <v>2</v>
      </c>
      <c r="H1962" t="s">
        <v>3836</v>
      </c>
      <c r="I1962" t="s">
        <v>3810</v>
      </c>
      <c r="J1962" s="1" t="s">
        <v>30</v>
      </c>
      <c r="K1962" t="s">
        <v>181</v>
      </c>
      <c r="L1962" t="s">
        <v>3340</v>
      </c>
      <c r="M1962">
        <v>86</v>
      </c>
      <c r="N1962">
        <v>0.41</v>
      </c>
      <c r="O1962" t="s">
        <v>211</v>
      </c>
      <c r="P1962">
        <v>22.5</v>
      </c>
      <c r="Q1962">
        <v>2.5</v>
      </c>
      <c r="R1962" t="s">
        <v>3386</v>
      </c>
      <c r="T1962" t="s">
        <v>3402</v>
      </c>
      <c r="U1962">
        <v>-1</v>
      </c>
      <c r="V1962" t="s">
        <v>3561</v>
      </c>
    </row>
    <row r="1963" spans="1:22" ht="12.75" customHeight="1" x14ac:dyDescent="0.15">
      <c r="A1963">
        <v>20</v>
      </c>
      <c r="B1963">
        <v>2026</v>
      </c>
      <c r="C1963" s="25">
        <v>46162</v>
      </c>
      <c r="D1963" t="s">
        <v>19</v>
      </c>
      <c r="E1963" t="s">
        <v>20</v>
      </c>
      <c r="F1963" t="s">
        <v>21</v>
      </c>
      <c r="G1963">
        <v>3.8</v>
      </c>
      <c r="H1963" t="s">
        <v>3949</v>
      </c>
      <c r="I1963" t="s">
        <v>385</v>
      </c>
      <c r="J1963" s="1" t="s">
        <v>307</v>
      </c>
      <c r="K1963" t="s">
        <v>178</v>
      </c>
      <c r="L1963" t="s">
        <v>3587</v>
      </c>
      <c r="N1963">
        <v>1</v>
      </c>
      <c r="P1963">
        <v>400</v>
      </c>
      <c r="T1963" t="s">
        <v>3402</v>
      </c>
      <c r="U1963">
        <v>162</v>
      </c>
      <c r="V1963" t="s">
        <v>3950</v>
      </c>
    </row>
    <row r="1964" spans="1:22" ht="12.75" customHeight="1" x14ac:dyDescent="0.15">
      <c r="A1964">
        <v>20</v>
      </c>
      <c r="B1964">
        <v>2026</v>
      </c>
      <c r="C1964" s="25">
        <v>46163</v>
      </c>
      <c r="D1964" t="s">
        <v>73</v>
      </c>
      <c r="E1964" t="s">
        <v>74</v>
      </c>
      <c r="F1964" t="s">
        <v>75</v>
      </c>
      <c r="G1964">
        <v>2.2999999999999998</v>
      </c>
      <c r="H1964" t="s">
        <v>3400</v>
      </c>
      <c r="I1964" t="s">
        <v>353</v>
      </c>
      <c r="J1964" s="1" t="s">
        <v>253</v>
      </c>
      <c r="K1964" t="s">
        <v>181</v>
      </c>
      <c r="L1964" t="s">
        <v>3340</v>
      </c>
      <c r="M1964">
        <v>53</v>
      </c>
      <c r="N1964">
        <v>0.82</v>
      </c>
      <c r="O1964" t="s">
        <v>211</v>
      </c>
      <c r="P1964">
        <v>45</v>
      </c>
      <c r="Q1964">
        <v>5</v>
      </c>
      <c r="R1964" t="s">
        <v>3373</v>
      </c>
      <c r="T1964" t="s">
        <v>3337</v>
      </c>
      <c r="U1964">
        <v>33</v>
      </c>
      <c r="V1964" t="s">
        <v>4003</v>
      </c>
    </row>
    <row r="1965" spans="1:22" ht="12.75" customHeight="1" x14ac:dyDescent="0.15">
      <c r="A1965">
        <v>20</v>
      </c>
      <c r="B1965">
        <v>2026</v>
      </c>
      <c r="C1965" s="25">
        <v>46163</v>
      </c>
      <c r="D1965" t="s">
        <v>73</v>
      </c>
      <c r="E1965" t="s">
        <v>74</v>
      </c>
      <c r="F1965" t="s">
        <v>75</v>
      </c>
      <c r="G1965">
        <v>2.2999999999999998</v>
      </c>
      <c r="H1965" t="s">
        <v>3400</v>
      </c>
      <c r="I1965" t="s">
        <v>353</v>
      </c>
      <c r="J1965" s="1" t="s">
        <v>253</v>
      </c>
      <c r="K1965" t="s">
        <v>181</v>
      </c>
      <c r="L1965" t="s">
        <v>3340</v>
      </c>
      <c r="M1965">
        <v>62</v>
      </c>
      <c r="N1965">
        <v>0.82</v>
      </c>
      <c r="O1965" t="s">
        <v>211</v>
      </c>
      <c r="P1965">
        <v>45</v>
      </c>
      <c r="Q1965">
        <v>5</v>
      </c>
      <c r="R1965" t="s">
        <v>3375</v>
      </c>
      <c r="T1965" t="s">
        <v>3337</v>
      </c>
      <c r="U1965">
        <v>33</v>
      </c>
      <c r="V1965" t="s">
        <v>4003</v>
      </c>
    </row>
    <row r="1966" spans="1:22" ht="12.75" customHeight="1" x14ac:dyDescent="0.15">
      <c r="A1966">
        <v>20</v>
      </c>
      <c r="B1966">
        <v>2026</v>
      </c>
      <c r="C1966" s="25">
        <v>46163</v>
      </c>
      <c r="D1966" t="s">
        <v>73</v>
      </c>
      <c r="E1966" t="s">
        <v>74</v>
      </c>
      <c r="F1966" t="s">
        <v>75</v>
      </c>
      <c r="G1966">
        <v>2.2999999999999998</v>
      </c>
      <c r="H1966" t="s">
        <v>3400</v>
      </c>
      <c r="I1966" t="s">
        <v>353</v>
      </c>
      <c r="J1966" s="1" t="s">
        <v>253</v>
      </c>
      <c r="K1966" t="s">
        <v>181</v>
      </c>
      <c r="L1966" t="s">
        <v>3340</v>
      </c>
      <c r="M1966">
        <v>45</v>
      </c>
      <c r="N1966">
        <v>0.82</v>
      </c>
      <c r="O1966" t="s">
        <v>211</v>
      </c>
      <c r="P1966">
        <v>45</v>
      </c>
      <c r="Q1966">
        <v>5</v>
      </c>
      <c r="R1966" t="s">
        <v>3377</v>
      </c>
      <c r="T1966" t="s">
        <v>3337</v>
      </c>
      <c r="U1966">
        <v>33</v>
      </c>
      <c r="V1966" t="s">
        <v>4003</v>
      </c>
    </row>
    <row r="1967" spans="1:22" ht="12.75" customHeight="1" x14ac:dyDescent="0.15">
      <c r="A1967">
        <v>20</v>
      </c>
      <c r="B1967">
        <v>2026</v>
      </c>
      <c r="C1967" s="25">
        <v>46163</v>
      </c>
      <c r="D1967" t="s">
        <v>73</v>
      </c>
      <c r="E1967" t="s">
        <v>74</v>
      </c>
      <c r="F1967" t="s">
        <v>75</v>
      </c>
      <c r="G1967">
        <v>2.2999999999999998</v>
      </c>
      <c r="H1967" t="s">
        <v>3400</v>
      </c>
      <c r="I1967" t="s">
        <v>353</v>
      </c>
      <c r="J1967" s="1" t="s">
        <v>253</v>
      </c>
      <c r="K1967" t="s">
        <v>181</v>
      </c>
      <c r="L1967" t="s">
        <v>3340</v>
      </c>
      <c r="M1967">
        <v>58</v>
      </c>
      <c r="N1967">
        <v>0.75</v>
      </c>
      <c r="O1967" t="s">
        <v>211</v>
      </c>
      <c r="P1967">
        <v>41.4</v>
      </c>
      <c r="Q1967">
        <v>4.5999999999999996</v>
      </c>
      <c r="R1967" t="s">
        <v>3343</v>
      </c>
      <c r="T1967" t="s">
        <v>3337</v>
      </c>
      <c r="U1967">
        <v>33</v>
      </c>
      <c r="V1967" t="s">
        <v>260</v>
      </c>
    </row>
    <row r="1968" spans="1:22" ht="12.75" customHeight="1" x14ac:dyDescent="0.15">
      <c r="A1968">
        <v>20</v>
      </c>
      <c r="B1968">
        <v>2026</v>
      </c>
      <c r="C1968" s="25">
        <v>46163</v>
      </c>
      <c r="D1968" t="s">
        <v>73</v>
      </c>
      <c r="E1968" t="s">
        <v>74</v>
      </c>
      <c r="F1968" t="s">
        <v>75</v>
      </c>
      <c r="G1968">
        <v>2.2999999999999998</v>
      </c>
      <c r="H1968" t="s">
        <v>3400</v>
      </c>
      <c r="I1968" t="s">
        <v>353</v>
      </c>
      <c r="J1968" s="1" t="s">
        <v>253</v>
      </c>
      <c r="K1968" t="s">
        <v>181</v>
      </c>
      <c r="L1968" t="s">
        <v>3340</v>
      </c>
      <c r="M1968">
        <v>81</v>
      </c>
      <c r="N1968">
        <v>0.75</v>
      </c>
      <c r="O1968" t="s">
        <v>211</v>
      </c>
      <c r="P1968">
        <v>41.4</v>
      </c>
      <c r="Q1968">
        <v>4.5999999999999996</v>
      </c>
      <c r="R1968" t="s">
        <v>3374</v>
      </c>
      <c r="T1968" t="s">
        <v>3337</v>
      </c>
      <c r="U1968">
        <v>33</v>
      </c>
      <c r="V1968" t="s">
        <v>260</v>
      </c>
    </row>
    <row r="1969" spans="1:22" ht="12.75" customHeight="1" x14ac:dyDescent="0.15">
      <c r="A1969">
        <v>20</v>
      </c>
      <c r="B1969">
        <v>2026</v>
      </c>
      <c r="C1969" s="25">
        <v>46163</v>
      </c>
      <c r="D1969" t="s">
        <v>19</v>
      </c>
      <c r="E1969" t="s">
        <v>20</v>
      </c>
      <c r="F1969" t="s">
        <v>21</v>
      </c>
      <c r="G1969">
        <v>3.8</v>
      </c>
      <c r="H1969" t="s">
        <v>4004</v>
      </c>
      <c r="I1969" t="s">
        <v>4005</v>
      </c>
      <c r="J1969" s="1" t="s">
        <v>307</v>
      </c>
      <c r="K1969" t="s">
        <v>181</v>
      </c>
      <c r="L1969" t="s">
        <v>3340</v>
      </c>
      <c r="M1969">
        <v>58</v>
      </c>
      <c r="N1969">
        <v>0.39</v>
      </c>
      <c r="O1969" t="s">
        <v>211</v>
      </c>
      <c r="P1969">
        <v>21.5</v>
      </c>
      <c r="R1969" t="s">
        <v>3343</v>
      </c>
      <c r="T1969" t="s">
        <v>3337</v>
      </c>
      <c r="U1969">
        <v>163</v>
      </c>
      <c r="V1969" t="s">
        <v>3885</v>
      </c>
    </row>
    <row r="1970" spans="1:22" ht="12.75" customHeight="1" x14ac:dyDescent="0.15">
      <c r="A1970">
        <v>20</v>
      </c>
      <c r="B1970">
        <v>2026</v>
      </c>
      <c r="C1970" s="25">
        <v>46163</v>
      </c>
      <c r="D1970" t="s">
        <v>19</v>
      </c>
      <c r="E1970" t="s">
        <v>20</v>
      </c>
      <c r="F1970" t="s">
        <v>21</v>
      </c>
      <c r="G1970">
        <v>3.8</v>
      </c>
      <c r="H1970" t="s">
        <v>4004</v>
      </c>
      <c r="I1970" t="s">
        <v>4005</v>
      </c>
      <c r="J1970" s="1" t="s">
        <v>307</v>
      </c>
      <c r="K1970" t="s">
        <v>181</v>
      </c>
      <c r="L1970" t="s">
        <v>3340</v>
      </c>
      <c r="M1970">
        <v>81</v>
      </c>
      <c r="N1970">
        <v>0.39</v>
      </c>
      <c r="O1970" t="s">
        <v>211</v>
      </c>
      <c r="P1970">
        <v>21.5</v>
      </c>
      <c r="R1970" t="s">
        <v>3374</v>
      </c>
      <c r="T1970" t="s">
        <v>3337</v>
      </c>
      <c r="U1970">
        <v>163</v>
      </c>
      <c r="V1970" t="s">
        <v>3885</v>
      </c>
    </row>
    <row r="1971" spans="1:22" ht="12.75" customHeight="1" x14ac:dyDescent="0.15">
      <c r="A1971">
        <v>20</v>
      </c>
      <c r="B1971">
        <v>2026</v>
      </c>
      <c r="C1971" s="25">
        <v>46163</v>
      </c>
      <c r="D1971" t="s">
        <v>73</v>
      </c>
      <c r="E1971" t="s">
        <v>74</v>
      </c>
      <c r="F1971" t="s">
        <v>75</v>
      </c>
      <c r="G1971">
        <v>2.2999999999999998</v>
      </c>
      <c r="H1971" t="s">
        <v>3400</v>
      </c>
      <c r="I1971" t="s">
        <v>353</v>
      </c>
      <c r="J1971" s="1" t="s">
        <v>253</v>
      </c>
      <c r="K1971" t="s">
        <v>181</v>
      </c>
      <c r="L1971" t="s">
        <v>3333</v>
      </c>
      <c r="M1971">
        <v>2</v>
      </c>
      <c r="N1971">
        <v>1</v>
      </c>
      <c r="O1971" t="s">
        <v>3440</v>
      </c>
      <c r="P1971">
        <v>90.49</v>
      </c>
      <c r="Q1971">
        <v>8</v>
      </c>
      <c r="R1971" t="s">
        <v>3424</v>
      </c>
      <c r="T1971" t="s">
        <v>3337</v>
      </c>
      <c r="U1971">
        <v>33</v>
      </c>
      <c r="V1971" t="s">
        <v>3618</v>
      </c>
    </row>
    <row r="1972" spans="1:22" ht="12.75" customHeight="1" x14ac:dyDescent="0.15">
      <c r="A1972">
        <v>20</v>
      </c>
      <c r="B1972">
        <v>2026</v>
      </c>
      <c r="C1972" s="25">
        <v>46163</v>
      </c>
      <c r="D1972" t="s">
        <v>115</v>
      </c>
      <c r="E1972" t="s">
        <v>116</v>
      </c>
      <c r="F1972" t="s">
        <v>21</v>
      </c>
      <c r="G1972">
        <v>2</v>
      </c>
      <c r="H1972" t="s">
        <v>3841</v>
      </c>
      <c r="I1972" t="s">
        <v>3842</v>
      </c>
      <c r="J1972" s="1" t="s">
        <v>3533</v>
      </c>
      <c r="K1972" t="s">
        <v>181</v>
      </c>
      <c r="L1972" t="s">
        <v>3333</v>
      </c>
      <c r="M1972">
        <v>86</v>
      </c>
      <c r="N1972">
        <v>0.88</v>
      </c>
      <c r="O1972" t="s">
        <v>3334</v>
      </c>
      <c r="P1972">
        <v>71.38</v>
      </c>
      <c r="Q1972">
        <v>7</v>
      </c>
      <c r="R1972" t="s">
        <v>3386</v>
      </c>
      <c r="T1972" t="s">
        <v>3402</v>
      </c>
      <c r="U1972">
        <v>0</v>
      </c>
      <c r="V1972" t="s">
        <v>3469</v>
      </c>
    </row>
    <row r="1973" spans="1:22" ht="12.75" customHeight="1" x14ac:dyDescent="0.15">
      <c r="A1973">
        <v>20</v>
      </c>
      <c r="B1973">
        <v>2026</v>
      </c>
      <c r="C1973" s="25">
        <v>46163</v>
      </c>
      <c r="D1973" t="s">
        <v>115</v>
      </c>
      <c r="E1973" t="s">
        <v>116</v>
      </c>
      <c r="F1973" t="s">
        <v>21</v>
      </c>
      <c r="G1973">
        <v>2</v>
      </c>
      <c r="H1973" t="s">
        <v>3836</v>
      </c>
      <c r="I1973" t="s">
        <v>3810</v>
      </c>
      <c r="J1973" s="1" t="s">
        <v>30</v>
      </c>
      <c r="K1973" t="s">
        <v>181</v>
      </c>
      <c r="L1973" t="s">
        <v>3333</v>
      </c>
      <c r="M1973">
        <v>86</v>
      </c>
      <c r="N1973">
        <v>0.13</v>
      </c>
      <c r="O1973" t="s">
        <v>3334</v>
      </c>
      <c r="P1973">
        <v>10.199999999999999</v>
      </c>
      <c r="Q1973">
        <v>1</v>
      </c>
      <c r="R1973" t="s">
        <v>3386</v>
      </c>
      <c r="T1973" t="s">
        <v>3402</v>
      </c>
      <c r="U1973">
        <v>0</v>
      </c>
      <c r="V1973" t="s">
        <v>3463</v>
      </c>
    </row>
    <row r="1974" spans="1:22" ht="12.75" customHeight="1" x14ac:dyDescent="0.15">
      <c r="A1974">
        <v>20</v>
      </c>
      <c r="B1974">
        <v>2026</v>
      </c>
      <c r="C1974" s="25">
        <v>46163</v>
      </c>
      <c r="D1974" t="s">
        <v>115</v>
      </c>
      <c r="E1974" t="s">
        <v>116</v>
      </c>
      <c r="F1974" t="s">
        <v>21</v>
      </c>
      <c r="G1974">
        <v>2</v>
      </c>
      <c r="H1974" t="s">
        <v>3841</v>
      </c>
      <c r="I1974" t="s">
        <v>3842</v>
      </c>
      <c r="J1974" s="1" t="s">
        <v>3533</v>
      </c>
      <c r="K1974" t="s">
        <v>181</v>
      </c>
      <c r="L1974" t="s">
        <v>3333</v>
      </c>
      <c r="M1974">
        <v>3</v>
      </c>
      <c r="N1974">
        <v>1</v>
      </c>
      <c r="O1974" t="s">
        <v>3334</v>
      </c>
      <c r="P1974">
        <v>81.58</v>
      </c>
      <c r="Q1974">
        <v>8</v>
      </c>
      <c r="R1974" t="s">
        <v>3478</v>
      </c>
      <c r="T1974" t="s">
        <v>3402</v>
      </c>
      <c r="U1974">
        <v>0</v>
      </c>
      <c r="V1974" t="s">
        <v>3456</v>
      </c>
    </row>
    <row r="1975" spans="1:22" ht="12.75" customHeight="1" x14ac:dyDescent="0.15">
      <c r="A1975">
        <v>20</v>
      </c>
      <c r="B1975">
        <v>2026</v>
      </c>
      <c r="C1975" s="25">
        <v>46163</v>
      </c>
      <c r="D1975" t="s">
        <v>19</v>
      </c>
      <c r="E1975" t="s">
        <v>20</v>
      </c>
      <c r="F1975" t="s">
        <v>21</v>
      </c>
      <c r="G1975">
        <v>3.8</v>
      </c>
      <c r="H1975" t="s">
        <v>3937</v>
      </c>
      <c r="I1975" t="s">
        <v>309</v>
      </c>
      <c r="J1975" s="1" t="s">
        <v>307</v>
      </c>
      <c r="K1975" t="s">
        <v>181</v>
      </c>
      <c r="L1975" t="s">
        <v>3333</v>
      </c>
      <c r="M1975">
        <v>67</v>
      </c>
      <c r="N1975">
        <v>4</v>
      </c>
      <c r="O1975" t="s">
        <v>3334</v>
      </c>
      <c r="P1975">
        <v>15.3</v>
      </c>
      <c r="Q1975">
        <v>1.5</v>
      </c>
      <c r="R1975" t="s">
        <v>3404</v>
      </c>
      <c r="S1975" t="s">
        <v>4006</v>
      </c>
      <c r="T1975" t="s">
        <v>3402</v>
      </c>
      <c r="U1975">
        <v>163</v>
      </c>
      <c r="V1975" t="s">
        <v>3420</v>
      </c>
    </row>
    <row r="1976" spans="1:22" ht="12.75" customHeight="1" x14ac:dyDescent="0.15">
      <c r="A1976">
        <v>20</v>
      </c>
      <c r="B1976">
        <v>2026</v>
      </c>
      <c r="C1976" s="25">
        <v>46163</v>
      </c>
      <c r="D1976" t="s">
        <v>19</v>
      </c>
      <c r="E1976" t="s">
        <v>20</v>
      </c>
      <c r="F1976" t="s">
        <v>21</v>
      </c>
      <c r="G1976">
        <v>3.8</v>
      </c>
      <c r="H1976" t="s">
        <v>3937</v>
      </c>
      <c r="I1976" t="s">
        <v>309</v>
      </c>
      <c r="J1976" s="1" t="s">
        <v>307</v>
      </c>
      <c r="K1976" t="s">
        <v>181</v>
      </c>
      <c r="L1976" t="s">
        <v>3333</v>
      </c>
      <c r="M1976">
        <v>19</v>
      </c>
      <c r="N1976">
        <v>0.19</v>
      </c>
      <c r="O1976" t="s">
        <v>3334</v>
      </c>
      <c r="P1976">
        <v>15.3</v>
      </c>
      <c r="Q1976">
        <v>1.5</v>
      </c>
      <c r="R1976" t="s">
        <v>3403</v>
      </c>
      <c r="T1976" t="s">
        <v>3402</v>
      </c>
      <c r="U1976">
        <v>163</v>
      </c>
      <c r="V1976" t="s">
        <v>3420</v>
      </c>
    </row>
    <row r="1977" spans="1:22" ht="12.75" customHeight="1" x14ac:dyDescent="0.15">
      <c r="A1977">
        <v>20</v>
      </c>
      <c r="B1977">
        <v>2026</v>
      </c>
      <c r="C1977" s="25">
        <v>46163</v>
      </c>
      <c r="D1977" t="s">
        <v>19</v>
      </c>
      <c r="E1977" t="s">
        <v>20</v>
      </c>
      <c r="F1977" t="s">
        <v>21</v>
      </c>
      <c r="G1977">
        <v>3.8</v>
      </c>
      <c r="H1977" t="s">
        <v>3937</v>
      </c>
      <c r="I1977" t="s">
        <v>309</v>
      </c>
      <c r="J1977" s="1" t="s">
        <v>307</v>
      </c>
      <c r="K1977" t="s">
        <v>181</v>
      </c>
      <c r="L1977" t="s">
        <v>3340</v>
      </c>
      <c r="M1977">
        <v>78</v>
      </c>
      <c r="N1977">
        <v>0.7</v>
      </c>
      <c r="O1977" t="s">
        <v>211</v>
      </c>
      <c r="P1977">
        <v>38.75</v>
      </c>
      <c r="R1977" t="s">
        <v>3341</v>
      </c>
      <c r="T1977" t="s">
        <v>3402</v>
      </c>
      <c r="U1977">
        <v>163</v>
      </c>
      <c r="V1977" t="s">
        <v>3472</v>
      </c>
    </row>
    <row r="1978" spans="1:22" ht="12.75" customHeight="1" x14ac:dyDescent="0.15">
      <c r="A1978">
        <v>20</v>
      </c>
      <c r="B1978">
        <v>2026</v>
      </c>
      <c r="C1978" s="25">
        <v>46163</v>
      </c>
      <c r="D1978" t="s">
        <v>19</v>
      </c>
      <c r="E1978" t="s">
        <v>20</v>
      </c>
      <c r="F1978" t="s">
        <v>21</v>
      </c>
      <c r="G1978">
        <v>3.8</v>
      </c>
      <c r="H1978" t="s">
        <v>3937</v>
      </c>
      <c r="I1978" t="s">
        <v>309</v>
      </c>
      <c r="J1978" s="1" t="s">
        <v>307</v>
      </c>
      <c r="K1978" t="s">
        <v>181</v>
      </c>
      <c r="L1978" t="s">
        <v>3340</v>
      </c>
      <c r="M1978">
        <v>67</v>
      </c>
      <c r="N1978">
        <v>0.43</v>
      </c>
      <c r="O1978" t="s">
        <v>211</v>
      </c>
      <c r="P1978">
        <v>23.75</v>
      </c>
      <c r="R1978" t="s">
        <v>3404</v>
      </c>
      <c r="T1978" t="s">
        <v>3402</v>
      </c>
      <c r="U1978">
        <v>163</v>
      </c>
      <c r="V1978" t="s">
        <v>4007</v>
      </c>
    </row>
    <row r="1979" spans="1:22" ht="12.75" customHeight="1" x14ac:dyDescent="0.15">
      <c r="A1979">
        <v>20</v>
      </c>
      <c r="B1979">
        <v>2026</v>
      </c>
      <c r="C1979" s="25">
        <v>46163</v>
      </c>
      <c r="D1979" t="s">
        <v>19</v>
      </c>
      <c r="E1979" t="s">
        <v>20</v>
      </c>
      <c r="F1979" t="s">
        <v>21</v>
      </c>
      <c r="G1979">
        <v>3.8</v>
      </c>
      <c r="H1979" t="s">
        <v>3937</v>
      </c>
      <c r="I1979" t="s">
        <v>309</v>
      </c>
      <c r="J1979" s="1" t="s">
        <v>307</v>
      </c>
      <c r="K1979" t="s">
        <v>181</v>
      </c>
      <c r="L1979" t="s">
        <v>3340</v>
      </c>
      <c r="M1979">
        <v>19</v>
      </c>
      <c r="N1979">
        <v>0.43</v>
      </c>
      <c r="O1979" t="s">
        <v>211</v>
      </c>
      <c r="P1979">
        <v>23.75</v>
      </c>
      <c r="R1979" t="s">
        <v>3403</v>
      </c>
      <c r="T1979" t="s">
        <v>3402</v>
      </c>
      <c r="U1979">
        <v>163</v>
      </c>
      <c r="V1979" t="s">
        <v>4007</v>
      </c>
    </row>
    <row r="1980" spans="1:22" ht="12.75" customHeight="1" x14ac:dyDescent="0.15">
      <c r="A1980">
        <v>20</v>
      </c>
      <c r="B1980">
        <v>2026</v>
      </c>
      <c r="C1980" s="25">
        <v>46163</v>
      </c>
      <c r="D1980" t="s">
        <v>73</v>
      </c>
      <c r="E1980" t="s">
        <v>74</v>
      </c>
      <c r="F1980" t="s">
        <v>75</v>
      </c>
      <c r="G1980">
        <v>2.2999999999999998</v>
      </c>
      <c r="H1980" t="s">
        <v>3391</v>
      </c>
      <c r="I1980" t="s">
        <v>353</v>
      </c>
      <c r="J1980" s="1" t="s">
        <v>253</v>
      </c>
      <c r="K1980" t="s">
        <v>181</v>
      </c>
      <c r="L1980" t="s">
        <v>3333</v>
      </c>
      <c r="M1980">
        <v>67</v>
      </c>
      <c r="N1980">
        <v>0.81</v>
      </c>
      <c r="O1980" t="s">
        <v>3334</v>
      </c>
      <c r="P1980">
        <v>66.28</v>
      </c>
      <c r="Q1980">
        <v>6.5</v>
      </c>
      <c r="R1980" t="s">
        <v>3404</v>
      </c>
      <c r="T1980" t="s">
        <v>3402</v>
      </c>
      <c r="U1980">
        <v>33</v>
      </c>
      <c r="V1980" t="s">
        <v>3697</v>
      </c>
    </row>
    <row r="1981" spans="1:22" ht="12.75" customHeight="1" x14ac:dyDescent="0.15">
      <c r="A1981">
        <v>20</v>
      </c>
      <c r="B1981">
        <v>2026</v>
      </c>
      <c r="C1981" s="25">
        <v>46163</v>
      </c>
      <c r="D1981" t="s">
        <v>73</v>
      </c>
      <c r="E1981" t="s">
        <v>74</v>
      </c>
      <c r="F1981" t="s">
        <v>75</v>
      </c>
      <c r="G1981">
        <v>2.2999999999999998</v>
      </c>
      <c r="H1981" t="s">
        <v>3391</v>
      </c>
      <c r="I1981" t="s">
        <v>353</v>
      </c>
      <c r="J1981" s="1" t="s">
        <v>253</v>
      </c>
      <c r="K1981" t="s">
        <v>181</v>
      </c>
      <c r="L1981" t="s">
        <v>3333</v>
      </c>
      <c r="M1981">
        <v>19</v>
      </c>
      <c r="N1981">
        <v>0.81</v>
      </c>
      <c r="O1981" t="s">
        <v>3334</v>
      </c>
      <c r="P1981">
        <v>66.28</v>
      </c>
      <c r="Q1981">
        <v>6.5</v>
      </c>
      <c r="R1981" t="s">
        <v>3403</v>
      </c>
      <c r="T1981" t="s">
        <v>3402</v>
      </c>
      <c r="U1981">
        <v>33</v>
      </c>
      <c r="V1981" t="s">
        <v>3697</v>
      </c>
    </row>
    <row r="1982" spans="1:22" ht="12.75" customHeight="1" x14ac:dyDescent="0.15">
      <c r="A1982">
        <v>20</v>
      </c>
      <c r="B1982">
        <v>2026</v>
      </c>
      <c r="C1982" s="25">
        <v>46163</v>
      </c>
      <c r="D1982" t="s">
        <v>73</v>
      </c>
      <c r="E1982" t="s">
        <v>74</v>
      </c>
      <c r="F1982" t="s">
        <v>75</v>
      </c>
      <c r="G1982">
        <v>2.2999999999999998</v>
      </c>
      <c r="H1982" t="s">
        <v>3391</v>
      </c>
      <c r="I1982" t="s">
        <v>353</v>
      </c>
      <c r="J1982" s="1" t="s">
        <v>253</v>
      </c>
      <c r="K1982" t="s">
        <v>181</v>
      </c>
      <c r="L1982" t="s">
        <v>3340</v>
      </c>
      <c r="M1982">
        <v>78</v>
      </c>
      <c r="N1982">
        <v>1.06</v>
      </c>
      <c r="O1982" t="s">
        <v>211</v>
      </c>
      <c r="P1982">
        <v>58.5</v>
      </c>
      <c r="Q1982">
        <v>6.5</v>
      </c>
      <c r="R1982" t="s">
        <v>3341</v>
      </c>
      <c r="T1982" t="s">
        <v>3402</v>
      </c>
      <c r="U1982">
        <v>33</v>
      </c>
      <c r="V1982" t="s">
        <v>3698</v>
      </c>
    </row>
    <row r="1983" spans="1:22" ht="12.75" customHeight="1" x14ac:dyDescent="0.15">
      <c r="A1983">
        <v>20</v>
      </c>
      <c r="B1983">
        <v>2026</v>
      </c>
      <c r="C1983" s="25">
        <v>46163</v>
      </c>
      <c r="D1983" t="s">
        <v>101</v>
      </c>
      <c r="E1983" t="s">
        <v>102</v>
      </c>
      <c r="F1983" t="s">
        <v>75</v>
      </c>
      <c r="G1983">
        <v>7.6</v>
      </c>
      <c r="H1983" t="s">
        <v>3653</v>
      </c>
      <c r="I1983" t="s">
        <v>3566</v>
      </c>
      <c r="J1983" s="1" t="s">
        <v>3389</v>
      </c>
      <c r="K1983" t="s">
        <v>181</v>
      </c>
      <c r="L1983" t="s">
        <v>3333</v>
      </c>
      <c r="M1983">
        <v>11</v>
      </c>
      <c r="N1983">
        <v>0.25</v>
      </c>
      <c r="O1983" t="s">
        <v>213</v>
      </c>
      <c r="P1983">
        <v>22.5</v>
      </c>
      <c r="Q1983">
        <v>2</v>
      </c>
      <c r="R1983" t="s">
        <v>3564</v>
      </c>
      <c r="T1983" t="s">
        <v>3402</v>
      </c>
      <c r="U1983">
        <v>23</v>
      </c>
      <c r="V1983" t="s">
        <v>3979</v>
      </c>
    </row>
    <row r="1984" spans="1:22" ht="12.75" customHeight="1" x14ac:dyDescent="0.15">
      <c r="A1984">
        <v>20</v>
      </c>
      <c r="B1984">
        <v>2026</v>
      </c>
      <c r="C1984" s="25">
        <v>46163</v>
      </c>
      <c r="D1984" t="s">
        <v>73</v>
      </c>
      <c r="E1984" t="s">
        <v>74</v>
      </c>
      <c r="F1984" t="s">
        <v>75</v>
      </c>
      <c r="G1984">
        <v>2.2999999999999998</v>
      </c>
      <c r="H1984" t="s">
        <v>3585</v>
      </c>
      <c r="I1984" t="s">
        <v>346</v>
      </c>
      <c r="J1984" s="1" t="s">
        <v>3389</v>
      </c>
      <c r="K1984" t="s">
        <v>181</v>
      </c>
      <c r="L1984" t="s">
        <v>3333</v>
      </c>
      <c r="M1984">
        <v>11</v>
      </c>
      <c r="N1984">
        <v>0.14000000000000001</v>
      </c>
      <c r="O1984" t="s">
        <v>213</v>
      </c>
      <c r="P1984">
        <v>12.94</v>
      </c>
      <c r="Q1984">
        <v>1.1499999999999999</v>
      </c>
      <c r="R1984" t="s">
        <v>3564</v>
      </c>
      <c r="T1984" t="s">
        <v>3402</v>
      </c>
      <c r="U1984">
        <v>33</v>
      </c>
      <c r="V1984" t="s">
        <v>4008</v>
      </c>
    </row>
    <row r="1985" spans="1:22" ht="12.75" customHeight="1" x14ac:dyDescent="0.15">
      <c r="A1985">
        <v>20</v>
      </c>
      <c r="B1985">
        <v>2026</v>
      </c>
      <c r="C1985" s="25">
        <v>46163</v>
      </c>
      <c r="D1985" t="s">
        <v>101</v>
      </c>
      <c r="E1985" t="s">
        <v>102</v>
      </c>
      <c r="F1985" t="s">
        <v>75</v>
      </c>
      <c r="G1985">
        <v>7.6</v>
      </c>
      <c r="H1985" t="s">
        <v>3653</v>
      </c>
      <c r="I1985" t="s">
        <v>3566</v>
      </c>
      <c r="J1985" s="1" t="s">
        <v>3389</v>
      </c>
      <c r="K1985" t="s">
        <v>181</v>
      </c>
      <c r="L1985" t="s">
        <v>3333</v>
      </c>
      <c r="M1985">
        <v>80</v>
      </c>
      <c r="N1985">
        <v>0.13</v>
      </c>
      <c r="O1985" t="s">
        <v>213</v>
      </c>
      <c r="P1985">
        <v>11.25</v>
      </c>
      <c r="Q1985">
        <v>1</v>
      </c>
      <c r="R1985" t="s">
        <v>3560</v>
      </c>
      <c r="T1985" t="s">
        <v>3402</v>
      </c>
      <c r="U1985">
        <v>23</v>
      </c>
      <c r="V1985" t="s">
        <v>4009</v>
      </c>
    </row>
    <row r="1986" spans="1:22" ht="12.75" customHeight="1" x14ac:dyDescent="0.15">
      <c r="A1986">
        <v>20</v>
      </c>
      <c r="B1986">
        <v>2026</v>
      </c>
      <c r="C1986" s="25">
        <v>46163</v>
      </c>
      <c r="D1986" t="s">
        <v>101</v>
      </c>
      <c r="E1986" t="s">
        <v>102</v>
      </c>
      <c r="F1986" t="s">
        <v>75</v>
      </c>
      <c r="G1986">
        <v>7.6</v>
      </c>
      <c r="H1986" t="s">
        <v>3878</v>
      </c>
      <c r="I1986" t="s">
        <v>3566</v>
      </c>
      <c r="J1986" s="1" t="s">
        <v>3389</v>
      </c>
      <c r="K1986" t="s">
        <v>2666</v>
      </c>
      <c r="L1986" t="s">
        <v>3587</v>
      </c>
      <c r="N1986">
        <v>0.76</v>
      </c>
      <c r="O1986" t="s">
        <v>3838</v>
      </c>
      <c r="P1986">
        <v>16.25</v>
      </c>
      <c r="Q1986">
        <v>2</v>
      </c>
      <c r="T1986" t="s">
        <v>3402</v>
      </c>
      <c r="U1986">
        <v>23</v>
      </c>
      <c r="V1986" t="s">
        <v>4010</v>
      </c>
    </row>
    <row r="1987" spans="1:22" ht="12.75" customHeight="1" x14ac:dyDescent="0.15">
      <c r="A1987">
        <v>20</v>
      </c>
      <c r="B1987">
        <v>2026</v>
      </c>
      <c r="C1987" s="25">
        <v>46163</v>
      </c>
      <c r="D1987" t="s">
        <v>73</v>
      </c>
      <c r="E1987" t="s">
        <v>74</v>
      </c>
      <c r="F1987" t="s">
        <v>75</v>
      </c>
      <c r="G1987">
        <v>2.2999999999999998</v>
      </c>
      <c r="H1987" t="s">
        <v>3586</v>
      </c>
      <c r="I1987" t="s">
        <v>346</v>
      </c>
      <c r="J1987" s="1" t="s">
        <v>3389</v>
      </c>
      <c r="K1987" t="s">
        <v>2666</v>
      </c>
      <c r="L1987" t="s">
        <v>3587</v>
      </c>
      <c r="N1987">
        <v>0.44</v>
      </c>
      <c r="O1987" t="s">
        <v>3838</v>
      </c>
      <c r="P1987">
        <v>9.34</v>
      </c>
      <c r="Q1987">
        <v>1.1499999999999999</v>
      </c>
      <c r="T1987" t="s">
        <v>3402</v>
      </c>
      <c r="U1987">
        <v>33</v>
      </c>
      <c r="V1987" t="s">
        <v>4011</v>
      </c>
    </row>
    <row r="1988" spans="1:22" ht="12.75" customHeight="1" x14ac:dyDescent="0.15">
      <c r="A1988">
        <v>20</v>
      </c>
      <c r="B1988">
        <v>2026</v>
      </c>
      <c r="C1988" s="25">
        <v>46163</v>
      </c>
      <c r="D1988" t="s">
        <v>101</v>
      </c>
      <c r="E1988" t="s">
        <v>102</v>
      </c>
      <c r="F1988" t="s">
        <v>75</v>
      </c>
      <c r="G1988">
        <v>7.6</v>
      </c>
      <c r="H1988" t="s">
        <v>3878</v>
      </c>
      <c r="I1988" t="s">
        <v>3566</v>
      </c>
      <c r="J1988" s="1" t="s">
        <v>3389</v>
      </c>
      <c r="K1988" t="s">
        <v>2666</v>
      </c>
      <c r="L1988" t="s">
        <v>3587</v>
      </c>
      <c r="N1988">
        <v>0.38</v>
      </c>
      <c r="O1988" t="s">
        <v>3838</v>
      </c>
      <c r="P1988">
        <v>8.1199999999999992</v>
      </c>
      <c r="Q1988">
        <v>1</v>
      </c>
      <c r="T1988" t="s">
        <v>3402</v>
      </c>
      <c r="U1988">
        <v>23</v>
      </c>
      <c r="V1988" t="s">
        <v>4012</v>
      </c>
    </row>
    <row r="1989" spans="1:22" ht="12.75" customHeight="1" x14ac:dyDescent="0.15">
      <c r="A1989">
        <v>20</v>
      </c>
      <c r="B1989">
        <v>2026</v>
      </c>
      <c r="C1989" s="25">
        <v>46163</v>
      </c>
      <c r="D1989" t="s">
        <v>137</v>
      </c>
      <c r="E1989" t="s">
        <v>138</v>
      </c>
      <c r="F1989" t="s">
        <v>75</v>
      </c>
      <c r="G1989">
        <v>1</v>
      </c>
      <c r="H1989" t="s">
        <v>3567</v>
      </c>
      <c r="I1989" t="s">
        <v>321</v>
      </c>
      <c r="J1989" s="1" t="s">
        <v>26</v>
      </c>
      <c r="K1989" t="s">
        <v>181</v>
      </c>
      <c r="L1989" t="s">
        <v>3340</v>
      </c>
      <c r="M1989">
        <v>86</v>
      </c>
      <c r="N1989">
        <v>1.0900000000000001</v>
      </c>
      <c r="O1989" t="s">
        <v>211</v>
      </c>
      <c r="P1989">
        <v>60</v>
      </c>
      <c r="R1989" t="s">
        <v>3386</v>
      </c>
      <c r="T1989" t="s">
        <v>3402</v>
      </c>
      <c r="U1989">
        <v>-57</v>
      </c>
      <c r="V1989" t="s">
        <v>189</v>
      </c>
    </row>
    <row r="1990" spans="1:22" ht="12.75" customHeight="1" x14ac:dyDescent="0.15">
      <c r="A1990">
        <v>20</v>
      </c>
      <c r="B1990">
        <v>2026</v>
      </c>
      <c r="C1990" s="25">
        <v>46163</v>
      </c>
      <c r="D1990" t="s">
        <v>137</v>
      </c>
      <c r="E1990" t="s">
        <v>138</v>
      </c>
      <c r="F1990" t="s">
        <v>75</v>
      </c>
      <c r="G1990">
        <v>1</v>
      </c>
      <c r="H1990" t="s">
        <v>4013</v>
      </c>
      <c r="I1990" t="s">
        <v>321</v>
      </c>
      <c r="J1990" s="1" t="s">
        <v>26</v>
      </c>
      <c r="K1990" t="s">
        <v>2666</v>
      </c>
      <c r="L1990" t="s">
        <v>3587</v>
      </c>
      <c r="N1990">
        <v>2.2799999999999998</v>
      </c>
      <c r="O1990" t="s">
        <v>3501</v>
      </c>
      <c r="P1990">
        <v>48.67</v>
      </c>
      <c r="Q1990">
        <v>6</v>
      </c>
      <c r="T1990" t="s">
        <v>3402</v>
      </c>
      <c r="U1990">
        <v>-57</v>
      </c>
      <c r="V1990" t="s">
        <v>4172</v>
      </c>
    </row>
    <row r="1991" spans="1:22" ht="12.75" customHeight="1" x14ac:dyDescent="0.15">
      <c r="A1991">
        <v>20</v>
      </c>
      <c r="B1991">
        <v>2026</v>
      </c>
      <c r="C1991" s="25">
        <v>46163</v>
      </c>
      <c r="D1991" t="s">
        <v>73</v>
      </c>
      <c r="E1991" t="s">
        <v>74</v>
      </c>
      <c r="F1991" t="s">
        <v>75</v>
      </c>
      <c r="G1991">
        <v>2.2999999999999998</v>
      </c>
      <c r="H1991" t="s">
        <v>3391</v>
      </c>
      <c r="I1991" t="s">
        <v>353</v>
      </c>
      <c r="J1991" s="1" t="s">
        <v>253</v>
      </c>
      <c r="K1991" t="s">
        <v>181</v>
      </c>
      <c r="L1991" t="s">
        <v>3587</v>
      </c>
      <c r="M1991">
        <v>120</v>
      </c>
      <c r="N1991">
        <v>7.67</v>
      </c>
      <c r="O1991" t="s">
        <v>211</v>
      </c>
      <c r="P1991">
        <v>422</v>
      </c>
      <c r="R1991" t="s">
        <v>3415</v>
      </c>
      <c r="S1991" t="s">
        <v>4016</v>
      </c>
      <c r="T1991" t="s">
        <v>3402</v>
      </c>
      <c r="U1991">
        <v>33</v>
      </c>
      <c r="V1991" t="s">
        <v>4017</v>
      </c>
    </row>
    <row r="1992" spans="1:22" ht="12.75" customHeight="1" x14ac:dyDescent="0.15">
      <c r="A1992">
        <v>20</v>
      </c>
      <c r="B1992">
        <v>2026</v>
      </c>
      <c r="C1992" s="25">
        <v>46163</v>
      </c>
      <c r="D1992" t="s">
        <v>73</v>
      </c>
      <c r="E1992" t="s">
        <v>74</v>
      </c>
      <c r="F1992" t="s">
        <v>75</v>
      </c>
      <c r="G1992">
        <v>2.2999999999999998</v>
      </c>
      <c r="H1992" t="s">
        <v>4018</v>
      </c>
      <c r="I1992" t="s">
        <v>3986</v>
      </c>
      <c r="J1992" s="1" t="s">
        <v>3389</v>
      </c>
      <c r="K1992" t="s">
        <v>3987</v>
      </c>
      <c r="L1992" t="s">
        <v>3587</v>
      </c>
      <c r="M1992">
        <v>199</v>
      </c>
      <c r="N1992">
        <v>1</v>
      </c>
      <c r="O1992" t="s">
        <v>216</v>
      </c>
      <c r="P1992">
        <v>80</v>
      </c>
      <c r="R1992" t="s">
        <v>3988</v>
      </c>
      <c r="T1992" t="s">
        <v>3402</v>
      </c>
      <c r="U1992">
        <v>33</v>
      </c>
      <c r="V1992" t="s">
        <v>3627</v>
      </c>
    </row>
    <row r="1993" spans="1:22" ht="12.75" customHeight="1" x14ac:dyDescent="0.15">
      <c r="A1993">
        <v>20</v>
      </c>
      <c r="B1993">
        <v>2026</v>
      </c>
      <c r="C1993" s="25">
        <v>46163</v>
      </c>
      <c r="D1993" t="s">
        <v>19</v>
      </c>
      <c r="E1993" t="s">
        <v>20</v>
      </c>
      <c r="F1993" t="s">
        <v>21</v>
      </c>
      <c r="G1993">
        <v>3.8</v>
      </c>
      <c r="H1993" t="s">
        <v>3945</v>
      </c>
      <c r="I1993" t="s">
        <v>3686</v>
      </c>
      <c r="J1993" s="1" t="s">
        <v>3437</v>
      </c>
      <c r="K1993" t="s">
        <v>181</v>
      </c>
      <c r="L1993" t="s">
        <v>3333</v>
      </c>
      <c r="M1993">
        <v>4</v>
      </c>
      <c r="N1993">
        <v>0.75</v>
      </c>
      <c r="O1993" t="s">
        <v>3334</v>
      </c>
      <c r="P1993">
        <v>61.19</v>
      </c>
      <c r="Q1993">
        <v>6</v>
      </c>
      <c r="R1993" t="s">
        <v>3773</v>
      </c>
      <c r="T1993" t="s">
        <v>3402</v>
      </c>
      <c r="U1993">
        <v>163</v>
      </c>
      <c r="V1993" t="s">
        <v>3345</v>
      </c>
    </row>
    <row r="1994" spans="1:22" ht="12.75" customHeight="1" x14ac:dyDescent="0.15">
      <c r="A1994">
        <v>20</v>
      </c>
      <c r="B1994">
        <v>2026</v>
      </c>
      <c r="C1994" s="25">
        <v>46163</v>
      </c>
      <c r="D1994" t="s">
        <v>19</v>
      </c>
      <c r="E1994" t="s">
        <v>20</v>
      </c>
      <c r="F1994" t="s">
        <v>21</v>
      </c>
      <c r="G1994">
        <v>3.8</v>
      </c>
      <c r="H1994" t="s">
        <v>3945</v>
      </c>
      <c r="I1994" t="s">
        <v>3686</v>
      </c>
      <c r="J1994" s="1" t="s">
        <v>3437</v>
      </c>
      <c r="K1994" t="s">
        <v>181</v>
      </c>
      <c r="L1994" t="s">
        <v>3333</v>
      </c>
      <c r="M1994">
        <v>4</v>
      </c>
      <c r="N1994">
        <v>0.25</v>
      </c>
      <c r="O1994" t="s">
        <v>3334</v>
      </c>
      <c r="P1994">
        <v>20.399999999999999</v>
      </c>
      <c r="Q1994">
        <v>2</v>
      </c>
      <c r="R1994" t="s">
        <v>3773</v>
      </c>
      <c r="T1994" t="s">
        <v>3402</v>
      </c>
      <c r="U1994">
        <v>163</v>
      </c>
      <c r="V1994" t="s">
        <v>3455</v>
      </c>
    </row>
    <row r="1995" spans="1:22" ht="12.75" customHeight="1" x14ac:dyDescent="0.15">
      <c r="A1995">
        <v>20</v>
      </c>
      <c r="B1995">
        <v>2026</v>
      </c>
      <c r="C1995" s="25">
        <v>46163</v>
      </c>
      <c r="D1995" t="s">
        <v>115</v>
      </c>
      <c r="E1995" t="s">
        <v>116</v>
      </c>
      <c r="F1995" t="s">
        <v>21</v>
      </c>
      <c r="G1995">
        <v>2</v>
      </c>
      <c r="H1995" t="s">
        <v>3845</v>
      </c>
      <c r="I1995" t="s">
        <v>380</v>
      </c>
      <c r="J1995" s="1" t="s">
        <v>3533</v>
      </c>
      <c r="K1995" t="s">
        <v>181</v>
      </c>
      <c r="L1995" t="s">
        <v>3340</v>
      </c>
      <c r="M1995">
        <v>3</v>
      </c>
      <c r="N1995">
        <v>9.2899999999999991</v>
      </c>
      <c r="O1995" t="s">
        <v>211</v>
      </c>
      <c r="P1995">
        <v>511</v>
      </c>
      <c r="R1995" t="s">
        <v>3478</v>
      </c>
      <c r="T1995" t="s">
        <v>3402</v>
      </c>
      <c r="U1995">
        <v>0</v>
      </c>
      <c r="V1995" t="s">
        <v>4019</v>
      </c>
    </row>
    <row r="1996" spans="1:22" ht="12.75" customHeight="1" x14ac:dyDescent="0.15">
      <c r="A1996">
        <v>20</v>
      </c>
      <c r="B1996">
        <v>2026</v>
      </c>
      <c r="C1996" s="25">
        <v>46163</v>
      </c>
      <c r="H1996" t="s">
        <v>3841</v>
      </c>
      <c r="I1996" t="s">
        <v>3842</v>
      </c>
      <c r="K1996" t="s">
        <v>181</v>
      </c>
      <c r="L1996" t="s">
        <v>3340</v>
      </c>
      <c r="M1996">
        <v>3</v>
      </c>
      <c r="N1996">
        <v>1.31</v>
      </c>
      <c r="O1996" t="s">
        <v>211</v>
      </c>
      <c r="P1996">
        <v>72</v>
      </c>
      <c r="Q1996">
        <v>8</v>
      </c>
      <c r="R1996" t="s">
        <v>3478</v>
      </c>
      <c r="T1996" t="s">
        <v>3402</v>
      </c>
      <c r="V1996" t="e">
        <f>+P1996/G1996</f>
        <v>#DIV/0!</v>
      </c>
    </row>
    <row r="1997" spans="1:22" ht="12.75" customHeight="1" x14ac:dyDescent="0.15">
      <c r="A1997">
        <v>21</v>
      </c>
      <c r="B1997">
        <v>2026</v>
      </c>
      <c r="C1997" s="25">
        <v>46164</v>
      </c>
      <c r="D1997" t="s">
        <v>73</v>
      </c>
      <c r="E1997" t="s">
        <v>74</v>
      </c>
      <c r="F1997" t="s">
        <v>75</v>
      </c>
      <c r="G1997">
        <v>2.2999999999999998</v>
      </c>
      <c r="H1997" t="s">
        <v>3400</v>
      </c>
      <c r="I1997" t="s">
        <v>353</v>
      </c>
      <c r="J1997" s="1" t="s">
        <v>253</v>
      </c>
      <c r="K1997" t="s">
        <v>181</v>
      </c>
      <c r="L1997" t="s">
        <v>3340</v>
      </c>
      <c r="M1997">
        <v>132</v>
      </c>
      <c r="N1997">
        <v>0.33</v>
      </c>
      <c r="O1997" t="s">
        <v>211</v>
      </c>
      <c r="P1997">
        <v>18</v>
      </c>
      <c r="Q1997">
        <v>2</v>
      </c>
      <c r="R1997" t="s">
        <v>3368</v>
      </c>
      <c r="S1997" t="s">
        <v>4020</v>
      </c>
      <c r="T1997" t="s">
        <v>3337</v>
      </c>
      <c r="U1997">
        <v>34</v>
      </c>
      <c r="V1997" t="s">
        <v>3724</v>
      </c>
    </row>
    <row r="1998" spans="1:22" ht="12.75" customHeight="1" x14ac:dyDescent="0.15">
      <c r="A1998">
        <v>21</v>
      </c>
      <c r="B1998">
        <v>2026</v>
      </c>
      <c r="C1998" s="25">
        <v>46164</v>
      </c>
      <c r="D1998" t="s">
        <v>107</v>
      </c>
      <c r="E1998" t="s">
        <v>108</v>
      </c>
      <c r="F1998" t="s">
        <v>21</v>
      </c>
      <c r="G1998">
        <v>4.5</v>
      </c>
      <c r="H1998" t="s">
        <v>3519</v>
      </c>
      <c r="I1998" t="s">
        <v>214</v>
      </c>
      <c r="J1998" s="1" t="s">
        <v>215</v>
      </c>
      <c r="K1998" t="s">
        <v>181</v>
      </c>
      <c r="L1998" t="s">
        <v>3340</v>
      </c>
      <c r="M1998">
        <v>62</v>
      </c>
      <c r="N1998">
        <v>0.73</v>
      </c>
      <c r="O1998" t="s">
        <v>211</v>
      </c>
      <c r="P1998">
        <v>40</v>
      </c>
      <c r="R1998" t="s">
        <v>3375</v>
      </c>
      <c r="T1998" t="s">
        <v>3337</v>
      </c>
      <c r="U1998">
        <v>7</v>
      </c>
      <c r="V1998" t="s">
        <v>4021</v>
      </c>
    </row>
    <row r="1999" spans="1:22" ht="12.75" customHeight="1" x14ac:dyDescent="0.15">
      <c r="A1999">
        <v>21</v>
      </c>
      <c r="B1999">
        <v>2026</v>
      </c>
      <c r="C1999" s="25">
        <v>46164</v>
      </c>
      <c r="D1999" t="s">
        <v>107</v>
      </c>
      <c r="E1999" t="s">
        <v>108</v>
      </c>
      <c r="F1999" t="s">
        <v>21</v>
      </c>
      <c r="G1999">
        <v>4.5</v>
      </c>
      <c r="H1999" t="s">
        <v>3519</v>
      </c>
      <c r="I1999" t="s">
        <v>214</v>
      </c>
      <c r="J1999" s="1" t="s">
        <v>215</v>
      </c>
      <c r="K1999" t="s">
        <v>181</v>
      </c>
      <c r="L1999" t="s">
        <v>3340</v>
      </c>
      <c r="M1999">
        <v>45</v>
      </c>
      <c r="N1999">
        <v>0.73</v>
      </c>
      <c r="O1999" t="s">
        <v>211</v>
      </c>
      <c r="P1999">
        <v>40</v>
      </c>
      <c r="R1999" t="s">
        <v>3377</v>
      </c>
      <c r="T1999" t="s">
        <v>3337</v>
      </c>
      <c r="U1999">
        <v>7</v>
      </c>
      <c r="V1999" t="s">
        <v>4021</v>
      </c>
    </row>
    <row r="2000" spans="1:22" ht="12.75" customHeight="1" x14ac:dyDescent="0.15">
      <c r="A2000">
        <v>21</v>
      </c>
      <c r="B2000">
        <v>2026</v>
      </c>
      <c r="C2000" s="25">
        <v>46164</v>
      </c>
      <c r="D2000" t="s">
        <v>107</v>
      </c>
      <c r="E2000" t="s">
        <v>108</v>
      </c>
      <c r="F2000" t="s">
        <v>21</v>
      </c>
      <c r="G2000">
        <v>4.5</v>
      </c>
      <c r="H2000" t="s">
        <v>3519</v>
      </c>
      <c r="I2000" t="s">
        <v>214</v>
      </c>
      <c r="J2000" s="1" t="s">
        <v>215</v>
      </c>
      <c r="K2000" t="s">
        <v>181</v>
      </c>
      <c r="L2000" t="s">
        <v>3340</v>
      </c>
      <c r="M2000">
        <v>58</v>
      </c>
      <c r="N2000">
        <v>0.73</v>
      </c>
      <c r="O2000" t="s">
        <v>211</v>
      </c>
      <c r="P2000">
        <v>40</v>
      </c>
      <c r="R2000" t="s">
        <v>3343</v>
      </c>
      <c r="T2000" t="s">
        <v>3337</v>
      </c>
      <c r="U2000">
        <v>7</v>
      </c>
      <c r="V2000" t="s">
        <v>4021</v>
      </c>
    </row>
    <row r="2001" spans="1:22" ht="12.75" customHeight="1" x14ac:dyDescent="0.15">
      <c r="A2001">
        <v>21</v>
      </c>
      <c r="B2001">
        <v>2026</v>
      </c>
      <c r="C2001" s="25">
        <v>46164</v>
      </c>
      <c r="D2001" t="s">
        <v>107</v>
      </c>
      <c r="E2001" t="s">
        <v>108</v>
      </c>
      <c r="F2001" t="s">
        <v>21</v>
      </c>
      <c r="G2001">
        <v>4.5</v>
      </c>
      <c r="H2001" t="s">
        <v>3519</v>
      </c>
      <c r="I2001" t="s">
        <v>214</v>
      </c>
      <c r="J2001" s="1" t="s">
        <v>215</v>
      </c>
      <c r="K2001" t="s">
        <v>181</v>
      </c>
      <c r="L2001" t="s">
        <v>3340</v>
      </c>
      <c r="M2001">
        <v>81</v>
      </c>
      <c r="N2001">
        <v>0.73</v>
      </c>
      <c r="O2001" t="s">
        <v>211</v>
      </c>
      <c r="P2001">
        <v>40</v>
      </c>
      <c r="R2001" t="s">
        <v>3374</v>
      </c>
      <c r="T2001" t="s">
        <v>3337</v>
      </c>
      <c r="U2001">
        <v>7</v>
      </c>
      <c r="V2001" t="s">
        <v>4021</v>
      </c>
    </row>
    <row r="2002" spans="1:22" ht="12.75" customHeight="1" x14ac:dyDescent="0.15">
      <c r="A2002">
        <v>21</v>
      </c>
      <c r="B2002">
        <v>2026</v>
      </c>
      <c r="C2002" s="25">
        <v>46164</v>
      </c>
      <c r="D2002" t="s">
        <v>107</v>
      </c>
      <c r="E2002" t="s">
        <v>108</v>
      </c>
      <c r="F2002" t="s">
        <v>21</v>
      </c>
      <c r="G2002">
        <v>4.5</v>
      </c>
      <c r="H2002" t="s">
        <v>3519</v>
      </c>
      <c r="I2002" t="s">
        <v>214</v>
      </c>
      <c r="J2002" s="1" t="s">
        <v>215</v>
      </c>
      <c r="K2002" t="s">
        <v>181</v>
      </c>
      <c r="L2002" t="s">
        <v>3340</v>
      </c>
      <c r="M2002">
        <v>53</v>
      </c>
      <c r="N2002">
        <v>0.73</v>
      </c>
      <c r="O2002" t="s">
        <v>211</v>
      </c>
      <c r="P2002">
        <v>40</v>
      </c>
      <c r="R2002" t="s">
        <v>3373</v>
      </c>
      <c r="T2002" t="s">
        <v>3337</v>
      </c>
      <c r="U2002">
        <v>7</v>
      </c>
      <c r="V2002" t="s">
        <v>4021</v>
      </c>
    </row>
    <row r="2003" spans="1:22" ht="12.75" customHeight="1" x14ac:dyDescent="0.15">
      <c r="A2003">
        <v>21</v>
      </c>
      <c r="B2003">
        <v>2026</v>
      </c>
      <c r="C2003" s="25">
        <v>46164</v>
      </c>
      <c r="D2003" t="s">
        <v>107</v>
      </c>
      <c r="E2003" t="s">
        <v>108</v>
      </c>
      <c r="F2003" t="s">
        <v>21</v>
      </c>
      <c r="G2003">
        <v>4.5</v>
      </c>
      <c r="H2003" t="s">
        <v>3519</v>
      </c>
      <c r="I2003" t="s">
        <v>214</v>
      </c>
      <c r="J2003" s="1" t="s">
        <v>215</v>
      </c>
      <c r="K2003" t="s">
        <v>181</v>
      </c>
      <c r="L2003" t="s">
        <v>3340</v>
      </c>
      <c r="M2003">
        <v>132</v>
      </c>
      <c r="N2003">
        <v>0.73</v>
      </c>
      <c r="O2003" t="s">
        <v>211</v>
      </c>
      <c r="P2003">
        <v>40</v>
      </c>
      <c r="R2003" t="s">
        <v>3368</v>
      </c>
      <c r="T2003" t="s">
        <v>3337</v>
      </c>
      <c r="U2003">
        <v>7</v>
      </c>
      <c r="V2003" t="s">
        <v>4021</v>
      </c>
    </row>
    <row r="2004" spans="1:22" ht="12.75" customHeight="1" x14ac:dyDescent="0.15">
      <c r="A2004">
        <v>21</v>
      </c>
      <c r="B2004">
        <v>2026</v>
      </c>
      <c r="C2004" s="25">
        <v>46164</v>
      </c>
      <c r="D2004" t="s">
        <v>84</v>
      </c>
      <c r="E2004" t="s">
        <v>85</v>
      </c>
      <c r="F2004" t="s">
        <v>21</v>
      </c>
      <c r="G2004">
        <v>2</v>
      </c>
      <c r="H2004" t="s">
        <v>3519</v>
      </c>
      <c r="I2004" t="s">
        <v>214</v>
      </c>
      <c r="J2004" s="1" t="s">
        <v>215</v>
      </c>
      <c r="K2004" t="s">
        <v>181</v>
      </c>
      <c r="L2004" t="s">
        <v>3340</v>
      </c>
      <c r="M2004">
        <v>62</v>
      </c>
      <c r="N2004">
        <v>0.36</v>
      </c>
      <c r="O2004" t="s">
        <v>211</v>
      </c>
      <c r="P2004">
        <v>20</v>
      </c>
      <c r="R2004" t="s">
        <v>3375</v>
      </c>
      <c r="T2004" t="s">
        <v>3337</v>
      </c>
      <c r="U2004">
        <v>32</v>
      </c>
      <c r="V2004" t="s">
        <v>3711</v>
      </c>
    </row>
    <row r="2005" spans="1:22" ht="12.75" customHeight="1" x14ac:dyDescent="0.15">
      <c r="A2005">
        <v>21</v>
      </c>
      <c r="B2005">
        <v>2026</v>
      </c>
      <c r="C2005" s="25">
        <v>46164</v>
      </c>
      <c r="D2005" t="s">
        <v>84</v>
      </c>
      <c r="E2005" t="s">
        <v>85</v>
      </c>
      <c r="F2005" t="s">
        <v>21</v>
      </c>
      <c r="G2005">
        <v>2</v>
      </c>
      <c r="H2005" t="s">
        <v>3519</v>
      </c>
      <c r="I2005" t="s">
        <v>214</v>
      </c>
      <c r="J2005" s="1" t="s">
        <v>215</v>
      </c>
      <c r="K2005" t="s">
        <v>181</v>
      </c>
      <c r="L2005" t="s">
        <v>3340</v>
      </c>
      <c r="M2005">
        <v>45</v>
      </c>
      <c r="N2005">
        <v>0.36</v>
      </c>
      <c r="O2005" t="s">
        <v>211</v>
      </c>
      <c r="P2005">
        <v>20</v>
      </c>
      <c r="R2005" t="s">
        <v>3377</v>
      </c>
      <c r="T2005" t="s">
        <v>3337</v>
      </c>
      <c r="U2005">
        <v>32</v>
      </c>
      <c r="V2005" t="s">
        <v>3711</v>
      </c>
    </row>
    <row r="2006" spans="1:22" ht="12.75" customHeight="1" x14ac:dyDescent="0.15">
      <c r="A2006">
        <v>21</v>
      </c>
      <c r="B2006">
        <v>2026</v>
      </c>
      <c r="C2006" s="25">
        <v>46164</v>
      </c>
      <c r="D2006" t="s">
        <v>84</v>
      </c>
      <c r="E2006" t="s">
        <v>85</v>
      </c>
      <c r="F2006" t="s">
        <v>21</v>
      </c>
      <c r="G2006">
        <v>2</v>
      </c>
      <c r="H2006" t="s">
        <v>3519</v>
      </c>
      <c r="I2006" t="s">
        <v>214</v>
      </c>
      <c r="J2006" s="1" t="s">
        <v>215</v>
      </c>
      <c r="K2006" t="s">
        <v>181</v>
      </c>
      <c r="L2006" t="s">
        <v>3340</v>
      </c>
      <c r="M2006">
        <v>53</v>
      </c>
      <c r="N2006">
        <v>0.36</v>
      </c>
      <c r="O2006" t="s">
        <v>211</v>
      </c>
      <c r="P2006">
        <v>20</v>
      </c>
      <c r="R2006" t="s">
        <v>3373</v>
      </c>
      <c r="T2006" t="s">
        <v>3337</v>
      </c>
      <c r="U2006">
        <v>32</v>
      </c>
      <c r="V2006" t="s">
        <v>3711</v>
      </c>
    </row>
    <row r="2007" spans="1:22" ht="12.75" customHeight="1" x14ac:dyDescent="0.15">
      <c r="A2007">
        <v>21</v>
      </c>
      <c r="B2007">
        <v>2026</v>
      </c>
      <c r="C2007" s="25">
        <v>46164</v>
      </c>
      <c r="D2007" t="s">
        <v>84</v>
      </c>
      <c r="E2007" t="s">
        <v>85</v>
      </c>
      <c r="F2007" t="s">
        <v>21</v>
      </c>
      <c r="G2007">
        <v>2</v>
      </c>
      <c r="H2007" t="s">
        <v>3519</v>
      </c>
      <c r="I2007" t="s">
        <v>214</v>
      </c>
      <c r="J2007" s="1" t="s">
        <v>215</v>
      </c>
      <c r="K2007" t="s">
        <v>181</v>
      </c>
      <c r="L2007" t="s">
        <v>3340</v>
      </c>
      <c r="M2007">
        <v>81</v>
      </c>
      <c r="N2007">
        <v>0.36</v>
      </c>
      <c r="O2007" t="s">
        <v>211</v>
      </c>
      <c r="P2007">
        <v>20</v>
      </c>
      <c r="R2007" t="s">
        <v>3374</v>
      </c>
      <c r="T2007" t="s">
        <v>3337</v>
      </c>
      <c r="U2007">
        <v>32</v>
      </c>
      <c r="V2007" t="s">
        <v>3711</v>
      </c>
    </row>
    <row r="2008" spans="1:22" ht="12.75" customHeight="1" x14ac:dyDescent="0.15">
      <c r="A2008">
        <v>21</v>
      </c>
      <c r="B2008">
        <v>2026</v>
      </c>
      <c r="C2008" s="25">
        <v>46164</v>
      </c>
      <c r="D2008" t="s">
        <v>84</v>
      </c>
      <c r="E2008" t="s">
        <v>85</v>
      </c>
      <c r="F2008" t="s">
        <v>21</v>
      </c>
      <c r="G2008">
        <v>2</v>
      </c>
      <c r="H2008" t="s">
        <v>3519</v>
      </c>
      <c r="I2008" t="s">
        <v>214</v>
      </c>
      <c r="J2008" s="1" t="s">
        <v>215</v>
      </c>
      <c r="K2008" t="s">
        <v>181</v>
      </c>
      <c r="L2008" t="s">
        <v>3340</v>
      </c>
      <c r="M2008">
        <v>58</v>
      </c>
      <c r="N2008">
        <v>0.36</v>
      </c>
      <c r="O2008" t="s">
        <v>211</v>
      </c>
      <c r="P2008">
        <v>20</v>
      </c>
      <c r="R2008" t="s">
        <v>3343</v>
      </c>
      <c r="T2008" t="s">
        <v>3337</v>
      </c>
      <c r="U2008">
        <v>32</v>
      </c>
      <c r="V2008" t="s">
        <v>3711</v>
      </c>
    </row>
    <row r="2009" spans="1:22" ht="12.75" customHeight="1" x14ac:dyDescent="0.15">
      <c r="A2009">
        <v>21</v>
      </c>
      <c r="B2009">
        <v>2026</v>
      </c>
      <c r="C2009" s="25">
        <v>46164</v>
      </c>
      <c r="D2009" t="s">
        <v>84</v>
      </c>
      <c r="E2009" t="s">
        <v>85</v>
      </c>
      <c r="F2009" t="s">
        <v>21</v>
      </c>
      <c r="G2009">
        <v>2</v>
      </c>
      <c r="H2009" t="s">
        <v>3519</v>
      </c>
      <c r="I2009" t="s">
        <v>214</v>
      </c>
      <c r="J2009" s="1" t="s">
        <v>215</v>
      </c>
      <c r="K2009" t="s">
        <v>181</v>
      </c>
      <c r="L2009" t="s">
        <v>3340</v>
      </c>
      <c r="M2009">
        <v>132</v>
      </c>
      <c r="N2009">
        <v>0.36</v>
      </c>
      <c r="O2009" t="s">
        <v>211</v>
      </c>
      <c r="P2009">
        <v>20</v>
      </c>
      <c r="R2009" t="s">
        <v>3368</v>
      </c>
      <c r="T2009" t="s">
        <v>3337</v>
      </c>
      <c r="U2009">
        <v>32</v>
      </c>
      <c r="V2009" t="s">
        <v>3711</v>
      </c>
    </row>
    <row r="2010" spans="1:22" ht="12.75" customHeight="1" x14ac:dyDescent="0.15">
      <c r="A2010">
        <v>21</v>
      </c>
      <c r="B2010">
        <v>2026</v>
      </c>
      <c r="C2010" s="25">
        <v>46164</v>
      </c>
      <c r="D2010" t="s">
        <v>73</v>
      </c>
      <c r="E2010" t="s">
        <v>74</v>
      </c>
      <c r="F2010" t="s">
        <v>75</v>
      </c>
      <c r="G2010">
        <v>2.2999999999999998</v>
      </c>
      <c r="H2010" t="s">
        <v>3400</v>
      </c>
      <c r="I2010" t="s">
        <v>353</v>
      </c>
      <c r="J2010" s="1" t="s">
        <v>253</v>
      </c>
      <c r="K2010" t="s">
        <v>181</v>
      </c>
      <c r="L2010" t="s">
        <v>3333</v>
      </c>
      <c r="M2010">
        <v>2</v>
      </c>
      <c r="N2010">
        <v>0.35</v>
      </c>
      <c r="O2010" t="s">
        <v>3440</v>
      </c>
      <c r="P2010">
        <v>31.67</v>
      </c>
      <c r="Q2010">
        <v>2.8</v>
      </c>
      <c r="R2010" t="s">
        <v>3424</v>
      </c>
      <c r="T2010" t="s">
        <v>3337</v>
      </c>
      <c r="U2010">
        <v>34</v>
      </c>
      <c r="V2010" t="s">
        <v>4022</v>
      </c>
    </row>
    <row r="2011" spans="1:22" ht="12.75" customHeight="1" x14ac:dyDescent="0.15">
      <c r="A2011">
        <v>21</v>
      </c>
      <c r="B2011">
        <v>2026</v>
      </c>
      <c r="C2011" s="25">
        <v>46164</v>
      </c>
      <c r="D2011" t="s">
        <v>80</v>
      </c>
      <c r="E2011" t="s">
        <v>81</v>
      </c>
      <c r="F2011" t="s">
        <v>21</v>
      </c>
      <c r="G2011">
        <v>2.2999999999999998</v>
      </c>
      <c r="H2011" t="s">
        <v>3400</v>
      </c>
      <c r="I2011" t="s">
        <v>353</v>
      </c>
      <c r="J2011" s="1" t="s">
        <v>253</v>
      </c>
      <c r="K2011" t="s">
        <v>181</v>
      </c>
      <c r="L2011" t="s">
        <v>3333</v>
      </c>
      <c r="M2011">
        <v>2</v>
      </c>
      <c r="N2011">
        <v>0.65</v>
      </c>
      <c r="O2011" t="s">
        <v>3440</v>
      </c>
      <c r="P2011">
        <v>58.82</v>
      </c>
      <c r="Q2011">
        <v>5.2</v>
      </c>
      <c r="R2011" t="s">
        <v>3424</v>
      </c>
      <c r="T2011" t="s">
        <v>3337</v>
      </c>
      <c r="U2011">
        <v>50</v>
      </c>
      <c r="V2011" t="s">
        <v>4023</v>
      </c>
    </row>
    <row r="2012" spans="1:22" ht="12.75" customHeight="1" x14ac:dyDescent="0.15">
      <c r="A2012">
        <v>21</v>
      </c>
      <c r="B2012">
        <v>2026</v>
      </c>
      <c r="C2012" s="25">
        <v>46164</v>
      </c>
      <c r="D2012" t="s">
        <v>137</v>
      </c>
      <c r="E2012" t="s">
        <v>138</v>
      </c>
      <c r="F2012" t="s">
        <v>75</v>
      </c>
      <c r="G2012">
        <v>1</v>
      </c>
      <c r="H2012" t="s">
        <v>3567</v>
      </c>
      <c r="I2012" t="s">
        <v>321</v>
      </c>
      <c r="J2012" s="1" t="s">
        <v>26</v>
      </c>
      <c r="K2012" t="s">
        <v>181</v>
      </c>
      <c r="L2012" t="s">
        <v>3333</v>
      </c>
      <c r="M2012">
        <v>80</v>
      </c>
      <c r="N2012">
        <v>0.25</v>
      </c>
      <c r="O2012" t="s">
        <v>213</v>
      </c>
      <c r="P2012">
        <v>22.5</v>
      </c>
      <c r="Q2012">
        <v>2</v>
      </c>
      <c r="R2012" t="s">
        <v>3560</v>
      </c>
      <c r="T2012" t="s">
        <v>3402</v>
      </c>
      <c r="U2012">
        <v>-56</v>
      </c>
      <c r="V2012" t="s">
        <v>3523</v>
      </c>
    </row>
    <row r="2013" spans="1:22" ht="12.75" customHeight="1" x14ac:dyDescent="0.15">
      <c r="A2013">
        <v>21</v>
      </c>
      <c r="B2013">
        <v>2026</v>
      </c>
      <c r="C2013" s="25">
        <v>46164</v>
      </c>
      <c r="D2013" t="s">
        <v>137</v>
      </c>
      <c r="E2013" t="s">
        <v>138</v>
      </c>
      <c r="F2013" t="s">
        <v>75</v>
      </c>
      <c r="G2013">
        <v>1</v>
      </c>
      <c r="H2013" t="s">
        <v>4013</v>
      </c>
      <c r="I2013" t="s">
        <v>321</v>
      </c>
      <c r="J2013" s="1" t="s">
        <v>26</v>
      </c>
      <c r="K2013" t="s">
        <v>2666</v>
      </c>
      <c r="L2013" t="s">
        <v>3587</v>
      </c>
      <c r="N2013">
        <v>0.76</v>
      </c>
      <c r="O2013" t="s">
        <v>3501</v>
      </c>
      <c r="P2013">
        <v>16.22</v>
      </c>
      <c r="Q2013">
        <v>2</v>
      </c>
      <c r="T2013" t="s">
        <v>3402</v>
      </c>
      <c r="U2013">
        <v>-56</v>
      </c>
      <c r="V2013" t="s">
        <v>4173</v>
      </c>
    </row>
    <row r="2014" spans="1:22" ht="12.75" customHeight="1" x14ac:dyDescent="0.15">
      <c r="A2014">
        <v>21</v>
      </c>
      <c r="B2014">
        <v>2026</v>
      </c>
      <c r="C2014" s="25">
        <v>46164</v>
      </c>
      <c r="D2014" t="s">
        <v>115</v>
      </c>
      <c r="E2014" t="s">
        <v>116</v>
      </c>
      <c r="F2014" t="s">
        <v>21</v>
      </c>
      <c r="G2014">
        <v>2</v>
      </c>
      <c r="H2014" t="s">
        <v>4025</v>
      </c>
      <c r="I2014" t="s">
        <v>4026</v>
      </c>
      <c r="J2014" s="1" t="s">
        <v>215</v>
      </c>
      <c r="K2014" t="s">
        <v>2666</v>
      </c>
      <c r="L2014" t="s">
        <v>3587</v>
      </c>
      <c r="N2014">
        <v>0.38</v>
      </c>
      <c r="O2014" t="s">
        <v>3501</v>
      </c>
      <c r="P2014">
        <v>8.11</v>
      </c>
      <c r="Q2014">
        <v>1</v>
      </c>
      <c r="T2014" t="s">
        <v>3402</v>
      </c>
      <c r="U2014">
        <v>1</v>
      </c>
      <c r="V2014" t="s">
        <v>4011</v>
      </c>
    </row>
    <row r="2015" spans="1:22" ht="12.75" customHeight="1" x14ac:dyDescent="0.15">
      <c r="A2015">
        <v>21</v>
      </c>
      <c r="B2015">
        <v>2026</v>
      </c>
      <c r="C2015" s="25">
        <v>46164</v>
      </c>
      <c r="D2015" t="s">
        <v>115</v>
      </c>
      <c r="E2015" t="s">
        <v>116</v>
      </c>
      <c r="F2015" t="s">
        <v>21</v>
      </c>
      <c r="G2015">
        <v>2</v>
      </c>
      <c r="H2015" t="s">
        <v>3605</v>
      </c>
      <c r="I2015" t="s">
        <v>335</v>
      </c>
      <c r="J2015" s="1" t="s">
        <v>3533</v>
      </c>
      <c r="K2015" t="s">
        <v>181</v>
      </c>
      <c r="L2015" t="s">
        <v>3333</v>
      </c>
      <c r="M2015">
        <v>3</v>
      </c>
      <c r="N2015">
        <v>0.13</v>
      </c>
      <c r="O2015" t="s">
        <v>3334</v>
      </c>
      <c r="P2015">
        <v>10.199999999999999</v>
      </c>
      <c r="Q2015">
        <v>1</v>
      </c>
      <c r="R2015" t="s">
        <v>3478</v>
      </c>
      <c r="T2015" t="s">
        <v>3402</v>
      </c>
      <c r="U2015">
        <v>1</v>
      </c>
      <c r="V2015" t="s">
        <v>3463</v>
      </c>
    </row>
    <row r="2016" spans="1:22" ht="12.75" customHeight="1" x14ac:dyDescent="0.15">
      <c r="A2016">
        <v>21</v>
      </c>
      <c r="B2016">
        <v>2026</v>
      </c>
      <c r="C2016" s="25">
        <v>46164</v>
      </c>
      <c r="D2016" t="s">
        <v>115</v>
      </c>
      <c r="E2016" t="s">
        <v>116</v>
      </c>
      <c r="F2016" t="s">
        <v>21</v>
      </c>
      <c r="G2016">
        <v>2</v>
      </c>
      <c r="H2016" t="s">
        <v>3605</v>
      </c>
      <c r="I2016" t="s">
        <v>335</v>
      </c>
      <c r="J2016" s="1" t="s">
        <v>3533</v>
      </c>
      <c r="K2016" t="s">
        <v>181</v>
      </c>
      <c r="L2016" t="s">
        <v>3333</v>
      </c>
      <c r="M2016">
        <v>86</v>
      </c>
      <c r="N2016">
        <v>0.13</v>
      </c>
      <c r="O2016" t="s">
        <v>3334</v>
      </c>
      <c r="P2016">
        <v>10.199999999999999</v>
      </c>
      <c r="Q2016">
        <v>1</v>
      </c>
      <c r="R2016" t="s">
        <v>3386</v>
      </c>
      <c r="T2016" t="s">
        <v>3402</v>
      </c>
      <c r="U2016">
        <v>1</v>
      </c>
      <c r="V2016" t="s">
        <v>3463</v>
      </c>
    </row>
    <row r="2017" spans="1:22" ht="12.75" customHeight="1" x14ac:dyDescent="0.15">
      <c r="A2017">
        <v>21</v>
      </c>
      <c r="B2017">
        <v>2026</v>
      </c>
      <c r="C2017" s="25">
        <v>46164</v>
      </c>
      <c r="D2017" t="s">
        <v>115</v>
      </c>
      <c r="E2017" t="s">
        <v>116</v>
      </c>
      <c r="F2017" t="s">
        <v>21</v>
      </c>
      <c r="G2017">
        <v>2</v>
      </c>
      <c r="H2017" t="s">
        <v>3845</v>
      </c>
      <c r="I2017" t="s">
        <v>380</v>
      </c>
      <c r="J2017" s="1" t="s">
        <v>3533</v>
      </c>
      <c r="K2017" t="s">
        <v>181</v>
      </c>
      <c r="L2017" t="s">
        <v>3333</v>
      </c>
      <c r="M2017">
        <v>3</v>
      </c>
      <c r="N2017">
        <v>0.88</v>
      </c>
      <c r="O2017" t="s">
        <v>3334</v>
      </c>
      <c r="P2017">
        <v>71.38</v>
      </c>
      <c r="Q2017">
        <v>7</v>
      </c>
      <c r="R2017" t="s">
        <v>3478</v>
      </c>
      <c r="T2017" t="s">
        <v>3402</v>
      </c>
      <c r="U2017">
        <v>1</v>
      </c>
      <c r="V2017" t="s">
        <v>3469</v>
      </c>
    </row>
    <row r="2018" spans="1:22" ht="12.75" customHeight="1" x14ac:dyDescent="0.15">
      <c r="A2018">
        <v>21</v>
      </c>
      <c r="B2018">
        <v>2026</v>
      </c>
      <c r="C2018" s="25">
        <v>46164</v>
      </c>
      <c r="D2018" t="s">
        <v>115</v>
      </c>
      <c r="E2018" t="s">
        <v>116</v>
      </c>
      <c r="F2018" t="s">
        <v>21</v>
      </c>
      <c r="G2018">
        <v>2</v>
      </c>
      <c r="H2018" t="s">
        <v>3845</v>
      </c>
      <c r="I2018" t="s">
        <v>380</v>
      </c>
      <c r="J2018" s="1" t="s">
        <v>3533</v>
      </c>
      <c r="K2018" t="s">
        <v>181</v>
      </c>
      <c r="L2018" t="s">
        <v>3333</v>
      </c>
      <c r="M2018">
        <v>86</v>
      </c>
      <c r="N2018">
        <v>0.88</v>
      </c>
      <c r="O2018" t="s">
        <v>3334</v>
      </c>
      <c r="P2018">
        <v>71.38</v>
      </c>
      <c r="Q2018">
        <v>7</v>
      </c>
      <c r="R2018" t="s">
        <v>3386</v>
      </c>
      <c r="T2018" t="s">
        <v>3402</v>
      </c>
      <c r="U2018">
        <v>1</v>
      </c>
      <c r="V2018" t="s">
        <v>3469</v>
      </c>
    </row>
    <row r="2019" spans="1:22" ht="12.75" customHeight="1" x14ac:dyDescent="0.15">
      <c r="A2019">
        <v>21</v>
      </c>
      <c r="B2019">
        <v>2026</v>
      </c>
      <c r="C2019" s="25">
        <v>46164</v>
      </c>
      <c r="D2019" t="s">
        <v>80</v>
      </c>
      <c r="E2019" t="s">
        <v>81</v>
      </c>
      <c r="F2019" t="s">
        <v>21</v>
      </c>
      <c r="G2019">
        <v>2.2999999999999998</v>
      </c>
      <c r="H2019" t="s">
        <v>3391</v>
      </c>
      <c r="I2019" t="s">
        <v>353</v>
      </c>
      <c r="J2019" s="1" t="s">
        <v>253</v>
      </c>
      <c r="K2019" t="s">
        <v>181</v>
      </c>
      <c r="L2019" t="s">
        <v>3333</v>
      </c>
      <c r="M2019">
        <v>19</v>
      </c>
      <c r="N2019">
        <v>0.66</v>
      </c>
      <c r="O2019" t="s">
        <v>3334</v>
      </c>
      <c r="P2019">
        <v>53.54</v>
      </c>
      <c r="Q2019">
        <v>5.25</v>
      </c>
      <c r="R2019" t="s">
        <v>3403</v>
      </c>
      <c r="T2019" t="s">
        <v>3402</v>
      </c>
      <c r="U2019">
        <v>50</v>
      </c>
      <c r="V2019" t="s">
        <v>4027</v>
      </c>
    </row>
    <row r="2020" spans="1:22" ht="12.75" customHeight="1" x14ac:dyDescent="0.15">
      <c r="A2020">
        <v>21</v>
      </c>
      <c r="B2020">
        <v>2026</v>
      </c>
      <c r="C2020" s="25">
        <v>46164</v>
      </c>
      <c r="D2020" t="s">
        <v>80</v>
      </c>
      <c r="E2020" t="s">
        <v>81</v>
      </c>
      <c r="F2020" t="s">
        <v>21</v>
      </c>
      <c r="G2020">
        <v>2.2999999999999998</v>
      </c>
      <c r="H2020" t="s">
        <v>3391</v>
      </c>
      <c r="I2020" t="s">
        <v>353</v>
      </c>
      <c r="J2020" s="1" t="s">
        <v>253</v>
      </c>
      <c r="K2020" t="s">
        <v>181</v>
      </c>
      <c r="L2020" t="s">
        <v>3333</v>
      </c>
      <c r="M2020">
        <v>4</v>
      </c>
      <c r="N2020">
        <v>0.28000000000000003</v>
      </c>
      <c r="O2020" t="s">
        <v>3334</v>
      </c>
      <c r="P2020">
        <v>22.94</v>
      </c>
      <c r="Q2020">
        <v>2.25</v>
      </c>
      <c r="R2020" t="s">
        <v>3773</v>
      </c>
      <c r="T2020" t="s">
        <v>3402</v>
      </c>
      <c r="U2020">
        <v>50</v>
      </c>
      <c r="V2020" t="s">
        <v>4028</v>
      </c>
    </row>
    <row r="2021" spans="1:22" ht="12.75" customHeight="1" x14ac:dyDescent="0.15">
      <c r="A2021">
        <v>21</v>
      </c>
      <c r="B2021">
        <v>2026</v>
      </c>
      <c r="C2021" s="25">
        <v>46164</v>
      </c>
      <c r="D2021" t="s">
        <v>80</v>
      </c>
      <c r="E2021" t="s">
        <v>81</v>
      </c>
      <c r="F2021" t="s">
        <v>21</v>
      </c>
      <c r="G2021">
        <v>2.2999999999999998</v>
      </c>
      <c r="H2021" t="s">
        <v>3391</v>
      </c>
      <c r="I2021" t="s">
        <v>353</v>
      </c>
      <c r="J2021" s="1" t="s">
        <v>253</v>
      </c>
      <c r="K2021" t="s">
        <v>181</v>
      </c>
      <c r="L2021" t="s">
        <v>3340</v>
      </c>
      <c r="M2021">
        <v>78</v>
      </c>
      <c r="N2021">
        <v>0.86</v>
      </c>
      <c r="O2021" t="s">
        <v>211</v>
      </c>
      <c r="P2021">
        <v>47.25</v>
      </c>
      <c r="Q2021">
        <v>5.25</v>
      </c>
      <c r="R2021" t="s">
        <v>3341</v>
      </c>
      <c r="T2021" t="s">
        <v>3402</v>
      </c>
      <c r="U2021">
        <v>50</v>
      </c>
      <c r="V2021" t="s">
        <v>4029</v>
      </c>
    </row>
    <row r="2022" spans="1:22" ht="12.75" customHeight="1" x14ac:dyDescent="0.15">
      <c r="A2022">
        <v>21</v>
      </c>
      <c r="B2022">
        <v>2026</v>
      </c>
      <c r="C2022" s="25">
        <v>46164</v>
      </c>
      <c r="D2022" t="s">
        <v>73</v>
      </c>
      <c r="E2022" t="s">
        <v>74</v>
      </c>
      <c r="F2022" t="s">
        <v>75</v>
      </c>
      <c r="G2022">
        <v>2.2999999999999998</v>
      </c>
      <c r="H2022" t="s">
        <v>3391</v>
      </c>
      <c r="I2022" t="s">
        <v>353</v>
      </c>
      <c r="J2022" s="1" t="s">
        <v>253</v>
      </c>
      <c r="K2022" t="s">
        <v>181</v>
      </c>
      <c r="L2022" t="s">
        <v>3333</v>
      </c>
      <c r="M2022">
        <v>19</v>
      </c>
      <c r="N2022">
        <v>0.34</v>
      </c>
      <c r="O2022" t="s">
        <v>3334</v>
      </c>
      <c r="P2022">
        <v>28.04</v>
      </c>
      <c r="Q2022">
        <v>2.75</v>
      </c>
      <c r="R2022" t="s">
        <v>3403</v>
      </c>
      <c r="T2022" t="s">
        <v>3402</v>
      </c>
      <c r="U2022">
        <v>34</v>
      </c>
      <c r="V2022" t="s">
        <v>4030</v>
      </c>
    </row>
    <row r="2023" spans="1:22" ht="12.75" customHeight="1" x14ac:dyDescent="0.15">
      <c r="A2023">
        <v>21</v>
      </c>
      <c r="B2023">
        <v>2026</v>
      </c>
      <c r="C2023" s="25">
        <v>46164</v>
      </c>
      <c r="D2023" t="s">
        <v>73</v>
      </c>
      <c r="E2023" t="s">
        <v>74</v>
      </c>
      <c r="F2023" t="s">
        <v>75</v>
      </c>
      <c r="G2023">
        <v>2.2999999999999998</v>
      </c>
      <c r="H2023" t="s">
        <v>3391</v>
      </c>
      <c r="I2023" t="s">
        <v>353</v>
      </c>
      <c r="J2023" s="1" t="s">
        <v>253</v>
      </c>
      <c r="K2023" t="s">
        <v>181</v>
      </c>
      <c r="L2023" t="s">
        <v>3333</v>
      </c>
      <c r="M2023">
        <v>4</v>
      </c>
      <c r="N2023">
        <v>0.34</v>
      </c>
      <c r="O2023" t="s">
        <v>3334</v>
      </c>
      <c r="P2023">
        <v>28.04</v>
      </c>
      <c r="Q2023">
        <v>2.75</v>
      </c>
      <c r="R2023" t="s">
        <v>3773</v>
      </c>
      <c r="T2023" t="s">
        <v>3402</v>
      </c>
      <c r="U2023">
        <v>34</v>
      </c>
      <c r="V2023" t="s">
        <v>4030</v>
      </c>
    </row>
    <row r="2024" spans="1:22" ht="12.75" customHeight="1" x14ac:dyDescent="0.15">
      <c r="A2024">
        <v>21</v>
      </c>
      <c r="B2024">
        <v>2026</v>
      </c>
      <c r="C2024" s="25">
        <v>46164</v>
      </c>
      <c r="D2024" t="s">
        <v>73</v>
      </c>
      <c r="E2024" t="s">
        <v>74</v>
      </c>
      <c r="F2024" t="s">
        <v>75</v>
      </c>
      <c r="G2024">
        <v>2.2999999999999998</v>
      </c>
      <c r="H2024" t="s">
        <v>3391</v>
      </c>
      <c r="I2024" t="s">
        <v>353</v>
      </c>
      <c r="J2024" s="1" t="s">
        <v>253</v>
      </c>
      <c r="K2024" t="s">
        <v>181</v>
      </c>
      <c r="L2024" t="s">
        <v>3340</v>
      </c>
      <c r="M2024">
        <v>78</v>
      </c>
      <c r="N2024">
        <v>0.45</v>
      </c>
      <c r="O2024" t="s">
        <v>211</v>
      </c>
      <c r="P2024">
        <v>24.75</v>
      </c>
      <c r="Q2024">
        <v>2.75</v>
      </c>
      <c r="R2024" t="s">
        <v>3341</v>
      </c>
      <c r="T2024" t="s">
        <v>3402</v>
      </c>
      <c r="U2024">
        <v>34</v>
      </c>
      <c r="V2024" t="s">
        <v>4031</v>
      </c>
    </row>
    <row r="2025" spans="1:22" ht="12.75" customHeight="1" x14ac:dyDescent="0.15">
      <c r="A2025">
        <v>21</v>
      </c>
      <c r="B2025">
        <v>2026</v>
      </c>
      <c r="C2025" s="25">
        <v>46164</v>
      </c>
      <c r="D2025" t="s">
        <v>73</v>
      </c>
      <c r="E2025" t="s">
        <v>74</v>
      </c>
      <c r="F2025" t="s">
        <v>75</v>
      </c>
      <c r="G2025">
        <v>2.2999999999999998</v>
      </c>
      <c r="H2025" t="s">
        <v>3391</v>
      </c>
      <c r="I2025" t="s">
        <v>353</v>
      </c>
      <c r="J2025" s="1" t="s">
        <v>253</v>
      </c>
      <c r="K2025" t="s">
        <v>181</v>
      </c>
      <c r="L2025" t="s">
        <v>3587</v>
      </c>
      <c r="M2025">
        <v>120</v>
      </c>
      <c r="N2025">
        <v>3.27</v>
      </c>
      <c r="O2025" t="s">
        <v>211</v>
      </c>
      <c r="P2025">
        <v>179.6</v>
      </c>
      <c r="R2025" t="s">
        <v>3415</v>
      </c>
      <c r="T2025" t="s">
        <v>3402</v>
      </c>
      <c r="U2025">
        <v>34</v>
      </c>
      <c r="V2025" t="s">
        <v>4032</v>
      </c>
    </row>
    <row r="2026" spans="1:22" ht="12.75" customHeight="1" x14ac:dyDescent="0.15">
      <c r="A2026">
        <v>21</v>
      </c>
      <c r="B2026">
        <v>2026</v>
      </c>
      <c r="C2026" s="25">
        <v>46164</v>
      </c>
      <c r="D2026" t="s">
        <v>80</v>
      </c>
      <c r="E2026" t="s">
        <v>81</v>
      </c>
      <c r="F2026" t="s">
        <v>21</v>
      </c>
      <c r="G2026">
        <v>2.2999999999999998</v>
      </c>
      <c r="H2026" t="s">
        <v>3391</v>
      </c>
      <c r="I2026" t="s">
        <v>353</v>
      </c>
      <c r="J2026" s="1" t="s">
        <v>253</v>
      </c>
      <c r="K2026" t="s">
        <v>181</v>
      </c>
      <c r="L2026" t="s">
        <v>3587</v>
      </c>
      <c r="M2026">
        <v>120</v>
      </c>
      <c r="N2026">
        <v>4.7300000000000004</v>
      </c>
      <c r="O2026" t="s">
        <v>211</v>
      </c>
      <c r="P2026">
        <v>260.39999999999998</v>
      </c>
      <c r="R2026" t="s">
        <v>3415</v>
      </c>
      <c r="T2026" t="s">
        <v>3402</v>
      </c>
      <c r="U2026">
        <v>50</v>
      </c>
      <c r="V2026" t="s">
        <v>4033</v>
      </c>
    </row>
    <row r="2027" spans="1:22" ht="12.75" customHeight="1" x14ac:dyDescent="0.15">
      <c r="A2027">
        <v>21</v>
      </c>
      <c r="B2027">
        <v>2026</v>
      </c>
      <c r="C2027" s="25">
        <v>46164</v>
      </c>
      <c r="D2027" t="s">
        <v>73</v>
      </c>
      <c r="E2027" t="s">
        <v>74</v>
      </c>
      <c r="F2027" t="s">
        <v>75</v>
      </c>
      <c r="G2027">
        <v>2.2999999999999998</v>
      </c>
      <c r="H2027" t="s">
        <v>3985</v>
      </c>
      <c r="I2027" t="s">
        <v>3986</v>
      </c>
      <c r="J2027" s="1" t="s">
        <v>3389</v>
      </c>
      <c r="K2027" t="s">
        <v>3987</v>
      </c>
      <c r="L2027" t="s">
        <v>3587</v>
      </c>
      <c r="M2027">
        <v>199</v>
      </c>
      <c r="P2027">
        <v>20</v>
      </c>
      <c r="R2027" t="s">
        <v>3988</v>
      </c>
      <c r="T2027" t="s">
        <v>3402</v>
      </c>
      <c r="U2027">
        <v>34</v>
      </c>
      <c r="V2027" t="s">
        <v>3824</v>
      </c>
    </row>
    <row r="2028" spans="1:22" ht="12.75" customHeight="1" x14ac:dyDescent="0.15">
      <c r="A2028">
        <v>21</v>
      </c>
      <c r="B2028">
        <v>2026</v>
      </c>
      <c r="C2028" s="25">
        <v>46164</v>
      </c>
      <c r="D2028" t="s">
        <v>101</v>
      </c>
      <c r="E2028" t="s">
        <v>102</v>
      </c>
      <c r="F2028" t="s">
        <v>75</v>
      </c>
      <c r="G2028">
        <v>7.6</v>
      </c>
      <c r="H2028" t="s">
        <v>3985</v>
      </c>
      <c r="I2028" t="s">
        <v>3986</v>
      </c>
      <c r="J2028" s="1" t="s">
        <v>3389</v>
      </c>
      <c r="K2028" t="s">
        <v>3987</v>
      </c>
      <c r="L2028" t="s">
        <v>3587</v>
      </c>
      <c r="M2028">
        <v>199</v>
      </c>
      <c r="P2028">
        <v>20</v>
      </c>
      <c r="R2028" t="s">
        <v>3988</v>
      </c>
      <c r="T2028" t="s">
        <v>3402</v>
      </c>
      <c r="U2028">
        <v>24</v>
      </c>
      <c r="V2028" t="s">
        <v>3357</v>
      </c>
    </row>
    <row r="2029" spans="1:22" ht="12.75" customHeight="1" x14ac:dyDescent="0.15">
      <c r="A2029">
        <v>21</v>
      </c>
      <c r="B2029">
        <v>2026</v>
      </c>
      <c r="C2029" s="25">
        <v>46165</v>
      </c>
      <c r="D2029" t="s">
        <v>19</v>
      </c>
      <c r="E2029" t="s">
        <v>20</v>
      </c>
      <c r="F2029" t="s">
        <v>21</v>
      </c>
      <c r="G2029">
        <v>3.8</v>
      </c>
      <c r="H2029" t="s">
        <v>3514</v>
      </c>
      <c r="I2029" t="s">
        <v>366</v>
      </c>
      <c r="J2029" s="1" t="s">
        <v>215</v>
      </c>
      <c r="K2029" t="s">
        <v>181</v>
      </c>
      <c r="L2029" t="s">
        <v>3340</v>
      </c>
      <c r="M2029">
        <v>62</v>
      </c>
      <c r="N2029">
        <v>0.64</v>
      </c>
      <c r="O2029" t="s">
        <v>211</v>
      </c>
      <c r="P2029">
        <v>35</v>
      </c>
      <c r="R2029" t="s">
        <v>3375</v>
      </c>
      <c r="S2029" t="s">
        <v>3579</v>
      </c>
      <c r="T2029" t="s">
        <v>3337</v>
      </c>
      <c r="U2029">
        <v>165</v>
      </c>
      <c r="V2029" t="s">
        <v>4034</v>
      </c>
    </row>
    <row r="2030" spans="1:22" ht="12.75" customHeight="1" x14ac:dyDescent="0.15">
      <c r="A2030">
        <v>21</v>
      </c>
      <c r="B2030">
        <v>2026</v>
      </c>
      <c r="C2030" s="25">
        <v>46165</v>
      </c>
      <c r="D2030" t="s">
        <v>19</v>
      </c>
      <c r="E2030" t="s">
        <v>20</v>
      </c>
      <c r="F2030" t="s">
        <v>21</v>
      </c>
      <c r="G2030">
        <v>3.8</v>
      </c>
      <c r="H2030" t="s">
        <v>3514</v>
      </c>
      <c r="I2030" t="s">
        <v>366</v>
      </c>
      <c r="J2030" s="1" t="s">
        <v>215</v>
      </c>
      <c r="K2030" t="s">
        <v>181</v>
      </c>
      <c r="L2030" t="s">
        <v>3340</v>
      </c>
      <c r="M2030">
        <v>45</v>
      </c>
      <c r="N2030">
        <v>0.64</v>
      </c>
      <c r="O2030" t="s">
        <v>211</v>
      </c>
      <c r="P2030">
        <v>35</v>
      </c>
      <c r="R2030" t="s">
        <v>3377</v>
      </c>
      <c r="T2030" t="s">
        <v>3337</v>
      </c>
      <c r="U2030">
        <v>165</v>
      </c>
      <c r="V2030" t="s">
        <v>4034</v>
      </c>
    </row>
    <row r="2031" spans="1:22" ht="12.75" customHeight="1" x14ac:dyDescent="0.15">
      <c r="A2031">
        <v>21</v>
      </c>
      <c r="B2031">
        <v>2026</v>
      </c>
      <c r="C2031" s="25">
        <v>46165</v>
      </c>
      <c r="D2031" t="s">
        <v>19</v>
      </c>
      <c r="E2031" t="s">
        <v>20</v>
      </c>
      <c r="F2031" t="s">
        <v>21</v>
      </c>
      <c r="G2031">
        <v>3.8</v>
      </c>
      <c r="H2031" t="s">
        <v>3514</v>
      </c>
      <c r="I2031" t="s">
        <v>366</v>
      </c>
      <c r="J2031" s="1" t="s">
        <v>215</v>
      </c>
      <c r="K2031" t="s">
        <v>181</v>
      </c>
      <c r="L2031" t="s">
        <v>3340</v>
      </c>
      <c r="M2031">
        <v>53</v>
      </c>
      <c r="N2031">
        <v>0.64</v>
      </c>
      <c r="O2031" t="s">
        <v>211</v>
      </c>
      <c r="P2031">
        <v>35</v>
      </c>
      <c r="R2031" t="s">
        <v>3373</v>
      </c>
      <c r="T2031" t="s">
        <v>3337</v>
      </c>
      <c r="U2031">
        <v>165</v>
      </c>
      <c r="V2031" t="s">
        <v>4034</v>
      </c>
    </row>
    <row r="2032" spans="1:22" ht="12.75" customHeight="1" x14ac:dyDescent="0.15">
      <c r="A2032">
        <v>21</v>
      </c>
      <c r="B2032">
        <v>2026</v>
      </c>
      <c r="C2032" s="25">
        <v>46165</v>
      </c>
      <c r="D2032" t="s">
        <v>19</v>
      </c>
      <c r="E2032" t="s">
        <v>20</v>
      </c>
      <c r="F2032" t="s">
        <v>21</v>
      </c>
      <c r="G2032">
        <v>3.8</v>
      </c>
      <c r="H2032" t="s">
        <v>3514</v>
      </c>
      <c r="I2032" t="s">
        <v>366</v>
      </c>
      <c r="J2032" s="1" t="s">
        <v>215</v>
      </c>
      <c r="K2032" t="s">
        <v>181</v>
      </c>
      <c r="L2032" t="s">
        <v>3340</v>
      </c>
      <c r="M2032">
        <v>81</v>
      </c>
      <c r="N2032">
        <v>0.64</v>
      </c>
      <c r="O2032" t="s">
        <v>211</v>
      </c>
      <c r="P2032">
        <v>35</v>
      </c>
      <c r="R2032" t="s">
        <v>3374</v>
      </c>
      <c r="T2032" t="s">
        <v>3337</v>
      </c>
      <c r="U2032">
        <v>165</v>
      </c>
      <c r="V2032" t="s">
        <v>4034</v>
      </c>
    </row>
    <row r="2033" spans="1:22" ht="12.75" customHeight="1" x14ac:dyDescent="0.15">
      <c r="A2033">
        <v>21</v>
      </c>
      <c r="B2033">
        <v>2026</v>
      </c>
      <c r="C2033" s="25">
        <v>46165</v>
      </c>
      <c r="D2033" t="s">
        <v>19</v>
      </c>
      <c r="E2033" t="s">
        <v>20</v>
      </c>
      <c r="F2033" t="s">
        <v>21</v>
      </c>
      <c r="G2033">
        <v>3.8</v>
      </c>
      <c r="H2033" t="s">
        <v>3514</v>
      </c>
      <c r="I2033" t="s">
        <v>366</v>
      </c>
      <c r="J2033" s="1" t="s">
        <v>215</v>
      </c>
      <c r="K2033" t="s">
        <v>181</v>
      </c>
      <c r="L2033" t="s">
        <v>3340</v>
      </c>
      <c r="M2033">
        <v>58</v>
      </c>
      <c r="N2033">
        <v>0.64</v>
      </c>
      <c r="O2033" t="s">
        <v>211</v>
      </c>
      <c r="P2033">
        <v>35</v>
      </c>
      <c r="R2033" t="s">
        <v>3343</v>
      </c>
      <c r="T2033" t="s">
        <v>3337</v>
      </c>
      <c r="U2033">
        <v>165</v>
      </c>
      <c r="V2033" t="s">
        <v>4034</v>
      </c>
    </row>
    <row r="2034" spans="1:22" ht="12.75" customHeight="1" x14ac:dyDescent="0.15">
      <c r="A2034">
        <v>21</v>
      </c>
      <c r="B2034">
        <v>2026</v>
      </c>
      <c r="C2034" s="25">
        <v>46165</v>
      </c>
      <c r="D2034" t="s">
        <v>19</v>
      </c>
      <c r="E2034" t="s">
        <v>20</v>
      </c>
      <c r="F2034" t="s">
        <v>21</v>
      </c>
      <c r="G2034">
        <v>3.8</v>
      </c>
      <c r="H2034" t="s">
        <v>3514</v>
      </c>
      <c r="I2034" t="s">
        <v>366</v>
      </c>
      <c r="J2034" s="1" t="s">
        <v>215</v>
      </c>
      <c r="K2034" t="s">
        <v>181</v>
      </c>
      <c r="L2034" t="s">
        <v>3340</v>
      </c>
      <c r="M2034">
        <v>132</v>
      </c>
      <c r="N2034">
        <v>0.64</v>
      </c>
      <c r="O2034" t="s">
        <v>211</v>
      </c>
      <c r="P2034">
        <v>35</v>
      </c>
      <c r="R2034" t="s">
        <v>3368</v>
      </c>
      <c r="T2034" t="s">
        <v>3337</v>
      </c>
      <c r="U2034">
        <v>165</v>
      </c>
      <c r="V2034" t="s">
        <v>4034</v>
      </c>
    </row>
    <row r="2035" spans="1:22" ht="12.75" customHeight="1" x14ac:dyDescent="0.15">
      <c r="A2035">
        <v>21</v>
      </c>
      <c r="B2035">
        <v>2026</v>
      </c>
      <c r="C2035" s="25">
        <v>46165</v>
      </c>
      <c r="D2035" t="s">
        <v>60</v>
      </c>
      <c r="E2035" t="s">
        <v>61</v>
      </c>
      <c r="F2035" t="s">
        <v>21</v>
      </c>
      <c r="G2035">
        <v>1.6</v>
      </c>
      <c r="H2035" t="s">
        <v>3514</v>
      </c>
      <c r="I2035" t="s">
        <v>366</v>
      </c>
      <c r="J2035" s="1" t="s">
        <v>215</v>
      </c>
      <c r="K2035" t="s">
        <v>181</v>
      </c>
      <c r="L2035" t="s">
        <v>3340</v>
      </c>
      <c r="M2035">
        <v>62</v>
      </c>
      <c r="N2035">
        <v>0.42</v>
      </c>
      <c r="O2035" t="s">
        <v>211</v>
      </c>
      <c r="P2035">
        <v>23.3</v>
      </c>
      <c r="R2035" t="s">
        <v>3375</v>
      </c>
      <c r="S2035" t="s">
        <v>3520</v>
      </c>
      <c r="T2035" t="s">
        <v>3337</v>
      </c>
      <c r="U2035">
        <v>57</v>
      </c>
      <c r="V2035" t="s">
        <v>4035</v>
      </c>
    </row>
    <row r="2036" spans="1:22" ht="12.75" customHeight="1" x14ac:dyDescent="0.15">
      <c r="A2036">
        <v>21</v>
      </c>
      <c r="B2036">
        <v>2026</v>
      </c>
      <c r="C2036" s="25">
        <v>46165</v>
      </c>
      <c r="D2036" t="s">
        <v>60</v>
      </c>
      <c r="E2036" t="s">
        <v>61</v>
      </c>
      <c r="F2036" t="s">
        <v>21</v>
      </c>
      <c r="G2036">
        <v>1.6</v>
      </c>
      <c r="H2036" t="s">
        <v>3514</v>
      </c>
      <c r="I2036" t="s">
        <v>366</v>
      </c>
      <c r="J2036" s="1" t="s">
        <v>215</v>
      </c>
      <c r="K2036" t="s">
        <v>181</v>
      </c>
      <c r="L2036" t="s">
        <v>3340</v>
      </c>
      <c r="M2036">
        <v>45</v>
      </c>
      <c r="N2036">
        <v>0.42</v>
      </c>
      <c r="O2036" t="s">
        <v>211</v>
      </c>
      <c r="P2036">
        <v>23.3</v>
      </c>
      <c r="R2036" t="s">
        <v>3377</v>
      </c>
      <c r="T2036" t="s">
        <v>3337</v>
      </c>
      <c r="U2036">
        <v>57</v>
      </c>
      <c r="V2036" t="s">
        <v>4035</v>
      </c>
    </row>
    <row r="2037" spans="1:22" ht="12.75" customHeight="1" x14ac:dyDescent="0.15">
      <c r="A2037">
        <v>21</v>
      </c>
      <c r="B2037">
        <v>2026</v>
      </c>
      <c r="C2037" s="25">
        <v>46165</v>
      </c>
      <c r="D2037" t="s">
        <v>60</v>
      </c>
      <c r="E2037" t="s">
        <v>61</v>
      </c>
      <c r="F2037" t="s">
        <v>21</v>
      </c>
      <c r="G2037">
        <v>1.6</v>
      </c>
      <c r="H2037" t="s">
        <v>3514</v>
      </c>
      <c r="I2037" t="s">
        <v>366</v>
      </c>
      <c r="J2037" s="1" t="s">
        <v>215</v>
      </c>
      <c r="K2037" t="s">
        <v>181</v>
      </c>
      <c r="L2037" t="s">
        <v>3340</v>
      </c>
      <c r="M2037">
        <v>53</v>
      </c>
      <c r="N2037">
        <v>0.42</v>
      </c>
      <c r="O2037" t="s">
        <v>211</v>
      </c>
      <c r="P2037">
        <v>23.3</v>
      </c>
      <c r="R2037" t="s">
        <v>3373</v>
      </c>
      <c r="T2037" t="s">
        <v>3337</v>
      </c>
      <c r="U2037">
        <v>57</v>
      </c>
      <c r="V2037" t="s">
        <v>4035</v>
      </c>
    </row>
    <row r="2038" spans="1:22" ht="12.75" customHeight="1" x14ac:dyDescent="0.15">
      <c r="A2038">
        <v>21</v>
      </c>
      <c r="B2038">
        <v>2026</v>
      </c>
      <c r="C2038" s="25">
        <v>46165</v>
      </c>
      <c r="D2038" t="s">
        <v>60</v>
      </c>
      <c r="E2038" t="s">
        <v>61</v>
      </c>
      <c r="F2038" t="s">
        <v>21</v>
      </c>
      <c r="G2038">
        <v>1.6</v>
      </c>
      <c r="H2038" t="s">
        <v>3514</v>
      </c>
      <c r="I2038" t="s">
        <v>366</v>
      </c>
      <c r="J2038" s="1" t="s">
        <v>215</v>
      </c>
      <c r="K2038" t="s">
        <v>181</v>
      </c>
      <c r="L2038" t="s">
        <v>3340</v>
      </c>
      <c r="M2038">
        <v>81</v>
      </c>
      <c r="N2038">
        <v>0.42</v>
      </c>
      <c r="O2038" t="s">
        <v>211</v>
      </c>
      <c r="P2038">
        <v>23.3</v>
      </c>
      <c r="R2038" t="s">
        <v>3374</v>
      </c>
      <c r="T2038" t="s">
        <v>3337</v>
      </c>
      <c r="U2038">
        <v>57</v>
      </c>
      <c r="V2038" t="s">
        <v>4035</v>
      </c>
    </row>
    <row r="2039" spans="1:22" ht="12.75" customHeight="1" x14ac:dyDescent="0.15">
      <c r="A2039">
        <v>21</v>
      </c>
      <c r="B2039">
        <v>2026</v>
      </c>
      <c r="C2039" s="25">
        <v>46165</v>
      </c>
      <c r="D2039" t="s">
        <v>60</v>
      </c>
      <c r="E2039" t="s">
        <v>61</v>
      </c>
      <c r="F2039" t="s">
        <v>21</v>
      </c>
      <c r="G2039">
        <v>1.6</v>
      </c>
      <c r="H2039" t="s">
        <v>3514</v>
      </c>
      <c r="I2039" t="s">
        <v>366</v>
      </c>
      <c r="J2039" s="1" t="s">
        <v>215</v>
      </c>
      <c r="K2039" t="s">
        <v>181</v>
      </c>
      <c r="L2039" t="s">
        <v>3340</v>
      </c>
      <c r="M2039">
        <v>58</v>
      </c>
      <c r="N2039">
        <v>0.42</v>
      </c>
      <c r="O2039" t="s">
        <v>211</v>
      </c>
      <c r="P2039">
        <v>23.3</v>
      </c>
      <c r="R2039" t="s">
        <v>3343</v>
      </c>
      <c r="T2039" t="s">
        <v>3337</v>
      </c>
      <c r="U2039">
        <v>57</v>
      </c>
      <c r="V2039" t="s">
        <v>4035</v>
      </c>
    </row>
    <row r="2040" spans="1:22" ht="12.75" customHeight="1" x14ac:dyDescent="0.15">
      <c r="A2040">
        <v>21</v>
      </c>
      <c r="B2040">
        <v>2026</v>
      </c>
      <c r="C2040" s="25">
        <v>46165</v>
      </c>
      <c r="D2040" t="s">
        <v>60</v>
      </c>
      <c r="E2040" t="s">
        <v>61</v>
      </c>
      <c r="F2040" t="s">
        <v>21</v>
      </c>
      <c r="G2040">
        <v>1.6</v>
      </c>
      <c r="H2040" t="s">
        <v>3514</v>
      </c>
      <c r="I2040" t="s">
        <v>366</v>
      </c>
      <c r="J2040" s="1" t="s">
        <v>215</v>
      </c>
      <c r="K2040" t="s">
        <v>181</v>
      </c>
      <c r="L2040" t="s">
        <v>3340</v>
      </c>
      <c r="M2040">
        <v>132</v>
      </c>
      <c r="N2040">
        <v>0.42</v>
      </c>
      <c r="O2040" t="s">
        <v>211</v>
      </c>
      <c r="P2040">
        <v>23.3</v>
      </c>
      <c r="R2040" t="s">
        <v>3368</v>
      </c>
      <c r="T2040" t="s">
        <v>3337</v>
      </c>
      <c r="U2040">
        <v>57</v>
      </c>
      <c r="V2040" t="s">
        <v>4035</v>
      </c>
    </row>
    <row r="2041" spans="1:22" ht="12.75" customHeight="1" x14ac:dyDescent="0.15">
      <c r="A2041">
        <v>21</v>
      </c>
      <c r="B2041">
        <v>2026</v>
      </c>
      <c r="C2041" s="25">
        <v>46165</v>
      </c>
      <c r="D2041" t="s">
        <v>60</v>
      </c>
      <c r="E2041" t="s">
        <v>61</v>
      </c>
      <c r="F2041" t="s">
        <v>21</v>
      </c>
      <c r="G2041">
        <v>1.6</v>
      </c>
      <c r="H2041" t="s">
        <v>3519</v>
      </c>
      <c r="I2041" t="s">
        <v>214</v>
      </c>
      <c r="J2041" s="1" t="s">
        <v>215</v>
      </c>
      <c r="K2041" t="s">
        <v>181</v>
      </c>
      <c r="L2041" t="s">
        <v>3340</v>
      </c>
      <c r="M2041">
        <v>62</v>
      </c>
      <c r="N2041">
        <v>0.12</v>
      </c>
      <c r="O2041" t="s">
        <v>211</v>
      </c>
      <c r="P2041">
        <v>6.7</v>
      </c>
      <c r="R2041" t="s">
        <v>3375</v>
      </c>
      <c r="S2041" t="s">
        <v>4036</v>
      </c>
      <c r="T2041" t="s">
        <v>3337</v>
      </c>
      <c r="U2041">
        <v>57</v>
      </c>
      <c r="V2041" t="s">
        <v>4037</v>
      </c>
    </row>
    <row r="2042" spans="1:22" ht="12.75" customHeight="1" x14ac:dyDescent="0.15">
      <c r="A2042">
        <v>21</v>
      </c>
      <c r="B2042">
        <v>2026</v>
      </c>
      <c r="C2042" s="25">
        <v>46165</v>
      </c>
      <c r="D2042" t="s">
        <v>60</v>
      </c>
      <c r="E2042" t="s">
        <v>61</v>
      </c>
      <c r="F2042" t="s">
        <v>21</v>
      </c>
      <c r="G2042">
        <v>1.6</v>
      </c>
      <c r="H2042" t="s">
        <v>3519</v>
      </c>
      <c r="I2042" t="s">
        <v>214</v>
      </c>
      <c r="J2042" s="1" t="s">
        <v>215</v>
      </c>
      <c r="K2042" t="s">
        <v>181</v>
      </c>
      <c r="L2042" t="s">
        <v>3340</v>
      </c>
      <c r="M2042">
        <v>45</v>
      </c>
      <c r="N2042">
        <v>0.12</v>
      </c>
      <c r="O2042" t="s">
        <v>211</v>
      </c>
      <c r="P2042">
        <v>6.7</v>
      </c>
      <c r="R2042" t="s">
        <v>3377</v>
      </c>
      <c r="T2042" t="s">
        <v>3337</v>
      </c>
      <c r="U2042">
        <v>57</v>
      </c>
      <c r="V2042" t="s">
        <v>4037</v>
      </c>
    </row>
    <row r="2043" spans="1:22" ht="12.75" customHeight="1" x14ac:dyDescent="0.15">
      <c r="A2043">
        <v>21</v>
      </c>
      <c r="B2043">
        <v>2026</v>
      </c>
      <c r="C2043" s="25">
        <v>46165</v>
      </c>
      <c r="D2043" t="s">
        <v>60</v>
      </c>
      <c r="E2043" t="s">
        <v>61</v>
      </c>
      <c r="F2043" t="s">
        <v>21</v>
      </c>
      <c r="G2043">
        <v>1.6</v>
      </c>
      <c r="H2043" t="s">
        <v>3519</v>
      </c>
      <c r="I2043" t="s">
        <v>214</v>
      </c>
      <c r="J2043" s="1" t="s">
        <v>215</v>
      </c>
      <c r="K2043" t="s">
        <v>181</v>
      </c>
      <c r="L2043" t="s">
        <v>3340</v>
      </c>
      <c r="M2043">
        <v>53</v>
      </c>
      <c r="N2043">
        <v>0.12</v>
      </c>
      <c r="O2043" t="s">
        <v>211</v>
      </c>
      <c r="P2043">
        <v>6.7</v>
      </c>
      <c r="R2043" t="s">
        <v>3373</v>
      </c>
      <c r="T2043" t="s">
        <v>3337</v>
      </c>
      <c r="U2043">
        <v>57</v>
      </c>
      <c r="V2043" t="s">
        <v>4037</v>
      </c>
    </row>
    <row r="2044" spans="1:22" ht="12.75" customHeight="1" x14ac:dyDescent="0.15">
      <c r="A2044">
        <v>21</v>
      </c>
      <c r="B2044">
        <v>2026</v>
      </c>
      <c r="C2044" s="21">
        <v>46165</v>
      </c>
      <c r="D2044" t="s">
        <v>60</v>
      </c>
      <c r="E2044" t="s">
        <v>61</v>
      </c>
      <c r="F2044" t="s">
        <v>21</v>
      </c>
      <c r="G2044">
        <v>1.6</v>
      </c>
      <c r="H2044" t="s">
        <v>3519</v>
      </c>
      <c r="I2044" t="s">
        <v>214</v>
      </c>
      <c r="J2044" s="1" t="s">
        <v>215</v>
      </c>
      <c r="K2044" t="s">
        <v>181</v>
      </c>
      <c r="L2044" t="s">
        <v>3340</v>
      </c>
      <c r="M2044">
        <v>81</v>
      </c>
      <c r="N2044">
        <v>0.12</v>
      </c>
      <c r="O2044" t="s">
        <v>211</v>
      </c>
      <c r="P2044">
        <v>6.7</v>
      </c>
      <c r="R2044" t="s">
        <v>3374</v>
      </c>
      <c r="T2044" t="s">
        <v>3337</v>
      </c>
      <c r="U2044">
        <v>57</v>
      </c>
      <c r="V2044" t="s">
        <v>4037</v>
      </c>
    </row>
    <row r="2045" spans="1:22" ht="12.75" customHeight="1" x14ac:dyDescent="0.15">
      <c r="A2045">
        <v>21</v>
      </c>
      <c r="B2045">
        <v>2026</v>
      </c>
      <c r="C2045" s="21">
        <v>46165</v>
      </c>
      <c r="D2045" t="s">
        <v>60</v>
      </c>
      <c r="E2045" t="s">
        <v>61</v>
      </c>
      <c r="F2045" t="s">
        <v>21</v>
      </c>
      <c r="G2045">
        <v>1.6</v>
      </c>
      <c r="H2045" t="s">
        <v>3519</v>
      </c>
      <c r="I2045" t="s">
        <v>214</v>
      </c>
      <c r="J2045" s="1" t="s">
        <v>215</v>
      </c>
      <c r="K2045" t="s">
        <v>181</v>
      </c>
      <c r="L2045" t="s">
        <v>3340</v>
      </c>
      <c r="M2045">
        <v>58</v>
      </c>
      <c r="N2045">
        <v>0.12</v>
      </c>
      <c r="O2045" t="s">
        <v>211</v>
      </c>
      <c r="P2045">
        <v>6.7</v>
      </c>
      <c r="R2045" t="s">
        <v>3343</v>
      </c>
      <c r="T2045" t="s">
        <v>3337</v>
      </c>
      <c r="U2045">
        <v>57</v>
      </c>
      <c r="V2045" t="s">
        <v>4037</v>
      </c>
    </row>
    <row r="2046" spans="1:22" ht="12.75" customHeight="1" x14ac:dyDescent="0.15">
      <c r="A2046">
        <v>21</v>
      </c>
      <c r="B2046">
        <v>2026</v>
      </c>
      <c r="C2046" s="21">
        <v>46165</v>
      </c>
      <c r="D2046" t="s">
        <v>60</v>
      </c>
      <c r="E2046" t="s">
        <v>61</v>
      </c>
      <c r="F2046" t="s">
        <v>21</v>
      </c>
      <c r="G2046">
        <v>1.6</v>
      </c>
      <c r="H2046" t="s">
        <v>3519</v>
      </c>
      <c r="I2046" t="s">
        <v>214</v>
      </c>
      <c r="J2046" s="1" t="s">
        <v>215</v>
      </c>
      <c r="K2046" t="s">
        <v>181</v>
      </c>
      <c r="L2046" t="s">
        <v>3340</v>
      </c>
      <c r="M2046">
        <v>132</v>
      </c>
      <c r="N2046">
        <v>0.12</v>
      </c>
      <c r="O2046" t="s">
        <v>211</v>
      </c>
      <c r="P2046">
        <v>6.7</v>
      </c>
      <c r="R2046" t="s">
        <v>3368</v>
      </c>
      <c r="T2046" t="s">
        <v>3337</v>
      </c>
      <c r="U2046">
        <v>57</v>
      </c>
      <c r="V2046" t="s">
        <v>4037</v>
      </c>
    </row>
    <row r="2047" spans="1:22" ht="12.75" customHeight="1" x14ac:dyDescent="0.15">
      <c r="A2047">
        <v>21</v>
      </c>
      <c r="B2047">
        <v>2026</v>
      </c>
      <c r="C2047" s="21">
        <v>46165</v>
      </c>
      <c r="D2047" t="s">
        <v>101</v>
      </c>
      <c r="E2047" t="s">
        <v>102</v>
      </c>
      <c r="F2047" t="s">
        <v>75</v>
      </c>
      <c r="G2047">
        <v>7.6</v>
      </c>
      <c r="H2047" t="s">
        <v>3400</v>
      </c>
      <c r="I2047" t="s">
        <v>353</v>
      </c>
      <c r="J2047" s="1" t="s">
        <v>253</v>
      </c>
      <c r="K2047" t="s">
        <v>181</v>
      </c>
      <c r="L2047" t="s">
        <v>3333</v>
      </c>
      <c r="M2047">
        <v>2</v>
      </c>
      <c r="N2047">
        <v>1</v>
      </c>
      <c r="O2047" t="s">
        <v>3440</v>
      </c>
      <c r="P2047">
        <v>90.49</v>
      </c>
      <c r="Q2047">
        <v>8</v>
      </c>
      <c r="R2047" t="s">
        <v>3424</v>
      </c>
      <c r="T2047" t="s">
        <v>3337</v>
      </c>
      <c r="U2047">
        <v>25</v>
      </c>
      <c r="V2047" t="s">
        <v>3982</v>
      </c>
    </row>
    <row r="2048" spans="1:22" ht="12.75" customHeight="1" x14ac:dyDescent="0.15">
      <c r="A2048">
        <v>21</v>
      </c>
      <c r="B2048">
        <v>2026</v>
      </c>
      <c r="C2048" s="21">
        <v>46165</v>
      </c>
      <c r="D2048" t="s">
        <v>101</v>
      </c>
      <c r="E2048" t="s">
        <v>102</v>
      </c>
      <c r="F2048" t="s">
        <v>75</v>
      </c>
      <c r="G2048">
        <v>7.6</v>
      </c>
      <c r="H2048" t="s">
        <v>3653</v>
      </c>
      <c r="I2048" t="s">
        <v>3566</v>
      </c>
      <c r="J2048" s="1" t="s">
        <v>3389</v>
      </c>
      <c r="K2048" t="s">
        <v>181</v>
      </c>
      <c r="L2048" t="s">
        <v>3587</v>
      </c>
      <c r="M2048">
        <v>200</v>
      </c>
      <c r="P2048">
        <v>1000</v>
      </c>
      <c r="R2048" t="s">
        <v>4038</v>
      </c>
      <c r="S2048" t="s">
        <v>4039</v>
      </c>
      <c r="T2048" t="s">
        <v>3402</v>
      </c>
      <c r="U2048">
        <v>25</v>
      </c>
      <c r="V2048" t="s">
        <v>4040</v>
      </c>
    </row>
    <row r="2049" spans="1:22" ht="12.75" customHeight="1" x14ac:dyDescent="0.15">
      <c r="A2049">
        <v>21</v>
      </c>
      <c r="B2049">
        <v>2026</v>
      </c>
      <c r="C2049" s="21">
        <v>46165</v>
      </c>
      <c r="D2049" t="s">
        <v>101</v>
      </c>
      <c r="E2049" t="s">
        <v>102</v>
      </c>
      <c r="F2049" t="s">
        <v>75</v>
      </c>
      <c r="G2049">
        <v>7.6</v>
      </c>
      <c r="H2049" t="s">
        <v>3391</v>
      </c>
      <c r="I2049" t="s">
        <v>353</v>
      </c>
      <c r="J2049" s="1" t="s">
        <v>253</v>
      </c>
      <c r="K2049" t="s">
        <v>181</v>
      </c>
      <c r="L2049" t="s">
        <v>3587</v>
      </c>
      <c r="M2049">
        <v>120</v>
      </c>
      <c r="N2049">
        <v>7</v>
      </c>
      <c r="O2049" t="s">
        <v>211</v>
      </c>
      <c r="P2049">
        <v>385</v>
      </c>
      <c r="R2049" t="s">
        <v>3415</v>
      </c>
      <c r="S2049" t="s">
        <v>4041</v>
      </c>
      <c r="T2049" t="s">
        <v>3402</v>
      </c>
      <c r="U2049">
        <v>25</v>
      </c>
      <c r="V2049" t="s">
        <v>4042</v>
      </c>
    </row>
    <row r="2050" spans="1:22" ht="12.75" customHeight="1" x14ac:dyDescent="0.15">
      <c r="A2050">
        <v>21</v>
      </c>
      <c r="B2050">
        <v>2026</v>
      </c>
      <c r="C2050" s="21">
        <v>46165</v>
      </c>
      <c r="D2050" t="s">
        <v>101</v>
      </c>
      <c r="E2050" t="s">
        <v>102</v>
      </c>
      <c r="F2050" t="s">
        <v>75</v>
      </c>
      <c r="G2050">
        <v>7.6</v>
      </c>
      <c r="H2050" t="s">
        <v>3391</v>
      </c>
      <c r="I2050" t="s">
        <v>353</v>
      </c>
      <c r="J2050" s="1" t="s">
        <v>253</v>
      </c>
      <c r="K2050" t="s">
        <v>181</v>
      </c>
      <c r="L2050" t="s">
        <v>3333</v>
      </c>
      <c r="M2050">
        <v>67</v>
      </c>
      <c r="N2050">
        <v>0.75</v>
      </c>
      <c r="O2050" t="s">
        <v>3334</v>
      </c>
      <c r="P2050">
        <v>61.19</v>
      </c>
      <c r="Q2050">
        <v>6</v>
      </c>
      <c r="R2050" t="s">
        <v>3404</v>
      </c>
      <c r="T2050" t="s">
        <v>3402</v>
      </c>
      <c r="U2050">
        <v>25</v>
      </c>
      <c r="V2050" t="s">
        <v>3354</v>
      </c>
    </row>
    <row r="2051" spans="1:22" ht="12.75" customHeight="1" x14ac:dyDescent="0.15">
      <c r="A2051">
        <v>21</v>
      </c>
      <c r="B2051">
        <v>2026</v>
      </c>
      <c r="C2051" s="21">
        <v>46165</v>
      </c>
      <c r="D2051" t="s">
        <v>101</v>
      </c>
      <c r="E2051" t="s">
        <v>102</v>
      </c>
      <c r="F2051" t="s">
        <v>75</v>
      </c>
      <c r="G2051">
        <v>7.6</v>
      </c>
      <c r="H2051" t="s">
        <v>3391</v>
      </c>
      <c r="I2051" t="s">
        <v>353</v>
      </c>
      <c r="J2051" s="1" t="s">
        <v>253</v>
      </c>
      <c r="K2051" t="s">
        <v>181</v>
      </c>
      <c r="L2051" t="s">
        <v>3333</v>
      </c>
      <c r="M2051">
        <v>19</v>
      </c>
      <c r="N2051">
        <v>0.75</v>
      </c>
      <c r="O2051" t="s">
        <v>3334</v>
      </c>
      <c r="P2051">
        <v>61.19</v>
      </c>
      <c r="Q2051">
        <v>6</v>
      </c>
      <c r="R2051" t="s">
        <v>3403</v>
      </c>
      <c r="T2051" t="s">
        <v>3402</v>
      </c>
      <c r="U2051">
        <v>25</v>
      </c>
      <c r="V2051" t="s">
        <v>3354</v>
      </c>
    </row>
    <row r="2052" spans="1:22" ht="12.75" customHeight="1" x14ac:dyDescent="0.15">
      <c r="A2052">
        <v>21</v>
      </c>
      <c r="B2052">
        <v>2026</v>
      </c>
      <c r="C2052" s="21">
        <v>46165</v>
      </c>
      <c r="D2052" t="s">
        <v>101</v>
      </c>
      <c r="E2052" t="s">
        <v>102</v>
      </c>
      <c r="F2052" t="s">
        <v>75</v>
      </c>
      <c r="G2052">
        <v>7.6</v>
      </c>
      <c r="H2052" t="s">
        <v>3653</v>
      </c>
      <c r="I2052" t="s">
        <v>3566</v>
      </c>
      <c r="J2052" s="1" t="s">
        <v>3389</v>
      </c>
      <c r="K2052" t="s">
        <v>181</v>
      </c>
      <c r="L2052" t="s">
        <v>3333</v>
      </c>
      <c r="M2052">
        <v>86</v>
      </c>
      <c r="N2052">
        <v>1</v>
      </c>
      <c r="O2052" t="s">
        <v>3334</v>
      </c>
      <c r="P2052">
        <v>81.58</v>
      </c>
      <c r="Q2052">
        <v>8</v>
      </c>
      <c r="R2052" t="s">
        <v>3386</v>
      </c>
      <c r="T2052" t="s">
        <v>3402</v>
      </c>
      <c r="U2052">
        <v>25</v>
      </c>
      <c r="V2052" t="s">
        <v>3338</v>
      </c>
    </row>
    <row r="2053" spans="1:22" ht="12.75" customHeight="1" x14ac:dyDescent="0.15">
      <c r="A2053">
        <v>21</v>
      </c>
      <c r="B2053">
        <v>2026</v>
      </c>
      <c r="C2053" s="21">
        <v>46165</v>
      </c>
      <c r="D2053" t="s">
        <v>101</v>
      </c>
      <c r="E2053" t="s">
        <v>102</v>
      </c>
      <c r="F2053" t="s">
        <v>75</v>
      </c>
      <c r="G2053">
        <v>7.6</v>
      </c>
      <c r="H2053" t="s">
        <v>3878</v>
      </c>
      <c r="I2053" t="s">
        <v>3566</v>
      </c>
      <c r="J2053" s="1" t="s">
        <v>3389</v>
      </c>
      <c r="K2053" t="s">
        <v>2666</v>
      </c>
      <c r="L2053" t="s">
        <v>3587</v>
      </c>
      <c r="N2053">
        <v>3.04</v>
      </c>
      <c r="O2053" t="s">
        <v>3501</v>
      </c>
      <c r="P2053">
        <v>64.900000000000006</v>
      </c>
      <c r="Q2053">
        <v>8</v>
      </c>
      <c r="T2053" t="s">
        <v>3402</v>
      </c>
      <c r="U2053">
        <v>25</v>
      </c>
      <c r="V2053" t="s">
        <v>4174</v>
      </c>
    </row>
    <row r="2054" spans="1:22" ht="12.75" customHeight="1" x14ac:dyDescent="0.15">
      <c r="A2054">
        <v>21</v>
      </c>
      <c r="B2054">
        <v>2026</v>
      </c>
      <c r="C2054" s="21">
        <v>46165</v>
      </c>
      <c r="D2054" t="s">
        <v>141</v>
      </c>
      <c r="E2054" t="s">
        <v>142</v>
      </c>
      <c r="F2054" t="s">
        <v>75</v>
      </c>
      <c r="G2054">
        <v>1</v>
      </c>
      <c r="H2054" t="s">
        <v>3841</v>
      </c>
      <c r="I2054" t="s">
        <v>3842</v>
      </c>
      <c r="J2054" s="1" t="s">
        <v>3533</v>
      </c>
      <c r="K2054" t="s">
        <v>181</v>
      </c>
      <c r="L2054" t="s">
        <v>3333</v>
      </c>
      <c r="M2054">
        <v>4</v>
      </c>
      <c r="N2054">
        <v>0.63</v>
      </c>
      <c r="O2054" t="s">
        <v>3334</v>
      </c>
      <c r="P2054">
        <v>50.99</v>
      </c>
      <c r="Q2054">
        <v>5</v>
      </c>
      <c r="R2054" t="s">
        <v>3773</v>
      </c>
      <c r="T2054" t="s">
        <v>3402</v>
      </c>
      <c r="U2054">
        <v>-31</v>
      </c>
      <c r="V2054" t="s">
        <v>3574</v>
      </c>
    </row>
    <row r="2055" spans="1:22" ht="12.75" customHeight="1" x14ac:dyDescent="0.15">
      <c r="A2055">
        <v>21</v>
      </c>
      <c r="B2055">
        <v>2026</v>
      </c>
      <c r="C2055" s="21">
        <v>46165</v>
      </c>
      <c r="D2055" t="s">
        <v>141</v>
      </c>
      <c r="E2055" t="s">
        <v>142</v>
      </c>
      <c r="F2055" t="s">
        <v>75</v>
      </c>
      <c r="G2055">
        <v>1</v>
      </c>
      <c r="H2055" t="s">
        <v>3841</v>
      </c>
      <c r="I2055" t="s">
        <v>3842</v>
      </c>
      <c r="J2055" s="1" t="s">
        <v>3533</v>
      </c>
      <c r="K2055" t="s">
        <v>181</v>
      </c>
      <c r="L2055" t="s">
        <v>3333</v>
      </c>
      <c r="M2055">
        <v>3</v>
      </c>
      <c r="N2055">
        <v>1</v>
      </c>
      <c r="O2055" t="s">
        <v>3334</v>
      </c>
      <c r="P2055">
        <v>81.58</v>
      </c>
      <c r="Q2055">
        <v>8</v>
      </c>
      <c r="R2055" t="s">
        <v>3478</v>
      </c>
      <c r="S2055" t="s">
        <v>4043</v>
      </c>
      <c r="T2055" t="s">
        <v>3402</v>
      </c>
      <c r="U2055">
        <v>-31</v>
      </c>
      <c r="V2055" t="s">
        <v>3334</v>
      </c>
    </row>
    <row r="2056" spans="1:22" ht="12.75" customHeight="1" x14ac:dyDescent="0.15">
      <c r="A2056">
        <v>21</v>
      </c>
      <c r="B2056">
        <v>2026</v>
      </c>
      <c r="C2056" s="21">
        <v>46167</v>
      </c>
      <c r="D2056" t="s">
        <v>19</v>
      </c>
      <c r="E2056" t="s">
        <v>20</v>
      </c>
      <c r="F2056" t="s">
        <v>21</v>
      </c>
      <c r="G2056">
        <v>3.8</v>
      </c>
      <c r="H2056" t="s">
        <v>3932</v>
      </c>
      <c r="I2056" t="s">
        <v>371</v>
      </c>
      <c r="J2056" s="1" t="s">
        <v>307</v>
      </c>
      <c r="K2056" t="s">
        <v>181</v>
      </c>
      <c r="L2056" t="s">
        <v>23</v>
      </c>
      <c r="M2056">
        <v>119</v>
      </c>
      <c r="P2056">
        <v>490</v>
      </c>
      <c r="R2056" t="s">
        <v>3933</v>
      </c>
      <c r="T2056" t="s">
        <v>3337</v>
      </c>
      <c r="U2056">
        <v>167</v>
      </c>
      <c r="V2056" t="s">
        <v>4044</v>
      </c>
    </row>
    <row r="2057" spans="1:22" ht="12.75" customHeight="1" x14ac:dyDescent="0.15">
      <c r="A2057">
        <v>21</v>
      </c>
      <c r="B2057">
        <v>2026</v>
      </c>
      <c r="C2057" s="21">
        <v>46167</v>
      </c>
      <c r="D2057" t="s">
        <v>19</v>
      </c>
      <c r="E2057" t="s">
        <v>20</v>
      </c>
      <c r="F2057" t="s">
        <v>21</v>
      </c>
      <c r="G2057">
        <v>3.8</v>
      </c>
      <c r="H2057" t="s">
        <v>3935</v>
      </c>
      <c r="I2057" t="s">
        <v>370</v>
      </c>
      <c r="J2057" s="1" t="s">
        <v>307</v>
      </c>
      <c r="K2057" t="s">
        <v>181</v>
      </c>
      <c r="L2057" t="s">
        <v>23</v>
      </c>
      <c r="M2057">
        <v>199</v>
      </c>
      <c r="P2057">
        <v>40</v>
      </c>
      <c r="R2057" t="s">
        <v>3988</v>
      </c>
      <c r="T2057" t="s">
        <v>3337</v>
      </c>
      <c r="U2057">
        <v>167</v>
      </c>
      <c r="V2057" t="s">
        <v>3989</v>
      </c>
    </row>
    <row r="2058" spans="1:22" ht="12.75" customHeight="1" x14ac:dyDescent="0.15">
      <c r="A2058">
        <v>21</v>
      </c>
      <c r="B2058">
        <v>2026</v>
      </c>
      <c r="C2058" s="21">
        <v>46167</v>
      </c>
      <c r="D2058" t="s">
        <v>19</v>
      </c>
      <c r="E2058" t="s">
        <v>20</v>
      </c>
      <c r="F2058" t="s">
        <v>21</v>
      </c>
      <c r="G2058">
        <v>3.8</v>
      </c>
      <c r="H2058" t="s">
        <v>4045</v>
      </c>
      <c r="I2058" t="s">
        <v>309</v>
      </c>
      <c r="J2058" s="1" t="s">
        <v>307</v>
      </c>
      <c r="K2058" t="s">
        <v>181</v>
      </c>
      <c r="L2058" t="s">
        <v>3340</v>
      </c>
      <c r="M2058">
        <v>62</v>
      </c>
      <c r="N2058">
        <v>2.36</v>
      </c>
      <c r="O2058" t="s">
        <v>211</v>
      </c>
      <c r="P2058">
        <v>130</v>
      </c>
      <c r="R2058" t="s">
        <v>3375</v>
      </c>
      <c r="S2058" t="s">
        <v>4046</v>
      </c>
      <c r="T2058" t="s">
        <v>3337</v>
      </c>
      <c r="U2058">
        <v>167</v>
      </c>
      <c r="V2058" t="s">
        <v>4047</v>
      </c>
    </row>
    <row r="2059" spans="1:22" ht="12.75" customHeight="1" x14ac:dyDescent="0.15">
      <c r="A2059">
        <v>21</v>
      </c>
      <c r="B2059">
        <v>2026</v>
      </c>
      <c r="C2059" s="21">
        <v>46167</v>
      </c>
      <c r="D2059" t="s">
        <v>19</v>
      </c>
      <c r="E2059" t="s">
        <v>20</v>
      </c>
      <c r="F2059" t="s">
        <v>21</v>
      </c>
      <c r="G2059">
        <v>3.8</v>
      </c>
      <c r="H2059" t="s">
        <v>4045</v>
      </c>
      <c r="I2059" t="s">
        <v>309</v>
      </c>
      <c r="J2059" s="1" t="s">
        <v>307</v>
      </c>
      <c r="K2059" t="s">
        <v>181</v>
      </c>
      <c r="L2059" t="s">
        <v>3340</v>
      </c>
      <c r="M2059">
        <v>45</v>
      </c>
      <c r="N2059">
        <v>2.3199999999999998</v>
      </c>
      <c r="O2059" t="s">
        <v>211</v>
      </c>
      <c r="P2059">
        <v>127.6</v>
      </c>
      <c r="R2059" t="s">
        <v>3377</v>
      </c>
      <c r="S2059" t="s">
        <v>4048</v>
      </c>
      <c r="T2059" t="s">
        <v>3337</v>
      </c>
      <c r="U2059">
        <v>167</v>
      </c>
      <c r="V2059" t="s">
        <v>4049</v>
      </c>
    </row>
    <row r="2060" spans="1:22" ht="12.75" customHeight="1" x14ac:dyDescent="0.15">
      <c r="A2060">
        <v>21</v>
      </c>
      <c r="B2060">
        <v>2026</v>
      </c>
      <c r="C2060" s="21">
        <v>46167</v>
      </c>
      <c r="D2060" t="s">
        <v>19</v>
      </c>
      <c r="E2060" t="s">
        <v>20</v>
      </c>
      <c r="F2060" t="s">
        <v>21</v>
      </c>
      <c r="G2060">
        <v>3.8</v>
      </c>
      <c r="H2060" t="s">
        <v>4045</v>
      </c>
      <c r="I2060" t="s">
        <v>309</v>
      </c>
      <c r="J2060" s="1" t="s">
        <v>307</v>
      </c>
      <c r="K2060" t="s">
        <v>181</v>
      </c>
      <c r="L2060" t="s">
        <v>3340</v>
      </c>
      <c r="M2060">
        <v>53</v>
      </c>
      <c r="N2060">
        <v>2.63</v>
      </c>
      <c r="O2060" t="s">
        <v>211</v>
      </c>
      <c r="P2060">
        <v>144.80000000000001</v>
      </c>
      <c r="R2060" t="s">
        <v>3373</v>
      </c>
      <c r="S2060" t="s">
        <v>4050</v>
      </c>
      <c r="T2060" t="s">
        <v>3337</v>
      </c>
      <c r="U2060">
        <v>167</v>
      </c>
      <c r="V2060" t="s">
        <v>4051</v>
      </c>
    </row>
    <row r="2061" spans="1:22" ht="12.75" customHeight="1" x14ac:dyDescent="0.15">
      <c r="A2061">
        <v>21</v>
      </c>
      <c r="B2061">
        <v>2026</v>
      </c>
      <c r="C2061" s="21">
        <v>46167</v>
      </c>
      <c r="D2061" t="s">
        <v>19</v>
      </c>
      <c r="E2061" t="s">
        <v>20</v>
      </c>
      <c r="F2061" t="s">
        <v>21</v>
      </c>
      <c r="G2061">
        <v>3.8</v>
      </c>
      <c r="H2061" t="s">
        <v>4045</v>
      </c>
      <c r="I2061" t="s">
        <v>309</v>
      </c>
      <c r="J2061" s="1" t="s">
        <v>307</v>
      </c>
      <c r="K2061" t="s">
        <v>181</v>
      </c>
      <c r="L2061" t="s">
        <v>3340</v>
      </c>
      <c r="M2061">
        <v>81</v>
      </c>
      <c r="N2061">
        <v>1.93</v>
      </c>
      <c r="O2061" t="s">
        <v>211</v>
      </c>
      <c r="P2061">
        <v>106.25</v>
      </c>
      <c r="R2061" t="s">
        <v>3374</v>
      </c>
      <c r="S2061" t="s">
        <v>4052</v>
      </c>
      <c r="T2061" t="s">
        <v>3337</v>
      </c>
      <c r="U2061">
        <v>167</v>
      </c>
      <c r="V2061" t="s">
        <v>4053</v>
      </c>
    </row>
    <row r="2062" spans="1:22" ht="12.75" customHeight="1" x14ac:dyDescent="0.15">
      <c r="A2062">
        <v>21</v>
      </c>
      <c r="B2062">
        <v>2026</v>
      </c>
      <c r="C2062" s="21">
        <v>46167</v>
      </c>
      <c r="D2062" t="s">
        <v>19</v>
      </c>
      <c r="E2062" t="s">
        <v>20</v>
      </c>
      <c r="F2062" t="s">
        <v>21</v>
      </c>
      <c r="G2062">
        <v>3.8</v>
      </c>
      <c r="H2062" t="s">
        <v>4045</v>
      </c>
      <c r="I2062" t="s">
        <v>309</v>
      </c>
      <c r="J2062" s="1" t="s">
        <v>307</v>
      </c>
      <c r="K2062" t="s">
        <v>181</v>
      </c>
      <c r="L2062" t="s">
        <v>3340</v>
      </c>
      <c r="M2062">
        <v>58</v>
      </c>
      <c r="N2062">
        <v>2.4900000000000002</v>
      </c>
      <c r="O2062" t="s">
        <v>211</v>
      </c>
      <c r="P2062">
        <v>136.9</v>
      </c>
      <c r="R2062" t="s">
        <v>3343</v>
      </c>
      <c r="S2062" t="s">
        <v>4054</v>
      </c>
      <c r="T2062" t="s">
        <v>3337</v>
      </c>
      <c r="U2062">
        <v>167</v>
      </c>
      <c r="V2062" t="s">
        <v>4055</v>
      </c>
    </row>
    <row r="2063" spans="1:22" ht="12.75" customHeight="1" x14ac:dyDescent="0.15">
      <c r="A2063">
        <v>21</v>
      </c>
      <c r="B2063">
        <v>2026</v>
      </c>
      <c r="C2063" s="21">
        <v>46167</v>
      </c>
      <c r="D2063" t="s">
        <v>19</v>
      </c>
      <c r="E2063" t="s">
        <v>20</v>
      </c>
      <c r="F2063" t="s">
        <v>21</v>
      </c>
      <c r="G2063">
        <v>3.8</v>
      </c>
      <c r="H2063" t="s">
        <v>4045</v>
      </c>
      <c r="I2063" t="s">
        <v>309</v>
      </c>
      <c r="J2063" s="1" t="s">
        <v>307</v>
      </c>
      <c r="K2063" t="s">
        <v>181</v>
      </c>
      <c r="L2063" t="s">
        <v>3340</v>
      </c>
      <c r="M2063">
        <v>132</v>
      </c>
      <c r="N2063">
        <v>2.4900000000000002</v>
      </c>
      <c r="O2063" t="s">
        <v>211</v>
      </c>
      <c r="P2063">
        <v>136.9</v>
      </c>
      <c r="R2063" t="s">
        <v>3368</v>
      </c>
      <c r="S2063" t="s">
        <v>4054</v>
      </c>
      <c r="T2063" t="s">
        <v>3337</v>
      </c>
      <c r="U2063">
        <v>167</v>
      </c>
      <c r="V2063" t="s">
        <v>4055</v>
      </c>
    </row>
    <row r="2064" spans="1:22" ht="12.75" customHeight="1" x14ac:dyDescent="0.15">
      <c r="A2064">
        <v>21</v>
      </c>
      <c r="B2064">
        <v>2026</v>
      </c>
      <c r="C2064" s="21">
        <v>46167</v>
      </c>
      <c r="D2064" t="s">
        <v>101</v>
      </c>
      <c r="E2064" t="s">
        <v>102</v>
      </c>
      <c r="F2064" t="s">
        <v>75</v>
      </c>
      <c r="G2064">
        <v>7.6</v>
      </c>
      <c r="H2064" t="s">
        <v>3400</v>
      </c>
      <c r="I2064" t="s">
        <v>353</v>
      </c>
      <c r="J2064" s="1" t="s">
        <v>253</v>
      </c>
      <c r="K2064" t="s">
        <v>181</v>
      </c>
      <c r="L2064" t="s">
        <v>3333</v>
      </c>
      <c r="M2064">
        <v>2</v>
      </c>
      <c r="N2064">
        <v>1</v>
      </c>
      <c r="O2064" t="s">
        <v>3440</v>
      </c>
      <c r="P2064">
        <v>90.49</v>
      </c>
      <c r="Q2064">
        <v>8</v>
      </c>
      <c r="R2064" t="s">
        <v>3424</v>
      </c>
      <c r="T2064" t="s">
        <v>3337</v>
      </c>
      <c r="U2064">
        <v>27</v>
      </c>
      <c r="V2064" t="s">
        <v>3982</v>
      </c>
    </row>
    <row r="2065" spans="1:22" ht="12.75" customHeight="1" x14ac:dyDescent="0.15">
      <c r="A2065">
        <v>21</v>
      </c>
      <c r="B2065">
        <v>2026</v>
      </c>
      <c r="C2065" s="21">
        <v>46167</v>
      </c>
      <c r="D2065" t="s">
        <v>101</v>
      </c>
      <c r="E2065" t="s">
        <v>102</v>
      </c>
      <c r="F2065" t="s">
        <v>75</v>
      </c>
      <c r="G2065">
        <v>7.6</v>
      </c>
      <c r="H2065" t="s">
        <v>3953</v>
      </c>
      <c r="I2065" t="s">
        <v>3954</v>
      </c>
      <c r="J2065" s="1" t="s">
        <v>253</v>
      </c>
      <c r="K2065" t="s">
        <v>181</v>
      </c>
      <c r="L2065" t="s">
        <v>3333</v>
      </c>
      <c r="M2065">
        <v>1</v>
      </c>
      <c r="N2065">
        <v>1</v>
      </c>
      <c r="O2065" t="s">
        <v>3358</v>
      </c>
      <c r="P2065">
        <v>71.86</v>
      </c>
      <c r="Q2065">
        <v>8</v>
      </c>
      <c r="R2065" t="s">
        <v>3359</v>
      </c>
      <c r="T2065" t="s">
        <v>3337</v>
      </c>
      <c r="U2065">
        <v>27</v>
      </c>
      <c r="V2065" t="s">
        <v>3545</v>
      </c>
    </row>
    <row r="2066" spans="1:22" ht="12.75" customHeight="1" x14ac:dyDescent="0.15">
      <c r="A2066">
        <v>21</v>
      </c>
      <c r="B2066">
        <v>2026</v>
      </c>
      <c r="C2066" s="21">
        <v>46167</v>
      </c>
      <c r="D2066" t="s">
        <v>101</v>
      </c>
      <c r="E2066" t="s">
        <v>102</v>
      </c>
      <c r="F2066" t="s">
        <v>75</v>
      </c>
      <c r="G2066">
        <v>7.6</v>
      </c>
      <c r="H2066" t="s">
        <v>3953</v>
      </c>
      <c r="I2066" t="s">
        <v>3954</v>
      </c>
      <c r="J2066" s="1" t="s">
        <v>253</v>
      </c>
      <c r="K2066" t="s">
        <v>181</v>
      </c>
      <c r="L2066" t="s">
        <v>3333</v>
      </c>
      <c r="M2066">
        <v>6</v>
      </c>
      <c r="N2066">
        <v>0.75</v>
      </c>
      <c r="O2066" t="s">
        <v>3334</v>
      </c>
      <c r="P2066">
        <v>61.19</v>
      </c>
      <c r="Q2066">
        <v>6</v>
      </c>
      <c r="R2066" t="s">
        <v>3335</v>
      </c>
      <c r="T2066" t="s">
        <v>3337</v>
      </c>
      <c r="U2066">
        <v>27</v>
      </c>
      <c r="V2066" t="s">
        <v>3354</v>
      </c>
    </row>
    <row r="2067" spans="1:22" ht="12.75" customHeight="1" x14ac:dyDescent="0.15">
      <c r="A2067">
        <v>21</v>
      </c>
      <c r="B2067">
        <v>2026</v>
      </c>
      <c r="C2067" s="21">
        <v>46167</v>
      </c>
      <c r="D2067" t="s">
        <v>139</v>
      </c>
      <c r="E2067" t="s">
        <v>140</v>
      </c>
      <c r="F2067" t="s">
        <v>75</v>
      </c>
      <c r="G2067">
        <v>0.8</v>
      </c>
      <c r="H2067" t="s">
        <v>3829</v>
      </c>
      <c r="I2067" t="s">
        <v>190</v>
      </c>
      <c r="J2067" s="1" t="s">
        <v>30</v>
      </c>
      <c r="K2067" t="s">
        <v>181</v>
      </c>
      <c r="L2067" t="s">
        <v>3333</v>
      </c>
      <c r="M2067">
        <v>6</v>
      </c>
      <c r="N2067">
        <v>0.25</v>
      </c>
      <c r="O2067" t="s">
        <v>3334</v>
      </c>
      <c r="P2067" s="1">
        <v>20.399999999999999</v>
      </c>
      <c r="Q2067">
        <v>2</v>
      </c>
      <c r="R2067" t="s">
        <v>3335</v>
      </c>
      <c r="T2067" t="s">
        <v>3337</v>
      </c>
      <c r="U2067">
        <v>-1</v>
      </c>
      <c r="V2067" t="s">
        <v>3500</v>
      </c>
    </row>
    <row r="2068" spans="1:22" ht="12.75" customHeight="1" x14ac:dyDescent="0.15">
      <c r="A2068">
        <v>21</v>
      </c>
      <c r="B2068">
        <v>2026</v>
      </c>
      <c r="C2068" s="21">
        <v>46167</v>
      </c>
      <c r="D2068" t="s">
        <v>139</v>
      </c>
      <c r="E2068" t="s">
        <v>140</v>
      </c>
      <c r="F2068" t="s">
        <v>75</v>
      </c>
      <c r="G2068">
        <v>0.8</v>
      </c>
      <c r="H2068" t="s">
        <v>3829</v>
      </c>
      <c r="I2068" t="s">
        <v>190</v>
      </c>
      <c r="J2068" s="1" t="s">
        <v>30</v>
      </c>
      <c r="K2068" t="s">
        <v>181</v>
      </c>
      <c r="L2068" t="s">
        <v>3340</v>
      </c>
      <c r="M2068">
        <v>3</v>
      </c>
      <c r="N2068">
        <v>1</v>
      </c>
      <c r="O2068" t="s">
        <v>211</v>
      </c>
      <c r="P2068" s="1">
        <v>55</v>
      </c>
      <c r="R2068" t="s">
        <v>3478</v>
      </c>
      <c r="T2068" t="s">
        <v>3337</v>
      </c>
      <c r="U2068">
        <v>-1</v>
      </c>
      <c r="V2068" t="s">
        <v>4056</v>
      </c>
    </row>
    <row r="2069" spans="1:22" ht="12.75" customHeight="1" x14ac:dyDescent="0.15">
      <c r="A2069">
        <v>21</v>
      </c>
      <c r="B2069">
        <v>2026</v>
      </c>
      <c r="C2069" s="21">
        <v>46167</v>
      </c>
      <c r="D2069" t="s">
        <v>139</v>
      </c>
      <c r="E2069" t="s">
        <v>140</v>
      </c>
      <c r="F2069" t="s">
        <v>75</v>
      </c>
      <c r="G2069">
        <v>0.8</v>
      </c>
      <c r="H2069" t="s">
        <v>3829</v>
      </c>
      <c r="I2069" t="s">
        <v>190</v>
      </c>
      <c r="J2069" s="1" t="s">
        <v>30</v>
      </c>
      <c r="K2069" t="s">
        <v>181</v>
      </c>
      <c r="L2069" t="s">
        <v>3340</v>
      </c>
      <c r="M2069">
        <v>72</v>
      </c>
      <c r="N2069">
        <v>0.36</v>
      </c>
      <c r="O2069" t="s">
        <v>211</v>
      </c>
      <c r="P2069" s="1">
        <v>20</v>
      </c>
      <c r="R2069" t="s">
        <v>3488</v>
      </c>
      <c r="T2069" t="s">
        <v>3337</v>
      </c>
      <c r="U2069">
        <v>-1</v>
      </c>
      <c r="V2069" t="s">
        <v>3608</v>
      </c>
    </row>
    <row r="2070" spans="1:22" ht="12.75" customHeight="1" x14ac:dyDescent="0.15">
      <c r="A2070">
        <v>21</v>
      </c>
      <c r="B2070">
        <v>2026</v>
      </c>
      <c r="C2070" s="21">
        <v>46167</v>
      </c>
      <c r="D2070" t="s">
        <v>101</v>
      </c>
      <c r="E2070" t="s">
        <v>102</v>
      </c>
      <c r="F2070" t="s">
        <v>75</v>
      </c>
      <c r="G2070">
        <v>7.6</v>
      </c>
      <c r="H2070" t="s">
        <v>3391</v>
      </c>
      <c r="I2070" t="s">
        <v>353</v>
      </c>
      <c r="J2070" s="1" t="s">
        <v>253</v>
      </c>
      <c r="K2070" t="s">
        <v>181</v>
      </c>
      <c r="L2070" t="s">
        <v>3587</v>
      </c>
      <c r="M2070">
        <v>120</v>
      </c>
      <c r="N2070">
        <v>8</v>
      </c>
      <c r="O2070" t="s">
        <v>211</v>
      </c>
      <c r="P2070">
        <v>440</v>
      </c>
      <c r="R2070" t="s">
        <v>3415</v>
      </c>
      <c r="T2070" t="s">
        <v>3402</v>
      </c>
      <c r="U2070">
        <v>27</v>
      </c>
      <c r="V2070" t="s">
        <v>4057</v>
      </c>
    </row>
    <row r="2071" spans="1:22" ht="12.75" customHeight="1" x14ac:dyDescent="0.15">
      <c r="A2071">
        <v>21</v>
      </c>
      <c r="B2071">
        <v>2026</v>
      </c>
      <c r="C2071" s="21">
        <v>46167</v>
      </c>
      <c r="D2071" t="s">
        <v>19</v>
      </c>
      <c r="E2071" t="s">
        <v>20</v>
      </c>
      <c r="F2071" t="s">
        <v>21</v>
      </c>
      <c r="G2071">
        <v>3.8</v>
      </c>
      <c r="H2071" t="s">
        <v>3949</v>
      </c>
      <c r="I2071" t="s">
        <v>385</v>
      </c>
      <c r="J2071" s="1" t="s">
        <v>307</v>
      </c>
      <c r="K2071" t="s">
        <v>178</v>
      </c>
      <c r="L2071" t="s">
        <v>3587</v>
      </c>
      <c r="M2071">
        <v>177</v>
      </c>
      <c r="N2071">
        <v>1</v>
      </c>
      <c r="P2071">
        <v>400</v>
      </c>
      <c r="R2071" t="s">
        <v>4058</v>
      </c>
      <c r="T2071" t="s">
        <v>3402</v>
      </c>
      <c r="U2071">
        <v>167</v>
      </c>
      <c r="V2071" t="s">
        <v>3950</v>
      </c>
    </row>
    <row r="2072" spans="1:22" ht="12.75" customHeight="1" x14ac:dyDescent="0.15">
      <c r="A2072">
        <v>21</v>
      </c>
      <c r="B2072">
        <v>2026</v>
      </c>
      <c r="C2072" s="21">
        <v>46167</v>
      </c>
      <c r="D2072" t="s">
        <v>101</v>
      </c>
      <c r="E2072" t="s">
        <v>102</v>
      </c>
      <c r="F2072" t="s">
        <v>75</v>
      </c>
      <c r="G2072">
        <v>7.6</v>
      </c>
      <c r="H2072" t="s">
        <v>3565</v>
      </c>
      <c r="I2072" t="s">
        <v>3566</v>
      </c>
      <c r="J2072" s="1" t="s">
        <v>3389</v>
      </c>
      <c r="K2072" t="s">
        <v>181</v>
      </c>
      <c r="L2072" t="s">
        <v>3333</v>
      </c>
      <c r="M2072">
        <v>86</v>
      </c>
      <c r="N2072">
        <v>0.5</v>
      </c>
      <c r="O2072" t="s">
        <v>3334</v>
      </c>
      <c r="P2072">
        <v>40.79</v>
      </c>
      <c r="Q2072">
        <v>4</v>
      </c>
      <c r="R2072" t="s">
        <v>3386</v>
      </c>
      <c r="T2072" t="s">
        <v>3402</v>
      </c>
      <c r="U2072">
        <v>27</v>
      </c>
      <c r="V2072" t="s">
        <v>3455</v>
      </c>
    </row>
    <row r="2073" spans="1:22" ht="12.75" customHeight="1" x14ac:dyDescent="0.15">
      <c r="A2073">
        <v>21</v>
      </c>
      <c r="B2073">
        <v>2026</v>
      </c>
      <c r="C2073" s="21">
        <v>46167</v>
      </c>
      <c r="D2073" t="s">
        <v>101</v>
      </c>
      <c r="E2073" t="s">
        <v>102</v>
      </c>
      <c r="F2073" t="s">
        <v>75</v>
      </c>
      <c r="G2073">
        <v>7.6</v>
      </c>
      <c r="H2073" t="s">
        <v>3878</v>
      </c>
      <c r="I2073" t="s">
        <v>3566</v>
      </c>
      <c r="J2073" s="1" t="s">
        <v>3389</v>
      </c>
      <c r="K2073" t="s">
        <v>2666</v>
      </c>
      <c r="L2073" t="s">
        <v>3587</v>
      </c>
      <c r="N2073">
        <v>1.52</v>
      </c>
      <c r="O2073" t="s">
        <v>3501</v>
      </c>
      <c r="P2073">
        <v>32.450000000000003</v>
      </c>
      <c r="Q2073">
        <v>4</v>
      </c>
      <c r="T2073" t="s">
        <v>3402</v>
      </c>
      <c r="U2073">
        <v>27</v>
      </c>
      <c r="V2073" t="s">
        <v>4059</v>
      </c>
    </row>
    <row r="2074" spans="1:22" ht="12.75" customHeight="1" x14ac:dyDescent="0.15">
      <c r="A2074">
        <v>21</v>
      </c>
      <c r="B2074">
        <v>2026</v>
      </c>
      <c r="C2074" s="21">
        <v>46167</v>
      </c>
      <c r="D2074" t="s">
        <v>91</v>
      </c>
      <c r="E2074" t="s">
        <v>92</v>
      </c>
      <c r="F2074" t="s">
        <v>21</v>
      </c>
      <c r="G2074">
        <v>1.3</v>
      </c>
      <c r="H2074" t="s">
        <v>3585</v>
      </c>
      <c r="I2074" t="s">
        <v>346</v>
      </c>
      <c r="J2074" s="1" t="s">
        <v>3389</v>
      </c>
      <c r="K2074" t="s">
        <v>181</v>
      </c>
      <c r="L2074" t="s">
        <v>3333</v>
      </c>
      <c r="M2074">
        <v>86</v>
      </c>
      <c r="N2074">
        <v>0.06</v>
      </c>
      <c r="O2074" t="s">
        <v>3334</v>
      </c>
      <c r="P2074">
        <v>5.0999999999999996</v>
      </c>
      <c r="Q2074">
        <v>0.5</v>
      </c>
      <c r="R2074" t="s">
        <v>3386</v>
      </c>
      <c r="S2074" t="s">
        <v>4060</v>
      </c>
      <c r="T2074" t="s">
        <v>3402</v>
      </c>
      <c r="U2074">
        <v>37</v>
      </c>
      <c r="V2074" t="s">
        <v>3944</v>
      </c>
    </row>
    <row r="2075" spans="1:22" ht="12.75" customHeight="1" x14ac:dyDescent="0.15">
      <c r="A2075">
        <v>21</v>
      </c>
      <c r="B2075">
        <v>2026</v>
      </c>
      <c r="C2075" s="21">
        <v>46167</v>
      </c>
      <c r="D2075" t="s">
        <v>91</v>
      </c>
      <c r="E2075" t="s">
        <v>92</v>
      </c>
      <c r="F2075" t="s">
        <v>21</v>
      </c>
      <c r="G2075">
        <v>1.3</v>
      </c>
      <c r="H2075" t="s">
        <v>3586</v>
      </c>
      <c r="I2075" t="s">
        <v>346</v>
      </c>
      <c r="J2075" s="1" t="s">
        <v>3389</v>
      </c>
      <c r="K2075" t="s">
        <v>2666</v>
      </c>
      <c r="L2075" t="s">
        <v>3587</v>
      </c>
      <c r="N2075">
        <v>0.19</v>
      </c>
      <c r="O2075" t="s">
        <v>3501</v>
      </c>
      <c r="P2075">
        <v>4.0599999999999996</v>
      </c>
      <c r="Q2075">
        <v>0.5</v>
      </c>
      <c r="S2075" t="s">
        <v>4061</v>
      </c>
      <c r="T2075" t="s">
        <v>3402</v>
      </c>
      <c r="U2075">
        <v>37</v>
      </c>
      <c r="V2075" t="s">
        <v>4062</v>
      </c>
    </row>
    <row r="2076" spans="1:22" ht="12.75" customHeight="1" x14ac:dyDescent="0.15">
      <c r="A2076">
        <v>21</v>
      </c>
      <c r="B2076">
        <v>2026</v>
      </c>
      <c r="C2076" s="21">
        <v>46167</v>
      </c>
      <c r="D2076" t="s">
        <v>139</v>
      </c>
      <c r="E2076" t="s">
        <v>140</v>
      </c>
      <c r="F2076" t="s">
        <v>75</v>
      </c>
      <c r="G2076">
        <v>0.8</v>
      </c>
      <c r="H2076" t="s">
        <v>3576</v>
      </c>
      <c r="I2076" t="s">
        <v>328</v>
      </c>
      <c r="J2076" s="1" t="s">
        <v>26</v>
      </c>
      <c r="K2076" t="s">
        <v>181</v>
      </c>
      <c r="L2076" t="s">
        <v>3333</v>
      </c>
      <c r="M2076">
        <v>86</v>
      </c>
      <c r="N2076">
        <v>0.44</v>
      </c>
      <c r="O2076" t="s">
        <v>3334</v>
      </c>
      <c r="P2076" s="1">
        <v>35.69</v>
      </c>
      <c r="Q2076">
        <v>3.5</v>
      </c>
      <c r="R2076" t="s">
        <v>3386</v>
      </c>
      <c r="S2076" t="s">
        <v>4063</v>
      </c>
      <c r="T2076" t="s">
        <v>3402</v>
      </c>
      <c r="U2076">
        <v>-1</v>
      </c>
      <c r="V2076" t="s">
        <v>4064</v>
      </c>
    </row>
    <row r="2077" spans="1:22" ht="12.75" customHeight="1" x14ac:dyDescent="0.15">
      <c r="A2077">
        <v>21</v>
      </c>
      <c r="B2077">
        <v>2026</v>
      </c>
      <c r="C2077" s="21">
        <v>46167</v>
      </c>
      <c r="D2077" t="s">
        <v>139</v>
      </c>
      <c r="E2077" t="s">
        <v>140</v>
      </c>
      <c r="F2077" t="s">
        <v>75</v>
      </c>
      <c r="G2077">
        <v>0.8</v>
      </c>
      <c r="H2077" t="s">
        <v>4065</v>
      </c>
      <c r="I2077" t="s">
        <v>328</v>
      </c>
      <c r="J2077" s="1" t="s">
        <v>26</v>
      </c>
      <c r="K2077" t="s">
        <v>2666</v>
      </c>
      <c r="L2077" t="s">
        <v>3587</v>
      </c>
      <c r="N2077">
        <v>1.33</v>
      </c>
      <c r="O2077" t="s">
        <v>3501</v>
      </c>
      <c r="P2077" s="1">
        <v>28.39</v>
      </c>
      <c r="Q2077">
        <v>3.5</v>
      </c>
      <c r="S2077" t="s">
        <v>4066</v>
      </c>
      <c r="T2077" t="s">
        <v>3402</v>
      </c>
      <c r="U2077">
        <v>-1</v>
      </c>
      <c r="V2077" t="s">
        <v>4175</v>
      </c>
    </row>
    <row r="2078" spans="1:22" ht="12.75" customHeight="1" x14ac:dyDescent="0.15">
      <c r="A2078">
        <v>21</v>
      </c>
      <c r="B2078">
        <v>2026</v>
      </c>
      <c r="C2078" s="21">
        <v>46167</v>
      </c>
      <c r="D2078" t="s">
        <v>139</v>
      </c>
      <c r="E2078" t="s">
        <v>140</v>
      </c>
      <c r="F2078" t="s">
        <v>75</v>
      </c>
      <c r="G2078">
        <v>0.8</v>
      </c>
      <c r="H2078" t="s">
        <v>3576</v>
      </c>
      <c r="I2078" t="s">
        <v>328</v>
      </c>
      <c r="J2078" s="1" t="s">
        <v>26</v>
      </c>
      <c r="K2078" t="s">
        <v>181</v>
      </c>
      <c r="L2078" t="s">
        <v>3340</v>
      </c>
      <c r="M2078">
        <v>86</v>
      </c>
      <c r="N2078">
        <v>0.16</v>
      </c>
      <c r="O2078" t="s">
        <v>211</v>
      </c>
      <c r="P2078" s="1">
        <v>9</v>
      </c>
      <c r="Q2078">
        <v>1</v>
      </c>
      <c r="R2078" t="s">
        <v>3386</v>
      </c>
      <c r="S2078" t="s">
        <v>4067</v>
      </c>
      <c r="T2078" t="s">
        <v>3402</v>
      </c>
      <c r="U2078">
        <v>-1</v>
      </c>
      <c r="V2078" t="s">
        <v>3561</v>
      </c>
    </row>
    <row r="2079" spans="1:22" ht="12.75" customHeight="1" x14ac:dyDescent="0.15">
      <c r="A2079">
        <v>21</v>
      </c>
      <c r="B2079">
        <v>2026</v>
      </c>
      <c r="C2079" s="21">
        <v>46167</v>
      </c>
      <c r="D2079" t="s">
        <v>139</v>
      </c>
      <c r="E2079" t="s">
        <v>140</v>
      </c>
      <c r="F2079" t="s">
        <v>75</v>
      </c>
      <c r="G2079">
        <v>0.8</v>
      </c>
      <c r="H2079" t="s">
        <v>4065</v>
      </c>
      <c r="I2079" t="s">
        <v>328</v>
      </c>
      <c r="J2079" s="1" t="s">
        <v>26</v>
      </c>
      <c r="K2079" t="s">
        <v>2666</v>
      </c>
      <c r="L2079" t="s">
        <v>3587</v>
      </c>
      <c r="N2079">
        <v>0.38</v>
      </c>
      <c r="O2079" t="s">
        <v>3501</v>
      </c>
      <c r="P2079" s="1">
        <v>8.11</v>
      </c>
      <c r="Q2079">
        <v>1</v>
      </c>
      <c r="T2079" t="s">
        <v>3402</v>
      </c>
      <c r="U2079">
        <v>-1</v>
      </c>
      <c r="V2079" t="s">
        <v>4176</v>
      </c>
    </row>
    <row r="2080" spans="1:22" ht="12.75" customHeight="1" x14ac:dyDescent="0.15">
      <c r="A2080">
        <v>21</v>
      </c>
      <c r="B2080">
        <v>2026</v>
      </c>
      <c r="C2080" s="21">
        <v>46167</v>
      </c>
      <c r="D2080" t="s">
        <v>91</v>
      </c>
      <c r="E2080" t="s">
        <v>92</v>
      </c>
      <c r="F2080" t="s">
        <v>21</v>
      </c>
      <c r="G2080">
        <v>1.3</v>
      </c>
      <c r="H2080" t="s">
        <v>3585</v>
      </c>
      <c r="I2080" t="s">
        <v>346</v>
      </c>
      <c r="J2080" s="1" t="s">
        <v>3389</v>
      </c>
      <c r="K2080" t="s">
        <v>181</v>
      </c>
      <c r="L2080" t="s">
        <v>3340</v>
      </c>
      <c r="M2080">
        <v>86</v>
      </c>
      <c r="N2080">
        <v>0.82</v>
      </c>
      <c r="O2080" t="s">
        <v>211</v>
      </c>
      <c r="P2080">
        <v>45</v>
      </c>
      <c r="Q2080">
        <v>3</v>
      </c>
      <c r="R2080" t="s">
        <v>3386</v>
      </c>
      <c r="T2080" t="s">
        <v>3402</v>
      </c>
      <c r="U2080">
        <v>37</v>
      </c>
      <c r="V2080" t="s">
        <v>4069</v>
      </c>
    </row>
    <row r="2081" spans="1:22" ht="12.75" customHeight="1" x14ac:dyDescent="0.15">
      <c r="A2081">
        <v>21</v>
      </c>
      <c r="B2081">
        <v>2026</v>
      </c>
      <c r="C2081" s="21">
        <v>46167</v>
      </c>
      <c r="D2081" t="s">
        <v>91</v>
      </c>
      <c r="E2081" t="s">
        <v>92</v>
      </c>
      <c r="F2081" t="s">
        <v>21</v>
      </c>
      <c r="G2081">
        <v>1.3</v>
      </c>
      <c r="H2081" t="s">
        <v>3586</v>
      </c>
      <c r="I2081" t="s">
        <v>346</v>
      </c>
      <c r="J2081" s="1" t="s">
        <v>3389</v>
      </c>
      <c r="K2081" t="s">
        <v>2666</v>
      </c>
      <c r="L2081" t="s">
        <v>3587</v>
      </c>
      <c r="N2081">
        <v>1.1399999999999999</v>
      </c>
      <c r="O2081" t="s">
        <v>3501</v>
      </c>
      <c r="P2081">
        <v>24.34</v>
      </c>
      <c r="Q2081">
        <v>3</v>
      </c>
      <c r="T2081" t="s">
        <v>3402</v>
      </c>
      <c r="U2081">
        <v>37</v>
      </c>
      <c r="V2081" t="s">
        <v>4177</v>
      </c>
    </row>
    <row r="2082" spans="1:22" ht="12.75" customHeight="1" x14ac:dyDescent="0.15">
      <c r="A2082">
        <v>21</v>
      </c>
      <c r="B2082">
        <v>2026</v>
      </c>
      <c r="C2082" s="21">
        <v>46167</v>
      </c>
      <c r="D2082" t="s">
        <v>19</v>
      </c>
      <c r="E2082" t="s">
        <v>20</v>
      </c>
      <c r="F2082" t="s">
        <v>21</v>
      </c>
      <c r="G2082">
        <v>3.8</v>
      </c>
      <c r="H2082" t="s">
        <v>3945</v>
      </c>
      <c r="I2082" t="s">
        <v>3686</v>
      </c>
      <c r="J2082" s="1" t="s">
        <v>3437</v>
      </c>
      <c r="K2082" t="s">
        <v>181</v>
      </c>
      <c r="L2082" t="s">
        <v>3333</v>
      </c>
      <c r="M2082">
        <v>4</v>
      </c>
      <c r="N2082">
        <v>1</v>
      </c>
      <c r="O2082" t="s">
        <v>3334</v>
      </c>
      <c r="P2082">
        <v>81.58</v>
      </c>
      <c r="Q2082">
        <v>8</v>
      </c>
      <c r="R2082" t="s">
        <v>3773</v>
      </c>
      <c r="T2082" t="s">
        <v>3402</v>
      </c>
      <c r="U2082">
        <v>167</v>
      </c>
      <c r="V2082" t="s">
        <v>3797</v>
      </c>
    </row>
    <row r="2083" spans="1:22" ht="12.75" customHeight="1" x14ac:dyDescent="0.15">
      <c r="A2083">
        <v>21</v>
      </c>
      <c r="B2083">
        <v>2026</v>
      </c>
      <c r="C2083" s="21">
        <v>46167</v>
      </c>
      <c r="D2083" t="s">
        <v>19</v>
      </c>
      <c r="E2083" t="s">
        <v>20</v>
      </c>
      <c r="F2083" t="s">
        <v>21</v>
      </c>
      <c r="G2083">
        <v>3.8</v>
      </c>
      <c r="H2083" t="s">
        <v>3945</v>
      </c>
      <c r="I2083" t="s">
        <v>3686</v>
      </c>
      <c r="J2083" s="1" t="s">
        <v>3437</v>
      </c>
      <c r="K2083" t="s">
        <v>181</v>
      </c>
      <c r="L2083" t="s">
        <v>3340</v>
      </c>
      <c r="M2083">
        <v>4</v>
      </c>
      <c r="N2083">
        <v>0.49</v>
      </c>
      <c r="O2083" t="s">
        <v>211</v>
      </c>
      <c r="P2083">
        <v>27</v>
      </c>
      <c r="Q2083">
        <v>3</v>
      </c>
      <c r="R2083" t="s">
        <v>3773</v>
      </c>
      <c r="S2083" t="s">
        <v>4071</v>
      </c>
      <c r="T2083" t="s">
        <v>3402</v>
      </c>
      <c r="U2083">
        <v>167</v>
      </c>
      <c r="V2083" t="s">
        <v>3405</v>
      </c>
    </row>
    <row r="2084" spans="1:22" ht="12.75" customHeight="1" x14ac:dyDescent="0.15">
      <c r="A2084">
        <v>21</v>
      </c>
      <c r="B2084">
        <v>2026</v>
      </c>
      <c r="C2084" s="21">
        <v>46167</v>
      </c>
      <c r="D2084" t="s">
        <v>19</v>
      </c>
      <c r="E2084" t="s">
        <v>20</v>
      </c>
      <c r="F2084" t="s">
        <v>21</v>
      </c>
      <c r="G2084">
        <v>3.8</v>
      </c>
      <c r="H2084" t="s">
        <v>3937</v>
      </c>
      <c r="I2084" t="s">
        <v>309</v>
      </c>
      <c r="J2084" s="1" t="s">
        <v>307</v>
      </c>
      <c r="K2084" t="s">
        <v>181</v>
      </c>
      <c r="L2084" t="s">
        <v>3333</v>
      </c>
      <c r="M2084">
        <v>67</v>
      </c>
      <c r="N2084">
        <v>0.75</v>
      </c>
      <c r="O2084" t="s">
        <v>3334</v>
      </c>
      <c r="P2084">
        <v>61.19</v>
      </c>
      <c r="Q2084">
        <v>6</v>
      </c>
      <c r="R2084" t="s">
        <v>3404</v>
      </c>
      <c r="S2084" t="s">
        <v>4072</v>
      </c>
      <c r="T2084" t="s">
        <v>3402</v>
      </c>
      <c r="U2084">
        <v>167</v>
      </c>
      <c r="V2084" t="s">
        <v>3345</v>
      </c>
    </row>
    <row r="2085" spans="1:22" ht="12.75" customHeight="1" x14ac:dyDescent="0.15">
      <c r="A2085">
        <v>21</v>
      </c>
      <c r="B2085">
        <v>2026</v>
      </c>
      <c r="C2085" s="21">
        <v>46167</v>
      </c>
      <c r="D2085" t="s">
        <v>19</v>
      </c>
      <c r="E2085" t="s">
        <v>20</v>
      </c>
      <c r="F2085" t="s">
        <v>21</v>
      </c>
      <c r="G2085">
        <v>3.8</v>
      </c>
      <c r="H2085" t="s">
        <v>3937</v>
      </c>
      <c r="I2085" t="s">
        <v>309</v>
      </c>
      <c r="J2085" s="1" t="s">
        <v>307</v>
      </c>
      <c r="K2085" t="s">
        <v>181</v>
      </c>
      <c r="L2085" t="s">
        <v>3333</v>
      </c>
      <c r="M2085">
        <v>19</v>
      </c>
      <c r="N2085">
        <v>0.75</v>
      </c>
      <c r="O2085" t="s">
        <v>3334</v>
      </c>
      <c r="P2085">
        <v>61.19</v>
      </c>
      <c r="Q2085">
        <v>6</v>
      </c>
      <c r="R2085" t="s">
        <v>3403</v>
      </c>
      <c r="S2085" t="s">
        <v>4073</v>
      </c>
      <c r="T2085" t="s">
        <v>3402</v>
      </c>
      <c r="U2085">
        <v>167</v>
      </c>
      <c r="V2085" t="s">
        <v>3345</v>
      </c>
    </row>
    <row r="2086" spans="1:22" ht="12.75" customHeight="1" x14ac:dyDescent="0.15">
      <c r="A2086">
        <v>21</v>
      </c>
      <c r="B2086">
        <v>2026</v>
      </c>
      <c r="C2086" s="21">
        <v>46167</v>
      </c>
      <c r="D2086" t="s">
        <v>19</v>
      </c>
      <c r="E2086" t="s">
        <v>20</v>
      </c>
      <c r="F2086" t="s">
        <v>21</v>
      </c>
      <c r="G2086">
        <v>3.8</v>
      </c>
      <c r="H2086" t="s">
        <v>3937</v>
      </c>
      <c r="I2086" t="s">
        <v>309</v>
      </c>
      <c r="J2086" s="1" t="s">
        <v>307</v>
      </c>
      <c r="K2086" t="s">
        <v>181</v>
      </c>
      <c r="L2086" t="s">
        <v>3340</v>
      </c>
      <c r="M2086">
        <v>78</v>
      </c>
      <c r="N2086">
        <v>1.96</v>
      </c>
      <c r="O2086" t="s">
        <v>211</v>
      </c>
      <c r="P2086">
        <v>108</v>
      </c>
      <c r="R2086" t="s">
        <v>3341</v>
      </c>
      <c r="S2086" t="s">
        <v>4074</v>
      </c>
      <c r="T2086" t="s">
        <v>3402</v>
      </c>
      <c r="U2086">
        <v>167</v>
      </c>
      <c r="V2086" t="s">
        <v>4075</v>
      </c>
    </row>
    <row r="2087" spans="1:22" ht="12.75" customHeight="1" x14ac:dyDescent="0.15">
      <c r="A2087">
        <v>21</v>
      </c>
      <c r="B2087">
        <v>2026</v>
      </c>
      <c r="C2087" s="21">
        <v>46167</v>
      </c>
      <c r="D2087" t="s">
        <v>19</v>
      </c>
      <c r="E2087" t="s">
        <v>20</v>
      </c>
      <c r="F2087" t="s">
        <v>21</v>
      </c>
      <c r="G2087">
        <v>3.8</v>
      </c>
      <c r="H2087" t="s">
        <v>3937</v>
      </c>
      <c r="I2087" t="s">
        <v>309</v>
      </c>
      <c r="J2087" s="1" t="s">
        <v>307</v>
      </c>
      <c r="K2087" t="s">
        <v>181</v>
      </c>
      <c r="L2087" t="s">
        <v>3340</v>
      </c>
      <c r="M2087">
        <v>67</v>
      </c>
      <c r="N2087">
        <v>0.82</v>
      </c>
      <c r="O2087" t="s">
        <v>211</v>
      </c>
      <c r="P2087">
        <v>45</v>
      </c>
      <c r="R2087" t="s">
        <v>3404</v>
      </c>
      <c r="S2087" t="s">
        <v>4076</v>
      </c>
      <c r="T2087" t="s">
        <v>3402</v>
      </c>
      <c r="U2087">
        <v>167</v>
      </c>
      <c r="V2087" t="s">
        <v>3396</v>
      </c>
    </row>
    <row r="2088" spans="1:22" ht="12.75" customHeight="1" x14ac:dyDescent="0.15">
      <c r="A2088">
        <v>21</v>
      </c>
      <c r="B2088">
        <v>2026</v>
      </c>
      <c r="C2088" s="21">
        <v>46167</v>
      </c>
      <c r="D2088" t="s">
        <v>19</v>
      </c>
      <c r="E2088" t="s">
        <v>20</v>
      </c>
      <c r="F2088" t="s">
        <v>21</v>
      </c>
      <c r="G2088">
        <v>3.8</v>
      </c>
      <c r="H2088" t="s">
        <v>3937</v>
      </c>
      <c r="I2088" t="s">
        <v>309</v>
      </c>
      <c r="J2088" s="1" t="s">
        <v>307</v>
      </c>
      <c r="K2088" t="s">
        <v>181</v>
      </c>
      <c r="L2088" t="s">
        <v>3340</v>
      </c>
      <c r="M2088">
        <v>19</v>
      </c>
      <c r="N2088">
        <v>0.73</v>
      </c>
      <c r="O2088" t="s">
        <v>211</v>
      </c>
      <c r="P2088">
        <v>40</v>
      </c>
      <c r="R2088" t="s">
        <v>3403</v>
      </c>
      <c r="S2088" t="s">
        <v>4077</v>
      </c>
      <c r="T2088" t="s">
        <v>3402</v>
      </c>
      <c r="U2088">
        <v>167</v>
      </c>
      <c r="V2088" t="s">
        <v>3989</v>
      </c>
    </row>
    <row r="2089" spans="1:22" ht="12.75" customHeight="1" x14ac:dyDescent="0.15">
      <c r="A2089">
        <v>21</v>
      </c>
      <c r="B2089">
        <v>2026</v>
      </c>
      <c r="C2089" s="21">
        <v>46167</v>
      </c>
      <c r="D2089" t="s">
        <v>141</v>
      </c>
      <c r="E2089" t="s">
        <v>142</v>
      </c>
      <c r="F2089" t="s">
        <v>75</v>
      </c>
      <c r="G2089">
        <v>1</v>
      </c>
      <c r="H2089" t="s">
        <v>3845</v>
      </c>
      <c r="I2089" t="s">
        <v>380</v>
      </c>
      <c r="J2089" s="1" t="s">
        <v>3533</v>
      </c>
      <c r="K2089" t="s">
        <v>181</v>
      </c>
      <c r="L2089" t="s">
        <v>3333</v>
      </c>
      <c r="M2089">
        <v>3</v>
      </c>
      <c r="N2089">
        <v>1</v>
      </c>
      <c r="O2089" t="s">
        <v>3334</v>
      </c>
      <c r="P2089">
        <v>81.58</v>
      </c>
      <c r="Q2089">
        <v>8</v>
      </c>
      <c r="R2089" t="s">
        <v>3478</v>
      </c>
      <c r="S2089" t="s">
        <v>4078</v>
      </c>
      <c r="T2089" t="s">
        <v>3402</v>
      </c>
      <c r="U2089">
        <v>-29</v>
      </c>
      <c r="V2089" t="s">
        <v>3334</v>
      </c>
    </row>
    <row r="2090" spans="1:22" ht="12.75" customHeight="1" x14ac:dyDescent="0.15">
      <c r="A2090">
        <v>21</v>
      </c>
      <c r="B2090">
        <v>2026</v>
      </c>
      <c r="C2090" s="21">
        <v>46167</v>
      </c>
      <c r="D2090" t="s">
        <v>19</v>
      </c>
      <c r="E2090" t="s">
        <v>20</v>
      </c>
      <c r="F2090" t="s">
        <v>21</v>
      </c>
      <c r="G2090">
        <v>3.8</v>
      </c>
      <c r="H2090" t="s">
        <v>3965</v>
      </c>
      <c r="I2090" t="s">
        <v>3964</v>
      </c>
      <c r="J2090" s="1" t="s">
        <v>307</v>
      </c>
      <c r="K2090" t="s">
        <v>2666</v>
      </c>
      <c r="L2090" t="s">
        <v>3587</v>
      </c>
      <c r="N2090">
        <v>0.76</v>
      </c>
      <c r="O2090" t="s">
        <v>3501</v>
      </c>
      <c r="P2090">
        <v>16.22</v>
      </c>
      <c r="Q2090">
        <v>2</v>
      </c>
      <c r="T2090" t="s">
        <v>3402</v>
      </c>
      <c r="U2090">
        <v>167</v>
      </c>
      <c r="V2090" t="s">
        <v>4059</v>
      </c>
    </row>
    <row r="2091" spans="1:22" ht="12.75" customHeight="1" x14ac:dyDescent="0.15">
      <c r="A2091" s="8">
        <v>21</v>
      </c>
      <c r="B2091" s="8">
        <v>2026</v>
      </c>
      <c r="C2091" s="23">
        <v>46168</v>
      </c>
      <c r="D2091" s="8" t="s">
        <v>19</v>
      </c>
      <c r="E2091" s="8" t="s">
        <v>20</v>
      </c>
      <c r="F2091" s="8" t="s">
        <v>21</v>
      </c>
      <c r="G2091" s="8">
        <v>3.8</v>
      </c>
      <c r="H2091" s="8" t="s">
        <v>4045</v>
      </c>
      <c r="I2091" s="8" t="s">
        <v>309</v>
      </c>
      <c r="J2091" s="8" t="s">
        <v>307</v>
      </c>
      <c r="K2091" s="8" t="s">
        <v>181</v>
      </c>
      <c r="L2091" s="8" t="s">
        <v>3340</v>
      </c>
      <c r="M2091" s="8">
        <v>62</v>
      </c>
      <c r="N2091" s="8">
        <v>3.11</v>
      </c>
      <c r="O2091" s="8" t="s">
        <v>211</v>
      </c>
      <c r="P2091" s="2">
        <v>171</v>
      </c>
      <c r="Q2091" s="8"/>
      <c r="R2091" s="8" t="s">
        <v>3375</v>
      </c>
      <c r="S2091" s="8" t="s">
        <v>4079</v>
      </c>
      <c r="T2091" s="8" t="s">
        <v>3337</v>
      </c>
      <c r="U2091" s="8">
        <v>168</v>
      </c>
      <c r="V2091" s="26" t="s">
        <v>3530</v>
      </c>
    </row>
    <row r="2092" spans="1:22" ht="12.75" customHeight="1" x14ac:dyDescent="0.15">
      <c r="A2092" s="8">
        <v>21</v>
      </c>
      <c r="B2092" s="8">
        <v>2026</v>
      </c>
      <c r="C2092" s="23">
        <v>46168</v>
      </c>
      <c r="D2092" s="8" t="s">
        <v>19</v>
      </c>
      <c r="E2092" s="8" t="s">
        <v>20</v>
      </c>
      <c r="F2092" s="8" t="s">
        <v>21</v>
      </c>
      <c r="G2092" s="8">
        <v>3.8</v>
      </c>
      <c r="H2092" s="8" t="s">
        <v>4045</v>
      </c>
      <c r="I2092" s="8" t="s">
        <v>309</v>
      </c>
      <c r="J2092" s="8" t="s">
        <v>307</v>
      </c>
      <c r="K2092" s="8" t="s">
        <v>181</v>
      </c>
      <c r="L2092" s="8" t="s">
        <v>3340</v>
      </c>
      <c r="M2092" s="8">
        <v>45</v>
      </c>
      <c r="N2092" s="8">
        <v>2.46</v>
      </c>
      <c r="O2092" s="8" t="s">
        <v>211</v>
      </c>
      <c r="P2092" s="2">
        <v>135.5</v>
      </c>
      <c r="Q2092" s="8"/>
      <c r="R2092" s="8" t="s">
        <v>3377</v>
      </c>
      <c r="S2092" s="8" t="s">
        <v>4080</v>
      </c>
      <c r="T2092" s="8" t="s">
        <v>3337</v>
      </c>
      <c r="U2092" s="8">
        <v>168</v>
      </c>
      <c r="V2092" s="26" t="s">
        <v>4081</v>
      </c>
    </row>
    <row r="2093" spans="1:22" ht="12.75" customHeight="1" x14ac:dyDescent="0.15">
      <c r="A2093" s="8">
        <v>21</v>
      </c>
      <c r="B2093" s="8">
        <v>2026</v>
      </c>
      <c r="C2093" s="23">
        <v>46168</v>
      </c>
      <c r="D2093" s="8" t="s">
        <v>19</v>
      </c>
      <c r="E2093" s="8" t="s">
        <v>20</v>
      </c>
      <c r="F2093" s="8" t="s">
        <v>21</v>
      </c>
      <c r="G2093" s="8">
        <v>3.8</v>
      </c>
      <c r="H2093" s="8" t="s">
        <v>4045</v>
      </c>
      <c r="I2093" s="8" t="s">
        <v>309</v>
      </c>
      <c r="J2093" s="8" t="s">
        <v>307</v>
      </c>
      <c r="K2093" s="8" t="s">
        <v>181</v>
      </c>
      <c r="L2093" s="8" t="s">
        <v>3340</v>
      </c>
      <c r="M2093" s="8">
        <v>53</v>
      </c>
      <c r="N2093" s="8">
        <v>3.21</v>
      </c>
      <c r="O2093" s="8" t="s">
        <v>211</v>
      </c>
      <c r="P2093" s="2">
        <v>176.5</v>
      </c>
      <c r="Q2093" s="8"/>
      <c r="R2093" s="8" t="s">
        <v>3373</v>
      </c>
      <c r="S2093" s="8" t="s">
        <v>4082</v>
      </c>
      <c r="T2093" s="8" t="s">
        <v>3337</v>
      </c>
      <c r="U2093" s="8">
        <v>168</v>
      </c>
      <c r="V2093" s="26" t="s">
        <v>4083</v>
      </c>
    </row>
    <row r="2094" spans="1:22" ht="12.75" customHeight="1" x14ac:dyDescent="0.15">
      <c r="A2094" s="8">
        <v>21</v>
      </c>
      <c r="B2094" s="8">
        <v>2026</v>
      </c>
      <c r="C2094" s="23">
        <v>46168</v>
      </c>
      <c r="D2094" s="8" t="s">
        <v>19</v>
      </c>
      <c r="E2094" s="8" t="s">
        <v>20</v>
      </c>
      <c r="F2094" s="8" t="s">
        <v>21</v>
      </c>
      <c r="G2094" s="8">
        <v>3.8</v>
      </c>
      <c r="H2094" s="8" t="s">
        <v>4045</v>
      </c>
      <c r="I2094" s="8" t="s">
        <v>309</v>
      </c>
      <c r="J2094" s="8" t="s">
        <v>307</v>
      </c>
      <c r="K2094" s="8" t="s">
        <v>181</v>
      </c>
      <c r="L2094" s="8" t="s">
        <v>3340</v>
      </c>
      <c r="M2094" s="8">
        <v>81</v>
      </c>
      <c r="N2094" s="8">
        <v>2.2599999999999998</v>
      </c>
      <c r="O2094" s="8" t="s">
        <v>211</v>
      </c>
      <c r="P2094" s="2">
        <v>124.5</v>
      </c>
      <c r="Q2094" s="8"/>
      <c r="R2094" s="8" t="s">
        <v>3374</v>
      </c>
      <c r="S2094" s="8" t="s">
        <v>4084</v>
      </c>
      <c r="T2094" s="8" t="s">
        <v>3337</v>
      </c>
      <c r="U2094" s="8">
        <v>168</v>
      </c>
      <c r="V2094" s="26" t="s">
        <v>4085</v>
      </c>
    </row>
    <row r="2095" spans="1:22" ht="12.75" customHeight="1" x14ac:dyDescent="0.15">
      <c r="A2095" s="8">
        <v>21</v>
      </c>
      <c r="B2095" s="8">
        <v>2026</v>
      </c>
      <c r="C2095" s="23">
        <v>46168</v>
      </c>
      <c r="D2095" s="8" t="s">
        <v>19</v>
      </c>
      <c r="E2095" s="8" t="s">
        <v>20</v>
      </c>
      <c r="F2095" s="8" t="s">
        <v>21</v>
      </c>
      <c r="G2095" s="8">
        <v>3.8</v>
      </c>
      <c r="H2095" s="8" t="s">
        <v>4045</v>
      </c>
      <c r="I2095" s="8" t="s">
        <v>309</v>
      </c>
      <c r="J2095" s="8" t="s">
        <v>307</v>
      </c>
      <c r="K2095" s="8" t="s">
        <v>181</v>
      </c>
      <c r="L2095" s="8" t="s">
        <v>3340</v>
      </c>
      <c r="M2095" s="8">
        <v>58</v>
      </c>
      <c r="N2095" s="8">
        <v>2.04</v>
      </c>
      <c r="O2095" s="8" t="s">
        <v>211</v>
      </c>
      <c r="P2095" s="2">
        <v>112</v>
      </c>
      <c r="Q2095" s="8"/>
      <c r="R2095" s="8" t="s">
        <v>3343</v>
      </c>
      <c r="S2095" s="8" t="s">
        <v>4086</v>
      </c>
      <c r="T2095" s="8" t="s">
        <v>3337</v>
      </c>
      <c r="U2095" s="8">
        <v>168</v>
      </c>
      <c r="V2095" s="26" t="s">
        <v>4087</v>
      </c>
    </row>
    <row r="2096" spans="1:22" ht="12.75" customHeight="1" x14ac:dyDescent="0.15">
      <c r="A2096" s="8">
        <v>21</v>
      </c>
      <c r="B2096" s="8">
        <v>2026</v>
      </c>
      <c r="C2096" s="23">
        <v>46168</v>
      </c>
      <c r="D2096" s="8" t="s">
        <v>19</v>
      </c>
      <c r="E2096" s="8" t="s">
        <v>20</v>
      </c>
      <c r="F2096" s="8" t="s">
        <v>21</v>
      </c>
      <c r="G2096" s="8">
        <v>3.8</v>
      </c>
      <c r="H2096" s="8" t="s">
        <v>4045</v>
      </c>
      <c r="I2096" s="8" t="s">
        <v>309</v>
      </c>
      <c r="J2096" s="8" t="s">
        <v>307</v>
      </c>
      <c r="K2096" s="8" t="s">
        <v>181</v>
      </c>
      <c r="L2096" s="8" t="s">
        <v>3340</v>
      </c>
      <c r="M2096" s="8">
        <v>132</v>
      </c>
      <c r="N2096" s="8">
        <v>2.04</v>
      </c>
      <c r="O2096" s="8" t="s">
        <v>211</v>
      </c>
      <c r="P2096" s="2">
        <v>112</v>
      </c>
      <c r="Q2096" s="8"/>
      <c r="R2096" s="8" t="s">
        <v>3368</v>
      </c>
      <c r="S2096" s="8" t="s">
        <v>4086</v>
      </c>
      <c r="T2096" s="8" t="s">
        <v>3337</v>
      </c>
      <c r="U2096" s="8">
        <v>168</v>
      </c>
      <c r="V2096" s="26" t="s">
        <v>4087</v>
      </c>
    </row>
    <row r="2097" spans="1:22" ht="12.75" customHeight="1" x14ac:dyDescent="0.15">
      <c r="A2097" s="8">
        <v>21</v>
      </c>
      <c r="B2097" s="8">
        <v>2026</v>
      </c>
      <c r="C2097" s="23">
        <v>46168</v>
      </c>
      <c r="D2097" s="8" t="s">
        <v>101</v>
      </c>
      <c r="E2097" s="8" t="s">
        <v>102</v>
      </c>
      <c r="F2097" s="8" t="s">
        <v>75</v>
      </c>
      <c r="G2097" s="8">
        <v>7.6</v>
      </c>
      <c r="H2097" s="8" t="s">
        <v>3953</v>
      </c>
      <c r="I2097" s="8" t="s">
        <v>3954</v>
      </c>
      <c r="J2097" s="8" t="s">
        <v>253</v>
      </c>
      <c r="K2097" s="8" t="s">
        <v>181</v>
      </c>
      <c r="L2097" s="8" t="s">
        <v>3333</v>
      </c>
      <c r="M2097" s="8">
        <v>1</v>
      </c>
      <c r="N2097" s="8">
        <v>1</v>
      </c>
      <c r="O2097" s="8" t="s">
        <v>3358</v>
      </c>
      <c r="P2097" s="2">
        <v>71.86</v>
      </c>
      <c r="Q2097" s="8">
        <v>8</v>
      </c>
      <c r="R2097" s="8" t="s">
        <v>3359</v>
      </c>
      <c r="S2097" s="8"/>
      <c r="T2097" s="8" t="s">
        <v>3337</v>
      </c>
      <c r="U2097" s="8">
        <v>28</v>
      </c>
      <c r="V2097" s="26" t="s">
        <v>3545</v>
      </c>
    </row>
    <row r="2098" spans="1:22" ht="12.75" customHeight="1" x14ac:dyDescent="0.15">
      <c r="A2098" s="8">
        <v>21</v>
      </c>
      <c r="B2098" s="8">
        <v>2026</v>
      </c>
      <c r="C2098" s="23">
        <v>46168</v>
      </c>
      <c r="D2098" s="8" t="s">
        <v>101</v>
      </c>
      <c r="E2098" s="8" t="s">
        <v>102</v>
      </c>
      <c r="F2098" s="8" t="s">
        <v>75</v>
      </c>
      <c r="G2098" s="8">
        <v>7.6</v>
      </c>
      <c r="H2098" s="8" t="s">
        <v>3953</v>
      </c>
      <c r="I2098" s="8" t="s">
        <v>3954</v>
      </c>
      <c r="J2098" s="8" t="s">
        <v>253</v>
      </c>
      <c r="K2098" s="8" t="s">
        <v>181</v>
      </c>
      <c r="L2098" s="8" t="s">
        <v>3333</v>
      </c>
      <c r="M2098" s="8">
        <v>6</v>
      </c>
      <c r="N2098" s="8">
        <v>1</v>
      </c>
      <c r="O2098" s="8" t="s">
        <v>3334</v>
      </c>
      <c r="P2098" s="2">
        <v>81.58</v>
      </c>
      <c r="Q2098" s="8">
        <v>8</v>
      </c>
      <c r="R2098" s="8" t="s">
        <v>3335</v>
      </c>
      <c r="S2098" s="8"/>
      <c r="T2098" s="8" t="s">
        <v>3337</v>
      </c>
      <c r="U2098" s="8">
        <v>28</v>
      </c>
      <c r="V2098" s="26" t="s">
        <v>3338</v>
      </c>
    </row>
    <row r="2099" spans="1:22" ht="12.75" customHeight="1" x14ac:dyDescent="0.15">
      <c r="A2099" s="8">
        <v>21</v>
      </c>
      <c r="B2099" s="8">
        <v>2026</v>
      </c>
      <c r="C2099" s="23">
        <v>46168</v>
      </c>
      <c r="D2099" s="8" t="s">
        <v>101</v>
      </c>
      <c r="E2099" s="8" t="s">
        <v>102</v>
      </c>
      <c r="F2099" s="8" t="s">
        <v>75</v>
      </c>
      <c r="G2099" s="8">
        <v>7.6</v>
      </c>
      <c r="H2099" s="8" t="s">
        <v>3400</v>
      </c>
      <c r="I2099" s="8" t="s">
        <v>353</v>
      </c>
      <c r="J2099" s="8" t="s">
        <v>253</v>
      </c>
      <c r="K2099" s="8" t="s">
        <v>181</v>
      </c>
      <c r="L2099" s="8" t="s">
        <v>3333</v>
      </c>
      <c r="M2099" s="8">
        <v>2</v>
      </c>
      <c r="N2099" s="8">
        <v>1</v>
      </c>
      <c r="O2099" s="8" t="s">
        <v>3440</v>
      </c>
      <c r="P2099" s="2">
        <v>90.49</v>
      </c>
      <c r="Q2099" s="8">
        <v>8</v>
      </c>
      <c r="R2099" s="8" t="s">
        <v>3424</v>
      </c>
      <c r="S2099" s="8"/>
      <c r="T2099" s="8" t="s">
        <v>3337</v>
      </c>
      <c r="U2099" s="8">
        <v>28</v>
      </c>
      <c r="V2099" s="26" t="s">
        <v>3982</v>
      </c>
    </row>
    <row r="2100" spans="1:22" ht="12.75" customHeight="1" x14ac:dyDescent="0.15">
      <c r="A2100" s="8">
        <v>21</v>
      </c>
      <c r="B2100" s="8">
        <v>2026</v>
      </c>
      <c r="C2100" s="23">
        <v>46168</v>
      </c>
      <c r="D2100" s="8" t="s">
        <v>101</v>
      </c>
      <c r="E2100" s="8" t="s">
        <v>102</v>
      </c>
      <c r="F2100" s="8" t="s">
        <v>75</v>
      </c>
      <c r="G2100" s="8">
        <v>7.6</v>
      </c>
      <c r="H2100" s="8" t="s">
        <v>3400</v>
      </c>
      <c r="I2100" s="8" t="s">
        <v>353</v>
      </c>
      <c r="J2100" s="8" t="s">
        <v>253</v>
      </c>
      <c r="K2100" s="8" t="s">
        <v>181</v>
      </c>
      <c r="L2100" s="8" t="s">
        <v>3340</v>
      </c>
      <c r="M2100" s="8">
        <v>25</v>
      </c>
      <c r="N2100" s="8">
        <v>1</v>
      </c>
      <c r="O2100" s="8" t="s">
        <v>211</v>
      </c>
      <c r="P2100" s="2">
        <v>55</v>
      </c>
      <c r="Q2100" s="8"/>
      <c r="R2100" s="8" t="s">
        <v>3413</v>
      </c>
      <c r="S2100" s="8"/>
      <c r="T2100" s="8" t="s">
        <v>3337</v>
      </c>
      <c r="U2100" s="8">
        <v>28</v>
      </c>
      <c r="V2100" s="26" t="s">
        <v>4088</v>
      </c>
    </row>
    <row r="2101" spans="1:22" ht="12.75" customHeight="1" x14ac:dyDescent="0.15">
      <c r="A2101" s="8">
        <v>21</v>
      </c>
      <c r="B2101" s="8">
        <v>2026</v>
      </c>
      <c r="C2101" s="23">
        <v>46168</v>
      </c>
      <c r="D2101" s="8" t="s">
        <v>19</v>
      </c>
      <c r="E2101" s="8" t="s">
        <v>20</v>
      </c>
      <c r="F2101" s="8" t="s">
        <v>21</v>
      </c>
      <c r="G2101" s="8">
        <v>3.8</v>
      </c>
      <c r="H2101" s="8" t="s">
        <v>4004</v>
      </c>
      <c r="I2101" s="8" t="s">
        <v>4005</v>
      </c>
      <c r="J2101" s="8" t="s">
        <v>307</v>
      </c>
      <c r="K2101" s="8" t="s">
        <v>181</v>
      </c>
      <c r="L2101" s="8" t="s">
        <v>3340</v>
      </c>
      <c r="M2101" s="8">
        <v>62</v>
      </c>
      <c r="N2101" s="8">
        <v>0.19</v>
      </c>
      <c r="O2101" s="8" t="s">
        <v>211</v>
      </c>
      <c r="P2101" s="2">
        <v>10.3</v>
      </c>
      <c r="Q2101" s="8"/>
      <c r="R2101" s="8" t="s">
        <v>3375</v>
      </c>
      <c r="S2101" s="8" t="s">
        <v>4089</v>
      </c>
      <c r="T2101" s="8" t="s">
        <v>3337</v>
      </c>
      <c r="U2101" s="8">
        <v>168</v>
      </c>
      <c r="V2101" s="26" t="s">
        <v>4090</v>
      </c>
    </row>
    <row r="2102" spans="1:22" ht="12.75" customHeight="1" x14ac:dyDescent="0.15">
      <c r="A2102" s="8">
        <v>21</v>
      </c>
      <c r="B2102" s="8">
        <v>2026</v>
      </c>
      <c r="C2102" s="23">
        <v>46168</v>
      </c>
      <c r="D2102" s="8" t="s">
        <v>19</v>
      </c>
      <c r="E2102" s="8" t="s">
        <v>20</v>
      </c>
      <c r="F2102" s="8" t="s">
        <v>21</v>
      </c>
      <c r="G2102" s="8">
        <v>3.8</v>
      </c>
      <c r="H2102" s="8" t="s">
        <v>4004</v>
      </c>
      <c r="I2102" s="8" t="s">
        <v>4005</v>
      </c>
      <c r="J2102" s="8" t="s">
        <v>307</v>
      </c>
      <c r="K2102" s="8" t="s">
        <v>181</v>
      </c>
      <c r="L2102" s="8" t="s">
        <v>3340</v>
      </c>
      <c r="M2102" s="8">
        <v>45</v>
      </c>
      <c r="N2102" s="8">
        <v>0.19</v>
      </c>
      <c r="O2102" s="8" t="s">
        <v>211</v>
      </c>
      <c r="P2102" s="2">
        <v>10.3</v>
      </c>
      <c r="Q2102" s="8"/>
      <c r="R2102" s="8" t="s">
        <v>3377</v>
      </c>
      <c r="S2102" s="8"/>
      <c r="T2102" s="8" t="s">
        <v>3337</v>
      </c>
      <c r="U2102" s="8">
        <v>168</v>
      </c>
      <c r="V2102" s="26" t="s">
        <v>4090</v>
      </c>
    </row>
    <row r="2103" spans="1:22" ht="12.75" customHeight="1" x14ac:dyDescent="0.15">
      <c r="A2103" s="8">
        <v>21</v>
      </c>
      <c r="B2103" s="8">
        <v>2026</v>
      </c>
      <c r="C2103" s="23">
        <v>46168</v>
      </c>
      <c r="D2103" s="8" t="s">
        <v>19</v>
      </c>
      <c r="E2103" s="8" t="s">
        <v>20</v>
      </c>
      <c r="F2103" s="8" t="s">
        <v>21</v>
      </c>
      <c r="G2103" s="8">
        <v>3.8</v>
      </c>
      <c r="H2103" s="8" t="s">
        <v>4004</v>
      </c>
      <c r="I2103" s="8" t="s">
        <v>4005</v>
      </c>
      <c r="J2103" s="8" t="s">
        <v>307</v>
      </c>
      <c r="K2103" s="8" t="s">
        <v>181</v>
      </c>
      <c r="L2103" s="8" t="s">
        <v>3340</v>
      </c>
      <c r="M2103" s="8">
        <v>53</v>
      </c>
      <c r="N2103" s="8">
        <v>0.19</v>
      </c>
      <c r="O2103" s="8" t="s">
        <v>211</v>
      </c>
      <c r="P2103" s="2">
        <v>10.3</v>
      </c>
      <c r="Q2103" s="8"/>
      <c r="R2103" s="8" t="s">
        <v>3373</v>
      </c>
      <c r="S2103" s="8"/>
      <c r="T2103" s="8" t="s">
        <v>3337</v>
      </c>
      <c r="U2103" s="8">
        <v>168</v>
      </c>
      <c r="V2103" s="26" t="s">
        <v>4090</v>
      </c>
    </row>
    <row r="2104" spans="1:22" ht="12.75" customHeight="1" x14ac:dyDescent="0.15">
      <c r="A2104" s="8">
        <v>21</v>
      </c>
      <c r="B2104" s="8">
        <v>2026</v>
      </c>
      <c r="C2104" s="23">
        <v>46168</v>
      </c>
      <c r="D2104" s="8" t="s">
        <v>19</v>
      </c>
      <c r="E2104" s="8" t="s">
        <v>20</v>
      </c>
      <c r="F2104" s="8" t="s">
        <v>21</v>
      </c>
      <c r="G2104" s="8">
        <v>3.8</v>
      </c>
      <c r="H2104" s="8" t="s">
        <v>4004</v>
      </c>
      <c r="I2104" s="8" t="s">
        <v>4005</v>
      </c>
      <c r="J2104" s="8" t="s">
        <v>307</v>
      </c>
      <c r="K2104" s="8" t="s">
        <v>181</v>
      </c>
      <c r="L2104" s="8" t="s">
        <v>3340</v>
      </c>
      <c r="M2104" s="8">
        <v>81</v>
      </c>
      <c r="N2104" s="8">
        <v>0.19</v>
      </c>
      <c r="O2104" s="8" t="s">
        <v>211</v>
      </c>
      <c r="P2104" s="2">
        <v>10.3</v>
      </c>
      <c r="Q2104" s="8"/>
      <c r="R2104" s="8" t="s">
        <v>3374</v>
      </c>
      <c r="S2104" s="8"/>
      <c r="T2104" s="8" t="s">
        <v>3337</v>
      </c>
      <c r="U2104" s="8">
        <v>168</v>
      </c>
      <c r="V2104" s="26" t="s">
        <v>4090</v>
      </c>
    </row>
    <row r="2105" spans="1:22" ht="12.75" customHeight="1" x14ac:dyDescent="0.15">
      <c r="A2105" s="8">
        <v>21</v>
      </c>
      <c r="B2105" s="8">
        <v>2026</v>
      </c>
      <c r="C2105" s="23">
        <v>46168</v>
      </c>
      <c r="D2105" s="8" t="s">
        <v>19</v>
      </c>
      <c r="E2105" s="8" t="s">
        <v>20</v>
      </c>
      <c r="F2105" s="8" t="s">
        <v>21</v>
      </c>
      <c r="G2105" s="8">
        <v>3.8</v>
      </c>
      <c r="H2105" s="8" t="s">
        <v>4004</v>
      </c>
      <c r="I2105" s="8" t="s">
        <v>4005</v>
      </c>
      <c r="J2105" s="8" t="s">
        <v>307</v>
      </c>
      <c r="K2105" s="8" t="s">
        <v>181</v>
      </c>
      <c r="L2105" s="8" t="s">
        <v>3340</v>
      </c>
      <c r="M2105" s="8">
        <v>58</v>
      </c>
      <c r="N2105" s="8">
        <v>0.19</v>
      </c>
      <c r="O2105" s="8" t="s">
        <v>211</v>
      </c>
      <c r="P2105" s="2">
        <v>10.3</v>
      </c>
      <c r="Q2105" s="8"/>
      <c r="R2105" s="8" t="s">
        <v>3343</v>
      </c>
      <c r="S2105" s="8"/>
      <c r="T2105" s="8" t="s">
        <v>3337</v>
      </c>
      <c r="U2105" s="8">
        <v>168</v>
      </c>
      <c r="V2105" s="26" t="s">
        <v>4090</v>
      </c>
    </row>
    <row r="2106" spans="1:22" ht="12.75" customHeight="1" x14ac:dyDescent="0.15">
      <c r="A2106" s="8">
        <v>21</v>
      </c>
      <c r="B2106" s="8">
        <v>2026</v>
      </c>
      <c r="C2106" s="23">
        <v>46168</v>
      </c>
      <c r="D2106" s="8" t="s">
        <v>19</v>
      </c>
      <c r="E2106" s="8" t="s">
        <v>20</v>
      </c>
      <c r="F2106" s="8" t="s">
        <v>21</v>
      </c>
      <c r="G2106" s="8">
        <v>3.8</v>
      </c>
      <c r="H2106" s="8" t="s">
        <v>4004</v>
      </c>
      <c r="I2106" s="8" t="s">
        <v>4005</v>
      </c>
      <c r="J2106" s="8" t="s">
        <v>307</v>
      </c>
      <c r="K2106" s="8" t="s">
        <v>181</v>
      </c>
      <c r="L2106" s="8" t="s">
        <v>3340</v>
      </c>
      <c r="M2106" s="8">
        <v>132</v>
      </c>
      <c r="N2106" s="8">
        <v>0.19</v>
      </c>
      <c r="O2106" s="8" t="s">
        <v>211</v>
      </c>
      <c r="P2106" s="2">
        <v>10.3</v>
      </c>
      <c r="Q2106" s="8"/>
      <c r="R2106" s="8" t="s">
        <v>3368</v>
      </c>
      <c r="S2106" s="8"/>
      <c r="T2106" s="8" t="s">
        <v>3337</v>
      </c>
      <c r="U2106" s="8">
        <v>168</v>
      </c>
      <c r="V2106" s="26" t="s">
        <v>4090</v>
      </c>
    </row>
    <row r="2107" spans="1:22" ht="12.75" customHeight="1" x14ac:dyDescent="0.15">
      <c r="A2107" s="8">
        <v>21</v>
      </c>
      <c r="B2107" s="8">
        <v>2026</v>
      </c>
      <c r="C2107" s="23">
        <v>46168</v>
      </c>
      <c r="D2107" s="8" t="s">
        <v>101</v>
      </c>
      <c r="E2107" s="8" t="s">
        <v>102</v>
      </c>
      <c r="F2107" s="8" t="s">
        <v>75</v>
      </c>
      <c r="G2107" s="8">
        <v>7.6</v>
      </c>
      <c r="H2107" s="8" t="s">
        <v>3400</v>
      </c>
      <c r="I2107" s="8" t="s">
        <v>353</v>
      </c>
      <c r="J2107" s="8" t="s">
        <v>253</v>
      </c>
      <c r="K2107" s="8" t="s">
        <v>181</v>
      </c>
      <c r="L2107" s="8" t="s">
        <v>23</v>
      </c>
      <c r="M2107" s="8">
        <v>119</v>
      </c>
      <c r="N2107" s="8"/>
      <c r="O2107" s="8"/>
      <c r="P2107" s="2">
        <v>1080</v>
      </c>
      <c r="Q2107" s="8"/>
      <c r="R2107" s="8" t="s">
        <v>3933</v>
      </c>
      <c r="S2107" s="8"/>
      <c r="T2107" s="8" t="s">
        <v>3337</v>
      </c>
      <c r="U2107" s="8">
        <v>28</v>
      </c>
      <c r="V2107" s="26" t="s">
        <v>4091</v>
      </c>
    </row>
    <row r="2108" spans="1:22" ht="12.75" customHeight="1" x14ac:dyDescent="0.15">
      <c r="A2108" s="8">
        <v>21</v>
      </c>
      <c r="B2108" s="8">
        <v>2026</v>
      </c>
      <c r="C2108" s="23">
        <v>46168</v>
      </c>
      <c r="D2108" s="8" t="s">
        <v>101</v>
      </c>
      <c r="E2108" s="8" t="s">
        <v>102</v>
      </c>
      <c r="F2108" s="8" t="s">
        <v>75</v>
      </c>
      <c r="G2108" s="8">
        <v>7.6</v>
      </c>
      <c r="H2108" s="8" t="s">
        <v>3935</v>
      </c>
      <c r="I2108" s="8" t="s">
        <v>370</v>
      </c>
      <c r="J2108" s="8" t="s">
        <v>307</v>
      </c>
      <c r="K2108" s="8" t="s">
        <v>181</v>
      </c>
      <c r="L2108" s="8" t="s">
        <v>23</v>
      </c>
      <c r="M2108" s="8">
        <v>199</v>
      </c>
      <c r="N2108" s="8"/>
      <c r="O2108" s="8"/>
      <c r="P2108" s="2">
        <v>80</v>
      </c>
      <c r="Q2108" s="8"/>
      <c r="R2108" s="8" t="s">
        <v>3988</v>
      </c>
      <c r="S2108" s="8" t="s">
        <v>4092</v>
      </c>
      <c r="T2108" s="8" t="s">
        <v>3337</v>
      </c>
      <c r="U2108" s="8">
        <v>28</v>
      </c>
      <c r="V2108" s="26" t="s">
        <v>3989</v>
      </c>
    </row>
    <row r="2109" spans="1:22" ht="12.75" customHeight="1" x14ac:dyDescent="0.15">
      <c r="A2109" s="8">
        <v>21</v>
      </c>
      <c r="B2109" s="8">
        <v>2026</v>
      </c>
      <c r="C2109" s="23">
        <v>46168</v>
      </c>
      <c r="D2109" s="8" t="s">
        <v>139</v>
      </c>
      <c r="E2109" s="8" t="s">
        <v>140</v>
      </c>
      <c r="F2109" s="8" t="s">
        <v>75</v>
      </c>
      <c r="G2109" s="8">
        <v>0.8</v>
      </c>
      <c r="H2109" s="8" t="s">
        <v>3495</v>
      </c>
      <c r="I2109" s="8" t="s">
        <v>29</v>
      </c>
      <c r="J2109" s="8" t="s">
        <v>30</v>
      </c>
      <c r="K2109" t="s">
        <v>181</v>
      </c>
      <c r="L2109" s="8" t="s">
        <v>23</v>
      </c>
      <c r="M2109" s="8">
        <v>198</v>
      </c>
      <c r="N2109" s="8"/>
      <c r="O2109" s="8"/>
      <c r="P2109" s="2">
        <v>850</v>
      </c>
      <c r="Q2109" s="8"/>
      <c r="R2109" s="8" t="s">
        <v>3746</v>
      </c>
      <c r="S2109" s="8"/>
      <c r="T2109" s="8" t="s">
        <v>3337</v>
      </c>
      <c r="U2109" s="8">
        <v>0</v>
      </c>
      <c r="V2109" s="26" t="s">
        <v>4093</v>
      </c>
    </row>
    <row r="2110" spans="1:22" ht="12.75" customHeight="1" x14ac:dyDescent="0.15">
      <c r="A2110" s="8">
        <v>21</v>
      </c>
      <c r="B2110" s="8">
        <v>2026</v>
      </c>
      <c r="C2110" s="23">
        <v>46168</v>
      </c>
      <c r="D2110" s="8" t="s">
        <v>139</v>
      </c>
      <c r="E2110" s="8" t="s">
        <v>140</v>
      </c>
      <c r="F2110" s="8" t="s">
        <v>75</v>
      </c>
      <c r="G2110" s="8">
        <v>0.8</v>
      </c>
      <c r="H2110" s="8" t="s">
        <v>3841</v>
      </c>
      <c r="I2110" s="8" t="s">
        <v>3842</v>
      </c>
      <c r="J2110" s="8" t="s">
        <v>3533</v>
      </c>
      <c r="K2110" s="8" t="s">
        <v>181</v>
      </c>
      <c r="L2110" s="8" t="s">
        <v>3333</v>
      </c>
      <c r="M2110" s="8">
        <v>3</v>
      </c>
      <c r="N2110" s="8">
        <v>1</v>
      </c>
      <c r="O2110" s="8" t="s">
        <v>3334</v>
      </c>
      <c r="P2110" s="2">
        <v>81.58</v>
      </c>
      <c r="Q2110" s="8">
        <v>8</v>
      </c>
      <c r="R2110" s="8" t="s">
        <v>3478</v>
      </c>
      <c r="S2110" s="8" t="s">
        <v>4094</v>
      </c>
      <c r="T2110" s="8" t="s">
        <v>3402</v>
      </c>
      <c r="U2110" s="8">
        <v>0</v>
      </c>
      <c r="V2110" s="26" t="s">
        <v>4095</v>
      </c>
    </row>
    <row r="2111" spans="1:22" ht="12.75" customHeight="1" x14ac:dyDescent="0.15">
      <c r="A2111" s="8">
        <v>21</v>
      </c>
      <c r="B2111" s="8">
        <v>2026</v>
      </c>
      <c r="C2111" s="23">
        <v>46168</v>
      </c>
      <c r="D2111" s="8" t="s">
        <v>139</v>
      </c>
      <c r="E2111" s="8" t="s">
        <v>140</v>
      </c>
      <c r="F2111" s="8" t="s">
        <v>75</v>
      </c>
      <c r="G2111" s="8">
        <v>0.8</v>
      </c>
      <c r="H2111" s="8" t="s">
        <v>4096</v>
      </c>
      <c r="I2111" s="8" t="s">
        <v>3684</v>
      </c>
      <c r="J2111" s="8" t="s">
        <v>3668</v>
      </c>
      <c r="K2111" s="8" t="s">
        <v>181</v>
      </c>
      <c r="L2111" s="8" t="s">
        <v>3333</v>
      </c>
      <c r="M2111" s="8">
        <v>86</v>
      </c>
      <c r="N2111" s="8">
        <v>0.63</v>
      </c>
      <c r="O2111" s="8" t="s">
        <v>3334</v>
      </c>
      <c r="P2111" s="2">
        <v>50.99</v>
      </c>
      <c r="Q2111" s="8">
        <v>5</v>
      </c>
      <c r="R2111" s="8" t="s">
        <v>3386</v>
      </c>
      <c r="S2111" s="8" t="s">
        <v>4097</v>
      </c>
      <c r="T2111" s="8" t="s">
        <v>3402</v>
      </c>
      <c r="U2111" s="8">
        <v>0</v>
      </c>
      <c r="V2111" s="26" t="s">
        <v>4098</v>
      </c>
    </row>
    <row r="2112" spans="1:22" ht="12.75" customHeight="1" x14ac:dyDescent="0.15">
      <c r="A2112" s="8">
        <v>21</v>
      </c>
      <c r="B2112" s="8">
        <v>2026</v>
      </c>
      <c r="C2112" s="23">
        <v>46168</v>
      </c>
      <c r="D2112" s="8" t="s">
        <v>101</v>
      </c>
      <c r="E2112" s="8" t="s">
        <v>102</v>
      </c>
      <c r="F2112" s="8" t="s">
        <v>75</v>
      </c>
      <c r="G2112" s="8">
        <v>7.6</v>
      </c>
      <c r="H2112" s="8" t="s">
        <v>3653</v>
      </c>
      <c r="I2112" s="8" t="s">
        <v>3566</v>
      </c>
      <c r="J2112" s="8" t="s">
        <v>3389</v>
      </c>
      <c r="K2112" s="8" t="s">
        <v>181</v>
      </c>
      <c r="L2112" s="8" t="s">
        <v>3333</v>
      </c>
      <c r="M2112" s="8">
        <v>86</v>
      </c>
      <c r="N2112" s="8">
        <v>0.38</v>
      </c>
      <c r="O2112" s="8" t="s">
        <v>3334</v>
      </c>
      <c r="P2112" s="2">
        <v>30.59</v>
      </c>
      <c r="Q2112" s="8">
        <v>3</v>
      </c>
      <c r="R2112" s="8" t="s">
        <v>3386</v>
      </c>
      <c r="S2112" s="8"/>
      <c r="T2112" s="8" t="s">
        <v>3402</v>
      </c>
      <c r="U2112" s="8">
        <v>28</v>
      </c>
      <c r="V2112" s="26" t="s">
        <v>3420</v>
      </c>
    </row>
    <row r="2113" spans="1:22" ht="12.75" customHeight="1" x14ac:dyDescent="0.15">
      <c r="A2113" s="8">
        <v>21</v>
      </c>
      <c r="B2113" s="8">
        <v>2026</v>
      </c>
      <c r="C2113" s="23">
        <v>46168</v>
      </c>
      <c r="D2113" s="8" t="s">
        <v>101</v>
      </c>
      <c r="E2113" s="8" t="s">
        <v>102</v>
      </c>
      <c r="F2113" s="8" t="s">
        <v>75</v>
      </c>
      <c r="G2113" s="8">
        <v>7.6</v>
      </c>
      <c r="H2113" s="8" t="s">
        <v>3878</v>
      </c>
      <c r="I2113" s="8" t="s">
        <v>3566</v>
      </c>
      <c r="J2113" s="8" t="s">
        <v>3389</v>
      </c>
      <c r="K2113" s="8" t="s">
        <v>2666</v>
      </c>
      <c r="L2113" s="8" t="s">
        <v>3587</v>
      </c>
      <c r="M2113" s="8"/>
      <c r="N2113" s="8">
        <v>1.1499999999999999</v>
      </c>
      <c r="O2113" s="8" t="s">
        <v>3501</v>
      </c>
      <c r="P2113" s="2">
        <v>24.6</v>
      </c>
      <c r="Q2113" s="8">
        <v>3</v>
      </c>
      <c r="R2113" s="8"/>
      <c r="S2113" s="8"/>
      <c r="T2113" s="8" t="s">
        <v>3402</v>
      </c>
      <c r="U2113" s="8">
        <v>28</v>
      </c>
      <c r="V2113" s="26" t="s">
        <v>3555</v>
      </c>
    </row>
    <row r="2114" spans="1:22" ht="12.75" customHeight="1" x14ac:dyDescent="0.15">
      <c r="A2114" s="8">
        <v>21</v>
      </c>
      <c r="B2114" s="8">
        <v>2026</v>
      </c>
      <c r="C2114" s="23">
        <v>46168</v>
      </c>
      <c r="D2114" s="8" t="s">
        <v>19</v>
      </c>
      <c r="E2114" s="8" t="s">
        <v>20</v>
      </c>
      <c r="F2114" s="8" t="s">
        <v>21</v>
      </c>
      <c r="G2114" s="8">
        <v>3.8</v>
      </c>
      <c r="H2114" s="8" t="s">
        <v>3945</v>
      </c>
      <c r="I2114" s="8" t="s">
        <v>3686</v>
      </c>
      <c r="J2114" s="8" t="s">
        <v>3437</v>
      </c>
      <c r="K2114" s="8" t="s">
        <v>181</v>
      </c>
      <c r="L2114" s="8" t="s">
        <v>3333</v>
      </c>
      <c r="M2114" s="8">
        <v>4</v>
      </c>
      <c r="N2114" s="8">
        <v>1</v>
      </c>
      <c r="O2114" s="8" t="s">
        <v>3334</v>
      </c>
      <c r="P2114" s="2">
        <v>81.58</v>
      </c>
      <c r="Q2114" s="8">
        <v>8</v>
      </c>
      <c r="R2114" s="8" t="s">
        <v>3773</v>
      </c>
      <c r="S2114" s="8" t="s">
        <v>4099</v>
      </c>
      <c r="T2114" s="8" t="s">
        <v>3402</v>
      </c>
      <c r="U2114" s="8">
        <v>168</v>
      </c>
      <c r="V2114" s="26" t="s">
        <v>3797</v>
      </c>
    </row>
    <row r="2115" spans="1:22" ht="12.75" customHeight="1" x14ac:dyDescent="0.15">
      <c r="A2115" s="8">
        <v>21</v>
      </c>
      <c r="B2115" s="8">
        <v>2026</v>
      </c>
      <c r="C2115" s="23">
        <v>46168</v>
      </c>
      <c r="D2115" s="8" t="s">
        <v>19</v>
      </c>
      <c r="E2115" s="8" t="s">
        <v>20</v>
      </c>
      <c r="F2115" s="8" t="s">
        <v>21</v>
      </c>
      <c r="G2115" s="8">
        <v>3.8</v>
      </c>
      <c r="H2115" s="8" t="s">
        <v>3945</v>
      </c>
      <c r="I2115" s="8" t="s">
        <v>3686</v>
      </c>
      <c r="J2115" s="8" t="s">
        <v>3437</v>
      </c>
      <c r="K2115" s="8" t="s">
        <v>181</v>
      </c>
      <c r="L2115" s="8" t="s">
        <v>3340</v>
      </c>
      <c r="M2115" s="8">
        <v>4</v>
      </c>
      <c r="N2115" s="8">
        <v>0.49</v>
      </c>
      <c r="O2115" s="8" t="s">
        <v>211</v>
      </c>
      <c r="P2115" s="2">
        <v>27</v>
      </c>
      <c r="Q2115" s="8">
        <v>3</v>
      </c>
      <c r="R2115" s="8" t="s">
        <v>3773</v>
      </c>
      <c r="S2115" s="8" t="s">
        <v>4100</v>
      </c>
      <c r="T2115" s="8" t="s">
        <v>3402</v>
      </c>
      <c r="U2115" s="8">
        <v>168</v>
      </c>
      <c r="V2115" s="26" t="s">
        <v>3405</v>
      </c>
    </row>
    <row r="2116" spans="1:22" ht="12.75" customHeight="1" x14ac:dyDescent="0.15">
      <c r="A2116" s="8">
        <v>21</v>
      </c>
      <c r="B2116" s="8">
        <v>2026</v>
      </c>
      <c r="C2116" s="23">
        <v>46168</v>
      </c>
      <c r="D2116" s="8" t="s">
        <v>19</v>
      </c>
      <c r="E2116" s="8" t="s">
        <v>20</v>
      </c>
      <c r="F2116" s="8" t="s">
        <v>21</v>
      </c>
      <c r="G2116" s="8">
        <v>3.8</v>
      </c>
      <c r="H2116" s="8" t="s">
        <v>3937</v>
      </c>
      <c r="I2116" s="8" t="s">
        <v>309</v>
      </c>
      <c r="J2116" s="8" t="s">
        <v>307</v>
      </c>
      <c r="K2116" s="8" t="s">
        <v>181</v>
      </c>
      <c r="L2116" s="8" t="s">
        <v>3333</v>
      </c>
      <c r="M2116" s="8">
        <v>67</v>
      </c>
      <c r="N2116" s="8">
        <v>0.75</v>
      </c>
      <c r="O2116" s="8" t="s">
        <v>3334</v>
      </c>
      <c r="P2116" s="2">
        <v>61.19</v>
      </c>
      <c r="Q2116" s="8">
        <v>6</v>
      </c>
      <c r="R2116" s="8" t="s">
        <v>3404</v>
      </c>
      <c r="S2116" s="8"/>
      <c r="T2116" s="8" t="s">
        <v>3402</v>
      </c>
      <c r="U2116" s="8">
        <v>168</v>
      </c>
      <c r="V2116" s="26" t="s">
        <v>3345</v>
      </c>
    </row>
    <row r="2117" spans="1:22" ht="12.75" customHeight="1" x14ac:dyDescent="0.15">
      <c r="A2117" s="8">
        <v>21</v>
      </c>
      <c r="B2117" s="8">
        <v>2026</v>
      </c>
      <c r="C2117" s="23">
        <v>46168</v>
      </c>
      <c r="D2117" s="8" t="s">
        <v>19</v>
      </c>
      <c r="E2117" s="8" t="s">
        <v>20</v>
      </c>
      <c r="F2117" s="8" t="s">
        <v>21</v>
      </c>
      <c r="G2117" s="8">
        <v>3.8</v>
      </c>
      <c r="H2117" s="8" t="s">
        <v>3937</v>
      </c>
      <c r="I2117" s="8" t="s">
        <v>309</v>
      </c>
      <c r="J2117" s="8" t="s">
        <v>307</v>
      </c>
      <c r="K2117" s="8" t="s">
        <v>181</v>
      </c>
      <c r="L2117" s="8" t="s">
        <v>3333</v>
      </c>
      <c r="M2117" s="8">
        <v>19</v>
      </c>
      <c r="N2117" s="8">
        <v>0.75</v>
      </c>
      <c r="O2117" s="8" t="s">
        <v>3334</v>
      </c>
      <c r="P2117" s="2">
        <v>61.19</v>
      </c>
      <c r="Q2117" s="8">
        <v>6</v>
      </c>
      <c r="R2117" s="8" t="s">
        <v>3403</v>
      </c>
      <c r="S2117" s="8"/>
      <c r="T2117" s="8" t="s">
        <v>3402</v>
      </c>
      <c r="U2117" s="8">
        <v>168</v>
      </c>
      <c r="V2117" s="26" t="s">
        <v>3345</v>
      </c>
    </row>
    <row r="2118" spans="1:22" ht="12.75" customHeight="1" x14ac:dyDescent="0.15">
      <c r="A2118" s="8">
        <v>21</v>
      </c>
      <c r="B2118" s="8">
        <v>2026</v>
      </c>
      <c r="C2118" s="23">
        <v>46168</v>
      </c>
      <c r="D2118" s="8" t="s">
        <v>19</v>
      </c>
      <c r="E2118" s="8" t="s">
        <v>20</v>
      </c>
      <c r="F2118" s="8" t="s">
        <v>21</v>
      </c>
      <c r="G2118" s="8">
        <v>3.8</v>
      </c>
      <c r="H2118" s="8" t="s">
        <v>3937</v>
      </c>
      <c r="I2118" s="8" t="s">
        <v>309</v>
      </c>
      <c r="J2118" s="8" t="s">
        <v>307</v>
      </c>
      <c r="K2118" s="8" t="s">
        <v>181</v>
      </c>
      <c r="L2118" s="8" t="s">
        <v>3340</v>
      </c>
      <c r="M2118" s="8">
        <v>67</v>
      </c>
      <c r="N2118" s="8">
        <v>0.56000000000000005</v>
      </c>
      <c r="O2118" s="8" t="s">
        <v>211</v>
      </c>
      <c r="P2118" s="2">
        <v>30.65</v>
      </c>
      <c r="Q2118" s="8"/>
      <c r="R2118" s="8" t="s">
        <v>3404</v>
      </c>
      <c r="S2118" s="8"/>
      <c r="T2118" s="8" t="s">
        <v>3402</v>
      </c>
      <c r="U2118" s="8">
        <v>168</v>
      </c>
      <c r="V2118" s="26" t="s">
        <v>4101</v>
      </c>
    </row>
    <row r="2119" spans="1:22" ht="12.75" customHeight="1" x14ac:dyDescent="0.15">
      <c r="A2119">
        <v>21</v>
      </c>
      <c r="B2119">
        <v>2026</v>
      </c>
      <c r="C2119" s="21">
        <v>46168</v>
      </c>
      <c r="D2119" t="s">
        <v>19</v>
      </c>
      <c r="E2119" t="s">
        <v>20</v>
      </c>
      <c r="F2119" t="s">
        <v>21</v>
      </c>
      <c r="G2119">
        <v>3.8</v>
      </c>
      <c r="H2119" t="s">
        <v>3937</v>
      </c>
      <c r="I2119" t="s">
        <v>309</v>
      </c>
      <c r="J2119" s="1" t="s">
        <v>307</v>
      </c>
      <c r="K2119" t="s">
        <v>181</v>
      </c>
      <c r="L2119" t="s">
        <v>3340</v>
      </c>
      <c r="M2119">
        <v>19</v>
      </c>
      <c r="N2119">
        <v>0.56000000000000005</v>
      </c>
      <c r="O2119" t="s">
        <v>211</v>
      </c>
      <c r="P2119">
        <v>30.65</v>
      </c>
      <c r="R2119" t="s">
        <v>3403</v>
      </c>
      <c r="T2119" t="s">
        <v>3402</v>
      </c>
      <c r="U2119">
        <v>168</v>
      </c>
      <c r="V2119" t="s">
        <v>4101</v>
      </c>
    </row>
    <row r="2120" spans="1:22" ht="12.75" customHeight="1" x14ac:dyDescent="0.15">
      <c r="A2120">
        <v>21</v>
      </c>
      <c r="B2120">
        <v>2026</v>
      </c>
      <c r="C2120" s="21">
        <v>46168</v>
      </c>
      <c r="D2120" t="s">
        <v>19</v>
      </c>
      <c r="E2120" t="s">
        <v>20</v>
      </c>
      <c r="F2120" t="s">
        <v>21</v>
      </c>
      <c r="G2120">
        <v>3.8</v>
      </c>
      <c r="H2120" t="s">
        <v>3937</v>
      </c>
      <c r="I2120" t="s">
        <v>309</v>
      </c>
      <c r="J2120" s="1" t="s">
        <v>307</v>
      </c>
      <c r="K2120" t="s">
        <v>181</v>
      </c>
      <c r="L2120" t="s">
        <v>3340</v>
      </c>
      <c r="M2120">
        <v>78</v>
      </c>
      <c r="N2120">
        <v>1.66</v>
      </c>
      <c r="O2120" t="s">
        <v>211</v>
      </c>
      <c r="P2120">
        <v>91.25</v>
      </c>
      <c r="R2120" t="s">
        <v>3341</v>
      </c>
      <c r="T2120" t="s">
        <v>3402</v>
      </c>
      <c r="U2120">
        <v>168</v>
      </c>
      <c r="V2120" t="s">
        <v>4102</v>
      </c>
    </row>
    <row r="2121" spans="1:22" ht="12.75" customHeight="1" x14ac:dyDescent="0.15">
      <c r="A2121">
        <v>21</v>
      </c>
      <c r="B2121">
        <v>2026</v>
      </c>
      <c r="C2121" s="21">
        <v>46168</v>
      </c>
      <c r="D2121" t="s">
        <v>101</v>
      </c>
      <c r="E2121" t="s">
        <v>102</v>
      </c>
      <c r="F2121" t="s">
        <v>75</v>
      </c>
      <c r="G2121">
        <v>7.6</v>
      </c>
      <c r="H2121" t="s">
        <v>3391</v>
      </c>
      <c r="I2121" t="s">
        <v>353</v>
      </c>
      <c r="J2121" s="1" t="s">
        <v>253</v>
      </c>
      <c r="K2121" t="s">
        <v>181</v>
      </c>
      <c r="L2121" t="s">
        <v>3587</v>
      </c>
      <c r="M2121">
        <v>120</v>
      </c>
      <c r="N2121">
        <v>7</v>
      </c>
      <c r="O2121" t="s">
        <v>211</v>
      </c>
      <c r="P2121">
        <v>385</v>
      </c>
      <c r="R2121" t="s">
        <v>3415</v>
      </c>
      <c r="S2121" t="s">
        <v>4103</v>
      </c>
      <c r="T2121" t="s">
        <v>3402</v>
      </c>
      <c r="U2121">
        <v>28</v>
      </c>
      <c r="V2121" t="s">
        <v>4042</v>
      </c>
    </row>
    <row r="2122" spans="1:22" ht="12.75" customHeight="1" x14ac:dyDescent="0.15">
      <c r="A2122">
        <v>21</v>
      </c>
      <c r="B2122">
        <v>2026</v>
      </c>
      <c r="C2122" s="21">
        <v>46169</v>
      </c>
      <c r="D2122" t="s">
        <v>115</v>
      </c>
      <c r="E2122" t="s">
        <v>116</v>
      </c>
      <c r="F2122" t="s">
        <v>21</v>
      </c>
      <c r="G2122">
        <v>2</v>
      </c>
      <c r="H2122" t="s">
        <v>3519</v>
      </c>
      <c r="I2122" t="s">
        <v>214</v>
      </c>
      <c r="J2122" s="1" t="s">
        <v>215</v>
      </c>
      <c r="K2122" t="s">
        <v>181</v>
      </c>
      <c r="L2122" t="s">
        <v>3340</v>
      </c>
      <c r="M2122">
        <v>45</v>
      </c>
      <c r="N2122">
        <v>0.15</v>
      </c>
      <c r="O2122" t="s">
        <v>211</v>
      </c>
      <c r="P2122">
        <v>8</v>
      </c>
      <c r="R2122" t="s">
        <v>3377</v>
      </c>
      <c r="S2122" t="s">
        <v>4104</v>
      </c>
      <c r="T2122" t="s">
        <v>3337</v>
      </c>
      <c r="U2122">
        <v>6</v>
      </c>
      <c r="V2122" t="s">
        <v>4105</v>
      </c>
    </row>
    <row r="2123" spans="1:22" ht="12.75" customHeight="1" x14ac:dyDescent="0.15">
      <c r="A2123">
        <v>21</v>
      </c>
      <c r="B2123">
        <v>2026</v>
      </c>
      <c r="C2123" s="21">
        <v>46169</v>
      </c>
      <c r="D2123" t="s">
        <v>115</v>
      </c>
      <c r="E2123" t="s">
        <v>116</v>
      </c>
      <c r="F2123" t="s">
        <v>21</v>
      </c>
      <c r="G2123">
        <v>2</v>
      </c>
      <c r="H2123" t="s">
        <v>3519</v>
      </c>
      <c r="I2123" t="s">
        <v>214</v>
      </c>
      <c r="J2123" s="1" t="s">
        <v>215</v>
      </c>
      <c r="K2123" t="s">
        <v>181</v>
      </c>
      <c r="L2123" t="s">
        <v>3340</v>
      </c>
      <c r="M2123">
        <v>53</v>
      </c>
      <c r="N2123">
        <v>0.63</v>
      </c>
      <c r="O2123" t="s">
        <v>211</v>
      </c>
      <c r="P2123">
        <v>34.700000000000003</v>
      </c>
      <c r="R2123" t="s">
        <v>3373</v>
      </c>
      <c r="S2123" t="s">
        <v>4106</v>
      </c>
      <c r="T2123" t="s">
        <v>3337</v>
      </c>
      <c r="U2123">
        <v>6</v>
      </c>
      <c r="V2123" t="s">
        <v>4107</v>
      </c>
    </row>
    <row r="2124" spans="1:22" ht="12.75" customHeight="1" x14ac:dyDescent="0.15">
      <c r="A2124">
        <v>21</v>
      </c>
      <c r="B2124">
        <v>2026</v>
      </c>
      <c r="C2124" s="21">
        <v>46169</v>
      </c>
      <c r="D2124" t="s">
        <v>115</v>
      </c>
      <c r="E2124" t="s">
        <v>116</v>
      </c>
      <c r="F2124" t="s">
        <v>21</v>
      </c>
      <c r="G2124">
        <v>2</v>
      </c>
      <c r="H2124" t="s">
        <v>3519</v>
      </c>
      <c r="I2124" t="s">
        <v>214</v>
      </c>
      <c r="J2124" s="1" t="s">
        <v>215</v>
      </c>
      <c r="K2124" t="s">
        <v>181</v>
      </c>
      <c r="L2124" t="s">
        <v>3340</v>
      </c>
      <c r="M2124">
        <v>81</v>
      </c>
      <c r="N2124">
        <v>0.15</v>
      </c>
      <c r="O2124" t="s">
        <v>211</v>
      </c>
      <c r="P2124">
        <v>8</v>
      </c>
      <c r="R2124" t="s">
        <v>3374</v>
      </c>
      <c r="S2124" t="s">
        <v>4104</v>
      </c>
      <c r="T2124" t="s">
        <v>3337</v>
      </c>
      <c r="U2124">
        <v>6</v>
      </c>
      <c r="V2124" t="s">
        <v>4105</v>
      </c>
    </row>
    <row r="2125" spans="1:22" ht="12.75" customHeight="1" x14ac:dyDescent="0.15">
      <c r="A2125">
        <v>21</v>
      </c>
      <c r="B2125">
        <v>2026</v>
      </c>
      <c r="C2125" s="21">
        <v>46169</v>
      </c>
      <c r="D2125" t="s">
        <v>115</v>
      </c>
      <c r="E2125" t="s">
        <v>116</v>
      </c>
      <c r="F2125" t="s">
        <v>21</v>
      </c>
      <c r="G2125">
        <v>2</v>
      </c>
      <c r="H2125" t="s">
        <v>3519</v>
      </c>
      <c r="I2125" t="s">
        <v>214</v>
      </c>
      <c r="J2125" s="1" t="s">
        <v>215</v>
      </c>
      <c r="K2125" t="s">
        <v>181</v>
      </c>
      <c r="L2125" t="s">
        <v>3340</v>
      </c>
      <c r="M2125">
        <v>58</v>
      </c>
      <c r="N2125">
        <v>0.63</v>
      </c>
      <c r="O2125" t="s">
        <v>211</v>
      </c>
      <c r="P2125">
        <v>34.700000000000003</v>
      </c>
      <c r="R2125" t="s">
        <v>3343</v>
      </c>
      <c r="S2125" t="s">
        <v>4106</v>
      </c>
      <c r="T2125" t="s">
        <v>3337</v>
      </c>
      <c r="U2125">
        <v>6</v>
      </c>
      <c r="V2125" t="s">
        <v>4107</v>
      </c>
    </row>
    <row r="2126" spans="1:22" ht="12.75" customHeight="1" x14ac:dyDescent="0.15">
      <c r="A2126">
        <v>21</v>
      </c>
      <c r="B2126">
        <v>2026</v>
      </c>
      <c r="C2126" s="21">
        <v>46169</v>
      </c>
      <c r="D2126" t="s">
        <v>115</v>
      </c>
      <c r="E2126" t="s">
        <v>116</v>
      </c>
      <c r="F2126" t="s">
        <v>21</v>
      </c>
      <c r="G2126">
        <v>2</v>
      </c>
      <c r="H2126" t="s">
        <v>3519</v>
      </c>
      <c r="I2126" t="s">
        <v>214</v>
      </c>
      <c r="J2126" s="1" t="s">
        <v>215</v>
      </c>
      <c r="K2126" t="s">
        <v>181</v>
      </c>
      <c r="L2126" t="s">
        <v>3340</v>
      </c>
      <c r="M2126">
        <v>132</v>
      </c>
      <c r="N2126">
        <v>0.63</v>
      </c>
      <c r="O2126" t="s">
        <v>211</v>
      </c>
      <c r="P2126">
        <v>34.700000000000003</v>
      </c>
      <c r="R2126" t="s">
        <v>3368</v>
      </c>
      <c r="S2126" t="s">
        <v>4106</v>
      </c>
      <c r="T2126" t="s">
        <v>3337</v>
      </c>
      <c r="U2126">
        <v>6</v>
      </c>
      <c r="V2126" t="s">
        <v>4107</v>
      </c>
    </row>
    <row r="2127" spans="1:22" ht="12.75" customHeight="1" x14ac:dyDescent="0.15">
      <c r="A2127">
        <v>21</v>
      </c>
      <c r="B2127">
        <v>2026</v>
      </c>
      <c r="C2127" s="21">
        <v>46169</v>
      </c>
      <c r="D2127" t="s">
        <v>139</v>
      </c>
      <c r="E2127" t="s">
        <v>140</v>
      </c>
      <c r="F2127" t="s">
        <v>75</v>
      </c>
      <c r="G2127">
        <v>0.8</v>
      </c>
      <c r="H2127" t="s">
        <v>3514</v>
      </c>
      <c r="I2127" t="s">
        <v>366</v>
      </c>
      <c r="J2127" s="1" t="s">
        <v>215</v>
      </c>
      <c r="K2127" t="s">
        <v>181</v>
      </c>
      <c r="L2127" t="s">
        <v>3340</v>
      </c>
      <c r="M2127">
        <v>45</v>
      </c>
      <c r="N2127">
        <v>0.51</v>
      </c>
      <c r="O2127" t="s">
        <v>211</v>
      </c>
      <c r="P2127">
        <v>28</v>
      </c>
      <c r="R2127" t="s">
        <v>3377</v>
      </c>
      <c r="S2127" t="s">
        <v>3520</v>
      </c>
      <c r="T2127" t="s">
        <v>3337</v>
      </c>
      <c r="U2127">
        <v>1</v>
      </c>
      <c r="V2127" t="s">
        <v>3607</v>
      </c>
    </row>
    <row r="2128" spans="1:22" ht="12.75" customHeight="1" x14ac:dyDescent="0.15">
      <c r="A2128">
        <v>21</v>
      </c>
      <c r="B2128">
        <v>2026</v>
      </c>
      <c r="C2128" s="21">
        <v>46169</v>
      </c>
      <c r="D2128" t="s">
        <v>139</v>
      </c>
      <c r="E2128" t="s">
        <v>140</v>
      </c>
      <c r="F2128" t="s">
        <v>75</v>
      </c>
      <c r="G2128">
        <v>0.8</v>
      </c>
      <c r="H2128" t="s">
        <v>3514</v>
      </c>
      <c r="I2128" t="s">
        <v>366</v>
      </c>
      <c r="J2128" s="1" t="s">
        <v>215</v>
      </c>
      <c r="K2128" t="s">
        <v>181</v>
      </c>
      <c r="L2128" t="s">
        <v>3340</v>
      </c>
      <c r="M2128">
        <v>53</v>
      </c>
      <c r="N2128">
        <v>0.51</v>
      </c>
      <c r="O2128" t="s">
        <v>211</v>
      </c>
      <c r="P2128">
        <v>28</v>
      </c>
      <c r="R2128" t="s">
        <v>3373</v>
      </c>
      <c r="T2128" t="s">
        <v>3337</v>
      </c>
      <c r="U2128">
        <v>1</v>
      </c>
      <c r="V2128" t="s">
        <v>3607</v>
      </c>
    </row>
    <row r="2129" spans="1:22" ht="12.75" customHeight="1" x14ac:dyDescent="0.15">
      <c r="A2129">
        <v>21</v>
      </c>
      <c r="B2129">
        <v>2026</v>
      </c>
      <c r="C2129" s="21">
        <v>46169</v>
      </c>
      <c r="D2129" t="s">
        <v>139</v>
      </c>
      <c r="E2129" t="s">
        <v>140</v>
      </c>
      <c r="F2129" t="s">
        <v>75</v>
      </c>
      <c r="G2129">
        <v>0.8</v>
      </c>
      <c r="H2129" t="s">
        <v>3514</v>
      </c>
      <c r="I2129" t="s">
        <v>366</v>
      </c>
      <c r="J2129" s="1" t="s">
        <v>215</v>
      </c>
      <c r="K2129" t="s">
        <v>181</v>
      </c>
      <c r="L2129" t="s">
        <v>3340</v>
      </c>
      <c r="M2129">
        <v>81</v>
      </c>
      <c r="N2129">
        <v>0.51</v>
      </c>
      <c r="O2129" t="s">
        <v>211</v>
      </c>
      <c r="P2129">
        <v>28</v>
      </c>
      <c r="R2129" t="s">
        <v>3374</v>
      </c>
      <c r="T2129" t="s">
        <v>3337</v>
      </c>
      <c r="U2129">
        <v>1</v>
      </c>
      <c r="V2129" t="s">
        <v>3607</v>
      </c>
    </row>
    <row r="2130" spans="1:22" ht="12.75" customHeight="1" x14ac:dyDescent="0.15">
      <c r="A2130">
        <v>21</v>
      </c>
      <c r="B2130">
        <v>2026</v>
      </c>
      <c r="C2130" s="21">
        <v>46169</v>
      </c>
      <c r="D2130" t="s">
        <v>139</v>
      </c>
      <c r="E2130" t="s">
        <v>140</v>
      </c>
      <c r="F2130" t="s">
        <v>75</v>
      </c>
      <c r="G2130">
        <v>0.8</v>
      </c>
      <c r="H2130" t="s">
        <v>3514</v>
      </c>
      <c r="I2130" t="s">
        <v>366</v>
      </c>
      <c r="J2130" s="1" t="s">
        <v>215</v>
      </c>
      <c r="K2130" t="s">
        <v>181</v>
      </c>
      <c r="L2130" t="s">
        <v>3340</v>
      </c>
      <c r="M2130">
        <v>58</v>
      </c>
      <c r="N2130">
        <v>0.51</v>
      </c>
      <c r="O2130" t="s">
        <v>211</v>
      </c>
      <c r="P2130">
        <v>28</v>
      </c>
      <c r="R2130" t="s">
        <v>3343</v>
      </c>
      <c r="T2130" t="s">
        <v>3337</v>
      </c>
      <c r="U2130">
        <v>1</v>
      </c>
      <c r="V2130" t="s">
        <v>3607</v>
      </c>
    </row>
    <row r="2131" spans="1:22" ht="12.75" customHeight="1" x14ac:dyDescent="0.15">
      <c r="A2131">
        <v>21</v>
      </c>
      <c r="B2131">
        <v>2026</v>
      </c>
      <c r="C2131" s="21">
        <v>46169</v>
      </c>
      <c r="D2131" t="s">
        <v>139</v>
      </c>
      <c r="E2131" t="s">
        <v>140</v>
      </c>
      <c r="F2131" t="s">
        <v>75</v>
      </c>
      <c r="G2131">
        <v>0.8</v>
      </c>
      <c r="H2131" t="s">
        <v>3514</v>
      </c>
      <c r="I2131" t="s">
        <v>366</v>
      </c>
      <c r="J2131" s="1" t="s">
        <v>215</v>
      </c>
      <c r="K2131" t="s">
        <v>181</v>
      </c>
      <c r="L2131" t="s">
        <v>3340</v>
      </c>
      <c r="M2131">
        <v>132</v>
      </c>
      <c r="N2131">
        <v>0.51</v>
      </c>
      <c r="O2131" t="s">
        <v>211</v>
      </c>
      <c r="P2131">
        <v>28</v>
      </c>
      <c r="R2131" t="s">
        <v>3368</v>
      </c>
      <c r="T2131" t="s">
        <v>3337</v>
      </c>
      <c r="U2131">
        <v>1</v>
      </c>
      <c r="V2131" t="s">
        <v>3607</v>
      </c>
    </row>
    <row r="2132" spans="1:22" ht="12.75" customHeight="1" x14ac:dyDescent="0.15">
      <c r="A2132">
        <v>21</v>
      </c>
      <c r="B2132">
        <v>2026</v>
      </c>
      <c r="C2132" s="21">
        <v>46169</v>
      </c>
      <c r="D2132" t="s">
        <v>101</v>
      </c>
      <c r="E2132" t="s">
        <v>102</v>
      </c>
      <c r="F2132" t="s">
        <v>75</v>
      </c>
      <c r="G2132">
        <v>7.6</v>
      </c>
      <c r="H2132" t="s">
        <v>3953</v>
      </c>
      <c r="I2132" t="s">
        <v>3954</v>
      </c>
      <c r="J2132" s="1" t="s">
        <v>253</v>
      </c>
      <c r="K2132" t="s">
        <v>181</v>
      </c>
      <c r="L2132" t="s">
        <v>3333</v>
      </c>
      <c r="M2132">
        <v>1</v>
      </c>
      <c r="N2132">
        <v>1</v>
      </c>
      <c r="O2132" t="s">
        <v>3358</v>
      </c>
      <c r="P2132">
        <v>71.86</v>
      </c>
      <c r="Q2132">
        <v>8</v>
      </c>
      <c r="R2132" t="s">
        <v>3359</v>
      </c>
      <c r="T2132" t="s">
        <v>3337</v>
      </c>
      <c r="U2132">
        <v>29</v>
      </c>
      <c r="V2132" t="s">
        <v>3545</v>
      </c>
    </row>
    <row r="2133" spans="1:22" ht="12.75" customHeight="1" x14ac:dyDescent="0.15">
      <c r="A2133">
        <v>21</v>
      </c>
      <c r="B2133">
        <v>2026</v>
      </c>
      <c r="C2133" s="21">
        <v>46169</v>
      </c>
      <c r="D2133" t="s">
        <v>101</v>
      </c>
      <c r="E2133" t="s">
        <v>102</v>
      </c>
      <c r="F2133" t="s">
        <v>75</v>
      </c>
      <c r="G2133">
        <v>7.6</v>
      </c>
      <c r="H2133" t="s">
        <v>3953</v>
      </c>
      <c r="I2133" t="s">
        <v>3954</v>
      </c>
      <c r="J2133" s="1" t="s">
        <v>253</v>
      </c>
      <c r="K2133" t="s">
        <v>181</v>
      </c>
      <c r="L2133" t="s">
        <v>3333</v>
      </c>
      <c r="M2133">
        <v>6</v>
      </c>
      <c r="N2133">
        <v>1</v>
      </c>
      <c r="O2133" t="s">
        <v>3334</v>
      </c>
      <c r="P2133">
        <v>81.58</v>
      </c>
      <c r="Q2133">
        <v>8</v>
      </c>
      <c r="R2133" t="s">
        <v>3335</v>
      </c>
      <c r="T2133" t="s">
        <v>3337</v>
      </c>
      <c r="U2133">
        <v>29</v>
      </c>
      <c r="V2133" t="s">
        <v>3338</v>
      </c>
    </row>
    <row r="2134" spans="1:22" ht="12.75" customHeight="1" x14ac:dyDescent="0.15">
      <c r="A2134">
        <v>21</v>
      </c>
      <c r="B2134">
        <v>2026</v>
      </c>
      <c r="C2134" s="21">
        <v>46169</v>
      </c>
      <c r="D2134" t="s">
        <v>101</v>
      </c>
      <c r="E2134" t="s">
        <v>102</v>
      </c>
      <c r="F2134" t="s">
        <v>75</v>
      </c>
      <c r="G2134">
        <v>7.6</v>
      </c>
      <c r="H2134" t="s">
        <v>3400</v>
      </c>
      <c r="I2134" t="s">
        <v>353</v>
      </c>
      <c r="J2134" s="1" t="s">
        <v>253</v>
      </c>
      <c r="K2134" t="s">
        <v>181</v>
      </c>
      <c r="L2134" t="s">
        <v>3333</v>
      </c>
      <c r="M2134">
        <v>2</v>
      </c>
      <c r="N2134">
        <v>1</v>
      </c>
      <c r="O2134" t="s">
        <v>3440</v>
      </c>
      <c r="P2134">
        <v>90.49</v>
      </c>
      <c r="Q2134">
        <v>8</v>
      </c>
      <c r="R2134" t="s">
        <v>3424</v>
      </c>
      <c r="T2134" t="s">
        <v>3337</v>
      </c>
      <c r="U2134">
        <v>29</v>
      </c>
      <c r="V2134" t="s">
        <v>3982</v>
      </c>
    </row>
    <row r="2135" spans="1:22" ht="12.75" customHeight="1" x14ac:dyDescent="0.15">
      <c r="A2135">
        <v>21</v>
      </c>
      <c r="B2135">
        <v>2026</v>
      </c>
      <c r="C2135" s="21">
        <v>46169</v>
      </c>
      <c r="D2135" t="s">
        <v>101</v>
      </c>
      <c r="E2135" t="s">
        <v>102</v>
      </c>
      <c r="F2135" t="s">
        <v>75</v>
      </c>
      <c r="G2135">
        <v>7.6</v>
      </c>
      <c r="H2135" t="s">
        <v>3400</v>
      </c>
      <c r="I2135" t="s">
        <v>353</v>
      </c>
      <c r="J2135" s="1" t="s">
        <v>253</v>
      </c>
      <c r="K2135" t="s">
        <v>181</v>
      </c>
      <c r="L2135" t="s">
        <v>3340</v>
      </c>
      <c r="M2135">
        <v>25</v>
      </c>
      <c r="N2135">
        <v>1</v>
      </c>
      <c r="O2135" t="s">
        <v>211</v>
      </c>
      <c r="P2135">
        <v>55</v>
      </c>
      <c r="R2135" t="s">
        <v>3413</v>
      </c>
      <c r="T2135" t="s">
        <v>3337</v>
      </c>
      <c r="U2135">
        <v>29</v>
      </c>
      <c r="V2135" t="s">
        <v>4088</v>
      </c>
    </row>
    <row r="2136" spans="1:22" ht="12.75" customHeight="1" x14ac:dyDescent="0.15">
      <c r="A2136">
        <v>21</v>
      </c>
      <c r="B2136">
        <v>2026</v>
      </c>
      <c r="C2136" s="21">
        <v>46169</v>
      </c>
      <c r="D2136" t="s">
        <v>139</v>
      </c>
      <c r="E2136" t="s">
        <v>140</v>
      </c>
      <c r="F2136" t="s">
        <v>75</v>
      </c>
      <c r="G2136">
        <v>0.8</v>
      </c>
      <c r="H2136" t="s">
        <v>3865</v>
      </c>
      <c r="I2136" t="s">
        <v>3866</v>
      </c>
      <c r="J2136" s="1" t="s">
        <v>30</v>
      </c>
      <c r="K2136" t="s">
        <v>181</v>
      </c>
      <c r="L2136" t="s">
        <v>3340</v>
      </c>
      <c r="M2136">
        <v>86</v>
      </c>
      <c r="N2136">
        <v>0.5</v>
      </c>
      <c r="O2136" t="s">
        <v>211</v>
      </c>
      <c r="P2136">
        <v>27.5</v>
      </c>
      <c r="R2136" t="s">
        <v>3386</v>
      </c>
      <c r="T2136" t="s">
        <v>3337</v>
      </c>
      <c r="U2136">
        <v>1</v>
      </c>
      <c r="V2136" t="s">
        <v>4108</v>
      </c>
    </row>
    <row r="2137" spans="1:22" ht="12.75" customHeight="1" x14ac:dyDescent="0.15">
      <c r="A2137">
        <v>21</v>
      </c>
      <c r="B2137">
        <v>2026</v>
      </c>
      <c r="C2137" s="21">
        <v>46169</v>
      </c>
      <c r="D2137" t="s">
        <v>141</v>
      </c>
      <c r="E2137" t="s">
        <v>142</v>
      </c>
      <c r="F2137" t="s">
        <v>75</v>
      </c>
      <c r="G2137">
        <v>1</v>
      </c>
      <c r="H2137" t="s">
        <v>3845</v>
      </c>
      <c r="I2137" t="s">
        <v>380</v>
      </c>
      <c r="J2137" s="1" t="s">
        <v>3533</v>
      </c>
      <c r="K2137" t="s">
        <v>181</v>
      </c>
      <c r="L2137" t="s">
        <v>3333</v>
      </c>
      <c r="M2137">
        <v>3</v>
      </c>
      <c r="N2137">
        <v>1</v>
      </c>
      <c r="O2137" t="s">
        <v>3334</v>
      </c>
      <c r="P2137">
        <v>81.58</v>
      </c>
      <c r="Q2137">
        <v>8</v>
      </c>
      <c r="R2137" t="s">
        <v>3478</v>
      </c>
      <c r="T2137" t="s">
        <v>3402</v>
      </c>
      <c r="U2137">
        <v>-27</v>
      </c>
      <c r="V2137" t="s">
        <v>3334</v>
      </c>
    </row>
    <row r="2138" spans="1:22" ht="12.75" customHeight="1" x14ac:dyDescent="0.15">
      <c r="A2138">
        <v>21</v>
      </c>
      <c r="B2138">
        <v>2026</v>
      </c>
      <c r="C2138" s="21">
        <v>46169</v>
      </c>
      <c r="D2138" t="s">
        <v>141</v>
      </c>
      <c r="E2138" t="s">
        <v>142</v>
      </c>
      <c r="F2138" t="s">
        <v>75</v>
      </c>
      <c r="G2138">
        <v>1</v>
      </c>
      <c r="H2138" t="s">
        <v>3845</v>
      </c>
      <c r="I2138" t="s">
        <v>380</v>
      </c>
      <c r="J2138" s="1" t="s">
        <v>3533</v>
      </c>
      <c r="K2138" t="s">
        <v>181</v>
      </c>
      <c r="L2138" t="s">
        <v>3340</v>
      </c>
      <c r="M2138">
        <v>3</v>
      </c>
      <c r="N2138">
        <v>7.0000000000000007E-2</v>
      </c>
      <c r="O2138" t="s">
        <v>211</v>
      </c>
      <c r="P2138">
        <v>3.68</v>
      </c>
      <c r="R2138" t="s">
        <v>3478</v>
      </c>
      <c r="T2138" t="s">
        <v>3402</v>
      </c>
      <c r="U2138">
        <v>-27</v>
      </c>
      <c r="V2138" t="s">
        <v>4109</v>
      </c>
    </row>
    <row r="2139" spans="1:22" ht="12.75" customHeight="1" x14ac:dyDescent="0.15">
      <c r="A2139">
        <v>21</v>
      </c>
      <c r="B2139">
        <v>2026</v>
      </c>
      <c r="C2139" s="21">
        <v>46169</v>
      </c>
      <c r="D2139" t="s">
        <v>139</v>
      </c>
      <c r="E2139" t="s">
        <v>140</v>
      </c>
      <c r="F2139" t="s">
        <v>75</v>
      </c>
      <c r="G2139">
        <v>0.8</v>
      </c>
      <c r="H2139" t="s">
        <v>4096</v>
      </c>
      <c r="I2139" t="s">
        <v>3684</v>
      </c>
      <c r="J2139" s="1" t="s">
        <v>3668</v>
      </c>
      <c r="K2139" t="s">
        <v>181</v>
      </c>
      <c r="L2139" t="s">
        <v>3333</v>
      </c>
      <c r="M2139">
        <v>86</v>
      </c>
      <c r="N2139">
        <v>1</v>
      </c>
      <c r="O2139" t="s">
        <v>3334</v>
      </c>
      <c r="P2139">
        <v>81.58</v>
      </c>
      <c r="Q2139">
        <v>8</v>
      </c>
      <c r="R2139" t="s">
        <v>3386</v>
      </c>
      <c r="S2139" t="s">
        <v>4110</v>
      </c>
      <c r="T2139" t="s">
        <v>3402</v>
      </c>
      <c r="U2139">
        <v>1</v>
      </c>
      <c r="V2139" t="s">
        <v>4095</v>
      </c>
    </row>
    <row r="2140" spans="1:22" ht="12.75" customHeight="1" x14ac:dyDescent="0.15">
      <c r="A2140">
        <v>21</v>
      </c>
      <c r="B2140">
        <v>2026</v>
      </c>
      <c r="C2140" s="21">
        <v>46169</v>
      </c>
      <c r="D2140" t="s">
        <v>101</v>
      </c>
      <c r="E2140" t="s">
        <v>102</v>
      </c>
      <c r="F2140" t="s">
        <v>75</v>
      </c>
      <c r="G2140">
        <v>7.6</v>
      </c>
      <c r="H2140" t="s">
        <v>3391</v>
      </c>
      <c r="I2140" t="s">
        <v>353</v>
      </c>
      <c r="J2140" s="1" t="s">
        <v>253</v>
      </c>
      <c r="K2140" t="s">
        <v>181</v>
      </c>
      <c r="L2140" t="s">
        <v>3333</v>
      </c>
      <c r="M2140">
        <v>67</v>
      </c>
      <c r="N2140">
        <v>0.38</v>
      </c>
      <c r="O2140" t="s">
        <v>3334</v>
      </c>
      <c r="P2140">
        <v>30.59</v>
      </c>
      <c r="Q2140">
        <v>3</v>
      </c>
      <c r="R2140" t="s">
        <v>3404</v>
      </c>
      <c r="T2140" t="s">
        <v>3402</v>
      </c>
      <c r="U2140">
        <v>29</v>
      </c>
      <c r="V2140" t="s">
        <v>3420</v>
      </c>
    </row>
    <row r="2141" spans="1:22" ht="12.75" customHeight="1" x14ac:dyDescent="0.15">
      <c r="A2141">
        <v>21</v>
      </c>
      <c r="B2141">
        <v>2026</v>
      </c>
      <c r="C2141" s="21">
        <v>46169</v>
      </c>
      <c r="D2141" t="s">
        <v>101</v>
      </c>
      <c r="E2141" t="s">
        <v>102</v>
      </c>
      <c r="F2141" t="s">
        <v>75</v>
      </c>
      <c r="G2141">
        <v>7.6</v>
      </c>
      <c r="H2141" t="s">
        <v>3391</v>
      </c>
      <c r="I2141" t="s">
        <v>353</v>
      </c>
      <c r="J2141" s="1" t="s">
        <v>253</v>
      </c>
      <c r="K2141" t="s">
        <v>181</v>
      </c>
      <c r="L2141" t="s">
        <v>3333</v>
      </c>
      <c r="M2141">
        <v>19</v>
      </c>
      <c r="N2141">
        <v>0.38</v>
      </c>
      <c r="O2141" t="s">
        <v>3334</v>
      </c>
      <c r="P2141">
        <v>30.59</v>
      </c>
      <c r="Q2141">
        <v>3</v>
      </c>
      <c r="R2141" t="s">
        <v>3403</v>
      </c>
      <c r="T2141" t="s">
        <v>3402</v>
      </c>
      <c r="U2141">
        <v>29</v>
      </c>
      <c r="V2141" t="s">
        <v>3420</v>
      </c>
    </row>
    <row r="2142" spans="1:22" ht="12.75" customHeight="1" x14ac:dyDescent="0.15">
      <c r="A2142">
        <v>21</v>
      </c>
      <c r="B2142">
        <v>2026</v>
      </c>
      <c r="C2142" s="21">
        <v>46169</v>
      </c>
      <c r="D2142" t="s">
        <v>101</v>
      </c>
      <c r="E2142" t="s">
        <v>102</v>
      </c>
      <c r="F2142" t="s">
        <v>75</v>
      </c>
      <c r="G2142">
        <v>7.6</v>
      </c>
      <c r="H2142" t="s">
        <v>3391</v>
      </c>
      <c r="I2142" t="s">
        <v>353</v>
      </c>
      <c r="J2142" s="1" t="s">
        <v>253</v>
      </c>
      <c r="K2142" t="s">
        <v>181</v>
      </c>
      <c r="L2142" t="s">
        <v>3340</v>
      </c>
      <c r="M2142">
        <v>78</v>
      </c>
      <c r="N2142">
        <v>0.49</v>
      </c>
      <c r="O2142" t="s">
        <v>211</v>
      </c>
      <c r="P2142">
        <v>27</v>
      </c>
      <c r="Q2142">
        <v>3</v>
      </c>
      <c r="R2142" t="s">
        <v>3341</v>
      </c>
      <c r="S2142" t="s">
        <v>4111</v>
      </c>
      <c r="T2142" t="s">
        <v>3402</v>
      </c>
      <c r="U2142">
        <v>29</v>
      </c>
      <c r="V2142" t="s">
        <v>3422</v>
      </c>
    </row>
    <row r="2143" spans="1:22" ht="12.75" customHeight="1" x14ac:dyDescent="0.15">
      <c r="A2143">
        <v>21</v>
      </c>
      <c r="B2143">
        <v>2026</v>
      </c>
      <c r="C2143" s="21">
        <v>46169</v>
      </c>
      <c r="D2143" t="s">
        <v>101</v>
      </c>
      <c r="E2143" t="s">
        <v>102</v>
      </c>
      <c r="F2143" t="s">
        <v>75</v>
      </c>
      <c r="G2143">
        <v>7.6</v>
      </c>
      <c r="H2143" t="s">
        <v>3391</v>
      </c>
      <c r="I2143" t="s">
        <v>353</v>
      </c>
      <c r="J2143" s="1" t="s">
        <v>253</v>
      </c>
      <c r="K2143" t="s">
        <v>181</v>
      </c>
      <c r="L2143" t="s">
        <v>3587</v>
      </c>
      <c r="M2143">
        <v>120</v>
      </c>
      <c r="N2143">
        <v>7</v>
      </c>
      <c r="O2143" t="s">
        <v>211</v>
      </c>
      <c r="P2143">
        <v>385</v>
      </c>
      <c r="R2143" t="s">
        <v>3415</v>
      </c>
      <c r="T2143" t="s">
        <v>3402</v>
      </c>
      <c r="U2143">
        <v>29</v>
      </c>
      <c r="V2143" t="s">
        <v>4042</v>
      </c>
    </row>
    <row r="2144" spans="1:22" ht="12.75" customHeight="1" x14ac:dyDescent="0.15">
      <c r="A2144">
        <v>21</v>
      </c>
      <c r="B2144">
        <v>2026</v>
      </c>
      <c r="C2144" s="21">
        <v>46169</v>
      </c>
      <c r="D2144" t="s">
        <v>96</v>
      </c>
      <c r="E2144" t="s">
        <v>97</v>
      </c>
      <c r="F2144" t="s">
        <v>21</v>
      </c>
      <c r="G2144">
        <v>4.5</v>
      </c>
      <c r="H2144" t="s">
        <v>3653</v>
      </c>
      <c r="I2144" t="s">
        <v>3566</v>
      </c>
      <c r="J2144" s="1" t="s">
        <v>3389</v>
      </c>
      <c r="K2144" t="s">
        <v>181</v>
      </c>
      <c r="L2144" t="s">
        <v>3333</v>
      </c>
      <c r="M2144">
        <v>11</v>
      </c>
      <c r="N2144">
        <v>0.5</v>
      </c>
      <c r="O2144" t="s">
        <v>213</v>
      </c>
      <c r="P2144">
        <v>45</v>
      </c>
      <c r="Q2144">
        <v>4</v>
      </c>
      <c r="R2144" t="s">
        <v>3564</v>
      </c>
      <c r="T2144" t="s">
        <v>3402</v>
      </c>
      <c r="U2144">
        <v>26</v>
      </c>
      <c r="V2144" t="s">
        <v>3711</v>
      </c>
    </row>
    <row r="2145" spans="1:22" ht="12.75" customHeight="1" x14ac:dyDescent="0.15">
      <c r="A2145">
        <v>21</v>
      </c>
      <c r="B2145">
        <v>2026</v>
      </c>
      <c r="C2145" s="21">
        <v>46169</v>
      </c>
      <c r="D2145" t="s">
        <v>96</v>
      </c>
      <c r="E2145" t="s">
        <v>97</v>
      </c>
      <c r="F2145" t="s">
        <v>21</v>
      </c>
      <c r="G2145">
        <v>4.5</v>
      </c>
      <c r="H2145" t="s">
        <v>3878</v>
      </c>
      <c r="I2145" t="s">
        <v>3566</v>
      </c>
      <c r="J2145" s="1" t="s">
        <v>3389</v>
      </c>
      <c r="K2145" t="s">
        <v>2666</v>
      </c>
      <c r="L2145" t="s">
        <v>3340</v>
      </c>
      <c r="N2145">
        <v>1.52</v>
      </c>
      <c r="O2145" t="s">
        <v>3501</v>
      </c>
      <c r="P2145">
        <v>32.450000000000003</v>
      </c>
      <c r="Q2145">
        <v>4</v>
      </c>
      <c r="T2145" t="s">
        <v>3402</v>
      </c>
      <c r="U2145">
        <v>26</v>
      </c>
      <c r="V2145" t="s">
        <v>4178</v>
      </c>
    </row>
    <row r="2146" spans="1:22" ht="12.75" customHeight="1" x14ac:dyDescent="0.15">
      <c r="A2146">
        <v>21</v>
      </c>
      <c r="B2146">
        <v>2026</v>
      </c>
      <c r="C2146" s="21">
        <v>46169</v>
      </c>
      <c r="D2146" t="s">
        <v>19</v>
      </c>
      <c r="E2146" t="s">
        <v>20</v>
      </c>
      <c r="F2146" t="s">
        <v>21</v>
      </c>
      <c r="G2146">
        <v>3.8</v>
      </c>
      <c r="H2146" t="s">
        <v>3945</v>
      </c>
      <c r="I2146" t="s">
        <v>3686</v>
      </c>
      <c r="J2146" s="1" t="s">
        <v>3437</v>
      </c>
      <c r="K2146" t="s">
        <v>181</v>
      </c>
      <c r="L2146" t="s">
        <v>3333</v>
      </c>
      <c r="M2146">
        <v>4</v>
      </c>
      <c r="N2146">
        <v>0.63</v>
      </c>
      <c r="O2146" t="s">
        <v>3334</v>
      </c>
      <c r="P2146">
        <v>50.99</v>
      </c>
      <c r="Q2146">
        <v>5</v>
      </c>
      <c r="R2146" t="s">
        <v>3773</v>
      </c>
      <c r="T2146" t="s">
        <v>3402</v>
      </c>
      <c r="U2146">
        <v>169</v>
      </c>
      <c r="V2146" t="s">
        <v>3352</v>
      </c>
    </row>
    <row r="2147" spans="1:22" ht="12.75" customHeight="1" x14ac:dyDescent="0.15">
      <c r="A2147">
        <v>21</v>
      </c>
      <c r="B2147">
        <v>2026</v>
      </c>
      <c r="C2147" s="21">
        <v>46170</v>
      </c>
      <c r="D2147" t="s">
        <v>101</v>
      </c>
      <c r="E2147" t="s">
        <v>102</v>
      </c>
      <c r="F2147" t="s">
        <v>75</v>
      </c>
      <c r="G2147">
        <v>7.6</v>
      </c>
      <c r="H2147" t="s">
        <v>3400</v>
      </c>
      <c r="I2147" t="s">
        <v>353</v>
      </c>
      <c r="J2147" s="1" t="s">
        <v>253</v>
      </c>
      <c r="K2147" t="s">
        <v>181</v>
      </c>
      <c r="L2147" t="s">
        <v>3340</v>
      </c>
      <c r="M2147">
        <v>45</v>
      </c>
      <c r="N2147">
        <v>0.49</v>
      </c>
      <c r="O2147" t="s">
        <v>211</v>
      </c>
      <c r="P2147">
        <v>27</v>
      </c>
      <c r="Q2147">
        <v>3</v>
      </c>
      <c r="R2147" t="s">
        <v>3377</v>
      </c>
      <c r="T2147" t="s">
        <v>3337</v>
      </c>
      <c r="U2147">
        <v>30</v>
      </c>
      <c r="V2147" t="s">
        <v>3422</v>
      </c>
    </row>
    <row r="2148" spans="1:22" ht="12.75" customHeight="1" x14ac:dyDescent="0.15">
      <c r="A2148">
        <v>21</v>
      </c>
      <c r="B2148">
        <v>2026</v>
      </c>
      <c r="C2148" s="21">
        <v>46170</v>
      </c>
      <c r="D2148" t="s">
        <v>101</v>
      </c>
      <c r="E2148" t="s">
        <v>102</v>
      </c>
      <c r="F2148" t="s">
        <v>75</v>
      </c>
      <c r="G2148">
        <v>7.6</v>
      </c>
      <c r="H2148" t="s">
        <v>3400</v>
      </c>
      <c r="I2148" t="s">
        <v>353</v>
      </c>
      <c r="J2148" s="1" t="s">
        <v>253</v>
      </c>
      <c r="K2148" t="s">
        <v>181</v>
      </c>
      <c r="L2148" t="s">
        <v>3340</v>
      </c>
      <c r="M2148">
        <v>53</v>
      </c>
      <c r="N2148">
        <v>0.49</v>
      </c>
      <c r="O2148" t="s">
        <v>211</v>
      </c>
      <c r="P2148">
        <v>27</v>
      </c>
      <c r="Q2148">
        <v>3</v>
      </c>
      <c r="R2148" t="s">
        <v>3373</v>
      </c>
      <c r="T2148" t="s">
        <v>3337</v>
      </c>
      <c r="U2148">
        <v>30</v>
      </c>
      <c r="V2148" t="s">
        <v>3422</v>
      </c>
    </row>
    <row r="2149" spans="1:22" ht="12.75" customHeight="1" x14ac:dyDescent="0.15">
      <c r="A2149">
        <v>21</v>
      </c>
      <c r="B2149">
        <v>2026</v>
      </c>
      <c r="C2149" s="21">
        <v>46170</v>
      </c>
      <c r="D2149" t="s">
        <v>101</v>
      </c>
      <c r="E2149" t="s">
        <v>102</v>
      </c>
      <c r="F2149" t="s">
        <v>75</v>
      </c>
      <c r="G2149">
        <v>7.6</v>
      </c>
      <c r="H2149" t="s">
        <v>3400</v>
      </c>
      <c r="I2149" t="s">
        <v>353</v>
      </c>
      <c r="J2149" s="1" t="s">
        <v>253</v>
      </c>
      <c r="K2149" t="s">
        <v>181</v>
      </c>
      <c r="L2149" t="s">
        <v>3340</v>
      </c>
      <c r="M2149">
        <v>81</v>
      </c>
      <c r="N2149">
        <v>0.49</v>
      </c>
      <c r="O2149" t="s">
        <v>211</v>
      </c>
      <c r="P2149">
        <v>27</v>
      </c>
      <c r="Q2149">
        <v>3</v>
      </c>
      <c r="R2149" t="s">
        <v>3374</v>
      </c>
      <c r="T2149" t="s">
        <v>3337</v>
      </c>
      <c r="U2149">
        <v>30</v>
      </c>
      <c r="V2149" t="s">
        <v>3422</v>
      </c>
    </row>
    <row r="2150" spans="1:22" ht="12.75" customHeight="1" x14ac:dyDescent="0.15">
      <c r="A2150">
        <v>21</v>
      </c>
      <c r="B2150">
        <v>2026</v>
      </c>
      <c r="C2150" s="21">
        <v>46170</v>
      </c>
      <c r="D2150" t="s">
        <v>101</v>
      </c>
      <c r="E2150" t="s">
        <v>102</v>
      </c>
      <c r="F2150" t="s">
        <v>75</v>
      </c>
      <c r="G2150">
        <v>7.6</v>
      </c>
      <c r="H2150" t="s">
        <v>3400</v>
      </c>
      <c r="I2150" t="s">
        <v>353</v>
      </c>
      <c r="J2150" s="1" t="s">
        <v>253</v>
      </c>
      <c r="K2150" t="s">
        <v>181</v>
      </c>
      <c r="L2150" t="s">
        <v>3340</v>
      </c>
      <c r="M2150">
        <v>58</v>
      </c>
      <c r="N2150">
        <v>0.49</v>
      </c>
      <c r="O2150" t="s">
        <v>211</v>
      </c>
      <c r="P2150">
        <v>27</v>
      </c>
      <c r="Q2150">
        <v>3</v>
      </c>
      <c r="R2150" t="s">
        <v>3343</v>
      </c>
      <c r="T2150" t="s">
        <v>3337</v>
      </c>
      <c r="U2150">
        <v>30</v>
      </c>
      <c r="V2150" t="s">
        <v>3422</v>
      </c>
    </row>
    <row r="2151" spans="1:22" ht="12.75" customHeight="1" x14ac:dyDescent="0.15">
      <c r="A2151">
        <v>21</v>
      </c>
      <c r="B2151">
        <v>2026</v>
      </c>
      <c r="C2151" s="21">
        <v>46170</v>
      </c>
      <c r="D2151" t="s">
        <v>101</v>
      </c>
      <c r="E2151" t="s">
        <v>102</v>
      </c>
      <c r="F2151" t="s">
        <v>75</v>
      </c>
      <c r="G2151">
        <v>7.6</v>
      </c>
      <c r="H2151" t="s">
        <v>3400</v>
      </c>
      <c r="I2151" t="s">
        <v>353</v>
      </c>
      <c r="J2151" s="1" t="s">
        <v>253</v>
      </c>
      <c r="K2151" t="s">
        <v>181</v>
      </c>
      <c r="L2151" t="s">
        <v>3340</v>
      </c>
      <c r="M2151">
        <v>132</v>
      </c>
      <c r="N2151">
        <v>0.49</v>
      </c>
      <c r="O2151" t="s">
        <v>211</v>
      </c>
      <c r="P2151">
        <v>27</v>
      </c>
      <c r="Q2151">
        <v>3</v>
      </c>
      <c r="R2151" t="s">
        <v>3368</v>
      </c>
      <c r="T2151" t="s">
        <v>3337</v>
      </c>
      <c r="U2151">
        <v>30</v>
      </c>
      <c r="V2151" t="s">
        <v>3422</v>
      </c>
    </row>
    <row r="2152" spans="1:22" ht="12.75" customHeight="1" x14ac:dyDescent="0.15">
      <c r="A2152">
        <v>21</v>
      </c>
      <c r="B2152">
        <v>2026</v>
      </c>
      <c r="C2152" s="21">
        <v>46170</v>
      </c>
      <c r="D2152" t="s">
        <v>101</v>
      </c>
      <c r="E2152" t="s">
        <v>102</v>
      </c>
      <c r="F2152" t="s">
        <v>75</v>
      </c>
      <c r="G2152">
        <v>7.6</v>
      </c>
      <c r="H2152" t="s">
        <v>3400</v>
      </c>
      <c r="I2152" t="s">
        <v>353</v>
      </c>
      <c r="J2152" s="1" t="s">
        <v>253</v>
      </c>
      <c r="K2152" t="s">
        <v>181</v>
      </c>
      <c r="L2152" t="s">
        <v>3340</v>
      </c>
      <c r="M2152">
        <v>62</v>
      </c>
      <c r="N2152">
        <v>0.49</v>
      </c>
      <c r="O2152" t="s">
        <v>211</v>
      </c>
      <c r="P2152">
        <v>27</v>
      </c>
      <c r="Q2152">
        <v>3</v>
      </c>
      <c r="R2152" t="s">
        <v>3375</v>
      </c>
      <c r="T2152" t="s">
        <v>3337</v>
      </c>
      <c r="U2152">
        <v>30</v>
      </c>
      <c r="V2152" t="s">
        <v>3422</v>
      </c>
    </row>
    <row r="2153" spans="1:22" ht="12.75" customHeight="1" x14ac:dyDescent="0.15">
      <c r="A2153">
        <v>21</v>
      </c>
      <c r="B2153">
        <v>2026</v>
      </c>
      <c r="C2153" s="21">
        <v>46170</v>
      </c>
      <c r="D2153" t="s">
        <v>101</v>
      </c>
      <c r="E2153" t="s">
        <v>102</v>
      </c>
      <c r="F2153" t="s">
        <v>75</v>
      </c>
      <c r="G2153">
        <v>7.6</v>
      </c>
      <c r="H2153" t="s">
        <v>3400</v>
      </c>
      <c r="I2153" t="s">
        <v>353</v>
      </c>
      <c r="J2153" s="1" t="s">
        <v>253</v>
      </c>
      <c r="K2153" t="s">
        <v>181</v>
      </c>
      <c r="L2153" t="s">
        <v>3333</v>
      </c>
      <c r="M2153">
        <v>2</v>
      </c>
      <c r="N2153">
        <v>1</v>
      </c>
      <c r="O2153" t="s">
        <v>3440</v>
      </c>
      <c r="P2153">
        <v>90.49</v>
      </c>
      <c r="Q2153">
        <v>8</v>
      </c>
      <c r="R2153" t="s">
        <v>3424</v>
      </c>
      <c r="T2153" t="s">
        <v>3337</v>
      </c>
      <c r="U2153">
        <v>30</v>
      </c>
      <c r="V2153" t="s">
        <v>3982</v>
      </c>
    </row>
    <row r="2154" spans="1:22" ht="12.75" customHeight="1" x14ac:dyDescent="0.15">
      <c r="A2154">
        <v>21</v>
      </c>
      <c r="B2154">
        <v>2026</v>
      </c>
      <c r="C2154" s="21">
        <v>46170</v>
      </c>
      <c r="D2154" t="s">
        <v>101</v>
      </c>
      <c r="E2154" t="s">
        <v>102</v>
      </c>
      <c r="F2154" t="s">
        <v>75</v>
      </c>
      <c r="G2154">
        <v>7.6</v>
      </c>
      <c r="H2154" t="s">
        <v>3400</v>
      </c>
      <c r="I2154" t="s">
        <v>353</v>
      </c>
      <c r="J2154" s="1" t="s">
        <v>253</v>
      </c>
      <c r="K2154" t="s">
        <v>181</v>
      </c>
      <c r="L2154" t="s">
        <v>3340</v>
      </c>
      <c r="M2154">
        <v>25</v>
      </c>
      <c r="N2154">
        <v>1</v>
      </c>
      <c r="O2154" t="s">
        <v>211</v>
      </c>
      <c r="P2154">
        <v>55</v>
      </c>
      <c r="R2154" t="s">
        <v>3413</v>
      </c>
      <c r="T2154" t="s">
        <v>3337</v>
      </c>
      <c r="U2154">
        <v>30</v>
      </c>
      <c r="V2154" t="s">
        <v>4088</v>
      </c>
    </row>
    <row r="2155" spans="1:22" ht="12.75" customHeight="1" x14ac:dyDescent="0.15">
      <c r="A2155">
        <v>21</v>
      </c>
      <c r="B2155">
        <v>2026</v>
      </c>
      <c r="C2155" s="21">
        <v>46170</v>
      </c>
      <c r="D2155" t="s">
        <v>101</v>
      </c>
      <c r="E2155" t="s">
        <v>102</v>
      </c>
      <c r="F2155" t="s">
        <v>75</v>
      </c>
      <c r="G2155">
        <v>7.6</v>
      </c>
      <c r="H2155" t="s">
        <v>3953</v>
      </c>
      <c r="I2155" t="s">
        <v>3954</v>
      </c>
      <c r="J2155" s="1" t="s">
        <v>253</v>
      </c>
      <c r="K2155" t="s">
        <v>181</v>
      </c>
      <c r="L2155" t="s">
        <v>3333</v>
      </c>
      <c r="M2155">
        <v>1</v>
      </c>
      <c r="N2155">
        <v>1</v>
      </c>
      <c r="O2155" t="s">
        <v>3358</v>
      </c>
      <c r="P2155">
        <v>71.86</v>
      </c>
      <c r="Q2155">
        <v>8</v>
      </c>
      <c r="R2155" t="s">
        <v>3359</v>
      </c>
      <c r="T2155" t="s">
        <v>3337</v>
      </c>
      <c r="U2155">
        <v>30</v>
      </c>
      <c r="V2155" t="s">
        <v>3545</v>
      </c>
    </row>
    <row r="2156" spans="1:22" ht="12.75" customHeight="1" x14ac:dyDescent="0.15">
      <c r="A2156">
        <v>21</v>
      </c>
      <c r="B2156">
        <v>2026</v>
      </c>
      <c r="C2156" s="21">
        <v>46170</v>
      </c>
      <c r="D2156" t="s">
        <v>101</v>
      </c>
      <c r="E2156" t="s">
        <v>102</v>
      </c>
      <c r="F2156" t="s">
        <v>75</v>
      </c>
      <c r="G2156">
        <v>7.6</v>
      </c>
      <c r="H2156" t="s">
        <v>3953</v>
      </c>
      <c r="I2156" t="s">
        <v>3954</v>
      </c>
      <c r="J2156" s="1" t="s">
        <v>253</v>
      </c>
      <c r="K2156" t="s">
        <v>181</v>
      </c>
      <c r="L2156" t="s">
        <v>3333</v>
      </c>
      <c r="M2156">
        <v>6</v>
      </c>
      <c r="N2156">
        <v>1</v>
      </c>
      <c r="O2156" t="s">
        <v>3334</v>
      </c>
      <c r="P2156">
        <v>81.58</v>
      </c>
      <c r="Q2156">
        <v>8</v>
      </c>
      <c r="R2156" t="s">
        <v>3335</v>
      </c>
      <c r="T2156" t="s">
        <v>3337</v>
      </c>
      <c r="U2156">
        <v>30</v>
      </c>
      <c r="V2156" t="s">
        <v>3338</v>
      </c>
    </row>
    <row r="2157" spans="1:22" ht="12.75" customHeight="1" x14ac:dyDescent="0.15">
      <c r="A2157">
        <v>21</v>
      </c>
      <c r="B2157">
        <v>2026</v>
      </c>
      <c r="C2157" s="21">
        <v>46170</v>
      </c>
      <c r="D2157" t="s">
        <v>101</v>
      </c>
      <c r="E2157" t="s">
        <v>102</v>
      </c>
      <c r="F2157" t="s">
        <v>75</v>
      </c>
      <c r="G2157">
        <v>7.6</v>
      </c>
      <c r="H2157" t="s">
        <v>3391</v>
      </c>
      <c r="I2157" t="s">
        <v>353</v>
      </c>
      <c r="J2157" s="1" t="s">
        <v>253</v>
      </c>
      <c r="K2157" t="s">
        <v>181</v>
      </c>
      <c r="L2157" t="s">
        <v>3333</v>
      </c>
      <c r="M2157">
        <v>67</v>
      </c>
      <c r="N2157">
        <v>0.63</v>
      </c>
      <c r="O2157" t="s">
        <v>3334</v>
      </c>
      <c r="P2157">
        <v>50.99</v>
      </c>
      <c r="Q2157">
        <v>5</v>
      </c>
      <c r="R2157" t="s">
        <v>3404</v>
      </c>
      <c r="S2157" t="s">
        <v>4113</v>
      </c>
      <c r="T2157" t="s">
        <v>3402</v>
      </c>
      <c r="U2157">
        <v>30</v>
      </c>
      <c r="V2157" t="s">
        <v>4114</v>
      </c>
    </row>
    <row r="2158" spans="1:22" ht="12.75" customHeight="1" x14ac:dyDescent="0.15">
      <c r="A2158">
        <v>21</v>
      </c>
      <c r="B2158">
        <v>2026</v>
      </c>
      <c r="C2158" s="21">
        <v>46170</v>
      </c>
      <c r="D2158" t="s">
        <v>101</v>
      </c>
      <c r="E2158" t="s">
        <v>102</v>
      </c>
      <c r="F2158" t="s">
        <v>75</v>
      </c>
      <c r="G2158">
        <v>7.6</v>
      </c>
      <c r="H2158" t="s">
        <v>3391</v>
      </c>
      <c r="I2158" t="s">
        <v>353</v>
      </c>
      <c r="J2158" s="1" t="s">
        <v>253</v>
      </c>
      <c r="K2158" t="s">
        <v>181</v>
      </c>
      <c r="L2158" t="s">
        <v>3333</v>
      </c>
      <c r="M2158">
        <v>19</v>
      </c>
      <c r="N2158">
        <v>0.63</v>
      </c>
      <c r="O2158" t="s">
        <v>3334</v>
      </c>
      <c r="P2158">
        <v>50.99</v>
      </c>
      <c r="Q2158">
        <v>5</v>
      </c>
      <c r="R2158" t="s">
        <v>3403</v>
      </c>
      <c r="S2158" t="s">
        <v>4115</v>
      </c>
      <c r="T2158" t="s">
        <v>3402</v>
      </c>
      <c r="U2158">
        <v>30</v>
      </c>
      <c r="V2158" t="s">
        <v>4114</v>
      </c>
    </row>
    <row r="2159" spans="1:22" ht="12.75" customHeight="1" x14ac:dyDescent="0.15">
      <c r="A2159">
        <v>21</v>
      </c>
      <c r="B2159">
        <v>2026</v>
      </c>
      <c r="C2159" s="21">
        <v>46170</v>
      </c>
      <c r="D2159" t="s">
        <v>101</v>
      </c>
      <c r="E2159" t="s">
        <v>102</v>
      </c>
      <c r="F2159" t="s">
        <v>75</v>
      </c>
      <c r="G2159">
        <v>7.6</v>
      </c>
      <c r="H2159" t="s">
        <v>3391</v>
      </c>
      <c r="I2159" t="s">
        <v>353</v>
      </c>
      <c r="J2159" s="1" t="s">
        <v>253</v>
      </c>
      <c r="K2159" t="s">
        <v>181</v>
      </c>
      <c r="L2159" t="s">
        <v>3340</v>
      </c>
      <c r="M2159">
        <v>78</v>
      </c>
      <c r="N2159">
        <v>0.82</v>
      </c>
      <c r="O2159" t="s">
        <v>211</v>
      </c>
      <c r="P2159">
        <v>45</v>
      </c>
      <c r="Q2159">
        <v>5</v>
      </c>
      <c r="R2159" t="s">
        <v>3341</v>
      </c>
      <c r="S2159" t="s">
        <v>4116</v>
      </c>
      <c r="T2159" t="s">
        <v>3402</v>
      </c>
      <c r="U2159">
        <v>30</v>
      </c>
      <c r="V2159" t="s">
        <v>3348</v>
      </c>
    </row>
    <row r="2160" spans="1:22" ht="12.75" customHeight="1" x14ac:dyDescent="0.15">
      <c r="A2160">
        <v>21</v>
      </c>
      <c r="B2160">
        <v>2026</v>
      </c>
      <c r="C2160" s="21">
        <v>46170</v>
      </c>
      <c r="D2160" t="s">
        <v>101</v>
      </c>
      <c r="E2160" t="s">
        <v>102</v>
      </c>
      <c r="F2160" t="s">
        <v>75</v>
      </c>
      <c r="G2160">
        <v>7.6</v>
      </c>
      <c r="H2160" t="s">
        <v>3391</v>
      </c>
      <c r="I2160" t="s">
        <v>353</v>
      </c>
      <c r="J2160" s="1" t="s">
        <v>253</v>
      </c>
      <c r="K2160" t="s">
        <v>181</v>
      </c>
      <c r="L2160" t="s">
        <v>3587</v>
      </c>
      <c r="M2160">
        <v>120</v>
      </c>
      <c r="N2160">
        <v>5</v>
      </c>
      <c r="O2160" t="s">
        <v>211</v>
      </c>
      <c r="P2160">
        <v>275</v>
      </c>
      <c r="R2160" t="s">
        <v>3415</v>
      </c>
      <c r="T2160" t="s">
        <v>3402</v>
      </c>
      <c r="U2160">
        <v>30</v>
      </c>
      <c r="V2160" t="s">
        <v>3984</v>
      </c>
    </row>
    <row r="2161" spans="1:22" ht="12.75" customHeight="1" x14ac:dyDescent="0.15">
      <c r="A2161">
        <v>21</v>
      </c>
      <c r="B2161">
        <v>2026</v>
      </c>
      <c r="C2161" s="21">
        <v>46170</v>
      </c>
      <c r="D2161" t="s">
        <v>139</v>
      </c>
      <c r="E2161" t="s">
        <v>140</v>
      </c>
      <c r="F2161" t="s">
        <v>75</v>
      </c>
      <c r="G2161">
        <v>0.8</v>
      </c>
      <c r="H2161" t="s">
        <v>4096</v>
      </c>
      <c r="I2161" t="s">
        <v>3684</v>
      </c>
      <c r="J2161" s="1" t="s">
        <v>3668</v>
      </c>
      <c r="K2161" t="s">
        <v>181</v>
      </c>
      <c r="L2161" t="s">
        <v>3333</v>
      </c>
      <c r="M2161">
        <v>86</v>
      </c>
      <c r="N2161">
        <v>0.63</v>
      </c>
      <c r="O2161" t="s">
        <v>3334</v>
      </c>
      <c r="P2161">
        <v>50.99</v>
      </c>
      <c r="Q2161">
        <v>5</v>
      </c>
      <c r="R2161" t="s">
        <v>3386</v>
      </c>
      <c r="T2161" t="s">
        <v>3402</v>
      </c>
      <c r="U2161">
        <v>2</v>
      </c>
      <c r="V2161" t="s">
        <v>4098</v>
      </c>
    </row>
    <row r="2162" spans="1:22" ht="12.75" customHeight="1" x14ac:dyDescent="0.15">
      <c r="A2162">
        <v>21</v>
      </c>
      <c r="B2162">
        <v>2026</v>
      </c>
      <c r="C2162" s="21">
        <v>46170</v>
      </c>
      <c r="D2162" t="s">
        <v>68</v>
      </c>
      <c r="E2162" t="s">
        <v>69</v>
      </c>
      <c r="F2162" t="s">
        <v>21</v>
      </c>
      <c r="G2162">
        <v>1</v>
      </c>
      <c r="H2162" t="s">
        <v>3845</v>
      </c>
      <c r="I2162" t="s">
        <v>380</v>
      </c>
      <c r="J2162" s="1" t="s">
        <v>3533</v>
      </c>
      <c r="K2162" t="s">
        <v>181</v>
      </c>
      <c r="L2162" t="s">
        <v>3333</v>
      </c>
      <c r="M2162">
        <v>86</v>
      </c>
      <c r="N2162">
        <v>0.38</v>
      </c>
      <c r="O2162" t="s">
        <v>3334</v>
      </c>
      <c r="P2162">
        <v>30.59</v>
      </c>
      <c r="Q2162">
        <v>3</v>
      </c>
      <c r="R2162" t="s">
        <v>3386</v>
      </c>
      <c r="T2162" t="s">
        <v>3402</v>
      </c>
      <c r="U2162">
        <v>56</v>
      </c>
      <c r="V2162" t="s">
        <v>3491</v>
      </c>
    </row>
    <row r="2163" spans="1:22" ht="12.75" customHeight="1" x14ac:dyDescent="0.15">
      <c r="A2163">
        <v>21</v>
      </c>
      <c r="B2163">
        <v>2026</v>
      </c>
      <c r="C2163" s="21">
        <v>46170</v>
      </c>
      <c r="D2163" t="s">
        <v>96</v>
      </c>
      <c r="E2163" t="s">
        <v>97</v>
      </c>
      <c r="F2163" t="s">
        <v>21</v>
      </c>
      <c r="G2163">
        <v>4.5</v>
      </c>
      <c r="H2163" t="s">
        <v>3653</v>
      </c>
      <c r="I2163" t="s">
        <v>3566</v>
      </c>
      <c r="J2163" s="1" t="s">
        <v>3389</v>
      </c>
      <c r="K2163" t="s">
        <v>181</v>
      </c>
      <c r="L2163" t="s">
        <v>3340</v>
      </c>
      <c r="M2163">
        <v>86</v>
      </c>
      <c r="N2163">
        <v>0.55000000000000004</v>
      </c>
      <c r="O2163" t="s">
        <v>211</v>
      </c>
      <c r="P2163">
        <v>30</v>
      </c>
      <c r="Q2163">
        <v>2</v>
      </c>
      <c r="R2163" t="s">
        <v>3386</v>
      </c>
      <c r="T2163" t="s">
        <v>3402</v>
      </c>
      <c r="U2163">
        <v>27</v>
      </c>
      <c r="V2163" t="s">
        <v>3382</v>
      </c>
    </row>
    <row r="2164" spans="1:22" ht="12.75" customHeight="1" x14ac:dyDescent="0.15">
      <c r="A2164">
        <v>21</v>
      </c>
      <c r="B2164">
        <v>2026</v>
      </c>
      <c r="C2164" s="21">
        <v>46170</v>
      </c>
      <c r="D2164" t="s">
        <v>96</v>
      </c>
      <c r="E2164" t="s">
        <v>97</v>
      </c>
      <c r="F2164" t="s">
        <v>21</v>
      </c>
      <c r="G2164">
        <v>4.5</v>
      </c>
      <c r="H2164" t="s">
        <v>3878</v>
      </c>
      <c r="I2164" t="s">
        <v>3566</v>
      </c>
      <c r="J2164" s="1" t="s">
        <v>3389</v>
      </c>
      <c r="K2164" t="s">
        <v>2666</v>
      </c>
      <c r="L2164" t="s">
        <v>3340</v>
      </c>
      <c r="N2164">
        <v>0.76</v>
      </c>
      <c r="O2164" t="s">
        <v>3501</v>
      </c>
      <c r="P2164">
        <v>16.22</v>
      </c>
      <c r="Q2164">
        <v>2</v>
      </c>
      <c r="T2164" t="s">
        <v>3402</v>
      </c>
      <c r="U2164">
        <v>27</v>
      </c>
      <c r="V2164" t="s">
        <v>3839</v>
      </c>
    </row>
    <row r="2165" spans="1:22" ht="12.75" customHeight="1" x14ac:dyDescent="0.15">
      <c r="A2165">
        <v>21</v>
      </c>
      <c r="B2165">
        <v>2026</v>
      </c>
      <c r="C2165" s="21">
        <v>46170</v>
      </c>
      <c r="D2165" t="s">
        <v>96</v>
      </c>
      <c r="E2165" t="s">
        <v>97</v>
      </c>
      <c r="F2165" t="s">
        <v>21</v>
      </c>
      <c r="G2165">
        <v>4.5</v>
      </c>
      <c r="H2165" t="s">
        <v>3653</v>
      </c>
      <c r="I2165" t="s">
        <v>3566</v>
      </c>
      <c r="J2165" s="1" t="s">
        <v>3389</v>
      </c>
      <c r="K2165" t="s">
        <v>181</v>
      </c>
      <c r="L2165" t="s">
        <v>3333</v>
      </c>
      <c r="M2165">
        <v>11</v>
      </c>
      <c r="N2165">
        <v>0.5</v>
      </c>
      <c r="O2165" t="s">
        <v>213</v>
      </c>
      <c r="P2165">
        <v>45</v>
      </c>
      <c r="Q2165">
        <v>4</v>
      </c>
      <c r="R2165" t="s">
        <v>3564</v>
      </c>
      <c r="T2165" t="s">
        <v>3402</v>
      </c>
      <c r="U2165">
        <v>27</v>
      </c>
      <c r="V2165" t="s">
        <v>3711</v>
      </c>
    </row>
    <row r="2166" spans="1:22" ht="12.75" customHeight="1" x14ac:dyDescent="0.15">
      <c r="A2166">
        <v>21</v>
      </c>
      <c r="B2166">
        <v>2026</v>
      </c>
      <c r="C2166" s="21">
        <v>46170</v>
      </c>
      <c r="D2166" t="s">
        <v>96</v>
      </c>
      <c r="E2166" t="s">
        <v>97</v>
      </c>
      <c r="F2166" t="s">
        <v>21</v>
      </c>
      <c r="G2166">
        <v>4.5</v>
      </c>
      <c r="H2166" t="s">
        <v>3878</v>
      </c>
      <c r="I2166" t="s">
        <v>3566</v>
      </c>
      <c r="J2166" s="1" t="s">
        <v>3389</v>
      </c>
      <c r="K2166" t="s">
        <v>2666</v>
      </c>
      <c r="L2166" t="s">
        <v>3340</v>
      </c>
      <c r="N2166">
        <v>1.52</v>
      </c>
      <c r="O2166" t="s">
        <v>3501</v>
      </c>
      <c r="P2166">
        <v>32.450000000000003</v>
      </c>
      <c r="Q2166">
        <v>4</v>
      </c>
      <c r="T2166" t="s">
        <v>3402</v>
      </c>
      <c r="U2166">
        <v>27</v>
      </c>
      <c r="V2166" t="s">
        <v>4178</v>
      </c>
    </row>
    <row r="2167" spans="1:22" ht="12.75" customHeight="1" x14ac:dyDescent="0.15">
      <c r="A2167">
        <v>21</v>
      </c>
      <c r="B2167">
        <v>2026</v>
      </c>
      <c r="C2167" s="21">
        <v>46170</v>
      </c>
      <c r="D2167" t="s">
        <v>68</v>
      </c>
      <c r="E2167" t="s">
        <v>69</v>
      </c>
      <c r="F2167" t="s">
        <v>21</v>
      </c>
      <c r="G2167">
        <v>1</v>
      </c>
      <c r="H2167" t="s">
        <v>3803</v>
      </c>
      <c r="I2167" t="s">
        <v>3676</v>
      </c>
      <c r="J2167" s="1" t="s">
        <v>3533</v>
      </c>
      <c r="K2167" t="s">
        <v>181</v>
      </c>
      <c r="L2167" t="s">
        <v>3333</v>
      </c>
      <c r="M2167">
        <v>4</v>
      </c>
      <c r="N2167">
        <v>0.38</v>
      </c>
      <c r="O2167" t="s">
        <v>3334</v>
      </c>
      <c r="P2167">
        <v>30.59</v>
      </c>
      <c r="Q2167">
        <v>3</v>
      </c>
      <c r="R2167" t="s">
        <v>3773</v>
      </c>
      <c r="T2167" t="s">
        <v>3402</v>
      </c>
      <c r="U2167">
        <v>56</v>
      </c>
      <c r="V2167" t="s">
        <v>3491</v>
      </c>
    </row>
    <row r="2168" spans="1:22" ht="12.75" customHeight="1" x14ac:dyDescent="0.15">
      <c r="A2168">
        <v>21</v>
      </c>
      <c r="B2168">
        <v>2026</v>
      </c>
      <c r="C2168" s="21">
        <v>46170</v>
      </c>
      <c r="D2168" t="s">
        <v>139</v>
      </c>
      <c r="E2168" t="s">
        <v>140</v>
      </c>
      <c r="F2168" t="s">
        <v>75</v>
      </c>
      <c r="G2168">
        <v>0.8</v>
      </c>
      <c r="H2168" t="s">
        <v>3845</v>
      </c>
      <c r="I2168" t="s">
        <v>380</v>
      </c>
      <c r="J2168" s="1" t="s">
        <v>3533</v>
      </c>
      <c r="K2168" t="s">
        <v>181</v>
      </c>
      <c r="L2168" t="s">
        <v>3333</v>
      </c>
      <c r="M2168">
        <v>3</v>
      </c>
      <c r="N2168">
        <v>1</v>
      </c>
      <c r="O2168" t="s">
        <v>3334</v>
      </c>
      <c r="P2168">
        <v>81.58</v>
      </c>
      <c r="Q2168">
        <v>8</v>
      </c>
      <c r="R2168" t="s">
        <v>3478</v>
      </c>
      <c r="T2168" t="s">
        <v>3402</v>
      </c>
      <c r="U2168">
        <v>2</v>
      </c>
      <c r="V2168" t="s">
        <v>4095</v>
      </c>
    </row>
    <row r="2169" spans="1:22" ht="12.75" customHeight="1" x14ac:dyDescent="0.15">
      <c r="A2169">
        <v>21</v>
      </c>
      <c r="B2169">
        <v>2026</v>
      </c>
      <c r="C2169" s="21">
        <v>46170</v>
      </c>
      <c r="D2169" t="s">
        <v>139</v>
      </c>
      <c r="E2169" t="s">
        <v>140</v>
      </c>
      <c r="F2169" t="s">
        <v>75</v>
      </c>
      <c r="G2169">
        <v>0.8</v>
      </c>
      <c r="H2169" t="s">
        <v>3845</v>
      </c>
      <c r="I2169" t="s">
        <v>380</v>
      </c>
      <c r="J2169" s="1" t="s">
        <v>3533</v>
      </c>
      <c r="K2169" t="s">
        <v>181</v>
      </c>
      <c r="L2169" t="s">
        <v>3340</v>
      </c>
      <c r="M2169">
        <v>3</v>
      </c>
      <c r="N2169">
        <v>5</v>
      </c>
      <c r="O2169" t="s">
        <v>211</v>
      </c>
      <c r="P2169">
        <v>275</v>
      </c>
      <c r="R2169" t="s">
        <v>3478</v>
      </c>
      <c r="T2169" t="s">
        <v>3402</v>
      </c>
      <c r="U2169">
        <v>2</v>
      </c>
      <c r="V2169" t="s">
        <v>4117</v>
      </c>
    </row>
    <row r="2170" spans="1:22" ht="12.75" customHeight="1" x14ac:dyDescent="0.15">
      <c r="A2170">
        <v>22</v>
      </c>
      <c r="B2170">
        <v>2026</v>
      </c>
      <c r="C2170" s="21">
        <v>46171</v>
      </c>
      <c r="D2170" t="s">
        <v>96</v>
      </c>
      <c r="E2170" t="s">
        <v>97</v>
      </c>
      <c r="F2170" t="s">
        <v>21</v>
      </c>
      <c r="G2170">
        <v>4.5</v>
      </c>
      <c r="H2170" t="s">
        <v>3519</v>
      </c>
      <c r="I2170" t="s">
        <v>214</v>
      </c>
      <c r="J2170" s="1" t="s">
        <v>215</v>
      </c>
      <c r="K2170" t="s">
        <v>181</v>
      </c>
      <c r="L2170" t="s">
        <v>3340</v>
      </c>
      <c r="M2170">
        <v>62</v>
      </c>
      <c r="N2170">
        <v>0.73</v>
      </c>
      <c r="O2170" t="s">
        <v>211</v>
      </c>
      <c r="P2170">
        <v>40</v>
      </c>
      <c r="R2170" t="s">
        <v>3375</v>
      </c>
      <c r="S2170" t="s">
        <v>3646</v>
      </c>
      <c r="T2170" t="s">
        <v>3337</v>
      </c>
      <c r="U2170">
        <v>28</v>
      </c>
      <c r="V2170" t="s">
        <v>4021</v>
      </c>
    </row>
    <row r="2171" spans="1:22" ht="12.75" customHeight="1" x14ac:dyDescent="0.15">
      <c r="A2171">
        <v>22</v>
      </c>
      <c r="B2171">
        <v>2026</v>
      </c>
      <c r="C2171" s="21">
        <v>46171</v>
      </c>
      <c r="D2171" t="s">
        <v>96</v>
      </c>
      <c r="E2171" t="s">
        <v>97</v>
      </c>
      <c r="F2171" t="s">
        <v>21</v>
      </c>
      <c r="G2171">
        <v>4.5</v>
      </c>
      <c r="H2171" t="s">
        <v>3519</v>
      </c>
      <c r="I2171" t="s">
        <v>214</v>
      </c>
      <c r="J2171" s="1" t="s">
        <v>215</v>
      </c>
      <c r="K2171" t="s">
        <v>181</v>
      </c>
      <c r="L2171" t="s">
        <v>3340</v>
      </c>
      <c r="M2171">
        <v>45</v>
      </c>
      <c r="N2171">
        <v>0.73</v>
      </c>
      <c r="O2171" t="s">
        <v>211</v>
      </c>
      <c r="P2171">
        <v>40</v>
      </c>
      <c r="R2171" t="s">
        <v>3377</v>
      </c>
      <c r="T2171" t="s">
        <v>3337</v>
      </c>
      <c r="U2171">
        <v>28</v>
      </c>
      <c r="V2171" t="s">
        <v>4021</v>
      </c>
    </row>
    <row r="2172" spans="1:22" ht="12.75" customHeight="1" x14ac:dyDescent="0.15">
      <c r="A2172">
        <v>22</v>
      </c>
      <c r="B2172">
        <v>2026</v>
      </c>
      <c r="C2172" s="21">
        <v>46171</v>
      </c>
      <c r="D2172" t="s">
        <v>96</v>
      </c>
      <c r="E2172" t="s">
        <v>97</v>
      </c>
      <c r="F2172" t="s">
        <v>21</v>
      </c>
      <c r="G2172">
        <v>4.5</v>
      </c>
      <c r="H2172" t="s">
        <v>3519</v>
      </c>
      <c r="I2172" t="s">
        <v>214</v>
      </c>
      <c r="J2172" s="1" t="s">
        <v>215</v>
      </c>
      <c r="K2172" t="s">
        <v>181</v>
      </c>
      <c r="L2172" t="s">
        <v>3340</v>
      </c>
      <c r="M2172">
        <v>53</v>
      </c>
      <c r="N2172">
        <v>0.73</v>
      </c>
      <c r="O2172" t="s">
        <v>211</v>
      </c>
      <c r="P2172">
        <v>40</v>
      </c>
      <c r="R2172" t="s">
        <v>3373</v>
      </c>
      <c r="T2172" t="s">
        <v>3337</v>
      </c>
      <c r="U2172">
        <v>28</v>
      </c>
      <c r="V2172" t="s">
        <v>4021</v>
      </c>
    </row>
    <row r="2173" spans="1:22" ht="12.75" customHeight="1" x14ac:dyDescent="0.15">
      <c r="A2173">
        <v>22</v>
      </c>
      <c r="B2173">
        <v>2026</v>
      </c>
      <c r="C2173" s="21">
        <v>46171</v>
      </c>
      <c r="D2173" t="s">
        <v>96</v>
      </c>
      <c r="E2173" t="s">
        <v>97</v>
      </c>
      <c r="F2173" t="s">
        <v>21</v>
      </c>
      <c r="G2173">
        <v>4.5</v>
      </c>
      <c r="H2173" t="s">
        <v>3519</v>
      </c>
      <c r="I2173" t="s">
        <v>214</v>
      </c>
      <c r="J2173" s="1" t="s">
        <v>215</v>
      </c>
      <c r="K2173" t="s">
        <v>181</v>
      </c>
      <c r="L2173" t="s">
        <v>3340</v>
      </c>
      <c r="M2173">
        <v>132</v>
      </c>
      <c r="N2173">
        <v>0.73</v>
      </c>
      <c r="O2173" t="s">
        <v>211</v>
      </c>
      <c r="P2173">
        <v>40</v>
      </c>
      <c r="R2173" t="s">
        <v>3368</v>
      </c>
      <c r="T2173" t="s">
        <v>3337</v>
      </c>
      <c r="U2173">
        <v>28</v>
      </c>
      <c r="V2173" t="s">
        <v>4021</v>
      </c>
    </row>
    <row r="2174" spans="1:22" ht="12.75" customHeight="1" x14ac:dyDescent="0.15">
      <c r="A2174">
        <v>22</v>
      </c>
      <c r="B2174">
        <v>2026</v>
      </c>
      <c r="C2174" s="21">
        <v>46171</v>
      </c>
      <c r="D2174" t="s">
        <v>96</v>
      </c>
      <c r="E2174" t="s">
        <v>97</v>
      </c>
      <c r="F2174" t="s">
        <v>21</v>
      </c>
      <c r="G2174">
        <v>4.5</v>
      </c>
      <c r="H2174" t="s">
        <v>3519</v>
      </c>
      <c r="I2174" t="s">
        <v>214</v>
      </c>
      <c r="J2174" s="1" t="s">
        <v>215</v>
      </c>
      <c r="K2174" t="s">
        <v>181</v>
      </c>
      <c r="L2174" t="s">
        <v>3340</v>
      </c>
      <c r="M2174">
        <v>58</v>
      </c>
      <c r="N2174">
        <v>0.73</v>
      </c>
      <c r="O2174" t="s">
        <v>211</v>
      </c>
      <c r="P2174">
        <v>40</v>
      </c>
      <c r="R2174" t="s">
        <v>3343</v>
      </c>
      <c r="T2174" t="s">
        <v>3337</v>
      </c>
      <c r="U2174">
        <v>28</v>
      </c>
      <c r="V2174" t="s">
        <v>4021</v>
      </c>
    </row>
    <row r="2175" spans="1:22" ht="12.75" customHeight="1" x14ac:dyDescent="0.15">
      <c r="A2175">
        <v>22</v>
      </c>
      <c r="B2175">
        <v>2026</v>
      </c>
      <c r="C2175" s="21">
        <v>46171</v>
      </c>
      <c r="D2175" t="s">
        <v>96</v>
      </c>
      <c r="E2175" t="s">
        <v>97</v>
      </c>
      <c r="F2175" t="s">
        <v>21</v>
      </c>
      <c r="G2175">
        <v>4.5</v>
      </c>
      <c r="H2175" t="s">
        <v>3519</v>
      </c>
      <c r="I2175" t="s">
        <v>214</v>
      </c>
      <c r="J2175" s="1" t="s">
        <v>215</v>
      </c>
      <c r="K2175" t="s">
        <v>181</v>
      </c>
      <c r="L2175" t="s">
        <v>3340</v>
      </c>
      <c r="M2175">
        <v>81</v>
      </c>
      <c r="N2175">
        <v>0.73</v>
      </c>
      <c r="O2175" t="s">
        <v>211</v>
      </c>
      <c r="P2175">
        <v>40</v>
      </c>
      <c r="R2175" t="s">
        <v>3374</v>
      </c>
      <c r="T2175" t="s">
        <v>3337</v>
      </c>
      <c r="U2175">
        <v>28</v>
      </c>
      <c r="V2175" t="s">
        <v>4021</v>
      </c>
    </row>
    <row r="2176" spans="1:22" ht="12.75" customHeight="1" x14ac:dyDescent="0.15">
      <c r="A2176">
        <v>22</v>
      </c>
      <c r="B2176">
        <v>2026</v>
      </c>
      <c r="C2176" s="21">
        <v>46171</v>
      </c>
      <c r="D2176" t="s">
        <v>19</v>
      </c>
      <c r="E2176" t="s">
        <v>20</v>
      </c>
      <c r="F2176" t="s">
        <v>21</v>
      </c>
      <c r="G2176">
        <v>3.8</v>
      </c>
      <c r="H2176" t="s">
        <v>3519</v>
      </c>
      <c r="I2176" t="s">
        <v>214</v>
      </c>
      <c r="J2176" s="1" t="s">
        <v>215</v>
      </c>
      <c r="K2176" t="s">
        <v>181</v>
      </c>
      <c r="L2176" t="s">
        <v>3340</v>
      </c>
      <c r="M2176">
        <v>62</v>
      </c>
      <c r="N2176">
        <v>0.12</v>
      </c>
      <c r="O2176" t="s">
        <v>211</v>
      </c>
      <c r="P2176">
        <v>6.7</v>
      </c>
      <c r="R2176" t="s">
        <v>3375</v>
      </c>
      <c r="S2176" t="s">
        <v>4118</v>
      </c>
      <c r="T2176" t="s">
        <v>3337</v>
      </c>
      <c r="U2176">
        <v>171</v>
      </c>
      <c r="V2176" t="s">
        <v>3999</v>
      </c>
    </row>
    <row r="2177" spans="1:22" ht="12.75" customHeight="1" x14ac:dyDescent="0.15">
      <c r="A2177">
        <v>22</v>
      </c>
      <c r="B2177">
        <v>2026</v>
      </c>
      <c r="C2177" s="21">
        <v>46171</v>
      </c>
      <c r="D2177" t="s">
        <v>19</v>
      </c>
      <c r="E2177" t="s">
        <v>20</v>
      </c>
      <c r="F2177" t="s">
        <v>21</v>
      </c>
      <c r="G2177">
        <v>3.8</v>
      </c>
      <c r="H2177" t="s">
        <v>3519</v>
      </c>
      <c r="I2177" t="s">
        <v>214</v>
      </c>
      <c r="J2177" s="1" t="s">
        <v>215</v>
      </c>
      <c r="K2177" t="s">
        <v>181</v>
      </c>
      <c r="L2177" t="s">
        <v>3340</v>
      </c>
      <c r="M2177">
        <v>45</v>
      </c>
      <c r="N2177">
        <v>0.12</v>
      </c>
      <c r="O2177" t="s">
        <v>211</v>
      </c>
      <c r="P2177">
        <v>6.7</v>
      </c>
      <c r="R2177" t="s">
        <v>3377</v>
      </c>
      <c r="T2177" t="s">
        <v>3337</v>
      </c>
      <c r="U2177">
        <v>171</v>
      </c>
      <c r="V2177" t="s">
        <v>3999</v>
      </c>
    </row>
    <row r="2178" spans="1:22" ht="12.75" customHeight="1" x14ac:dyDescent="0.15">
      <c r="A2178">
        <v>22</v>
      </c>
      <c r="B2178">
        <v>2026</v>
      </c>
      <c r="C2178" s="21">
        <v>46171</v>
      </c>
      <c r="D2178" t="s">
        <v>19</v>
      </c>
      <c r="E2178" t="s">
        <v>20</v>
      </c>
      <c r="F2178" t="s">
        <v>21</v>
      </c>
      <c r="G2178">
        <v>3.8</v>
      </c>
      <c r="H2178" t="s">
        <v>3519</v>
      </c>
      <c r="I2178" t="s">
        <v>214</v>
      </c>
      <c r="J2178" s="1" t="s">
        <v>215</v>
      </c>
      <c r="K2178" t="s">
        <v>181</v>
      </c>
      <c r="L2178" t="s">
        <v>3340</v>
      </c>
      <c r="M2178">
        <v>53</v>
      </c>
      <c r="N2178">
        <v>0.12</v>
      </c>
      <c r="O2178" t="s">
        <v>211</v>
      </c>
      <c r="P2178">
        <v>6.7</v>
      </c>
      <c r="R2178" t="s">
        <v>3373</v>
      </c>
      <c r="T2178" t="s">
        <v>3337</v>
      </c>
      <c r="U2178">
        <v>171</v>
      </c>
      <c r="V2178" t="s">
        <v>3999</v>
      </c>
    </row>
    <row r="2179" spans="1:22" ht="12.75" customHeight="1" x14ac:dyDescent="0.15">
      <c r="A2179">
        <v>22</v>
      </c>
      <c r="B2179">
        <v>2026</v>
      </c>
      <c r="C2179" s="21">
        <v>46171</v>
      </c>
      <c r="D2179" t="s">
        <v>19</v>
      </c>
      <c r="E2179" t="s">
        <v>20</v>
      </c>
      <c r="F2179" t="s">
        <v>21</v>
      </c>
      <c r="G2179">
        <v>3.8</v>
      </c>
      <c r="H2179" t="s">
        <v>3519</v>
      </c>
      <c r="I2179" t="s">
        <v>214</v>
      </c>
      <c r="J2179" s="1" t="s">
        <v>215</v>
      </c>
      <c r="K2179" t="s">
        <v>181</v>
      </c>
      <c r="L2179" t="s">
        <v>3340</v>
      </c>
      <c r="M2179">
        <v>132</v>
      </c>
      <c r="N2179">
        <v>0.12</v>
      </c>
      <c r="O2179" t="s">
        <v>211</v>
      </c>
      <c r="P2179">
        <v>6.7</v>
      </c>
      <c r="R2179" t="s">
        <v>3368</v>
      </c>
      <c r="T2179" t="s">
        <v>3337</v>
      </c>
      <c r="U2179">
        <v>171</v>
      </c>
      <c r="V2179" t="s">
        <v>3999</v>
      </c>
    </row>
    <row r="2180" spans="1:22" ht="12.75" customHeight="1" x14ac:dyDescent="0.15">
      <c r="A2180">
        <v>22</v>
      </c>
      <c r="B2180">
        <v>2026</v>
      </c>
      <c r="C2180" s="21">
        <v>46171</v>
      </c>
      <c r="D2180" t="s">
        <v>19</v>
      </c>
      <c r="E2180" t="s">
        <v>20</v>
      </c>
      <c r="F2180" t="s">
        <v>21</v>
      </c>
      <c r="G2180">
        <v>3.8</v>
      </c>
      <c r="H2180" t="s">
        <v>3519</v>
      </c>
      <c r="I2180" t="s">
        <v>214</v>
      </c>
      <c r="J2180" s="1" t="s">
        <v>215</v>
      </c>
      <c r="K2180" t="s">
        <v>181</v>
      </c>
      <c r="L2180" t="s">
        <v>3340</v>
      </c>
      <c r="M2180">
        <v>58</v>
      </c>
      <c r="N2180">
        <v>0.12</v>
      </c>
      <c r="O2180" t="s">
        <v>211</v>
      </c>
      <c r="P2180">
        <v>6.7</v>
      </c>
      <c r="R2180" t="s">
        <v>3343</v>
      </c>
      <c r="T2180" t="s">
        <v>3337</v>
      </c>
      <c r="U2180">
        <v>171</v>
      </c>
      <c r="V2180" t="s">
        <v>3999</v>
      </c>
    </row>
    <row r="2181" spans="1:22" ht="12.75" customHeight="1" x14ac:dyDescent="0.15">
      <c r="A2181">
        <v>22</v>
      </c>
      <c r="B2181">
        <v>2026</v>
      </c>
      <c r="C2181" s="21">
        <v>46171</v>
      </c>
      <c r="D2181" t="s">
        <v>19</v>
      </c>
      <c r="E2181" t="s">
        <v>20</v>
      </c>
      <c r="F2181" t="s">
        <v>21</v>
      </c>
      <c r="G2181">
        <v>3.8</v>
      </c>
      <c r="H2181" t="s">
        <v>3519</v>
      </c>
      <c r="I2181" t="s">
        <v>214</v>
      </c>
      <c r="J2181" s="1" t="s">
        <v>215</v>
      </c>
      <c r="K2181" t="s">
        <v>181</v>
      </c>
      <c r="L2181" t="s">
        <v>3340</v>
      </c>
      <c r="M2181">
        <v>81</v>
      </c>
      <c r="N2181">
        <v>0.12</v>
      </c>
      <c r="O2181" t="s">
        <v>211</v>
      </c>
      <c r="P2181">
        <v>6.7</v>
      </c>
      <c r="R2181" t="s">
        <v>3374</v>
      </c>
      <c r="T2181" t="s">
        <v>3337</v>
      </c>
      <c r="U2181">
        <v>171</v>
      </c>
      <c r="V2181" t="s">
        <v>3999</v>
      </c>
    </row>
    <row r="2182" spans="1:22" ht="12.75" customHeight="1" x14ac:dyDescent="0.15">
      <c r="A2182">
        <v>22</v>
      </c>
      <c r="B2182">
        <v>2026</v>
      </c>
      <c r="C2182" s="21">
        <v>46171</v>
      </c>
      <c r="D2182" t="s">
        <v>101</v>
      </c>
      <c r="E2182" t="s">
        <v>102</v>
      </c>
      <c r="F2182" t="s">
        <v>75</v>
      </c>
      <c r="G2182">
        <v>7.6</v>
      </c>
      <c r="H2182" t="s">
        <v>3400</v>
      </c>
      <c r="I2182" t="s">
        <v>353</v>
      </c>
      <c r="J2182" s="1" t="s">
        <v>253</v>
      </c>
      <c r="K2182" t="s">
        <v>181</v>
      </c>
      <c r="L2182" t="s">
        <v>3333</v>
      </c>
      <c r="M2182">
        <v>2</v>
      </c>
      <c r="N2182">
        <v>1</v>
      </c>
      <c r="O2182" t="s">
        <v>3440</v>
      </c>
      <c r="P2182">
        <v>90.49</v>
      </c>
      <c r="Q2182">
        <v>8</v>
      </c>
      <c r="R2182" t="s">
        <v>3424</v>
      </c>
      <c r="T2182" t="s">
        <v>3337</v>
      </c>
      <c r="U2182">
        <v>31</v>
      </c>
      <c r="V2182" t="s">
        <v>3982</v>
      </c>
    </row>
    <row r="2183" spans="1:22" ht="12.75" customHeight="1" x14ac:dyDescent="0.15">
      <c r="A2183">
        <v>22</v>
      </c>
      <c r="B2183">
        <v>2026</v>
      </c>
      <c r="C2183" s="21">
        <v>46171</v>
      </c>
      <c r="D2183" t="s">
        <v>101</v>
      </c>
      <c r="E2183" t="s">
        <v>102</v>
      </c>
      <c r="F2183" t="s">
        <v>75</v>
      </c>
      <c r="G2183">
        <v>7.6</v>
      </c>
      <c r="H2183" t="s">
        <v>3400</v>
      </c>
      <c r="I2183" t="s">
        <v>353</v>
      </c>
      <c r="J2183" s="1" t="s">
        <v>253</v>
      </c>
      <c r="K2183" t="s">
        <v>181</v>
      </c>
      <c r="L2183" t="s">
        <v>3340</v>
      </c>
      <c r="M2183">
        <v>25</v>
      </c>
      <c r="N2183">
        <v>1</v>
      </c>
      <c r="O2183" t="s">
        <v>211</v>
      </c>
      <c r="P2183">
        <v>55</v>
      </c>
      <c r="R2183" t="s">
        <v>3413</v>
      </c>
      <c r="T2183" t="s">
        <v>3337</v>
      </c>
      <c r="U2183">
        <v>31</v>
      </c>
      <c r="V2183" t="s">
        <v>4088</v>
      </c>
    </row>
    <row r="2184" spans="1:22" ht="12.75" customHeight="1" x14ac:dyDescent="0.15">
      <c r="A2184">
        <v>22</v>
      </c>
      <c r="B2184">
        <v>2026</v>
      </c>
      <c r="C2184" s="21">
        <v>46171</v>
      </c>
      <c r="D2184" t="s">
        <v>101</v>
      </c>
      <c r="E2184" t="s">
        <v>102</v>
      </c>
      <c r="F2184" t="s">
        <v>75</v>
      </c>
      <c r="G2184">
        <v>7.6</v>
      </c>
      <c r="H2184" t="s">
        <v>3953</v>
      </c>
      <c r="I2184" t="s">
        <v>3954</v>
      </c>
      <c r="J2184" s="1" t="s">
        <v>253</v>
      </c>
      <c r="K2184" t="s">
        <v>181</v>
      </c>
      <c r="L2184" t="s">
        <v>3333</v>
      </c>
      <c r="M2184">
        <v>1</v>
      </c>
      <c r="N2184">
        <v>1</v>
      </c>
      <c r="O2184" t="s">
        <v>3358</v>
      </c>
      <c r="P2184">
        <v>71.86</v>
      </c>
      <c r="Q2184">
        <v>8</v>
      </c>
      <c r="R2184" t="s">
        <v>3359</v>
      </c>
      <c r="T2184" t="s">
        <v>3337</v>
      </c>
      <c r="U2184">
        <v>31</v>
      </c>
      <c r="V2184" t="s">
        <v>3545</v>
      </c>
    </row>
    <row r="2185" spans="1:22" ht="12.75" customHeight="1" x14ac:dyDescent="0.15">
      <c r="A2185">
        <v>22</v>
      </c>
      <c r="B2185">
        <v>2026</v>
      </c>
      <c r="C2185" s="21">
        <v>46171</v>
      </c>
      <c r="D2185" t="s">
        <v>101</v>
      </c>
      <c r="E2185" t="s">
        <v>102</v>
      </c>
      <c r="F2185" t="s">
        <v>75</v>
      </c>
      <c r="G2185">
        <v>7.6</v>
      </c>
      <c r="H2185" t="s">
        <v>3953</v>
      </c>
      <c r="I2185" t="s">
        <v>3954</v>
      </c>
      <c r="J2185" s="1" t="s">
        <v>253</v>
      </c>
      <c r="K2185" t="s">
        <v>181</v>
      </c>
      <c r="L2185" t="s">
        <v>3333</v>
      </c>
      <c r="M2185">
        <v>6</v>
      </c>
      <c r="N2185">
        <v>1</v>
      </c>
      <c r="O2185" t="s">
        <v>3334</v>
      </c>
      <c r="P2185">
        <v>81.58</v>
      </c>
      <c r="Q2185">
        <v>8</v>
      </c>
      <c r="R2185" t="s">
        <v>3335</v>
      </c>
      <c r="T2185" t="s">
        <v>3337</v>
      </c>
      <c r="U2185">
        <v>31</v>
      </c>
      <c r="V2185" t="s">
        <v>3338</v>
      </c>
    </row>
    <row r="2186" spans="1:22" ht="12.75" customHeight="1" x14ac:dyDescent="0.15">
      <c r="A2186">
        <v>22</v>
      </c>
      <c r="B2186">
        <v>2026</v>
      </c>
      <c r="C2186" s="21">
        <v>46171</v>
      </c>
      <c r="D2186" t="s">
        <v>96</v>
      </c>
      <c r="E2186" t="s">
        <v>97</v>
      </c>
      <c r="F2186" t="s">
        <v>21</v>
      </c>
      <c r="G2186">
        <v>4.5</v>
      </c>
      <c r="H2186" t="s">
        <v>3653</v>
      </c>
      <c r="I2186" t="s">
        <v>3566</v>
      </c>
      <c r="J2186" s="1" t="s">
        <v>3389</v>
      </c>
      <c r="K2186" t="s">
        <v>181</v>
      </c>
      <c r="L2186" t="s">
        <v>3333</v>
      </c>
      <c r="M2186">
        <v>11</v>
      </c>
      <c r="N2186">
        <v>0.63</v>
      </c>
      <c r="O2186" t="s">
        <v>213</v>
      </c>
      <c r="P2186">
        <v>56.25</v>
      </c>
      <c r="Q2186">
        <v>5</v>
      </c>
      <c r="R2186" t="s">
        <v>3564</v>
      </c>
      <c r="T2186" t="s">
        <v>3402</v>
      </c>
      <c r="U2186">
        <v>28</v>
      </c>
      <c r="V2186" t="s">
        <v>3610</v>
      </c>
    </row>
    <row r="2187" spans="1:22" ht="12.75" customHeight="1" x14ac:dyDescent="0.15">
      <c r="A2187">
        <v>22</v>
      </c>
      <c r="B2187">
        <v>2026</v>
      </c>
      <c r="C2187" s="21">
        <v>46171</v>
      </c>
      <c r="D2187" t="s">
        <v>96</v>
      </c>
      <c r="E2187" t="s">
        <v>97</v>
      </c>
      <c r="F2187" t="s">
        <v>21</v>
      </c>
      <c r="G2187">
        <v>4.5</v>
      </c>
      <c r="H2187" t="s">
        <v>3878</v>
      </c>
      <c r="I2187" t="s">
        <v>3566</v>
      </c>
      <c r="J2187" s="1" t="s">
        <v>3389</v>
      </c>
      <c r="K2187" t="s">
        <v>2666</v>
      </c>
      <c r="L2187" t="s">
        <v>3340</v>
      </c>
      <c r="N2187">
        <v>1.9</v>
      </c>
      <c r="O2187" t="s">
        <v>3501</v>
      </c>
      <c r="P2187">
        <v>40.56</v>
      </c>
      <c r="Q2187">
        <v>5</v>
      </c>
      <c r="T2187" t="s">
        <v>3402</v>
      </c>
      <c r="U2187">
        <v>28</v>
      </c>
      <c r="V2187" t="s">
        <v>4179</v>
      </c>
    </row>
    <row r="2188" spans="1:22" ht="12.75" customHeight="1" x14ac:dyDescent="0.15">
      <c r="A2188">
        <v>22</v>
      </c>
      <c r="B2188">
        <v>2026</v>
      </c>
      <c r="C2188" s="21">
        <v>46171</v>
      </c>
      <c r="D2188" t="s">
        <v>68</v>
      </c>
      <c r="E2188" t="s">
        <v>69</v>
      </c>
      <c r="F2188" t="s">
        <v>21</v>
      </c>
      <c r="G2188">
        <v>1</v>
      </c>
      <c r="H2188" t="s">
        <v>3605</v>
      </c>
      <c r="I2188" t="s">
        <v>335</v>
      </c>
      <c r="J2188" s="1" t="s">
        <v>3533</v>
      </c>
      <c r="K2188" t="s">
        <v>181</v>
      </c>
      <c r="L2188" t="s">
        <v>3333</v>
      </c>
      <c r="M2188">
        <v>4</v>
      </c>
      <c r="N2188">
        <v>0.38</v>
      </c>
      <c r="O2188" t="s">
        <v>3334</v>
      </c>
      <c r="P2188">
        <v>30.59</v>
      </c>
      <c r="Q2188">
        <v>3</v>
      </c>
      <c r="R2188" t="s">
        <v>3773</v>
      </c>
      <c r="T2188" t="s">
        <v>3402</v>
      </c>
      <c r="U2188">
        <v>57</v>
      </c>
      <c r="V2188" t="s">
        <v>3491</v>
      </c>
    </row>
    <row r="2189" spans="1:22" ht="12.75" customHeight="1" x14ac:dyDescent="0.15">
      <c r="A2189">
        <v>22</v>
      </c>
      <c r="B2189">
        <v>2026</v>
      </c>
      <c r="C2189" s="21">
        <v>46171</v>
      </c>
      <c r="D2189" t="s">
        <v>101</v>
      </c>
      <c r="E2189" t="s">
        <v>102</v>
      </c>
      <c r="F2189" t="s">
        <v>75</v>
      </c>
      <c r="G2189">
        <v>7.6</v>
      </c>
      <c r="H2189" t="s">
        <v>3391</v>
      </c>
      <c r="I2189" t="s">
        <v>353</v>
      </c>
      <c r="J2189" s="1" t="s">
        <v>253</v>
      </c>
      <c r="K2189" t="s">
        <v>181</v>
      </c>
      <c r="L2189" t="s">
        <v>3333</v>
      </c>
      <c r="M2189">
        <v>67</v>
      </c>
      <c r="N2189">
        <v>0.75</v>
      </c>
      <c r="O2189" t="s">
        <v>3334</v>
      </c>
      <c r="P2189">
        <v>61.19</v>
      </c>
      <c r="Q2189">
        <v>6</v>
      </c>
      <c r="R2189" t="s">
        <v>3404</v>
      </c>
      <c r="T2189" t="s">
        <v>3402</v>
      </c>
      <c r="U2189">
        <v>31</v>
      </c>
      <c r="V2189" t="s">
        <v>3354</v>
      </c>
    </row>
    <row r="2190" spans="1:22" ht="12.75" customHeight="1" x14ac:dyDescent="0.15">
      <c r="A2190">
        <v>22</v>
      </c>
      <c r="B2190">
        <v>2026</v>
      </c>
      <c r="C2190" s="21">
        <v>46171</v>
      </c>
      <c r="D2190" t="s">
        <v>101</v>
      </c>
      <c r="E2190" t="s">
        <v>102</v>
      </c>
      <c r="F2190" t="s">
        <v>75</v>
      </c>
      <c r="G2190">
        <v>7.6</v>
      </c>
      <c r="H2190" t="s">
        <v>3391</v>
      </c>
      <c r="I2190" t="s">
        <v>353</v>
      </c>
      <c r="J2190" s="1" t="s">
        <v>253</v>
      </c>
      <c r="K2190" t="s">
        <v>181</v>
      </c>
      <c r="L2190" t="s">
        <v>3333</v>
      </c>
      <c r="M2190">
        <v>19</v>
      </c>
      <c r="N2190">
        <v>0.75</v>
      </c>
      <c r="O2190" t="s">
        <v>3334</v>
      </c>
      <c r="P2190">
        <v>61.19</v>
      </c>
      <c r="Q2190">
        <v>6</v>
      </c>
      <c r="R2190" t="s">
        <v>3403</v>
      </c>
      <c r="T2190" t="s">
        <v>3402</v>
      </c>
      <c r="U2190">
        <v>31</v>
      </c>
      <c r="V2190" t="s">
        <v>3354</v>
      </c>
    </row>
    <row r="2191" spans="1:22" ht="12.75" customHeight="1" x14ac:dyDescent="0.15">
      <c r="A2191">
        <v>22</v>
      </c>
      <c r="B2191">
        <v>2026</v>
      </c>
      <c r="C2191" s="21">
        <v>46171</v>
      </c>
      <c r="D2191" t="s">
        <v>101</v>
      </c>
      <c r="E2191" t="s">
        <v>102</v>
      </c>
      <c r="F2191" t="s">
        <v>75</v>
      </c>
      <c r="G2191">
        <v>7.6</v>
      </c>
      <c r="H2191" t="s">
        <v>3391</v>
      </c>
      <c r="I2191" t="s">
        <v>353</v>
      </c>
      <c r="J2191" s="1" t="s">
        <v>253</v>
      </c>
      <c r="K2191" t="s">
        <v>181</v>
      </c>
      <c r="L2191" t="s">
        <v>3340</v>
      </c>
      <c r="M2191">
        <v>78</v>
      </c>
      <c r="N2191">
        <v>0.98</v>
      </c>
      <c r="O2191" t="s">
        <v>211</v>
      </c>
      <c r="P2191">
        <v>54</v>
      </c>
      <c r="Q2191">
        <v>6</v>
      </c>
      <c r="R2191" t="s">
        <v>3341</v>
      </c>
      <c r="S2191" t="s">
        <v>4120</v>
      </c>
      <c r="T2191" t="s">
        <v>3402</v>
      </c>
      <c r="U2191">
        <v>31</v>
      </c>
      <c r="V2191" t="s">
        <v>3405</v>
      </c>
    </row>
    <row r="2192" spans="1:22" ht="12.75" customHeight="1" x14ac:dyDescent="0.15">
      <c r="A2192">
        <v>22</v>
      </c>
      <c r="B2192">
        <v>2026</v>
      </c>
      <c r="C2192" s="21">
        <v>46171</v>
      </c>
      <c r="D2192" t="s">
        <v>68</v>
      </c>
      <c r="E2192" t="s">
        <v>69</v>
      </c>
      <c r="F2192" t="s">
        <v>21</v>
      </c>
      <c r="G2192">
        <v>1</v>
      </c>
      <c r="H2192" t="s">
        <v>3845</v>
      </c>
      <c r="I2192" t="s">
        <v>380</v>
      </c>
      <c r="J2192" s="1" t="s">
        <v>3533</v>
      </c>
      <c r="K2192" t="s">
        <v>181</v>
      </c>
      <c r="L2192" t="s">
        <v>3333</v>
      </c>
      <c r="M2192">
        <v>3</v>
      </c>
      <c r="N2192">
        <v>0.63</v>
      </c>
      <c r="O2192" t="s">
        <v>3334</v>
      </c>
      <c r="P2192">
        <v>50.99</v>
      </c>
      <c r="Q2192">
        <v>5</v>
      </c>
      <c r="R2192" t="s">
        <v>3478</v>
      </c>
      <c r="T2192" t="s">
        <v>3402</v>
      </c>
      <c r="U2192">
        <v>57</v>
      </c>
      <c r="V2192" t="s">
        <v>3574</v>
      </c>
    </row>
    <row r="2193" spans="1:22" ht="15" customHeight="1" x14ac:dyDescent="0.2">
      <c r="A2193">
        <v>22</v>
      </c>
      <c r="B2193">
        <v>2026</v>
      </c>
      <c r="C2193" s="21">
        <v>46171</v>
      </c>
      <c r="D2193" t="s">
        <v>4180</v>
      </c>
      <c r="E2193" s="27" t="s">
        <v>136</v>
      </c>
      <c r="F2193" t="s">
        <v>75</v>
      </c>
      <c r="G2193">
        <v>0.1</v>
      </c>
      <c r="H2193" t="s">
        <v>4135</v>
      </c>
      <c r="I2193" t="s">
        <v>4136</v>
      </c>
      <c r="J2193" s="1" t="s">
        <v>3533</v>
      </c>
      <c r="K2193" t="s">
        <v>181</v>
      </c>
      <c r="L2193" t="s">
        <v>3333</v>
      </c>
      <c r="M2193">
        <v>3</v>
      </c>
      <c r="N2193">
        <v>0.38</v>
      </c>
      <c r="O2193" t="s">
        <v>3334</v>
      </c>
      <c r="P2193">
        <v>30.59</v>
      </c>
      <c r="Q2193">
        <v>3</v>
      </c>
      <c r="R2193" t="s">
        <v>3478</v>
      </c>
      <c r="T2193" t="s">
        <v>3402</v>
      </c>
      <c r="U2193">
        <v>473</v>
      </c>
      <c r="V2193" t="s">
        <v>4181</v>
      </c>
    </row>
    <row r="2194" spans="1:22" ht="12.75" customHeight="1" x14ac:dyDescent="0.15">
      <c r="A2194">
        <v>22</v>
      </c>
      <c r="B2194">
        <v>2026</v>
      </c>
      <c r="C2194" s="21">
        <v>46171</v>
      </c>
      <c r="D2194" t="s">
        <v>101</v>
      </c>
      <c r="E2194" t="s">
        <v>102</v>
      </c>
      <c r="F2194" t="s">
        <v>75</v>
      </c>
      <c r="G2194">
        <v>7.6</v>
      </c>
      <c r="H2194" t="s">
        <v>3391</v>
      </c>
      <c r="I2194" t="s">
        <v>353</v>
      </c>
      <c r="J2194" s="1" t="s">
        <v>253</v>
      </c>
      <c r="K2194" t="s">
        <v>181</v>
      </c>
      <c r="L2194" t="s">
        <v>3587</v>
      </c>
      <c r="M2194">
        <v>120</v>
      </c>
      <c r="N2194">
        <v>7</v>
      </c>
      <c r="O2194" t="s">
        <v>211</v>
      </c>
      <c r="P2194">
        <v>385</v>
      </c>
      <c r="Q2194">
        <v>7</v>
      </c>
      <c r="R2194" t="s">
        <v>3415</v>
      </c>
      <c r="T2194" t="s">
        <v>3402</v>
      </c>
      <c r="U2194">
        <v>31</v>
      </c>
      <c r="V2194" t="s">
        <v>4042</v>
      </c>
    </row>
    <row r="2195" spans="1:22" ht="12.75" customHeight="1" x14ac:dyDescent="0.15">
      <c r="A2195">
        <v>22</v>
      </c>
      <c r="B2195">
        <v>2026</v>
      </c>
      <c r="C2195" s="21">
        <v>46172</v>
      </c>
      <c r="D2195" t="s">
        <v>19</v>
      </c>
      <c r="E2195" t="s">
        <v>20</v>
      </c>
      <c r="F2195" t="s">
        <v>21</v>
      </c>
      <c r="G2195">
        <v>3.8</v>
      </c>
      <c r="H2195" t="s">
        <v>4121</v>
      </c>
      <c r="I2195" t="s">
        <v>4122</v>
      </c>
      <c r="J2195" s="1" t="s">
        <v>307</v>
      </c>
      <c r="K2195" t="s">
        <v>181</v>
      </c>
      <c r="L2195" t="s">
        <v>3340</v>
      </c>
      <c r="M2195">
        <v>62</v>
      </c>
      <c r="N2195">
        <v>0.95</v>
      </c>
      <c r="O2195" t="s">
        <v>211</v>
      </c>
      <c r="P2195">
        <v>52.25</v>
      </c>
      <c r="R2195" t="s">
        <v>3375</v>
      </c>
      <c r="T2195" t="s">
        <v>3337</v>
      </c>
      <c r="U2195">
        <v>172</v>
      </c>
      <c r="V2195" t="s">
        <v>4123</v>
      </c>
    </row>
    <row r="2196" spans="1:22" ht="12.75" customHeight="1" x14ac:dyDescent="0.15">
      <c r="A2196">
        <v>22</v>
      </c>
      <c r="B2196">
        <v>2026</v>
      </c>
      <c r="C2196" s="21">
        <v>46172</v>
      </c>
      <c r="D2196" t="s">
        <v>19</v>
      </c>
      <c r="E2196" t="s">
        <v>20</v>
      </c>
      <c r="F2196" t="s">
        <v>21</v>
      </c>
      <c r="G2196">
        <v>3.8</v>
      </c>
      <c r="H2196" t="s">
        <v>4121</v>
      </c>
      <c r="I2196" t="s">
        <v>4122</v>
      </c>
      <c r="J2196" s="1" t="s">
        <v>307</v>
      </c>
      <c r="K2196" t="s">
        <v>181</v>
      </c>
      <c r="L2196" t="s">
        <v>3340</v>
      </c>
      <c r="M2196">
        <v>53</v>
      </c>
      <c r="N2196">
        <v>0.95</v>
      </c>
      <c r="O2196" t="s">
        <v>211</v>
      </c>
      <c r="P2196">
        <v>52.25</v>
      </c>
      <c r="R2196" t="s">
        <v>3373</v>
      </c>
      <c r="T2196" t="s">
        <v>3337</v>
      </c>
      <c r="U2196">
        <v>172</v>
      </c>
      <c r="V2196" t="s">
        <v>4123</v>
      </c>
    </row>
    <row r="2197" spans="1:22" ht="12.75" customHeight="1" x14ac:dyDescent="0.15">
      <c r="A2197">
        <v>22</v>
      </c>
      <c r="B2197">
        <v>2026</v>
      </c>
      <c r="C2197" s="21">
        <v>46172</v>
      </c>
      <c r="D2197" t="s">
        <v>19</v>
      </c>
      <c r="E2197" t="s">
        <v>20</v>
      </c>
      <c r="F2197" t="s">
        <v>21</v>
      </c>
      <c r="G2197">
        <v>3.8</v>
      </c>
      <c r="H2197" t="s">
        <v>4121</v>
      </c>
      <c r="I2197" t="s">
        <v>4122</v>
      </c>
      <c r="J2197" s="1" t="s">
        <v>307</v>
      </c>
      <c r="K2197" t="s">
        <v>181</v>
      </c>
      <c r="L2197" t="s">
        <v>3340</v>
      </c>
      <c r="M2197">
        <v>132</v>
      </c>
      <c r="N2197">
        <v>0.2</v>
      </c>
      <c r="O2197" t="s">
        <v>211</v>
      </c>
      <c r="P2197">
        <v>11</v>
      </c>
      <c r="R2197" t="s">
        <v>3368</v>
      </c>
      <c r="S2197" t="s">
        <v>4124</v>
      </c>
      <c r="T2197" t="s">
        <v>3337</v>
      </c>
      <c r="U2197">
        <v>172</v>
      </c>
      <c r="V2197" t="s">
        <v>4125</v>
      </c>
    </row>
    <row r="2198" spans="1:22" ht="12.75" customHeight="1" x14ac:dyDescent="0.15">
      <c r="A2198">
        <v>22</v>
      </c>
      <c r="B2198">
        <v>2026</v>
      </c>
      <c r="C2198" s="21">
        <v>46172</v>
      </c>
      <c r="D2198" t="s">
        <v>19</v>
      </c>
      <c r="E2198" t="s">
        <v>20</v>
      </c>
      <c r="F2198" t="s">
        <v>21</v>
      </c>
      <c r="G2198">
        <v>3.8</v>
      </c>
      <c r="H2198" t="s">
        <v>4121</v>
      </c>
      <c r="I2198" t="s">
        <v>4122</v>
      </c>
      <c r="J2198" s="1" t="s">
        <v>307</v>
      </c>
      <c r="K2198" t="s">
        <v>181</v>
      </c>
      <c r="L2198" t="s">
        <v>3340</v>
      </c>
      <c r="M2198">
        <v>58</v>
      </c>
      <c r="N2198">
        <v>0.95</v>
      </c>
      <c r="O2198" t="s">
        <v>211</v>
      </c>
      <c r="P2198">
        <v>52.25</v>
      </c>
      <c r="R2198" t="s">
        <v>3343</v>
      </c>
      <c r="T2198" t="s">
        <v>3337</v>
      </c>
      <c r="U2198">
        <v>172</v>
      </c>
      <c r="V2198" t="s">
        <v>4123</v>
      </c>
    </row>
    <row r="2199" spans="1:22" ht="12.75" customHeight="1" x14ac:dyDescent="0.15">
      <c r="A2199">
        <v>22</v>
      </c>
      <c r="B2199">
        <v>2026</v>
      </c>
      <c r="C2199" s="21">
        <v>46172</v>
      </c>
      <c r="D2199" t="s">
        <v>19</v>
      </c>
      <c r="E2199" t="s">
        <v>20</v>
      </c>
      <c r="F2199" t="s">
        <v>21</v>
      </c>
      <c r="G2199">
        <v>3.8</v>
      </c>
      <c r="H2199" t="s">
        <v>4121</v>
      </c>
      <c r="I2199" t="s">
        <v>4122</v>
      </c>
      <c r="J2199" s="1" t="s">
        <v>307</v>
      </c>
      <c r="K2199" t="s">
        <v>181</v>
      </c>
      <c r="L2199" t="s">
        <v>3340</v>
      </c>
      <c r="M2199">
        <v>81</v>
      </c>
      <c r="N2199">
        <v>0.95</v>
      </c>
      <c r="O2199" t="s">
        <v>211</v>
      </c>
      <c r="P2199">
        <v>52.25</v>
      </c>
      <c r="R2199" t="s">
        <v>3374</v>
      </c>
      <c r="T2199" t="s">
        <v>3337</v>
      </c>
      <c r="U2199">
        <v>172</v>
      </c>
      <c r="V2199" t="s">
        <v>4123</v>
      </c>
    </row>
    <row r="2200" spans="1:22" ht="12.75" customHeight="1" x14ac:dyDescent="0.15">
      <c r="A2200">
        <v>22</v>
      </c>
      <c r="B2200">
        <v>2026</v>
      </c>
      <c r="C2200" s="21">
        <v>46172</v>
      </c>
      <c r="D2200" t="s">
        <v>101</v>
      </c>
      <c r="E2200" t="s">
        <v>102</v>
      </c>
      <c r="F2200" t="s">
        <v>75</v>
      </c>
      <c r="G2200">
        <v>7.6</v>
      </c>
      <c r="H2200" t="s">
        <v>3400</v>
      </c>
      <c r="I2200" t="s">
        <v>353</v>
      </c>
      <c r="J2200" s="1" t="s">
        <v>253</v>
      </c>
      <c r="K2200" t="s">
        <v>181</v>
      </c>
      <c r="L2200" t="s">
        <v>3333</v>
      </c>
      <c r="M2200">
        <v>2</v>
      </c>
      <c r="N2200">
        <v>1</v>
      </c>
      <c r="O2200" t="s">
        <v>3440</v>
      </c>
      <c r="P2200">
        <v>90.49</v>
      </c>
      <c r="Q2200">
        <v>8</v>
      </c>
      <c r="R2200" t="s">
        <v>3424</v>
      </c>
      <c r="T2200" t="s">
        <v>3337</v>
      </c>
      <c r="U2200">
        <v>32</v>
      </c>
      <c r="V2200" t="s">
        <v>3982</v>
      </c>
    </row>
    <row r="2201" spans="1:22" ht="12.75" customHeight="1" x14ac:dyDescent="0.15">
      <c r="A2201">
        <v>22</v>
      </c>
      <c r="B2201">
        <v>2026</v>
      </c>
      <c r="C2201" s="21">
        <v>46172</v>
      </c>
      <c r="D2201" t="s">
        <v>101</v>
      </c>
      <c r="E2201" t="s">
        <v>102</v>
      </c>
      <c r="F2201" t="s">
        <v>75</v>
      </c>
      <c r="G2201">
        <v>7.6</v>
      </c>
      <c r="H2201" t="s">
        <v>3400</v>
      </c>
      <c r="I2201" t="s">
        <v>353</v>
      </c>
      <c r="J2201" s="1" t="s">
        <v>253</v>
      </c>
      <c r="K2201" t="s">
        <v>181</v>
      </c>
      <c r="L2201" t="s">
        <v>3340</v>
      </c>
      <c r="M2201">
        <v>25</v>
      </c>
      <c r="N2201">
        <v>1</v>
      </c>
      <c r="O2201" t="s">
        <v>211</v>
      </c>
      <c r="P2201">
        <v>55</v>
      </c>
      <c r="R2201" t="s">
        <v>3413</v>
      </c>
      <c r="T2201" t="s">
        <v>3337</v>
      </c>
      <c r="U2201">
        <v>32</v>
      </c>
      <c r="V2201" t="s">
        <v>4088</v>
      </c>
    </row>
    <row r="2202" spans="1:22" ht="12.75" customHeight="1" x14ac:dyDescent="0.15">
      <c r="A2202">
        <v>22</v>
      </c>
      <c r="B2202">
        <v>2026</v>
      </c>
      <c r="C2202" s="21">
        <v>46172</v>
      </c>
      <c r="D2202" t="s">
        <v>101</v>
      </c>
      <c r="E2202" t="s">
        <v>102</v>
      </c>
      <c r="F2202" t="s">
        <v>75</v>
      </c>
      <c r="G2202">
        <v>7.6</v>
      </c>
      <c r="H2202" t="s">
        <v>3953</v>
      </c>
      <c r="I2202" t="s">
        <v>3954</v>
      </c>
      <c r="J2202" s="1" t="s">
        <v>253</v>
      </c>
      <c r="K2202" t="s">
        <v>181</v>
      </c>
      <c r="L2202" t="s">
        <v>3333</v>
      </c>
      <c r="M2202">
        <v>1</v>
      </c>
      <c r="N2202">
        <v>1</v>
      </c>
      <c r="O2202" t="s">
        <v>3358</v>
      </c>
      <c r="P2202">
        <v>71.86</v>
      </c>
      <c r="Q2202">
        <v>8</v>
      </c>
      <c r="R2202" t="s">
        <v>3359</v>
      </c>
      <c r="T2202" t="s">
        <v>3337</v>
      </c>
      <c r="U2202">
        <v>32</v>
      </c>
      <c r="V2202" t="s">
        <v>3545</v>
      </c>
    </row>
    <row r="2203" spans="1:22" ht="12.75" customHeight="1" x14ac:dyDescent="0.15">
      <c r="A2203">
        <v>22</v>
      </c>
      <c r="B2203">
        <v>2026</v>
      </c>
      <c r="C2203" s="21">
        <v>46172</v>
      </c>
      <c r="D2203" t="s">
        <v>101</v>
      </c>
      <c r="E2203" t="s">
        <v>102</v>
      </c>
      <c r="F2203" t="s">
        <v>75</v>
      </c>
      <c r="G2203">
        <v>7.6</v>
      </c>
      <c r="H2203" t="s">
        <v>3953</v>
      </c>
      <c r="I2203" t="s">
        <v>3954</v>
      </c>
      <c r="J2203" s="1" t="s">
        <v>253</v>
      </c>
      <c r="K2203" t="s">
        <v>181</v>
      </c>
      <c r="L2203" t="s">
        <v>3333</v>
      </c>
      <c r="M2203">
        <v>6</v>
      </c>
      <c r="N2203">
        <v>1</v>
      </c>
      <c r="O2203" t="s">
        <v>3334</v>
      </c>
      <c r="P2203">
        <v>81.58</v>
      </c>
      <c r="Q2203">
        <v>8</v>
      </c>
      <c r="R2203" t="s">
        <v>3335</v>
      </c>
      <c r="T2203" t="s">
        <v>3337</v>
      </c>
      <c r="U2203">
        <v>32</v>
      </c>
      <c r="V2203" t="s">
        <v>3338</v>
      </c>
    </row>
    <row r="2204" spans="1:22" ht="12.75" customHeight="1" x14ac:dyDescent="0.15">
      <c r="A2204">
        <v>22</v>
      </c>
      <c r="B2204">
        <v>2026</v>
      </c>
      <c r="C2204" s="21">
        <v>46172</v>
      </c>
      <c r="D2204" t="s">
        <v>96</v>
      </c>
      <c r="E2204" t="s">
        <v>97</v>
      </c>
      <c r="F2204" t="s">
        <v>21</v>
      </c>
      <c r="G2204">
        <v>4.5</v>
      </c>
      <c r="H2204" t="s">
        <v>3653</v>
      </c>
      <c r="I2204" t="s">
        <v>3566</v>
      </c>
      <c r="J2204" s="1" t="s">
        <v>3389</v>
      </c>
      <c r="K2204" t="s">
        <v>181</v>
      </c>
      <c r="L2204" t="s">
        <v>3333</v>
      </c>
      <c r="M2204">
        <v>11</v>
      </c>
      <c r="N2204">
        <v>0.88</v>
      </c>
      <c r="O2204" t="s">
        <v>213</v>
      </c>
      <c r="P2204">
        <v>78.75</v>
      </c>
      <c r="Q2204">
        <v>7</v>
      </c>
      <c r="R2204" t="s">
        <v>3564</v>
      </c>
      <c r="T2204" t="s">
        <v>3402</v>
      </c>
      <c r="U2204">
        <v>29</v>
      </c>
      <c r="V2204" t="s">
        <v>4126</v>
      </c>
    </row>
    <row r="2205" spans="1:22" ht="12.75" customHeight="1" x14ac:dyDescent="0.15">
      <c r="A2205">
        <v>22</v>
      </c>
      <c r="B2205">
        <v>2026</v>
      </c>
      <c r="C2205" s="21">
        <v>46172</v>
      </c>
      <c r="D2205" t="s">
        <v>96</v>
      </c>
      <c r="E2205" t="s">
        <v>97</v>
      </c>
      <c r="F2205" t="s">
        <v>21</v>
      </c>
      <c r="G2205">
        <v>4.5</v>
      </c>
      <c r="H2205" t="s">
        <v>3878</v>
      </c>
      <c r="I2205" t="s">
        <v>3566</v>
      </c>
      <c r="J2205" s="1" t="s">
        <v>3389</v>
      </c>
      <c r="K2205" t="s">
        <v>2666</v>
      </c>
      <c r="L2205" t="s">
        <v>3587</v>
      </c>
      <c r="P2205">
        <v>57.4</v>
      </c>
      <c r="Q2205">
        <v>7</v>
      </c>
      <c r="T2205" t="s">
        <v>3402</v>
      </c>
      <c r="U2205">
        <v>29</v>
      </c>
      <c r="V2205" t="s">
        <v>4127</v>
      </c>
    </row>
    <row r="2206" spans="1:22" ht="12.75" customHeight="1" x14ac:dyDescent="0.15">
      <c r="A2206">
        <v>22</v>
      </c>
      <c r="B2206">
        <v>2026</v>
      </c>
      <c r="C2206" s="21">
        <v>46172</v>
      </c>
      <c r="D2206" t="s">
        <v>139</v>
      </c>
      <c r="E2206" t="s">
        <v>140</v>
      </c>
      <c r="F2206" t="s">
        <v>75</v>
      </c>
      <c r="G2206">
        <v>0.8</v>
      </c>
      <c r="H2206" t="s">
        <v>3804</v>
      </c>
      <c r="I2206" t="s">
        <v>3805</v>
      </c>
      <c r="J2206" s="1" t="s">
        <v>3660</v>
      </c>
      <c r="K2206" t="s">
        <v>181</v>
      </c>
      <c r="L2206" t="s">
        <v>3333</v>
      </c>
      <c r="M2206">
        <v>3</v>
      </c>
      <c r="N2206">
        <v>1</v>
      </c>
      <c r="O2206" t="s">
        <v>3334</v>
      </c>
      <c r="P2206">
        <v>81.58</v>
      </c>
      <c r="Q2206">
        <v>8</v>
      </c>
      <c r="R2206" t="s">
        <v>3478</v>
      </c>
      <c r="T2206" t="s">
        <v>3402</v>
      </c>
      <c r="U2206">
        <v>4</v>
      </c>
      <c r="V2206" t="s">
        <v>4095</v>
      </c>
    </row>
    <row r="2207" spans="1:22" ht="12.75" customHeight="1" x14ac:dyDescent="0.15">
      <c r="A2207">
        <v>22</v>
      </c>
      <c r="B2207">
        <v>2026</v>
      </c>
      <c r="C2207" s="21">
        <v>46172</v>
      </c>
      <c r="D2207" t="s">
        <v>139</v>
      </c>
      <c r="E2207" t="s">
        <v>140</v>
      </c>
      <c r="F2207" t="s">
        <v>75</v>
      </c>
      <c r="G2207">
        <v>0.8</v>
      </c>
      <c r="H2207" t="s">
        <v>3804</v>
      </c>
      <c r="I2207" t="s">
        <v>3805</v>
      </c>
      <c r="J2207" s="1" t="s">
        <v>3660</v>
      </c>
      <c r="K2207" t="s">
        <v>181</v>
      </c>
      <c r="L2207" t="s">
        <v>3340</v>
      </c>
      <c r="M2207">
        <v>78</v>
      </c>
      <c r="N2207">
        <v>0.98</v>
      </c>
      <c r="O2207" t="s">
        <v>211</v>
      </c>
      <c r="P2207">
        <v>54</v>
      </c>
      <c r="Q2207">
        <v>6</v>
      </c>
      <c r="R2207" t="s">
        <v>3341</v>
      </c>
      <c r="T2207" t="s">
        <v>3402</v>
      </c>
      <c r="U2207">
        <v>4</v>
      </c>
      <c r="V2207" t="s">
        <v>3641</v>
      </c>
    </row>
    <row r="2208" spans="1:22" ht="12.75" customHeight="1" x14ac:dyDescent="0.15">
      <c r="A2208">
        <v>22</v>
      </c>
      <c r="B2208">
        <v>2026</v>
      </c>
      <c r="C2208" s="21">
        <v>46172</v>
      </c>
      <c r="D2208" t="s">
        <v>101</v>
      </c>
      <c r="E2208" t="s">
        <v>102</v>
      </c>
      <c r="F2208" t="s">
        <v>75</v>
      </c>
      <c r="G2208">
        <v>7.6</v>
      </c>
      <c r="H2208" t="s">
        <v>3391</v>
      </c>
      <c r="I2208" t="s">
        <v>353</v>
      </c>
      <c r="J2208" s="1" t="s">
        <v>253</v>
      </c>
      <c r="K2208" t="s">
        <v>181</v>
      </c>
      <c r="L2208" t="s">
        <v>3340</v>
      </c>
      <c r="M2208">
        <v>78</v>
      </c>
      <c r="N2208">
        <v>0.33</v>
      </c>
      <c r="O2208" t="s">
        <v>211</v>
      </c>
      <c r="P2208">
        <v>18</v>
      </c>
      <c r="Q2208">
        <v>2</v>
      </c>
      <c r="R2208" t="s">
        <v>3341</v>
      </c>
      <c r="T2208" t="s">
        <v>3402</v>
      </c>
      <c r="U2208">
        <v>32</v>
      </c>
      <c r="V2208" t="s">
        <v>3442</v>
      </c>
    </row>
    <row r="2209" spans="1:22" ht="12.75" customHeight="1" x14ac:dyDescent="0.15">
      <c r="A2209">
        <v>22</v>
      </c>
      <c r="B2209">
        <v>2026</v>
      </c>
      <c r="C2209" s="21">
        <v>46172</v>
      </c>
      <c r="D2209" t="s">
        <v>101</v>
      </c>
      <c r="E2209" t="s">
        <v>102</v>
      </c>
      <c r="F2209" t="s">
        <v>75</v>
      </c>
      <c r="G2209">
        <v>7.6</v>
      </c>
      <c r="H2209" t="s">
        <v>3391</v>
      </c>
      <c r="I2209" t="s">
        <v>353</v>
      </c>
      <c r="J2209" s="1" t="s">
        <v>253</v>
      </c>
      <c r="K2209" t="s">
        <v>181</v>
      </c>
      <c r="L2209" t="s">
        <v>3333</v>
      </c>
      <c r="M2209">
        <v>67</v>
      </c>
      <c r="N2209">
        <v>0.38</v>
      </c>
      <c r="O2209" t="s">
        <v>3334</v>
      </c>
      <c r="P2209">
        <v>30.59</v>
      </c>
      <c r="Q2209">
        <v>3</v>
      </c>
      <c r="R2209" t="s">
        <v>3404</v>
      </c>
      <c r="T2209" t="s">
        <v>3402</v>
      </c>
      <c r="U2209">
        <v>32</v>
      </c>
      <c r="V2209" t="s">
        <v>3420</v>
      </c>
    </row>
    <row r="2210" spans="1:22" ht="12.75" customHeight="1" x14ac:dyDescent="0.15">
      <c r="A2210">
        <v>22</v>
      </c>
      <c r="B2210">
        <v>2026</v>
      </c>
      <c r="C2210" s="21">
        <v>46172</v>
      </c>
      <c r="D2210" t="s">
        <v>101</v>
      </c>
      <c r="E2210" t="s">
        <v>102</v>
      </c>
      <c r="F2210" t="s">
        <v>75</v>
      </c>
      <c r="G2210">
        <v>7.6</v>
      </c>
      <c r="H2210" t="s">
        <v>3391</v>
      </c>
      <c r="I2210" t="s">
        <v>353</v>
      </c>
      <c r="J2210" s="1" t="s">
        <v>253</v>
      </c>
      <c r="K2210" t="s">
        <v>181</v>
      </c>
      <c r="L2210" t="s">
        <v>3333</v>
      </c>
      <c r="M2210">
        <v>19</v>
      </c>
      <c r="N2210">
        <v>0.38</v>
      </c>
      <c r="O2210" t="s">
        <v>3334</v>
      </c>
      <c r="P2210">
        <v>30.59</v>
      </c>
      <c r="Q2210">
        <v>3</v>
      </c>
      <c r="R2210" t="s">
        <v>3403</v>
      </c>
      <c r="T2210" t="s">
        <v>3402</v>
      </c>
      <c r="U2210">
        <v>32</v>
      </c>
      <c r="V2210" t="s">
        <v>3420</v>
      </c>
    </row>
    <row r="2211" spans="1:22" ht="12.75" customHeight="1" x14ac:dyDescent="0.15">
      <c r="A2211">
        <v>22</v>
      </c>
      <c r="B2211">
        <v>2026</v>
      </c>
      <c r="C2211" s="21">
        <v>46172</v>
      </c>
      <c r="D2211" t="s">
        <v>101</v>
      </c>
      <c r="E2211" t="s">
        <v>102</v>
      </c>
      <c r="F2211" t="s">
        <v>75</v>
      </c>
      <c r="G2211">
        <v>7.6</v>
      </c>
      <c r="H2211" t="s">
        <v>3391</v>
      </c>
      <c r="I2211" t="s">
        <v>353</v>
      </c>
      <c r="J2211" s="1" t="s">
        <v>253</v>
      </c>
      <c r="K2211" t="s">
        <v>181</v>
      </c>
      <c r="L2211" t="s">
        <v>3587</v>
      </c>
      <c r="M2211">
        <v>120</v>
      </c>
      <c r="N2211">
        <v>5</v>
      </c>
      <c r="O2211" t="s">
        <v>211</v>
      </c>
      <c r="P2211">
        <v>275</v>
      </c>
      <c r="Q2211">
        <v>5</v>
      </c>
      <c r="R2211" t="s">
        <v>3415</v>
      </c>
      <c r="T2211" t="s">
        <v>3402</v>
      </c>
      <c r="U2211">
        <v>32</v>
      </c>
      <c r="V2211" t="s">
        <v>3984</v>
      </c>
    </row>
    <row r="2212" spans="1:22" ht="12.75" customHeight="1" x14ac:dyDescent="0.15">
      <c r="A2212">
        <v>22</v>
      </c>
      <c r="B2212">
        <v>2026</v>
      </c>
      <c r="C2212" s="21">
        <v>46172</v>
      </c>
      <c r="D2212" t="s">
        <v>101</v>
      </c>
      <c r="E2212" t="s">
        <v>102</v>
      </c>
      <c r="F2212" t="s">
        <v>75</v>
      </c>
      <c r="G2212">
        <v>7.6</v>
      </c>
      <c r="H2212" t="s">
        <v>3391</v>
      </c>
      <c r="I2212" t="s">
        <v>353</v>
      </c>
      <c r="J2212" s="1" t="s">
        <v>253</v>
      </c>
      <c r="K2212" t="s">
        <v>181</v>
      </c>
      <c r="L2212" t="s">
        <v>3333</v>
      </c>
      <c r="M2212">
        <v>67</v>
      </c>
      <c r="N2212">
        <v>0.38</v>
      </c>
      <c r="O2212" t="s">
        <v>3334</v>
      </c>
      <c r="P2212">
        <v>30.59</v>
      </c>
      <c r="Q2212">
        <v>3</v>
      </c>
      <c r="R2212" t="s">
        <v>3404</v>
      </c>
      <c r="T2212" t="s">
        <v>3402</v>
      </c>
      <c r="U2212">
        <v>32</v>
      </c>
      <c r="V2212" t="s">
        <v>3420</v>
      </c>
    </row>
    <row r="2213" spans="1:22" ht="12.75" customHeight="1" x14ac:dyDescent="0.15">
      <c r="A2213">
        <v>22</v>
      </c>
      <c r="B2213">
        <v>2026</v>
      </c>
      <c r="C2213" s="21">
        <v>46172</v>
      </c>
      <c r="D2213" t="s">
        <v>101</v>
      </c>
      <c r="E2213" t="s">
        <v>102</v>
      </c>
      <c r="F2213" t="s">
        <v>75</v>
      </c>
      <c r="G2213">
        <v>7.6</v>
      </c>
      <c r="H2213" t="s">
        <v>3391</v>
      </c>
      <c r="I2213" t="s">
        <v>353</v>
      </c>
      <c r="J2213" s="1" t="s">
        <v>253</v>
      </c>
      <c r="K2213" t="s">
        <v>181</v>
      </c>
      <c r="L2213" t="s">
        <v>3333</v>
      </c>
      <c r="M2213">
        <v>19</v>
      </c>
      <c r="N2213">
        <v>0.38</v>
      </c>
      <c r="O2213" t="s">
        <v>3334</v>
      </c>
      <c r="P2213">
        <v>30.59</v>
      </c>
      <c r="Q2213">
        <v>3</v>
      </c>
      <c r="R2213" t="s">
        <v>3403</v>
      </c>
      <c r="T2213" t="s">
        <v>3402</v>
      </c>
      <c r="U2213">
        <v>32</v>
      </c>
      <c r="V2213" t="s">
        <v>3420</v>
      </c>
    </row>
    <row r="2214" spans="1:22" ht="12.75" customHeight="1" x14ac:dyDescent="0.15">
      <c r="A2214">
        <v>22</v>
      </c>
      <c r="B2214">
        <v>2026</v>
      </c>
      <c r="C2214" s="21">
        <v>46174</v>
      </c>
      <c r="D2214" t="s">
        <v>19</v>
      </c>
      <c r="E2214" t="s">
        <v>20</v>
      </c>
      <c r="F2214" t="s">
        <v>21</v>
      </c>
      <c r="G2214">
        <v>3.8</v>
      </c>
      <c r="H2214" t="s">
        <v>4121</v>
      </c>
      <c r="I2214" t="s">
        <v>4122</v>
      </c>
      <c r="J2214" s="1" t="s">
        <v>307</v>
      </c>
      <c r="K2214" t="s">
        <v>181</v>
      </c>
      <c r="L2214" t="s">
        <v>3340</v>
      </c>
      <c r="M2214">
        <v>53</v>
      </c>
      <c r="N2214">
        <v>1.33</v>
      </c>
      <c r="O2214" t="s">
        <v>211</v>
      </c>
      <c r="P2214">
        <v>73.3</v>
      </c>
      <c r="R2214" t="s">
        <v>3373</v>
      </c>
      <c r="T2214" t="s">
        <v>3337</v>
      </c>
      <c r="U2214">
        <v>174</v>
      </c>
      <c r="V2214" t="s">
        <v>4182</v>
      </c>
    </row>
    <row r="2215" spans="1:22" ht="12.75" customHeight="1" x14ac:dyDescent="0.15">
      <c r="A2215">
        <v>22</v>
      </c>
      <c r="B2215">
        <v>2026</v>
      </c>
      <c r="C2215" s="21">
        <v>46174</v>
      </c>
      <c r="D2215" t="s">
        <v>19</v>
      </c>
      <c r="E2215" t="s">
        <v>20</v>
      </c>
      <c r="F2215" t="s">
        <v>21</v>
      </c>
      <c r="G2215">
        <v>3.8</v>
      </c>
      <c r="H2215" t="s">
        <v>4121</v>
      </c>
      <c r="I2215" t="s">
        <v>4122</v>
      </c>
      <c r="J2215" s="1" t="s">
        <v>307</v>
      </c>
      <c r="K2215" t="s">
        <v>181</v>
      </c>
      <c r="L2215" t="s">
        <v>3340</v>
      </c>
      <c r="M2215">
        <v>58</v>
      </c>
      <c r="N2215">
        <v>1.33</v>
      </c>
      <c r="O2215" t="s">
        <v>211</v>
      </c>
      <c r="P2215">
        <v>73.3</v>
      </c>
      <c r="R2215" t="s">
        <v>3343</v>
      </c>
      <c r="T2215" t="s">
        <v>3337</v>
      </c>
      <c r="U2215">
        <v>174</v>
      </c>
      <c r="V2215" t="s">
        <v>4182</v>
      </c>
    </row>
    <row r="2216" spans="1:22" ht="12.75" customHeight="1" x14ac:dyDescent="0.15">
      <c r="A2216">
        <v>22</v>
      </c>
      <c r="B2216">
        <v>2026</v>
      </c>
      <c r="C2216" s="21">
        <v>46174</v>
      </c>
      <c r="D2216" t="s">
        <v>19</v>
      </c>
      <c r="E2216" t="s">
        <v>20</v>
      </c>
      <c r="F2216" t="s">
        <v>21</v>
      </c>
      <c r="G2216">
        <v>3.8</v>
      </c>
      <c r="H2216" t="s">
        <v>4121</v>
      </c>
      <c r="I2216" t="s">
        <v>4122</v>
      </c>
      <c r="J2216" s="1" t="s">
        <v>307</v>
      </c>
      <c r="K2216" t="s">
        <v>181</v>
      </c>
      <c r="L2216" t="s">
        <v>3340</v>
      </c>
      <c r="M2216">
        <v>81</v>
      </c>
      <c r="N2216">
        <v>1.33</v>
      </c>
      <c r="O2216" t="s">
        <v>211</v>
      </c>
      <c r="P2216">
        <v>73.3</v>
      </c>
      <c r="R2216" t="s">
        <v>3374</v>
      </c>
      <c r="T2216" t="s">
        <v>3337</v>
      </c>
      <c r="U2216">
        <v>174</v>
      </c>
      <c r="V2216" t="s">
        <v>4182</v>
      </c>
    </row>
    <row r="2217" spans="1:22" ht="12.75" customHeight="1" x14ac:dyDescent="0.15">
      <c r="A2217">
        <v>22</v>
      </c>
      <c r="B2217">
        <v>2026</v>
      </c>
      <c r="C2217" s="21">
        <v>46174</v>
      </c>
      <c r="D2217" t="s">
        <v>101</v>
      </c>
      <c r="E2217" t="s">
        <v>102</v>
      </c>
      <c r="F2217" t="s">
        <v>75</v>
      </c>
      <c r="G2217">
        <v>7.6</v>
      </c>
      <c r="H2217" t="s">
        <v>3400</v>
      </c>
      <c r="I2217" t="s">
        <v>353</v>
      </c>
      <c r="J2217" s="1" t="s">
        <v>253</v>
      </c>
      <c r="K2217" t="s">
        <v>181</v>
      </c>
      <c r="L2217" t="s">
        <v>3333</v>
      </c>
      <c r="M2217">
        <v>2</v>
      </c>
      <c r="N2217">
        <v>0.44</v>
      </c>
      <c r="O2217" t="s">
        <v>3440</v>
      </c>
      <c r="P2217">
        <v>39.590000000000003</v>
      </c>
      <c r="Q2217">
        <v>3.5</v>
      </c>
      <c r="R2217" t="s">
        <v>3424</v>
      </c>
      <c r="T2217" t="s">
        <v>3337</v>
      </c>
      <c r="U2217">
        <v>34</v>
      </c>
      <c r="V2217" t="s">
        <v>4183</v>
      </c>
    </row>
    <row r="2218" spans="1:22" ht="12.75" customHeight="1" x14ac:dyDescent="0.15">
      <c r="A2218">
        <v>22</v>
      </c>
      <c r="B2218">
        <v>2026</v>
      </c>
      <c r="C2218" s="21">
        <v>46174</v>
      </c>
      <c r="D2218" t="s">
        <v>101</v>
      </c>
      <c r="E2218" t="s">
        <v>102</v>
      </c>
      <c r="F2218" t="s">
        <v>75</v>
      </c>
      <c r="G2218">
        <v>7.6</v>
      </c>
      <c r="H2218" t="s">
        <v>3400</v>
      </c>
      <c r="I2218" t="s">
        <v>353</v>
      </c>
      <c r="J2218" s="1" t="s">
        <v>253</v>
      </c>
      <c r="K2218" t="s">
        <v>181</v>
      </c>
      <c r="L2218" t="s">
        <v>3340</v>
      </c>
      <c r="M2218">
        <v>25</v>
      </c>
      <c r="N2218">
        <v>0.45</v>
      </c>
      <c r="O2218" t="s">
        <v>211</v>
      </c>
      <c r="P2218">
        <v>25</v>
      </c>
      <c r="R2218" t="s">
        <v>3413</v>
      </c>
      <c r="T2218" t="s">
        <v>3337</v>
      </c>
      <c r="U2218">
        <v>34</v>
      </c>
      <c r="V2218" t="s">
        <v>4184</v>
      </c>
    </row>
    <row r="2219" spans="1:22" ht="12.75" customHeight="1" x14ac:dyDescent="0.15">
      <c r="A2219">
        <v>22</v>
      </c>
      <c r="B2219">
        <v>2026</v>
      </c>
      <c r="C2219" s="21">
        <v>46174</v>
      </c>
      <c r="D2219" t="s">
        <v>47</v>
      </c>
      <c r="E2219" t="s">
        <v>48</v>
      </c>
      <c r="F2219" t="s">
        <v>21</v>
      </c>
      <c r="G2219">
        <v>2</v>
      </c>
      <c r="H2219" t="s">
        <v>3400</v>
      </c>
      <c r="I2219" t="s">
        <v>353</v>
      </c>
      <c r="J2219" s="1" t="s">
        <v>253</v>
      </c>
      <c r="K2219" t="s">
        <v>181</v>
      </c>
      <c r="L2219" t="s">
        <v>3333</v>
      </c>
      <c r="M2219">
        <v>2</v>
      </c>
      <c r="N2219">
        <v>0.56000000000000005</v>
      </c>
      <c r="O2219" t="s">
        <v>3440</v>
      </c>
      <c r="P2219">
        <v>50.9</v>
      </c>
      <c r="Q2219">
        <v>4.5</v>
      </c>
      <c r="R2219" t="s">
        <v>3424</v>
      </c>
      <c r="T2219" t="s">
        <v>3337</v>
      </c>
      <c r="U2219">
        <v>102</v>
      </c>
      <c r="V2219" t="s">
        <v>4185</v>
      </c>
    </row>
    <row r="2220" spans="1:22" ht="12.75" customHeight="1" x14ac:dyDescent="0.15">
      <c r="A2220">
        <v>22</v>
      </c>
      <c r="B2220">
        <v>2026</v>
      </c>
      <c r="C2220" s="21">
        <v>46174</v>
      </c>
      <c r="D2220" t="s">
        <v>47</v>
      </c>
      <c r="E2220" t="s">
        <v>48</v>
      </c>
      <c r="F2220" t="s">
        <v>21</v>
      </c>
      <c r="G2220">
        <v>2</v>
      </c>
      <c r="H2220" t="s">
        <v>3400</v>
      </c>
      <c r="I2220" t="s">
        <v>353</v>
      </c>
      <c r="J2220" s="1" t="s">
        <v>253</v>
      </c>
      <c r="K2220" t="s">
        <v>181</v>
      </c>
      <c r="L2220" t="s">
        <v>3340</v>
      </c>
      <c r="M2220">
        <v>25</v>
      </c>
      <c r="N2220">
        <v>0.55000000000000004</v>
      </c>
      <c r="O2220" t="s">
        <v>211</v>
      </c>
      <c r="P2220">
        <v>30</v>
      </c>
      <c r="R2220" t="s">
        <v>3413</v>
      </c>
      <c r="T2220" t="s">
        <v>3337</v>
      </c>
      <c r="U2220">
        <v>102</v>
      </c>
      <c r="V2220" t="s">
        <v>3915</v>
      </c>
    </row>
    <row r="2221" spans="1:22" ht="12.75" customHeight="1" x14ac:dyDescent="0.15">
      <c r="A2221">
        <v>22</v>
      </c>
      <c r="B2221">
        <v>2026</v>
      </c>
      <c r="C2221" s="21">
        <v>46174</v>
      </c>
      <c r="D2221" t="s">
        <v>19</v>
      </c>
      <c r="E2221" t="s">
        <v>20</v>
      </c>
      <c r="F2221" t="s">
        <v>21</v>
      </c>
      <c r="G2221">
        <v>3.8</v>
      </c>
      <c r="H2221" t="s">
        <v>4121</v>
      </c>
      <c r="I2221" t="s">
        <v>4122</v>
      </c>
      <c r="J2221" s="1" t="s">
        <v>307</v>
      </c>
      <c r="K2221" t="s">
        <v>181</v>
      </c>
      <c r="L2221" t="s">
        <v>3340</v>
      </c>
      <c r="M2221">
        <v>53</v>
      </c>
      <c r="N2221">
        <v>1.01</v>
      </c>
      <c r="O2221" t="s">
        <v>211</v>
      </c>
      <c r="P2221">
        <v>55.7</v>
      </c>
      <c r="R2221" t="s">
        <v>3373</v>
      </c>
      <c r="S2221" t="s">
        <v>4186</v>
      </c>
      <c r="T2221" t="s">
        <v>3337</v>
      </c>
      <c r="U2221">
        <v>174</v>
      </c>
      <c r="V2221" t="s">
        <v>3409</v>
      </c>
    </row>
    <row r="2222" spans="1:22" ht="12.75" customHeight="1" x14ac:dyDescent="0.15">
      <c r="A2222">
        <v>22</v>
      </c>
      <c r="B2222">
        <v>2026</v>
      </c>
      <c r="C2222" s="21">
        <v>46174</v>
      </c>
      <c r="D2222" t="s">
        <v>19</v>
      </c>
      <c r="E2222" t="s">
        <v>20</v>
      </c>
      <c r="F2222" t="s">
        <v>21</v>
      </c>
      <c r="G2222">
        <v>3.8</v>
      </c>
      <c r="H2222" t="s">
        <v>4121</v>
      </c>
      <c r="I2222" t="s">
        <v>4122</v>
      </c>
      <c r="J2222" s="1" t="s">
        <v>307</v>
      </c>
      <c r="K2222" t="s">
        <v>181</v>
      </c>
      <c r="L2222" t="s">
        <v>3340</v>
      </c>
      <c r="M2222">
        <v>58</v>
      </c>
      <c r="N2222">
        <v>1.01</v>
      </c>
      <c r="O2222" t="s">
        <v>211</v>
      </c>
      <c r="P2222">
        <v>55.7</v>
      </c>
      <c r="R2222" t="s">
        <v>3343</v>
      </c>
      <c r="T2222" t="s">
        <v>3337</v>
      </c>
      <c r="U2222">
        <v>174</v>
      </c>
      <c r="V2222" t="s">
        <v>3409</v>
      </c>
    </row>
    <row r="2223" spans="1:22" ht="12.75" customHeight="1" x14ac:dyDescent="0.15">
      <c r="A2223">
        <v>22</v>
      </c>
      <c r="B2223">
        <v>2026</v>
      </c>
      <c r="C2223" s="21">
        <v>46174</v>
      </c>
      <c r="D2223" t="s">
        <v>19</v>
      </c>
      <c r="E2223" t="s">
        <v>20</v>
      </c>
      <c r="F2223" t="s">
        <v>21</v>
      </c>
      <c r="G2223">
        <v>3.8</v>
      </c>
      <c r="H2223" t="s">
        <v>4121</v>
      </c>
      <c r="I2223" t="s">
        <v>4122</v>
      </c>
      <c r="J2223" s="1" t="s">
        <v>307</v>
      </c>
      <c r="K2223" t="s">
        <v>181</v>
      </c>
      <c r="L2223" t="s">
        <v>3340</v>
      </c>
      <c r="M2223">
        <v>81</v>
      </c>
      <c r="N2223">
        <v>1.01</v>
      </c>
      <c r="O2223" t="s">
        <v>211</v>
      </c>
      <c r="P2223">
        <v>55.7</v>
      </c>
      <c r="R2223" t="s">
        <v>3374</v>
      </c>
      <c r="T2223" t="s">
        <v>3337</v>
      </c>
      <c r="U2223">
        <v>174</v>
      </c>
      <c r="V2223" t="s">
        <v>3409</v>
      </c>
    </row>
    <row r="2224" spans="1:22" ht="12.75" customHeight="1" x14ac:dyDescent="0.15">
      <c r="A2224">
        <v>22</v>
      </c>
      <c r="B2224">
        <v>2026</v>
      </c>
      <c r="C2224" s="21">
        <v>46174</v>
      </c>
      <c r="D2224" t="s">
        <v>101</v>
      </c>
      <c r="E2224" t="s">
        <v>102</v>
      </c>
      <c r="F2224" t="s">
        <v>75</v>
      </c>
      <c r="G2224">
        <v>7.6</v>
      </c>
      <c r="H2224" t="s">
        <v>3391</v>
      </c>
      <c r="I2224" t="s">
        <v>353</v>
      </c>
      <c r="J2224" s="1" t="s">
        <v>253</v>
      </c>
      <c r="K2224" t="s">
        <v>181</v>
      </c>
      <c r="L2224" t="s">
        <v>3333</v>
      </c>
      <c r="M2224">
        <v>67</v>
      </c>
      <c r="N2224">
        <v>0.38</v>
      </c>
      <c r="O2224" t="s">
        <v>3334</v>
      </c>
      <c r="P2224">
        <v>30.59</v>
      </c>
      <c r="Q2224">
        <v>3</v>
      </c>
      <c r="R2224" t="s">
        <v>3404</v>
      </c>
      <c r="T2224" t="s">
        <v>3402</v>
      </c>
      <c r="U2224">
        <v>34</v>
      </c>
      <c r="V2224" t="s">
        <v>3420</v>
      </c>
    </row>
    <row r="2225" spans="1:22" ht="12.75" customHeight="1" x14ac:dyDescent="0.15">
      <c r="A2225">
        <v>22</v>
      </c>
      <c r="B2225">
        <v>2026</v>
      </c>
      <c r="C2225" s="21">
        <v>46174</v>
      </c>
      <c r="D2225" t="s">
        <v>101</v>
      </c>
      <c r="E2225" t="s">
        <v>102</v>
      </c>
      <c r="F2225" t="s">
        <v>75</v>
      </c>
      <c r="G2225">
        <v>7.6</v>
      </c>
      <c r="H2225" t="s">
        <v>3391</v>
      </c>
      <c r="I2225" t="s">
        <v>353</v>
      </c>
      <c r="J2225" s="1" t="s">
        <v>253</v>
      </c>
      <c r="K2225" t="s">
        <v>181</v>
      </c>
      <c r="L2225" t="s">
        <v>3333</v>
      </c>
      <c r="M2225">
        <v>19</v>
      </c>
      <c r="N2225">
        <v>0.38</v>
      </c>
      <c r="O2225" t="s">
        <v>3334</v>
      </c>
      <c r="P2225">
        <v>30.59</v>
      </c>
      <c r="Q2225">
        <v>3</v>
      </c>
      <c r="R2225" t="s">
        <v>3403</v>
      </c>
      <c r="T2225" t="s">
        <v>3402</v>
      </c>
      <c r="U2225">
        <v>34</v>
      </c>
      <c r="V2225" t="s">
        <v>3420</v>
      </c>
    </row>
    <row r="2226" spans="1:22" ht="12.75" customHeight="1" x14ac:dyDescent="0.15">
      <c r="A2226">
        <v>22</v>
      </c>
      <c r="B2226">
        <v>2026</v>
      </c>
      <c r="C2226" s="21">
        <v>46174</v>
      </c>
      <c r="D2226" t="s">
        <v>101</v>
      </c>
      <c r="E2226" t="s">
        <v>102</v>
      </c>
      <c r="F2226" t="s">
        <v>75</v>
      </c>
      <c r="G2226">
        <v>7.6</v>
      </c>
      <c r="H2226" t="s">
        <v>3391</v>
      </c>
      <c r="I2226" t="s">
        <v>353</v>
      </c>
      <c r="J2226" s="1" t="s">
        <v>253</v>
      </c>
      <c r="K2226" t="s">
        <v>181</v>
      </c>
      <c r="L2226" t="s">
        <v>3340</v>
      </c>
      <c r="M2226">
        <v>78</v>
      </c>
      <c r="N2226">
        <v>0.49</v>
      </c>
      <c r="O2226" t="s">
        <v>211</v>
      </c>
      <c r="P2226">
        <v>27</v>
      </c>
      <c r="Q2226">
        <v>3</v>
      </c>
      <c r="R2226" t="s">
        <v>3341</v>
      </c>
      <c r="T2226" t="s">
        <v>3402</v>
      </c>
      <c r="U2226">
        <v>34</v>
      </c>
      <c r="V2226" t="s">
        <v>3422</v>
      </c>
    </row>
    <row r="2227" spans="1:22" ht="12.75" customHeight="1" x14ac:dyDescent="0.15">
      <c r="A2227">
        <v>22</v>
      </c>
      <c r="B2227">
        <v>2026</v>
      </c>
      <c r="C2227" s="21">
        <v>46174</v>
      </c>
      <c r="D2227" t="s">
        <v>47</v>
      </c>
      <c r="E2227" t="s">
        <v>48</v>
      </c>
      <c r="F2227" t="s">
        <v>21</v>
      </c>
      <c r="G2227">
        <v>2</v>
      </c>
      <c r="H2227" t="s">
        <v>3391</v>
      </c>
      <c r="I2227" t="s">
        <v>353</v>
      </c>
      <c r="J2227" s="1" t="s">
        <v>253</v>
      </c>
      <c r="K2227" t="s">
        <v>181</v>
      </c>
      <c r="L2227" t="s">
        <v>3333</v>
      </c>
      <c r="M2227">
        <v>67</v>
      </c>
      <c r="N2227">
        <v>0.63</v>
      </c>
      <c r="O2227" t="s">
        <v>3334</v>
      </c>
      <c r="P2227">
        <v>50.99</v>
      </c>
      <c r="Q2227">
        <v>5</v>
      </c>
      <c r="R2227" t="s">
        <v>3404</v>
      </c>
      <c r="T2227" t="s">
        <v>3402</v>
      </c>
      <c r="U2227">
        <v>102</v>
      </c>
      <c r="V2227" t="s">
        <v>3500</v>
      </c>
    </row>
    <row r="2228" spans="1:22" ht="12.75" customHeight="1" x14ac:dyDescent="0.15">
      <c r="A2228">
        <v>22</v>
      </c>
      <c r="B2228">
        <v>2026</v>
      </c>
      <c r="C2228" s="21">
        <v>46174</v>
      </c>
      <c r="D2228" t="s">
        <v>47</v>
      </c>
      <c r="E2228" t="s">
        <v>48</v>
      </c>
      <c r="F2228" t="s">
        <v>21</v>
      </c>
      <c r="G2228">
        <v>2</v>
      </c>
      <c r="H2228" t="s">
        <v>3391</v>
      </c>
      <c r="I2228" t="s">
        <v>353</v>
      </c>
      <c r="J2228" s="1" t="s">
        <v>253</v>
      </c>
      <c r="K2228" t="s">
        <v>181</v>
      </c>
      <c r="L2228" t="s">
        <v>3333</v>
      </c>
      <c r="M2228">
        <v>19</v>
      </c>
      <c r="N2228">
        <v>0.63</v>
      </c>
      <c r="O2228" t="s">
        <v>3334</v>
      </c>
      <c r="P2228">
        <v>50.99</v>
      </c>
      <c r="Q2228">
        <v>5</v>
      </c>
      <c r="R2228" t="s">
        <v>3403</v>
      </c>
      <c r="T2228" t="s">
        <v>3402</v>
      </c>
      <c r="U2228">
        <v>102</v>
      </c>
      <c r="V2228" t="s">
        <v>3500</v>
      </c>
    </row>
    <row r="2229" spans="1:22" ht="12.75" customHeight="1" x14ac:dyDescent="0.15">
      <c r="A2229">
        <v>22</v>
      </c>
      <c r="B2229">
        <v>2026</v>
      </c>
      <c r="C2229" s="21">
        <v>46174</v>
      </c>
      <c r="D2229" t="s">
        <v>47</v>
      </c>
      <c r="E2229" t="s">
        <v>48</v>
      </c>
      <c r="F2229" t="s">
        <v>21</v>
      </c>
      <c r="G2229">
        <v>2</v>
      </c>
      <c r="H2229" t="s">
        <v>3391</v>
      </c>
      <c r="I2229" t="s">
        <v>353</v>
      </c>
      <c r="J2229" s="1" t="s">
        <v>253</v>
      </c>
      <c r="K2229" t="s">
        <v>181</v>
      </c>
      <c r="L2229" t="s">
        <v>3340</v>
      </c>
      <c r="M2229">
        <v>78</v>
      </c>
      <c r="N2229">
        <v>0.33</v>
      </c>
      <c r="O2229" t="s">
        <v>211</v>
      </c>
      <c r="P2229">
        <v>18</v>
      </c>
      <c r="Q2229">
        <v>2</v>
      </c>
      <c r="R2229" t="s">
        <v>3341</v>
      </c>
      <c r="T2229" t="s">
        <v>3402</v>
      </c>
      <c r="U2229">
        <v>102</v>
      </c>
      <c r="V2229" t="s">
        <v>3473</v>
      </c>
    </row>
    <row r="2230" spans="1:22" ht="12.75" customHeight="1" x14ac:dyDescent="0.15">
      <c r="A2230">
        <v>22</v>
      </c>
      <c r="B2230">
        <v>2026</v>
      </c>
      <c r="C2230" s="21">
        <v>46174</v>
      </c>
      <c r="D2230" t="s">
        <v>96</v>
      </c>
      <c r="E2230" t="s">
        <v>97</v>
      </c>
      <c r="F2230" t="s">
        <v>21</v>
      </c>
      <c r="G2230">
        <v>4.5</v>
      </c>
      <c r="H2230" t="s">
        <v>3653</v>
      </c>
      <c r="I2230" t="s">
        <v>3566</v>
      </c>
      <c r="J2230" s="1" t="s">
        <v>3389</v>
      </c>
      <c r="K2230" t="s">
        <v>181</v>
      </c>
      <c r="L2230" t="s">
        <v>3333</v>
      </c>
      <c r="M2230">
        <v>80</v>
      </c>
      <c r="N2230">
        <v>0.25</v>
      </c>
      <c r="O2230" t="s">
        <v>213</v>
      </c>
      <c r="P2230">
        <v>22.5</v>
      </c>
      <c r="Q2230">
        <v>2</v>
      </c>
      <c r="R2230" t="s">
        <v>3560</v>
      </c>
      <c r="T2230" t="s">
        <v>3402</v>
      </c>
    </row>
    <row r="2231" spans="1:22" ht="12.75" customHeight="1" x14ac:dyDescent="0.15">
      <c r="A2231">
        <v>22</v>
      </c>
      <c r="B2231">
        <v>2026</v>
      </c>
      <c r="C2231" s="21">
        <v>46174</v>
      </c>
      <c r="D2231" t="s">
        <v>96</v>
      </c>
      <c r="E2231" t="s">
        <v>97</v>
      </c>
      <c r="F2231" t="s">
        <v>21</v>
      </c>
      <c r="G2231">
        <v>4.5</v>
      </c>
      <c r="H2231" t="s">
        <v>3878</v>
      </c>
      <c r="I2231" t="s">
        <v>3566</v>
      </c>
      <c r="J2231" s="1" t="s">
        <v>3389</v>
      </c>
      <c r="K2231" t="s">
        <v>2666</v>
      </c>
      <c r="L2231" t="s">
        <v>3587</v>
      </c>
      <c r="P2231">
        <v>16.399999999999999</v>
      </c>
      <c r="Q2231">
        <v>2</v>
      </c>
      <c r="T2231" t="s">
        <v>3402</v>
      </c>
    </row>
    <row r="2232" spans="1:22" ht="12.75" customHeight="1" x14ac:dyDescent="0.15">
      <c r="A2232">
        <v>22</v>
      </c>
      <c r="B2232">
        <v>2026</v>
      </c>
      <c r="C2232" s="21">
        <v>46174</v>
      </c>
      <c r="D2232" t="s">
        <v>84</v>
      </c>
      <c r="E2232" t="s">
        <v>85</v>
      </c>
      <c r="F2232" t="s">
        <v>21</v>
      </c>
      <c r="G2232">
        <v>2</v>
      </c>
      <c r="H2232" t="s">
        <v>3585</v>
      </c>
      <c r="I2232" t="s">
        <v>346</v>
      </c>
      <c r="J2232" s="1" t="s">
        <v>3389</v>
      </c>
      <c r="K2232" t="s">
        <v>181</v>
      </c>
      <c r="L2232" t="s">
        <v>3333</v>
      </c>
      <c r="M2232">
        <v>11</v>
      </c>
      <c r="N2232">
        <v>0.5</v>
      </c>
      <c r="O2232" t="s">
        <v>213</v>
      </c>
      <c r="P2232">
        <v>45</v>
      </c>
      <c r="Q2232">
        <v>4</v>
      </c>
      <c r="R2232" t="s">
        <v>3564</v>
      </c>
      <c r="T2232" t="s">
        <v>3402</v>
      </c>
      <c r="U2232">
        <v>42</v>
      </c>
      <c r="V2232" t="s">
        <v>3523</v>
      </c>
    </row>
    <row r="2233" spans="1:22" ht="12.75" customHeight="1" x14ac:dyDescent="0.15">
      <c r="A2233">
        <v>22</v>
      </c>
      <c r="B2233">
        <v>2026</v>
      </c>
      <c r="C2233" s="21">
        <v>46174</v>
      </c>
      <c r="D2233" t="s">
        <v>84</v>
      </c>
      <c r="E2233" t="s">
        <v>85</v>
      </c>
      <c r="F2233" t="s">
        <v>21</v>
      </c>
      <c r="G2233">
        <v>2</v>
      </c>
      <c r="H2233" t="s">
        <v>3586</v>
      </c>
      <c r="I2233" t="s">
        <v>346</v>
      </c>
      <c r="J2233" s="1" t="s">
        <v>3389</v>
      </c>
      <c r="K2233" t="s">
        <v>2666</v>
      </c>
      <c r="L2233" t="s">
        <v>3587</v>
      </c>
      <c r="Q2233">
        <v>4</v>
      </c>
      <c r="T2233" t="s">
        <v>3402</v>
      </c>
      <c r="U2233">
        <v>42</v>
      </c>
      <c r="V2233" t="s">
        <v>88</v>
      </c>
    </row>
    <row r="2234" spans="1:22" ht="12.75" customHeight="1" x14ac:dyDescent="0.15">
      <c r="A2234">
        <v>22</v>
      </c>
      <c r="B2234">
        <v>2026</v>
      </c>
      <c r="C2234" s="21">
        <v>46174</v>
      </c>
      <c r="D2234" t="s">
        <v>101</v>
      </c>
      <c r="E2234" t="s">
        <v>102</v>
      </c>
      <c r="F2234" t="s">
        <v>75</v>
      </c>
      <c r="G2234">
        <v>7.6</v>
      </c>
      <c r="H2234" t="s">
        <v>3391</v>
      </c>
      <c r="I2234" t="s">
        <v>353</v>
      </c>
      <c r="J2234" s="1" t="s">
        <v>253</v>
      </c>
      <c r="K2234" t="s">
        <v>181</v>
      </c>
      <c r="L2234" t="s">
        <v>3587</v>
      </c>
      <c r="M2234">
        <v>120</v>
      </c>
      <c r="N2234">
        <v>4</v>
      </c>
      <c r="O2234" t="s">
        <v>211</v>
      </c>
      <c r="P2234">
        <v>220</v>
      </c>
      <c r="R2234" t="s">
        <v>3415</v>
      </c>
      <c r="T2234" t="s">
        <v>3402</v>
      </c>
      <c r="U2234">
        <v>34</v>
      </c>
      <c r="V2234" t="s">
        <v>4187</v>
      </c>
    </row>
    <row r="2235" spans="1:22" ht="12.75" customHeight="1" x14ac:dyDescent="0.15">
      <c r="A2235">
        <v>22</v>
      </c>
      <c r="B2235">
        <v>2026</v>
      </c>
      <c r="C2235" s="21">
        <v>46174</v>
      </c>
      <c r="D2235" t="s">
        <v>47</v>
      </c>
      <c r="E2235" t="s">
        <v>48</v>
      </c>
      <c r="F2235" t="s">
        <v>21</v>
      </c>
      <c r="G2235">
        <v>2</v>
      </c>
      <c r="H2235" t="s">
        <v>3391</v>
      </c>
      <c r="I2235" t="s">
        <v>353</v>
      </c>
      <c r="J2235" s="1" t="s">
        <v>253</v>
      </c>
      <c r="K2235" t="s">
        <v>181</v>
      </c>
      <c r="L2235" t="s">
        <v>3587</v>
      </c>
      <c r="M2235">
        <v>120</v>
      </c>
      <c r="N2235">
        <v>4</v>
      </c>
      <c r="O2235" t="s">
        <v>211</v>
      </c>
      <c r="P2235">
        <v>220</v>
      </c>
      <c r="R2235" t="s">
        <v>3415</v>
      </c>
      <c r="T2235" t="s">
        <v>3402</v>
      </c>
      <c r="U2235">
        <v>102</v>
      </c>
      <c r="V2235" t="s">
        <v>324</v>
      </c>
    </row>
    <row r="2236" spans="1:22" ht="12.75" customHeight="1" x14ac:dyDescent="0.15">
      <c r="A2236">
        <v>22</v>
      </c>
      <c r="B2236">
        <v>2026</v>
      </c>
      <c r="C2236" s="21">
        <v>46174</v>
      </c>
      <c r="D2236" t="s">
        <v>101</v>
      </c>
      <c r="E2236" t="s">
        <v>102</v>
      </c>
      <c r="F2236" t="s">
        <v>75</v>
      </c>
      <c r="G2236">
        <v>7.6</v>
      </c>
      <c r="H2236" t="s">
        <v>3391</v>
      </c>
      <c r="I2236" t="s">
        <v>353</v>
      </c>
      <c r="J2236" s="1" t="s">
        <v>253</v>
      </c>
      <c r="K2236" t="s">
        <v>181</v>
      </c>
      <c r="L2236" t="s">
        <v>3587</v>
      </c>
      <c r="M2236">
        <v>120</v>
      </c>
      <c r="N2236">
        <v>1</v>
      </c>
      <c r="O2236" t="s">
        <v>211</v>
      </c>
      <c r="P2236">
        <v>55</v>
      </c>
      <c r="R2236" t="s">
        <v>3415</v>
      </c>
      <c r="S2236" t="s">
        <v>4188</v>
      </c>
      <c r="T2236" t="s">
        <v>3402</v>
      </c>
      <c r="U2236">
        <v>34</v>
      </c>
      <c r="V2236" t="s">
        <v>4088</v>
      </c>
    </row>
    <row r="2237" spans="1:22" ht="12.75" customHeight="1" x14ac:dyDescent="0.15">
      <c r="A2237">
        <v>22</v>
      </c>
      <c r="B2237">
        <v>2026</v>
      </c>
      <c r="C2237" s="21">
        <v>46175</v>
      </c>
      <c r="D2237" t="s">
        <v>19</v>
      </c>
      <c r="E2237" t="s">
        <v>20</v>
      </c>
      <c r="F2237" t="s">
        <v>21</v>
      </c>
      <c r="G2237">
        <v>3.8</v>
      </c>
      <c r="H2237" t="s">
        <v>4121</v>
      </c>
      <c r="I2237" t="s">
        <v>4122</v>
      </c>
      <c r="J2237" s="1" t="s">
        <v>307</v>
      </c>
      <c r="K2237" t="s">
        <v>181</v>
      </c>
      <c r="L2237" t="s">
        <v>3340</v>
      </c>
      <c r="M2237">
        <v>53</v>
      </c>
      <c r="N2237">
        <v>0.99</v>
      </c>
      <c r="O2237" t="s">
        <v>211</v>
      </c>
      <c r="P2237">
        <v>54.56</v>
      </c>
      <c r="R2237" t="s">
        <v>3373</v>
      </c>
      <c r="S2237" t="s">
        <v>4189</v>
      </c>
      <c r="T2237" t="s">
        <v>3337</v>
      </c>
      <c r="U2237">
        <v>175</v>
      </c>
      <c r="V2237" t="s">
        <v>4190</v>
      </c>
    </row>
    <row r="2238" spans="1:22" ht="12.75" customHeight="1" x14ac:dyDescent="0.15">
      <c r="A2238">
        <v>22</v>
      </c>
      <c r="B2238">
        <v>2026</v>
      </c>
      <c r="C2238" s="21">
        <v>46175</v>
      </c>
      <c r="D2238" t="s">
        <v>19</v>
      </c>
      <c r="E2238" t="s">
        <v>20</v>
      </c>
      <c r="F2238" t="s">
        <v>21</v>
      </c>
      <c r="G2238">
        <v>3.8</v>
      </c>
      <c r="H2238" t="s">
        <v>4121</v>
      </c>
      <c r="I2238" t="s">
        <v>4122</v>
      </c>
      <c r="J2238" s="1" t="s">
        <v>307</v>
      </c>
      <c r="K2238" t="s">
        <v>181</v>
      </c>
      <c r="L2238" t="s">
        <v>3340</v>
      </c>
      <c r="M2238">
        <v>58</v>
      </c>
      <c r="N2238">
        <v>0.99</v>
      </c>
      <c r="O2238" t="s">
        <v>211</v>
      </c>
      <c r="P2238">
        <v>54.56</v>
      </c>
      <c r="R2238" t="s">
        <v>3343</v>
      </c>
      <c r="T2238" t="s">
        <v>3337</v>
      </c>
      <c r="U2238">
        <v>175</v>
      </c>
      <c r="V2238" t="s">
        <v>4190</v>
      </c>
    </row>
    <row r="2239" spans="1:22" ht="12.75" customHeight="1" x14ac:dyDescent="0.15">
      <c r="A2239">
        <v>22</v>
      </c>
      <c r="B2239">
        <v>2026</v>
      </c>
      <c r="C2239" s="21">
        <v>46175</v>
      </c>
      <c r="D2239" t="s">
        <v>19</v>
      </c>
      <c r="E2239" t="s">
        <v>20</v>
      </c>
      <c r="F2239" t="s">
        <v>21</v>
      </c>
      <c r="G2239">
        <v>3.8</v>
      </c>
      <c r="H2239" t="s">
        <v>4121</v>
      </c>
      <c r="I2239" t="s">
        <v>4122</v>
      </c>
      <c r="J2239" s="1" t="s">
        <v>307</v>
      </c>
      <c r="K2239" t="s">
        <v>181</v>
      </c>
      <c r="L2239" t="s">
        <v>3340</v>
      </c>
      <c r="M2239">
        <v>81</v>
      </c>
      <c r="N2239">
        <v>0.99</v>
      </c>
      <c r="O2239" t="s">
        <v>211</v>
      </c>
      <c r="P2239">
        <v>54.56</v>
      </c>
      <c r="R2239" t="s">
        <v>3374</v>
      </c>
      <c r="T2239" t="s">
        <v>3337</v>
      </c>
      <c r="U2239">
        <v>175</v>
      </c>
      <c r="V2239" t="s">
        <v>4190</v>
      </c>
    </row>
    <row r="2240" spans="1:22" ht="12.75" customHeight="1" x14ac:dyDescent="0.15">
      <c r="A2240">
        <v>22</v>
      </c>
      <c r="B2240">
        <v>2026</v>
      </c>
      <c r="C2240" s="21">
        <v>46175</v>
      </c>
      <c r="D2240" t="s">
        <v>19</v>
      </c>
      <c r="E2240" t="s">
        <v>20</v>
      </c>
      <c r="F2240" t="s">
        <v>21</v>
      </c>
      <c r="G2240">
        <v>3.8</v>
      </c>
      <c r="H2240" t="s">
        <v>4121</v>
      </c>
      <c r="I2240" t="s">
        <v>4122</v>
      </c>
      <c r="J2240" s="1" t="s">
        <v>307</v>
      </c>
      <c r="K2240" t="s">
        <v>181</v>
      </c>
      <c r="L2240" t="s">
        <v>3340</v>
      </c>
      <c r="M2240">
        <v>62</v>
      </c>
      <c r="N2240">
        <v>0.99</v>
      </c>
      <c r="O2240" t="s">
        <v>211</v>
      </c>
      <c r="P2240">
        <v>54.56</v>
      </c>
      <c r="R2240" t="s">
        <v>3375</v>
      </c>
      <c r="T2240" t="s">
        <v>3337</v>
      </c>
      <c r="U2240">
        <v>175</v>
      </c>
      <c r="V2240" t="s">
        <v>4190</v>
      </c>
    </row>
    <row r="2241" spans="1:22" ht="12.75" customHeight="1" x14ac:dyDescent="0.15">
      <c r="A2241">
        <v>22</v>
      </c>
      <c r="B2241">
        <v>2026</v>
      </c>
      <c r="C2241" s="21">
        <v>46175</v>
      </c>
      <c r="D2241" t="s">
        <v>19</v>
      </c>
      <c r="E2241" t="s">
        <v>20</v>
      </c>
      <c r="F2241" t="s">
        <v>21</v>
      </c>
      <c r="G2241">
        <v>3.8</v>
      </c>
      <c r="H2241" t="s">
        <v>4121</v>
      </c>
      <c r="I2241" t="s">
        <v>4122</v>
      </c>
      <c r="J2241" s="1" t="s">
        <v>307</v>
      </c>
      <c r="K2241" t="s">
        <v>181</v>
      </c>
      <c r="L2241" t="s">
        <v>3340</v>
      </c>
      <c r="M2241">
        <v>45</v>
      </c>
      <c r="N2241">
        <v>0.99</v>
      </c>
      <c r="O2241" t="s">
        <v>211</v>
      </c>
      <c r="P2241">
        <v>54.56</v>
      </c>
      <c r="R2241" t="s">
        <v>3377</v>
      </c>
      <c r="T2241" t="s">
        <v>3337</v>
      </c>
      <c r="U2241">
        <v>175</v>
      </c>
      <c r="V2241" t="s">
        <v>4190</v>
      </c>
    </row>
    <row r="2242" spans="1:22" ht="12.75" customHeight="1" x14ac:dyDescent="0.15">
      <c r="A2242">
        <v>22</v>
      </c>
      <c r="B2242">
        <v>2026</v>
      </c>
      <c r="C2242" s="21">
        <v>46175</v>
      </c>
      <c r="D2242" t="s">
        <v>60</v>
      </c>
      <c r="E2242" t="s">
        <v>61</v>
      </c>
      <c r="F2242" t="s">
        <v>21</v>
      </c>
      <c r="G2242">
        <v>1.6</v>
      </c>
      <c r="H2242" t="s">
        <v>3400</v>
      </c>
      <c r="I2242" t="s">
        <v>353</v>
      </c>
      <c r="J2242" s="1" t="s">
        <v>253</v>
      </c>
      <c r="K2242" t="s">
        <v>181</v>
      </c>
      <c r="L2242" t="s">
        <v>3340</v>
      </c>
      <c r="M2242">
        <v>58</v>
      </c>
      <c r="N2242">
        <v>0.41</v>
      </c>
      <c r="O2242" t="s">
        <v>211</v>
      </c>
      <c r="P2242">
        <v>22.5</v>
      </c>
      <c r="Q2242">
        <v>2.5</v>
      </c>
      <c r="R2242" t="s">
        <v>3343</v>
      </c>
      <c r="T2242" t="s">
        <v>3337</v>
      </c>
      <c r="U2242">
        <v>67</v>
      </c>
      <c r="V2242" t="s">
        <v>4191</v>
      </c>
    </row>
    <row r="2243" spans="1:22" ht="12.75" customHeight="1" x14ac:dyDescent="0.15">
      <c r="A2243">
        <v>22</v>
      </c>
      <c r="B2243">
        <v>2026</v>
      </c>
      <c r="C2243" s="21">
        <v>46175</v>
      </c>
      <c r="D2243" t="s">
        <v>60</v>
      </c>
      <c r="E2243" t="s">
        <v>61</v>
      </c>
      <c r="F2243" t="s">
        <v>21</v>
      </c>
      <c r="G2243">
        <v>1.6</v>
      </c>
      <c r="H2243" t="s">
        <v>3400</v>
      </c>
      <c r="I2243" t="s">
        <v>353</v>
      </c>
      <c r="J2243" s="1" t="s">
        <v>253</v>
      </c>
      <c r="K2243" t="s">
        <v>181</v>
      </c>
      <c r="L2243" t="s">
        <v>3340</v>
      </c>
      <c r="M2243">
        <v>45</v>
      </c>
      <c r="N2243">
        <v>0.41</v>
      </c>
      <c r="O2243" t="s">
        <v>211</v>
      </c>
      <c r="P2243">
        <v>22.5</v>
      </c>
      <c r="Q2243">
        <v>2.5</v>
      </c>
      <c r="R2243" t="s">
        <v>3377</v>
      </c>
      <c r="T2243" t="s">
        <v>3337</v>
      </c>
      <c r="U2243">
        <v>67</v>
      </c>
      <c r="V2243" t="s">
        <v>4191</v>
      </c>
    </row>
    <row r="2244" spans="1:22" ht="12.75" customHeight="1" x14ac:dyDescent="0.15">
      <c r="A2244">
        <v>22</v>
      </c>
      <c r="B2244">
        <v>2026</v>
      </c>
      <c r="C2244" s="21">
        <v>46175</v>
      </c>
      <c r="D2244" t="s">
        <v>60</v>
      </c>
      <c r="E2244" t="s">
        <v>61</v>
      </c>
      <c r="F2244" t="s">
        <v>21</v>
      </c>
      <c r="G2244">
        <v>1.6</v>
      </c>
      <c r="H2244" t="s">
        <v>3400</v>
      </c>
      <c r="I2244" t="s">
        <v>353</v>
      </c>
      <c r="J2244" s="1" t="s">
        <v>253</v>
      </c>
      <c r="K2244" t="s">
        <v>181</v>
      </c>
      <c r="L2244" t="s">
        <v>3333</v>
      </c>
      <c r="M2244">
        <v>2</v>
      </c>
      <c r="N2244">
        <v>0.56000000000000005</v>
      </c>
      <c r="O2244" t="s">
        <v>3440</v>
      </c>
      <c r="P2244">
        <v>50.9</v>
      </c>
      <c r="Q2244">
        <v>4.5</v>
      </c>
      <c r="R2244" t="s">
        <v>3424</v>
      </c>
      <c r="T2244" t="s">
        <v>3337</v>
      </c>
      <c r="U2244">
        <v>67</v>
      </c>
      <c r="V2244" t="s">
        <v>4192</v>
      </c>
    </row>
    <row r="2245" spans="1:22" ht="12.75" customHeight="1" x14ac:dyDescent="0.15">
      <c r="A2245">
        <v>22</v>
      </c>
      <c r="B2245">
        <v>2026</v>
      </c>
      <c r="C2245" s="21">
        <v>46175</v>
      </c>
      <c r="D2245" t="s">
        <v>139</v>
      </c>
      <c r="E2245" t="s">
        <v>140</v>
      </c>
      <c r="F2245" t="s">
        <v>75</v>
      </c>
      <c r="G2245">
        <v>0.8</v>
      </c>
      <c r="H2245" t="s">
        <v>3519</v>
      </c>
      <c r="I2245" t="s">
        <v>214</v>
      </c>
      <c r="J2245" s="1" t="s">
        <v>215</v>
      </c>
      <c r="K2245" t="s">
        <v>181</v>
      </c>
      <c r="L2245" t="s">
        <v>3333</v>
      </c>
      <c r="M2245">
        <v>1</v>
      </c>
      <c r="N2245">
        <v>1</v>
      </c>
      <c r="O2245" t="s">
        <v>3358</v>
      </c>
      <c r="P2245">
        <v>71.86</v>
      </c>
      <c r="Q2245">
        <v>8</v>
      </c>
      <c r="R2245" t="s">
        <v>3359</v>
      </c>
      <c r="T2245" t="s">
        <v>3337</v>
      </c>
    </row>
    <row r="2246" spans="1:22" ht="12.75" customHeight="1" x14ac:dyDescent="0.15">
      <c r="A2246">
        <v>22</v>
      </c>
      <c r="B2246">
        <v>2026</v>
      </c>
      <c r="C2246" s="21">
        <v>46175</v>
      </c>
      <c r="D2246" t="s">
        <v>139</v>
      </c>
      <c r="E2246" t="s">
        <v>140</v>
      </c>
      <c r="F2246" t="s">
        <v>75</v>
      </c>
      <c r="G2246">
        <v>0.8</v>
      </c>
      <c r="H2246" t="s">
        <v>3519</v>
      </c>
      <c r="I2246" t="s">
        <v>214</v>
      </c>
      <c r="J2246" s="1" t="s">
        <v>215</v>
      </c>
      <c r="K2246" t="s">
        <v>181</v>
      </c>
      <c r="L2246" t="s">
        <v>3333</v>
      </c>
      <c r="M2246">
        <v>6</v>
      </c>
      <c r="N2246">
        <v>1</v>
      </c>
      <c r="O2246" t="s">
        <v>3334</v>
      </c>
      <c r="P2246">
        <v>81.58</v>
      </c>
      <c r="Q2246">
        <v>8</v>
      </c>
      <c r="R2246" t="s">
        <v>3335</v>
      </c>
      <c r="T2246" t="s">
        <v>3337</v>
      </c>
    </row>
    <row r="2247" spans="1:22" ht="12.75" customHeight="1" x14ac:dyDescent="0.15">
      <c r="A2247">
        <v>22</v>
      </c>
      <c r="B2247">
        <v>2026</v>
      </c>
      <c r="C2247" s="21">
        <v>46175</v>
      </c>
      <c r="D2247" t="s">
        <v>73</v>
      </c>
      <c r="E2247" t="s">
        <v>74</v>
      </c>
      <c r="F2247" t="s">
        <v>75</v>
      </c>
      <c r="G2247">
        <v>2.2999999999999998</v>
      </c>
      <c r="H2247" t="s">
        <v>3585</v>
      </c>
      <c r="I2247" t="s">
        <v>346</v>
      </c>
      <c r="J2247" s="1" t="s">
        <v>3389</v>
      </c>
      <c r="K2247" t="s">
        <v>181</v>
      </c>
      <c r="L2247" t="s">
        <v>3333</v>
      </c>
      <c r="M2247">
        <v>80</v>
      </c>
      <c r="N2247">
        <v>0.5</v>
      </c>
      <c r="O2247" t="s">
        <v>213</v>
      </c>
      <c r="P2247">
        <v>45</v>
      </c>
      <c r="Q2247">
        <v>4</v>
      </c>
      <c r="R2247" t="s">
        <v>3560</v>
      </c>
      <c r="T2247" t="s">
        <v>3402</v>
      </c>
      <c r="U2247">
        <v>45</v>
      </c>
      <c r="V2247" t="s">
        <v>4003</v>
      </c>
    </row>
    <row r="2248" spans="1:22" ht="12.75" customHeight="1" x14ac:dyDescent="0.15">
      <c r="A2248">
        <v>22</v>
      </c>
      <c r="B2248">
        <v>2026</v>
      </c>
      <c r="C2248" s="21">
        <v>46175</v>
      </c>
      <c r="D2248" t="s">
        <v>73</v>
      </c>
      <c r="E2248" t="s">
        <v>74</v>
      </c>
      <c r="F2248" t="s">
        <v>75</v>
      </c>
      <c r="G2248">
        <v>2.2999999999999998</v>
      </c>
      <c r="H2248" t="s">
        <v>3586</v>
      </c>
      <c r="I2248" t="s">
        <v>346</v>
      </c>
      <c r="J2248" s="1" t="s">
        <v>3389</v>
      </c>
      <c r="K2248" t="s">
        <v>2666</v>
      </c>
      <c r="L2248" t="s">
        <v>3587</v>
      </c>
      <c r="P2248">
        <v>32.799999999999997</v>
      </c>
      <c r="Q2248">
        <v>4</v>
      </c>
      <c r="T2248" t="s">
        <v>3402</v>
      </c>
      <c r="U2248">
        <v>45</v>
      </c>
      <c r="V2248" t="s">
        <v>4193</v>
      </c>
    </row>
    <row r="2249" spans="1:22" ht="12.75" customHeight="1" x14ac:dyDescent="0.15">
      <c r="A2249">
        <v>22</v>
      </c>
      <c r="B2249">
        <v>2026</v>
      </c>
      <c r="C2249" s="21">
        <v>46175</v>
      </c>
      <c r="D2249" t="s">
        <v>107</v>
      </c>
      <c r="E2249" t="s">
        <v>108</v>
      </c>
      <c r="F2249" t="s">
        <v>21</v>
      </c>
      <c r="G2249">
        <v>4.5</v>
      </c>
      <c r="H2249" t="s">
        <v>3653</v>
      </c>
      <c r="I2249" t="s">
        <v>3566</v>
      </c>
      <c r="J2249" s="1" t="s">
        <v>3389</v>
      </c>
      <c r="K2249" t="s">
        <v>181</v>
      </c>
      <c r="L2249" t="s">
        <v>3333</v>
      </c>
      <c r="M2249">
        <v>80</v>
      </c>
      <c r="N2249">
        <v>0.13</v>
      </c>
      <c r="O2249" t="s">
        <v>213</v>
      </c>
      <c r="P2249">
        <v>11.25</v>
      </c>
      <c r="Q2249">
        <v>1</v>
      </c>
      <c r="R2249" t="s">
        <v>3560</v>
      </c>
      <c r="T2249" t="s">
        <v>3402</v>
      </c>
    </row>
    <row r="2250" spans="1:22" ht="12.75" customHeight="1" x14ac:dyDescent="0.15">
      <c r="A2250">
        <v>22</v>
      </c>
      <c r="B2250">
        <v>2026</v>
      </c>
      <c r="C2250" s="21">
        <v>46175</v>
      </c>
      <c r="D2250" t="s">
        <v>107</v>
      </c>
      <c r="E2250" t="s">
        <v>108</v>
      </c>
      <c r="F2250" t="s">
        <v>21</v>
      </c>
      <c r="G2250">
        <v>4.5</v>
      </c>
      <c r="H2250" t="s">
        <v>3878</v>
      </c>
      <c r="I2250" t="s">
        <v>3566</v>
      </c>
      <c r="J2250" s="1" t="s">
        <v>3389</v>
      </c>
      <c r="K2250" t="s">
        <v>2666</v>
      </c>
      <c r="L2250" t="s">
        <v>3587</v>
      </c>
      <c r="P2250">
        <v>8.1999999999999993</v>
      </c>
      <c r="Q2250">
        <v>1</v>
      </c>
      <c r="T2250" t="s">
        <v>3402</v>
      </c>
    </row>
    <row r="2251" spans="1:22" ht="12.75" customHeight="1" x14ac:dyDescent="0.15">
      <c r="A2251">
        <v>22</v>
      </c>
      <c r="B2251">
        <v>2026</v>
      </c>
      <c r="C2251" s="21">
        <v>46175</v>
      </c>
      <c r="D2251" t="s">
        <v>107</v>
      </c>
      <c r="E2251" t="s">
        <v>108</v>
      </c>
      <c r="F2251" t="s">
        <v>21</v>
      </c>
      <c r="G2251">
        <v>4.5</v>
      </c>
      <c r="H2251" t="s">
        <v>3653</v>
      </c>
      <c r="I2251" t="s">
        <v>3566</v>
      </c>
      <c r="J2251" s="1" t="s">
        <v>3389</v>
      </c>
      <c r="K2251" t="s">
        <v>181</v>
      </c>
      <c r="L2251" t="s">
        <v>3340</v>
      </c>
      <c r="M2251">
        <v>86</v>
      </c>
      <c r="N2251">
        <v>0.55000000000000004</v>
      </c>
      <c r="O2251" t="s">
        <v>211</v>
      </c>
      <c r="P2251">
        <v>30</v>
      </c>
      <c r="Q2251">
        <v>2</v>
      </c>
      <c r="R2251" t="s">
        <v>3386</v>
      </c>
      <c r="T2251" t="s">
        <v>3402</v>
      </c>
    </row>
    <row r="2252" spans="1:22" ht="12.75" customHeight="1" x14ac:dyDescent="0.15">
      <c r="A2252">
        <v>22</v>
      </c>
      <c r="B2252">
        <v>2026</v>
      </c>
      <c r="C2252" s="21">
        <v>46175</v>
      </c>
      <c r="D2252" t="s">
        <v>107</v>
      </c>
      <c r="E2252" t="s">
        <v>108</v>
      </c>
      <c r="F2252" t="s">
        <v>21</v>
      </c>
      <c r="G2252">
        <v>4.5</v>
      </c>
      <c r="H2252" t="s">
        <v>3878</v>
      </c>
      <c r="I2252" t="s">
        <v>3566</v>
      </c>
      <c r="J2252" s="1" t="s">
        <v>3389</v>
      </c>
      <c r="K2252" t="s">
        <v>2666</v>
      </c>
      <c r="L2252" t="s">
        <v>3587</v>
      </c>
      <c r="P2252">
        <v>16.399999999999999</v>
      </c>
      <c r="Q2252">
        <v>2</v>
      </c>
      <c r="T2252" t="s">
        <v>3402</v>
      </c>
    </row>
    <row r="2253" spans="1:22" ht="12.75" customHeight="1" x14ac:dyDescent="0.15">
      <c r="A2253">
        <v>22</v>
      </c>
      <c r="B2253">
        <v>2026</v>
      </c>
      <c r="C2253" s="21">
        <v>46175</v>
      </c>
      <c r="D2253" t="s">
        <v>139</v>
      </c>
      <c r="E2253" t="s">
        <v>140</v>
      </c>
      <c r="F2253" t="s">
        <v>75</v>
      </c>
      <c r="G2253">
        <v>0.8</v>
      </c>
      <c r="H2253" t="s">
        <v>3799</v>
      </c>
      <c r="I2253" t="s">
        <v>3551</v>
      </c>
      <c r="J2253" s="1" t="s">
        <v>3533</v>
      </c>
      <c r="K2253" t="s">
        <v>181</v>
      </c>
      <c r="L2253" t="s">
        <v>3333</v>
      </c>
      <c r="M2253">
        <v>4</v>
      </c>
      <c r="N2253">
        <v>0.25</v>
      </c>
      <c r="O2253" t="s">
        <v>3334</v>
      </c>
      <c r="P2253">
        <v>20.399999999999999</v>
      </c>
      <c r="Q2253">
        <v>2</v>
      </c>
      <c r="R2253" t="s">
        <v>3773</v>
      </c>
      <c r="T2253" t="s">
        <v>3402</v>
      </c>
    </row>
    <row r="2254" spans="1:22" ht="12.75" customHeight="1" x14ac:dyDescent="0.15">
      <c r="A2254">
        <v>22</v>
      </c>
      <c r="B2254">
        <v>2026</v>
      </c>
      <c r="C2254" s="21">
        <v>46175</v>
      </c>
      <c r="D2254" t="s">
        <v>139</v>
      </c>
      <c r="E2254" t="s">
        <v>140</v>
      </c>
      <c r="F2254" t="s">
        <v>75</v>
      </c>
      <c r="G2254">
        <v>0.8</v>
      </c>
      <c r="H2254" t="s">
        <v>3799</v>
      </c>
      <c r="I2254" t="s">
        <v>3551</v>
      </c>
      <c r="J2254" s="1" t="s">
        <v>3533</v>
      </c>
      <c r="K2254" t="s">
        <v>181</v>
      </c>
      <c r="L2254" t="s">
        <v>3333</v>
      </c>
      <c r="M2254">
        <v>86</v>
      </c>
      <c r="N2254">
        <v>0.25</v>
      </c>
      <c r="O2254" t="s">
        <v>3334</v>
      </c>
      <c r="P2254">
        <v>20.399999999999999</v>
      </c>
      <c r="Q2254">
        <v>2</v>
      </c>
      <c r="R2254" t="s">
        <v>3386</v>
      </c>
      <c r="T2254" t="s">
        <v>3402</v>
      </c>
    </row>
    <row r="2255" spans="1:22" ht="12.75" customHeight="1" x14ac:dyDescent="0.15">
      <c r="A2255">
        <v>22</v>
      </c>
      <c r="B2255">
        <v>2026</v>
      </c>
      <c r="C2255" s="21">
        <v>46175</v>
      </c>
      <c r="D2255" t="s">
        <v>139</v>
      </c>
      <c r="E2255" t="s">
        <v>140</v>
      </c>
      <c r="F2255" t="s">
        <v>75</v>
      </c>
      <c r="G2255">
        <v>0.8</v>
      </c>
      <c r="H2255" t="s">
        <v>3804</v>
      </c>
      <c r="I2255" t="s">
        <v>3805</v>
      </c>
      <c r="J2255" s="1" t="s">
        <v>3660</v>
      </c>
      <c r="K2255" t="s">
        <v>181</v>
      </c>
      <c r="L2255" t="s">
        <v>3333</v>
      </c>
      <c r="M2255">
        <v>4</v>
      </c>
      <c r="N2255">
        <v>0.75</v>
      </c>
      <c r="O2255" t="s">
        <v>3334</v>
      </c>
      <c r="P2255">
        <v>61.19</v>
      </c>
      <c r="Q2255">
        <v>6</v>
      </c>
      <c r="R2255" t="s">
        <v>3773</v>
      </c>
      <c r="T2255" t="s">
        <v>3402</v>
      </c>
      <c r="U2255">
        <v>7</v>
      </c>
      <c r="V2255" t="s">
        <v>4194</v>
      </c>
    </row>
    <row r="2256" spans="1:22" ht="12.75" customHeight="1" x14ac:dyDescent="0.15">
      <c r="A2256">
        <v>22</v>
      </c>
      <c r="B2256">
        <v>2026</v>
      </c>
      <c r="C2256" s="21">
        <v>46175</v>
      </c>
      <c r="D2256" t="s">
        <v>139</v>
      </c>
      <c r="E2256" t="s">
        <v>140</v>
      </c>
      <c r="F2256" t="s">
        <v>75</v>
      </c>
      <c r="G2256">
        <v>0.8</v>
      </c>
      <c r="H2256" t="s">
        <v>3804</v>
      </c>
      <c r="I2256" t="s">
        <v>3805</v>
      </c>
      <c r="J2256" s="1" t="s">
        <v>3660</v>
      </c>
      <c r="K2256" t="s">
        <v>181</v>
      </c>
      <c r="L2256" t="s">
        <v>3333</v>
      </c>
      <c r="M2256">
        <v>86</v>
      </c>
      <c r="N2256">
        <v>0.75</v>
      </c>
      <c r="O2256" t="s">
        <v>3334</v>
      </c>
      <c r="P2256">
        <v>61.19</v>
      </c>
      <c r="Q2256">
        <v>6</v>
      </c>
      <c r="R2256" t="s">
        <v>3386</v>
      </c>
      <c r="T2256" t="s">
        <v>3402</v>
      </c>
      <c r="U2256">
        <v>7</v>
      </c>
      <c r="V2256" t="s">
        <v>4194</v>
      </c>
    </row>
    <row r="2257" spans="1:22" ht="12.75" customHeight="1" x14ac:dyDescent="0.15">
      <c r="A2257">
        <v>22</v>
      </c>
      <c r="B2257">
        <v>2026</v>
      </c>
      <c r="C2257" s="21">
        <v>46175</v>
      </c>
      <c r="D2257" t="s">
        <v>47</v>
      </c>
      <c r="E2257" t="s">
        <v>48</v>
      </c>
      <c r="F2257" t="s">
        <v>21</v>
      </c>
      <c r="G2257">
        <v>2</v>
      </c>
      <c r="H2257" t="s">
        <v>3391</v>
      </c>
      <c r="I2257" t="s">
        <v>353</v>
      </c>
      <c r="J2257" s="1" t="s">
        <v>253</v>
      </c>
      <c r="K2257" t="s">
        <v>181</v>
      </c>
      <c r="L2257" t="s">
        <v>3333</v>
      </c>
      <c r="M2257">
        <v>67</v>
      </c>
      <c r="N2257">
        <v>0.63</v>
      </c>
      <c r="O2257" t="s">
        <v>3334</v>
      </c>
      <c r="P2257">
        <v>50.99</v>
      </c>
      <c r="Q2257">
        <v>5</v>
      </c>
      <c r="R2257" t="s">
        <v>3404</v>
      </c>
      <c r="T2257" t="s">
        <v>3402</v>
      </c>
      <c r="U2257">
        <v>103</v>
      </c>
      <c r="V2257" t="s">
        <v>3500</v>
      </c>
    </row>
    <row r="2258" spans="1:22" ht="12.75" customHeight="1" x14ac:dyDescent="0.15">
      <c r="A2258">
        <v>22</v>
      </c>
      <c r="B2258">
        <v>2026</v>
      </c>
      <c r="C2258" s="21">
        <v>46175</v>
      </c>
      <c r="D2258" t="s">
        <v>47</v>
      </c>
      <c r="E2258" t="s">
        <v>48</v>
      </c>
      <c r="F2258" t="s">
        <v>21</v>
      </c>
      <c r="G2258">
        <v>2</v>
      </c>
      <c r="H2258" t="s">
        <v>3391</v>
      </c>
      <c r="I2258" t="s">
        <v>353</v>
      </c>
      <c r="J2258" s="1" t="s">
        <v>253</v>
      </c>
      <c r="K2258" t="s">
        <v>181</v>
      </c>
      <c r="L2258" t="s">
        <v>3333</v>
      </c>
      <c r="M2258">
        <v>19</v>
      </c>
      <c r="N2258">
        <v>0.63</v>
      </c>
      <c r="O2258" t="s">
        <v>3334</v>
      </c>
      <c r="P2258">
        <v>50.99</v>
      </c>
      <c r="Q2258">
        <v>5</v>
      </c>
      <c r="R2258" t="s">
        <v>3403</v>
      </c>
      <c r="T2258" t="s">
        <v>3402</v>
      </c>
      <c r="U2258">
        <v>103</v>
      </c>
      <c r="V2258" t="s">
        <v>3500</v>
      </c>
    </row>
    <row r="2259" spans="1:22" ht="12.75" customHeight="1" x14ac:dyDescent="0.15">
      <c r="A2259">
        <v>22</v>
      </c>
      <c r="B2259">
        <v>2026</v>
      </c>
      <c r="C2259" s="21">
        <v>46175</v>
      </c>
      <c r="D2259" t="s">
        <v>47</v>
      </c>
      <c r="E2259" t="s">
        <v>48</v>
      </c>
      <c r="F2259" t="s">
        <v>21</v>
      </c>
      <c r="G2259">
        <v>2</v>
      </c>
      <c r="H2259" t="s">
        <v>3391</v>
      </c>
      <c r="I2259" t="s">
        <v>353</v>
      </c>
      <c r="J2259" s="1" t="s">
        <v>253</v>
      </c>
      <c r="K2259" t="s">
        <v>181</v>
      </c>
      <c r="L2259" t="s">
        <v>3587</v>
      </c>
      <c r="M2259">
        <v>120</v>
      </c>
      <c r="N2259">
        <v>6.65</v>
      </c>
      <c r="O2259" t="s">
        <v>211</v>
      </c>
      <c r="P2259">
        <v>366</v>
      </c>
      <c r="Q2259">
        <v>5</v>
      </c>
      <c r="R2259" t="s">
        <v>3415</v>
      </c>
      <c r="T2259" t="s">
        <v>3402</v>
      </c>
      <c r="U2259">
        <v>103</v>
      </c>
      <c r="V2259" t="s">
        <v>4195</v>
      </c>
    </row>
    <row r="2260" spans="1:22" ht="12.75" customHeight="1" x14ac:dyDescent="0.15">
      <c r="A2260">
        <v>22</v>
      </c>
      <c r="B2260">
        <v>2026</v>
      </c>
      <c r="C2260" s="21">
        <v>46175</v>
      </c>
      <c r="D2260" t="s">
        <v>60</v>
      </c>
      <c r="E2260" t="s">
        <v>61</v>
      </c>
      <c r="F2260" t="s">
        <v>21</v>
      </c>
      <c r="G2260">
        <v>1.6</v>
      </c>
      <c r="H2260" t="s">
        <v>3391</v>
      </c>
      <c r="I2260" t="s">
        <v>353</v>
      </c>
      <c r="J2260" s="1" t="s">
        <v>253</v>
      </c>
      <c r="K2260" t="s">
        <v>181</v>
      </c>
      <c r="L2260" t="s">
        <v>3333</v>
      </c>
      <c r="M2260">
        <v>67</v>
      </c>
      <c r="N2260">
        <v>0.38</v>
      </c>
      <c r="O2260" t="s">
        <v>3334</v>
      </c>
      <c r="P2260">
        <v>30.59</v>
      </c>
      <c r="Q2260">
        <v>3</v>
      </c>
      <c r="R2260" t="s">
        <v>3404</v>
      </c>
      <c r="T2260" t="s">
        <v>3402</v>
      </c>
      <c r="U2260">
        <v>67</v>
      </c>
      <c r="V2260" t="s">
        <v>3582</v>
      </c>
    </row>
    <row r="2261" spans="1:22" ht="12.75" customHeight="1" x14ac:dyDescent="0.15">
      <c r="A2261">
        <v>22</v>
      </c>
      <c r="B2261">
        <v>2026</v>
      </c>
      <c r="C2261" s="21">
        <v>46175</v>
      </c>
      <c r="D2261" t="s">
        <v>60</v>
      </c>
      <c r="E2261" t="s">
        <v>61</v>
      </c>
      <c r="F2261" t="s">
        <v>21</v>
      </c>
      <c r="G2261">
        <v>1.6</v>
      </c>
      <c r="H2261" t="s">
        <v>3391</v>
      </c>
      <c r="I2261" t="s">
        <v>353</v>
      </c>
      <c r="J2261" s="1" t="s">
        <v>253</v>
      </c>
      <c r="K2261" t="s">
        <v>181</v>
      </c>
      <c r="L2261" t="s">
        <v>3333</v>
      </c>
      <c r="M2261">
        <v>19</v>
      </c>
      <c r="N2261">
        <v>0.38</v>
      </c>
      <c r="O2261" t="s">
        <v>3334</v>
      </c>
      <c r="P2261">
        <v>30.59</v>
      </c>
      <c r="Q2261">
        <v>3</v>
      </c>
      <c r="R2261" t="s">
        <v>3403</v>
      </c>
      <c r="T2261" t="s">
        <v>3402</v>
      </c>
      <c r="U2261">
        <v>67</v>
      </c>
      <c r="V2261" t="s">
        <v>3582</v>
      </c>
    </row>
    <row r="2262" spans="1:22" ht="12.75" customHeight="1" x14ac:dyDescent="0.15">
      <c r="A2262">
        <v>22</v>
      </c>
      <c r="B2262">
        <v>2026</v>
      </c>
      <c r="C2262" s="21">
        <v>46175</v>
      </c>
      <c r="D2262" t="s">
        <v>60</v>
      </c>
      <c r="E2262" t="s">
        <v>61</v>
      </c>
      <c r="F2262" t="s">
        <v>21</v>
      </c>
      <c r="G2262">
        <v>1.6</v>
      </c>
      <c r="H2262" t="s">
        <v>3391</v>
      </c>
      <c r="I2262" t="s">
        <v>353</v>
      </c>
      <c r="J2262" s="1" t="s">
        <v>253</v>
      </c>
      <c r="K2262" t="s">
        <v>181</v>
      </c>
      <c r="L2262" t="s">
        <v>3587</v>
      </c>
      <c r="M2262">
        <v>120</v>
      </c>
      <c r="N2262">
        <v>1.35</v>
      </c>
      <c r="O2262" t="s">
        <v>211</v>
      </c>
      <c r="P2262">
        <v>74</v>
      </c>
      <c r="Q2262">
        <v>1</v>
      </c>
      <c r="R2262" t="s">
        <v>3415</v>
      </c>
      <c r="T2262" t="s">
        <v>3402</v>
      </c>
      <c r="U2262">
        <v>67</v>
      </c>
      <c r="V2262" t="s">
        <v>4196</v>
      </c>
    </row>
    <row r="2263" spans="1:22" ht="12.75" customHeight="1" x14ac:dyDescent="0.15">
      <c r="A2263">
        <v>22</v>
      </c>
      <c r="B2263">
        <v>2026</v>
      </c>
      <c r="C2263" s="21">
        <v>46176</v>
      </c>
      <c r="D2263" t="s">
        <v>122</v>
      </c>
      <c r="E2263" t="s">
        <v>123</v>
      </c>
      <c r="F2263" t="s">
        <v>75</v>
      </c>
      <c r="G2263">
        <v>4.5</v>
      </c>
      <c r="H2263" t="s">
        <v>3829</v>
      </c>
      <c r="I2263" t="s">
        <v>190</v>
      </c>
      <c r="J2263" s="1" t="s">
        <v>30</v>
      </c>
      <c r="K2263" t="s">
        <v>181</v>
      </c>
      <c r="L2263" t="s">
        <v>3340</v>
      </c>
      <c r="M2263">
        <v>81</v>
      </c>
      <c r="N2263">
        <v>2.5</v>
      </c>
      <c r="O2263" t="s">
        <v>211</v>
      </c>
      <c r="P2263">
        <v>137.5</v>
      </c>
      <c r="R2263" t="s">
        <v>3374</v>
      </c>
      <c r="S2263" t="s">
        <v>4197</v>
      </c>
      <c r="T2263" t="s">
        <v>3337</v>
      </c>
      <c r="V2263" t="s">
        <v>4198</v>
      </c>
    </row>
    <row r="2264" spans="1:22" ht="12.75" customHeight="1" x14ac:dyDescent="0.15">
      <c r="A2264">
        <v>22</v>
      </c>
      <c r="B2264">
        <v>2026</v>
      </c>
      <c r="C2264" s="21">
        <v>46176</v>
      </c>
      <c r="D2264" t="s">
        <v>122</v>
      </c>
      <c r="E2264" t="s">
        <v>123</v>
      </c>
      <c r="F2264" t="s">
        <v>75</v>
      </c>
      <c r="G2264">
        <v>4.5</v>
      </c>
      <c r="H2264" t="s">
        <v>3829</v>
      </c>
      <c r="I2264" t="s">
        <v>190</v>
      </c>
      <c r="J2264" s="1" t="s">
        <v>30</v>
      </c>
      <c r="K2264" t="s">
        <v>181</v>
      </c>
      <c r="L2264" t="s">
        <v>3340</v>
      </c>
      <c r="M2264">
        <v>53</v>
      </c>
      <c r="N2264">
        <v>2.5</v>
      </c>
      <c r="O2264" t="s">
        <v>211</v>
      </c>
      <c r="P2264">
        <v>137.5</v>
      </c>
      <c r="R2264" t="s">
        <v>3373</v>
      </c>
      <c r="T2264" t="s">
        <v>3337</v>
      </c>
      <c r="V2264" t="s">
        <v>4198</v>
      </c>
    </row>
    <row r="2265" spans="1:22" ht="12.75" customHeight="1" x14ac:dyDescent="0.15">
      <c r="A2265">
        <v>22</v>
      </c>
      <c r="B2265">
        <v>2026</v>
      </c>
      <c r="C2265" s="21">
        <v>46176</v>
      </c>
      <c r="D2265" t="s">
        <v>122</v>
      </c>
      <c r="E2265" t="s">
        <v>123</v>
      </c>
      <c r="F2265" t="s">
        <v>75</v>
      </c>
      <c r="G2265">
        <v>4.5</v>
      </c>
      <c r="H2265" t="s">
        <v>3829</v>
      </c>
      <c r="I2265" t="s">
        <v>190</v>
      </c>
      <c r="J2265" s="1" t="s">
        <v>30</v>
      </c>
      <c r="K2265" t="s">
        <v>181</v>
      </c>
      <c r="L2265" t="s">
        <v>3340</v>
      </c>
      <c r="M2265">
        <v>72</v>
      </c>
      <c r="N2265">
        <v>0.55000000000000004</v>
      </c>
      <c r="O2265" t="s">
        <v>211</v>
      </c>
      <c r="P2265">
        <v>30</v>
      </c>
      <c r="R2265" t="s">
        <v>3488</v>
      </c>
      <c r="T2265" t="s">
        <v>3337</v>
      </c>
      <c r="V2265" t="s">
        <v>3382</v>
      </c>
    </row>
    <row r="2266" spans="1:22" ht="12.75" customHeight="1" x14ac:dyDescent="0.15">
      <c r="A2266">
        <v>22</v>
      </c>
      <c r="B2266">
        <v>2026</v>
      </c>
      <c r="C2266" s="21">
        <v>46176</v>
      </c>
      <c r="D2266" t="s">
        <v>60</v>
      </c>
      <c r="E2266" t="s">
        <v>61</v>
      </c>
      <c r="F2266" t="s">
        <v>21</v>
      </c>
      <c r="G2266">
        <v>1.6</v>
      </c>
      <c r="H2266" t="s">
        <v>3400</v>
      </c>
      <c r="I2266" t="s">
        <v>353</v>
      </c>
      <c r="J2266" s="1" t="s">
        <v>253</v>
      </c>
      <c r="K2266" t="s">
        <v>181</v>
      </c>
      <c r="L2266" t="s">
        <v>3340</v>
      </c>
      <c r="M2266">
        <v>45</v>
      </c>
      <c r="N2266">
        <v>0.65</v>
      </c>
      <c r="O2266" t="s">
        <v>211</v>
      </c>
      <c r="P2266">
        <v>36</v>
      </c>
      <c r="Q2266">
        <v>4</v>
      </c>
      <c r="R2266" t="s">
        <v>3377</v>
      </c>
      <c r="T2266" t="s">
        <v>3337</v>
      </c>
      <c r="U2266">
        <v>68</v>
      </c>
      <c r="V2266" t="s">
        <v>3523</v>
      </c>
    </row>
    <row r="2267" spans="1:22" ht="12.75" customHeight="1" x14ac:dyDescent="0.15">
      <c r="A2267">
        <v>22</v>
      </c>
      <c r="B2267">
        <v>2026</v>
      </c>
      <c r="C2267" s="21">
        <v>46176</v>
      </c>
      <c r="D2267" t="s">
        <v>60</v>
      </c>
      <c r="E2267" t="s">
        <v>61</v>
      </c>
      <c r="F2267" t="s">
        <v>21</v>
      </c>
      <c r="G2267">
        <v>1.6</v>
      </c>
      <c r="H2267" t="s">
        <v>3400</v>
      </c>
      <c r="I2267" t="s">
        <v>353</v>
      </c>
      <c r="J2267" s="1" t="s">
        <v>253</v>
      </c>
      <c r="K2267" t="s">
        <v>181</v>
      </c>
      <c r="L2267" t="s">
        <v>3340</v>
      </c>
      <c r="M2267">
        <v>58</v>
      </c>
      <c r="N2267">
        <v>0.65</v>
      </c>
      <c r="O2267" t="s">
        <v>211</v>
      </c>
      <c r="P2267">
        <v>36</v>
      </c>
      <c r="Q2267">
        <v>4</v>
      </c>
      <c r="R2267" t="s">
        <v>3343</v>
      </c>
      <c r="T2267" t="s">
        <v>3337</v>
      </c>
      <c r="U2267">
        <v>68</v>
      </c>
      <c r="V2267" t="s">
        <v>3523</v>
      </c>
    </row>
    <row r="2268" spans="1:22" ht="12.75" customHeight="1" x14ac:dyDescent="0.15">
      <c r="A2268">
        <v>22</v>
      </c>
      <c r="B2268">
        <v>2026</v>
      </c>
      <c r="C2268" s="21">
        <v>46176</v>
      </c>
      <c r="D2268" t="s">
        <v>139</v>
      </c>
      <c r="E2268" t="s">
        <v>140</v>
      </c>
      <c r="F2268" t="s">
        <v>75</v>
      </c>
      <c r="G2268">
        <v>0.8</v>
      </c>
      <c r="H2268" t="s">
        <v>3400</v>
      </c>
      <c r="I2268" t="s">
        <v>353</v>
      </c>
      <c r="J2268" s="1" t="s">
        <v>253</v>
      </c>
      <c r="K2268" t="s">
        <v>181</v>
      </c>
      <c r="L2268" t="s">
        <v>3340</v>
      </c>
      <c r="M2268">
        <v>45</v>
      </c>
      <c r="N2268">
        <v>0.65</v>
      </c>
      <c r="O2268" t="s">
        <v>211</v>
      </c>
      <c r="P2268">
        <v>36</v>
      </c>
      <c r="Q2268">
        <v>4</v>
      </c>
      <c r="R2268" t="s">
        <v>3377</v>
      </c>
      <c r="T2268" t="s">
        <v>3337</v>
      </c>
      <c r="U2268">
        <v>8</v>
      </c>
      <c r="V2268" t="s">
        <v>3530</v>
      </c>
    </row>
    <row r="2269" spans="1:22" ht="12.75" customHeight="1" x14ac:dyDescent="0.15">
      <c r="A2269">
        <v>22</v>
      </c>
      <c r="B2269">
        <v>2026</v>
      </c>
      <c r="C2269" s="21">
        <v>46176</v>
      </c>
      <c r="D2269" t="s">
        <v>139</v>
      </c>
      <c r="E2269" t="s">
        <v>140</v>
      </c>
      <c r="F2269" t="s">
        <v>75</v>
      </c>
      <c r="G2269">
        <v>0.8</v>
      </c>
      <c r="H2269" t="s">
        <v>3400</v>
      </c>
      <c r="I2269" t="s">
        <v>353</v>
      </c>
      <c r="J2269" s="1" t="s">
        <v>253</v>
      </c>
      <c r="K2269" t="s">
        <v>181</v>
      </c>
      <c r="L2269" t="s">
        <v>3340</v>
      </c>
      <c r="M2269">
        <v>58</v>
      </c>
      <c r="N2269">
        <v>0.65</v>
      </c>
      <c r="O2269" t="s">
        <v>211</v>
      </c>
      <c r="P2269">
        <v>36</v>
      </c>
      <c r="Q2269">
        <v>4</v>
      </c>
      <c r="R2269" t="s">
        <v>3343</v>
      </c>
      <c r="T2269" t="s">
        <v>3337</v>
      </c>
      <c r="U2269">
        <v>8</v>
      </c>
      <c r="V2269" t="s">
        <v>3530</v>
      </c>
    </row>
    <row r="2270" spans="1:22" ht="12.75" customHeight="1" x14ac:dyDescent="0.15">
      <c r="A2270">
        <v>22</v>
      </c>
      <c r="B2270">
        <v>2026</v>
      </c>
      <c r="C2270" s="21">
        <v>46176</v>
      </c>
      <c r="D2270" t="s">
        <v>60</v>
      </c>
      <c r="E2270" t="s">
        <v>61</v>
      </c>
      <c r="F2270" t="s">
        <v>21</v>
      </c>
      <c r="G2270">
        <v>1.6</v>
      </c>
      <c r="H2270" t="s">
        <v>3400</v>
      </c>
      <c r="I2270" t="s">
        <v>353</v>
      </c>
      <c r="J2270" s="1" t="s">
        <v>253</v>
      </c>
      <c r="K2270" t="s">
        <v>181</v>
      </c>
      <c r="L2270" t="s">
        <v>3333</v>
      </c>
      <c r="M2270">
        <v>2</v>
      </c>
      <c r="N2270">
        <v>0.5</v>
      </c>
      <c r="O2270" t="s">
        <v>3440</v>
      </c>
      <c r="P2270">
        <v>45.25</v>
      </c>
      <c r="Q2270">
        <v>4</v>
      </c>
      <c r="R2270" t="s">
        <v>3424</v>
      </c>
      <c r="T2270" t="s">
        <v>3337</v>
      </c>
      <c r="U2270">
        <v>68</v>
      </c>
      <c r="V2270" t="s">
        <v>4199</v>
      </c>
    </row>
    <row r="2271" spans="1:22" ht="12.75" customHeight="1" x14ac:dyDescent="0.15">
      <c r="A2271">
        <v>22</v>
      </c>
      <c r="B2271">
        <v>2026</v>
      </c>
      <c r="C2271" s="21">
        <v>46176</v>
      </c>
      <c r="D2271" t="s">
        <v>60</v>
      </c>
      <c r="E2271" t="s">
        <v>61</v>
      </c>
      <c r="F2271" t="s">
        <v>21</v>
      </c>
      <c r="G2271">
        <v>1.6</v>
      </c>
      <c r="H2271" t="s">
        <v>3400</v>
      </c>
      <c r="I2271" t="s">
        <v>353</v>
      </c>
      <c r="J2271" s="1" t="s">
        <v>253</v>
      </c>
      <c r="K2271" t="s">
        <v>181</v>
      </c>
      <c r="L2271" t="s">
        <v>3340</v>
      </c>
      <c r="M2271">
        <v>25</v>
      </c>
      <c r="N2271">
        <v>0.65</v>
      </c>
      <c r="O2271" t="s">
        <v>211</v>
      </c>
      <c r="P2271">
        <v>36</v>
      </c>
      <c r="Q2271">
        <v>4</v>
      </c>
      <c r="R2271" t="s">
        <v>3413</v>
      </c>
      <c r="T2271" t="s">
        <v>3337</v>
      </c>
      <c r="U2271">
        <v>68</v>
      </c>
      <c r="V2271" t="s">
        <v>3523</v>
      </c>
    </row>
    <row r="2272" spans="1:22" ht="12.75" customHeight="1" x14ac:dyDescent="0.15">
      <c r="A2272">
        <v>22</v>
      </c>
      <c r="B2272">
        <v>2026</v>
      </c>
      <c r="C2272" s="21">
        <v>46176</v>
      </c>
      <c r="D2272" t="s">
        <v>139</v>
      </c>
      <c r="E2272" t="s">
        <v>140</v>
      </c>
      <c r="F2272" t="s">
        <v>75</v>
      </c>
      <c r="G2272">
        <v>0.8</v>
      </c>
      <c r="H2272" t="s">
        <v>3400</v>
      </c>
      <c r="I2272" t="s">
        <v>353</v>
      </c>
      <c r="J2272" s="1" t="s">
        <v>253</v>
      </c>
      <c r="K2272" t="s">
        <v>181</v>
      </c>
      <c r="L2272" t="s">
        <v>3333</v>
      </c>
      <c r="M2272">
        <v>2</v>
      </c>
      <c r="N2272">
        <v>0.5</v>
      </c>
      <c r="O2272" t="s">
        <v>3440</v>
      </c>
      <c r="P2272">
        <v>45.25</v>
      </c>
      <c r="Q2272">
        <v>4</v>
      </c>
      <c r="R2272" t="s">
        <v>3424</v>
      </c>
      <c r="T2272" t="s">
        <v>3337</v>
      </c>
      <c r="U2272">
        <v>8</v>
      </c>
      <c r="V2272" t="s">
        <v>4200</v>
      </c>
    </row>
    <row r="2273" spans="1:22" ht="12.75" customHeight="1" x14ac:dyDescent="0.15">
      <c r="A2273">
        <v>22</v>
      </c>
      <c r="B2273">
        <v>2026</v>
      </c>
      <c r="C2273" s="21">
        <v>46176</v>
      </c>
      <c r="D2273" t="s">
        <v>139</v>
      </c>
      <c r="E2273" t="s">
        <v>140</v>
      </c>
      <c r="F2273" t="s">
        <v>75</v>
      </c>
      <c r="G2273">
        <v>0.8</v>
      </c>
      <c r="H2273" t="s">
        <v>3400</v>
      </c>
      <c r="I2273" t="s">
        <v>353</v>
      </c>
      <c r="J2273" s="1" t="s">
        <v>253</v>
      </c>
      <c r="K2273" t="s">
        <v>181</v>
      </c>
      <c r="L2273" t="s">
        <v>3340</v>
      </c>
      <c r="M2273">
        <v>25</v>
      </c>
      <c r="N2273">
        <v>0.35</v>
      </c>
      <c r="O2273" t="s">
        <v>211</v>
      </c>
      <c r="P2273">
        <v>19</v>
      </c>
      <c r="Q2273">
        <v>1</v>
      </c>
      <c r="R2273" t="s">
        <v>3413</v>
      </c>
      <c r="T2273" t="s">
        <v>3337</v>
      </c>
      <c r="U2273">
        <v>8</v>
      </c>
      <c r="V2273" t="s">
        <v>4201</v>
      </c>
    </row>
    <row r="2274" spans="1:22" ht="12.75" customHeight="1" x14ac:dyDescent="0.15">
      <c r="A2274">
        <v>22</v>
      </c>
      <c r="B2274">
        <v>2026</v>
      </c>
      <c r="C2274" s="21">
        <v>46176</v>
      </c>
      <c r="D2274" t="s">
        <v>139</v>
      </c>
      <c r="E2274" t="s">
        <v>140</v>
      </c>
      <c r="F2274" t="s">
        <v>75</v>
      </c>
      <c r="G2274">
        <v>0.8</v>
      </c>
      <c r="H2274" t="s">
        <v>3519</v>
      </c>
      <c r="I2274" t="s">
        <v>214</v>
      </c>
      <c r="J2274" s="1" t="s">
        <v>215</v>
      </c>
      <c r="K2274" t="s">
        <v>181</v>
      </c>
      <c r="L2274" t="s">
        <v>3333</v>
      </c>
      <c r="M2274">
        <v>1</v>
      </c>
      <c r="N2274">
        <v>1</v>
      </c>
      <c r="O2274" t="s">
        <v>3358</v>
      </c>
      <c r="P2274">
        <v>71.86</v>
      </c>
      <c r="Q2274">
        <v>8</v>
      </c>
      <c r="R2274" t="s">
        <v>3359</v>
      </c>
      <c r="T2274" t="s">
        <v>3337</v>
      </c>
    </row>
    <row r="2275" spans="1:22" ht="12.75" customHeight="1" x14ac:dyDescent="0.15">
      <c r="A2275">
        <v>22</v>
      </c>
      <c r="B2275">
        <v>2026</v>
      </c>
      <c r="C2275" s="21">
        <v>46176</v>
      </c>
      <c r="D2275" t="s">
        <v>139</v>
      </c>
      <c r="E2275" t="s">
        <v>140</v>
      </c>
      <c r="F2275" t="s">
        <v>75</v>
      </c>
      <c r="G2275">
        <v>0.8</v>
      </c>
      <c r="H2275" t="s">
        <v>3519</v>
      </c>
      <c r="I2275" t="s">
        <v>214</v>
      </c>
      <c r="J2275" s="1" t="s">
        <v>215</v>
      </c>
      <c r="K2275" t="s">
        <v>181</v>
      </c>
      <c r="L2275" t="s">
        <v>3333</v>
      </c>
      <c r="M2275">
        <v>6</v>
      </c>
      <c r="N2275">
        <v>1</v>
      </c>
      <c r="O2275" t="s">
        <v>3334</v>
      </c>
      <c r="P2275">
        <v>81.58</v>
      </c>
      <c r="Q2275">
        <v>8</v>
      </c>
      <c r="R2275" t="s">
        <v>3335</v>
      </c>
      <c r="T2275" t="s">
        <v>3337</v>
      </c>
    </row>
    <row r="2276" spans="1:22" ht="12.75" customHeight="1" x14ac:dyDescent="0.15">
      <c r="A2276">
        <v>22</v>
      </c>
      <c r="B2276">
        <v>2026</v>
      </c>
      <c r="C2276" s="21">
        <v>46176</v>
      </c>
      <c r="D2276" t="s">
        <v>107</v>
      </c>
      <c r="E2276" t="s">
        <v>108</v>
      </c>
      <c r="F2276" t="s">
        <v>21</v>
      </c>
      <c r="G2276">
        <v>4.5</v>
      </c>
      <c r="H2276" t="s">
        <v>3653</v>
      </c>
      <c r="I2276" t="s">
        <v>3566</v>
      </c>
      <c r="J2276" s="1" t="s">
        <v>3389</v>
      </c>
      <c r="K2276" t="s">
        <v>181</v>
      </c>
      <c r="L2276" t="s">
        <v>3333</v>
      </c>
      <c r="M2276">
        <v>86</v>
      </c>
      <c r="N2276">
        <v>1</v>
      </c>
      <c r="O2276" t="s">
        <v>3334</v>
      </c>
      <c r="P2276">
        <v>81.58</v>
      </c>
      <c r="Q2276">
        <v>8</v>
      </c>
      <c r="R2276" t="s">
        <v>3386</v>
      </c>
      <c r="T2276" t="s">
        <v>3402</v>
      </c>
    </row>
    <row r="2277" spans="1:22" ht="12.75" customHeight="1" x14ac:dyDescent="0.15">
      <c r="A2277">
        <v>22</v>
      </c>
      <c r="B2277">
        <v>2026</v>
      </c>
      <c r="C2277" s="21">
        <v>46176</v>
      </c>
      <c r="D2277" t="s">
        <v>107</v>
      </c>
      <c r="E2277" t="s">
        <v>108</v>
      </c>
      <c r="F2277" t="s">
        <v>21</v>
      </c>
      <c r="G2277">
        <v>4.5</v>
      </c>
      <c r="H2277" t="s">
        <v>3878</v>
      </c>
      <c r="I2277" t="s">
        <v>3566</v>
      </c>
      <c r="J2277" s="1" t="s">
        <v>3389</v>
      </c>
      <c r="K2277" t="s">
        <v>2666</v>
      </c>
      <c r="L2277" t="s">
        <v>3587</v>
      </c>
      <c r="P2277">
        <v>65.2</v>
      </c>
      <c r="Q2277">
        <v>8</v>
      </c>
      <c r="T2277" t="s">
        <v>3402</v>
      </c>
    </row>
    <row r="2278" spans="1:22" ht="12.75" customHeight="1" x14ac:dyDescent="0.15">
      <c r="A2278">
        <v>22</v>
      </c>
      <c r="B2278">
        <v>2026</v>
      </c>
      <c r="C2278" s="21">
        <v>46176</v>
      </c>
      <c r="D2278" t="s">
        <v>60</v>
      </c>
      <c r="E2278" t="s">
        <v>61</v>
      </c>
      <c r="F2278" t="s">
        <v>21</v>
      </c>
      <c r="G2278">
        <v>1.6</v>
      </c>
      <c r="H2278" t="s">
        <v>3391</v>
      </c>
      <c r="I2278" t="s">
        <v>353</v>
      </c>
      <c r="J2278" s="1" t="s">
        <v>253</v>
      </c>
      <c r="K2278" t="s">
        <v>181</v>
      </c>
      <c r="L2278" t="s">
        <v>3333</v>
      </c>
      <c r="M2278">
        <v>67</v>
      </c>
      <c r="N2278">
        <v>0.5</v>
      </c>
      <c r="O2278" t="s">
        <v>3334</v>
      </c>
      <c r="P2278">
        <v>40.79</v>
      </c>
      <c r="Q2278">
        <v>4</v>
      </c>
      <c r="R2278" t="s">
        <v>3404</v>
      </c>
      <c r="T2278" t="s">
        <v>3402</v>
      </c>
      <c r="U2278">
        <v>68</v>
      </c>
      <c r="V2278" t="s">
        <v>3500</v>
      </c>
    </row>
    <row r="2279" spans="1:22" ht="12.75" customHeight="1" x14ac:dyDescent="0.15">
      <c r="A2279">
        <v>22</v>
      </c>
      <c r="B2279">
        <v>2026</v>
      </c>
      <c r="C2279" s="21">
        <v>46176</v>
      </c>
      <c r="D2279" t="s">
        <v>60</v>
      </c>
      <c r="E2279" t="s">
        <v>61</v>
      </c>
      <c r="F2279" t="s">
        <v>21</v>
      </c>
      <c r="G2279">
        <v>1.6</v>
      </c>
      <c r="H2279" t="s">
        <v>3391</v>
      </c>
      <c r="I2279" t="s">
        <v>353</v>
      </c>
      <c r="J2279" s="1" t="s">
        <v>253</v>
      </c>
      <c r="K2279" t="s">
        <v>181</v>
      </c>
      <c r="L2279" t="s">
        <v>3333</v>
      </c>
      <c r="M2279">
        <v>19</v>
      </c>
      <c r="N2279">
        <v>0.5</v>
      </c>
      <c r="O2279" t="s">
        <v>3334</v>
      </c>
      <c r="P2279">
        <v>40.79</v>
      </c>
      <c r="Q2279">
        <v>4</v>
      </c>
      <c r="R2279" t="s">
        <v>3403</v>
      </c>
      <c r="T2279" t="s">
        <v>3402</v>
      </c>
      <c r="U2279">
        <v>68</v>
      </c>
      <c r="V2279" t="s">
        <v>3500</v>
      </c>
    </row>
    <row r="2280" spans="1:22" ht="12.75" customHeight="1" x14ac:dyDescent="0.15">
      <c r="A2280">
        <v>22</v>
      </c>
      <c r="B2280">
        <v>2026</v>
      </c>
      <c r="C2280" s="21">
        <v>46176</v>
      </c>
      <c r="D2280" t="s">
        <v>60</v>
      </c>
      <c r="E2280" t="s">
        <v>61</v>
      </c>
      <c r="F2280" t="s">
        <v>21</v>
      </c>
      <c r="G2280">
        <v>1.6</v>
      </c>
      <c r="H2280" t="s">
        <v>3391</v>
      </c>
      <c r="I2280" t="s">
        <v>353</v>
      </c>
      <c r="J2280" s="1" t="s">
        <v>253</v>
      </c>
      <c r="K2280" t="s">
        <v>181</v>
      </c>
      <c r="L2280" t="s">
        <v>3587</v>
      </c>
      <c r="M2280">
        <v>120</v>
      </c>
      <c r="N2280">
        <v>5.35</v>
      </c>
      <c r="O2280" t="s">
        <v>211</v>
      </c>
      <c r="P2280">
        <v>294</v>
      </c>
      <c r="R2280" t="s">
        <v>3415</v>
      </c>
      <c r="S2280" t="s">
        <v>4202</v>
      </c>
      <c r="T2280" t="s">
        <v>3402</v>
      </c>
      <c r="U2280">
        <v>68</v>
      </c>
      <c r="V2280" t="s">
        <v>4203</v>
      </c>
    </row>
    <row r="2281" spans="1:22" ht="12.75" customHeight="1" x14ac:dyDescent="0.15">
      <c r="A2281">
        <v>22</v>
      </c>
      <c r="B2281">
        <v>2026</v>
      </c>
      <c r="C2281" s="21">
        <v>46176</v>
      </c>
      <c r="D2281" t="s">
        <v>139</v>
      </c>
      <c r="E2281" t="s">
        <v>140</v>
      </c>
      <c r="F2281" t="s">
        <v>75</v>
      </c>
      <c r="G2281">
        <v>0.8</v>
      </c>
      <c r="H2281" t="s">
        <v>3391</v>
      </c>
      <c r="I2281" t="s">
        <v>353</v>
      </c>
      <c r="J2281" s="1" t="s">
        <v>253</v>
      </c>
      <c r="K2281" t="s">
        <v>181</v>
      </c>
      <c r="L2281" t="s">
        <v>3333</v>
      </c>
      <c r="M2281">
        <v>67</v>
      </c>
      <c r="N2281">
        <v>0.5</v>
      </c>
      <c r="O2281" t="s">
        <v>3334</v>
      </c>
      <c r="P2281">
        <v>40.79</v>
      </c>
      <c r="Q2281">
        <v>4</v>
      </c>
      <c r="R2281" t="s">
        <v>3404</v>
      </c>
      <c r="T2281" t="s">
        <v>3402</v>
      </c>
      <c r="U2281">
        <v>8</v>
      </c>
      <c r="V2281" t="s">
        <v>3574</v>
      </c>
    </row>
    <row r="2282" spans="1:22" ht="12.75" customHeight="1" x14ac:dyDescent="0.15">
      <c r="A2282">
        <v>22</v>
      </c>
      <c r="B2282">
        <v>2026</v>
      </c>
      <c r="C2282" s="21">
        <v>46176</v>
      </c>
      <c r="D2282" t="s">
        <v>139</v>
      </c>
      <c r="E2282" t="s">
        <v>140</v>
      </c>
      <c r="F2282" t="s">
        <v>75</v>
      </c>
      <c r="G2282">
        <v>0.8</v>
      </c>
      <c r="H2282" t="s">
        <v>3391</v>
      </c>
      <c r="I2282" t="s">
        <v>353</v>
      </c>
      <c r="J2282" s="1" t="s">
        <v>253</v>
      </c>
      <c r="K2282" t="s">
        <v>181</v>
      </c>
      <c r="L2282" t="s">
        <v>3333</v>
      </c>
      <c r="M2282">
        <v>19</v>
      </c>
      <c r="N2282">
        <v>0.5</v>
      </c>
      <c r="O2282" t="s">
        <v>3334</v>
      </c>
      <c r="P2282">
        <v>40.79</v>
      </c>
      <c r="Q2282">
        <v>4</v>
      </c>
      <c r="R2282" t="s">
        <v>3403</v>
      </c>
      <c r="T2282" t="s">
        <v>3402</v>
      </c>
      <c r="U2282">
        <v>8</v>
      </c>
      <c r="V2282" t="s">
        <v>3574</v>
      </c>
    </row>
    <row r="2283" spans="1:22" ht="12.75" customHeight="1" x14ac:dyDescent="0.15">
      <c r="A2283">
        <v>22</v>
      </c>
      <c r="B2283">
        <v>2026</v>
      </c>
      <c r="C2283" s="21">
        <v>46177</v>
      </c>
      <c r="D2283" t="s">
        <v>122</v>
      </c>
      <c r="E2283" t="s">
        <v>123</v>
      </c>
      <c r="F2283" t="s">
        <v>75</v>
      </c>
      <c r="G2283">
        <v>4.5</v>
      </c>
      <c r="H2283" t="s">
        <v>3865</v>
      </c>
      <c r="I2283" t="s">
        <v>3866</v>
      </c>
      <c r="J2283" s="1" t="s">
        <v>30</v>
      </c>
      <c r="K2283" t="s">
        <v>181</v>
      </c>
      <c r="L2283" t="s">
        <v>3340</v>
      </c>
      <c r="M2283">
        <v>45</v>
      </c>
      <c r="N2283">
        <v>0.82</v>
      </c>
      <c r="O2283" t="s">
        <v>211</v>
      </c>
      <c r="P2283">
        <v>45</v>
      </c>
      <c r="Q2283">
        <v>5</v>
      </c>
      <c r="R2283" t="s">
        <v>3377</v>
      </c>
      <c r="T2283" t="s">
        <v>3337</v>
      </c>
      <c r="V2283" t="s">
        <v>3711</v>
      </c>
    </row>
    <row r="2284" spans="1:22" ht="12.75" customHeight="1" x14ac:dyDescent="0.15">
      <c r="A2284">
        <v>22</v>
      </c>
      <c r="B2284">
        <v>2026</v>
      </c>
      <c r="C2284" s="21">
        <v>46177</v>
      </c>
      <c r="D2284" t="s">
        <v>122</v>
      </c>
      <c r="E2284" t="s">
        <v>123</v>
      </c>
      <c r="F2284" t="s">
        <v>75</v>
      </c>
      <c r="G2284">
        <v>4.5</v>
      </c>
      <c r="H2284" t="s">
        <v>3865</v>
      </c>
      <c r="I2284" t="s">
        <v>3866</v>
      </c>
      <c r="J2284" s="1" t="s">
        <v>30</v>
      </c>
      <c r="K2284" t="s">
        <v>181</v>
      </c>
      <c r="L2284" t="s">
        <v>3340</v>
      </c>
      <c r="M2284">
        <v>62</v>
      </c>
      <c r="N2284">
        <v>0.82</v>
      </c>
      <c r="O2284" t="s">
        <v>211</v>
      </c>
      <c r="P2284">
        <v>45</v>
      </c>
      <c r="Q2284">
        <v>5</v>
      </c>
      <c r="R2284" t="s">
        <v>3375</v>
      </c>
      <c r="T2284" t="s">
        <v>3337</v>
      </c>
      <c r="V2284" t="s">
        <v>3711</v>
      </c>
    </row>
    <row r="2285" spans="1:22" ht="12.75" customHeight="1" x14ac:dyDescent="0.15">
      <c r="A2285">
        <v>22</v>
      </c>
      <c r="B2285">
        <v>2026</v>
      </c>
      <c r="C2285" s="21">
        <v>46177</v>
      </c>
      <c r="D2285" t="s">
        <v>122</v>
      </c>
      <c r="E2285" t="s">
        <v>123</v>
      </c>
      <c r="F2285" t="s">
        <v>75</v>
      </c>
      <c r="G2285">
        <v>4.5</v>
      </c>
      <c r="H2285" t="s">
        <v>3829</v>
      </c>
      <c r="I2285" t="s">
        <v>190</v>
      </c>
      <c r="J2285" s="1" t="s">
        <v>30</v>
      </c>
      <c r="K2285" t="s">
        <v>181</v>
      </c>
      <c r="L2285" t="s">
        <v>3340</v>
      </c>
      <c r="M2285">
        <v>53</v>
      </c>
      <c r="N2285">
        <v>0.49</v>
      </c>
      <c r="O2285" t="s">
        <v>211</v>
      </c>
      <c r="P2285">
        <v>27</v>
      </c>
      <c r="Q2285">
        <v>3</v>
      </c>
      <c r="R2285" t="s">
        <v>3373</v>
      </c>
      <c r="T2285" t="s">
        <v>3337</v>
      </c>
      <c r="V2285" t="s">
        <v>4204</v>
      </c>
    </row>
    <row r="2286" spans="1:22" ht="12.75" customHeight="1" x14ac:dyDescent="0.15">
      <c r="A2286">
        <v>22</v>
      </c>
      <c r="B2286">
        <v>2026</v>
      </c>
      <c r="C2286" s="21">
        <v>46177</v>
      </c>
      <c r="D2286" t="s">
        <v>122</v>
      </c>
      <c r="E2286" t="s">
        <v>123</v>
      </c>
      <c r="F2286" t="s">
        <v>75</v>
      </c>
      <c r="G2286">
        <v>4.5</v>
      </c>
      <c r="H2286" t="s">
        <v>3829</v>
      </c>
      <c r="I2286" t="s">
        <v>190</v>
      </c>
      <c r="J2286" s="1" t="s">
        <v>30</v>
      </c>
      <c r="K2286" t="s">
        <v>181</v>
      </c>
      <c r="L2286" t="s">
        <v>3340</v>
      </c>
      <c r="M2286">
        <v>81</v>
      </c>
      <c r="N2286">
        <v>0.49</v>
      </c>
      <c r="O2286" t="s">
        <v>211</v>
      </c>
      <c r="P2286">
        <v>27</v>
      </c>
      <c r="Q2286">
        <v>3</v>
      </c>
      <c r="R2286" t="s">
        <v>3374</v>
      </c>
      <c r="T2286" t="s">
        <v>3337</v>
      </c>
      <c r="V2286" t="s">
        <v>4204</v>
      </c>
    </row>
    <row r="2287" spans="1:22" ht="12.75" customHeight="1" x14ac:dyDescent="0.15">
      <c r="A2287">
        <v>22</v>
      </c>
      <c r="B2287">
        <v>2026</v>
      </c>
      <c r="C2287" s="21">
        <v>46177</v>
      </c>
      <c r="D2287" t="s">
        <v>122</v>
      </c>
      <c r="E2287" t="s">
        <v>123</v>
      </c>
      <c r="F2287" t="s">
        <v>75</v>
      </c>
      <c r="G2287">
        <v>4.5</v>
      </c>
      <c r="H2287" t="s">
        <v>3865</v>
      </c>
      <c r="I2287" t="s">
        <v>3866</v>
      </c>
      <c r="J2287" s="1" t="s">
        <v>30</v>
      </c>
      <c r="K2287" t="s">
        <v>181</v>
      </c>
      <c r="L2287" t="s">
        <v>3340</v>
      </c>
      <c r="M2287">
        <v>53</v>
      </c>
      <c r="N2287">
        <v>0.82</v>
      </c>
      <c r="O2287" t="s">
        <v>211</v>
      </c>
      <c r="P2287">
        <v>45</v>
      </c>
      <c r="Q2287">
        <v>5</v>
      </c>
      <c r="R2287" t="s">
        <v>3373</v>
      </c>
      <c r="T2287" t="s">
        <v>3337</v>
      </c>
      <c r="V2287" t="s">
        <v>3711</v>
      </c>
    </row>
    <row r="2288" spans="1:22" ht="12.75" customHeight="1" x14ac:dyDescent="0.15">
      <c r="A2288">
        <v>22</v>
      </c>
      <c r="B2288">
        <v>2026</v>
      </c>
      <c r="C2288" s="21">
        <v>46177</v>
      </c>
      <c r="D2288" t="s">
        <v>122</v>
      </c>
      <c r="E2288" t="s">
        <v>123</v>
      </c>
      <c r="F2288" t="s">
        <v>75</v>
      </c>
      <c r="G2288">
        <v>4.5</v>
      </c>
      <c r="H2288" t="s">
        <v>3865</v>
      </c>
      <c r="I2288" t="s">
        <v>3866</v>
      </c>
      <c r="J2288" s="1" t="s">
        <v>30</v>
      </c>
      <c r="K2288" t="s">
        <v>181</v>
      </c>
      <c r="L2288" t="s">
        <v>3340</v>
      </c>
      <c r="M2288">
        <v>81</v>
      </c>
      <c r="N2288">
        <v>0.82</v>
      </c>
      <c r="O2288" t="s">
        <v>211</v>
      </c>
      <c r="P2288">
        <v>45</v>
      </c>
      <c r="Q2288">
        <v>5</v>
      </c>
      <c r="R2288" t="s">
        <v>3374</v>
      </c>
      <c r="T2288" t="s">
        <v>3337</v>
      </c>
      <c r="V2288" t="s">
        <v>3711</v>
      </c>
    </row>
    <row r="2289" spans="1:22" ht="12.75" customHeight="1" x14ac:dyDescent="0.15">
      <c r="A2289">
        <v>22</v>
      </c>
      <c r="B2289">
        <v>2026</v>
      </c>
      <c r="C2289" s="21">
        <v>46177</v>
      </c>
      <c r="D2289" t="s">
        <v>137</v>
      </c>
      <c r="E2289" t="s">
        <v>138</v>
      </c>
      <c r="F2289" t="s">
        <v>75</v>
      </c>
      <c r="G2289">
        <v>1</v>
      </c>
      <c r="H2289" t="s">
        <v>4096</v>
      </c>
      <c r="I2289" t="s">
        <v>3684</v>
      </c>
      <c r="J2289" s="1" t="s">
        <v>3668</v>
      </c>
      <c r="K2289" t="s">
        <v>181</v>
      </c>
      <c r="L2289" t="s">
        <v>3340</v>
      </c>
      <c r="M2289">
        <v>45</v>
      </c>
      <c r="N2289">
        <v>0.49</v>
      </c>
      <c r="O2289" t="s">
        <v>211</v>
      </c>
      <c r="P2289">
        <v>27</v>
      </c>
      <c r="Q2289">
        <v>3</v>
      </c>
      <c r="R2289" t="s">
        <v>3377</v>
      </c>
      <c r="T2289" t="s">
        <v>3337</v>
      </c>
    </row>
    <row r="2290" spans="1:22" ht="12.75" customHeight="1" x14ac:dyDescent="0.15">
      <c r="A2290">
        <v>22</v>
      </c>
      <c r="B2290">
        <v>2026</v>
      </c>
      <c r="C2290" s="21">
        <v>46177</v>
      </c>
      <c r="D2290" t="s">
        <v>137</v>
      </c>
      <c r="E2290" t="s">
        <v>138</v>
      </c>
      <c r="F2290" t="s">
        <v>75</v>
      </c>
      <c r="G2290">
        <v>1</v>
      </c>
      <c r="H2290" t="s">
        <v>4096</v>
      </c>
      <c r="I2290" t="s">
        <v>3684</v>
      </c>
      <c r="J2290" s="1" t="s">
        <v>3668</v>
      </c>
      <c r="K2290" t="s">
        <v>181</v>
      </c>
      <c r="L2290" t="s">
        <v>3340</v>
      </c>
      <c r="M2290">
        <v>62</v>
      </c>
      <c r="N2290">
        <v>0.49</v>
      </c>
      <c r="O2290" t="s">
        <v>211</v>
      </c>
      <c r="P2290">
        <v>27</v>
      </c>
      <c r="Q2290">
        <v>3</v>
      </c>
      <c r="R2290" t="s">
        <v>3375</v>
      </c>
      <c r="T2290" t="s">
        <v>3337</v>
      </c>
    </row>
    <row r="2291" spans="1:22" ht="12.75" customHeight="1" x14ac:dyDescent="0.15">
      <c r="A2291">
        <v>22</v>
      </c>
      <c r="B2291">
        <v>2026</v>
      </c>
      <c r="C2291" s="21">
        <v>46177</v>
      </c>
      <c r="D2291" t="s">
        <v>60</v>
      </c>
      <c r="E2291" t="s">
        <v>61</v>
      </c>
      <c r="F2291" t="s">
        <v>21</v>
      </c>
      <c r="G2291">
        <v>1.6</v>
      </c>
      <c r="H2291" t="s">
        <v>3400</v>
      </c>
      <c r="I2291" t="s">
        <v>353</v>
      </c>
      <c r="J2291" s="1" t="s">
        <v>253</v>
      </c>
      <c r="K2291" t="s">
        <v>181</v>
      </c>
      <c r="L2291" t="s">
        <v>3333</v>
      </c>
      <c r="M2291">
        <v>2</v>
      </c>
      <c r="N2291">
        <v>0.38</v>
      </c>
      <c r="O2291" t="s">
        <v>3440</v>
      </c>
      <c r="P2291">
        <v>33.93</v>
      </c>
      <c r="Q2291">
        <v>3</v>
      </c>
      <c r="R2291" t="s">
        <v>3424</v>
      </c>
      <c r="T2291" t="s">
        <v>3337</v>
      </c>
      <c r="U2291">
        <v>69</v>
      </c>
      <c r="V2291" t="s">
        <v>3649</v>
      </c>
    </row>
    <row r="2292" spans="1:22" ht="12.75" customHeight="1" x14ac:dyDescent="0.15">
      <c r="A2292">
        <v>22</v>
      </c>
      <c r="B2292">
        <v>2026</v>
      </c>
      <c r="C2292" s="21">
        <v>46177</v>
      </c>
      <c r="D2292" t="s">
        <v>60</v>
      </c>
      <c r="E2292" t="s">
        <v>61</v>
      </c>
      <c r="F2292" t="s">
        <v>21</v>
      </c>
      <c r="G2292">
        <v>1.6</v>
      </c>
      <c r="H2292" t="s">
        <v>3400</v>
      </c>
      <c r="I2292" t="s">
        <v>353</v>
      </c>
      <c r="J2292" s="1" t="s">
        <v>253</v>
      </c>
      <c r="K2292" t="s">
        <v>181</v>
      </c>
      <c r="L2292" t="s">
        <v>3340</v>
      </c>
      <c r="M2292">
        <v>25</v>
      </c>
      <c r="N2292">
        <v>0.55000000000000004</v>
      </c>
      <c r="O2292" t="s">
        <v>211</v>
      </c>
      <c r="P2292">
        <v>30</v>
      </c>
      <c r="Q2292">
        <v>3</v>
      </c>
      <c r="R2292" t="s">
        <v>3413</v>
      </c>
      <c r="T2292" t="s">
        <v>3337</v>
      </c>
      <c r="U2292">
        <v>69</v>
      </c>
      <c r="V2292" t="s">
        <v>3594</v>
      </c>
    </row>
    <row r="2293" spans="1:22" ht="12.75" customHeight="1" x14ac:dyDescent="0.15">
      <c r="A2293">
        <v>22</v>
      </c>
      <c r="B2293">
        <v>2026</v>
      </c>
      <c r="C2293" s="21">
        <v>46177</v>
      </c>
      <c r="D2293" t="s">
        <v>60</v>
      </c>
      <c r="E2293" t="s">
        <v>61</v>
      </c>
      <c r="F2293" t="s">
        <v>21</v>
      </c>
      <c r="G2293">
        <v>1.6</v>
      </c>
      <c r="H2293" t="s">
        <v>3400</v>
      </c>
      <c r="I2293" t="s">
        <v>353</v>
      </c>
      <c r="J2293" s="1" t="s">
        <v>253</v>
      </c>
      <c r="K2293" t="s">
        <v>181</v>
      </c>
      <c r="L2293" t="s">
        <v>3340</v>
      </c>
      <c r="M2293">
        <v>58</v>
      </c>
      <c r="N2293">
        <v>0.65</v>
      </c>
      <c r="O2293" t="s">
        <v>211</v>
      </c>
      <c r="P2293">
        <v>36</v>
      </c>
      <c r="Q2293">
        <v>4</v>
      </c>
      <c r="R2293" t="s">
        <v>3343</v>
      </c>
      <c r="T2293" t="s">
        <v>3337</v>
      </c>
      <c r="U2293">
        <v>69</v>
      </c>
      <c r="V2293" t="s">
        <v>3523</v>
      </c>
    </row>
    <row r="2294" spans="1:22" ht="12.75" customHeight="1" x14ac:dyDescent="0.15">
      <c r="A2294">
        <v>22</v>
      </c>
      <c r="B2294">
        <v>2026</v>
      </c>
      <c r="C2294" s="21">
        <v>46177</v>
      </c>
      <c r="D2294" t="s">
        <v>68</v>
      </c>
      <c r="E2294" t="s">
        <v>69</v>
      </c>
      <c r="F2294" t="s">
        <v>21</v>
      </c>
      <c r="G2294">
        <v>1</v>
      </c>
      <c r="H2294" t="s">
        <v>3400</v>
      </c>
      <c r="I2294" t="s">
        <v>353</v>
      </c>
      <c r="J2294" s="1" t="s">
        <v>253</v>
      </c>
      <c r="K2294" t="s">
        <v>181</v>
      </c>
      <c r="L2294" t="s">
        <v>3333</v>
      </c>
      <c r="M2294">
        <v>2</v>
      </c>
      <c r="N2294">
        <v>0.63</v>
      </c>
      <c r="O2294" t="s">
        <v>3440</v>
      </c>
      <c r="P2294">
        <v>56.56</v>
      </c>
      <c r="Q2294">
        <v>5</v>
      </c>
      <c r="R2294" t="s">
        <v>3424</v>
      </c>
      <c r="T2294" t="s">
        <v>3337</v>
      </c>
      <c r="U2294">
        <v>63</v>
      </c>
      <c r="V2294" t="s">
        <v>4200</v>
      </c>
    </row>
    <row r="2295" spans="1:22" ht="12.75" customHeight="1" x14ac:dyDescent="0.15">
      <c r="A2295">
        <v>22</v>
      </c>
      <c r="B2295">
        <v>2026</v>
      </c>
      <c r="C2295" s="21">
        <v>46177</v>
      </c>
      <c r="D2295" t="s">
        <v>68</v>
      </c>
      <c r="E2295" t="s">
        <v>69</v>
      </c>
      <c r="F2295" t="s">
        <v>21</v>
      </c>
      <c r="G2295">
        <v>1</v>
      </c>
      <c r="H2295" t="s">
        <v>3400</v>
      </c>
      <c r="I2295" t="s">
        <v>353</v>
      </c>
      <c r="J2295" s="1" t="s">
        <v>253</v>
      </c>
      <c r="K2295" t="s">
        <v>181</v>
      </c>
      <c r="L2295" t="s">
        <v>3340</v>
      </c>
      <c r="M2295">
        <v>25</v>
      </c>
      <c r="N2295">
        <v>0.45</v>
      </c>
      <c r="O2295" t="s">
        <v>211</v>
      </c>
      <c r="P2295">
        <v>25</v>
      </c>
      <c r="Q2295">
        <v>5</v>
      </c>
      <c r="R2295" t="s">
        <v>3413</v>
      </c>
      <c r="T2295" t="s">
        <v>3337</v>
      </c>
      <c r="U2295">
        <v>63</v>
      </c>
      <c r="V2295" t="s">
        <v>3608</v>
      </c>
    </row>
    <row r="2296" spans="1:22" ht="12.75" customHeight="1" x14ac:dyDescent="0.15">
      <c r="A2296">
        <v>22</v>
      </c>
      <c r="B2296">
        <v>2026</v>
      </c>
      <c r="C2296" s="21">
        <v>46177</v>
      </c>
      <c r="D2296" t="s">
        <v>68</v>
      </c>
      <c r="E2296" t="s">
        <v>69</v>
      </c>
      <c r="F2296" t="s">
        <v>21</v>
      </c>
      <c r="G2296">
        <v>1</v>
      </c>
      <c r="H2296" t="s">
        <v>3400</v>
      </c>
      <c r="I2296" t="s">
        <v>353</v>
      </c>
      <c r="J2296" s="1" t="s">
        <v>253</v>
      </c>
      <c r="K2296" t="s">
        <v>181</v>
      </c>
      <c r="L2296" t="s">
        <v>3340</v>
      </c>
      <c r="M2296">
        <v>58</v>
      </c>
      <c r="N2296">
        <v>0.65</v>
      </c>
      <c r="O2296" t="s">
        <v>211</v>
      </c>
      <c r="P2296">
        <v>36</v>
      </c>
      <c r="Q2296">
        <v>4</v>
      </c>
      <c r="R2296" t="s">
        <v>3343</v>
      </c>
      <c r="T2296" t="s">
        <v>3337</v>
      </c>
      <c r="U2296">
        <v>63</v>
      </c>
      <c r="V2296" t="s">
        <v>3507</v>
      </c>
    </row>
    <row r="2297" spans="1:22" ht="12.75" customHeight="1" x14ac:dyDescent="0.15">
      <c r="A2297">
        <v>22</v>
      </c>
      <c r="B2297">
        <v>2026</v>
      </c>
      <c r="C2297" s="21">
        <v>46177</v>
      </c>
      <c r="D2297" t="s">
        <v>73</v>
      </c>
      <c r="E2297" t="s">
        <v>74</v>
      </c>
      <c r="F2297" t="s">
        <v>75</v>
      </c>
      <c r="G2297">
        <v>2.2999999999999998</v>
      </c>
      <c r="H2297" t="s">
        <v>3796</v>
      </c>
      <c r="I2297" t="s">
        <v>3667</v>
      </c>
      <c r="J2297" s="1" t="s">
        <v>3668</v>
      </c>
      <c r="K2297" t="s">
        <v>181</v>
      </c>
      <c r="L2297" t="s">
        <v>3333</v>
      </c>
      <c r="M2297">
        <v>1</v>
      </c>
      <c r="N2297">
        <v>1</v>
      </c>
      <c r="O2297" t="s">
        <v>3358</v>
      </c>
      <c r="P2297">
        <v>71.86</v>
      </c>
      <c r="Q2297">
        <v>8</v>
      </c>
      <c r="R2297" t="s">
        <v>3359</v>
      </c>
      <c r="T2297" t="s">
        <v>3337</v>
      </c>
      <c r="U2297">
        <v>47</v>
      </c>
      <c r="V2297" t="s">
        <v>3611</v>
      </c>
    </row>
    <row r="2298" spans="1:22" ht="12.75" customHeight="1" x14ac:dyDescent="0.15">
      <c r="A2298">
        <v>22</v>
      </c>
      <c r="B2298">
        <v>2026</v>
      </c>
      <c r="C2298" s="21">
        <v>46177</v>
      </c>
      <c r="D2298" t="s">
        <v>73</v>
      </c>
      <c r="E2298" t="s">
        <v>74</v>
      </c>
      <c r="F2298" t="s">
        <v>75</v>
      </c>
      <c r="G2298">
        <v>2.2999999999999998</v>
      </c>
      <c r="H2298" t="s">
        <v>3796</v>
      </c>
      <c r="I2298" t="s">
        <v>3667</v>
      </c>
      <c r="J2298" s="1" t="s">
        <v>3668</v>
      </c>
      <c r="K2298" t="s">
        <v>181</v>
      </c>
      <c r="L2298" t="s">
        <v>3333</v>
      </c>
      <c r="M2298">
        <v>6</v>
      </c>
      <c r="N2298">
        <v>1</v>
      </c>
      <c r="O2298" t="s">
        <v>3334</v>
      </c>
      <c r="P2298">
        <v>81.58</v>
      </c>
      <c r="Q2298">
        <v>8</v>
      </c>
      <c r="R2298" t="s">
        <v>3335</v>
      </c>
      <c r="T2298" t="s">
        <v>3337</v>
      </c>
      <c r="U2298">
        <v>47</v>
      </c>
      <c r="V2298" t="s">
        <v>3612</v>
      </c>
    </row>
    <row r="2299" spans="1:22" ht="12.75" customHeight="1" x14ac:dyDescent="0.15">
      <c r="A2299">
        <v>22</v>
      </c>
      <c r="B2299">
        <v>2026</v>
      </c>
      <c r="C2299" s="21">
        <v>46177</v>
      </c>
      <c r="D2299" t="s">
        <v>60</v>
      </c>
      <c r="E2299" t="s">
        <v>61</v>
      </c>
      <c r="F2299" t="s">
        <v>21</v>
      </c>
      <c r="G2299">
        <v>1.6</v>
      </c>
      <c r="H2299" t="s">
        <v>3391</v>
      </c>
      <c r="I2299" t="s">
        <v>353</v>
      </c>
      <c r="J2299" s="1" t="s">
        <v>253</v>
      </c>
      <c r="K2299" t="s">
        <v>181</v>
      </c>
      <c r="L2299" t="s">
        <v>3333</v>
      </c>
      <c r="M2299">
        <v>67</v>
      </c>
      <c r="N2299">
        <v>0.38</v>
      </c>
      <c r="O2299" t="s">
        <v>3334</v>
      </c>
      <c r="P2299">
        <v>30.59</v>
      </c>
      <c r="Q2299">
        <v>3</v>
      </c>
      <c r="R2299" t="s">
        <v>3404</v>
      </c>
      <c r="T2299" t="s">
        <v>3402</v>
      </c>
      <c r="U2299">
        <v>69</v>
      </c>
      <c r="V2299" t="s">
        <v>3582</v>
      </c>
    </row>
    <row r="2300" spans="1:22" ht="12.75" customHeight="1" x14ac:dyDescent="0.15">
      <c r="A2300">
        <v>22</v>
      </c>
      <c r="B2300">
        <v>2026</v>
      </c>
      <c r="C2300" s="21">
        <v>46177</v>
      </c>
      <c r="D2300" t="s">
        <v>60</v>
      </c>
      <c r="E2300" t="s">
        <v>61</v>
      </c>
      <c r="F2300" t="s">
        <v>21</v>
      </c>
      <c r="G2300">
        <v>1.6</v>
      </c>
      <c r="H2300" t="s">
        <v>3391</v>
      </c>
      <c r="I2300" t="s">
        <v>353</v>
      </c>
      <c r="J2300" s="1" t="s">
        <v>253</v>
      </c>
      <c r="K2300" t="s">
        <v>181</v>
      </c>
      <c r="L2300" t="s">
        <v>3333</v>
      </c>
      <c r="M2300">
        <v>19</v>
      </c>
      <c r="N2300">
        <v>0.38</v>
      </c>
      <c r="O2300" t="s">
        <v>3334</v>
      </c>
      <c r="P2300">
        <v>30.59</v>
      </c>
      <c r="Q2300">
        <v>3</v>
      </c>
      <c r="R2300" t="s">
        <v>3403</v>
      </c>
      <c r="T2300" t="s">
        <v>3402</v>
      </c>
      <c r="U2300">
        <v>69</v>
      </c>
      <c r="V2300" t="s">
        <v>3582</v>
      </c>
    </row>
    <row r="2301" spans="1:22" ht="12.75" customHeight="1" x14ac:dyDescent="0.15">
      <c r="A2301">
        <v>22</v>
      </c>
      <c r="B2301">
        <v>2026</v>
      </c>
      <c r="C2301" s="21">
        <v>46177</v>
      </c>
      <c r="D2301" t="s">
        <v>60</v>
      </c>
      <c r="E2301" t="s">
        <v>61</v>
      </c>
      <c r="F2301" t="s">
        <v>21</v>
      </c>
      <c r="G2301">
        <v>1.6</v>
      </c>
      <c r="H2301" t="s">
        <v>3391</v>
      </c>
      <c r="I2301" t="s">
        <v>353</v>
      </c>
      <c r="J2301" s="1" t="s">
        <v>253</v>
      </c>
      <c r="K2301" t="s">
        <v>181</v>
      </c>
      <c r="L2301" t="s">
        <v>3587</v>
      </c>
      <c r="M2301">
        <v>120</v>
      </c>
      <c r="N2301">
        <v>4</v>
      </c>
      <c r="O2301" t="s">
        <v>211</v>
      </c>
      <c r="P2301">
        <v>220</v>
      </c>
      <c r="R2301" t="s">
        <v>3415</v>
      </c>
      <c r="T2301" t="s">
        <v>3402</v>
      </c>
      <c r="U2301">
        <v>69</v>
      </c>
      <c r="V2301" t="s">
        <v>4205</v>
      </c>
    </row>
    <row r="2302" spans="1:22" ht="12.75" customHeight="1" x14ac:dyDescent="0.15">
      <c r="A2302">
        <v>22</v>
      </c>
      <c r="B2302">
        <v>2026</v>
      </c>
      <c r="C2302" s="21">
        <v>46177</v>
      </c>
      <c r="D2302" t="s">
        <v>68</v>
      </c>
      <c r="E2302" t="s">
        <v>69</v>
      </c>
      <c r="F2302" t="s">
        <v>21</v>
      </c>
      <c r="G2302">
        <v>1</v>
      </c>
      <c r="H2302" t="s">
        <v>3391</v>
      </c>
      <c r="I2302" t="s">
        <v>353</v>
      </c>
      <c r="J2302" s="1" t="s">
        <v>253</v>
      </c>
      <c r="K2302" t="s">
        <v>181</v>
      </c>
      <c r="L2302" t="s">
        <v>3333</v>
      </c>
      <c r="M2302">
        <v>67</v>
      </c>
      <c r="N2302">
        <v>0.63</v>
      </c>
      <c r="O2302" t="s">
        <v>3334</v>
      </c>
      <c r="P2302">
        <v>50.99</v>
      </c>
      <c r="Q2302">
        <v>5</v>
      </c>
      <c r="R2302" t="s">
        <v>3404</v>
      </c>
      <c r="T2302" t="s">
        <v>3402</v>
      </c>
      <c r="U2302">
        <v>63</v>
      </c>
      <c r="V2302" t="s">
        <v>3574</v>
      </c>
    </row>
    <row r="2303" spans="1:22" ht="12.75" customHeight="1" x14ac:dyDescent="0.15">
      <c r="A2303">
        <v>22</v>
      </c>
      <c r="B2303">
        <v>2026</v>
      </c>
      <c r="C2303" s="21">
        <v>46177</v>
      </c>
      <c r="D2303" t="s">
        <v>68</v>
      </c>
      <c r="E2303" t="s">
        <v>69</v>
      </c>
      <c r="F2303" t="s">
        <v>21</v>
      </c>
      <c r="G2303">
        <v>1</v>
      </c>
      <c r="H2303" t="s">
        <v>3391</v>
      </c>
      <c r="I2303" t="s">
        <v>353</v>
      </c>
      <c r="J2303" s="1" t="s">
        <v>253</v>
      </c>
      <c r="K2303" t="s">
        <v>181</v>
      </c>
      <c r="L2303" t="s">
        <v>3333</v>
      </c>
      <c r="M2303">
        <v>19</v>
      </c>
      <c r="N2303">
        <v>0.63</v>
      </c>
      <c r="O2303" t="s">
        <v>3334</v>
      </c>
      <c r="P2303">
        <v>50.99</v>
      </c>
      <c r="Q2303">
        <v>5</v>
      </c>
      <c r="R2303" t="s">
        <v>3403</v>
      </c>
      <c r="T2303" t="s">
        <v>3402</v>
      </c>
      <c r="U2303">
        <v>63</v>
      </c>
      <c r="V2303" t="s">
        <v>3574</v>
      </c>
    </row>
    <row r="2304" spans="1:22" ht="12.75" customHeight="1" x14ac:dyDescent="0.15">
      <c r="A2304">
        <v>22</v>
      </c>
      <c r="B2304">
        <v>2026</v>
      </c>
      <c r="C2304" s="21">
        <v>46177</v>
      </c>
      <c r="D2304" t="s">
        <v>68</v>
      </c>
      <c r="E2304" t="s">
        <v>69</v>
      </c>
      <c r="F2304" t="s">
        <v>21</v>
      </c>
      <c r="G2304">
        <v>1</v>
      </c>
      <c r="H2304" t="s">
        <v>3391</v>
      </c>
      <c r="I2304" t="s">
        <v>353</v>
      </c>
      <c r="J2304" s="1" t="s">
        <v>253</v>
      </c>
      <c r="K2304" t="s">
        <v>181</v>
      </c>
      <c r="L2304" t="s">
        <v>3587</v>
      </c>
      <c r="M2304">
        <v>120</v>
      </c>
      <c r="N2304">
        <v>4</v>
      </c>
      <c r="O2304" t="s">
        <v>211</v>
      </c>
      <c r="P2304">
        <v>220</v>
      </c>
      <c r="R2304" t="s">
        <v>3415</v>
      </c>
      <c r="T2304" t="s">
        <v>3402</v>
      </c>
      <c r="U2304">
        <v>63</v>
      </c>
      <c r="V2304" t="s">
        <v>205</v>
      </c>
    </row>
    <row r="2305" spans="1:22" ht="12.75" customHeight="1" x14ac:dyDescent="0.15">
      <c r="A2305">
        <v>22</v>
      </c>
      <c r="B2305">
        <v>2026</v>
      </c>
      <c r="C2305" s="21">
        <v>46177</v>
      </c>
      <c r="D2305" t="s">
        <v>137</v>
      </c>
      <c r="E2305" t="s">
        <v>138</v>
      </c>
      <c r="F2305" t="s">
        <v>75</v>
      </c>
      <c r="G2305">
        <v>1</v>
      </c>
      <c r="H2305" t="s">
        <v>4206</v>
      </c>
      <c r="I2305" t="s">
        <v>4207</v>
      </c>
      <c r="J2305" s="1" t="s">
        <v>3668</v>
      </c>
      <c r="K2305" t="s">
        <v>181</v>
      </c>
      <c r="L2305" t="s">
        <v>3333</v>
      </c>
      <c r="M2305">
        <v>4</v>
      </c>
      <c r="N2305">
        <v>0.38</v>
      </c>
      <c r="O2305" t="s">
        <v>3334</v>
      </c>
      <c r="P2305">
        <v>30.59</v>
      </c>
      <c r="Q2305">
        <v>3</v>
      </c>
      <c r="R2305" t="s">
        <v>3773</v>
      </c>
      <c r="T2305" t="s">
        <v>3402</v>
      </c>
      <c r="U2305">
        <v>-43</v>
      </c>
      <c r="V2305" t="s">
        <v>3491</v>
      </c>
    </row>
    <row r="2306" spans="1:22" ht="12.75" customHeight="1" x14ac:dyDescent="0.15">
      <c r="A2306">
        <v>22</v>
      </c>
      <c r="B2306">
        <v>2026</v>
      </c>
      <c r="C2306" s="21">
        <v>46177</v>
      </c>
      <c r="D2306" t="s">
        <v>137</v>
      </c>
      <c r="E2306" t="s">
        <v>138</v>
      </c>
      <c r="F2306" t="s">
        <v>75</v>
      </c>
      <c r="G2306">
        <v>1</v>
      </c>
      <c r="H2306" t="s">
        <v>4206</v>
      </c>
      <c r="I2306" t="s">
        <v>4207</v>
      </c>
      <c r="J2306" s="1" t="s">
        <v>3668</v>
      </c>
      <c r="K2306" t="s">
        <v>181</v>
      </c>
      <c r="L2306" t="s">
        <v>3340</v>
      </c>
      <c r="M2306">
        <v>78</v>
      </c>
      <c r="N2306">
        <v>0.49</v>
      </c>
      <c r="O2306" t="s">
        <v>211</v>
      </c>
      <c r="P2306">
        <v>27</v>
      </c>
      <c r="Q2306">
        <v>3</v>
      </c>
      <c r="R2306" t="s">
        <v>3341</v>
      </c>
      <c r="T2306" t="s">
        <v>3402</v>
      </c>
      <c r="U2306">
        <v>-43</v>
      </c>
      <c r="V2306" t="s">
        <v>273</v>
      </c>
    </row>
    <row r="2307" spans="1:22" ht="12.75" customHeight="1" x14ac:dyDescent="0.15">
      <c r="A2307">
        <v>22</v>
      </c>
      <c r="B2307">
        <v>2026</v>
      </c>
      <c r="C2307" s="21">
        <v>46177</v>
      </c>
      <c r="D2307" t="s">
        <v>107</v>
      </c>
      <c r="E2307" t="s">
        <v>108</v>
      </c>
      <c r="F2307" t="s">
        <v>21</v>
      </c>
      <c r="G2307">
        <v>4.5</v>
      </c>
      <c r="H2307" t="s">
        <v>3653</v>
      </c>
      <c r="I2307" t="s">
        <v>3566</v>
      </c>
      <c r="J2307" s="1" t="s">
        <v>3389</v>
      </c>
      <c r="K2307" t="s">
        <v>181</v>
      </c>
      <c r="L2307" t="s">
        <v>3333</v>
      </c>
      <c r="M2307">
        <v>86</v>
      </c>
      <c r="N2307">
        <v>1</v>
      </c>
      <c r="O2307" t="s">
        <v>3334</v>
      </c>
      <c r="P2307">
        <v>81.58</v>
      </c>
      <c r="Q2307">
        <v>8</v>
      </c>
      <c r="R2307" t="s">
        <v>3386</v>
      </c>
      <c r="T2307" t="s">
        <v>3402</v>
      </c>
    </row>
    <row r="2308" spans="1:22" ht="12.75" customHeight="1" x14ac:dyDescent="0.15">
      <c r="A2308">
        <v>22</v>
      </c>
      <c r="B2308">
        <v>2026</v>
      </c>
      <c r="C2308" s="21">
        <v>46177</v>
      </c>
      <c r="D2308" t="s">
        <v>107</v>
      </c>
      <c r="E2308" t="s">
        <v>108</v>
      </c>
      <c r="F2308" t="s">
        <v>21</v>
      </c>
      <c r="G2308">
        <v>4.5</v>
      </c>
      <c r="H2308" t="s">
        <v>3878</v>
      </c>
      <c r="I2308" t="s">
        <v>3566</v>
      </c>
      <c r="J2308" s="1" t="s">
        <v>3389</v>
      </c>
      <c r="K2308" t="s">
        <v>2666</v>
      </c>
      <c r="L2308" t="s">
        <v>3587</v>
      </c>
      <c r="P2308">
        <v>86.1</v>
      </c>
      <c r="Q2308">
        <v>10.5</v>
      </c>
      <c r="T2308" t="s">
        <v>3402</v>
      </c>
    </row>
    <row r="2309" spans="1:22" ht="12.75" customHeight="1" x14ac:dyDescent="0.15">
      <c r="A2309">
        <v>22</v>
      </c>
      <c r="B2309">
        <v>2026</v>
      </c>
      <c r="C2309" s="21">
        <v>46177</v>
      </c>
      <c r="D2309" t="s">
        <v>107</v>
      </c>
      <c r="E2309" t="s">
        <v>108</v>
      </c>
      <c r="F2309" t="s">
        <v>21</v>
      </c>
      <c r="G2309">
        <v>4.5</v>
      </c>
      <c r="H2309" t="s">
        <v>3653</v>
      </c>
      <c r="I2309" t="s">
        <v>3566</v>
      </c>
      <c r="J2309" s="1" t="s">
        <v>3389</v>
      </c>
      <c r="K2309" t="s">
        <v>181</v>
      </c>
      <c r="L2309" t="s">
        <v>3340</v>
      </c>
      <c r="M2309">
        <v>86</v>
      </c>
      <c r="N2309">
        <v>0.68</v>
      </c>
      <c r="O2309" t="s">
        <v>211</v>
      </c>
      <c r="P2309">
        <v>37.5</v>
      </c>
      <c r="Q2309">
        <v>2.5</v>
      </c>
      <c r="R2309" t="s">
        <v>3386</v>
      </c>
      <c r="T2309" t="s">
        <v>3402</v>
      </c>
    </row>
    <row r="2310" spans="1:22" ht="12.75" customHeight="1" x14ac:dyDescent="0.15">
      <c r="A2310">
        <v>22</v>
      </c>
      <c r="B2310">
        <v>2026</v>
      </c>
      <c r="C2310" s="21">
        <v>46177</v>
      </c>
      <c r="D2310" t="s">
        <v>19</v>
      </c>
      <c r="E2310" t="s">
        <v>20</v>
      </c>
      <c r="F2310" t="s">
        <v>21</v>
      </c>
      <c r="G2310">
        <v>3.8</v>
      </c>
      <c r="H2310" t="s">
        <v>3528</v>
      </c>
      <c r="I2310" t="s">
        <v>3529</v>
      </c>
      <c r="J2310" s="1" t="s">
        <v>26</v>
      </c>
      <c r="K2310" t="s">
        <v>181</v>
      </c>
      <c r="L2310" t="s">
        <v>3587</v>
      </c>
      <c r="M2310">
        <v>200</v>
      </c>
      <c r="P2310">
        <v>340</v>
      </c>
      <c r="R2310" t="s">
        <v>4038</v>
      </c>
      <c r="S2310" t="s">
        <v>4208</v>
      </c>
      <c r="T2310" t="s">
        <v>3402</v>
      </c>
      <c r="U2310">
        <v>177</v>
      </c>
      <c r="V2310" t="s">
        <v>4209</v>
      </c>
    </row>
    <row r="2311" spans="1:22" ht="12.75" customHeight="1" x14ac:dyDescent="0.15">
      <c r="A2311">
        <v>23</v>
      </c>
      <c r="B2311">
        <v>2026</v>
      </c>
      <c r="C2311" s="21">
        <v>46178</v>
      </c>
      <c r="D2311" t="s">
        <v>122</v>
      </c>
      <c r="E2311" t="s">
        <v>123</v>
      </c>
      <c r="F2311" t="s">
        <v>75</v>
      </c>
      <c r="G2311">
        <v>4.5</v>
      </c>
      <c r="H2311" t="s">
        <v>3865</v>
      </c>
      <c r="I2311" t="s">
        <v>3866</v>
      </c>
      <c r="J2311" s="1" t="s">
        <v>30</v>
      </c>
      <c r="K2311" t="s">
        <v>181</v>
      </c>
      <c r="L2311" t="s">
        <v>3340</v>
      </c>
      <c r="M2311">
        <v>81</v>
      </c>
      <c r="N2311">
        <v>0.82</v>
      </c>
      <c r="O2311" t="s">
        <v>211</v>
      </c>
      <c r="P2311">
        <v>45</v>
      </c>
      <c r="Q2311">
        <v>5</v>
      </c>
      <c r="R2311" t="s">
        <v>3374</v>
      </c>
      <c r="T2311" t="s">
        <v>3337</v>
      </c>
      <c r="V2311" t="s">
        <v>3711</v>
      </c>
    </row>
    <row r="2312" spans="1:22" ht="12.75" customHeight="1" x14ac:dyDescent="0.15">
      <c r="A2312">
        <v>23</v>
      </c>
      <c r="B2312">
        <v>2026</v>
      </c>
      <c r="C2312" s="21">
        <v>46178</v>
      </c>
      <c r="D2312" t="s">
        <v>122</v>
      </c>
      <c r="E2312" t="s">
        <v>123</v>
      </c>
      <c r="F2312" t="s">
        <v>75</v>
      </c>
      <c r="G2312">
        <v>4.5</v>
      </c>
      <c r="H2312" t="s">
        <v>3865</v>
      </c>
      <c r="I2312" t="s">
        <v>3866</v>
      </c>
      <c r="J2312" s="1" t="s">
        <v>30</v>
      </c>
      <c r="K2312" t="s">
        <v>181</v>
      </c>
      <c r="L2312" t="s">
        <v>3340</v>
      </c>
      <c r="M2312">
        <v>53</v>
      </c>
      <c r="N2312">
        <v>0.82</v>
      </c>
      <c r="O2312" t="s">
        <v>211</v>
      </c>
      <c r="P2312">
        <v>45</v>
      </c>
      <c r="Q2312">
        <v>5</v>
      </c>
      <c r="R2312" t="s">
        <v>3373</v>
      </c>
      <c r="T2312" t="s">
        <v>3337</v>
      </c>
      <c r="V2312" t="s">
        <v>3711</v>
      </c>
    </row>
    <row r="2313" spans="1:22" ht="12.75" customHeight="1" x14ac:dyDescent="0.15">
      <c r="A2313">
        <v>23</v>
      </c>
      <c r="B2313">
        <v>2026</v>
      </c>
      <c r="C2313" s="21">
        <v>46178</v>
      </c>
      <c r="D2313" t="s">
        <v>68</v>
      </c>
      <c r="E2313" t="s">
        <v>69</v>
      </c>
      <c r="F2313" t="s">
        <v>21</v>
      </c>
      <c r="G2313">
        <v>1</v>
      </c>
      <c r="H2313" t="s">
        <v>3400</v>
      </c>
      <c r="I2313" t="s">
        <v>353</v>
      </c>
      <c r="J2313" s="1" t="s">
        <v>253</v>
      </c>
      <c r="K2313" t="s">
        <v>181</v>
      </c>
      <c r="L2313" t="s">
        <v>3333</v>
      </c>
      <c r="M2313">
        <v>2</v>
      </c>
      <c r="N2313">
        <v>0.25</v>
      </c>
      <c r="O2313" t="s">
        <v>3440</v>
      </c>
      <c r="P2313">
        <v>22.62</v>
      </c>
      <c r="Q2313">
        <v>2</v>
      </c>
      <c r="R2313" t="s">
        <v>3424</v>
      </c>
      <c r="T2313" t="s">
        <v>3337</v>
      </c>
      <c r="U2313">
        <v>64</v>
      </c>
      <c r="V2313" t="s">
        <v>3630</v>
      </c>
    </row>
    <row r="2314" spans="1:22" ht="12.75" customHeight="1" x14ac:dyDescent="0.15">
      <c r="A2314">
        <v>23</v>
      </c>
      <c r="B2314">
        <v>2026</v>
      </c>
      <c r="C2314" s="21">
        <v>46178</v>
      </c>
      <c r="D2314" t="s">
        <v>68</v>
      </c>
      <c r="E2314" t="s">
        <v>69</v>
      </c>
      <c r="F2314" t="s">
        <v>21</v>
      </c>
      <c r="G2314">
        <v>1</v>
      </c>
      <c r="H2314" t="s">
        <v>3400</v>
      </c>
      <c r="I2314" t="s">
        <v>353</v>
      </c>
      <c r="J2314" s="1" t="s">
        <v>253</v>
      </c>
      <c r="K2314" t="s">
        <v>181</v>
      </c>
      <c r="L2314" t="s">
        <v>3340</v>
      </c>
      <c r="M2314">
        <v>25</v>
      </c>
      <c r="N2314">
        <v>0.45</v>
      </c>
      <c r="O2314" t="s">
        <v>211</v>
      </c>
      <c r="P2314">
        <v>25</v>
      </c>
      <c r="R2314" t="s">
        <v>3413</v>
      </c>
      <c r="T2314" t="s">
        <v>3337</v>
      </c>
      <c r="U2314">
        <v>64</v>
      </c>
      <c r="V2314" t="s">
        <v>3608</v>
      </c>
    </row>
    <row r="2315" spans="1:22" ht="12.75" customHeight="1" x14ac:dyDescent="0.15">
      <c r="A2315">
        <v>23</v>
      </c>
      <c r="B2315">
        <v>2026</v>
      </c>
      <c r="C2315" s="21">
        <v>46178</v>
      </c>
      <c r="D2315" t="s">
        <v>68</v>
      </c>
      <c r="E2315" t="s">
        <v>69</v>
      </c>
      <c r="F2315" t="s">
        <v>21</v>
      </c>
      <c r="G2315">
        <v>1</v>
      </c>
      <c r="H2315" t="s">
        <v>3400</v>
      </c>
      <c r="I2315" t="s">
        <v>353</v>
      </c>
      <c r="J2315" s="1" t="s">
        <v>253</v>
      </c>
      <c r="K2315" t="s">
        <v>181</v>
      </c>
      <c r="L2315" t="s">
        <v>3340</v>
      </c>
      <c r="M2315">
        <v>58</v>
      </c>
      <c r="N2315">
        <v>0.33</v>
      </c>
      <c r="O2315" t="s">
        <v>211</v>
      </c>
      <c r="P2315">
        <v>18</v>
      </c>
      <c r="Q2315">
        <v>2</v>
      </c>
      <c r="R2315" t="s">
        <v>3343</v>
      </c>
      <c r="T2315" t="s">
        <v>3337</v>
      </c>
      <c r="U2315">
        <v>64</v>
      </c>
      <c r="V2315" t="s">
        <v>260</v>
      </c>
    </row>
    <row r="2316" spans="1:22" ht="12.75" customHeight="1" x14ac:dyDescent="0.15">
      <c r="A2316">
        <v>23</v>
      </c>
      <c r="B2316">
        <v>2026</v>
      </c>
      <c r="C2316" s="21">
        <v>46178</v>
      </c>
      <c r="D2316" t="s">
        <v>39</v>
      </c>
      <c r="E2316" t="s">
        <v>40</v>
      </c>
      <c r="F2316" t="s">
        <v>21</v>
      </c>
      <c r="G2316">
        <v>1.91</v>
      </c>
      <c r="H2316" t="s">
        <v>3400</v>
      </c>
      <c r="I2316" t="s">
        <v>353</v>
      </c>
      <c r="J2316" s="1" t="s">
        <v>253</v>
      </c>
      <c r="K2316" t="s">
        <v>181</v>
      </c>
      <c r="L2316" t="s">
        <v>3333</v>
      </c>
      <c r="M2316">
        <v>2</v>
      </c>
      <c r="N2316">
        <v>0.75</v>
      </c>
      <c r="O2316" t="s">
        <v>3440</v>
      </c>
      <c r="P2316">
        <v>67.87</v>
      </c>
      <c r="Q2316">
        <v>6</v>
      </c>
      <c r="R2316" t="s">
        <v>3424</v>
      </c>
      <c r="T2316" t="s">
        <v>3337</v>
      </c>
      <c r="U2316">
        <v>141</v>
      </c>
      <c r="V2316" t="s">
        <v>3365</v>
      </c>
    </row>
    <row r="2317" spans="1:22" ht="12.75" customHeight="1" x14ac:dyDescent="0.15">
      <c r="A2317">
        <v>23</v>
      </c>
      <c r="B2317">
        <v>2026</v>
      </c>
      <c r="C2317" s="21">
        <v>46178</v>
      </c>
      <c r="D2317" t="s">
        <v>39</v>
      </c>
      <c r="E2317" t="s">
        <v>40</v>
      </c>
      <c r="F2317" t="s">
        <v>21</v>
      </c>
      <c r="G2317">
        <v>1.91</v>
      </c>
      <c r="H2317" t="s">
        <v>3400</v>
      </c>
      <c r="I2317" t="s">
        <v>353</v>
      </c>
      <c r="J2317" s="1" t="s">
        <v>253</v>
      </c>
      <c r="K2317" t="s">
        <v>181</v>
      </c>
      <c r="L2317" t="s">
        <v>3340</v>
      </c>
      <c r="M2317">
        <v>25</v>
      </c>
      <c r="N2317">
        <v>0.55000000000000004</v>
      </c>
      <c r="O2317" t="s">
        <v>211</v>
      </c>
      <c r="P2317">
        <v>30</v>
      </c>
      <c r="R2317" t="s">
        <v>3413</v>
      </c>
      <c r="T2317" t="s">
        <v>3337</v>
      </c>
      <c r="U2317">
        <v>141</v>
      </c>
      <c r="V2317" t="s">
        <v>4210</v>
      </c>
    </row>
    <row r="2318" spans="1:22" ht="12.75" customHeight="1" x14ac:dyDescent="0.15">
      <c r="A2318">
        <v>23</v>
      </c>
      <c r="B2318">
        <v>2026</v>
      </c>
      <c r="C2318" s="21">
        <v>46178</v>
      </c>
      <c r="D2318" t="s">
        <v>39</v>
      </c>
      <c r="E2318" t="s">
        <v>40</v>
      </c>
      <c r="F2318" t="s">
        <v>21</v>
      </c>
      <c r="G2318">
        <v>1.91</v>
      </c>
      <c r="H2318" t="s">
        <v>3400</v>
      </c>
      <c r="I2318" t="s">
        <v>353</v>
      </c>
      <c r="J2318" s="1" t="s">
        <v>253</v>
      </c>
      <c r="K2318" t="s">
        <v>181</v>
      </c>
      <c r="L2318" t="s">
        <v>3340</v>
      </c>
      <c r="M2318">
        <v>58</v>
      </c>
      <c r="N2318">
        <v>0.98</v>
      </c>
      <c r="O2318" t="s">
        <v>211</v>
      </c>
      <c r="P2318">
        <v>54</v>
      </c>
      <c r="Q2318">
        <v>6</v>
      </c>
      <c r="R2318" t="s">
        <v>3343</v>
      </c>
      <c r="T2318" t="s">
        <v>3337</v>
      </c>
      <c r="U2318">
        <v>141</v>
      </c>
      <c r="V2318" t="s">
        <v>4211</v>
      </c>
    </row>
    <row r="2319" spans="1:22" ht="12.75" customHeight="1" x14ac:dyDescent="0.15">
      <c r="A2319">
        <v>23</v>
      </c>
      <c r="B2319">
        <v>2026</v>
      </c>
      <c r="C2319" s="21">
        <v>46178</v>
      </c>
      <c r="D2319" t="s">
        <v>39</v>
      </c>
      <c r="E2319" t="s">
        <v>40</v>
      </c>
      <c r="F2319" t="s">
        <v>21</v>
      </c>
      <c r="G2319">
        <v>1.91</v>
      </c>
      <c r="H2319" t="s">
        <v>3400</v>
      </c>
      <c r="I2319" t="s">
        <v>353</v>
      </c>
      <c r="J2319" s="1" t="s">
        <v>253</v>
      </c>
      <c r="K2319" t="s">
        <v>181</v>
      </c>
      <c r="L2319" t="s">
        <v>3340</v>
      </c>
      <c r="M2319">
        <v>53</v>
      </c>
      <c r="N2319">
        <v>0.49</v>
      </c>
      <c r="O2319" t="s">
        <v>211</v>
      </c>
      <c r="P2319">
        <v>27</v>
      </c>
      <c r="Q2319">
        <v>3</v>
      </c>
      <c r="R2319" t="s">
        <v>3373</v>
      </c>
      <c r="T2319" t="s">
        <v>3337</v>
      </c>
      <c r="U2319">
        <v>141</v>
      </c>
      <c r="V2319" t="s">
        <v>3524</v>
      </c>
    </row>
    <row r="2320" spans="1:22" ht="12.75" customHeight="1" x14ac:dyDescent="0.15">
      <c r="A2320">
        <v>23</v>
      </c>
      <c r="B2320">
        <v>2026</v>
      </c>
      <c r="C2320" s="21">
        <v>46178</v>
      </c>
      <c r="D2320" t="s">
        <v>39</v>
      </c>
      <c r="E2320" t="s">
        <v>40</v>
      </c>
      <c r="F2320" t="s">
        <v>21</v>
      </c>
      <c r="G2320">
        <v>1.91</v>
      </c>
      <c r="H2320" t="s">
        <v>3400</v>
      </c>
      <c r="I2320" t="s">
        <v>353</v>
      </c>
      <c r="J2320" s="1" t="s">
        <v>253</v>
      </c>
      <c r="K2320" t="s">
        <v>181</v>
      </c>
      <c r="L2320" t="s">
        <v>3340</v>
      </c>
      <c r="M2320">
        <v>81</v>
      </c>
      <c r="N2320">
        <v>0.49</v>
      </c>
      <c r="O2320" t="s">
        <v>211</v>
      </c>
      <c r="P2320">
        <v>27</v>
      </c>
      <c r="Q2320">
        <v>3</v>
      </c>
      <c r="R2320" t="s">
        <v>3374</v>
      </c>
      <c r="T2320" t="s">
        <v>3337</v>
      </c>
      <c r="U2320">
        <v>141</v>
      </c>
      <c r="V2320" t="s">
        <v>3524</v>
      </c>
    </row>
    <row r="2321" spans="1:22" ht="12.75" customHeight="1" x14ac:dyDescent="0.15">
      <c r="A2321">
        <v>23</v>
      </c>
      <c r="B2321">
        <v>2026</v>
      </c>
      <c r="C2321" s="21">
        <v>46178</v>
      </c>
      <c r="D2321" t="s">
        <v>137</v>
      </c>
      <c r="E2321" t="s">
        <v>138</v>
      </c>
      <c r="F2321" t="s">
        <v>75</v>
      </c>
      <c r="G2321">
        <v>1</v>
      </c>
      <c r="H2321" t="s">
        <v>4096</v>
      </c>
      <c r="I2321" t="s">
        <v>3684</v>
      </c>
      <c r="J2321" s="1" t="s">
        <v>3668</v>
      </c>
      <c r="K2321" t="s">
        <v>181</v>
      </c>
      <c r="L2321" t="s">
        <v>3340</v>
      </c>
      <c r="M2321">
        <v>45</v>
      </c>
      <c r="N2321">
        <v>1.31</v>
      </c>
      <c r="O2321" t="s">
        <v>211</v>
      </c>
      <c r="P2321">
        <v>72</v>
      </c>
      <c r="Q2321">
        <v>8</v>
      </c>
      <c r="R2321" t="s">
        <v>3377</v>
      </c>
      <c r="T2321" t="s">
        <v>3337</v>
      </c>
      <c r="U2321">
        <v>-42</v>
      </c>
      <c r="V2321" t="s">
        <v>193</v>
      </c>
    </row>
    <row r="2322" spans="1:22" ht="12.75" customHeight="1" x14ac:dyDescent="0.15">
      <c r="A2322">
        <v>23</v>
      </c>
      <c r="B2322">
        <v>2026</v>
      </c>
      <c r="C2322" s="21">
        <v>46178</v>
      </c>
      <c r="D2322" t="s">
        <v>137</v>
      </c>
      <c r="E2322" t="s">
        <v>138</v>
      </c>
      <c r="F2322" t="s">
        <v>75</v>
      </c>
      <c r="G2322">
        <v>1</v>
      </c>
      <c r="H2322" t="s">
        <v>4096</v>
      </c>
      <c r="I2322" t="s">
        <v>3684</v>
      </c>
      <c r="J2322" s="1" t="s">
        <v>3668</v>
      </c>
      <c r="K2322" t="s">
        <v>181</v>
      </c>
      <c r="L2322" t="s">
        <v>3340</v>
      </c>
      <c r="M2322">
        <v>62</v>
      </c>
      <c r="N2322">
        <v>1.31</v>
      </c>
      <c r="O2322" t="s">
        <v>211</v>
      </c>
      <c r="P2322">
        <v>72</v>
      </c>
      <c r="Q2322">
        <v>8</v>
      </c>
      <c r="R2322" t="s">
        <v>3375</v>
      </c>
      <c r="T2322" t="s">
        <v>3337</v>
      </c>
      <c r="U2322">
        <v>-42</v>
      </c>
      <c r="V2322" t="s">
        <v>193</v>
      </c>
    </row>
    <row r="2323" spans="1:22" ht="12.75" customHeight="1" x14ac:dyDescent="0.15">
      <c r="A2323">
        <v>23</v>
      </c>
      <c r="B2323">
        <v>2026</v>
      </c>
      <c r="C2323" s="21">
        <v>46178</v>
      </c>
      <c r="D2323" t="s">
        <v>101</v>
      </c>
      <c r="E2323" t="s">
        <v>102</v>
      </c>
      <c r="F2323" t="s">
        <v>75</v>
      </c>
      <c r="G2323">
        <v>7.6</v>
      </c>
      <c r="H2323" t="s">
        <v>4212</v>
      </c>
      <c r="I2323" t="s">
        <v>3869</v>
      </c>
      <c r="J2323" s="1" t="s">
        <v>3696</v>
      </c>
      <c r="K2323" t="s">
        <v>181</v>
      </c>
      <c r="L2323" t="s">
        <v>3333</v>
      </c>
      <c r="M2323">
        <v>1</v>
      </c>
      <c r="N2323">
        <v>1</v>
      </c>
      <c r="O2323" t="s">
        <v>3358</v>
      </c>
      <c r="P2323">
        <v>71.86</v>
      </c>
      <c r="Q2323">
        <v>8</v>
      </c>
      <c r="R2323" t="s">
        <v>3359</v>
      </c>
      <c r="T2323" t="s">
        <v>3337</v>
      </c>
      <c r="U2323">
        <v>38</v>
      </c>
      <c r="V2323" t="s">
        <v>3545</v>
      </c>
    </row>
    <row r="2324" spans="1:22" ht="12.75" customHeight="1" x14ac:dyDescent="0.15">
      <c r="A2324">
        <v>23</v>
      </c>
      <c r="B2324">
        <v>2026</v>
      </c>
      <c r="C2324" s="21">
        <v>46178</v>
      </c>
      <c r="D2324" t="s">
        <v>101</v>
      </c>
      <c r="E2324" t="s">
        <v>102</v>
      </c>
      <c r="F2324" t="s">
        <v>75</v>
      </c>
      <c r="G2324">
        <v>7.6</v>
      </c>
      <c r="H2324" t="s">
        <v>4212</v>
      </c>
      <c r="I2324" t="s">
        <v>3869</v>
      </c>
      <c r="J2324" s="1" t="s">
        <v>3696</v>
      </c>
      <c r="K2324" t="s">
        <v>181</v>
      </c>
      <c r="L2324" t="s">
        <v>3333</v>
      </c>
      <c r="M2324">
        <v>6</v>
      </c>
      <c r="N2324">
        <v>1</v>
      </c>
      <c r="O2324" t="s">
        <v>3334</v>
      </c>
      <c r="P2324">
        <v>81.58</v>
      </c>
      <c r="Q2324">
        <v>8</v>
      </c>
      <c r="R2324" t="s">
        <v>3335</v>
      </c>
      <c r="T2324" t="s">
        <v>3337</v>
      </c>
      <c r="U2324">
        <v>38</v>
      </c>
      <c r="V2324" t="s">
        <v>3338</v>
      </c>
    </row>
    <row r="2325" spans="1:22" ht="12.75" customHeight="1" x14ac:dyDescent="0.15">
      <c r="A2325">
        <v>23</v>
      </c>
      <c r="B2325">
        <v>2026</v>
      </c>
      <c r="C2325" s="21">
        <v>46178</v>
      </c>
      <c r="D2325" t="s">
        <v>68</v>
      </c>
      <c r="E2325" t="s">
        <v>69</v>
      </c>
      <c r="F2325" t="s">
        <v>21</v>
      </c>
      <c r="G2325">
        <v>1</v>
      </c>
      <c r="H2325" t="s">
        <v>3391</v>
      </c>
      <c r="I2325" t="s">
        <v>353</v>
      </c>
      <c r="J2325" s="1" t="s">
        <v>253</v>
      </c>
      <c r="K2325" t="s">
        <v>181</v>
      </c>
      <c r="L2325" t="s">
        <v>3587</v>
      </c>
      <c r="M2325">
        <v>120</v>
      </c>
      <c r="P2325">
        <v>146</v>
      </c>
      <c r="Q2325">
        <v>2</v>
      </c>
      <c r="R2325" t="s">
        <v>3415</v>
      </c>
      <c r="T2325" t="s">
        <v>3402</v>
      </c>
      <c r="U2325">
        <v>64</v>
      </c>
      <c r="V2325" t="s">
        <v>4213</v>
      </c>
    </row>
    <row r="2326" spans="1:22" ht="12.75" customHeight="1" x14ac:dyDescent="0.15">
      <c r="A2326">
        <v>23</v>
      </c>
      <c r="B2326">
        <v>2026</v>
      </c>
      <c r="C2326" s="21">
        <v>46178</v>
      </c>
      <c r="D2326" t="s">
        <v>39</v>
      </c>
      <c r="E2326" t="s">
        <v>40</v>
      </c>
      <c r="F2326" t="s">
        <v>21</v>
      </c>
      <c r="G2326">
        <v>1.91</v>
      </c>
      <c r="H2326" t="s">
        <v>3391</v>
      </c>
      <c r="I2326" t="s">
        <v>353</v>
      </c>
      <c r="J2326" s="1" t="s">
        <v>253</v>
      </c>
      <c r="K2326" t="s">
        <v>181</v>
      </c>
      <c r="L2326" t="s">
        <v>3587</v>
      </c>
      <c r="M2326">
        <v>120</v>
      </c>
      <c r="P2326">
        <v>294</v>
      </c>
      <c r="Q2326">
        <v>4</v>
      </c>
      <c r="R2326" t="s">
        <v>3415</v>
      </c>
      <c r="T2326" t="s">
        <v>3402</v>
      </c>
      <c r="U2326">
        <v>141</v>
      </c>
      <c r="V2326" t="s">
        <v>4214</v>
      </c>
    </row>
    <row r="2327" spans="1:22" ht="12.75" customHeight="1" x14ac:dyDescent="0.15">
      <c r="A2327">
        <v>23</v>
      </c>
      <c r="B2327">
        <v>2026</v>
      </c>
      <c r="C2327" s="21">
        <v>46178</v>
      </c>
      <c r="D2327" t="s">
        <v>115</v>
      </c>
      <c r="E2327" t="s">
        <v>116</v>
      </c>
      <c r="F2327" t="s">
        <v>21</v>
      </c>
      <c r="G2327">
        <v>2</v>
      </c>
      <c r="H2327" t="s">
        <v>3592</v>
      </c>
      <c r="I2327" t="s">
        <v>3593</v>
      </c>
      <c r="J2327" s="1" t="s">
        <v>3533</v>
      </c>
      <c r="K2327" t="s">
        <v>181</v>
      </c>
      <c r="L2327" t="s">
        <v>3333</v>
      </c>
      <c r="M2327">
        <v>86</v>
      </c>
      <c r="N2327">
        <v>0.63</v>
      </c>
      <c r="O2327" t="s">
        <v>3334</v>
      </c>
      <c r="P2327">
        <v>50.99</v>
      </c>
      <c r="Q2327">
        <v>5</v>
      </c>
      <c r="R2327" t="s">
        <v>3386</v>
      </c>
      <c r="T2327" t="s">
        <v>3402</v>
      </c>
      <c r="U2327">
        <v>15</v>
      </c>
      <c r="V2327" t="s">
        <v>3500</v>
      </c>
    </row>
    <row r="2328" spans="1:22" ht="12.75" customHeight="1" x14ac:dyDescent="0.15">
      <c r="A2328">
        <v>23</v>
      </c>
      <c r="B2328">
        <v>2026</v>
      </c>
      <c r="C2328" s="21">
        <v>46178</v>
      </c>
      <c r="D2328" t="s">
        <v>115</v>
      </c>
      <c r="E2328" t="s">
        <v>116</v>
      </c>
      <c r="F2328" t="s">
        <v>21</v>
      </c>
      <c r="G2328">
        <v>2</v>
      </c>
      <c r="H2328" t="s">
        <v>3653</v>
      </c>
      <c r="I2328" t="s">
        <v>3566</v>
      </c>
      <c r="J2328" s="1" t="s">
        <v>3389</v>
      </c>
      <c r="K2328" t="s">
        <v>181</v>
      </c>
      <c r="L2328" t="s">
        <v>3333</v>
      </c>
      <c r="M2328">
        <v>86</v>
      </c>
      <c r="N2328">
        <v>0.38</v>
      </c>
      <c r="O2328" t="s">
        <v>3334</v>
      </c>
      <c r="P2328">
        <v>30.59</v>
      </c>
      <c r="Q2328">
        <v>3</v>
      </c>
      <c r="R2328" t="s">
        <v>3386</v>
      </c>
      <c r="T2328" t="s">
        <v>3402</v>
      </c>
      <c r="U2328">
        <v>15</v>
      </c>
      <c r="V2328" t="s">
        <v>3475</v>
      </c>
    </row>
    <row r="2329" spans="1:22" ht="12.75" customHeight="1" x14ac:dyDescent="0.15">
      <c r="A2329">
        <v>23</v>
      </c>
      <c r="B2329">
        <v>2026</v>
      </c>
      <c r="C2329" s="21">
        <v>46178</v>
      </c>
      <c r="D2329" t="s">
        <v>115</v>
      </c>
      <c r="E2329" t="s">
        <v>116</v>
      </c>
      <c r="F2329" t="s">
        <v>21</v>
      </c>
      <c r="G2329">
        <v>2</v>
      </c>
      <c r="H2329" t="s">
        <v>3878</v>
      </c>
      <c r="I2329" t="s">
        <v>3566</v>
      </c>
      <c r="J2329" s="1" t="s">
        <v>3389</v>
      </c>
      <c r="K2329" t="s">
        <v>2666</v>
      </c>
      <c r="L2329" t="s">
        <v>3587</v>
      </c>
      <c r="P2329">
        <v>41</v>
      </c>
      <c r="Q2329">
        <v>5</v>
      </c>
      <c r="T2329" t="s">
        <v>3402</v>
      </c>
      <c r="U2329">
        <v>15</v>
      </c>
      <c r="V2329" t="s">
        <v>3903</v>
      </c>
    </row>
    <row r="2330" spans="1:22" ht="12.75" customHeight="1" x14ac:dyDescent="0.15">
      <c r="A2330">
        <v>23</v>
      </c>
      <c r="B2330">
        <v>2026</v>
      </c>
      <c r="C2330" s="21">
        <v>46178</v>
      </c>
      <c r="D2330" t="s">
        <v>115</v>
      </c>
      <c r="E2330" t="s">
        <v>116</v>
      </c>
      <c r="F2330" t="s">
        <v>21</v>
      </c>
      <c r="G2330">
        <v>2</v>
      </c>
      <c r="H2330" t="s">
        <v>3653</v>
      </c>
      <c r="I2330" t="s">
        <v>3566</v>
      </c>
      <c r="J2330" s="1" t="s">
        <v>3389</v>
      </c>
      <c r="K2330" t="s">
        <v>181</v>
      </c>
      <c r="L2330" t="s">
        <v>3340</v>
      </c>
      <c r="M2330">
        <v>86</v>
      </c>
      <c r="N2330">
        <v>0.55000000000000004</v>
      </c>
      <c r="O2330" t="s">
        <v>211</v>
      </c>
      <c r="P2330">
        <v>30</v>
      </c>
      <c r="Q2330">
        <v>2</v>
      </c>
      <c r="R2330" t="s">
        <v>3386</v>
      </c>
      <c r="T2330" t="s">
        <v>3402</v>
      </c>
      <c r="U2330">
        <v>15</v>
      </c>
      <c r="V2330" t="s">
        <v>3915</v>
      </c>
    </row>
    <row r="2331" spans="1:22" ht="12.75" customHeight="1" x14ac:dyDescent="0.15">
      <c r="A2331">
        <v>23</v>
      </c>
      <c r="B2331">
        <v>2026</v>
      </c>
      <c r="C2331" s="21">
        <v>46178</v>
      </c>
      <c r="D2331" t="s">
        <v>137</v>
      </c>
      <c r="E2331" t="s">
        <v>138</v>
      </c>
      <c r="F2331" t="s">
        <v>75</v>
      </c>
      <c r="G2331">
        <v>1</v>
      </c>
      <c r="H2331" t="s">
        <v>4206</v>
      </c>
      <c r="I2331" t="s">
        <v>4207</v>
      </c>
      <c r="J2331" s="1" t="s">
        <v>3668</v>
      </c>
      <c r="K2331" t="s">
        <v>181</v>
      </c>
      <c r="L2331" t="s">
        <v>3333</v>
      </c>
      <c r="M2331">
        <v>4</v>
      </c>
      <c r="N2331">
        <v>1</v>
      </c>
      <c r="O2331" t="s">
        <v>3334</v>
      </c>
      <c r="P2331">
        <v>81.58</v>
      </c>
      <c r="Q2331">
        <v>8</v>
      </c>
      <c r="R2331" t="s">
        <v>3773</v>
      </c>
      <c r="T2331" t="s">
        <v>3402</v>
      </c>
      <c r="U2331">
        <v>-42</v>
      </c>
      <c r="V2331" t="s">
        <v>3334</v>
      </c>
    </row>
    <row r="2332" spans="1:22" ht="12.75" customHeight="1" x14ac:dyDescent="0.15">
      <c r="A2332">
        <v>23</v>
      </c>
      <c r="B2332">
        <v>2026</v>
      </c>
      <c r="C2332" s="21">
        <v>46178</v>
      </c>
      <c r="D2332" t="s">
        <v>137</v>
      </c>
      <c r="E2332" t="s">
        <v>138</v>
      </c>
      <c r="F2332" t="s">
        <v>75</v>
      </c>
      <c r="G2332">
        <v>1</v>
      </c>
      <c r="H2332" t="s">
        <v>4206</v>
      </c>
      <c r="I2332" t="s">
        <v>4207</v>
      </c>
      <c r="J2332" s="1" t="s">
        <v>3668</v>
      </c>
      <c r="K2332" t="s">
        <v>181</v>
      </c>
      <c r="L2332" t="s">
        <v>3340</v>
      </c>
      <c r="M2332">
        <v>78</v>
      </c>
      <c r="N2332">
        <v>1.31</v>
      </c>
      <c r="O2332" t="s">
        <v>211</v>
      </c>
      <c r="P2332">
        <v>72</v>
      </c>
      <c r="Q2332">
        <v>8</v>
      </c>
      <c r="R2332" t="s">
        <v>3341</v>
      </c>
      <c r="T2332" t="s">
        <v>3402</v>
      </c>
      <c r="U2332">
        <v>-42</v>
      </c>
      <c r="V2332" t="s">
        <v>193</v>
      </c>
    </row>
    <row r="2333" spans="1:22" ht="12.75" customHeight="1" x14ac:dyDescent="0.15">
      <c r="A2333">
        <v>23</v>
      </c>
      <c r="B2333">
        <v>2026</v>
      </c>
      <c r="C2333" s="21">
        <v>46178</v>
      </c>
      <c r="D2333" t="s">
        <v>68</v>
      </c>
      <c r="E2333" t="s">
        <v>69</v>
      </c>
      <c r="F2333" t="s">
        <v>21</v>
      </c>
      <c r="G2333">
        <v>1</v>
      </c>
      <c r="H2333" t="s">
        <v>3391</v>
      </c>
      <c r="I2333" t="s">
        <v>353</v>
      </c>
      <c r="J2333" s="1" t="s">
        <v>253</v>
      </c>
      <c r="K2333" t="s">
        <v>181</v>
      </c>
      <c r="L2333" t="s">
        <v>3333</v>
      </c>
      <c r="M2333">
        <v>67</v>
      </c>
      <c r="N2333">
        <v>0.25</v>
      </c>
      <c r="O2333" t="s">
        <v>3334</v>
      </c>
      <c r="P2333">
        <v>20.399999999999999</v>
      </c>
      <c r="Q2333">
        <v>2</v>
      </c>
      <c r="R2333" t="s">
        <v>3404</v>
      </c>
      <c r="T2333" t="s">
        <v>3402</v>
      </c>
      <c r="U2333">
        <v>64</v>
      </c>
      <c r="V2333" t="s">
        <v>3474</v>
      </c>
    </row>
    <row r="2334" spans="1:22" ht="12.75" customHeight="1" x14ac:dyDescent="0.15">
      <c r="A2334">
        <v>23</v>
      </c>
      <c r="B2334">
        <v>2026</v>
      </c>
      <c r="C2334" s="21">
        <v>46178</v>
      </c>
      <c r="D2334" t="s">
        <v>68</v>
      </c>
      <c r="E2334" t="s">
        <v>69</v>
      </c>
      <c r="F2334" t="s">
        <v>21</v>
      </c>
      <c r="G2334">
        <v>1</v>
      </c>
      <c r="H2334" t="s">
        <v>3391</v>
      </c>
      <c r="I2334" t="s">
        <v>353</v>
      </c>
      <c r="J2334" s="1" t="s">
        <v>253</v>
      </c>
      <c r="K2334" t="s">
        <v>181</v>
      </c>
      <c r="L2334" t="s">
        <v>3333</v>
      </c>
      <c r="M2334">
        <v>19</v>
      </c>
      <c r="N2334">
        <v>0.25</v>
      </c>
      <c r="O2334" t="s">
        <v>3334</v>
      </c>
      <c r="P2334">
        <v>20.399999999999999</v>
      </c>
      <c r="Q2334">
        <v>2</v>
      </c>
      <c r="R2334" t="s">
        <v>3403</v>
      </c>
      <c r="T2334" t="s">
        <v>3402</v>
      </c>
      <c r="U2334">
        <v>64</v>
      </c>
      <c r="V2334" t="s">
        <v>3474</v>
      </c>
    </row>
    <row r="2335" spans="1:22" ht="12.75" customHeight="1" x14ac:dyDescent="0.15">
      <c r="A2335">
        <v>23</v>
      </c>
      <c r="B2335">
        <v>2026</v>
      </c>
      <c r="C2335" s="21">
        <v>46178</v>
      </c>
      <c r="D2335" t="s">
        <v>39</v>
      </c>
      <c r="E2335" t="s">
        <v>40</v>
      </c>
      <c r="F2335" t="s">
        <v>21</v>
      </c>
      <c r="G2335">
        <v>1.91</v>
      </c>
      <c r="H2335" t="s">
        <v>3391</v>
      </c>
      <c r="I2335" t="s">
        <v>353</v>
      </c>
      <c r="J2335" s="1" t="s">
        <v>253</v>
      </c>
      <c r="K2335" t="s">
        <v>181</v>
      </c>
      <c r="L2335" t="s">
        <v>3333</v>
      </c>
      <c r="M2335">
        <v>67</v>
      </c>
      <c r="N2335">
        <v>0.75</v>
      </c>
      <c r="O2335" t="s">
        <v>3334</v>
      </c>
      <c r="P2335">
        <v>61.19</v>
      </c>
      <c r="Q2335">
        <v>6</v>
      </c>
      <c r="R2335" t="s">
        <v>3404</v>
      </c>
      <c r="T2335" t="s">
        <v>3402</v>
      </c>
      <c r="U2335">
        <v>141</v>
      </c>
      <c r="V2335" t="s">
        <v>4215</v>
      </c>
    </row>
    <row r="2336" spans="1:22" ht="12.75" customHeight="1" x14ac:dyDescent="0.15">
      <c r="A2336">
        <v>23</v>
      </c>
      <c r="B2336">
        <v>2026</v>
      </c>
      <c r="C2336" s="21">
        <v>46178</v>
      </c>
      <c r="D2336" t="s">
        <v>39</v>
      </c>
      <c r="E2336" t="s">
        <v>40</v>
      </c>
      <c r="F2336" t="s">
        <v>21</v>
      </c>
      <c r="G2336">
        <v>1.91</v>
      </c>
      <c r="H2336" t="s">
        <v>3391</v>
      </c>
      <c r="I2336" t="s">
        <v>353</v>
      </c>
      <c r="J2336" s="1" t="s">
        <v>253</v>
      </c>
      <c r="K2336" t="s">
        <v>181</v>
      </c>
      <c r="L2336" t="s">
        <v>3333</v>
      </c>
      <c r="M2336">
        <v>19</v>
      </c>
      <c r="N2336">
        <v>0.75</v>
      </c>
      <c r="O2336" t="s">
        <v>3334</v>
      </c>
      <c r="P2336">
        <v>61.19</v>
      </c>
      <c r="Q2336">
        <v>6</v>
      </c>
      <c r="R2336" t="s">
        <v>3403</v>
      </c>
      <c r="T2336" t="s">
        <v>3402</v>
      </c>
      <c r="U2336">
        <v>141</v>
      </c>
      <c r="V2336" t="s">
        <v>4215</v>
      </c>
    </row>
    <row r="2337" spans="1:22" ht="12.75" customHeight="1" x14ac:dyDescent="0.15">
      <c r="A2337">
        <v>23</v>
      </c>
      <c r="B2337">
        <v>2026</v>
      </c>
      <c r="C2337" s="21">
        <v>46179</v>
      </c>
      <c r="D2337" t="s">
        <v>39</v>
      </c>
      <c r="E2337" t="s">
        <v>40</v>
      </c>
      <c r="F2337" t="s">
        <v>21</v>
      </c>
      <c r="G2337">
        <v>1.91</v>
      </c>
      <c r="H2337" t="s">
        <v>3400</v>
      </c>
      <c r="I2337" t="s">
        <v>353</v>
      </c>
      <c r="J2337" s="1" t="s">
        <v>253</v>
      </c>
      <c r="K2337" t="s">
        <v>181</v>
      </c>
      <c r="L2337" t="s">
        <v>3333</v>
      </c>
      <c r="M2337">
        <v>2</v>
      </c>
      <c r="N2337">
        <v>1</v>
      </c>
      <c r="O2337" t="s">
        <v>3440</v>
      </c>
      <c r="P2337">
        <v>90.49</v>
      </c>
      <c r="Q2337">
        <v>8</v>
      </c>
      <c r="R2337" t="s">
        <v>3424</v>
      </c>
      <c r="T2337" t="s">
        <v>3337</v>
      </c>
      <c r="U2337">
        <v>142</v>
      </c>
      <c r="V2337" t="s">
        <v>3444</v>
      </c>
    </row>
    <row r="2338" spans="1:22" ht="12.75" customHeight="1" x14ac:dyDescent="0.15">
      <c r="A2338">
        <v>23</v>
      </c>
      <c r="B2338">
        <v>2026</v>
      </c>
      <c r="C2338" s="21">
        <v>46179</v>
      </c>
      <c r="D2338" t="s">
        <v>39</v>
      </c>
      <c r="E2338" t="s">
        <v>40</v>
      </c>
      <c r="F2338" t="s">
        <v>21</v>
      </c>
      <c r="G2338">
        <v>1.91</v>
      </c>
      <c r="H2338" t="s">
        <v>3400</v>
      </c>
      <c r="I2338" t="s">
        <v>353</v>
      </c>
      <c r="J2338" s="1" t="s">
        <v>253</v>
      </c>
      <c r="K2338" t="s">
        <v>181</v>
      </c>
      <c r="L2338" t="s">
        <v>3340</v>
      </c>
      <c r="M2338">
        <v>25</v>
      </c>
      <c r="N2338">
        <v>1</v>
      </c>
      <c r="O2338" t="s">
        <v>211</v>
      </c>
      <c r="P2338">
        <v>55</v>
      </c>
      <c r="R2338" t="s">
        <v>3413</v>
      </c>
      <c r="T2338" t="s">
        <v>3337</v>
      </c>
      <c r="U2338">
        <v>142</v>
      </c>
      <c r="V2338" t="s">
        <v>4216</v>
      </c>
    </row>
    <row r="2339" spans="1:22" ht="12.75" customHeight="1" x14ac:dyDescent="0.15">
      <c r="A2339">
        <v>23</v>
      </c>
      <c r="B2339">
        <v>2026</v>
      </c>
      <c r="C2339" s="21">
        <v>46179</v>
      </c>
      <c r="D2339" t="s">
        <v>39</v>
      </c>
      <c r="E2339" t="s">
        <v>40</v>
      </c>
      <c r="F2339" t="s">
        <v>21</v>
      </c>
      <c r="G2339">
        <v>1.91</v>
      </c>
      <c r="H2339" t="s">
        <v>3400</v>
      </c>
      <c r="I2339" t="s">
        <v>353</v>
      </c>
      <c r="J2339" s="1" t="s">
        <v>253</v>
      </c>
      <c r="K2339" t="s">
        <v>181</v>
      </c>
      <c r="L2339" t="s">
        <v>3340</v>
      </c>
      <c r="M2339">
        <v>62</v>
      </c>
      <c r="N2339">
        <v>1.31</v>
      </c>
      <c r="O2339" t="s">
        <v>211</v>
      </c>
      <c r="P2339">
        <v>72</v>
      </c>
      <c r="Q2339">
        <v>8</v>
      </c>
      <c r="R2339" t="s">
        <v>3375</v>
      </c>
      <c r="T2339" t="s">
        <v>3337</v>
      </c>
      <c r="U2339">
        <v>142</v>
      </c>
      <c r="V2339" t="s">
        <v>3445</v>
      </c>
    </row>
    <row r="2340" spans="1:22" ht="12.75" customHeight="1" x14ac:dyDescent="0.15">
      <c r="A2340">
        <v>23</v>
      </c>
      <c r="B2340">
        <v>2026</v>
      </c>
      <c r="C2340" s="21">
        <v>46179</v>
      </c>
      <c r="D2340" t="s">
        <v>39</v>
      </c>
      <c r="E2340" t="s">
        <v>40</v>
      </c>
      <c r="F2340" t="s">
        <v>21</v>
      </c>
      <c r="G2340">
        <v>1.91</v>
      </c>
      <c r="H2340" t="s">
        <v>3400</v>
      </c>
      <c r="I2340" t="s">
        <v>353</v>
      </c>
      <c r="J2340" s="1" t="s">
        <v>253</v>
      </c>
      <c r="K2340" t="s">
        <v>181</v>
      </c>
      <c r="L2340" t="s">
        <v>3340</v>
      </c>
      <c r="M2340">
        <v>53</v>
      </c>
      <c r="N2340">
        <v>1.31</v>
      </c>
      <c r="O2340" t="s">
        <v>211</v>
      </c>
      <c r="P2340">
        <v>72</v>
      </c>
      <c r="Q2340">
        <v>8</v>
      </c>
      <c r="R2340" t="s">
        <v>3373</v>
      </c>
      <c r="T2340" t="s">
        <v>3337</v>
      </c>
      <c r="U2340">
        <v>142</v>
      </c>
      <c r="V2340" t="s">
        <v>3445</v>
      </c>
    </row>
    <row r="2341" spans="1:22" ht="12.75" customHeight="1" x14ac:dyDescent="0.15">
      <c r="A2341">
        <v>23</v>
      </c>
      <c r="B2341">
        <v>2026</v>
      </c>
      <c r="C2341" s="21">
        <v>46179</v>
      </c>
      <c r="D2341" t="s">
        <v>39</v>
      </c>
      <c r="E2341" t="s">
        <v>40</v>
      </c>
      <c r="F2341" t="s">
        <v>21</v>
      </c>
      <c r="G2341">
        <v>1.91</v>
      </c>
      <c r="H2341" t="s">
        <v>3400</v>
      </c>
      <c r="I2341" t="s">
        <v>353</v>
      </c>
      <c r="J2341" s="1" t="s">
        <v>253</v>
      </c>
      <c r="K2341" t="s">
        <v>181</v>
      </c>
      <c r="L2341" t="s">
        <v>3340</v>
      </c>
      <c r="M2341">
        <v>45</v>
      </c>
      <c r="N2341">
        <v>0.98</v>
      </c>
      <c r="O2341" t="s">
        <v>211</v>
      </c>
      <c r="P2341">
        <v>54</v>
      </c>
      <c r="Q2341">
        <v>6</v>
      </c>
      <c r="R2341" t="s">
        <v>3377</v>
      </c>
      <c r="T2341" t="s">
        <v>3337</v>
      </c>
      <c r="U2341">
        <v>142</v>
      </c>
      <c r="V2341" t="s">
        <v>4211</v>
      </c>
    </row>
    <row r="2342" spans="1:22" ht="12.75" customHeight="1" x14ac:dyDescent="0.15">
      <c r="A2342">
        <v>23</v>
      </c>
      <c r="B2342">
        <v>2026</v>
      </c>
      <c r="C2342" s="21">
        <v>46179</v>
      </c>
      <c r="D2342" t="s">
        <v>39</v>
      </c>
      <c r="E2342" t="s">
        <v>40</v>
      </c>
      <c r="F2342" t="s">
        <v>21</v>
      </c>
      <c r="G2342">
        <v>1.91</v>
      </c>
      <c r="H2342" t="s">
        <v>3400</v>
      </c>
      <c r="I2342" t="s">
        <v>353</v>
      </c>
      <c r="J2342" s="1" t="s">
        <v>253</v>
      </c>
      <c r="K2342" t="s">
        <v>181</v>
      </c>
      <c r="L2342" t="s">
        <v>3340</v>
      </c>
      <c r="M2342">
        <v>58</v>
      </c>
      <c r="N2342">
        <v>0.98</v>
      </c>
      <c r="O2342" t="s">
        <v>211</v>
      </c>
      <c r="P2342">
        <v>54</v>
      </c>
      <c r="Q2342">
        <v>6</v>
      </c>
      <c r="R2342" t="s">
        <v>3343</v>
      </c>
      <c r="T2342" t="s">
        <v>3337</v>
      </c>
      <c r="U2342">
        <v>142</v>
      </c>
      <c r="V2342" t="s">
        <v>4211</v>
      </c>
    </row>
    <row r="2343" spans="1:22" ht="12.75" customHeight="1" x14ac:dyDescent="0.15">
      <c r="A2343">
        <v>23</v>
      </c>
      <c r="B2343">
        <v>2026</v>
      </c>
      <c r="C2343" s="21">
        <v>46179</v>
      </c>
      <c r="D2343" t="s">
        <v>101</v>
      </c>
      <c r="E2343" t="s">
        <v>102</v>
      </c>
      <c r="F2343" t="s">
        <v>75</v>
      </c>
      <c r="G2343">
        <v>7.6</v>
      </c>
      <c r="H2343" t="s">
        <v>4212</v>
      </c>
      <c r="I2343" t="s">
        <v>3869</v>
      </c>
      <c r="J2343" s="1" t="s">
        <v>3696</v>
      </c>
      <c r="K2343" t="s">
        <v>181</v>
      </c>
      <c r="L2343" t="s">
        <v>3333</v>
      </c>
      <c r="M2343">
        <v>6</v>
      </c>
      <c r="N2343">
        <v>1</v>
      </c>
      <c r="O2343" t="s">
        <v>3334</v>
      </c>
      <c r="P2343">
        <v>81.58</v>
      </c>
      <c r="Q2343">
        <v>8</v>
      </c>
      <c r="R2343" t="s">
        <v>3335</v>
      </c>
      <c r="T2343" t="s">
        <v>3337</v>
      </c>
      <c r="U2343">
        <v>39</v>
      </c>
      <c r="V2343" t="s">
        <v>3338</v>
      </c>
    </row>
    <row r="2344" spans="1:22" ht="12.75" customHeight="1" x14ac:dyDescent="0.15">
      <c r="A2344">
        <v>23</v>
      </c>
      <c r="B2344">
        <v>2026</v>
      </c>
      <c r="C2344" s="21">
        <v>46179</v>
      </c>
      <c r="D2344" t="s">
        <v>101</v>
      </c>
      <c r="E2344" t="s">
        <v>102</v>
      </c>
      <c r="F2344" t="s">
        <v>75</v>
      </c>
      <c r="G2344">
        <v>7.6</v>
      </c>
      <c r="H2344" t="s">
        <v>4212</v>
      </c>
      <c r="I2344" t="s">
        <v>3869</v>
      </c>
      <c r="J2344" s="1" t="s">
        <v>3696</v>
      </c>
      <c r="K2344" t="s">
        <v>181</v>
      </c>
      <c r="L2344" t="s">
        <v>3333</v>
      </c>
      <c r="M2344">
        <v>1</v>
      </c>
      <c r="N2344">
        <v>0.63</v>
      </c>
      <c r="O2344" t="s">
        <v>3358</v>
      </c>
      <c r="P2344">
        <v>44.91</v>
      </c>
      <c r="Q2344">
        <v>5</v>
      </c>
      <c r="R2344" t="s">
        <v>3359</v>
      </c>
      <c r="T2344" t="s">
        <v>3337</v>
      </c>
      <c r="U2344">
        <v>39</v>
      </c>
      <c r="V2344" t="s">
        <v>4164</v>
      </c>
    </row>
    <row r="2345" spans="1:22" ht="12.75" customHeight="1" x14ac:dyDescent="0.15">
      <c r="A2345">
        <v>23</v>
      </c>
      <c r="B2345">
        <v>2026</v>
      </c>
      <c r="C2345" s="21">
        <v>46179</v>
      </c>
      <c r="D2345" t="s">
        <v>39</v>
      </c>
      <c r="E2345" t="s">
        <v>40</v>
      </c>
      <c r="F2345" t="s">
        <v>21</v>
      </c>
      <c r="G2345">
        <v>1.91</v>
      </c>
      <c r="H2345" t="s">
        <v>3391</v>
      </c>
      <c r="I2345" t="s">
        <v>353</v>
      </c>
      <c r="J2345" s="1" t="s">
        <v>253</v>
      </c>
      <c r="K2345" t="s">
        <v>181</v>
      </c>
      <c r="L2345" t="s">
        <v>3587</v>
      </c>
      <c r="M2345">
        <v>120</v>
      </c>
      <c r="P2345">
        <v>330</v>
      </c>
      <c r="Q2345">
        <v>6</v>
      </c>
      <c r="R2345" t="s">
        <v>3415</v>
      </c>
      <c r="T2345" t="s">
        <v>3402</v>
      </c>
      <c r="U2345">
        <v>142</v>
      </c>
      <c r="V2345" t="s">
        <v>4217</v>
      </c>
    </row>
    <row r="2346" spans="1:22" ht="12.75" customHeight="1" x14ac:dyDescent="0.15">
      <c r="A2346">
        <v>23</v>
      </c>
      <c r="B2346">
        <v>2026</v>
      </c>
      <c r="C2346" s="21">
        <v>46179</v>
      </c>
      <c r="D2346" t="s">
        <v>39</v>
      </c>
      <c r="E2346" t="s">
        <v>40</v>
      </c>
      <c r="F2346" t="s">
        <v>21</v>
      </c>
      <c r="G2346">
        <v>1.91</v>
      </c>
      <c r="H2346" t="s">
        <v>3391</v>
      </c>
      <c r="I2346" t="s">
        <v>353</v>
      </c>
      <c r="J2346" s="1" t="s">
        <v>253</v>
      </c>
      <c r="K2346" t="s">
        <v>181</v>
      </c>
      <c r="L2346" t="s">
        <v>3333</v>
      </c>
      <c r="M2346">
        <v>67</v>
      </c>
      <c r="N2346">
        <v>0.75</v>
      </c>
      <c r="O2346" t="s">
        <v>3334</v>
      </c>
      <c r="P2346">
        <v>61.19</v>
      </c>
      <c r="Q2346">
        <v>6</v>
      </c>
      <c r="R2346" t="s">
        <v>3404</v>
      </c>
      <c r="T2346" t="s">
        <v>3402</v>
      </c>
      <c r="U2346">
        <v>142</v>
      </c>
      <c r="V2346" t="s">
        <v>4215</v>
      </c>
    </row>
    <row r="2347" spans="1:22" ht="12.75" customHeight="1" x14ac:dyDescent="0.15">
      <c r="A2347">
        <v>23</v>
      </c>
      <c r="B2347">
        <v>2026</v>
      </c>
      <c r="C2347" s="21">
        <v>46179</v>
      </c>
      <c r="D2347" t="s">
        <v>39</v>
      </c>
      <c r="E2347" t="s">
        <v>40</v>
      </c>
      <c r="F2347" t="s">
        <v>21</v>
      </c>
      <c r="G2347">
        <v>1.91</v>
      </c>
      <c r="H2347" t="s">
        <v>3391</v>
      </c>
      <c r="I2347" t="s">
        <v>353</v>
      </c>
      <c r="J2347" s="1" t="s">
        <v>253</v>
      </c>
      <c r="K2347" t="s">
        <v>181</v>
      </c>
      <c r="L2347" t="s">
        <v>3333</v>
      </c>
      <c r="M2347">
        <v>19</v>
      </c>
      <c r="N2347">
        <v>0.75</v>
      </c>
      <c r="O2347" t="s">
        <v>3334</v>
      </c>
      <c r="P2347">
        <v>61.19</v>
      </c>
      <c r="Q2347">
        <v>6</v>
      </c>
      <c r="R2347" t="s">
        <v>3403</v>
      </c>
      <c r="T2347" t="s">
        <v>3402</v>
      </c>
      <c r="U2347">
        <v>142</v>
      </c>
      <c r="V2347" t="s">
        <v>4215</v>
      </c>
    </row>
    <row r="2348" spans="1:22" ht="12.75" customHeight="1" x14ac:dyDescent="0.15">
      <c r="A2348">
        <v>23</v>
      </c>
      <c r="B2348">
        <v>2026</v>
      </c>
      <c r="C2348" s="21">
        <v>46179</v>
      </c>
      <c r="D2348" t="s">
        <v>39</v>
      </c>
      <c r="E2348" t="s">
        <v>40</v>
      </c>
      <c r="F2348" t="s">
        <v>21</v>
      </c>
      <c r="G2348">
        <v>1.91</v>
      </c>
      <c r="H2348" t="s">
        <v>3391</v>
      </c>
      <c r="I2348" t="s">
        <v>353</v>
      </c>
      <c r="J2348" s="1" t="s">
        <v>253</v>
      </c>
      <c r="K2348" t="s">
        <v>181</v>
      </c>
      <c r="L2348" t="s">
        <v>3340</v>
      </c>
      <c r="M2348">
        <v>78</v>
      </c>
      <c r="N2348">
        <v>0.98</v>
      </c>
      <c r="O2348" t="s">
        <v>211</v>
      </c>
      <c r="P2348">
        <v>54</v>
      </c>
      <c r="Q2348">
        <v>6</v>
      </c>
      <c r="R2348" t="s">
        <v>3341</v>
      </c>
      <c r="T2348" t="s">
        <v>3402</v>
      </c>
      <c r="U2348">
        <v>142</v>
      </c>
      <c r="V2348" t="s">
        <v>4211</v>
      </c>
    </row>
    <row r="2349" spans="1:22" ht="12.75" customHeight="1" x14ac:dyDescent="0.15">
      <c r="A2349">
        <v>23</v>
      </c>
      <c r="B2349">
        <v>2026</v>
      </c>
      <c r="C2349" s="21">
        <v>46179</v>
      </c>
      <c r="D2349" t="s">
        <v>115</v>
      </c>
      <c r="E2349" t="s">
        <v>116</v>
      </c>
      <c r="F2349" t="s">
        <v>21</v>
      </c>
      <c r="G2349">
        <v>2</v>
      </c>
      <c r="H2349" t="s">
        <v>3653</v>
      </c>
      <c r="I2349" t="s">
        <v>3566</v>
      </c>
      <c r="J2349" s="1" t="s">
        <v>3389</v>
      </c>
      <c r="K2349" t="s">
        <v>181</v>
      </c>
      <c r="L2349" t="s">
        <v>3333</v>
      </c>
      <c r="M2349">
        <v>86</v>
      </c>
      <c r="N2349">
        <v>0.63</v>
      </c>
      <c r="O2349" t="s">
        <v>3334</v>
      </c>
      <c r="P2349">
        <v>50.99</v>
      </c>
      <c r="Q2349">
        <v>5</v>
      </c>
      <c r="R2349" t="s">
        <v>3386</v>
      </c>
      <c r="T2349" t="s">
        <v>3402</v>
      </c>
      <c r="U2349">
        <v>16</v>
      </c>
      <c r="V2349" t="s">
        <v>3500</v>
      </c>
    </row>
    <row r="2350" spans="1:22" ht="12.75" customHeight="1" x14ac:dyDescent="0.15">
      <c r="A2350">
        <v>23</v>
      </c>
      <c r="B2350">
        <v>2026</v>
      </c>
      <c r="C2350" s="21">
        <v>46179</v>
      </c>
      <c r="D2350" t="s">
        <v>115</v>
      </c>
      <c r="E2350" t="s">
        <v>116</v>
      </c>
      <c r="F2350" t="s">
        <v>21</v>
      </c>
      <c r="G2350">
        <v>2</v>
      </c>
      <c r="H2350" t="s">
        <v>3653</v>
      </c>
      <c r="I2350" t="s">
        <v>3566</v>
      </c>
      <c r="J2350" s="1" t="s">
        <v>3389</v>
      </c>
      <c r="K2350" t="s">
        <v>181</v>
      </c>
      <c r="L2350" t="s">
        <v>3587</v>
      </c>
      <c r="P2350">
        <v>41</v>
      </c>
      <c r="Q2350">
        <v>5</v>
      </c>
      <c r="T2350" t="s">
        <v>3402</v>
      </c>
      <c r="U2350">
        <v>16</v>
      </c>
      <c r="V2350" t="s">
        <v>3903</v>
      </c>
    </row>
    <row r="2351" spans="1:22" ht="12.75" customHeight="1" x14ac:dyDescent="0.15">
      <c r="A2351">
        <v>23</v>
      </c>
      <c r="B2351">
        <v>2026</v>
      </c>
      <c r="C2351" s="21">
        <v>46179</v>
      </c>
      <c r="D2351" t="s">
        <v>141</v>
      </c>
      <c r="E2351" t="s">
        <v>142</v>
      </c>
      <c r="F2351" t="s">
        <v>75</v>
      </c>
      <c r="G2351">
        <v>1</v>
      </c>
      <c r="H2351" t="s">
        <v>3592</v>
      </c>
      <c r="I2351" t="s">
        <v>3593</v>
      </c>
      <c r="J2351" s="1" t="s">
        <v>3533</v>
      </c>
      <c r="K2351" t="s">
        <v>181</v>
      </c>
      <c r="L2351" t="s">
        <v>3333</v>
      </c>
      <c r="M2351">
        <v>4</v>
      </c>
      <c r="N2351">
        <v>0.63</v>
      </c>
      <c r="O2351" t="s">
        <v>3334</v>
      </c>
      <c r="P2351">
        <v>50.99</v>
      </c>
      <c r="Q2351">
        <v>5</v>
      </c>
      <c r="R2351" t="s">
        <v>3773</v>
      </c>
      <c r="T2351" t="s">
        <v>3402</v>
      </c>
      <c r="U2351">
        <v>-17</v>
      </c>
      <c r="V2351" t="s">
        <v>3574</v>
      </c>
    </row>
    <row r="2352" spans="1:22" ht="12.75" customHeight="1" x14ac:dyDescent="0.15">
      <c r="A2352">
        <v>23</v>
      </c>
      <c r="B2352">
        <v>2026</v>
      </c>
      <c r="C2352" s="21">
        <v>46179</v>
      </c>
      <c r="D2352" t="s">
        <v>39</v>
      </c>
      <c r="E2352" t="s">
        <v>40</v>
      </c>
      <c r="F2352" t="s">
        <v>21</v>
      </c>
      <c r="G2352">
        <v>1.91</v>
      </c>
      <c r="H2352" t="s">
        <v>3391</v>
      </c>
      <c r="I2352" t="s">
        <v>353</v>
      </c>
      <c r="J2352" s="1" t="s">
        <v>253</v>
      </c>
      <c r="K2352" t="s">
        <v>181</v>
      </c>
      <c r="L2352" t="s">
        <v>3333</v>
      </c>
      <c r="M2352">
        <v>67</v>
      </c>
      <c r="N2352">
        <v>0.25</v>
      </c>
      <c r="O2352" t="s">
        <v>3334</v>
      </c>
      <c r="P2352">
        <v>20.399999999999999</v>
      </c>
      <c r="Q2352">
        <v>2</v>
      </c>
      <c r="R2352" t="s">
        <v>3404</v>
      </c>
      <c r="T2352" t="s">
        <v>3402</v>
      </c>
      <c r="U2352">
        <v>142</v>
      </c>
      <c r="V2352" t="s">
        <v>3439</v>
      </c>
    </row>
    <row r="2353" spans="1:22" ht="12.75" customHeight="1" x14ac:dyDescent="0.15">
      <c r="A2353">
        <v>23</v>
      </c>
      <c r="B2353">
        <v>2026</v>
      </c>
      <c r="C2353" s="21">
        <v>46179</v>
      </c>
      <c r="D2353" t="s">
        <v>39</v>
      </c>
      <c r="E2353" t="s">
        <v>40</v>
      </c>
      <c r="F2353" t="s">
        <v>21</v>
      </c>
      <c r="G2353">
        <v>1.91</v>
      </c>
      <c r="H2353" t="s">
        <v>3391</v>
      </c>
      <c r="I2353" t="s">
        <v>353</v>
      </c>
      <c r="J2353" s="1" t="s">
        <v>253</v>
      </c>
      <c r="K2353" t="s">
        <v>181</v>
      </c>
      <c r="L2353" t="s">
        <v>3333</v>
      </c>
      <c r="M2353">
        <v>19</v>
      </c>
      <c r="N2353">
        <v>0.25</v>
      </c>
      <c r="O2353" t="s">
        <v>3334</v>
      </c>
      <c r="P2353">
        <v>20.399999999999999</v>
      </c>
      <c r="Q2353">
        <v>2</v>
      </c>
      <c r="R2353" t="s">
        <v>3403</v>
      </c>
      <c r="T2353" t="s">
        <v>3402</v>
      </c>
      <c r="U2353">
        <v>142</v>
      </c>
      <c r="V2353" t="s">
        <v>3439</v>
      </c>
    </row>
    <row r="2354" spans="1:22" ht="12.75" customHeight="1" x14ac:dyDescent="0.15">
      <c r="A2354">
        <v>23</v>
      </c>
      <c r="B2354">
        <v>2026</v>
      </c>
      <c r="C2354" s="21">
        <v>46179</v>
      </c>
      <c r="D2354" t="s">
        <v>39</v>
      </c>
      <c r="E2354" t="s">
        <v>40</v>
      </c>
      <c r="F2354" t="s">
        <v>21</v>
      </c>
      <c r="G2354">
        <v>1.91</v>
      </c>
      <c r="H2354" t="s">
        <v>3391</v>
      </c>
      <c r="I2354" t="s">
        <v>353</v>
      </c>
      <c r="J2354" s="1" t="s">
        <v>253</v>
      </c>
      <c r="K2354" t="s">
        <v>181</v>
      </c>
      <c r="L2354" t="s">
        <v>3340</v>
      </c>
      <c r="M2354">
        <v>78</v>
      </c>
      <c r="N2354">
        <v>0.33</v>
      </c>
      <c r="O2354" t="s">
        <v>211</v>
      </c>
      <c r="P2354">
        <v>18</v>
      </c>
      <c r="Q2354">
        <v>2</v>
      </c>
      <c r="R2354" t="s">
        <v>3341</v>
      </c>
      <c r="T2354" t="s">
        <v>3402</v>
      </c>
      <c r="U2354">
        <v>142</v>
      </c>
      <c r="V2354" t="s">
        <v>3425</v>
      </c>
    </row>
    <row r="2355" spans="1:22" ht="15" customHeight="1" x14ac:dyDescent="0.2">
      <c r="A2355">
        <v>23</v>
      </c>
      <c r="B2355">
        <v>2026</v>
      </c>
      <c r="C2355" s="21">
        <v>46180</v>
      </c>
      <c r="D2355" t="s">
        <v>135</v>
      </c>
      <c r="E2355" s="27" t="s">
        <v>136</v>
      </c>
      <c r="F2355" t="s">
        <v>21</v>
      </c>
      <c r="G2355">
        <v>1</v>
      </c>
      <c r="H2355" t="s">
        <v>3567</v>
      </c>
      <c r="I2355" t="s">
        <v>321</v>
      </c>
      <c r="J2355" s="1" t="s">
        <v>26</v>
      </c>
      <c r="K2355" t="s">
        <v>181</v>
      </c>
      <c r="L2355" t="s">
        <v>3340</v>
      </c>
      <c r="M2355">
        <v>86</v>
      </c>
      <c r="N2355">
        <v>1.45</v>
      </c>
      <c r="O2355" t="s">
        <v>211</v>
      </c>
      <c r="P2355">
        <v>80</v>
      </c>
      <c r="Q2355">
        <v>6</v>
      </c>
      <c r="R2355" t="s">
        <v>3386</v>
      </c>
      <c r="T2355" t="s">
        <v>3402</v>
      </c>
      <c r="U2355">
        <v>-19</v>
      </c>
      <c r="V2355" t="s">
        <v>216</v>
      </c>
    </row>
    <row r="2356" spans="1:22" ht="15" customHeight="1" x14ac:dyDescent="0.2">
      <c r="A2356">
        <v>23</v>
      </c>
      <c r="B2356">
        <v>2026</v>
      </c>
      <c r="C2356" s="21">
        <v>46180</v>
      </c>
      <c r="D2356" t="s">
        <v>135</v>
      </c>
      <c r="E2356" s="27" t="s">
        <v>136</v>
      </c>
      <c r="F2356" t="s">
        <v>21</v>
      </c>
      <c r="G2356">
        <v>1</v>
      </c>
      <c r="H2356" t="s">
        <v>4013</v>
      </c>
      <c r="I2356" t="s">
        <v>321</v>
      </c>
      <c r="J2356" s="1" t="s">
        <v>26</v>
      </c>
      <c r="K2356" t="s">
        <v>2666</v>
      </c>
      <c r="L2356" t="s">
        <v>3587</v>
      </c>
      <c r="P2356">
        <v>49.2</v>
      </c>
      <c r="T2356" t="s">
        <v>3402</v>
      </c>
      <c r="U2356">
        <v>-19</v>
      </c>
      <c r="V2356" t="s">
        <v>4218</v>
      </c>
    </row>
    <row r="2357" spans="1:22" ht="12.75" customHeight="1" x14ac:dyDescent="0.15">
      <c r="A2357">
        <v>23</v>
      </c>
      <c r="B2357">
        <v>2026</v>
      </c>
      <c r="C2357" s="21">
        <v>46181</v>
      </c>
      <c r="D2357" t="s">
        <v>84</v>
      </c>
      <c r="E2357" t="s">
        <v>85</v>
      </c>
      <c r="F2357" t="s">
        <v>21</v>
      </c>
      <c r="G2357">
        <v>2</v>
      </c>
      <c r="H2357" t="s">
        <v>3400</v>
      </c>
      <c r="I2357" t="s">
        <v>353</v>
      </c>
      <c r="J2357" s="1" t="s">
        <v>253</v>
      </c>
      <c r="K2357" t="s">
        <v>181</v>
      </c>
      <c r="L2357" t="s">
        <v>3333</v>
      </c>
      <c r="M2357">
        <v>2</v>
      </c>
      <c r="N2357">
        <v>1</v>
      </c>
      <c r="O2357" t="s">
        <v>3440</v>
      </c>
      <c r="P2357">
        <v>90.49</v>
      </c>
      <c r="Q2357">
        <v>8</v>
      </c>
      <c r="R2357" t="s">
        <v>3424</v>
      </c>
      <c r="T2357" t="s">
        <v>3337</v>
      </c>
      <c r="U2357">
        <v>49</v>
      </c>
      <c r="V2357" t="s">
        <v>3976</v>
      </c>
    </row>
    <row r="2358" spans="1:22" ht="12.75" customHeight="1" x14ac:dyDescent="0.15">
      <c r="A2358">
        <v>23</v>
      </c>
      <c r="B2358">
        <v>2026</v>
      </c>
      <c r="C2358" s="21">
        <v>46181</v>
      </c>
      <c r="D2358" t="s">
        <v>84</v>
      </c>
      <c r="E2358" t="s">
        <v>85</v>
      </c>
      <c r="F2358" t="s">
        <v>21</v>
      </c>
      <c r="G2358">
        <v>2</v>
      </c>
      <c r="H2358" t="s">
        <v>3400</v>
      </c>
      <c r="I2358" t="s">
        <v>353</v>
      </c>
      <c r="J2358" s="1" t="s">
        <v>253</v>
      </c>
      <c r="K2358" t="s">
        <v>181</v>
      </c>
      <c r="L2358" t="s">
        <v>3340</v>
      </c>
      <c r="M2358">
        <v>25</v>
      </c>
      <c r="N2358">
        <v>1</v>
      </c>
      <c r="O2358" t="s">
        <v>211</v>
      </c>
      <c r="P2358">
        <v>55</v>
      </c>
      <c r="R2358" t="s">
        <v>3413</v>
      </c>
      <c r="T2358" t="s">
        <v>3337</v>
      </c>
      <c r="U2358">
        <v>49</v>
      </c>
      <c r="V2358" t="s">
        <v>209</v>
      </c>
    </row>
    <row r="2359" spans="1:22" ht="12.75" customHeight="1" x14ac:dyDescent="0.15">
      <c r="A2359">
        <v>23</v>
      </c>
      <c r="B2359">
        <v>2026</v>
      </c>
      <c r="C2359" s="21">
        <v>46181</v>
      </c>
      <c r="D2359" t="s">
        <v>84</v>
      </c>
      <c r="E2359" t="s">
        <v>85</v>
      </c>
      <c r="F2359" t="s">
        <v>21</v>
      </c>
      <c r="G2359">
        <v>2</v>
      </c>
      <c r="H2359" t="s">
        <v>3400</v>
      </c>
      <c r="I2359" t="s">
        <v>353</v>
      </c>
      <c r="J2359" s="1" t="s">
        <v>253</v>
      </c>
      <c r="K2359" t="s">
        <v>181</v>
      </c>
      <c r="L2359" t="s">
        <v>3340</v>
      </c>
      <c r="M2359">
        <v>62</v>
      </c>
      <c r="N2359">
        <v>1.31</v>
      </c>
      <c r="O2359" t="s">
        <v>211</v>
      </c>
      <c r="P2359">
        <v>72</v>
      </c>
      <c r="Q2359">
        <v>8</v>
      </c>
      <c r="R2359" t="s">
        <v>3375</v>
      </c>
      <c r="T2359" t="s">
        <v>3337</v>
      </c>
      <c r="U2359">
        <v>49</v>
      </c>
      <c r="V2359" t="s">
        <v>3507</v>
      </c>
    </row>
    <row r="2360" spans="1:22" ht="12.75" customHeight="1" x14ac:dyDescent="0.15">
      <c r="A2360">
        <v>23</v>
      </c>
      <c r="B2360">
        <v>2026</v>
      </c>
      <c r="C2360" s="21">
        <v>46181</v>
      </c>
      <c r="D2360" t="s">
        <v>84</v>
      </c>
      <c r="E2360" t="s">
        <v>85</v>
      </c>
      <c r="F2360" t="s">
        <v>21</v>
      </c>
      <c r="G2360">
        <v>2</v>
      </c>
      <c r="H2360" t="s">
        <v>3400</v>
      </c>
      <c r="I2360" t="s">
        <v>353</v>
      </c>
      <c r="J2360" s="1" t="s">
        <v>253</v>
      </c>
      <c r="K2360" t="s">
        <v>181</v>
      </c>
      <c r="L2360" t="s">
        <v>3340</v>
      </c>
      <c r="M2360">
        <v>53</v>
      </c>
      <c r="N2360">
        <v>1.31</v>
      </c>
      <c r="O2360" t="s">
        <v>211</v>
      </c>
      <c r="P2360">
        <v>72</v>
      </c>
      <c r="Q2360">
        <v>8</v>
      </c>
      <c r="R2360" t="s">
        <v>3373</v>
      </c>
      <c r="T2360" t="s">
        <v>3337</v>
      </c>
      <c r="U2360">
        <v>49</v>
      </c>
      <c r="V2360" t="s">
        <v>3507</v>
      </c>
    </row>
    <row r="2361" spans="1:22" ht="12.75" customHeight="1" x14ac:dyDescent="0.15">
      <c r="A2361">
        <v>23</v>
      </c>
      <c r="B2361">
        <v>2026</v>
      </c>
      <c r="C2361" s="21">
        <v>46181</v>
      </c>
      <c r="D2361" t="s">
        <v>84</v>
      </c>
      <c r="E2361" t="s">
        <v>85</v>
      </c>
      <c r="F2361" t="s">
        <v>21</v>
      </c>
      <c r="G2361">
        <v>2</v>
      </c>
      <c r="H2361" t="s">
        <v>3400</v>
      </c>
      <c r="I2361" t="s">
        <v>353</v>
      </c>
      <c r="J2361" s="1" t="s">
        <v>253</v>
      </c>
      <c r="K2361" t="s">
        <v>181</v>
      </c>
      <c r="L2361" t="s">
        <v>3340</v>
      </c>
      <c r="M2361">
        <v>58</v>
      </c>
      <c r="N2361">
        <v>1.31</v>
      </c>
      <c r="O2361" t="s">
        <v>211</v>
      </c>
      <c r="P2361">
        <v>72</v>
      </c>
      <c r="Q2361">
        <v>8</v>
      </c>
      <c r="R2361" t="s">
        <v>3343</v>
      </c>
      <c r="T2361" t="s">
        <v>3337</v>
      </c>
      <c r="U2361">
        <v>49</v>
      </c>
      <c r="V2361" t="s">
        <v>3507</v>
      </c>
    </row>
    <row r="2362" spans="1:22" ht="12.75" customHeight="1" x14ac:dyDescent="0.15">
      <c r="A2362">
        <v>23</v>
      </c>
      <c r="B2362">
        <v>2026</v>
      </c>
      <c r="C2362" s="21">
        <v>46181</v>
      </c>
      <c r="D2362" t="s">
        <v>84</v>
      </c>
      <c r="E2362" t="s">
        <v>85</v>
      </c>
      <c r="F2362" t="s">
        <v>21</v>
      </c>
      <c r="G2362">
        <v>2</v>
      </c>
      <c r="H2362" t="s">
        <v>3400</v>
      </c>
      <c r="I2362" t="s">
        <v>353</v>
      </c>
      <c r="J2362" s="1" t="s">
        <v>253</v>
      </c>
      <c r="K2362" t="s">
        <v>181</v>
      </c>
      <c r="L2362" t="s">
        <v>3340</v>
      </c>
      <c r="M2362">
        <v>45</v>
      </c>
      <c r="N2362">
        <v>1.31</v>
      </c>
      <c r="O2362" t="s">
        <v>211</v>
      </c>
      <c r="P2362">
        <v>72</v>
      </c>
      <c r="Q2362">
        <v>8</v>
      </c>
      <c r="R2362" t="s">
        <v>3377</v>
      </c>
      <c r="T2362" t="s">
        <v>3337</v>
      </c>
      <c r="U2362">
        <v>49</v>
      </c>
      <c r="V2362" t="s">
        <v>3507</v>
      </c>
    </row>
    <row r="2363" spans="1:22" ht="12.75" customHeight="1" x14ac:dyDescent="0.15">
      <c r="A2363">
        <v>23</v>
      </c>
      <c r="B2363">
        <v>2026</v>
      </c>
      <c r="C2363" s="21">
        <v>46181</v>
      </c>
      <c r="D2363" t="s">
        <v>84</v>
      </c>
      <c r="E2363" t="s">
        <v>85</v>
      </c>
      <c r="F2363" t="s">
        <v>21</v>
      </c>
      <c r="G2363">
        <v>2</v>
      </c>
      <c r="H2363" t="s">
        <v>3400</v>
      </c>
      <c r="I2363" t="s">
        <v>353</v>
      </c>
      <c r="J2363" s="1" t="s">
        <v>253</v>
      </c>
      <c r="K2363" t="s">
        <v>181</v>
      </c>
      <c r="L2363" t="s">
        <v>3333</v>
      </c>
      <c r="M2363">
        <v>6</v>
      </c>
      <c r="N2363">
        <v>1</v>
      </c>
      <c r="O2363" t="s">
        <v>3334</v>
      </c>
      <c r="P2363">
        <v>81.58</v>
      </c>
      <c r="Q2363">
        <v>8</v>
      </c>
      <c r="R2363" t="s">
        <v>3335</v>
      </c>
      <c r="T2363" t="s">
        <v>3337</v>
      </c>
      <c r="U2363">
        <v>49</v>
      </c>
      <c r="V2363" t="s">
        <v>3456</v>
      </c>
    </row>
    <row r="2364" spans="1:22" ht="12.75" customHeight="1" x14ac:dyDescent="0.15">
      <c r="A2364">
        <v>23</v>
      </c>
      <c r="B2364">
        <v>2026</v>
      </c>
      <c r="C2364" s="21">
        <v>46181</v>
      </c>
      <c r="D2364" t="s">
        <v>84</v>
      </c>
      <c r="E2364" t="s">
        <v>85</v>
      </c>
      <c r="F2364" t="s">
        <v>21</v>
      </c>
      <c r="G2364">
        <v>2</v>
      </c>
      <c r="H2364" t="s">
        <v>3400</v>
      </c>
      <c r="I2364" t="s">
        <v>353</v>
      </c>
      <c r="J2364" s="1" t="s">
        <v>253</v>
      </c>
      <c r="K2364" t="s">
        <v>181</v>
      </c>
      <c r="L2364" t="s">
        <v>3333</v>
      </c>
      <c r="M2364">
        <v>1</v>
      </c>
      <c r="N2364">
        <v>0.56000000000000005</v>
      </c>
      <c r="O2364" t="s">
        <v>3358</v>
      </c>
      <c r="P2364">
        <v>40.42</v>
      </c>
      <c r="Q2364">
        <v>4.5</v>
      </c>
      <c r="R2364" t="s">
        <v>3359</v>
      </c>
      <c r="T2364" t="s">
        <v>3337</v>
      </c>
      <c r="U2364">
        <v>49</v>
      </c>
      <c r="V2364" t="s">
        <v>4219</v>
      </c>
    </row>
    <row r="2365" spans="1:22" ht="12.75" customHeight="1" x14ac:dyDescent="0.15">
      <c r="A2365">
        <v>23</v>
      </c>
      <c r="B2365">
        <v>2026</v>
      </c>
      <c r="C2365" s="21">
        <v>46181</v>
      </c>
      <c r="D2365" t="s">
        <v>89</v>
      </c>
      <c r="E2365" t="s">
        <v>90</v>
      </c>
      <c r="F2365" t="s">
        <v>21</v>
      </c>
      <c r="G2365">
        <v>1</v>
      </c>
      <c r="H2365" t="s">
        <v>3400</v>
      </c>
      <c r="I2365" t="s">
        <v>353</v>
      </c>
      <c r="J2365" s="1" t="s">
        <v>253</v>
      </c>
      <c r="K2365" t="s">
        <v>181</v>
      </c>
      <c r="L2365" t="s">
        <v>3333</v>
      </c>
      <c r="M2365">
        <v>1</v>
      </c>
      <c r="N2365">
        <v>0.44</v>
      </c>
      <c r="O2365" t="s">
        <v>3358</v>
      </c>
      <c r="P2365">
        <v>31.44</v>
      </c>
      <c r="Q2365">
        <v>3.5</v>
      </c>
      <c r="R2365" t="s">
        <v>3359</v>
      </c>
      <c r="T2365" t="s">
        <v>3337</v>
      </c>
      <c r="U2365">
        <v>54</v>
      </c>
      <c r="V2365" t="s">
        <v>4220</v>
      </c>
    </row>
    <row r="2366" spans="1:22" ht="12.75" customHeight="1" x14ac:dyDescent="0.15">
      <c r="A2366">
        <v>23</v>
      </c>
      <c r="B2366">
        <v>2026</v>
      </c>
      <c r="C2366" s="21">
        <v>46181</v>
      </c>
      <c r="D2366" t="s">
        <v>84</v>
      </c>
      <c r="E2366" t="s">
        <v>85</v>
      </c>
      <c r="F2366" t="s">
        <v>21</v>
      </c>
      <c r="G2366">
        <v>2</v>
      </c>
      <c r="H2366" t="s">
        <v>3536</v>
      </c>
      <c r="I2366" t="s">
        <v>3676</v>
      </c>
      <c r="J2366" s="1" t="s">
        <v>3533</v>
      </c>
      <c r="K2366" t="s">
        <v>181</v>
      </c>
      <c r="L2366" t="s">
        <v>3340</v>
      </c>
      <c r="M2366">
        <v>81</v>
      </c>
      <c r="N2366">
        <v>1.31</v>
      </c>
      <c r="O2366" t="s">
        <v>211</v>
      </c>
      <c r="P2366">
        <v>72</v>
      </c>
      <c r="Q2366">
        <v>8</v>
      </c>
      <c r="R2366" t="s">
        <v>3374</v>
      </c>
      <c r="T2366" t="s">
        <v>3337</v>
      </c>
      <c r="U2366">
        <v>49</v>
      </c>
      <c r="V2366" t="s">
        <v>3507</v>
      </c>
    </row>
    <row r="2367" spans="1:22" ht="12.75" customHeight="1" x14ac:dyDescent="0.15">
      <c r="A2367">
        <v>23</v>
      </c>
      <c r="B2367">
        <v>2026</v>
      </c>
      <c r="C2367" s="21">
        <v>46181</v>
      </c>
      <c r="D2367" t="s">
        <v>141</v>
      </c>
      <c r="E2367" t="s">
        <v>142</v>
      </c>
      <c r="F2367" t="s">
        <v>75</v>
      </c>
      <c r="G2367">
        <v>1</v>
      </c>
      <c r="H2367" t="s">
        <v>3592</v>
      </c>
      <c r="I2367" t="s">
        <v>3593</v>
      </c>
      <c r="J2367" s="1" t="s">
        <v>3533</v>
      </c>
      <c r="K2367" t="s">
        <v>181</v>
      </c>
      <c r="L2367" t="s">
        <v>3333</v>
      </c>
      <c r="M2367">
        <v>4</v>
      </c>
      <c r="N2367">
        <v>0.13</v>
      </c>
      <c r="O2367" t="s">
        <v>3334</v>
      </c>
      <c r="P2367">
        <v>10.199999999999999</v>
      </c>
      <c r="Q2367">
        <v>1</v>
      </c>
      <c r="R2367" t="s">
        <v>3773</v>
      </c>
      <c r="T2367" t="s">
        <v>3402</v>
      </c>
      <c r="U2367">
        <v>-15</v>
      </c>
      <c r="V2367" t="s">
        <v>3472</v>
      </c>
    </row>
    <row r="2368" spans="1:22" ht="12.75" customHeight="1" x14ac:dyDescent="0.15">
      <c r="A2368">
        <v>23</v>
      </c>
      <c r="B2368">
        <v>2026</v>
      </c>
      <c r="C2368" s="21">
        <v>46181</v>
      </c>
      <c r="D2368" t="s">
        <v>84</v>
      </c>
      <c r="E2368" t="s">
        <v>85</v>
      </c>
      <c r="F2368" t="s">
        <v>21</v>
      </c>
      <c r="G2368">
        <v>2</v>
      </c>
      <c r="H2368" t="s">
        <v>4135</v>
      </c>
      <c r="I2368" t="s">
        <v>4136</v>
      </c>
      <c r="J2368" s="1" t="s">
        <v>3533</v>
      </c>
      <c r="K2368" t="s">
        <v>181</v>
      </c>
      <c r="L2368" t="s">
        <v>3333</v>
      </c>
      <c r="M2368">
        <v>4</v>
      </c>
      <c r="N2368">
        <v>0.88</v>
      </c>
      <c r="O2368" t="s">
        <v>3334</v>
      </c>
      <c r="P2368">
        <v>71.38</v>
      </c>
      <c r="Q2368">
        <v>7</v>
      </c>
      <c r="R2368" t="s">
        <v>3773</v>
      </c>
      <c r="T2368" t="s">
        <v>3402</v>
      </c>
      <c r="U2368">
        <v>49</v>
      </c>
      <c r="V2368" t="s">
        <v>3469</v>
      </c>
    </row>
    <row r="2369" spans="1:22" ht="12.75" customHeight="1" x14ac:dyDescent="0.15">
      <c r="A2369">
        <v>23</v>
      </c>
      <c r="B2369">
        <v>2026</v>
      </c>
      <c r="C2369" s="21">
        <v>46181</v>
      </c>
      <c r="D2369" t="s">
        <v>84</v>
      </c>
      <c r="E2369" t="s">
        <v>85</v>
      </c>
      <c r="F2369" t="s">
        <v>21</v>
      </c>
      <c r="G2369">
        <v>2</v>
      </c>
      <c r="H2369" t="s">
        <v>3391</v>
      </c>
      <c r="I2369" t="s">
        <v>353</v>
      </c>
      <c r="J2369" s="1" t="s">
        <v>253</v>
      </c>
      <c r="K2369" t="s">
        <v>181</v>
      </c>
      <c r="L2369" t="s">
        <v>3333</v>
      </c>
      <c r="M2369">
        <v>67</v>
      </c>
      <c r="N2369">
        <v>1</v>
      </c>
      <c r="O2369" t="s">
        <v>3334</v>
      </c>
      <c r="P2369">
        <v>81.58</v>
      </c>
      <c r="Q2369">
        <v>8</v>
      </c>
      <c r="R2369" t="s">
        <v>3404</v>
      </c>
      <c r="T2369" t="s">
        <v>3402</v>
      </c>
      <c r="U2369">
        <v>49</v>
      </c>
      <c r="V2369" t="s">
        <v>3456</v>
      </c>
    </row>
    <row r="2370" spans="1:22" ht="12.75" customHeight="1" x14ac:dyDescent="0.15">
      <c r="A2370">
        <v>23</v>
      </c>
      <c r="B2370">
        <v>2026</v>
      </c>
      <c r="C2370" s="21">
        <v>46181</v>
      </c>
      <c r="D2370" t="s">
        <v>84</v>
      </c>
      <c r="E2370" t="s">
        <v>85</v>
      </c>
      <c r="F2370" t="s">
        <v>21</v>
      </c>
      <c r="G2370">
        <v>2</v>
      </c>
      <c r="H2370" t="s">
        <v>3391</v>
      </c>
      <c r="I2370" t="s">
        <v>353</v>
      </c>
      <c r="J2370" s="1" t="s">
        <v>253</v>
      </c>
      <c r="K2370" t="s">
        <v>181</v>
      </c>
      <c r="L2370" t="s">
        <v>3333</v>
      </c>
      <c r="M2370">
        <v>19</v>
      </c>
      <c r="N2370">
        <v>1</v>
      </c>
      <c r="O2370" t="s">
        <v>3334</v>
      </c>
      <c r="P2370">
        <v>81.58</v>
      </c>
      <c r="Q2370">
        <v>8</v>
      </c>
      <c r="R2370" t="s">
        <v>3403</v>
      </c>
      <c r="T2370" t="s">
        <v>3402</v>
      </c>
      <c r="U2370">
        <v>49</v>
      </c>
      <c r="V2370" t="s">
        <v>3456</v>
      </c>
    </row>
    <row r="2371" spans="1:22" ht="12.75" customHeight="1" x14ac:dyDescent="0.15">
      <c r="A2371">
        <v>23</v>
      </c>
      <c r="B2371">
        <v>2026</v>
      </c>
      <c r="C2371" s="21">
        <v>46181</v>
      </c>
      <c r="D2371" t="s">
        <v>84</v>
      </c>
      <c r="E2371" t="s">
        <v>85</v>
      </c>
      <c r="F2371" t="s">
        <v>21</v>
      </c>
      <c r="G2371">
        <v>2</v>
      </c>
      <c r="H2371" t="s">
        <v>3391</v>
      </c>
      <c r="I2371" t="s">
        <v>353</v>
      </c>
      <c r="J2371" s="1" t="s">
        <v>253</v>
      </c>
      <c r="K2371" t="s">
        <v>181</v>
      </c>
      <c r="L2371" t="s">
        <v>3340</v>
      </c>
      <c r="M2371">
        <v>78</v>
      </c>
      <c r="N2371">
        <v>1.31</v>
      </c>
      <c r="O2371" t="s">
        <v>211</v>
      </c>
      <c r="P2371">
        <v>72</v>
      </c>
      <c r="Q2371">
        <v>8</v>
      </c>
      <c r="R2371" t="s">
        <v>3341</v>
      </c>
      <c r="T2371" t="s">
        <v>3402</v>
      </c>
      <c r="U2371">
        <v>49</v>
      </c>
      <c r="V2371" t="s">
        <v>3507</v>
      </c>
    </row>
    <row r="2372" spans="1:22" ht="15" customHeight="1" x14ac:dyDescent="0.2">
      <c r="A2372">
        <v>23</v>
      </c>
      <c r="B2372">
        <v>2026</v>
      </c>
      <c r="C2372" s="21">
        <v>46181</v>
      </c>
      <c r="D2372" t="s">
        <v>135</v>
      </c>
      <c r="E2372" s="27" t="s">
        <v>136</v>
      </c>
      <c r="F2372" t="s">
        <v>21</v>
      </c>
      <c r="G2372">
        <v>1</v>
      </c>
      <c r="H2372" t="s">
        <v>3567</v>
      </c>
      <c r="I2372" t="s">
        <v>321</v>
      </c>
      <c r="J2372" s="1" t="s">
        <v>26</v>
      </c>
      <c r="K2372" t="s">
        <v>181</v>
      </c>
      <c r="L2372" t="s">
        <v>3333</v>
      </c>
      <c r="M2372">
        <v>86</v>
      </c>
      <c r="N2372">
        <v>0.25</v>
      </c>
      <c r="O2372" t="s">
        <v>3334</v>
      </c>
      <c r="P2372">
        <v>20.399999999999999</v>
      </c>
      <c r="Q2372">
        <v>2</v>
      </c>
      <c r="R2372" t="s">
        <v>3386</v>
      </c>
      <c r="T2372" t="s">
        <v>3402</v>
      </c>
      <c r="U2372">
        <v>-18</v>
      </c>
      <c r="V2372" t="s">
        <v>3474</v>
      </c>
    </row>
    <row r="2373" spans="1:22" ht="15" customHeight="1" x14ac:dyDescent="0.2">
      <c r="A2373">
        <v>23</v>
      </c>
      <c r="B2373">
        <v>2026</v>
      </c>
      <c r="C2373" s="21">
        <v>46181</v>
      </c>
      <c r="D2373" t="s">
        <v>135</v>
      </c>
      <c r="E2373" s="27" t="s">
        <v>136</v>
      </c>
      <c r="F2373" t="s">
        <v>21</v>
      </c>
      <c r="G2373">
        <v>1</v>
      </c>
      <c r="H2373" t="s">
        <v>4013</v>
      </c>
      <c r="I2373" t="s">
        <v>321</v>
      </c>
      <c r="J2373" s="1" t="s">
        <v>26</v>
      </c>
      <c r="K2373" t="s">
        <v>2666</v>
      </c>
      <c r="L2373" t="s">
        <v>3587</v>
      </c>
      <c r="P2373">
        <v>16.399999999999999</v>
      </c>
      <c r="T2373" t="s">
        <v>3402</v>
      </c>
      <c r="U2373">
        <v>-18</v>
      </c>
      <c r="V2373" t="s">
        <v>3854</v>
      </c>
    </row>
    <row r="2374" spans="1:22" ht="12.75" customHeight="1" x14ac:dyDescent="0.15">
      <c r="A2374">
        <v>23</v>
      </c>
      <c r="B2374">
        <v>2026</v>
      </c>
      <c r="C2374" s="21">
        <v>46181</v>
      </c>
      <c r="D2374" t="s">
        <v>137</v>
      </c>
      <c r="E2374" t="s">
        <v>138</v>
      </c>
      <c r="F2374" t="s">
        <v>75</v>
      </c>
      <c r="G2374">
        <v>1</v>
      </c>
      <c r="H2374" t="s">
        <v>3567</v>
      </c>
      <c r="I2374" t="s">
        <v>321</v>
      </c>
      <c r="J2374" s="1" t="s">
        <v>26</v>
      </c>
      <c r="K2374" t="s">
        <v>181</v>
      </c>
      <c r="L2374" t="s">
        <v>3333</v>
      </c>
      <c r="M2374">
        <v>86</v>
      </c>
      <c r="N2374">
        <v>0.63</v>
      </c>
      <c r="O2374" t="s">
        <v>3334</v>
      </c>
      <c r="P2374">
        <v>50.99</v>
      </c>
      <c r="Q2374">
        <v>5</v>
      </c>
      <c r="R2374" t="s">
        <v>3386</v>
      </c>
      <c r="T2374" t="s">
        <v>3402</v>
      </c>
      <c r="U2374">
        <v>-39</v>
      </c>
      <c r="V2374" t="s">
        <v>3574</v>
      </c>
    </row>
    <row r="2375" spans="1:22" ht="12.75" customHeight="1" x14ac:dyDescent="0.15">
      <c r="A2375">
        <v>23</v>
      </c>
      <c r="B2375">
        <v>2026</v>
      </c>
      <c r="C2375" s="21">
        <v>46181</v>
      </c>
      <c r="D2375" t="s">
        <v>137</v>
      </c>
      <c r="E2375" t="s">
        <v>138</v>
      </c>
      <c r="F2375" t="s">
        <v>75</v>
      </c>
      <c r="G2375">
        <v>1</v>
      </c>
      <c r="H2375" t="s">
        <v>4013</v>
      </c>
      <c r="I2375" t="s">
        <v>321</v>
      </c>
      <c r="J2375" s="1" t="s">
        <v>26</v>
      </c>
      <c r="K2375" t="s">
        <v>2666</v>
      </c>
      <c r="L2375" t="s">
        <v>3587</v>
      </c>
      <c r="P2375">
        <v>41</v>
      </c>
      <c r="T2375" t="s">
        <v>3402</v>
      </c>
      <c r="U2375">
        <v>-39</v>
      </c>
      <c r="V2375" t="s">
        <v>4221</v>
      </c>
    </row>
    <row r="2376" spans="1:22" ht="12.75" customHeight="1" x14ac:dyDescent="0.15">
      <c r="A2376">
        <v>23</v>
      </c>
      <c r="B2376">
        <v>2026</v>
      </c>
      <c r="C2376" s="21">
        <v>46181</v>
      </c>
      <c r="D2376" t="s">
        <v>60</v>
      </c>
      <c r="E2376" t="s">
        <v>61</v>
      </c>
      <c r="F2376" t="s">
        <v>21</v>
      </c>
      <c r="G2376">
        <v>1.6</v>
      </c>
      <c r="H2376" t="s">
        <v>3653</v>
      </c>
      <c r="I2376" t="s">
        <v>3566</v>
      </c>
      <c r="J2376" s="1" t="s">
        <v>3389</v>
      </c>
      <c r="K2376" t="s">
        <v>181</v>
      </c>
      <c r="L2376" t="s">
        <v>3333</v>
      </c>
      <c r="M2376">
        <v>86</v>
      </c>
      <c r="N2376">
        <v>0.13</v>
      </c>
      <c r="O2376" t="s">
        <v>3334</v>
      </c>
      <c r="P2376">
        <v>10.199999999999999</v>
      </c>
      <c r="Q2376">
        <v>1</v>
      </c>
      <c r="R2376" t="s">
        <v>3386</v>
      </c>
      <c r="T2376" t="s">
        <v>3402</v>
      </c>
      <c r="U2376">
        <v>73</v>
      </c>
      <c r="V2376" t="s">
        <v>3788</v>
      </c>
    </row>
    <row r="2377" spans="1:22" ht="12.75" customHeight="1" x14ac:dyDescent="0.15">
      <c r="A2377">
        <v>23</v>
      </c>
      <c r="B2377">
        <v>2026</v>
      </c>
      <c r="C2377" s="21">
        <v>46181</v>
      </c>
      <c r="D2377" t="s">
        <v>60</v>
      </c>
      <c r="E2377" t="s">
        <v>61</v>
      </c>
      <c r="F2377" t="s">
        <v>21</v>
      </c>
      <c r="G2377">
        <v>1.6</v>
      </c>
      <c r="H2377" t="s">
        <v>3878</v>
      </c>
      <c r="I2377" t="s">
        <v>3566</v>
      </c>
      <c r="J2377" s="1" t="s">
        <v>3389</v>
      </c>
      <c r="K2377" t="s">
        <v>2666</v>
      </c>
      <c r="L2377" t="s">
        <v>3587</v>
      </c>
      <c r="P2377">
        <v>8.1999999999999993</v>
      </c>
      <c r="T2377" t="s">
        <v>3402</v>
      </c>
      <c r="U2377">
        <v>73</v>
      </c>
      <c r="V2377" t="s">
        <v>3720</v>
      </c>
    </row>
    <row r="2378" spans="1:22" ht="12.75" customHeight="1" x14ac:dyDescent="0.15">
      <c r="A2378">
        <v>23</v>
      </c>
      <c r="B2378">
        <v>2026</v>
      </c>
      <c r="C2378" s="21">
        <v>46181</v>
      </c>
      <c r="D2378" t="s">
        <v>60</v>
      </c>
      <c r="E2378" t="s">
        <v>61</v>
      </c>
      <c r="F2378" t="s">
        <v>21</v>
      </c>
      <c r="G2378">
        <v>1.6</v>
      </c>
      <c r="H2378" t="s">
        <v>3653</v>
      </c>
      <c r="I2378" t="s">
        <v>3566</v>
      </c>
      <c r="J2378" s="1" t="s">
        <v>3389</v>
      </c>
      <c r="K2378" t="s">
        <v>181</v>
      </c>
      <c r="L2378" t="s">
        <v>3340</v>
      </c>
      <c r="M2378">
        <v>86</v>
      </c>
      <c r="N2378">
        <v>0.71</v>
      </c>
      <c r="O2378" t="s">
        <v>211</v>
      </c>
      <c r="P2378">
        <v>39</v>
      </c>
      <c r="R2378" t="s">
        <v>3386</v>
      </c>
      <c r="T2378" t="s">
        <v>3402</v>
      </c>
      <c r="U2378">
        <v>73</v>
      </c>
      <c r="V2378" t="s">
        <v>4222</v>
      </c>
    </row>
    <row r="2379" spans="1:22" ht="12.75" customHeight="1" x14ac:dyDescent="0.15">
      <c r="A2379">
        <v>23</v>
      </c>
      <c r="B2379">
        <v>2026</v>
      </c>
      <c r="C2379" s="21">
        <v>46181</v>
      </c>
      <c r="D2379" t="s">
        <v>60</v>
      </c>
      <c r="E2379" t="s">
        <v>61</v>
      </c>
      <c r="F2379" t="s">
        <v>21</v>
      </c>
      <c r="G2379">
        <v>1.6</v>
      </c>
      <c r="H2379" t="s">
        <v>3878</v>
      </c>
      <c r="I2379" t="s">
        <v>3566</v>
      </c>
      <c r="J2379" s="1" t="s">
        <v>3389</v>
      </c>
      <c r="K2379" t="s">
        <v>2666</v>
      </c>
      <c r="L2379" t="s">
        <v>3587</v>
      </c>
      <c r="P2379">
        <v>24.6</v>
      </c>
      <c r="T2379" t="s">
        <v>3402</v>
      </c>
      <c r="U2379">
        <v>73</v>
      </c>
      <c r="V2379" t="s">
        <v>4223</v>
      </c>
    </row>
    <row r="2380" spans="1:22" ht="12.75" customHeight="1" x14ac:dyDescent="0.15">
      <c r="A2380">
        <v>23</v>
      </c>
      <c r="B2380">
        <v>2026</v>
      </c>
      <c r="C2380" s="21">
        <v>46181</v>
      </c>
      <c r="D2380" t="s">
        <v>101</v>
      </c>
      <c r="E2380" t="s">
        <v>102</v>
      </c>
      <c r="F2380" t="s">
        <v>75</v>
      </c>
      <c r="G2380">
        <v>7.6</v>
      </c>
      <c r="H2380" t="s">
        <v>3391</v>
      </c>
      <c r="I2380" t="s">
        <v>353</v>
      </c>
      <c r="J2380" s="1" t="s">
        <v>253</v>
      </c>
      <c r="K2380" t="s">
        <v>181</v>
      </c>
      <c r="L2380" t="s">
        <v>3587</v>
      </c>
      <c r="M2380">
        <v>120</v>
      </c>
      <c r="N2380">
        <v>9</v>
      </c>
      <c r="O2380" t="s">
        <v>211</v>
      </c>
      <c r="P2380">
        <v>495</v>
      </c>
      <c r="R2380" t="s">
        <v>3415</v>
      </c>
      <c r="S2380" t="s">
        <v>4224</v>
      </c>
      <c r="T2380" t="s">
        <v>3402</v>
      </c>
      <c r="U2380">
        <v>41</v>
      </c>
      <c r="V2380" t="s">
        <v>4225</v>
      </c>
    </row>
    <row r="2381" spans="1:22" ht="12.75" customHeight="1" x14ac:dyDescent="0.15">
      <c r="A2381">
        <v>23</v>
      </c>
      <c r="B2381">
        <v>2026</v>
      </c>
      <c r="C2381" s="21">
        <v>46182</v>
      </c>
      <c r="D2381" t="s">
        <v>101</v>
      </c>
      <c r="E2381" t="s">
        <v>102</v>
      </c>
      <c r="F2381" t="s">
        <v>75</v>
      </c>
      <c r="G2381">
        <v>7.6</v>
      </c>
      <c r="H2381" t="s">
        <v>3400</v>
      </c>
      <c r="I2381" t="s">
        <v>353</v>
      </c>
      <c r="J2381" s="1" t="s">
        <v>253</v>
      </c>
      <c r="K2381" t="s">
        <v>181</v>
      </c>
      <c r="L2381" t="s">
        <v>3333</v>
      </c>
      <c r="M2381">
        <v>2</v>
      </c>
      <c r="N2381">
        <v>1</v>
      </c>
      <c r="O2381" t="s">
        <v>3440</v>
      </c>
      <c r="P2381">
        <v>90.49</v>
      </c>
      <c r="Q2381">
        <v>8</v>
      </c>
      <c r="R2381" t="s">
        <v>3424</v>
      </c>
      <c r="T2381" t="s">
        <v>3337</v>
      </c>
      <c r="U2381">
        <v>42</v>
      </c>
      <c r="V2381" t="s">
        <v>3982</v>
      </c>
    </row>
    <row r="2382" spans="1:22" ht="12.75" customHeight="1" x14ac:dyDescent="0.15">
      <c r="A2382">
        <v>23</v>
      </c>
      <c r="B2382">
        <v>2026</v>
      </c>
      <c r="C2382" s="21">
        <v>46182</v>
      </c>
      <c r="D2382" t="s">
        <v>101</v>
      </c>
      <c r="E2382" t="s">
        <v>102</v>
      </c>
      <c r="F2382" t="s">
        <v>75</v>
      </c>
      <c r="G2382">
        <v>7.6</v>
      </c>
      <c r="H2382" t="s">
        <v>3400</v>
      </c>
      <c r="I2382" t="s">
        <v>353</v>
      </c>
      <c r="J2382" s="1" t="s">
        <v>253</v>
      </c>
      <c r="K2382" t="s">
        <v>181</v>
      </c>
      <c r="L2382" t="s">
        <v>3340</v>
      </c>
      <c r="M2382">
        <v>25</v>
      </c>
      <c r="N2382">
        <v>1</v>
      </c>
      <c r="O2382" t="s">
        <v>211</v>
      </c>
      <c r="P2382">
        <v>55</v>
      </c>
      <c r="R2382" t="s">
        <v>3413</v>
      </c>
      <c r="T2382" t="s">
        <v>3337</v>
      </c>
      <c r="U2382">
        <v>42</v>
      </c>
      <c r="V2382" t="s">
        <v>4088</v>
      </c>
    </row>
    <row r="2383" spans="1:22" ht="12.75" customHeight="1" x14ac:dyDescent="0.15">
      <c r="A2383">
        <v>23</v>
      </c>
      <c r="B2383">
        <v>2026</v>
      </c>
      <c r="C2383" s="21">
        <v>46182</v>
      </c>
      <c r="D2383" t="s">
        <v>101</v>
      </c>
      <c r="E2383" t="s">
        <v>102</v>
      </c>
      <c r="F2383" t="s">
        <v>75</v>
      </c>
      <c r="G2383">
        <v>7.6</v>
      </c>
      <c r="H2383" t="s">
        <v>4226</v>
      </c>
      <c r="I2383" t="s">
        <v>4227</v>
      </c>
      <c r="J2383" s="1" t="s">
        <v>3668</v>
      </c>
      <c r="K2383" t="s">
        <v>181</v>
      </c>
      <c r="L2383" t="s">
        <v>3333</v>
      </c>
      <c r="M2383">
        <v>1</v>
      </c>
      <c r="N2383">
        <v>0.63</v>
      </c>
      <c r="O2383" t="s">
        <v>3358</v>
      </c>
      <c r="P2383">
        <v>44.91</v>
      </c>
      <c r="Q2383">
        <v>5</v>
      </c>
      <c r="R2383" t="s">
        <v>3359</v>
      </c>
      <c r="T2383" t="s">
        <v>3337</v>
      </c>
      <c r="U2383">
        <v>42</v>
      </c>
      <c r="V2383" t="s">
        <v>4164</v>
      </c>
    </row>
    <row r="2384" spans="1:22" ht="12.75" customHeight="1" x14ac:dyDescent="0.15">
      <c r="A2384">
        <v>23</v>
      </c>
      <c r="B2384">
        <v>2026</v>
      </c>
      <c r="C2384" s="21">
        <v>46182</v>
      </c>
      <c r="D2384" t="s">
        <v>101</v>
      </c>
      <c r="E2384" t="s">
        <v>102</v>
      </c>
      <c r="F2384" t="s">
        <v>75</v>
      </c>
      <c r="G2384">
        <v>7.6</v>
      </c>
      <c r="H2384" t="s">
        <v>3400</v>
      </c>
      <c r="I2384" t="s">
        <v>353</v>
      </c>
      <c r="J2384" s="1" t="s">
        <v>253</v>
      </c>
      <c r="K2384" t="s">
        <v>181</v>
      </c>
      <c r="L2384" t="s">
        <v>3333</v>
      </c>
      <c r="M2384">
        <v>1</v>
      </c>
      <c r="N2384">
        <v>0.38</v>
      </c>
      <c r="O2384" t="s">
        <v>3358</v>
      </c>
      <c r="P2384">
        <v>26.95</v>
      </c>
      <c r="Q2384">
        <v>3</v>
      </c>
      <c r="R2384" t="s">
        <v>3359</v>
      </c>
      <c r="T2384" t="s">
        <v>3337</v>
      </c>
      <c r="U2384">
        <v>42</v>
      </c>
      <c r="V2384" t="s">
        <v>3422</v>
      </c>
    </row>
    <row r="2385" spans="1:22" ht="12.75" customHeight="1" x14ac:dyDescent="0.15">
      <c r="A2385">
        <v>23</v>
      </c>
      <c r="B2385">
        <v>2026</v>
      </c>
      <c r="C2385" s="21">
        <v>46182</v>
      </c>
      <c r="D2385" t="s">
        <v>39</v>
      </c>
      <c r="E2385" t="s">
        <v>40</v>
      </c>
      <c r="F2385" t="s">
        <v>21</v>
      </c>
      <c r="G2385">
        <v>1.91</v>
      </c>
      <c r="H2385" t="s">
        <v>3453</v>
      </c>
      <c r="I2385" t="s">
        <v>187</v>
      </c>
      <c r="J2385" s="1" t="s">
        <v>188</v>
      </c>
      <c r="K2385" t="s">
        <v>181</v>
      </c>
      <c r="L2385" t="s">
        <v>3333</v>
      </c>
      <c r="M2385">
        <v>6</v>
      </c>
      <c r="N2385">
        <v>0.38</v>
      </c>
      <c r="O2385" t="s">
        <v>3334</v>
      </c>
      <c r="P2385">
        <v>30.59</v>
      </c>
      <c r="Q2385">
        <v>3</v>
      </c>
      <c r="R2385" t="s">
        <v>3335</v>
      </c>
      <c r="T2385" t="s">
        <v>3337</v>
      </c>
      <c r="U2385">
        <v>145</v>
      </c>
      <c r="V2385" t="s">
        <v>3417</v>
      </c>
    </row>
    <row r="2386" spans="1:22" ht="12.75" customHeight="1" x14ac:dyDescent="0.15">
      <c r="A2386">
        <v>23</v>
      </c>
      <c r="B2386">
        <v>2026</v>
      </c>
      <c r="C2386" s="21">
        <v>46182</v>
      </c>
      <c r="D2386" t="s">
        <v>39</v>
      </c>
      <c r="E2386" t="s">
        <v>40</v>
      </c>
      <c r="F2386" t="s">
        <v>21</v>
      </c>
      <c r="G2386">
        <v>1.91</v>
      </c>
      <c r="H2386" t="s">
        <v>3454</v>
      </c>
      <c r="I2386" t="s">
        <v>212</v>
      </c>
      <c r="J2386" s="1" t="s">
        <v>188</v>
      </c>
      <c r="K2386" t="s">
        <v>181</v>
      </c>
      <c r="L2386" t="s">
        <v>3333</v>
      </c>
      <c r="M2386">
        <v>6</v>
      </c>
      <c r="N2386">
        <v>0.63</v>
      </c>
      <c r="O2386" t="s">
        <v>3334</v>
      </c>
      <c r="P2386">
        <v>50.99</v>
      </c>
      <c r="Q2386">
        <v>5</v>
      </c>
      <c r="R2386" t="s">
        <v>3335</v>
      </c>
      <c r="T2386" t="s">
        <v>3337</v>
      </c>
      <c r="U2386">
        <v>145</v>
      </c>
      <c r="V2386" t="s">
        <v>3416</v>
      </c>
    </row>
    <row r="2387" spans="1:22" ht="12.75" customHeight="1" x14ac:dyDescent="0.15">
      <c r="A2387">
        <v>23</v>
      </c>
      <c r="B2387">
        <v>2026</v>
      </c>
      <c r="C2387" s="21">
        <v>46182</v>
      </c>
      <c r="D2387" t="s">
        <v>122</v>
      </c>
      <c r="E2387" t="s">
        <v>123</v>
      </c>
      <c r="F2387" t="s">
        <v>75</v>
      </c>
      <c r="G2387">
        <v>4.5</v>
      </c>
      <c r="H2387" t="s">
        <v>3519</v>
      </c>
      <c r="I2387" t="s">
        <v>214</v>
      </c>
      <c r="J2387" s="1" t="s">
        <v>215</v>
      </c>
      <c r="K2387" t="s">
        <v>181</v>
      </c>
      <c r="L2387" t="s">
        <v>3340</v>
      </c>
      <c r="M2387">
        <v>53</v>
      </c>
      <c r="N2387">
        <v>1.31</v>
      </c>
      <c r="O2387" t="s">
        <v>211</v>
      </c>
      <c r="P2387">
        <v>72</v>
      </c>
      <c r="R2387" t="s">
        <v>3373</v>
      </c>
      <c r="S2387" t="s">
        <v>4228</v>
      </c>
      <c r="T2387" t="s">
        <v>3337</v>
      </c>
      <c r="V2387" t="s">
        <v>4141</v>
      </c>
    </row>
    <row r="2388" spans="1:22" ht="12.75" customHeight="1" x14ac:dyDescent="0.15">
      <c r="A2388">
        <v>23</v>
      </c>
      <c r="B2388">
        <v>2026</v>
      </c>
      <c r="C2388" s="21">
        <v>46182</v>
      </c>
      <c r="D2388" t="s">
        <v>122</v>
      </c>
      <c r="E2388" t="s">
        <v>123</v>
      </c>
      <c r="F2388" t="s">
        <v>75</v>
      </c>
      <c r="G2388">
        <v>4.5</v>
      </c>
      <c r="H2388" t="s">
        <v>3519</v>
      </c>
      <c r="I2388" t="s">
        <v>214</v>
      </c>
      <c r="J2388" s="1" t="s">
        <v>215</v>
      </c>
      <c r="K2388" t="s">
        <v>181</v>
      </c>
      <c r="L2388" t="s">
        <v>3340</v>
      </c>
      <c r="M2388">
        <v>62</v>
      </c>
      <c r="N2388">
        <v>1.4</v>
      </c>
      <c r="O2388" t="s">
        <v>211</v>
      </c>
      <c r="P2388">
        <v>77</v>
      </c>
      <c r="R2388" t="s">
        <v>3375</v>
      </c>
      <c r="T2388" t="s">
        <v>3337</v>
      </c>
      <c r="V2388" t="s">
        <v>3435</v>
      </c>
    </row>
    <row r="2389" spans="1:22" ht="12.75" customHeight="1" x14ac:dyDescent="0.15">
      <c r="A2389">
        <v>23</v>
      </c>
      <c r="B2389">
        <v>2026</v>
      </c>
      <c r="C2389" s="21">
        <v>46182</v>
      </c>
      <c r="D2389" t="s">
        <v>122</v>
      </c>
      <c r="E2389" t="s">
        <v>123</v>
      </c>
      <c r="F2389" t="s">
        <v>75</v>
      </c>
      <c r="G2389">
        <v>4.5</v>
      </c>
      <c r="H2389" t="s">
        <v>3519</v>
      </c>
      <c r="I2389" t="s">
        <v>214</v>
      </c>
      <c r="J2389" s="1" t="s">
        <v>215</v>
      </c>
      <c r="K2389" t="s">
        <v>181</v>
      </c>
      <c r="L2389" t="s">
        <v>3340</v>
      </c>
      <c r="M2389">
        <v>58</v>
      </c>
      <c r="N2389">
        <v>1.31</v>
      </c>
      <c r="O2389" t="s">
        <v>211</v>
      </c>
      <c r="P2389">
        <v>72</v>
      </c>
      <c r="R2389" t="s">
        <v>3343</v>
      </c>
      <c r="T2389" t="s">
        <v>3337</v>
      </c>
      <c r="V2389" t="s">
        <v>4141</v>
      </c>
    </row>
    <row r="2390" spans="1:22" ht="12.75" customHeight="1" x14ac:dyDescent="0.15">
      <c r="A2390">
        <v>23</v>
      </c>
      <c r="B2390">
        <v>2026</v>
      </c>
      <c r="C2390" s="21">
        <v>46182</v>
      </c>
      <c r="D2390" t="s">
        <v>122</v>
      </c>
      <c r="E2390" t="s">
        <v>123</v>
      </c>
      <c r="F2390" t="s">
        <v>75</v>
      </c>
      <c r="G2390">
        <v>4.5</v>
      </c>
      <c r="H2390" t="s">
        <v>3519</v>
      </c>
      <c r="I2390" t="s">
        <v>214</v>
      </c>
      <c r="J2390" s="1" t="s">
        <v>215</v>
      </c>
      <c r="K2390" t="s">
        <v>181</v>
      </c>
      <c r="L2390" t="s">
        <v>3340</v>
      </c>
      <c r="M2390">
        <v>81</v>
      </c>
      <c r="N2390">
        <v>1.31</v>
      </c>
      <c r="O2390" t="s">
        <v>211</v>
      </c>
      <c r="P2390">
        <v>72</v>
      </c>
      <c r="R2390" t="s">
        <v>3374</v>
      </c>
      <c r="T2390" t="s">
        <v>3337</v>
      </c>
      <c r="V2390" t="s">
        <v>4141</v>
      </c>
    </row>
    <row r="2391" spans="1:22" ht="12.75" customHeight="1" x14ac:dyDescent="0.15">
      <c r="A2391">
        <v>23</v>
      </c>
      <c r="B2391">
        <v>2026</v>
      </c>
      <c r="C2391" s="21">
        <v>46182</v>
      </c>
      <c r="D2391" t="s">
        <v>122</v>
      </c>
      <c r="E2391" t="s">
        <v>123</v>
      </c>
      <c r="F2391" t="s">
        <v>75</v>
      </c>
      <c r="G2391">
        <v>4.5</v>
      </c>
      <c r="H2391" t="s">
        <v>3519</v>
      </c>
      <c r="I2391" t="s">
        <v>214</v>
      </c>
      <c r="J2391" s="1" t="s">
        <v>215</v>
      </c>
      <c r="K2391" t="s">
        <v>181</v>
      </c>
      <c r="L2391" t="s">
        <v>3340</v>
      </c>
      <c r="M2391">
        <v>45</v>
      </c>
      <c r="N2391">
        <v>1.31</v>
      </c>
      <c r="O2391" t="s">
        <v>211</v>
      </c>
      <c r="P2391">
        <v>72</v>
      </c>
      <c r="R2391" t="s">
        <v>3377</v>
      </c>
      <c r="T2391" t="s">
        <v>3337</v>
      </c>
      <c r="V2391" t="s">
        <v>4141</v>
      </c>
    </row>
    <row r="2392" spans="1:22" ht="12.75" customHeight="1" x14ac:dyDescent="0.15">
      <c r="A2392">
        <v>23</v>
      </c>
      <c r="B2392">
        <v>2026</v>
      </c>
      <c r="C2392" s="21">
        <v>46182</v>
      </c>
      <c r="D2392" t="s">
        <v>68</v>
      </c>
      <c r="E2392" t="s">
        <v>69</v>
      </c>
      <c r="F2392" t="s">
        <v>21</v>
      </c>
      <c r="G2392">
        <v>1</v>
      </c>
      <c r="H2392" t="s">
        <v>3514</v>
      </c>
      <c r="I2392" t="s">
        <v>366</v>
      </c>
      <c r="J2392" s="1" t="s">
        <v>215</v>
      </c>
      <c r="K2392" t="s">
        <v>181</v>
      </c>
      <c r="L2392" t="s">
        <v>3340</v>
      </c>
      <c r="M2392">
        <v>53</v>
      </c>
      <c r="N2392">
        <v>0.51</v>
      </c>
      <c r="O2392" t="s">
        <v>211</v>
      </c>
      <c r="P2392">
        <v>28</v>
      </c>
      <c r="R2392" t="s">
        <v>3373</v>
      </c>
      <c r="S2392" t="s">
        <v>4229</v>
      </c>
      <c r="T2392" t="s">
        <v>3337</v>
      </c>
      <c r="U2392">
        <v>68</v>
      </c>
      <c r="V2392" t="s">
        <v>3825</v>
      </c>
    </row>
    <row r="2393" spans="1:22" ht="12.75" customHeight="1" x14ac:dyDescent="0.15">
      <c r="A2393">
        <v>23</v>
      </c>
      <c r="B2393">
        <v>2026</v>
      </c>
      <c r="C2393" s="21">
        <v>46182</v>
      </c>
      <c r="D2393" t="s">
        <v>68</v>
      </c>
      <c r="E2393" t="s">
        <v>69</v>
      </c>
      <c r="F2393" t="s">
        <v>21</v>
      </c>
      <c r="G2393">
        <v>1</v>
      </c>
      <c r="H2393" t="s">
        <v>3514</v>
      </c>
      <c r="I2393" t="s">
        <v>366</v>
      </c>
      <c r="J2393" s="1" t="s">
        <v>215</v>
      </c>
      <c r="K2393" t="s">
        <v>181</v>
      </c>
      <c r="L2393" t="s">
        <v>3340</v>
      </c>
      <c r="M2393">
        <v>62</v>
      </c>
      <c r="N2393">
        <v>0.51</v>
      </c>
      <c r="O2393" t="s">
        <v>211</v>
      </c>
      <c r="P2393">
        <v>28</v>
      </c>
      <c r="R2393" t="s">
        <v>3375</v>
      </c>
      <c r="T2393" t="s">
        <v>3337</v>
      </c>
      <c r="U2393">
        <v>68</v>
      </c>
      <c r="V2393" t="s">
        <v>3825</v>
      </c>
    </row>
    <row r="2394" spans="1:22" ht="12.75" customHeight="1" x14ac:dyDescent="0.15">
      <c r="A2394">
        <v>23</v>
      </c>
      <c r="B2394">
        <v>2026</v>
      </c>
      <c r="C2394" s="21">
        <v>46182</v>
      </c>
      <c r="D2394" t="s">
        <v>68</v>
      </c>
      <c r="E2394" t="s">
        <v>69</v>
      </c>
      <c r="F2394" t="s">
        <v>21</v>
      </c>
      <c r="G2394">
        <v>1</v>
      </c>
      <c r="H2394" t="s">
        <v>3514</v>
      </c>
      <c r="I2394" t="s">
        <v>366</v>
      </c>
      <c r="J2394" s="1" t="s">
        <v>215</v>
      </c>
      <c r="K2394" t="s">
        <v>181</v>
      </c>
      <c r="L2394" t="s">
        <v>3340</v>
      </c>
      <c r="M2394">
        <v>58</v>
      </c>
      <c r="N2394">
        <v>0.51</v>
      </c>
      <c r="O2394" t="s">
        <v>211</v>
      </c>
      <c r="P2394">
        <v>28</v>
      </c>
      <c r="R2394" t="s">
        <v>3343</v>
      </c>
      <c r="T2394" t="s">
        <v>3337</v>
      </c>
      <c r="U2394">
        <v>68</v>
      </c>
      <c r="V2394" t="s">
        <v>3825</v>
      </c>
    </row>
    <row r="2395" spans="1:22" ht="12.75" customHeight="1" x14ac:dyDescent="0.15">
      <c r="A2395">
        <v>23</v>
      </c>
      <c r="B2395">
        <v>2026</v>
      </c>
      <c r="C2395" s="21">
        <v>46182</v>
      </c>
      <c r="D2395" t="s">
        <v>68</v>
      </c>
      <c r="E2395" t="s">
        <v>69</v>
      </c>
      <c r="F2395" t="s">
        <v>21</v>
      </c>
      <c r="G2395">
        <v>1</v>
      </c>
      <c r="H2395" t="s">
        <v>3514</v>
      </c>
      <c r="I2395" t="s">
        <v>366</v>
      </c>
      <c r="J2395" s="1" t="s">
        <v>215</v>
      </c>
      <c r="K2395" t="s">
        <v>181</v>
      </c>
      <c r="L2395" t="s">
        <v>3340</v>
      </c>
      <c r="M2395">
        <v>81</v>
      </c>
      <c r="N2395">
        <v>0.51</v>
      </c>
      <c r="O2395" t="s">
        <v>211</v>
      </c>
      <c r="P2395">
        <v>28</v>
      </c>
      <c r="R2395" t="s">
        <v>3374</v>
      </c>
      <c r="T2395" t="s">
        <v>3337</v>
      </c>
      <c r="U2395">
        <v>68</v>
      </c>
      <c r="V2395" t="s">
        <v>3825</v>
      </c>
    </row>
    <row r="2396" spans="1:22" ht="12.75" customHeight="1" x14ac:dyDescent="0.15">
      <c r="A2396">
        <v>23</v>
      </c>
      <c r="B2396">
        <v>2026</v>
      </c>
      <c r="C2396" s="21">
        <v>46182</v>
      </c>
      <c r="D2396" t="s">
        <v>68</v>
      </c>
      <c r="E2396" t="s">
        <v>69</v>
      </c>
      <c r="F2396" t="s">
        <v>21</v>
      </c>
      <c r="G2396">
        <v>1</v>
      </c>
      <c r="H2396" t="s">
        <v>3514</v>
      </c>
      <c r="I2396" t="s">
        <v>366</v>
      </c>
      <c r="J2396" s="1" t="s">
        <v>215</v>
      </c>
      <c r="K2396" t="s">
        <v>181</v>
      </c>
      <c r="L2396" t="s">
        <v>3340</v>
      </c>
      <c r="M2396">
        <v>45</v>
      </c>
      <c r="N2396">
        <v>0.51</v>
      </c>
      <c r="O2396" t="s">
        <v>211</v>
      </c>
      <c r="P2396">
        <v>28</v>
      </c>
      <c r="R2396" t="s">
        <v>3377</v>
      </c>
      <c r="T2396" t="s">
        <v>3337</v>
      </c>
      <c r="U2396">
        <v>68</v>
      </c>
      <c r="V2396" t="s">
        <v>3825</v>
      </c>
    </row>
    <row r="2397" spans="1:22" ht="12.75" customHeight="1" x14ac:dyDescent="0.15">
      <c r="A2397">
        <v>23</v>
      </c>
      <c r="B2397">
        <v>2026</v>
      </c>
      <c r="C2397" s="21">
        <v>46182</v>
      </c>
      <c r="D2397" t="s">
        <v>84</v>
      </c>
      <c r="E2397" t="s">
        <v>85</v>
      </c>
      <c r="F2397" t="s">
        <v>21</v>
      </c>
      <c r="G2397">
        <v>2</v>
      </c>
      <c r="H2397" t="s">
        <v>4135</v>
      </c>
      <c r="I2397" t="s">
        <v>4136</v>
      </c>
      <c r="J2397" s="1" t="s">
        <v>3533</v>
      </c>
      <c r="K2397" t="s">
        <v>181</v>
      </c>
      <c r="L2397" t="s">
        <v>3333</v>
      </c>
      <c r="M2397">
        <v>4</v>
      </c>
      <c r="N2397">
        <v>1</v>
      </c>
      <c r="O2397" t="s">
        <v>3334</v>
      </c>
      <c r="P2397">
        <v>81.58</v>
      </c>
      <c r="Q2397">
        <v>8</v>
      </c>
      <c r="R2397" t="s">
        <v>3773</v>
      </c>
      <c r="S2397" t="s">
        <v>4230</v>
      </c>
      <c r="T2397" t="s">
        <v>3402</v>
      </c>
      <c r="U2397">
        <v>50</v>
      </c>
      <c r="V2397" t="s">
        <v>3456</v>
      </c>
    </row>
    <row r="2398" spans="1:22" ht="12.75" customHeight="1" x14ac:dyDescent="0.15">
      <c r="A2398">
        <v>23</v>
      </c>
      <c r="B2398">
        <v>2026</v>
      </c>
      <c r="C2398" s="21">
        <v>46182</v>
      </c>
      <c r="D2398" t="s">
        <v>101</v>
      </c>
      <c r="E2398" t="s">
        <v>102</v>
      </c>
      <c r="F2398" t="s">
        <v>75</v>
      </c>
      <c r="G2398">
        <v>7.6</v>
      </c>
      <c r="H2398" t="s">
        <v>3391</v>
      </c>
      <c r="I2398" t="s">
        <v>353</v>
      </c>
      <c r="J2398" s="1" t="s">
        <v>253</v>
      </c>
      <c r="K2398" t="s">
        <v>181</v>
      </c>
      <c r="L2398" t="s">
        <v>3333</v>
      </c>
      <c r="M2398">
        <v>19</v>
      </c>
      <c r="N2398">
        <v>0.63</v>
      </c>
      <c r="O2398" t="s">
        <v>3334</v>
      </c>
      <c r="P2398">
        <v>50.99</v>
      </c>
      <c r="Q2398">
        <v>5</v>
      </c>
      <c r="R2398" t="s">
        <v>3403</v>
      </c>
      <c r="T2398" t="s">
        <v>3402</v>
      </c>
      <c r="U2398">
        <v>42</v>
      </c>
      <c r="V2398" t="s">
        <v>4114</v>
      </c>
    </row>
    <row r="2399" spans="1:22" ht="12.75" customHeight="1" x14ac:dyDescent="0.15">
      <c r="A2399">
        <v>23</v>
      </c>
      <c r="B2399">
        <v>2026</v>
      </c>
      <c r="C2399" s="21">
        <v>46182</v>
      </c>
      <c r="D2399" t="s">
        <v>101</v>
      </c>
      <c r="E2399" t="s">
        <v>102</v>
      </c>
      <c r="F2399" t="s">
        <v>75</v>
      </c>
      <c r="G2399">
        <v>7.6</v>
      </c>
      <c r="H2399" t="s">
        <v>3391</v>
      </c>
      <c r="I2399" t="s">
        <v>353</v>
      </c>
      <c r="J2399" s="1" t="s">
        <v>253</v>
      </c>
      <c r="K2399" t="s">
        <v>181</v>
      </c>
      <c r="L2399" t="s">
        <v>3340</v>
      </c>
      <c r="M2399">
        <v>78</v>
      </c>
      <c r="N2399">
        <v>0.82</v>
      </c>
      <c r="O2399" t="s">
        <v>211</v>
      </c>
      <c r="P2399">
        <v>45</v>
      </c>
      <c r="Q2399">
        <v>5</v>
      </c>
      <c r="R2399" t="s">
        <v>3341</v>
      </c>
      <c r="T2399" t="s">
        <v>3402</v>
      </c>
      <c r="U2399">
        <v>42</v>
      </c>
      <c r="V2399" t="s">
        <v>3348</v>
      </c>
    </row>
    <row r="2400" spans="1:22" ht="12.75" customHeight="1" x14ac:dyDescent="0.15">
      <c r="A2400">
        <v>23</v>
      </c>
      <c r="B2400">
        <v>2026</v>
      </c>
      <c r="C2400" s="21">
        <v>46182</v>
      </c>
      <c r="D2400" t="s">
        <v>60</v>
      </c>
      <c r="E2400" t="s">
        <v>61</v>
      </c>
      <c r="F2400" t="s">
        <v>21</v>
      </c>
      <c r="G2400">
        <v>1.6</v>
      </c>
      <c r="H2400" t="s">
        <v>3653</v>
      </c>
      <c r="I2400" t="s">
        <v>3566</v>
      </c>
      <c r="J2400" s="1" t="s">
        <v>3389</v>
      </c>
      <c r="K2400" t="s">
        <v>181</v>
      </c>
      <c r="L2400" t="s">
        <v>3333</v>
      </c>
      <c r="M2400">
        <v>86</v>
      </c>
      <c r="N2400">
        <v>0.25</v>
      </c>
      <c r="O2400" t="s">
        <v>3334</v>
      </c>
      <c r="P2400">
        <v>20.399999999999999</v>
      </c>
      <c r="Q2400">
        <v>2</v>
      </c>
      <c r="R2400" t="s">
        <v>3386</v>
      </c>
      <c r="T2400" t="s">
        <v>3402</v>
      </c>
      <c r="U2400">
        <v>74</v>
      </c>
      <c r="V2400" t="s">
        <v>3581</v>
      </c>
    </row>
    <row r="2401" spans="1:22" ht="12.75" customHeight="1" x14ac:dyDescent="0.15">
      <c r="A2401">
        <v>23</v>
      </c>
      <c r="B2401">
        <v>2026</v>
      </c>
      <c r="C2401" s="21">
        <v>46182</v>
      </c>
      <c r="D2401" t="s">
        <v>60</v>
      </c>
      <c r="E2401" t="s">
        <v>61</v>
      </c>
      <c r="F2401" t="s">
        <v>21</v>
      </c>
      <c r="G2401">
        <v>1.6</v>
      </c>
      <c r="H2401" t="s">
        <v>3878</v>
      </c>
      <c r="I2401" t="s">
        <v>3566</v>
      </c>
      <c r="J2401" s="1" t="s">
        <v>3389</v>
      </c>
      <c r="K2401" t="s">
        <v>2666</v>
      </c>
      <c r="L2401" t="s">
        <v>3587</v>
      </c>
      <c r="P2401">
        <v>16.399999999999999</v>
      </c>
      <c r="T2401" t="s">
        <v>3402</v>
      </c>
      <c r="U2401">
        <v>74</v>
      </c>
      <c r="V2401" t="s">
        <v>4231</v>
      </c>
    </row>
    <row r="2402" spans="1:22" ht="12.75" customHeight="1" x14ac:dyDescent="0.15">
      <c r="A2402">
        <v>23</v>
      </c>
      <c r="B2402">
        <v>2026</v>
      </c>
      <c r="C2402" s="21">
        <v>46182</v>
      </c>
      <c r="D2402" t="s">
        <v>60</v>
      </c>
      <c r="E2402" t="s">
        <v>61</v>
      </c>
      <c r="F2402" t="s">
        <v>21</v>
      </c>
      <c r="G2402">
        <v>1.6</v>
      </c>
      <c r="H2402" t="s">
        <v>3585</v>
      </c>
      <c r="I2402" t="s">
        <v>346</v>
      </c>
      <c r="J2402" s="1" t="s">
        <v>3389</v>
      </c>
      <c r="K2402" t="s">
        <v>181</v>
      </c>
      <c r="L2402" t="s">
        <v>3333</v>
      </c>
      <c r="M2402">
        <v>86</v>
      </c>
      <c r="N2402">
        <v>0.38</v>
      </c>
      <c r="O2402" t="s">
        <v>3334</v>
      </c>
      <c r="P2402">
        <v>30.59</v>
      </c>
      <c r="Q2402">
        <v>3</v>
      </c>
      <c r="R2402" t="s">
        <v>3386</v>
      </c>
      <c r="T2402" t="s">
        <v>3402</v>
      </c>
      <c r="U2402">
        <v>74</v>
      </c>
      <c r="V2402" t="s">
        <v>3582</v>
      </c>
    </row>
    <row r="2403" spans="1:22" ht="12.75" customHeight="1" x14ac:dyDescent="0.15">
      <c r="A2403">
        <v>23</v>
      </c>
      <c r="B2403">
        <v>2026</v>
      </c>
      <c r="C2403" s="21">
        <v>46182</v>
      </c>
      <c r="D2403" t="s">
        <v>60</v>
      </c>
      <c r="E2403" t="s">
        <v>61</v>
      </c>
      <c r="F2403" t="s">
        <v>21</v>
      </c>
      <c r="G2403">
        <v>1.6</v>
      </c>
      <c r="H2403" t="s">
        <v>3586</v>
      </c>
      <c r="I2403" t="s">
        <v>346</v>
      </c>
      <c r="J2403" s="1" t="s">
        <v>3389</v>
      </c>
      <c r="K2403" t="s">
        <v>2666</v>
      </c>
      <c r="L2403" t="s">
        <v>3587</v>
      </c>
      <c r="P2403">
        <v>24.6</v>
      </c>
      <c r="T2403" t="s">
        <v>3402</v>
      </c>
      <c r="U2403">
        <v>74</v>
      </c>
      <c r="V2403" t="s">
        <v>4223</v>
      </c>
    </row>
    <row r="2404" spans="1:22" ht="12.75" customHeight="1" x14ac:dyDescent="0.15">
      <c r="A2404">
        <v>23</v>
      </c>
      <c r="B2404">
        <v>2026</v>
      </c>
      <c r="C2404" s="21">
        <v>46182</v>
      </c>
      <c r="D2404" t="s">
        <v>96</v>
      </c>
      <c r="E2404" t="s">
        <v>97</v>
      </c>
      <c r="F2404" t="s">
        <v>21</v>
      </c>
      <c r="G2404">
        <v>4.5</v>
      </c>
      <c r="H2404" t="s">
        <v>3585</v>
      </c>
      <c r="I2404" t="s">
        <v>346</v>
      </c>
      <c r="J2404" s="1" t="s">
        <v>3389</v>
      </c>
      <c r="K2404" t="s">
        <v>181</v>
      </c>
      <c r="L2404" t="s">
        <v>3340</v>
      </c>
      <c r="M2404">
        <v>86</v>
      </c>
      <c r="N2404">
        <v>0.55000000000000004</v>
      </c>
      <c r="O2404" t="s">
        <v>211</v>
      </c>
      <c r="P2404">
        <v>30</v>
      </c>
      <c r="Q2404">
        <v>2</v>
      </c>
      <c r="R2404" t="s">
        <v>3386</v>
      </c>
      <c r="T2404" t="s">
        <v>3402</v>
      </c>
      <c r="U2404">
        <v>39</v>
      </c>
      <c r="V2404" t="s">
        <v>3382</v>
      </c>
    </row>
    <row r="2405" spans="1:22" ht="12.75" customHeight="1" x14ac:dyDescent="0.15">
      <c r="A2405">
        <v>23</v>
      </c>
      <c r="B2405">
        <v>2026</v>
      </c>
      <c r="C2405" s="21">
        <v>46182</v>
      </c>
      <c r="D2405" t="s">
        <v>96</v>
      </c>
      <c r="E2405" t="s">
        <v>97</v>
      </c>
      <c r="F2405" t="s">
        <v>21</v>
      </c>
      <c r="G2405">
        <v>4.5</v>
      </c>
      <c r="H2405" t="s">
        <v>3586</v>
      </c>
      <c r="I2405" t="s">
        <v>346</v>
      </c>
      <c r="J2405" s="1" t="s">
        <v>3389</v>
      </c>
      <c r="K2405" t="s">
        <v>2666</v>
      </c>
      <c r="L2405" t="s">
        <v>3587</v>
      </c>
      <c r="P2405">
        <v>16.399999999999999</v>
      </c>
      <c r="T2405" t="s">
        <v>3402</v>
      </c>
      <c r="U2405">
        <v>39</v>
      </c>
      <c r="V2405" t="s">
        <v>4232</v>
      </c>
    </row>
    <row r="2406" spans="1:22" ht="12.75" customHeight="1" x14ac:dyDescent="0.15">
      <c r="A2406">
        <v>23</v>
      </c>
      <c r="B2406">
        <v>2026</v>
      </c>
      <c r="C2406" s="21">
        <v>46182</v>
      </c>
      <c r="D2406" t="s">
        <v>60</v>
      </c>
      <c r="E2406" t="s">
        <v>61</v>
      </c>
      <c r="F2406" t="s">
        <v>21</v>
      </c>
      <c r="G2406">
        <v>1.6</v>
      </c>
      <c r="H2406" t="s">
        <v>3653</v>
      </c>
      <c r="I2406" t="s">
        <v>3566</v>
      </c>
      <c r="J2406" s="1" t="s">
        <v>3389</v>
      </c>
      <c r="K2406" t="s">
        <v>181</v>
      </c>
      <c r="L2406" t="s">
        <v>3333</v>
      </c>
      <c r="M2406">
        <v>11</v>
      </c>
      <c r="N2406">
        <v>0.25</v>
      </c>
      <c r="O2406" t="s">
        <v>213</v>
      </c>
      <c r="P2406">
        <v>22.5</v>
      </c>
      <c r="Q2406">
        <v>2</v>
      </c>
      <c r="R2406" t="s">
        <v>3564</v>
      </c>
      <c r="T2406" t="s">
        <v>3402</v>
      </c>
      <c r="U2406">
        <v>74</v>
      </c>
      <c r="V2406" t="s">
        <v>4191</v>
      </c>
    </row>
    <row r="2407" spans="1:22" ht="12.75" customHeight="1" x14ac:dyDescent="0.15">
      <c r="A2407">
        <v>23</v>
      </c>
      <c r="B2407">
        <v>2026</v>
      </c>
      <c r="C2407" s="21">
        <v>46182</v>
      </c>
      <c r="D2407" t="s">
        <v>60</v>
      </c>
      <c r="E2407" t="s">
        <v>61</v>
      </c>
      <c r="F2407" t="s">
        <v>21</v>
      </c>
      <c r="G2407">
        <v>1.6</v>
      </c>
      <c r="H2407" t="s">
        <v>3878</v>
      </c>
      <c r="I2407" t="s">
        <v>3566</v>
      </c>
      <c r="J2407" s="1" t="s">
        <v>3389</v>
      </c>
      <c r="K2407" t="s">
        <v>2666</v>
      </c>
      <c r="L2407" t="s">
        <v>3587</v>
      </c>
      <c r="P2407">
        <v>16.399999999999999</v>
      </c>
      <c r="T2407" t="s">
        <v>3402</v>
      </c>
      <c r="U2407">
        <v>74</v>
      </c>
      <c r="V2407" t="s">
        <v>4231</v>
      </c>
    </row>
    <row r="2408" spans="1:22" ht="12.75" customHeight="1" x14ac:dyDescent="0.15">
      <c r="A2408">
        <v>23</v>
      </c>
      <c r="B2408">
        <v>2026</v>
      </c>
      <c r="C2408" s="21">
        <v>46182</v>
      </c>
      <c r="D2408" t="s">
        <v>101</v>
      </c>
      <c r="E2408" t="s">
        <v>102</v>
      </c>
      <c r="F2408" t="s">
        <v>75</v>
      </c>
      <c r="G2408">
        <v>7.6</v>
      </c>
      <c r="H2408" t="s">
        <v>3391</v>
      </c>
      <c r="I2408" t="s">
        <v>353</v>
      </c>
      <c r="J2408" s="1" t="s">
        <v>253</v>
      </c>
      <c r="K2408" t="s">
        <v>181</v>
      </c>
      <c r="L2408" t="s">
        <v>3587</v>
      </c>
      <c r="M2408">
        <v>120</v>
      </c>
      <c r="N2408">
        <v>9</v>
      </c>
      <c r="O2408" t="s">
        <v>211</v>
      </c>
      <c r="P2408">
        <v>495</v>
      </c>
      <c r="R2408" t="s">
        <v>3415</v>
      </c>
      <c r="T2408" t="s">
        <v>3402</v>
      </c>
      <c r="U2408">
        <v>42</v>
      </c>
      <c r="V2408" t="s">
        <v>4225</v>
      </c>
    </row>
    <row r="2409" spans="1:22" ht="12.75" customHeight="1" x14ac:dyDescent="0.15">
      <c r="A2409">
        <v>23</v>
      </c>
      <c r="B2409">
        <v>2026</v>
      </c>
      <c r="C2409" s="21">
        <v>46183</v>
      </c>
      <c r="D2409" t="s">
        <v>101</v>
      </c>
      <c r="E2409" t="s">
        <v>102</v>
      </c>
      <c r="F2409" t="s">
        <v>75</v>
      </c>
      <c r="G2409">
        <v>7.6</v>
      </c>
      <c r="H2409" t="s">
        <v>3400</v>
      </c>
      <c r="I2409" t="s">
        <v>353</v>
      </c>
      <c r="J2409" s="1" t="s">
        <v>253</v>
      </c>
      <c r="K2409" t="s">
        <v>181</v>
      </c>
      <c r="L2409" t="s">
        <v>3333</v>
      </c>
      <c r="M2409">
        <v>2</v>
      </c>
      <c r="N2409">
        <v>1</v>
      </c>
      <c r="O2409" t="s">
        <v>3440</v>
      </c>
      <c r="P2409">
        <v>90.49</v>
      </c>
      <c r="Q2409">
        <v>8</v>
      </c>
      <c r="R2409" t="s">
        <v>3424</v>
      </c>
      <c r="T2409" t="s">
        <v>3337</v>
      </c>
      <c r="U2409">
        <v>43</v>
      </c>
      <c r="V2409" t="s">
        <v>3982</v>
      </c>
    </row>
    <row r="2410" spans="1:22" ht="12.75" customHeight="1" x14ac:dyDescent="0.15">
      <c r="A2410">
        <v>23</v>
      </c>
      <c r="B2410">
        <v>2026</v>
      </c>
      <c r="C2410" s="21">
        <v>46183</v>
      </c>
      <c r="D2410" t="s">
        <v>101</v>
      </c>
      <c r="E2410" t="s">
        <v>102</v>
      </c>
      <c r="F2410" t="s">
        <v>75</v>
      </c>
      <c r="G2410">
        <v>7.6</v>
      </c>
      <c r="H2410" t="s">
        <v>3400</v>
      </c>
      <c r="I2410" t="s">
        <v>353</v>
      </c>
      <c r="J2410" s="1" t="s">
        <v>253</v>
      </c>
      <c r="K2410" t="s">
        <v>181</v>
      </c>
      <c r="L2410" t="s">
        <v>3340</v>
      </c>
      <c r="M2410">
        <v>25</v>
      </c>
      <c r="N2410">
        <v>1</v>
      </c>
      <c r="O2410" t="s">
        <v>211</v>
      </c>
      <c r="P2410">
        <v>55</v>
      </c>
      <c r="R2410" t="s">
        <v>3413</v>
      </c>
      <c r="T2410" t="s">
        <v>3337</v>
      </c>
      <c r="U2410">
        <v>43</v>
      </c>
      <c r="V2410" t="s">
        <v>4088</v>
      </c>
    </row>
    <row r="2411" spans="1:22" ht="12.75" customHeight="1" x14ac:dyDescent="0.15">
      <c r="A2411">
        <v>23</v>
      </c>
      <c r="B2411">
        <v>2026</v>
      </c>
      <c r="C2411" s="21">
        <v>46183</v>
      </c>
      <c r="D2411" t="s">
        <v>84</v>
      </c>
      <c r="E2411" t="s">
        <v>85</v>
      </c>
      <c r="F2411" t="s">
        <v>21</v>
      </c>
      <c r="G2411">
        <v>2</v>
      </c>
      <c r="H2411" t="s">
        <v>3519</v>
      </c>
      <c r="I2411" t="s">
        <v>214</v>
      </c>
      <c r="J2411" s="1" t="s">
        <v>215</v>
      </c>
      <c r="K2411" t="s">
        <v>181</v>
      </c>
      <c r="L2411" t="s">
        <v>3333</v>
      </c>
      <c r="M2411">
        <v>1</v>
      </c>
      <c r="N2411">
        <v>0.38</v>
      </c>
      <c r="O2411" t="s">
        <v>3358</v>
      </c>
      <c r="P2411">
        <v>26.95</v>
      </c>
      <c r="Q2411">
        <v>3</v>
      </c>
      <c r="R2411" t="s">
        <v>3359</v>
      </c>
      <c r="T2411" t="s">
        <v>3337</v>
      </c>
      <c r="U2411">
        <v>51</v>
      </c>
      <c r="V2411" t="s">
        <v>3493</v>
      </c>
    </row>
    <row r="2412" spans="1:22" ht="12.75" customHeight="1" x14ac:dyDescent="0.15">
      <c r="A2412">
        <v>23</v>
      </c>
      <c r="B2412">
        <v>2026</v>
      </c>
      <c r="C2412" s="21">
        <v>46183</v>
      </c>
      <c r="D2412" t="s">
        <v>101</v>
      </c>
      <c r="E2412" t="s">
        <v>102</v>
      </c>
      <c r="F2412" t="s">
        <v>75</v>
      </c>
      <c r="G2412">
        <v>7.6</v>
      </c>
      <c r="H2412" t="s">
        <v>3400</v>
      </c>
      <c r="I2412" t="s">
        <v>353</v>
      </c>
      <c r="J2412" s="1" t="s">
        <v>253</v>
      </c>
      <c r="K2412" t="s">
        <v>181</v>
      </c>
      <c r="L2412" t="s">
        <v>3333</v>
      </c>
      <c r="M2412">
        <v>1</v>
      </c>
      <c r="N2412">
        <v>0.25</v>
      </c>
      <c r="O2412" t="s">
        <v>3358</v>
      </c>
      <c r="P2412">
        <v>17.97</v>
      </c>
      <c r="Q2412">
        <v>2</v>
      </c>
      <c r="R2412" t="s">
        <v>3359</v>
      </c>
      <c r="T2412" t="s">
        <v>3337</v>
      </c>
      <c r="U2412">
        <v>43</v>
      </c>
      <c r="V2412" t="s">
        <v>3436</v>
      </c>
    </row>
    <row r="2413" spans="1:22" ht="12.75" customHeight="1" x14ac:dyDescent="0.15">
      <c r="A2413">
        <v>23</v>
      </c>
      <c r="B2413">
        <v>2026</v>
      </c>
      <c r="C2413" s="21">
        <v>46183</v>
      </c>
      <c r="D2413" t="s">
        <v>101</v>
      </c>
      <c r="E2413" t="s">
        <v>102</v>
      </c>
      <c r="F2413" t="s">
        <v>75</v>
      </c>
      <c r="G2413">
        <v>7.6</v>
      </c>
      <c r="H2413" t="s">
        <v>3400</v>
      </c>
      <c r="I2413" t="s">
        <v>353</v>
      </c>
      <c r="J2413" s="1" t="s">
        <v>253</v>
      </c>
      <c r="K2413" t="s">
        <v>181</v>
      </c>
      <c r="L2413" t="s">
        <v>3340</v>
      </c>
      <c r="M2413">
        <v>62</v>
      </c>
      <c r="N2413">
        <v>0.65</v>
      </c>
      <c r="O2413" t="s">
        <v>211</v>
      </c>
      <c r="P2413">
        <v>36</v>
      </c>
      <c r="Q2413">
        <v>4</v>
      </c>
      <c r="R2413" t="s">
        <v>3375</v>
      </c>
      <c r="T2413" t="s">
        <v>3337</v>
      </c>
      <c r="U2413">
        <v>43</v>
      </c>
      <c r="V2413" t="s">
        <v>3414</v>
      </c>
    </row>
    <row r="2414" spans="1:22" ht="12.75" customHeight="1" x14ac:dyDescent="0.15">
      <c r="A2414">
        <v>23</v>
      </c>
      <c r="B2414">
        <v>2026</v>
      </c>
      <c r="C2414" s="21">
        <v>46183</v>
      </c>
      <c r="D2414" t="s">
        <v>101</v>
      </c>
      <c r="E2414" t="s">
        <v>102</v>
      </c>
      <c r="F2414" t="s">
        <v>75</v>
      </c>
      <c r="G2414">
        <v>7.6</v>
      </c>
      <c r="H2414" t="s">
        <v>3400</v>
      </c>
      <c r="I2414" t="s">
        <v>353</v>
      </c>
      <c r="J2414" s="1" t="s">
        <v>253</v>
      </c>
      <c r="K2414" t="s">
        <v>181</v>
      </c>
      <c r="L2414" t="s">
        <v>3340</v>
      </c>
      <c r="M2414">
        <v>53</v>
      </c>
      <c r="N2414">
        <v>0.65</v>
      </c>
      <c r="O2414" t="s">
        <v>211</v>
      </c>
      <c r="P2414">
        <v>36</v>
      </c>
      <c r="Q2414">
        <v>4</v>
      </c>
      <c r="R2414" t="s">
        <v>3373</v>
      </c>
      <c r="T2414" t="s">
        <v>3337</v>
      </c>
      <c r="U2414">
        <v>43</v>
      </c>
      <c r="V2414" t="s">
        <v>3414</v>
      </c>
    </row>
    <row r="2415" spans="1:22" ht="12.75" customHeight="1" x14ac:dyDescent="0.15">
      <c r="A2415">
        <v>23</v>
      </c>
      <c r="B2415">
        <v>2026</v>
      </c>
      <c r="C2415" s="21">
        <v>46183</v>
      </c>
      <c r="D2415" t="s">
        <v>101</v>
      </c>
      <c r="E2415" t="s">
        <v>102</v>
      </c>
      <c r="F2415" t="s">
        <v>75</v>
      </c>
      <c r="G2415">
        <v>7.6</v>
      </c>
      <c r="H2415" t="s">
        <v>3400</v>
      </c>
      <c r="I2415" t="s">
        <v>353</v>
      </c>
      <c r="J2415" s="1" t="s">
        <v>253</v>
      </c>
      <c r="K2415" t="s">
        <v>181</v>
      </c>
      <c r="L2415" t="s">
        <v>3340</v>
      </c>
      <c r="M2415">
        <v>58</v>
      </c>
      <c r="N2415">
        <v>0.65</v>
      </c>
      <c r="O2415" t="s">
        <v>211</v>
      </c>
      <c r="P2415">
        <v>36</v>
      </c>
      <c r="Q2415">
        <v>4</v>
      </c>
      <c r="R2415" t="s">
        <v>3343</v>
      </c>
      <c r="T2415" t="s">
        <v>3337</v>
      </c>
      <c r="U2415">
        <v>43</v>
      </c>
      <c r="V2415" t="s">
        <v>3414</v>
      </c>
    </row>
    <row r="2416" spans="1:22" ht="12.75" customHeight="1" x14ac:dyDescent="0.15">
      <c r="A2416">
        <v>23</v>
      </c>
      <c r="B2416">
        <v>2026</v>
      </c>
      <c r="C2416" s="21">
        <v>46183</v>
      </c>
      <c r="D2416" t="s">
        <v>101</v>
      </c>
      <c r="E2416" t="s">
        <v>102</v>
      </c>
      <c r="F2416" t="s">
        <v>75</v>
      </c>
      <c r="G2416">
        <v>7.6</v>
      </c>
      <c r="H2416" t="s">
        <v>3400</v>
      </c>
      <c r="I2416" t="s">
        <v>353</v>
      </c>
      <c r="J2416" s="1" t="s">
        <v>253</v>
      </c>
      <c r="K2416" t="s">
        <v>181</v>
      </c>
      <c r="L2416" t="s">
        <v>3340</v>
      </c>
      <c r="M2416">
        <v>45</v>
      </c>
      <c r="N2416">
        <v>0.65</v>
      </c>
      <c r="O2416" t="s">
        <v>211</v>
      </c>
      <c r="P2416">
        <v>36</v>
      </c>
      <c r="Q2416">
        <v>4</v>
      </c>
      <c r="R2416" t="s">
        <v>3377</v>
      </c>
      <c r="T2416" t="s">
        <v>3337</v>
      </c>
      <c r="U2416">
        <v>43</v>
      </c>
      <c r="V2416" t="s">
        <v>3414</v>
      </c>
    </row>
    <row r="2417" spans="1:22" ht="12.75" customHeight="1" x14ac:dyDescent="0.15">
      <c r="A2417">
        <v>23</v>
      </c>
      <c r="B2417">
        <v>2026</v>
      </c>
      <c r="C2417" s="21">
        <v>46183</v>
      </c>
      <c r="D2417" t="s">
        <v>84</v>
      </c>
      <c r="E2417" t="s">
        <v>85</v>
      </c>
      <c r="F2417" t="s">
        <v>21</v>
      </c>
      <c r="G2417">
        <v>2</v>
      </c>
      <c r="H2417" t="s">
        <v>4233</v>
      </c>
      <c r="I2417" t="s">
        <v>335</v>
      </c>
      <c r="J2417" s="1" t="s">
        <v>3533</v>
      </c>
      <c r="K2417" t="s">
        <v>181</v>
      </c>
      <c r="L2417" t="s">
        <v>3340</v>
      </c>
      <c r="M2417">
        <v>81</v>
      </c>
      <c r="N2417">
        <v>1.31</v>
      </c>
      <c r="O2417" t="s">
        <v>211</v>
      </c>
      <c r="P2417">
        <v>72</v>
      </c>
      <c r="R2417" t="s">
        <v>3374</v>
      </c>
      <c r="T2417" t="s">
        <v>3337</v>
      </c>
      <c r="U2417">
        <v>51</v>
      </c>
      <c r="V2417" t="s">
        <v>3507</v>
      </c>
    </row>
    <row r="2418" spans="1:22" ht="12.75" customHeight="1" x14ac:dyDescent="0.15">
      <c r="A2418">
        <v>23</v>
      </c>
      <c r="B2418">
        <v>2026</v>
      </c>
      <c r="C2418" s="21">
        <v>46183</v>
      </c>
      <c r="D2418" t="s">
        <v>39</v>
      </c>
      <c r="E2418" t="s">
        <v>40</v>
      </c>
      <c r="F2418" t="s">
        <v>21</v>
      </c>
      <c r="G2418">
        <v>1.91</v>
      </c>
      <c r="H2418" t="s">
        <v>3454</v>
      </c>
      <c r="I2418" t="s">
        <v>212</v>
      </c>
      <c r="J2418" s="1" t="s">
        <v>188</v>
      </c>
      <c r="K2418" t="s">
        <v>181</v>
      </c>
      <c r="L2418" t="s">
        <v>3333</v>
      </c>
      <c r="M2418">
        <v>6</v>
      </c>
      <c r="N2418">
        <v>0.63</v>
      </c>
      <c r="O2418" t="s">
        <v>3334</v>
      </c>
      <c r="P2418">
        <v>50.99</v>
      </c>
      <c r="Q2418">
        <v>5</v>
      </c>
      <c r="R2418" t="s">
        <v>3335</v>
      </c>
      <c r="T2418" t="s">
        <v>3337</v>
      </c>
      <c r="U2418">
        <v>146</v>
      </c>
      <c r="V2418" t="s">
        <v>3416</v>
      </c>
    </row>
    <row r="2419" spans="1:22" ht="12.75" customHeight="1" x14ac:dyDescent="0.15">
      <c r="A2419">
        <v>23</v>
      </c>
      <c r="B2419">
        <v>2026</v>
      </c>
      <c r="C2419" s="21">
        <v>46183</v>
      </c>
      <c r="D2419" t="s">
        <v>101</v>
      </c>
      <c r="E2419" t="s">
        <v>102</v>
      </c>
      <c r="F2419" t="s">
        <v>75</v>
      </c>
      <c r="G2419">
        <v>7.6</v>
      </c>
      <c r="H2419" t="s">
        <v>3400</v>
      </c>
      <c r="I2419" t="s">
        <v>353</v>
      </c>
      <c r="J2419" s="1" t="s">
        <v>253</v>
      </c>
      <c r="K2419" t="s">
        <v>181</v>
      </c>
      <c r="L2419" t="s">
        <v>3333</v>
      </c>
      <c r="M2419">
        <v>6</v>
      </c>
      <c r="N2419">
        <v>0.38</v>
      </c>
      <c r="O2419" t="s">
        <v>3334</v>
      </c>
      <c r="P2419">
        <v>30.59</v>
      </c>
      <c r="Q2419">
        <v>3</v>
      </c>
      <c r="R2419" t="s">
        <v>3335</v>
      </c>
      <c r="T2419" t="s">
        <v>3337</v>
      </c>
      <c r="U2419">
        <v>43</v>
      </c>
      <c r="V2419" t="s">
        <v>3420</v>
      </c>
    </row>
    <row r="2420" spans="1:22" ht="12.75" customHeight="1" x14ac:dyDescent="0.15">
      <c r="A2420">
        <v>23</v>
      </c>
      <c r="B2420">
        <v>2026</v>
      </c>
      <c r="C2420" s="21">
        <v>46183</v>
      </c>
      <c r="D2420" t="s">
        <v>96</v>
      </c>
      <c r="E2420" t="s">
        <v>97</v>
      </c>
      <c r="F2420" t="s">
        <v>21</v>
      </c>
      <c r="G2420">
        <v>4.5</v>
      </c>
      <c r="H2420" t="s">
        <v>3585</v>
      </c>
      <c r="I2420" t="s">
        <v>346</v>
      </c>
      <c r="J2420" s="1" t="s">
        <v>3389</v>
      </c>
      <c r="K2420" t="s">
        <v>181</v>
      </c>
      <c r="L2420" t="s">
        <v>3333</v>
      </c>
      <c r="M2420">
        <v>86</v>
      </c>
      <c r="N2420">
        <v>0.63</v>
      </c>
      <c r="O2420" t="s">
        <v>3334</v>
      </c>
      <c r="P2420">
        <v>50.99</v>
      </c>
      <c r="Q2420">
        <v>5</v>
      </c>
      <c r="R2420" t="s">
        <v>3386</v>
      </c>
      <c r="T2420" t="s">
        <v>3402</v>
      </c>
      <c r="U2420">
        <v>40</v>
      </c>
      <c r="V2420" t="s">
        <v>3815</v>
      </c>
    </row>
    <row r="2421" spans="1:22" ht="12.75" customHeight="1" x14ac:dyDescent="0.15">
      <c r="A2421">
        <v>23</v>
      </c>
      <c r="B2421">
        <v>2026</v>
      </c>
      <c r="C2421" s="21">
        <v>46183</v>
      </c>
      <c r="D2421" t="s">
        <v>96</v>
      </c>
      <c r="E2421" t="s">
        <v>97</v>
      </c>
      <c r="F2421" t="s">
        <v>21</v>
      </c>
      <c r="G2421">
        <v>4.5</v>
      </c>
      <c r="H2421" t="s">
        <v>3585</v>
      </c>
      <c r="I2421" t="s">
        <v>346</v>
      </c>
      <c r="J2421" s="1" t="s">
        <v>3389</v>
      </c>
      <c r="K2421" t="s">
        <v>181</v>
      </c>
      <c r="L2421" t="s">
        <v>3340</v>
      </c>
      <c r="M2421">
        <v>86</v>
      </c>
      <c r="N2421">
        <v>0.27</v>
      </c>
      <c r="O2421" t="s">
        <v>211</v>
      </c>
      <c r="P2421">
        <v>15</v>
      </c>
      <c r="Q2421">
        <v>1</v>
      </c>
      <c r="R2421" t="s">
        <v>3386</v>
      </c>
      <c r="T2421" t="s">
        <v>3402</v>
      </c>
      <c r="U2421">
        <v>40</v>
      </c>
      <c r="V2421" t="s">
        <v>4234</v>
      </c>
    </row>
    <row r="2422" spans="1:22" ht="12.75" customHeight="1" x14ac:dyDescent="0.15">
      <c r="A2422">
        <v>23</v>
      </c>
      <c r="B2422">
        <v>2026</v>
      </c>
      <c r="C2422" s="21">
        <v>46183</v>
      </c>
      <c r="D2422" t="s">
        <v>96</v>
      </c>
      <c r="E2422" t="s">
        <v>97</v>
      </c>
      <c r="F2422" t="s">
        <v>21</v>
      </c>
      <c r="G2422">
        <v>4.5</v>
      </c>
      <c r="H2422" t="s">
        <v>3586</v>
      </c>
      <c r="I2422" t="s">
        <v>346</v>
      </c>
      <c r="J2422" s="1" t="s">
        <v>3389</v>
      </c>
      <c r="K2422" t="s">
        <v>2666</v>
      </c>
      <c r="L2422" t="s">
        <v>3587</v>
      </c>
      <c r="P2422">
        <v>49.2</v>
      </c>
      <c r="T2422" t="s">
        <v>3402</v>
      </c>
      <c r="U2422">
        <v>40</v>
      </c>
      <c r="V2422" t="s">
        <v>4235</v>
      </c>
    </row>
    <row r="2423" spans="1:22" ht="12.75" customHeight="1" x14ac:dyDescent="0.15">
      <c r="A2423">
        <v>23</v>
      </c>
      <c r="B2423">
        <v>2026</v>
      </c>
      <c r="C2423" s="21">
        <v>46183</v>
      </c>
      <c r="D2423" t="s">
        <v>84</v>
      </c>
      <c r="E2423" t="s">
        <v>85</v>
      </c>
      <c r="F2423" t="s">
        <v>21</v>
      </c>
      <c r="G2423">
        <v>2</v>
      </c>
      <c r="H2423" t="s">
        <v>3803</v>
      </c>
      <c r="I2423" t="s">
        <v>3676</v>
      </c>
      <c r="J2423" s="1" t="s">
        <v>3533</v>
      </c>
      <c r="K2423" t="s">
        <v>181</v>
      </c>
      <c r="L2423" t="s">
        <v>3333</v>
      </c>
      <c r="M2423">
        <v>4</v>
      </c>
      <c r="N2423">
        <v>0.75</v>
      </c>
      <c r="O2423" t="s">
        <v>3334</v>
      </c>
      <c r="P2423">
        <v>61.19</v>
      </c>
      <c r="Q2423">
        <v>6</v>
      </c>
      <c r="R2423" t="s">
        <v>3773</v>
      </c>
      <c r="T2423" t="s">
        <v>3402</v>
      </c>
      <c r="U2423">
        <v>51</v>
      </c>
      <c r="V2423" t="s">
        <v>3491</v>
      </c>
    </row>
    <row r="2424" spans="1:22" ht="12.75" customHeight="1" x14ac:dyDescent="0.15">
      <c r="A2424">
        <v>23</v>
      </c>
      <c r="B2424">
        <v>2026</v>
      </c>
      <c r="C2424" s="21">
        <v>46183</v>
      </c>
      <c r="D2424" t="s">
        <v>84</v>
      </c>
      <c r="E2424" t="s">
        <v>85</v>
      </c>
      <c r="F2424" t="s">
        <v>21</v>
      </c>
      <c r="G2424">
        <v>2</v>
      </c>
      <c r="H2424" t="s">
        <v>3605</v>
      </c>
      <c r="I2424" t="s">
        <v>335</v>
      </c>
      <c r="J2424" s="1" t="s">
        <v>3533</v>
      </c>
      <c r="K2424" t="s">
        <v>181</v>
      </c>
      <c r="L2424" t="s">
        <v>3333</v>
      </c>
      <c r="M2424">
        <v>4</v>
      </c>
      <c r="N2424">
        <v>0.25</v>
      </c>
      <c r="O2424" t="s">
        <v>3334</v>
      </c>
      <c r="P2424">
        <v>20.399999999999999</v>
      </c>
      <c r="Q2424">
        <v>2</v>
      </c>
      <c r="R2424" t="s">
        <v>3773</v>
      </c>
      <c r="T2424" t="s">
        <v>3402</v>
      </c>
      <c r="U2424">
        <v>51</v>
      </c>
      <c r="V2424" t="s">
        <v>3472</v>
      </c>
    </row>
    <row r="2425" spans="1:22" ht="12.75" customHeight="1" x14ac:dyDescent="0.15">
      <c r="A2425">
        <v>23</v>
      </c>
      <c r="B2425">
        <v>2026</v>
      </c>
      <c r="C2425" s="21">
        <v>46183</v>
      </c>
      <c r="D2425" t="s">
        <v>101</v>
      </c>
      <c r="E2425" t="s">
        <v>102</v>
      </c>
      <c r="F2425" t="s">
        <v>75</v>
      </c>
      <c r="G2425">
        <v>7.6</v>
      </c>
      <c r="H2425" t="s">
        <v>3391</v>
      </c>
      <c r="I2425" t="s">
        <v>353</v>
      </c>
      <c r="J2425" s="1" t="s">
        <v>253</v>
      </c>
      <c r="K2425" t="s">
        <v>181</v>
      </c>
      <c r="L2425" t="s">
        <v>3333</v>
      </c>
      <c r="M2425">
        <v>67</v>
      </c>
      <c r="N2425">
        <v>0.5</v>
      </c>
      <c r="O2425" t="s">
        <v>3334</v>
      </c>
      <c r="P2425">
        <v>40.79</v>
      </c>
      <c r="Q2425">
        <v>4</v>
      </c>
      <c r="R2425" t="s">
        <v>3404</v>
      </c>
      <c r="T2425" t="s">
        <v>3402</v>
      </c>
      <c r="U2425">
        <v>43</v>
      </c>
      <c r="V2425" t="s">
        <v>3455</v>
      </c>
    </row>
    <row r="2426" spans="1:22" ht="12.75" customHeight="1" x14ac:dyDescent="0.15">
      <c r="A2426">
        <v>23</v>
      </c>
      <c r="B2426">
        <v>2026</v>
      </c>
      <c r="C2426" s="21">
        <v>46183</v>
      </c>
      <c r="D2426" t="s">
        <v>101</v>
      </c>
      <c r="E2426" t="s">
        <v>102</v>
      </c>
      <c r="F2426" t="s">
        <v>75</v>
      </c>
      <c r="G2426">
        <v>7.6</v>
      </c>
      <c r="H2426" t="s">
        <v>3391</v>
      </c>
      <c r="I2426" t="s">
        <v>353</v>
      </c>
      <c r="J2426" s="1" t="s">
        <v>253</v>
      </c>
      <c r="K2426" t="s">
        <v>181</v>
      </c>
      <c r="L2426" t="s">
        <v>3333</v>
      </c>
      <c r="M2426">
        <v>19</v>
      </c>
      <c r="N2426">
        <v>0.5</v>
      </c>
      <c r="O2426" t="s">
        <v>3334</v>
      </c>
      <c r="P2426">
        <v>40.79</v>
      </c>
      <c r="Q2426">
        <v>4</v>
      </c>
      <c r="R2426" t="s">
        <v>3403</v>
      </c>
      <c r="T2426" t="s">
        <v>3402</v>
      </c>
      <c r="U2426">
        <v>43</v>
      </c>
      <c r="V2426" t="s">
        <v>3455</v>
      </c>
    </row>
    <row r="2427" spans="1:22" ht="12.75" customHeight="1" x14ac:dyDescent="0.15">
      <c r="A2427">
        <v>23</v>
      </c>
      <c r="B2427">
        <v>2026</v>
      </c>
      <c r="C2427" s="21">
        <v>46183</v>
      </c>
      <c r="D2427" t="s">
        <v>101</v>
      </c>
      <c r="E2427" t="s">
        <v>102</v>
      </c>
      <c r="F2427" t="s">
        <v>75</v>
      </c>
      <c r="G2427">
        <v>7.6</v>
      </c>
      <c r="H2427" t="s">
        <v>3391</v>
      </c>
      <c r="I2427" t="s">
        <v>353</v>
      </c>
      <c r="J2427" s="1" t="s">
        <v>253</v>
      </c>
      <c r="K2427" t="s">
        <v>181</v>
      </c>
      <c r="L2427" t="s">
        <v>3587</v>
      </c>
      <c r="M2427">
        <v>120</v>
      </c>
      <c r="N2427">
        <v>9</v>
      </c>
      <c r="O2427" t="s">
        <v>211</v>
      </c>
      <c r="P2427">
        <v>495</v>
      </c>
      <c r="R2427" t="s">
        <v>3415</v>
      </c>
      <c r="T2427" t="s">
        <v>3402</v>
      </c>
      <c r="U2427">
        <v>43</v>
      </c>
      <c r="V2427" t="s">
        <v>4225</v>
      </c>
    </row>
    <row r="2428" spans="1:22" ht="12.75" customHeight="1" x14ac:dyDescent="0.15">
      <c r="A2428">
        <v>23</v>
      </c>
      <c r="B2428">
        <v>2026</v>
      </c>
      <c r="C2428" s="21">
        <v>46183</v>
      </c>
      <c r="D2428" t="s">
        <v>101</v>
      </c>
      <c r="E2428" t="s">
        <v>102</v>
      </c>
      <c r="F2428" t="s">
        <v>75</v>
      </c>
      <c r="G2428">
        <v>7.6</v>
      </c>
      <c r="H2428" t="s">
        <v>3653</v>
      </c>
      <c r="I2428" t="s">
        <v>3566</v>
      </c>
      <c r="J2428" s="1" t="s">
        <v>3389</v>
      </c>
      <c r="K2428" t="s">
        <v>181</v>
      </c>
      <c r="L2428" t="s">
        <v>3333</v>
      </c>
      <c r="M2428">
        <v>80</v>
      </c>
      <c r="N2428">
        <v>0.38</v>
      </c>
      <c r="O2428" t="s">
        <v>213</v>
      </c>
      <c r="P2428">
        <v>33.75</v>
      </c>
      <c r="Q2428">
        <v>3</v>
      </c>
      <c r="R2428" t="s">
        <v>3560</v>
      </c>
      <c r="T2428" t="s">
        <v>3402</v>
      </c>
      <c r="U2428">
        <v>43</v>
      </c>
      <c r="V2428" t="s">
        <v>4161</v>
      </c>
    </row>
    <row r="2429" spans="1:22" ht="12.75" customHeight="1" x14ac:dyDescent="0.15">
      <c r="A2429">
        <v>23</v>
      </c>
      <c r="B2429">
        <v>2026</v>
      </c>
      <c r="C2429" s="21">
        <v>46183</v>
      </c>
      <c r="D2429" t="s">
        <v>101</v>
      </c>
      <c r="E2429" t="s">
        <v>102</v>
      </c>
      <c r="F2429" t="s">
        <v>75</v>
      </c>
      <c r="G2429">
        <v>7.6</v>
      </c>
      <c r="H2429" t="s">
        <v>3878</v>
      </c>
      <c r="I2429" t="s">
        <v>3566</v>
      </c>
      <c r="J2429" s="1" t="s">
        <v>3389</v>
      </c>
      <c r="K2429" t="s">
        <v>2666</v>
      </c>
      <c r="L2429" t="s">
        <v>3587</v>
      </c>
      <c r="P2429">
        <v>24.6</v>
      </c>
      <c r="T2429" t="s">
        <v>3402</v>
      </c>
      <c r="U2429">
        <v>43</v>
      </c>
      <c r="V2429" t="s">
        <v>3555</v>
      </c>
    </row>
    <row r="2430" spans="1:22" ht="12.75" customHeight="1" x14ac:dyDescent="0.15">
      <c r="A2430">
        <v>23</v>
      </c>
      <c r="B2430">
        <v>2026</v>
      </c>
      <c r="C2430" s="21">
        <v>46183</v>
      </c>
      <c r="D2430" t="s">
        <v>101</v>
      </c>
      <c r="E2430" t="s">
        <v>102</v>
      </c>
      <c r="F2430" t="s">
        <v>75</v>
      </c>
      <c r="G2430">
        <v>7.6</v>
      </c>
      <c r="H2430" t="s">
        <v>3391</v>
      </c>
      <c r="I2430" t="s">
        <v>353</v>
      </c>
      <c r="J2430" s="1" t="s">
        <v>253</v>
      </c>
      <c r="K2430" t="s">
        <v>181</v>
      </c>
      <c r="L2430" t="s">
        <v>3340</v>
      </c>
      <c r="M2430">
        <v>78</v>
      </c>
      <c r="N2430">
        <v>0.49</v>
      </c>
      <c r="O2430" t="s">
        <v>211</v>
      </c>
      <c r="P2430">
        <v>27</v>
      </c>
      <c r="Q2430">
        <v>3</v>
      </c>
      <c r="R2430" t="s">
        <v>3341</v>
      </c>
      <c r="T2430" t="s">
        <v>3402</v>
      </c>
      <c r="U2430">
        <v>43</v>
      </c>
      <c r="V2430" t="s">
        <v>3422</v>
      </c>
    </row>
    <row r="2431" spans="1:22" ht="12.75" customHeight="1" x14ac:dyDescent="0.15">
      <c r="A2431">
        <v>23</v>
      </c>
      <c r="B2431">
        <v>2026</v>
      </c>
      <c r="C2431" s="21">
        <v>46184</v>
      </c>
      <c r="D2431" t="s">
        <v>122</v>
      </c>
      <c r="E2431" t="s">
        <v>123</v>
      </c>
      <c r="F2431" t="s">
        <v>75</v>
      </c>
      <c r="G2431">
        <v>4.5</v>
      </c>
      <c r="H2431" t="s">
        <v>3378</v>
      </c>
      <c r="I2431" t="s">
        <v>214</v>
      </c>
      <c r="J2431" s="1" t="s">
        <v>215</v>
      </c>
      <c r="K2431" t="s">
        <v>181</v>
      </c>
      <c r="L2431" t="s">
        <v>3340</v>
      </c>
      <c r="M2431">
        <v>62</v>
      </c>
      <c r="N2431">
        <v>0.87</v>
      </c>
      <c r="O2431" t="s">
        <v>211</v>
      </c>
      <c r="P2431">
        <v>48</v>
      </c>
      <c r="R2431" t="s">
        <v>3375</v>
      </c>
      <c r="S2431" t="s">
        <v>4236</v>
      </c>
      <c r="T2431" t="s">
        <v>3337</v>
      </c>
      <c r="V2431" t="s">
        <v>4237</v>
      </c>
    </row>
    <row r="2432" spans="1:22" ht="12.75" customHeight="1" x14ac:dyDescent="0.15">
      <c r="A2432">
        <v>23</v>
      </c>
      <c r="B2432">
        <v>2026</v>
      </c>
      <c r="C2432" s="21">
        <v>46184</v>
      </c>
      <c r="D2432" t="s">
        <v>122</v>
      </c>
      <c r="E2432" t="s">
        <v>123</v>
      </c>
      <c r="F2432" t="s">
        <v>75</v>
      </c>
      <c r="G2432">
        <v>4.5</v>
      </c>
      <c r="H2432" t="s">
        <v>3378</v>
      </c>
      <c r="I2432" t="s">
        <v>214</v>
      </c>
      <c r="J2432" s="1" t="s">
        <v>215</v>
      </c>
      <c r="K2432" t="s">
        <v>181</v>
      </c>
      <c r="L2432" t="s">
        <v>3340</v>
      </c>
      <c r="M2432">
        <v>53</v>
      </c>
      <c r="N2432">
        <v>0.87</v>
      </c>
      <c r="O2432" t="s">
        <v>211</v>
      </c>
      <c r="P2432">
        <v>48</v>
      </c>
      <c r="R2432" t="s">
        <v>3373</v>
      </c>
      <c r="T2432" t="s">
        <v>3337</v>
      </c>
      <c r="V2432" t="s">
        <v>4237</v>
      </c>
    </row>
    <row r="2433" spans="1:22" ht="12.75" customHeight="1" x14ac:dyDescent="0.15">
      <c r="A2433">
        <v>23</v>
      </c>
      <c r="B2433">
        <v>2026</v>
      </c>
      <c r="C2433" s="21">
        <v>46184</v>
      </c>
      <c r="D2433" t="s">
        <v>122</v>
      </c>
      <c r="E2433" t="s">
        <v>123</v>
      </c>
      <c r="F2433" t="s">
        <v>75</v>
      </c>
      <c r="G2433">
        <v>4.5</v>
      </c>
      <c r="H2433" t="s">
        <v>3378</v>
      </c>
      <c r="I2433" t="s">
        <v>214</v>
      </c>
      <c r="J2433" s="1" t="s">
        <v>215</v>
      </c>
      <c r="K2433" t="s">
        <v>181</v>
      </c>
      <c r="L2433" t="s">
        <v>3340</v>
      </c>
      <c r="M2433">
        <v>58</v>
      </c>
      <c r="N2433">
        <v>0.87</v>
      </c>
      <c r="O2433" t="s">
        <v>211</v>
      </c>
      <c r="P2433">
        <v>48</v>
      </c>
      <c r="R2433" t="s">
        <v>3343</v>
      </c>
      <c r="T2433" t="s">
        <v>3337</v>
      </c>
      <c r="V2433" t="s">
        <v>4237</v>
      </c>
    </row>
    <row r="2434" spans="1:22" ht="12.75" customHeight="1" x14ac:dyDescent="0.15">
      <c r="A2434">
        <v>23</v>
      </c>
      <c r="B2434">
        <v>2026</v>
      </c>
      <c r="C2434" s="21">
        <v>46184</v>
      </c>
      <c r="D2434" t="s">
        <v>122</v>
      </c>
      <c r="E2434" t="s">
        <v>123</v>
      </c>
      <c r="F2434" t="s">
        <v>75</v>
      </c>
      <c r="G2434">
        <v>4.5</v>
      </c>
      <c r="H2434" t="s">
        <v>3378</v>
      </c>
      <c r="I2434" t="s">
        <v>214</v>
      </c>
      <c r="J2434" s="1" t="s">
        <v>215</v>
      </c>
      <c r="K2434" t="s">
        <v>181</v>
      </c>
      <c r="L2434" t="s">
        <v>3340</v>
      </c>
      <c r="M2434">
        <v>45</v>
      </c>
      <c r="N2434">
        <v>0.87</v>
      </c>
      <c r="O2434" t="s">
        <v>211</v>
      </c>
      <c r="P2434">
        <v>48</v>
      </c>
      <c r="R2434" t="s">
        <v>3377</v>
      </c>
      <c r="T2434" t="s">
        <v>3337</v>
      </c>
      <c r="V2434" t="s">
        <v>4237</v>
      </c>
    </row>
    <row r="2435" spans="1:22" ht="12.75" customHeight="1" x14ac:dyDescent="0.15">
      <c r="A2435">
        <v>23</v>
      </c>
      <c r="B2435">
        <v>2026</v>
      </c>
      <c r="C2435" s="21">
        <v>46184</v>
      </c>
      <c r="D2435" t="s">
        <v>122</v>
      </c>
      <c r="E2435" t="s">
        <v>123</v>
      </c>
      <c r="F2435" t="s">
        <v>75</v>
      </c>
      <c r="G2435">
        <v>4.5</v>
      </c>
      <c r="H2435" t="s">
        <v>3378</v>
      </c>
      <c r="I2435" t="s">
        <v>214</v>
      </c>
      <c r="J2435" s="1" t="s">
        <v>215</v>
      </c>
      <c r="K2435" t="s">
        <v>181</v>
      </c>
      <c r="L2435" t="s">
        <v>3340</v>
      </c>
      <c r="M2435">
        <v>81</v>
      </c>
      <c r="N2435">
        <v>0.87</v>
      </c>
      <c r="O2435" t="s">
        <v>211</v>
      </c>
      <c r="P2435">
        <v>48</v>
      </c>
      <c r="R2435" t="s">
        <v>3374</v>
      </c>
      <c r="T2435" t="s">
        <v>3337</v>
      </c>
      <c r="V2435" t="s">
        <v>4237</v>
      </c>
    </row>
    <row r="2436" spans="1:22" ht="12.75" customHeight="1" x14ac:dyDescent="0.15">
      <c r="A2436">
        <v>23</v>
      </c>
      <c r="B2436">
        <v>2026</v>
      </c>
      <c r="C2436" s="21">
        <v>46184</v>
      </c>
      <c r="D2436" t="s">
        <v>60</v>
      </c>
      <c r="E2436" t="s">
        <v>61</v>
      </c>
      <c r="F2436" t="s">
        <v>21</v>
      </c>
      <c r="G2436">
        <v>1.6</v>
      </c>
      <c r="H2436" t="s">
        <v>3408</v>
      </c>
      <c r="I2436" t="s">
        <v>366</v>
      </c>
      <c r="J2436" s="1" t="s">
        <v>215</v>
      </c>
      <c r="K2436" t="s">
        <v>181</v>
      </c>
      <c r="L2436" t="s">
        <v>3340</v>
      </c>
      <c r="M2436">
        <v>62</v>
      </c>
      <c r="N2436">
        <v>0.64</v>
      </c>
      <c r="O2436" t="s">
        <v>211</v>
      </c>
      <c r="P2436">
        <v>35</v>
      </c>
      <c r="R2436" t="s">
        <v>3375</v>
      </c>
      <c r="S2436" t="s">
        <v>4238</v>
      </c>
      <c r="T2436" t="s">
        <v>3337</v>
      </c>
      <c r="U2436">
        <v>76</v>
      </c>
      <c r="V2436" t="s">
        <v>4130</v>
      </c>
    </row>
    <row r="2437" spans="1:22" ht="12.75" customHeight="1" x14ac:dyDescent="0.15">
      <c r="A2437">
        <v>23</v>
      </c>
      <c r="B2437">
        <v>2026</v>
      </c>
      <c r="C2437" s="21">
        <v>46184</v>
      </c>
      <c r="D2437" t="s">
        <v>60</v>
      </c>
      <c r="E2437" t="s">
        <v>61</v>
      </c>
      <c r="F2437" t="s">
        <v>21</v>
      </c>
      <c r="G2437">
        <v>1.6</v>
      </c>
      <c r="H2437" t="s">
        <v>3408</v>
      </c>
      <c r="I2437" t="s">
        <v>366</v>
      </c>
      <c r="J2437" s="1" t="s">
        <v>215</v>
      </c>
      <c r="K2437" t="s">
        <v>181</v>
      </c>
      <c r="L2437" t="s">
        <v>3340</v>
      </c>
      <c r="M2437">
        <v>53</v>
      </c>
      <c r="N2437">
        <v>0.64</v>
      </c>
      <c r="O2437" t="s">
        <v>211</v>
      </c>
      <c r="P2437">
        <v>35</v>
      </c>
      <c r="R2437" t="s">
        <v>3373</v>
      </c>
      <c r="T2437" t="s">
        <v>3337</v>
      </c>
      <c r="U2437">
        <v>76</v>
      </c>
      <c r="V2437" t="s">
        <v>4130</v>
      </c>
    </row>
    <row r="2438" spans="1:22" ht="12.75" customHeight="1" x14ac:dyDescent="0.15">
      <c r="A2438">
        <v>23</v>
      </c>
      <c r="B2438">
        <v>2026</v>
      </c>
      <c r="C2438" s="21">
        <v>46184</v>
      </c>
      <c r="D2438" t="s">
        <v>60</v>
      </c>
      <c r="E2438" t="s">
        <v>61</v>
      </c>
      <c r="F2438" t="s">
        <v>21</v>
      </c>
      <c r="G2438">
        <v>1.6</v>
      </c>
      <c r="H2438" t="s">
        <v>3408</v>
      </c>
      <c r="I2438" t="s">
        <v>366</v>
      </c>
      <c r="J2438" s="1" t="s">
        <v>215</v>
      </c>
      <c r="K2438" t="s">
        <v>181</v>
      </c>
      <c r="L2438" t="s">
        <v>3340</v>
      </c>
      <c r="M2438">
        <v>58</v>
      </c>
      <c r="N2438">
        <v>0.64</v>
      </c>
      <c r="O2438" t="s">
        <v>211</v>
      </c>
      <c r="P2438">
        <v>35</v>
      </c>
      <c r="R2438" t="s">
        <v>3343</v>
      </c>
      <c r="T2438" t="s">
        <v>3337</v>
      </c>
      <c r="U2438">
        <v>76</v>
      </c>
      <c r="V2438" t="s">
        <v>4130</v>
      </c>
    </row>
    <row r="2439" spans="1:22" ht="12.75" customHeight="1" x14ac:dyDescent="0.15">
      <c r="A2439">
        <v>23</v>
      </c>
      <c r="B2439">
        <v>2026</v>
      </c>
      <c r="C2439" s="21">
        <v>46184</v>
      </c>
      <c r="D2439" t="s">
        <v>60</v>
      </c>
      <c r="E2439" t="s">
        <v>61</v>
      </c>
      <c r="F2439" t="s">
        <v>21</v>
      </c>
      <c r="G2439">
        <v>1.6</v>
      </c>
      <c r="H2439" t="s">
        <v>3408</v>
      </c>
      <c r="I2439" t="s">
        <v>366</v>
      </c>
      <c r="J2439" s="1" t="s">
        <v>215</v>
      </c>
      <c r="K2439" t="s">
        <v>181</v>
      </c>
      <c r="L2439" t="s">
        <v>3340</v>
      </c>
      <c r="M2439">
        <v>45</v>
      </c>
      <c r="N2439">
        <v>0.64</v>
      </c>
      <c r="O2439" t="s">
        <v>211</v>
      </c>
      <c r="P2439">
        <v>35</v>
      </c>
      <c r="R2439" t="s">
        <v>3377</v>
      </c>
      <c r="T2439" t="s">
        <v>3337</v>
      </c>
      <c r="U2439">
        <v>76</v>
      </c>
      <c r="V2439" t="s">
        <v>4130</v>
      </c>
    </row>
    <row r="2440" spans="1:22" ht="12.75" customHeight="1" x14ac:dyDescent="0.15">
      <c r="A2440">
        <v>23</v>
      </c>
      <c r="B2440">
        <v>2026</v>
      </c>
      <c r="C2440" s="21">
        <v>46184</v>
      </c>
      <c r="D2440" t="s">
        <v>60</v>
      </c>
      <c r="E2440" t="s">
        <v>61</v>
      </c>
      <c r="F2440" t="s">
        <v>21</v>
      </c>
      <c r="G2440">
        <v>1.6</v>
      </c>
      <c r="H2440" t="s">
        <v>3408</v>
      </c>
      <c r="I2440" t="s">
        <v>366</v>
      </c>
      <c r="J2440" s="1" t="s">
        <v>215</v>
      </c>
      <c r="K2440" t="s">
        <v>181</v>
      </c>
      <c r="L2440" t="s">
        <v>3340</v>
      </c>
      <c r="M2440">
        <v>81</v>
      </c>
      <c r="N2440">
        <v>0.64</v>
      </c>
      <c r="O2440" t="s">
        <v>211</v>
      </c>
      <c r="P2440">
        <v>35</v>
      </c>
      <c r="R2440" t="s">
        <v>3374</v>
      </c>
      <c r="T2440" t="s">
        <v>3337</v>
      </c>
      <c r="U2440">
        <v>76</v>
      </c>
      <c r="V2440" t="s">
        <v>4130</v>
      </c>
    </row>
    <row r="2441" spans="1:22" ht="12.75" customHeight="1" x14ac:dyDescent="0.15">
      <c r="A2441">
        <v>23</v>
      </c>
      <c r="B2441">
        <v>2026</v>
      </c>
      <c r="C2441" s="21">
        <v>46184</v>
      </c>
      <c r="D2441" t="s">
        <v>101</v>
      </c>
      <c r="E2441" t="s">
        <v>102</v>
      </c>
      <c r="F2441" t="s">
        <v>75</v>
      </c>
      <c r="G2441">
        <v>7.6</v>
      </c>
      <c r="H2441" t="s">
        <v>3400</v>
      </c>
      <c r="I2441" t="s">
        <v>353</v>
      </c>
      <c r="J2441" s="1" t="s">
        <v>253</v>
      </c>
      <c r="K2441" t="s">
        <v>181</v>
      </c>
      <c r="L2441" t="s">
        <v>3333</v>
      </c>
      <c r="M2441">
        <v>2</v>
      </c>
      <c r="N2441">
        <v>1</v>
      </c>
      <c r="O2441" t="s">
        <v>3440</v>
      </c>
      <c r="P2441">
        <v>90.49</v>
      </c>
      <c r="Q2441">
        <v>8</v>
      </c>
      <c r="R2441" t="s">
        <v>3424</v>
      </c>
      <c r="T2441" t="s">
        <v>3337</v>
      </c>
      <c r="U2441">
        <v>44</v>
      </c>
      <c r="V2441" t="s">
        <v>3982</v>
      </c>
    </row>
    <row r="2442" spans="1:22" ht="12.75" customHeight="1" x14ac:dyDescent="0.15">
      <c r="A2442">
        <v>23</v>
      </c>
      <c r="B2442">
        <v>2026</v>
      </c>
      <c r="C2442" s="21">
        <v>46184</v>
      </c>
      <c r="D2442" t="s">
        <v>101</v>
      </c>
      <c r="E2442" t="s">
        <v>102</v>
      </c>
      <c r="F2442" t="s">
        <v>75</v>
      </c>
      <c r="G2442">
        <v>7.6</v>
      </c>
      <c r="H2442" t="s">
        <v>3400</v>
      </c>
      <c r="I2442" t="s">
        <v>353</v>
      </c>
      <c r="J2442" s="1" t="s">
        <v>253</v>
      </c>
      <c r="K2442" t="s">
        <v>181</v>
      </c>
      <c r="L2442" t="s">
        <v>3340</v>
      </c>
      <c r="M2442">
        <v>25</v>
      </c>
      <c r="N2442">
        <v>1</v>
      </c>
      <c r="O2442" t="s">
        <v>211</v>
      </c>
      <c r="P2442">
        <v>55</v>
      </c>
      <c r="R2442" t="s">
        <v>3413</v>
      </c>
      <c r="T2442" t="s">
        <v>3337</v>
      </c>
      <c r="U2442">
        <v>44</v>
      </c>
      <c r="V2442" t="s">
        <v>4088</v>
      </c>
    </row>
    <row r="2443" spans="1:22" ht="12.75" customHeight="1" x14ac:dyDescent="0.15">
      <c r="A2443">
        <v>23</v>
      </c>
      <c r="B2443">
        <v>2026</v>
      </c>
      <c r="C2443" s="21">
        <v>46184</v>
      </c>
      <c r="D2443" t="s">
        <v>101</v>
      </c>
      <c r="E2443" t="s">
        <v>102</v>
      </c>
      <c r="F2443" t="s">
        <v>75</v>
      </c>
      <c r="G2443">
        <v>7.6</v>
      </c>
      <c r="H2443" t="s">
        <v>3796</v>
      </c>
      <c r="I2443" t="s">
        <v>3667</v>
      </c>
      <c r="J2443" s="1" t="s">
        <v>3668</v>
      </c>
      <c r="K2443" t="s">
        <v>181</v>
      </c>
      <c r="L2443" t="s">
        <v>3333</v>
      </c>
      <c r="M2443">
        <v>1</v>
      </c>
      <c r="N2443">
        <v>0.5</v>
      </c>
      <c r="O2443" t="s">
        <v>3358</v>
      </c>
      <c r="P2443">
        <v>35.93</v>
      </c>
      <c r="Q2443">
        <v>4</v>
      </c>
      <c r="R2443" t="s">
        <v>3359</v>
      </c>
      <c r="T2443" t="s">
        <v>3337</v>
      </c>
      <c r="U2443">
        <v>44</v>
      </c>
      <c r="V2443" t="s">
        <v>4239</v>
      </c>
    </row>
    <row r="2444" spans="1:22" ht="12.75" customHeight="1" x14ac:dyDescent="0.15">
      <c r="A2444">
        <v>23</v>
      </c>
      <c r="B2444">
        <v>2026</v>
      </c>
      <c r="C2444" s="21">
        <v>46184</v>
      </c>
      <c r="D2444" t="s">
        <v>141</v>
      </c>
      <c r="E2444" t="s">
        <v>142</v>
      </c>
      <c r="F2444" t="s">
        <v>75</v>
      </c>
      <c r="G2444">
        <v>1</v>
      </c>
      <c r="H2444" t="s">
        <v>4240</v>
      </c>
      <c r="I2444" t="s">
        <v>3954</v>
      </c>
      <c r="J2444" s="1" t="s">
        <v>253</v>
      </c>
      <c r="K2444" t="s">
        <v>181</v>
      </c>
      <c r="L2444" t="s">
        <v>3333</v>
      </c>
      <c r="M2444">
        <v>1</v>
      </c>
      <c r="N2444">
        <v>0.5</v>
      </c>
      <c r="O2444" t="s">
        <v>3358</v>
      </c>
      <c r="P2444">
        <v>35.93</v>
      </c>
      <c r="Q2444">
        <v>4</v>
      </c>
      <c r="R2444" t="s">
        <v>3359</v>
      </c>
      <c r="T2444" t="s">
        <v>3337</v>
      </c>
      <c r="U2444">
        <v>-12</v>
      </c>
      <c r="V2444" t="s">
        <v>3452</v>
      </c>
    </row>
    <row r="2445" spans="1:22" ht="12.75" customHeight="1" x14ac:dyDescent="0.15">
      <c r="A2445">
        <v>23</v>
      </c>
      <c r="B2445">
        <v>2026</v>
      </c>
      <c r="C2445" s="21">
        <v>46184</v>
      </c>
      <c r="D2445" t="s">
        <v>101</v>
      </c>
      <c r="E2445" t="s">
        <v>102</v>
      </c>
      <c r="F2445" t="s">
        <v>75</v>
      </c>
      <c r="G2445">
        <v>7.6</v>
      </c>
      <c r="H2445" t="s">
        <v>3796</v>
      </c>
      <c r="I2445" t="s">
        <v>3667</v>
      </c>
      <c r="J2445" s="1" t="s">
        <v>3668</v>
      </c>
      <c r="K2445" t="s">
        <v>181</v>
      </c>
      <c r="L2445" t="s">
        <v>3333</v>
      </c>
      <c r="M2445">
        <v>6</v>
      </c>
      <c r="N2445">
        <v>0.5</v>
      </c>
      <c r="O2445" t="s">
        <v>3334</v>
      </c>
      <c r="P2445">
        <v>40.79</v>
      </c>
      <c r="Q2445">
        <v>4</v>
      </c>
      <c r="R2445" t="s">
        <v>3335</v>
      </c>
      <c r="T2445" t="s">
        <v>3337</v>
      </c>
      <c r="U2445">
        <v>44</v>
      </c>
      <c r="V2445" t="s">
        <v>3455</v>
      </c>
    </row>
    <row r="2446" spans="1:22" ht="12.75" customHeight="1" x14ac:dyDescent="0.15">
      <c r="A2446">
        <v>23</v>
      </c>
      <c r="B2446">
        <v>2026</v>
      </c>
      <c r="C2446" s="21">
        <v>46184</v>
      </c>
      <c r="D2446" t="s">
        <v>141</v>
      </c>
      <c r="E2446" t="s">
        <v>142</v>
      </c>
      <c r="F2446" t="s">
        <v>75</v>
      </c>
      <c r="G2446">
        <v>1</v>
      </c>
      <c r="H2446" t="s">
        <v>4240</v>
      </c>
      <c r="I2446" t="s">
        <v>3954</v>
      </c>
      <c r="J2446" s="1" t="s">
        <v>253</v>
      </c>
      <c r="K2446" t="s">
        <v>181</v>
      </c>
      <c r="L2446" t="s">
        <v>3333</v>
      </c>
      <c r="M2446">
        <v>6</v>
      </c>
      <c r="N2446">
        <v>0.5</v>
      </c>
      <c r="O2446" t="s">
        <v>3334</v>
      </c>
      <c r="P2446">
        <v>40.79</v>
      </c>
      <c r="Q2446">
        <v>4</v>
      </c>
      <c r="R2446" t="s">
        <v>3335</v>
      </c>
      <c r="T2446" t="s">
        <v>3337</v>
      </c>
      <c r="U2446">
        <v>-12</v>
      </c>
      <c r="V2446" t="s">
        <v>3456</v>
      </c>
    </row>
    <row r="2447" spans="1:22" ht="12.75" customHeight="1" x14ac:dyDescent="0.15">
      <c r="A2447">
        <v>23</v>
      </c>
      <c r="B2447">
        <v>2026</v>
      </c>
      <c r="C2447" s="21">
        <v>46184</v>
      </c>
      <c r="D2447" t="s">
        <v>141</v>
      </c>
      <c r="E2447" t="s">
        <v>142</v>
      </c>
      <c r="F2447" t="s">
        <v>75</v>
      </c>
      <c r="G2447">
        <v>1</v>
      </c>
      <c r="H2447" t="s">
        <v>3654</v>
      </c>
      <c r="I2447" t="s">
        <v>3655</v>
      </c>
      <c r="J2447" s="1" t="s">
        <v>3389</v>
      </c>
      <c r="K2447" t="s">
        <v>181</v>
      </c>
      <c r="L2447" t="s">
        <v>3333</v>
      </c>
      <c r="M2447">
        <v>86</v>
      </c>
      <c r="N2447">
        <v>0.63</v>
      </c>
      <c r="O2447" t="s">
        <v>3334</v>
      </c>
      <c r="P2447">
        <v>50.99</v>
      </c>
      <c r="Q2447">
        <v>5</v>
      </c>
      <c r="R2447" t="s">
        <v>3386</v>
      </c>
      <c r="T2447" t="s">
        <v>3402</v>
      </c>
      <c r="U2447">
        <v>-12</v>
      </c>
      <c r="V2447" t="s">
        <v>3574</v>
      </c>
    </row>
    <row r="2448" spans="1:22" ht="12.75" customHeight="1" x14ac:dyDescent="0.15">
      <c r="A2448">
        <v>23</v>
      </c>
      <c r="B2448">
        <v>2026</v>
      </c>
      <c r="C2448" s="21">
        <v>46184</v>
      </c>
      <c r="D2448" t="s">
        <v>141</v>
      </c>
      <c r="E2448" t="s">
        <v>142</v>
      </c>
      <c r="F2448" t="s">
        <v>75</v>
      </c>
      <c r="G2448">
        <v>1</v>
      </c>
      <c r="H2448" t="s">
        <v>4241</v>
      </c>
      <c r="I2448" t="s">
        <v>4242</v>
      </c>
      <c r="J2448" s="1" t="s">
        <v>3668</v>
      </c>
      <c r="K2448" t="s">
        <v>181</v>
      </c>
      <c r="L2448" t="s">
        <v>3333</v>
      </c>
      <c r="M2448">
        <v>86</v>
      </c>
      <c r="N2448">
        <v>0.38</v>
      </c>
      <c r="O2448" t="s">
        <v>3334</v>
      </c>
      <c r="P2448">
        <v>30.59</v>
      </c>
      <c r="Q2448">
        <v>3</v>
      </c>
      <c r="R2448" t="s">
        <v>3386</v>
      </c>
      <c r="T2448" t="s">
        <v>3402</v>
      </c>
      <c r="U2448">
        <v>-12</v>
      </c>
      <c r="V2448" t="s">
        <v>3491</v>
      </c>
    </row>
    <row r="2449" spans="1:22" ht="12.75" customHeight="1" x14ac:dyDescent="0.15">
      <c r="A2449">
        <v>23</v>
      </c>
      <c r="B2449">
        <v>2026</v>
      </c>
      <c r="C2449" s="21">
        <v>46184</v>
      </c>
      <c r="D2449" t="s">
        <v>141</v>
      </c>
      <c r="E2449" t="s">
        <v>142</v>
      </c>
      <c r="F2449" t="s">
        <v>75</v>
      </c>
      <c r="G2449">
        <v>1</v>
      </c>
      <c r="H2449" t="s">
        <v>3567</v>
      </c>
      <c r="I2449" t="s">
        <v>321</v>
      </c>
      <c r="J2449" s="1" t="s">
        <v>26</v>
      </c>
      <c r="K2449" t="s">
        <v>181</v>
      </c>
      <c r="L2449" t="s">
        <v>3340</v>
      </c>
      <c r="M2449">
        <v>86</v>
      </c>
      <c r="N2449">
        <v>0.55000000000000004</v>
      </c>
      <c r="O2449" t="s">
        <v>211</v>
      </c>
      <c r="P2449">
        <v>30</v>
      </c>
      <c r="Q2449">
        <v>2</v>
      </c>
      <c r="R2449" t="s">
        <v>3386</v>
      </c>
      <c r="T2449" t="s">
        <v>3402</v>
      </c>
      <c r="U2449">
        <v>-12</v>
      </c>
      <c r="V2449" t="s">
        <v>291</v>
      </c>
    </row>
    <row r="2450" spans="1:22" ht="12.75" customHeight="1" x14ac:dyDescent="0.15">
      <c r="A2450">
        <v>23</v>
      </c>
      <c r="B2450">
        <v>2026</v>
      </c>
      <c r="C2450" s="21">
        <v>46184</v>
      </c>
      <c r="D2450" t="s">
        <v>141</v>
      </c>
      <c r="E2450" t="s">
        <v>142</v>
      </c>
      <c r="F2450" t="s">
        <v>75</v>
      </c>
      <c r="G2450">
        <v>1</v>
      </c>
      <c r="H2450" t="s">
        <v>4013</v>
      </c>
      <c r="I2450" t="s">
        <v>321</v>
      </c>
      <c r="J2450" s="1" t="s">
        <v>26</v>
      </c>
      <c r="K2450" t="s">
        <v>2666</v>
      </c>
      <c r="L2450" t="s">
        <v>3587</v>
      </c>
      <c r="P2450">
        <v>57.4</v>
      </c>
      <c r="T2450" t="s">
        <v>3402</v>
      </c>
      <c r="U2450">
        <v>-12</v>
      </c>
      <c r="V2450" t="s">
        <v>4243</v>
      </c>
    </row>
    <row r="2451" spans="1:22" ht="12.75" customHeight="1" x14ac:dyDescent="0.15">
      <c r="A2451">
        <v>23</v>
      </c>
      <c r="B2451">
        <v>2026</v>
      </c>
      <c r="C2451" s="21">
        <v>46184</v>
      </c>
      <c r="D2451" t="s">
        <v>141</v>
      </c>
      <c r="E2451" t="s">
        <v>142</v>
      </c>
      <c r="F2451" t="s">
        <v>75</v>
      </c>
      <c r="G2451">
        <v>1</v>
      </c>
      <c r="H2451" t="s">
        <v>3567</v>
      </c>
      <c r="I2451" t="s">
        <v>321</v>
      </c>
      <c r="J2451" s="1" t="s">
        <v>26</v>
      </c>
      <c r="K2451" t="s">
        <v>181</v>
      </c>
      <c r="L2451" t="s">
        <v>3333</v>
      </c>
      <c r="M2451">
        <v>11</v>
      </c>
      <c r="N2451">
        <v>0.63</v>
      </c>
      <c r="O2451" t="s">
        <v>213</v>
      </c>
      <c r="P2451">
        <v>56.25</v>
      </c>
      <c r="Q2451">
        <v>5</v>
      </c>
      <c r="R2451" t="s">
        <v>3564</v>
      </c>
      <c r="T2451" t="s">
        <v>3402</v>
      </c>
      <c r="U2451">
        <v>-12</v>
      </c>
      <c r="V2451" t="s">
        <v>4244</v>
      </c>
    </row>
    <row r="2452" spans="1:22" ht="12.75" customHeight="1" x14ac:dyDescent="0.15">
      <c r="A2452">
        <v>23</v>
      </c>
      <c r="B2452">
        <v>2026</v>
      </c>
      <c r="C2452" s="21">
        <v>46184</v>
      </c>
      <c r="D2452" t="s">
        <v>101</v>
      </c>
      <c r="E2452" t="s">
        <v>102</v>
      </c>
      <c r="F2452" t="s">
        <v>75</v>
      </c>
      <c r="G2452">
        <v>7.6</v>
      </c>
      <c r="H2452" t="s">
        <v>3878</v>
      </c>
      <c r="I2452" t="s">
        <v>3566</v>
      </c>
      <c r="J2452" s="1" t="s">
        <v>3389</v>
      </c>
      <c r="K2452" t="s">
        <v>2666</v>
      </c>
      <c r="L2452" t="s">
        <v>3587</v>
      </c>
      <c r="P2452">
        <v>32.799999999999997</v>
      </c>
      <c r="T2452" t="s">
        <v>3402</v>
      </c>
      <c r="U2452">
        <v>44</v>
      </c>
      <c r="V2452" t="s">
        <v>4245</v>
      </c>
    </row>
    <row r="2453" spans="1:22" ht="12.75" customHeight="1" x14ac:dyDescent="0.15">
      <c r="A2453">
        <v>23</v>
      </c>
      <c r="B2453">
        <v>2026</v>
      </c>
      <c r="C2453" s="21">
        <v>46184</v>
      </c>
      <c r="D2453" t="s">
        <v>101</v>
      </c>
      <c r="E2453" t="s">
        <v>102</v>
      </c>
      <c r="F2453" t="s">
        <v>75</v>
      </c>
      <c r="G2453">
        <v>7.6</v>
      </c>
      <c r="H2453" t="s">
        <v>3653</v>
      </c>
      <c r="I2453" t="s">
        <v>3566</v>
      </c>
      <c r="J2453" s="1" t="s">
        <v>3389</v>
      </c>
      <c r="K2453" t="s">
        <v>181</v>
      </c>
      <c r="L2453" t="s">
        <v>3333</v>
      </c>
      <c r="M2453">
        <v>80</v>
      </c>
      <c r="N2453">
        <v>0.5</v>
      </c>
      <c r="O2453" t="s">
        <v>213</v>
      </c>
      <c r="P2453">
        <v>45</v>
      </c>
      <c r="Q2453">
        <v>4</v>
      </c>
      <c r="R2453" t="s">
        <v>3560</v>
      </c>
      <c r="T2453" t="s">
        <v>3402</v>
      </c>
      <c r="U2453">
        <v>44</v>
      </c>
      <c r="V2453" t="s">
        <v>3348</v>
      </c>
    </row>
    <row r="2454" spans="1:22" ht="12.75" customHeight="1" x14ac:dyDescent="0.15">
      <c r="A2454">
        <v>23</v>
      </c>
      <c r="B2454">
        <v>2026</v>
      </c>
      <c r="C2454" s="21">
        <v>46184</v>
      </c>
      <c r="D2454" t="s">
        <v>101</v>
      </c>
      <c r="E2454" t="s">
        <v>102</v>
      </c>
      <c r="F2454" t="s">
        <v>75</v>
      </c>
      <c r="G2454">
        <v>7.6</v>
      </c>
      <c r="H2454" t="s">
        <v>3391</v>
      </c>
      <c r="I2454" t="s">
        <v>353</v>
      </c>
      <c r="J2454" s="1" t="s">
        <v>253</v>
      </c>
      <c r="K2454" t="s">
        <v>181</v>
      </c>
      <c r="L2454" t="s">
        <v>3333</v>
      </c>
      <c r="M2454">
        <v>67</v>
      </c>
      <c r="N2454">
        <v>1</v>
      </c>
      <c r="O2454" t="s">
        <v>3334</v>
      </c>
      <c r="P2454">
        <v>81.58</v>
      </c>
      <c r="Q2454">
        <v>8</v>
      </c>
      <c r="R2454" t="s">
        <v>3404</v>
      </c>
      <c r="T2454" t="s">
        <v>3402</v>
      </c>
      <c r="U2454">
        <v>44</v>
      </c>
      <c r="V2454" t="s">
        <v>3338</v>
      </c>
    </row>
    <row r="2455" spans="1:22" ht="12.75" customHeight="1" x14ac:dyDescent="0.15">
      <c r="A2455">
        <v>23</v>
      </c>
      <c r="B2455">
        <v>2026</v>
      </c>
      <c r="C2455" s="21">
        <v>46184</v>
      </c>
      <c r="D2455" t="s">
        <v>101</v>
      </c>
      <c r="E2455" t="s">
        <v>102</v>
      </c>
      <c r="F2455" t="s">
        <v>75</v>
      </c>
      <c r="G2455">
        <v>7.6</v>
      </c>
      <c r="H2455" t="s">
        <v>3391</v>
      </c>
      <c r="I2455" t="s">
        <v>353</v>
      </c>
      <c r="J2455" s="1" t="s">
        <v>253</v>
      </c>
      <c r="K2455" t="s">
        <v>181</v>
      </c>
      <c r="L2455" t="s">
        <v>3333</v>
      </c>
      <c r="M2455">
        <v>19</v>
      </c>
      <c r="N2455">
        <v>1</v>
      </c>
      <c r="O2455" t="s">
        <v>3334</v>
      </c>
      <c r="P2455">
        <v>81.58</v>
      </c>
      <c r="Q2455">
        <v>8</v>
      </c>
      <c r="R2455" t="s">
        <v>3403</v>
      </c>
      <c r="T2455" t="s">
        <v>3402</v>
      </c>
      <c r="U2455">
        <v>44</v>
      </c>
      <c r="V2455" t="s">
        <v>3338</v>
      </c>
    </row>
    <row r="2456" spans="1:22" ht="12.75" customHeight="1" x14ac:dyDescent="0.15">
      <c r="A2456">
        <v>23</v>
      </c>
      <c r="B2456">
        <v>2026</v>
      </c>
      <c r="C2456" s="21">
        <v>46184</v>
      </c>
      <c r="D2456" t="s">
        <v>141</v>
      </c>
      <c r="E2456" t="s">
        <v>142</v>
      </c>
      <c r="F2456" t="s">
        <v>75</v>
      </c>
      <c r="G2456">
        <v>1</v>
      </c>
      <c r="H2456" t="s">
        <v>4241</v>
      </c>
      <c r="I2456" t="s">
        <v>4242</v>
      </c>
      <c r="J2456" s="1" t="s">
        <v>3668</v>
      </c>
      <c r="K2456" t="s">
        <v>181</v>
      </c>
      <c r="L2456" t="s">
        <v>3340</v>
      </c>
      <c r="M2456">
        <v>78</v>
      </c>
      <c r="N2456">
        <v>1.31</v>
      </c>
      <c r="O2456" t="s">
        <v>211</v>
      </c>
      <c r="P2456">
        <v>72</v>
      </c>
      <c r="Q2456">
        <v>8</v>
      </c>
      <c r="R2456" t="s">
        <v>3341</v>
      </c>
      <c r="T2456" t="s">
        <v>3402</v>
      </c>
      <c r="U2456">
        <v>-12</v>
      </c>
      <c r="V2456" t="s">
        <v>193</v>
      </c>
    </row>
    <row r="2457" spans="1:22" ht="12.75" customHeight="1" x14ac:dyDescent="0.15">
      <c r="A2457">
        <v>23</v>
      </c>
      <c r="B2457">
        <v>2026</v>
      </c>
      <c r="C2457" s="21">
        <v>46184</v>
      </c>
      <c r="D2457" t="s">
        <v>84</v>
      </c>
      <c r="E2457" t="s">
        <v>85</v>
      </c>
      <c r="F2457" t="s">
        <v>21</v>
      </c>
      <c r="G2457">
        <v>2</v>
      </c>
      <c r="H2457" t="s">
        <v>3803</v>
      </c>
      <c r="I2457" t="s">
        <v>3676</v>
      </c>
      <c r="J2457" s="1" t="s">
        <v>3533</v>
      </c>
      <c r="K2457" t="s">
        <v>181</v>
      </c>
      <c r="L2457" t="s">
        <v>3333</v>
      </c>
      <c r="M2457">
        <v>4</v>
      </c>
      <c r="N2457">
        <v>0.75</v>
      </c>
      <c r="O2457" t="s">
        <v>3334</v>
      </c>
      <c r="P2457">
        <v>61.19</v>
      </c>
      <c r="Q2457">
        <v>6</v>
      </c>
      <c r="R2457" t="s">
        <v>3773</v>
      </c>
      <c r="T2457" t="s">
        <v>3402</v>
      </c>
      <c r="U2457">
        <v>52</v>
      </c>
      <c r="V2457" t="s">
        <v>3491</v>
      </c>
    </row>
    <row r="2458" spans="1:22" ht="12.75" customHeight="1" x14ac:dyDescent="0.15">
      <c r="A2458">
        <v>23</v>
      </c>
      <c r="B2458">
        <v>2026</v>
      </c>
      <c r="C2458" s="21">
        <v>46184</v>
      </c>
      <c r="D2458" t="s">
        <v>84</v>
      </c>
      <c r="E2458" t="s">
        <v>85</v>
      </c>
      <c r="F2458" t="s">
        <v>21</v>
      </c>
      <c r="G2458">
        <v>2</v>
      </c>
      <c r="H2458" t="s">
        <v>3605</v>
      </c>
      <c r="I2458" t="s">
        <v>335</v>
      </c>
      <c r="J2458" s="1" t="s">
        <v>3533</v>
      </c>
      <c r="K2458" t="s">
        <v>181</v>
      </c>
      <c r="L2458" t="s">
        <v>3333</v>
      </c>
      <c r="M2458">
        <v>4</v>
      </c>
      <c r="N2458">
        <v>0.25</v>
      </c>
      <c r="O2458" t="s">
        <v>3334</v>
      </c>
      <c r="P2458">
        <v>20.399999999999999</v>
      </c>
      <c r="Q2458">
        <v>2</v>
      </c>
      <c r="R2458" t="s">
        <v>3773</v>
      </c>
      <c r="T2458" t="s">
        <v>3402</v>
      </c>
      <c r="U2458">
        <v>52</v>
      </c>
      <c r="V2458" t="s">
        <v>3472</v>
      </c>
    </row>
    <row r="2459" spans="1:22" ht="12.75" customHeight="1" x14ac:dyDescent="0.15">
      <c r="A2459">
        <v>23</v>
      </c>
      <c r="B2459">
        <v>2026</v>
      </c>
      <c r="C2459" s="21">
        <v>46184</v>
      </c>
      <c r="D2459" t="s">
        <v>101</v>
      </c>
      <c r="E2459" t="s">
        <v>102</v>
      </c>
      <c r="F2459" t="s">
        <v>75</v>
      </c>
      <c r="G2459">
        <v>7.6</v>
      </c>
      <c r="H2459" t="s">
        <v>3391</v>
      </c>
      <c r="I2459" t="s">
        <v>353</v>
      </c>
      <c r="J2459" s="1" t="s">
        <v>253</v>
      </c>
      <c r="K2459" t="s">
        <v>181</v>
      </c>
      <c r="L2459" t="s">
        <v>3587</v>
      </c>
      <c r="M2459">
        <v>120</v>
      </c>
      <c r="N2459">
        <v>9</v>
      </c>
      <c r="O2459" t="s">
        <v>211</v>
      </c>
      <c r="P2459">
        <v>495</v>
      </c>
      <c r="R2459" t="s">
        <v>3415</v>
      </c>
      <c r="T2459" t="s">
        <v>3402</v>
      </c>
      <c r="U2459">
        <v>44</v>
      </c>
      <c r="V2459" t="s">
        <v>4225</v>
      </c>
    </row>
    <row r="2460" spans="1:22" ht="12.75" customHeight="1" x14ac:dyDescent="0.15">
      <c r="A2460">
        <v>24</v>
      </c>
      <c r="B2460">
        <v>2026</v>
      </c>
      <c r="C2460" s="21">
        <v>46185</v>
      </c>
      <c r="D2460" t="s">
        <v>80</v>
      </c>
      <c r="E2460" t="s">
        <v>81</v>
      </c>
      <c r="F2460" t="s">
        <v>21</v>
      </c>
      <c r="G2460">
        <v>2.2999999999999998</v>
      </c>
      <c r="H2460" t="s">
        <v>3378</v>
      </c>
      <c r="I2460" t="s">
        <v>214</v>
      </c>
      <c r="J2460" s="1" t="s">
        <v>215</v>
      </c>
      <c r="K2460" t="s">
        <v>181</v>
      </c>
      <c r="L2460" t="s">
        <v>3340</v>
      </c>
      <c r="M2460">
        <v>62</v>
      </c>
      <c r="N2460">
        <v>0.22</v>
      </c>
      <c r="O2460" t="s">
        <v>211</v>
      </c>
      <c r="P2460">
        <v>12</v>
      </c>
      <c r="R2460" t="s">
        <v>3375</v>
      </c>
      <c r="S2460" t="s">
        <v>4246</v>
      </c>
      <c r="T2460" t="s">
        <v>3337</v>
      </c>
      <c r="U2460">
        <v>71</v>
      </c>
      <c r="V2460" t="s">
        <v>4247</v>
      </c>
    </row>
    <row r="2461" spans="1:22" ht="12.75" customHeight="1" x14ac:dyDescent="0.15">
      <c r="A2461">
        <v>24</v>
      </c>
      <c r="B2461">
        <v>2026</v>
      </c>
      <c r="C2461" s="21">
        <v>46185</v>
      </c>
      <c r="D2461" t="s">
        <v>80</v>
      </c>
      <c r="E2461" t="s">
        <v>81</v>
      </c>
      <c r="F2461" t="s">
        <v>21</v>
      </c>
      <c r="G2461">
        <v>2.2999999999999998</v>
      </c>
      <c r="H2461" t="s">
        <v>3378</v>
      </c>
      <c r="I2461" t="s">
        <v>214</v>
      </c>
      <c r="J2461" s="1" t="s">
        <v>215</v>
      </c>
      <c r="K2461" t="s">
        <v>181</v>
      </c>
      <c r="L2461" t="s">
        <v>3340</v>
      </c>
      <c r="M2461">
        <v>53</v>
      </c>
      <c r="N2461">
        <v>0.22</v>
      </c>
      <c r="O2461" t="s">
        <v>211</v>
      </c>
      <c r="P2461">
        <v>12</v>
      </c>
      <c r="R2461" t="s">
        <v>3373</v>
      </c>
      <c r="T2461" t="s">
        <v>3337</v>
      </c>
      <c r="U2461">
        <v>71</v>
      </c>
      <c r="V2461" t="s">
        <v>4247</v>
      </c>
    </row>
    <row r="2462" spans="1:22" ht="12.75" customHeight="1" x14ac:dyDescent="0.15">
      <c r="A2462">
        <v>24</v>
      </c>
      <c r="B2462">
        <v>2026</v>
      </c>
      <c r="C2462" s="21">
        <v>46185</v>
      </c>
      <c r="D2462" t="s">
        <v>80</v>
      </c>
      <c r="E2462" t="s">
        <v>81</v>
      </c>
      <c r="F2462" t="s">
        <v>21</v>
      </c>
      <c r="G2462">
        <v>2.2999999999999998</v>
      </c>
      <c r="H2462" t="s">
        <v>3378</v>
      </c>
      <c r="I2462" t="s">
        <v>214</v>
      </c>
      <c r="J2462" s="1" t="s">
        <v>215</v>
      </c>
      <c r="K2462" t="s">
        <v>181</v>
      </c>
      <c r="L2462" t="s">
        <v>3340</v>
      </c>
      <c r="M2462">
        <v>58</v>
      </c>
      <c r="N2462">
        <v>0.22</v>
      </c>
      <c r="O2462" t="s">
        <v>211</v>
      </c>
      <c r="P2462">
        <v>12</v>
      </c>
      <c r="R2462" t="s">
        <v>3343</v>
      </c>
      <c r="T2462" t="s">
        <v>3337</v>
      </c>
      <c r="U2462">
        <v>71</v>
      </c>
      <c r="V2462" t="s">
        <v>4247</v>
      </c>
    </row>
    <row r="2463" spans="1:22" ht="12.75" customHeight="1" x14ac:dyDescent="0.15">
      <c r="A2463">
        <v>24</v>
      </c>
      <c r="B2463">
        <v>2026</v>
      </c>
      <c r="C2463" s="21">
        <v>46185</v>
      </c>
      <c r="D2463" t="s">
        <v>80</v>
      </c>
      <c r="E2463" t="s">
        <v>81</v>
      </c>
      <c r="F2463" t="s">
        <v>21</v>
      </c>
      <c r="G2463">
        <v>2.2999999999999998</v>
      </c>
      <c r="H2463" t="s">
        <v>3378</v>
      </c>
      <c r="I2463" t="s">
        <v>214</v>
      </c>
      <c r="J2463" s="1" t="s">
        <v>215</v>
      </c>
      <c r="K2463" t="s">
        <v>181</v>
      </c>
      <c r="L2463" t="s">
        <v>3340</v>
      </c>
      <c r="M2463">
        <v>45</v>
      </c>
      <c r="N2463">
        <v>0.22</v>
      </c>
      <c r="O2463" t="s">
        <v>211</v>
      </c>
      <c r="P2463">
        <v>12</v>
      </c>
      <c r="R2463" t="s">
        <v>3377</v>
      </c>
      <c r="T2463" t="s">
        <v>3337</v>
      </c>
      <c r="U2463">
        <v>71</v>
      </c>
      <c r="V2463" t="s">
        <v>4247</v>
      </c>
    </row>
    <row r="2464" spans="1:22" ht="12.75" customHeight="1" x14ac:dyDescent="0.15">
      <c r="A2464">
        <v>24</v>
      </c>
      <c r="B2464">
        <v>2026</v>
      </c>
      <c r="C2464" s="21">
        <v>46185</v>
      </c>
      <c r="D2464" t="s">
        <v>80</v>
      </c>
      <c r="E2464" t="s">
        <v>81</v>
      </c>
      <c r="F2464" t="s">
        <v>21</v>
      </c>
      <c r="G2464">
        <v>2.2999999999999998</v>
      </c>
      <c r="H2464" t="s">
        <v>3378</v>
      </c>
      <c r="I2464" t="s">
        <v>214</v>
      </c>
      <c r="J2464" s="1" t="s">
        <v>215</v>
      </c>
      <c r="K2464" t="s">
        <v>181</v>
      </c>
      <c r="L2464" t="s">
        <v>3340</v>
      </c>
      <c r="M2464">
        <v>81</v>
      </c>
      <c r="N2464">
        <v>0.22</v>
      </c>
      <c r="O2464" t="s">
        <v>211</v>
      </c>
      <c r="P2464">
        <v>12</v>
      </c>
      <c r="R2464" t="s">
        <v>3374</v>
      </c>
      <c r="T2464" t="s">
        <v>3337</v>
      </c>
      <c r="U2464">
        <v>71</v>
      </c>
      <c r="V2464" t="s">
        <v>4247</v>
      </c>
    </row>
    <row r="2465" spans="1:22" ht="12.75" customHeight="1" x14ac:dyDescent="0.15">
      <c r="A2465">
        <v>24</v>
      </c>
      <c r="B2465">
        <v>2026</v>
      </c>
      <c r="C2465" s="21">
        <v>46185</v>
      </c>
      <c r="D2465" t="s">
        <v>91</v>
      </c>
      <c r="E2465" t="s">
        <v>92</v>
      </c>
      <c r="F2465" t="s">
        <v>21</v>
      </c>
      <c r="G2465">
        <v>1.3</v>
      </c>
      <c r="H2465" t="s">
        <v>3408</v>
      </c>
      <c r="I2465" t="s">
        <v>366</v>
      </c>
      <c r="J2465" s="1" t="s">
        <v>215</v>
      </c>
      <c r="K2465" t="s">
        <v>181</v>
      </c>
      <c r="L2465" t="s">
        <v>3340</v>
      </c>
      <c r="M2465">
        <v>62</v>
      </c>
      <c r="N2465">
        <v>0.51</v>
      </c>
      <c r="O2465" t="s">
        <v>211</v>
      </c>
      <c r="P2465">
        <v>28</v>
      </c>
      <c r="R2465" t="s">
        <v>3375</v>
      </c>
      <c r="S2465" t="s">
        <v>3647</v>
      </c>
      <c r="T2465" t="s">
        <v>3337</v>
      </c>
      <c r="U2465">
        <v>55</v>
      </c>
      <c r="V2465" t="s">
        <v>4248</v>
      </c>
    </row>
    <row r="2466" spans="1:22" ht="12.75" customHeight="1" x14ac:dyDescent="0.15">
      <c r="A2466">
        <v>24</v>
      </c>
      <c r="B2466">
        <v>2026</v>
      </c>
      <c r="C2466" s="21">
        <v>46185</v>
      </c>
      <c r="D2466" t="s">
        <v>91</v>
      </c>
      <c r="E2466" t="s">
        <v>92</v>
      </c>
      <c r="F2466" t="s">
        <v>21</v>
      </c>
      <c r="G2466">
        <v>1.3</v>
      </c>
      <c r="H2466" t="s">
        <v>3408</v>
      </c>
      <c r="I2466" t="s">
        <v>366</v>
      </c>
      <c r="J2466" s="1" t="s">
        <v>215</v>
      </c>
      <c r="K2466" t="s">
        <v>181</v>
      </c>
      <c r="L2466" t="s">
        <v>3340</v>
      </c>
      <c r="M2466">
        <v>53</v>
      </c>
      <c r="N2466">
        <v>0.51</v>
      </c>
      <c r="O2466" t="s">
        <v>211</v>
      </c>
      <c r="P2466">
        <v>28</v>
      </c>
      <c r="R2466" t="s">
        <v>3373</v>
      </c>
      <c r="T2466" t="s">
        <v>3337</v>
      </c>
      <c r="U2466">
        <v>55</v>
      </c>
      <c r="V2466" t="s">
        <v>4248</v>
      </c>
    </row>
    <row r="2467" spans="1:22" ht="12.75" customHeight="1" x14ac:dyDescent="0.15">
      <c r="A2467">
        <v>24</v>
      </c>
      <c r="B2467">
        <v>2026</v>
      </c>
      <c r="C2467" s="21">
        <v>46185</v>
      </c>
      <c r="D2467" t="s">
        <v>91</v>
      </c>
      <c r="E2467" t="s">
        <v>92</v>
      </c>
      <c r="F2467" t="s">
        <v>21</v>
      </c>
      <c r="G2467">
        <v>1.3</v>
      </c>
      <c r="H2467" t="s">
        <v>3408</v>
      </c>
      <c r="I2467" t="s">
        <v>366</v>
      </c>
      <c r="J2467" s="1" t="s">
        <v>215</v>
      </c>
      <c r="K2467" t="s">
        <v>181</v>
      </c>
      <c r="L2467" t="s">
        <v>3340</v>
      </c>
      <c r="M2467">
        <v>58</v>
      </c>
      <c r="N2467">
        <v>0.51</v>
      </c>
      <c r="O2467" t="s">
        <v>211</v>
      </c>
      <c r="P2467">
        <v>28</v>
      </c>
      <c r="R2467" t="s">
        <v>3343</v>
      </c>
      <c r="T2467" t="s">
        <v>3337</v>
      </c>
      <c r="U2467">
        <v>55</v>
      </c>
      <c r="V2467" t="s">
        <v>4248</v>
      </c>
    </row>
    <row r="2468" spans="1:22" ht="12.75" customHeight="1" x14ac:dyDescent="0.15">
      <c r="A2468">
        <v>24</v>
      </c>
      <c r="B2468">
        <v>2026</v>
      </c>
      <c r="C2468" s="21">
        <v>46185</v>
      </c>
      <c r="D2468" t="s">
        <v>91</v>
      </c>
      <c r="E2468" t="s">
        <v>92</v>
      </c>
      <c r="F2468" t="s">
        <v>21</v>
      </c>
      <c r="G2468">
        <v>1.3</v>
      </c>
      <c r="H2468" t="s">
        <v>3408</v>
      </c>
      <c r="I2468" t="s">
        <v>366</v>
      </c>
      <c r="J2468" s="1" t="s">
        <v>215</v>
      </c>
      <c r="K2468" t="s">
        <v>181</v>
      </c>
      <c r="L2468" t="s">
        <v>3340</v>
      </c>
      <c r="M2468">
        <v>45</v>
      </c>
      <c r="N2468">
        <v>0.51</v>
      </c>
      <c r="O2468" t="s">
        <v>211</v>
      </c>
      <c r="P2468">
        <v>28</v>
      </c>
      <c r="R2468" t="s">
        <v>3377</v>
      </c>
      <c r="T2468" t="s">
        <v>3337</v>
      </c>
      <c r="U2468">
        <v>55</v>
      </c>
      <c r="V2468" t="s">
        <v>4248</v>
      </c>
    </row>
    <row r="2469" spans="1:22" ht="12.75" customHeight="1" x14ac:dyDescent="0.15">
      <c r="A2469">
        <v>24</v>
      </c>
      <c r="B2469">
        <v>2026</v>
      </c>
      <c r="C2469" s="21">
        <v>46185</v>
      </c>
      <c r="D2469" t="s">
        <v>91</v>
      </c>
      <c r="E2469" t="s">
        <v>92</v>
      </c>
      <c r="F2469" t="s">
        <v>21</v>
      </c>
      <c r="G2469">
        <v>1.3</v>
      </c>
      <c r="H2469" t="s">
        <v>3408</v>
      </c>
      <c r="I2469" t="s">
        <v>366</v>
      </c>
      <c r="J2469" s="1" t="s">
        <v>215</v>
      </c>
      <c r="K2469" t="s">
        <v>181</v>
      </c>
      <c r="L2469" t="s">
        <v>3340</v>
      </c>
      <c r="M2469">
        <v>81</v>
      </c>
      <c r="N2469">
        <v>0.51</v>
      </c>
      <c r="O2469" t="s">
        <v>211</v>
      </c>
      <c r="P2469">
        <v>28</v>
      </c>
      <c r="R2469" t="s">
        <v>3374</v>
      </c>
      <c r="T2469" t="s">
        <v>3337</v>
      </c>
      <c r="U2469">
        <v>55</v>
      </c>
      <c r="V2469" t="s">
        <v>4248</v>
      </c>
    </row>
    <row r="2470" spans="1:22" ht="12.75" customHeight="1" x14ac:dyDescent="0.15">
      <c r="A2470">
        <v>24</v>
      </c>
      <c r="B2470">
        <v>2026</v>
      </c>
      <c r="C2470" s="21">
        <v>46185</v>
      </c>
      <c r="D2470" t="s">
        <v>143</v>
      </c>
      <c r="E2470" t="s">
        <v>144</v>
      </c>
      <c r="F2470" t="s">
        <v>21</v>
      </c>
      <c r="G2470">
        <v>1.8</v>
      </c>
      <c r="H2470" t="s">
        <v>4121</v>
      </c>
      <c r="I2470" t="s">
        <v>4122</v>
      </c>
      <c r="J2470" s="1" t="s">
        <v>307</v>
      </c>
      <c r="K2470" t="s">
        <v>181</v>
      </c>
      <c r="L2470" t="s">
        <v>3340</v>
      </c>
      <c r="M2470">
        <v>62</v>
      </c>
      <c r="N2470">
        <v>0.65</v>
      </c>
      <c r="O2470" t="s">
        <v>211</v>
      </c>
      <c r="P2470">
        <v>36</v>
      </c>
      <c r="Q2470">
        <v>4</v>
      </c>
      <c r="R2470" t="s">
        <v>3375</v>
      </c>
      <c r="T2470" t="s">
        <v>3337</v>
      </c>
      <c r="V2470" t="s">
        <v>257</v>
      </c>
    </row>
    <row r="2471" spans="1:22" ht="12.75" customHeight="1" x14ac:dyDescent="0.15">
      <c r="A2471">
        <v>24</v>
      </c>
      <c r="B2471">
        <v>2026</v>
      </c>
      <c r="C2471" s="21">
        <v>46185</v>
      </c>
      <c r="D2471" t="s">
        <v>143</v>
      </c>
      <c r="E2471" t="s">
        <v>144</v>
      </c>
      <c r="F2471" t="s">
        <v>21</v>
      </c>
      <c r="G2471">
        <v>1.8</v>
      </c>
      <c r="H2471" t="s">
        <v>4121</v>
      </c>
      <c r="I2471" t="s">
        <v>4122</v>
      </c>
      <c r="J2471" s="1" t="s">
        <v>307</v>
      </c>
      <c r="K2471" t="s">
        <v>181</v>
      </c>
      <c r="L2471" t="s">
        <v>3340</v>
      </c>
      <c r="M2471">
        <v>53</v>
      </c>
      <c r="N2471">
        <v>0.65</v>
      </c>
      <c r="O2471" t="s">
        <v>211</v>
      </c>
      <c r="P2471">
        <v>36</v>
      </c>
      <c r="Q2471">
        <v>4</v>
      </c>
      <c r="R2471" t="s">
        <v>3373</v>
      </c>
      <c r="T2471" t="s">
        <v>3337</v>
      </c>
      <c r="V2471" t="s">
        <v>257</v>
      </c>
    </row>
    <row r="2472" spans="1:22" ht="12.75" customHeight="1" x14ac:dyDescent="0.15">
      <c r="A2472">
        <v>24</v>
      </c>
      <c r="B2472">
        <v>2026</v>
      </c>
      <c r="C2472" s="21">
        <v>46185</v>
      </c>
      <c r="D2472" t="s">
        <v>143</v>
      </c>
      <c r="E2472" t="s">
        <v>144</v>
      </c>
      <c r="F2472" t="s">
        <v>21</v>
      </c>
      <c r="G2472">
        <v>1.8</v>
      </c>
      <c r="H2472" t="s">
        <v>4121</v>
      </c>
      <c r="I2472" t="s">
        <v>4122</v>
      </c>
      <c r="J2472" s="1" t="s">
        <v>307</v>
      </c>
      <c r="K2472" t="s">
        <v>181</v>
      </c>
      <c r="L2472" t="s">
        <v>3340</v>
      </c>
      <c r="M2472">
        <v>58</v>
      </c>
      <c r="N2472">
        <v>0.65</v>
      </c>
      <c r="O2472" t="s">
        <v>211</v>
      </c>
      <c r="P2472">
        <v>36</v>
      </c>
      <c r="Q2472">
        <v>4</v>
      </c>
      <c r="R2472" t="s">
        <v>3343</v>
      </c>
      <c r="T2472" t="s">
        <v>3337</v>
      </c>
      <c r="V2472" t="s">
        <v>257</v>
      </c>
    </row>
    <row r="2473" spans="1:22" ht="12.75" customHeight="1" x14ac:dyDescent="0.15">
      <c r="A2473">
        <v>24</v>
      </c>
      <c r="B2473">
        <v>2026</v>
      </c>
      <c r="C2473" s="21">
        <v>46185</v>
      </c>
      <c r="D2473" t="s">
        <v>143</v>
      </c>
      <c r="E2473" t="s">
        <v>144</v>
      </c>
      <c r="F2473" t="s">
        <v>21</v>
      </c>
      <c r="G2473">
        <v>1.8</v>
      </c>
      <c r="H2473" t="s">
        <v>4121</v>
      </c>
      <c r="I2473" t="s">
        <v>4122</v>
      </c>
      <c r="J2473" s="1" t="s">
        <v>307</v>
      </c>
      <c r="K2473" t="s">
        <v>181</v>
      </c>
      <c r="L2473" t="s">
        <v>3340</v>
      </c>
      <c r="M2473">
        <v>45</v>
      </c>
      <c r="N2473">
        <v>0.65</v>
      </c>
      <c r="O2473" t="s">
        <v>211</v>
      </c>
      <c r="P2473">
        <v>36</v>
      </c>
      <c r="Q2473">
        <v>4</v>
      </c>
      <c r="R2473" t="s">
        <v>3377</v>
      </c>
      <c r="T2473" t="s">
        <v>3337</v>
      </c>
      <c r="V2473" t="s">
        <v>257</v>
      </c>
    </row>
    <row r="2474" spans="1:22" ht="12.75" customHeight="1" x14ac:dyDescent="0.15">
      <c r="A2474">
        <v>24</v>
      </c>
      <c r="B2474">
        <v>2026</v>
      </c>
      <c r="C2474" s="21">
        <v>46185</v>
      </c>
      <c r="D2474" t="s">
        <v>143</v>
      </c>
      <c r="E2474" t="s">
        <v>144</v>
      </c>
      <c r="F2474" t="s">
        <v>21</v>
      </c>
      <c r="G2474">
        <v>1.8</v>
      </c>
      <c r="H2474" t="s">
        <v>4121</v>
      </c>
      <c r="I2474" t="s">
        <v>4122</v>
      </c>
      <c r="J2474" s="1" t="s">
        <v>307</v>
      </c>
      <c r="K2474" t="s">
        <v>181</v>
      </c>
      <c r="L2474" t="s">
        <v>3340</v>
      </c>
      <c r="M2474">
        <v>81</v>
      </c>
      <c r="N2474">
        <v>0.65</v>
      </c>
      <c r="O2474" t="s">
        <v>211</v>
      </c>
      <c r="P2474">
        <v>36</v>
      </c>
      <c r="Q2474">
        <v>4</v>
      </c>
      <c r="R2474" t="s">
        <v>3374</v>
      </c>
      <c r="T2474" t="s">
        <v>3337</v>
      </c>
      <c r="V2474" t="s">
        <v>257</v>
      </c>
    </row>
    <row r="2475" spans="1:22" ht="12.75" customHeight="1" x14ac:dyDescent="0.15">
      <c r="A2475">
        <v>24</v>
      </c>
      <c r="B2475">
        <v>2026</v>
      </c>
      <c r="C2475" s="21">
        <v>46185</v>
      </c>
      <c r="D2475" t="s">
        <v>101</v>
      </c>
      <c r="E2475" t="s">
        <v>102</v>
      </c>
      <c r="F2475" t="s">
        <v>75</v>
      </c>
      <c r="G2475">
        <v>7.6</v>
      </c>
      <c r="H2475" t="s">
        <v>3400</v>
      </c>
      <c r="I2475" t="s">
        <v>353</v>
      </c>
      <c r="J2475" s="1" t="s">
        <v>253</v>
      </c>
      <c r="K2475" t="s">
        <v>181</v>
      </c>
      <c r="L2475" t="s">
        <v>3333</v>
      </c>
      <c r="M2475">
        <v>2</v>
      </c>
      <c r="N2475">
        <v>0.63</v>
      </c>
      <c r="O2475" t="s">
        <v>3440</v>
      </c>
      <c r="P2475">
        <v>56.56</v>
      </c>
      <c r="Q2475">
        <v>5</v>
      </c>
      <c r="R2475" t="s">
        <v>3424</v>
      </c>
      <c r="T2475" t="s">
        <v>3337</v>
      </c>
      <c r="U2475">
        <v>45</v>
      </c>
      <c r="V2475" t="s">
        <v>4249</v>
      </c>
    </row>
    <row r="2476" spans="1:22" ht="12.75" customHeight="1" x14ac:dyDescent="0.15">
      <c r="A2476">
        <v>24</v>
      </c>
      <c r="B2476">
        <v>2026</v>
      </c>
      <c r="C2476" s="21">
        <v>46185</v>
      </c>
      <c r="D2476" t="s">
        <v>101</v>
      </c>
      <c r="E2476" t="s">
        <v>102</v>
      </c>
      <c r="F2476" t="s">
        <v>75</v>
      </c>
      <c r="G2476">
        <v>7.6</v>
      </c>
      <c r="H2476" t="s">
        <v>3400</v>
      </c>
      <c r="I2476" t="s">
        <v>353</v>
      </c>
      <c r="J2476" s="1" t="s">
        <v>253</v>
      </c>
      <c r="K2476" t="s">
        <v>181</v>
      </c>
      <c r="L2476" t="s">
        <v>3340</v>
      </c>
      <c r="M2476">
        <v>25</v>
      </c>
      <c r="N2476">
        <v>1</v>
      </c>
      <c r="O2476" t="s">
        <v>211</v>
      </c>
      <c r="P2476">
        <v>55</v>
      </c>
      <c r="R2476" t="s">
        <v>3413</v>
      </c>
      <c r="T2476" t="s">
        <v>3337</v>
      </c>
      <c r="U2476">
        <v>45</v>
      </c>
      <c r="V2476" t="s">
        <v>4088</v>
      </c>
    </row>
    <row r="2477" spans="1:22" ht="12.75" customHeight="1" x14ac:dyDescent="0.15">
      <c r="A2477">
        <v>24</v>
      </c>
      <c r="B2477">
        <v>2026</v>
      </c>
      <c r="C2477" s="21">
        <v>46185</v>
      </c>
      <c r="D2477" t="s">
        <v>101</v>
      </c>
      <c r="E2477" t="s">
        <v>102</v>
      </c>
      <c r="F2477" t="s">
        <v>75</v>
      </c>
      <c r="G2477">
        <v>7.6</v>
      </c>
      <c r="H2477" t="s">
        <v>3400</v>
      </c>
      <c r="I2477" t="s">
        <v>353</v>
      </c>
      <c r="J2477" s="1" t="s">
        <v>253</v>
      </c>
      <c r="K2477" t="s">
        <v>181</v>
      </c>
      <c r="L2477" t="s">
        <v>3333</v>
      </c>
      <c r="M2477">
        <v>1</v>
      </c>
      <c r="N2477">
        <v>0.63</v>
      </c>
      <c r="O2477" t="s">
        <v>3358</v>
      </c>
      <c r="P2477">
        <v>44.91</v>
      </c>
      <c r="Q2477">
        <v>5</v>
      </c>
      <c r="R2477" t="s">
        <v>3359</v>
      </c>
      <c r="T2477" t="s">
        <v>3337</v>
      </c>
      <c r="U2477">
        <v>45</v>
      </c>
      <c r="V2477" t="s">
        <v>4164</v>
      </c>
    </row>
    <row r="2478" spans="1:22" ht="12.75" customHeight="1" x14ac:dyDescent="0.15">
      <c r="A2478">
        <v>24</v>
      </c>
      <c r="B2478">
        <v>2026</v>
      </c>
      <c r="C2478" s="21">
        <v>46185</v>
      </c>
      <c r="D2478" t="s">
        <v>101</v>
      </c>
      <c r="E2478" t="s">
        <v>102</v>
      </c>
      <c r="F2478" t="s">
        <v>75</v>
      </c>
      <c r="G2478">
        <v>7.6</v>
      </c>
      <c r="H2478" t="s">
        <v>3400</v>
      </c>
      <c r="I2478" t="s">
        <v>353</v>
      </c>
      <c r="J2478" s="1" t="s">
        <v>253</v>
      </c>
      <c r="K2478" t="s">
        <v>181</v>
      </c>
      <c r="L2478" t="s">
        <v>3333</v>
      </c>
      <c r="M2478">
        <v>6</v>
      </c>
      <c r="N2478">
        <v>0.63</v>
      </c>
      <c r="O2478" t="s">
        <v>3334</v>
      </c>
      <c r="P2478">
        <v>50.99</v>
      </c>
      <c r="Q2478">
        <v>5</v>
      </c>
      <c r="R2478" t="s">
        <v>3335</v>
      </c>
      <c r="T2478" t="s">
        <v>3337</v>
      </c>
      <c r="U2478">
        <v>45</v>
      </c>
      <c r="V2478" t="s">
        <v>4114</v>
      </c>
    </row>
    <row r="2479" spans="1:22" ht="12.75" customHeight="1" x14ac:dyDescent="0.15">
      <c r="A2479">
        <v>24</v>
      </c>
      <c r="B2479">
        <v>2026</v>
      </c>
      <c r="C2479" s="21">
        <v>46185</v>
      </c>
      <c r="D2479" t="s">
        <v>143</v>
      </c>
      <c r="E2479" t="s">
        <v>144</v>
      </c>
      <c r="F2479" t="s">
        <v>21</v>
      </c>
      <c r="G2479">
        <v>1.8</v>
      </c>
      <c r="H2479" t="s">
        <v>4250</v>
      </c>
      <c r="I2479" t="s">
        <v>4122</v>
      </c>
      <c r="J2479" s="1" t="s">
        <v>307</v>
      </c>
      <c r="K2479" t="s">
        <v>181</v>
      </c>
      <c r="L2479" t="s">
        <v>3333</v>
      </c>
      <c r="M2479">
        <v>2</v>
      </c>
      <c r="N2479">
        <v>0.38</v>
      </c>
      <c r="O2479" t="s">
        <v>3440</v>
      </c>
      <c r="P2479">
        <v>33.93</v>
      </c>
      <c r="Q2479">
        <v>3</v>
      </c>
      <c r="R2479" t="s">
        <v>3424</v>
      </c>
      <c r="T2479" t="s">
        <v>3337</v>
      </c>
      <c r="V2479" t="s">
        <v>3978</v>
      </c>
    </row>
    <row r="2480" spans="1:22" ht="12.75" customHeight="1" x14ac:dyDescent="0.15">
      <c r="A2480">
        <v>24</v>
      </c>
      <c r="B2480">
        <v>2026</v>
      </c>
      <c r="C2480" s="21">
        <v>46185</v>
      </c>
      <c r="D2480" t="s">
        <v>143</v>
      </c>
      <c r="E2480" t="s">
        <v>144</v>
      </c>
      <c r="F2480" t="s">
        <v>21</v>
      </c>
      <c r="G2480">
        <v>1.8</v>
      </c>
      <c r="H2480" t="s">
        <v>4250</v>
      </c>
      <c r="I2480" t="s">
        <v>4122</v>
      </c>
      <c r="J2480" s="1" t="s">
        <v>307</v>
      </c>
      <c r="K2480" t="s">
        <v>181</v>
      </c>
      <c r="L2480" t="s">
        <v>3333</v>
      </c>
      <c r="M2480">
        <v>1</v>
      </c>
      <c r="N2480">
        <v>0.38</v>
      </c>
      <c r="O2480" t="s">
        <v>3358</v>
      </c>
      <c r="P2480">
        <v>26.95</v>
      </c>
      <c r="Q2480">
        <v>3</v>
      </c>
      <c r="R2480" t="s">
        <v>3359</v>
      </c>
      <c r="T2480" t="s">
        <v>3337</v>
      </c>
      <c r="V2480" t="s">
        <v>4251</v>
      </c>
    </row>
    <row r="2481" spans="1:22" ht="12.75" customHeight="1" x14ac:dyDescent="0.15">
      <c r="A2481">
        <v>24</v>
      </c>
      <c r="B2481">
        <v>2026</v>
      </c>
      <c r="C2481" s="21">
        <v>46185</v>
      </c>
      <c r="D2481" t="s">
        <v>143</v>
      </c>
      <c r="E2481" t="s">
        <v>144</v>
      </c>
      <c r="F2481" t="s">
        <v>21</v>
      </c>
      <c r="G2481">
        <v>1.8</v>
      </c>
      <c r="H2481" t="s">
        <v>4250</v>
      </c>
      <c r="I2481" t="s">
        <v>4122</v>
      </c>
      <c r="J2481" s="1" t="s">
        <v>307</v>
      </c>
      <c r="K2481" t="s">
        <v>181</v>
      </c>
      <c r="L2481" t="s">
        <v>3333</v>
      </c>
      <c r="M2481">
        <v>6</v>
      </c>
      <c r="N2481">
        <v>0.38</v>
      </c>
      <c r="O2481" t="s">
        <v>3334</v>
      </c>
      <c r="P2481">
        <v>30.59</v>
      </c>
      <c r="Q2481">
        <v>3</v>
      </c>
      <c r="R2481" t="s">
        <v>3335</v>
      </c>
      <c r="T2481" t="s">
        <v>3337</v>
      </c>
      <c r="V2481" t="s">
        <v>4252</v>
      </c>
    </row>
    <row r="2482" spans="1:22" ht="12.75" customHeight="1" x14ac:dyDescent="0.15">
      <c r="A2482">
        <v>24</v>
      </c>
      <c r="B2482">
        <v>2026</v>
      </c>
      <c r="C2482" s="21">
        <v>46185</v>
      </c>
      <c r="D2482" t="s">
        <v>141</v>
      </c>
      <c r="E2482" t="s">
        <v>142</v>
      </c>
      <c r="F2482" t="s">
        <v>75</v>
      </c>
      <c r="G2482">
        <v>1</v>
      </c>
      <c r="H2482" t="s">
        <v>4241</v>
      </c>
      <c r="I2482" t="s">
        <v>4242</v>
      </c>
      <c r="J2482" s="1" t="s">
        <v>3668</v>
      </c>
      <c r="K2482" t="s">
        <v>181</v>
      </c>
      <c r="L2482" t="s">
        <v>3340</v>
      </c>
      <c r="M2482">
        <v>78</v>
      </c>
      <c r="N2482">
        <v>1.31</v>
      </c>
      <c r="O2482" t="s">
        <v>211</v>
      </c>
      <c r="P2482">
        <v>72</v>
      </c>
      <c r="Q2482">
        <v>8</v>
      </c>
      <c r="R2482" t="s">
        <v>3341</v>
      </c>
      <c r="T2482" t="s">
        <v>3402</v>
      </c>
      <c r="U2482">
        <v>-11</v>
      </c>
      <c r="V2482" t="s">
        <v>193</v>
      </c>
    </row>
    <row r="2483" spans="1:22" ht="15" customHeight="1" x14ac:dyDescent="0.2">
      <c r="A2483">
        <v>24</v>
      </c>
      <c r="B2483">
        <v>2026</v>
      </c>
      <c r="C2483" s="21">
        <v>46185</v>
      </c>
      <c r="D2483" t="s">
        <v>4180</v>
      </c>
      <c r="E2483" s="27" t="s">
        <v>136</v>
      </c>
      <c r="F2483" t="s">
        <v>75</v>
      </c>
      <c r="G2483">
        <v>0.1</v>
      </c>
      <c r="H2483" t="s">
        <v>4241</v>
      </c>
      <c r="I2483" t="s">
        <v>4242</v>
      </c>
      <c r="J2483" s="1" t="s">
        <v>3668</v>
      </c>
      <c r="K2483" t="s">
        <v>181</v>
      </c>
      <c r="L2483" t="s">
        <v>3333</v>
      </c>
      <c r="M2483">
        <v>86</v>
      </c>
      <c r="N2483">
        <v>0.63</v>
      </c>
      <c r="O2483" t="s">
        <v>3334</v>
      </c>
      <c r="P2483">
        <v>50.99</v>
      </c>
      <c r="Q2483">
        <v>5</v>
      </c>
      <c r="R2483" t="s">
        <v>3386</v>
      </c>
      <c r="T2483" t="s">
        <v>3402</v>
      </c>
      <c r="U2483">
        <v>487</v>
      </c>
      <c r="V2483" t="s">
        <v>4253</v>
      </c>
    </row>
    <row r="2484" spans="1:22" ht="12.75" customHeight="1" x14ac:dyDescent="0.15">
      <c r="A2484">
        <v>24</v>
      </c>
      <c r="B2484">
        <v>2026</v>
      </c>
      <c r="C2484" s="21">
        <v>46185</v>
      </c>
      <c r="D2484" t="s">
        <v>101</v>
      </c>
      <c r="E2484" t="s">
        <v>102</v>
      </c>
      <c r="F2484" t="s">
        <v>75</v>
      </c>
      <c r="G2484">
        <v>7.6</v>
      </c>
      <c r="H2484" t="s">
        <v>3391</v>
      </c>
      <c r="I2484" t="s">
        <v>353</v>
      </c>
      <c r="J2484" s="1" t="s">
        <v>253</v>
      </c>
      <c r="K2484" t="s">
        <v>181</v>
      </c>
      <c r="L2484" t="s">
        <v>3333</v>
      </c>
      <c r="M2484">
        <v>67</v>
      </c>
      <c r="N2484">
        <v>0.63</v>
      </c>
      <c r="O2484" t="s">
        <v>3334</v>
      </c>
      <c r="P2484">
        <v>50.99</v>
      </c>
      <c r="Q2484">
        <v>5</v>
      </c>
      <c r="R2484" t="s">
        <v>3404</v>
      </c>
      <c r="T2484" t="s">
        <v>3402</v>
      </c>
      <c r="U2484">
        <v>45</v>
      </c>
      <c r="V2484" t="s">
        <v>4114</v>
      </c>
    </row>
    <row r="2485" spans="1:22" ht="12.75" customHeight="1" x14ac:dyDescent="0.15">
      <c r="A2485">
        <v>24</v>
      </c>
      <c r="B2485">
        <v>2026</v>
      </c>
      <c r="C2485" s="21">
        <v>46185</v>
      </c>
      <c r="D2485" t="s">
        <v>101</v>
      </c>
      <c r="E2485" t="s">
        <v>102</v>
      </c>
      <c r="F2485" t="s">
        <v>75</v>
      </c>
      <c r="G2485">
        <v>7.6</v>
      </c>
      <c r="H2485" t="s">
        <v>3391</v>
      </c>
      <c r="I2485" t="s">
        <v>353</v>
      </c>
      <c r="J2485" s="1" t="s">
        <v>253</v>
      </c>
      <c r="K2485" t="s">
        <v>181</v>
      </c>
      <c r="L2485" t="s">
        <v>3333</v>
      </c>
      <c r="M2485">
        <v>19</v>
      </c>
      <c r="N2485">
        <v>0.63</v>
      </c>
      <c r="O2485" t="s">
        <v>3334</v>
      </c>
      <c r="P2485">
        <v>50.99</v>
      </c>
      <c r="Q2485">
        <v>5</v>
      </c>
      <c r="R2485" t="s">
        <v>3403</v>
      </c>
      <c r="T2485" t="s">
        <v>3402</v>
      </c>
      <c r="U2485">
        <v>45</v>
      </c>
      <c r="V2485" t="s">
        <v>4114</v>
      </c>
    </row>
    <row r="2486" spans="1:22" ht="12.75" customHeight="1" x14ac:dyDescent="0.15">
      <c r="A2486">
        <v>24</v>
      </c>
      <c r="B2486">
        <v>2026</v>
      </c>
      <c r="C2486" s="21">
        <v>46185</v>
      </c>
      <c r="D2486" t="s">
        <v>101</v>
      </c>
      <c r="E2486" t="s">
        <v>102</v>
      </c>
      <c r="F2486" t="s">
        <v>75</v>
      </c>
      <c r="G2486">
        <v>7.6</v>
      </c>
      <c r="H2486" t="s">
        <v>3653</v>
      </c>
      <c r="I2486" t="s">
        <v>3566</v>
      </c>
      <c r="J2486" s="1" t="s">
        <v>3389</v>
      </c>
      <c r="K2486" t="s">
        <v>181</v>
      </c>
      <c r="L2486" t="s">
        <v>3333</v>
      </c>
      <c r="M2486">
        <v>80</v>
      </c>
      <c r="N2486">
        <v>0.63</v>
      </c>
      <c r="O2486" t="s">
        <v>213</v>
      </c>
      <c r="P2486">
        <v>56.25</v>
      </c>
      <c r="Q2486">
        <v>5</v>
      </c>
      <c r="R2486" t="s">
        <v>3560</v>
      </c>
      <c r="T2486" t="s">
        <v>3402</v>
      </c>
      <c r="U2486">
        <v>45</v>
      </c>
      <c r="V2486" t="s">
        <v>4254</v>
      </c>
    </row>
    <row r="2487" spans="1:22" ht="12.75" customHeight="1" x14ac:dyDescent="0.15">
      <c r="A2487">
        <v>24</v>
      </c>
      <c r="B2487">
        <v>2026</v>
      </c>
      <c r="C2487" s="21">
        <v>46185</v>
      </c>
      <c r="D2487" t="s">
        <v>101</v>
      </c>
      <c r="E2487" t="s">
        <v>102</v>
      </c>
      <c r="F2487" t="s">
        <v>75</v>
      </c>
      <c r="G2487">
        <v>7.6</v>
      </c>
      <c r="H2487" t="s">
        <v>3878</v>
      </c>
      <c r="I2487" t="s">
        <v>3566</v>
      </c>
      <c r="J2487" s="1" t="s">
        <v>3389</v>
      </c>
      <c r="K2487" t="s">
        <v>2666</v>
      </c>
      <c r="L2487" t="s">
        <v>3587</v>
      </c>
      <c r="P2487">
        <v>41</v>
      </c>
      <c r="T2487" t="s">
        <v>3402</v>
      </c>
      <c r="U2487">
        <v>45</v>
      </c>
      <c r="V2487" t="s">
        <v>4255</v>
      </c>
    </row>
    <row r="2488" spans="1:22" ht="12.75" customHeight="1" x14ac:dyDescent="0.15">
      <c r="A2488">
        <v>24</v>
      </c>
      <c r="B2488">
        <v>2026</v>
      </c>
      <c r="C2488" s="21">
        <v>46185</v>
      </c>
      <c r="D2488" t="s">
        <v>141</v>
      </c>
      <c r="E2488" t="s">
        <v>142</v>
      </c>
      <c r="F2488" t="s">
        <v>75</v>
      </c>
      <c r="G2488">
        <v>1</v>
      </c>
      <c r="H2488" t="s">
        <v>3567</v>
      </c>
      <c r="I2488" t="s">
        <v>321</v>
      </c>
      <c r="J2488" s="1" t="s">
        <v>26</v>
      </c>
      <c r="K2488" t="s">
        <v>181</v>
      </c>
      <c r="L2488" t="s">
        <v>3333</v>
      </c>
      <c r="M2488">
        <v>11</v>
      </c>
      <c r="N2488">
        <v>0.5</v>
      </c>
      <c r="O2488" t="s">
        <v>213</v>
      </c>
      <c r="P2488">
        <v>45</v>
      </c>
      <c r="Q2488">
        <v>4</v>
      </c>
      <c r="R2488" t="s">
        <v>3564</v>
      </c>
      <c r="T2488" t="s">
        <v>3402</v>
      </c>
      <c r="U2488">
        <v>-11</v>
      </c>
      <c r="V2488" t="s">
        <v>3530</v>
      </c>
    </row>
    <row r="2489" spans="1:22" ht="12.75" customHeight="1" x14ac:dyDescent="0.15">
      <c r="A2489">
        <v>24</v>
      </c>
      <c r="B2489">
        <v>2026</v>
      </c>
      <c r="C2489" s="21">
        <v>46185</v>
      </c>
      <c r="D2489" t="s">
        <v>141</v>
      </c>
      <c r="E2489" t="s">
        <v>142</v>
      </c>
      <c r="F2489" t="s">
        <v>75</v>
      </c>
      <c r="G2489">
        <v>1</v>
      </c>
      <c r="H2489" t="s">
        <v>4013</v>
      </c>
      <c r="I2489" t="s">
        <v>321</v>
      </c>
      <c r="J2489" s="1" t="s">
        <v>26</v>
      </c>
      <c r="K2489" t="s">
        <v>2666</v>
      </c>
      <c r="L2489" t="s">
        <v>3587</v>
      </c>
      <c r="P2489">
        <v>32.799999999999997</v>
      </c>
      <c r="T2489" t="s">
        <v>3402</v>
      </c>
      <c r="U2489">
        <v>-11</v>
      </c>
      <c r="V2489" t="s">
        <v>3879</v>
      </c>
    </row>
    <row r="2490" spans="1:22" ht="12.75" customHeight="1" x14ac:dyDescent="0.15">
      <c r="A2490">
        <v>24</v>
      </c>
      <c r="B2490">
        <v>2026</v>
      </c>
      <c r="C2490" s="21">
        <v>46185</v>
      </c>
      <c r="D2490" t="s">
        <v>143</v>
      </c>
      <c r="E2490" t="s">
        <v>144</v>
      </c>
      <c r="F2490" t="s">
        <v>21</v>
      </c>
      <c r="G2490">
        <v>1.8</v>
      </c>
      <c r="H2490" t="s">
        <v>4250</v>
      </c>
      <c r="I2490" t="s">
        <v>4122</v>
      </c>
      <c r="J2490" s="1" t="s">
        <v>307</v>
      </c>
      <c r="K2490" t="s">
        <v>181</v>
      </c>
      <c r="L2490" t="s">
        <v>3333</v>
      </c>
      <c r="M2490">
        <v>67</v>
      </c>
      <c r="N2490">
        <v>0.38</v>
      </c>
      <c r="O2490" t="s">
        <v>3334</v>
      </c>
      <c r="P2490">
        <v>30.59</v>
      </c>
      <c r="Q2490">
        <v>3</v>
      </c>
      <c r="R2490" t="s">
        <v>3404</v>
      </c>
      <c r="T2490" t="s">
        <v>3402</v>
      </c>
      <c r="V2490" t="s">
        <v>4252</v>
      </c>
    </row>
    <row r="2491" spans="1:22" ht="12.75" customHeight="1" x14ac:dyDescent="0.15">
      <c r="A2491">
        <v>24</v>
      </c>
      <c r="B2491">
        <v>2026</v>
      </c>
      <c r="C2491" s="21">
        <v>46185</v>
      </c>
      <c r="D2491" t="s">
        <v>143</v>
      </c>
      <c r="E2491" t="s">
        <v>144</v>
      </c>
      <c r="F2491" t="s">
        <v>21</v>
      </c>
      <c r="G2491">
        <v>1.8</v>
      </c>
      <c r="H2491" t="s">
        <v>4250</v>
      </c>
      <c r="I2491" t="s">
        <v>4122</v>
      </c>
      <c r="J2491" s="1" t="s">
        <v>307</v>
      </c>
      <c r="K2491" t="s">
        <v>181</v>
      </c>
      <c r="L2491" t="s">
        <v>3333</v>
      </c>
      <c r="M2491">
        <v>19</v>
      </c>
      <c r="N2491">
        <v>0.38</v>
      </c>
      <c r="O2491" t="s">
        <v>3334</v>
      </c>
      <c r="P2491">
        <v>30.59</v>
      </c>
      <c r="Q2491">
        <v>3</v>
      </c>
      <c r="R2491" t="s">
        <v>3403</v>
      </c>
      <c r="T2491" t="s">
        <v>3402</v>
      </c>
      <c r="V2491" t="s">
        <v>4252</v>
      </c>
    </row>
    <row r="2492" spans="1:22" ht="12.75" customHeight="1" x14ac:dyDescent="0.15">
      <c r="A2492">
        <v>24</v>
      </c>
      <c r="B2492">
        <v>2026</v>
      </c>
      <c r="C2492" s="21">
        <v>46186</v>
      </c>
      <c r="D2492" t="s">
        <v>101</v>
      </c>
      <c r="E2492" t="s">
        <v>102</v>
      </c>
      <c r="F2492" t="s">
        <v>75</v>
      </c>
      <c r="G2492">
        <v>7.6</v>
      </c>
      <c r="H2492" t="s">
        <v>3378</v>
      </c>
      <c r="I2492" t="s">
        <v>214</v>
      </c>
      <c r="J2492" s="1" t="s">
        <v>215</v>
      </c>
      <c r="K2492" t="s">
        <v>181</v>
      </c>
      <c r="L2492" t="s">
        <v>3340</v>
      </c>
      <c r="M2492">
        <v>62</v>
      </c>
      <c r="N2492">
        <v>1.31</v>
      </c>
      <c r="O2492" t="s">
        <v>211</v>
      </c>
      <c r="P2492">
        <v>72</v>
      </c>
      <c r="R2492" t="s">
        <v>3375</v>
      </c>
      <c r="S2492" t="s">
        <v>4256</v>
      </c>
      <c r="T2492" t="s">
        <v>3337</v>
      </c>
      <c r="U2492">
        <v>46</v>
      </c>
      <c r="V2492" t="s">
        <v>3399</v>
      </c>
    </row>
    <row r="2493" spans="1:22" ht="12.75" customHeight="1" x14ac:dyDescent="0.15">
      <c r="A2493">
        <v>24</v>
      </c>
      <c r="B2493">
        <v>2026</v>
      </c>
      <c r="C2493" s="21">
        <v>46186</v>
      </c>
      <c r="D2493" t="s">
        <v>101</v>
      </c>
      <c r="E2493" t="s">
        <v>102</v>
      </c>
      <c r="F2493" t="s">
        <v>75</v>
      </c>
      <c r="G2493">
        <v>7.6</v>
      </c>
      <c r="H2493" t="s">
        <v>3378</v>
      </c>
      <c r="I2493" t="s">
        <v>214</v>
      </c>
      <c r="J2493" s="1" t="s">
        <v>215</v>
      </c>
      <c r="K2493" t="s">
        <v>181</v>
      </c>
      <c r="L2493" t="s">
        <v>3340</v>
      </c>
      <c r="M2493">
        <v>53</v>
      </c>
      <c r="N2493">
        <v>1.31</v>
      </c>
      <c r="O2493" t="s">
        <v>211</v>
      </c>
      <c r="P2493">
        <v>72</v>
      </c>
      <c r="R2493" t="s">
        <v>3373</v>
      </c>
      <c r="T2493" t="s">
        <v>3337</v>
      </c>
      <c r="U2493">
        <v>46</v>
      </c>
      <c r="V2493" t="s">
        <v>3399</v>
      </c>
    </row>
    <row r="2494" spans="1:22" ht="12.75" customHeight="1" x14ac:dyDescent="0.15">
      <c r="A2494">
        <v>24</v>
      </c>
      <c r="B2494">
        <v>2026</v>
      </c>
      <c r="C2494" s="21">
        <v>46186</v>
      </c>
      <c r="D2494" t="s">
        <v>101</v>
      </c>
      <c r="E2494" t="s">
        <v>102</v>
      </c>
      <c r="F2494" t="s">
        <v>75</v>
      </c>
      <c r="G2494">
        <v>7.6</v>
      </c>
      <c r="H2494" t="s">
        <v>3378</v>
      </c>
      <c r="I2494" t="s">
        <v>214</v>
      </c>
      <c r="J2494" s="1" t="s">
        <v>215</v>
      </c>
      <c r="K2494" t="s">
        <v>181</v>
      </c>
      <c r="L2494" t="s">
        <v>3340</v>
      </c>
      <c r="M2494">
        <v>58</v>
      </c>
      <c r="N2494">
        <v>1.31</v>
      </c>
      <c r="O2494" t="s">
        <v>211</v>
      </c>
      <c r="P2494">
        <v>72</v>
      </c>
      <c r="R2494" t="s">
        <v>3343</v>
      </c>
      <c r="T2494" t="s">
        <v>3337</v>
      </c>
      <c r="U2494">
        <v>46</v>
      </c>
      <c r="V2494" t="s">
        <v>3399</v>
      </c>
    </row>
    <row r="2495" spans="1:22" ht="12.75" customHeight="1" x14ac:dyDescent="0.15">
      <c r="A2495">
        <v>24</v>
      </c>
      <c r="B2495">
        <v>2026</v>
      </c>
      <c r="C2495" s="21">
        <v>46186</v>
      </c>
      <c r="D2495" t="s">
        <v>101</v>
      </c>
      <c r="E2495" t="s">
        <v>102</v>
      </c>
      <c r="F2495" t="s">
        <v>75</v>
      </c>
      <c r="G2495">
        <v>7.6</v>
      </c>
      <c r="H2495" t="s">
        <v>3378</v>
      </c>
      <c r="I2495" t="s">
        <v>214</v>
      </c>
      <c r="J2495" s="1" t="s">
        <v>215</v>
      </c>
      <c r="K2495" t="s">
        <v>181</v>
      </c>
      <c r="L2495" t="s">
        <v>3340</v>
      </c>
      <c r="M2495">
        <v>45</v>
      </c>
      <c r="N2495">
        <v>1.31</v>
      </c>
      <c r="O2495" t="s">
        <v>211</v>
      </c>
      <c r="P2495">
        <v>72</v>
      </c>
      <c r="R2495" t="s">
        <v>3377</v>
      </c>
      <c r="T2495" t="s">
        <v>3337</v>
      </c>
      <c r="U2495">
        <v>46</v>
      </c>
      <c r="V2495" t="s">
        <v>3399</v>
      </c>
    </row>
    <row r="2496" spans="1:22" ht="12.75" customHeight="1" x14ac:dyDescent="0.15">
      <c r="A2496">
        <v>24</v>
      </c>
      <c r="B2496">
        <v>2026</v>
      </c>
      <c r="C2496" s="21">
        <v>46186</v>
      </c>
      <c r="D2496" t="s">
        <v>101</v>
      </c>
      <c r="E2496" t="s">
        <v>102</v>
      </c>
      <c r="F2496" t="s">
        <v>75</v>
      </c>
      <c r="G2496">
        <v>7.6</v>
      </c>
      <c r="H2496" t="s">
        <v>3378</v>
      </c>
      <c r="I2496" t="s">
        <v>214</v>
      </c>
      <c r="J2496" s="1" t="s">
        <v>215</v>
      </c>
      <c r="K2496" t="s">
        <v>181</v>
      </c>
      <c r="L2496" t="s">
        <v>3340</v>
      </c>
      <c r="M2496">
        <v>81</v>
      </c>
      <c r="N2496">
        <v>1.31</v>
      </c>
      <c r="O2496" t="s">
        <v>211</v>
      </c>
      <c r="P2496">
        <v>72</v>
      </c>
      <c r="R2496" t="s">
        <v>3374</v>
      </c>
      <c r="T2496" t="s">
        <v>3337</v>
      </c>
      <c r="U2496">
        <v>46</v>
      </c>
      <c r="V2496" t="s">
        <v>3399</v>
      </c>
    </row>
    <row r="2497" spans="1:22" ht="12.75" customHeight="1" x14ac:dyDescent="0.15">
      <c r="A2497">
        <v>24</v>
      </c>
      <c r="B2497">
        <v>2026</v>
      </c>
      <c r="C2497" s="21">
        <v>46186</v>
      </c>
      <c r="D2497" t="s">
        <v>101</v>
      </c>
      <c r="E2497" t="s">
        <v>102</v>
      </c>
      <c r="F2497" t="s">
        <v>75</v>
      </c>
      <c r="G2497">
        <v>7.6</v>
      </c>
      <c r="H2497" t="s">
        <v>3400</v>
      </c>
      <c r="I2497" t="s">
        <v>353</v>
      </c>
      <c r="J2497" s="1" t="s">
        <v>253</v>
      </c>
      <c r="K2497" t="s">
        <v>181</v>
      </c>
      <c r="L2497" t="s">
        <v>3333</v>
      </c>
      <c r="M2497">
        <v>2</v>
      </c>
      <c r="N2497">
        <v>0.75</v>
      </c>
      <c r="O2497" t="s">
        <v>3440</v>
      </c>
      <c r="P2497">
        <v>67.87</v>
      </c>
      <c r="Q2497">
        <v>6</v>
      </c>
      <c r="R2497" t="s">
        <v>3424</v>
      </c>
      <c r="T2497" t="s">
        <v>3337</v>
      </c>
      <c r="U2497">
        <v>46</v>
      </c>
      <c r="V2497" t="s">
        <v>4257</v>
      </c>
    </row>
    <row r="2498" spans="1:22" ht="12.75" customHeight="1" x14ac:dyDescent="0.15">
      <c r="A2498">
        <v>24</v>
      </c>
      <c r="B2498">
        <v>2026</v>
      </c>
      <c r="C2498" s="21">
        <v>46186</v>
      </c>
      <c r="D2498" t="s">
        <v>101</v>
      </c>
      <c r="E2498" t="s">
        <v>102</v>
      </c>
      <c r="F2498" t="s">
        <v>75</v>
      </c>
      <c r="G2498">
        <v>7.6</v>
      </c>
      <c r="H2498" t="s">
        <v>3400</v>
      </c>
      <c r="I2498" t="s">
        <v>353</v>
      </c>
      <c r="J2498" s="1" t="s">
        <v>253</v>
      </c>
      <c r="K2498" t="s">
        <v>181</v>
      </c>
      <c r="L2498" t="s">
        <v>3340</v>
      </c>
      <c r="M2498">
        <v>25</v>
      </c>
      <c r="N2498">
        <v>1</v>
      </c>
      <c r="O2498" t="s">
        <v>211</v>
      </c>
      <c r="P2498">
        <v>55</v>
      </c>
      <c r="R2498" t="s">
        <v>3413</v>
      </c>
      <c r="T2498" t="s">
        <v>3337</v>
      </c>
      <c r="U2498">
        <v>46</v>
      </c>
      <c r="V2498" t="s">
        <v>4088</v>
      </c>
    </row>
    <row r="2499" spans="1:22" ht="12.75" customHeight="1" x14ac:dyDescent="0.15">
      <c r="A2499">
        <v>24</v>
      </c>
      <c r="B2499">
        <v>2026</v>
      </c>
      <c r="C2499" s="21">
        <v>46186</v>
      </c>
      <c r="D2499" t="s">
        <v>101</v>
      </c>
      <c r="E2499" t="s">
        <v>102</v>
      </c>
      <c r="F2499" t="s">
        <v>75</v>
      </c>
      <c r="G2499">
        <v>7.6</v>
      </c>
      <c r="H2499" t="s">
        <v>3400</v>
      </c>
      <c r="I2499" t="s">
        <v>353</v>
      </c>
      <c r="J2499" s="1" t="s">
        <v>253</v>
      </c>
      <c r="K2499" t="s">
        <v>181</v>
      </c>
      <c r="L2499" t="s">
        <v>3333</v>
      </c>
      <c r="M2499">
        <v>1</v>
      </c>
      <c r="N2499">
        <v>0.63</v>
      </c>
      <c r="O2499" t="s">
        <v>3358</v>
      </c>
      <c r="P2499">
        <v>44.91</v>
      </c>
      <c r="Q2499">
        <v>5</v>
      </c>
      <c r="R2499" t="s">
        <v>3359</v>
      </c>
      <c r="T2499" t="s">
        <v>3337</v>
      </c>
      <c r="U2499">
        <v>46</v>
      </c>
      <c r="V2499" t="s">
        <v>4164</v>
      </c>
    </row>
    <row r="2500" spans="1:22" ht="12.75" customHeight="1" x14ac:dyDescent="0.15">
      <c r="A2500">
        <v>24</v>
      </c>
      <c r="B2500">
        <v>2026</v>
      </c>
      <c r="C2500" s="21">
        <v>46186</v>
      </c>
      <c r="D2500" t="s">
        <v>101</v>
      </c>
      <c r="E2500" t="s">
        <v>102</v>
      </c>
      <c r="F2500" t="s">
        <v>75</v>
      </c>
      <c r="G2500">
        <v>7.6</v>
      </c>
      <c r="H2500" t="s">
        <v>3400</v>
      </c>
      <c r="I2500" t="s">
        <v>353</v>
      </c>
      <c r="J2500" s="1" t="s">
        <v>253</v>
      </c>
      <c r="K2500" t="s">
        <v>181</v>
      </c>
      <c r="L2500" t="s">
        <v>3333</v>
      </c>
      <c r="M2500">
        <v>6</v>
      </c>
      <c r="N2500">
        <v>0.75</v>
      </c>
      <c r="O2500" t="s">
        <v>3334</v>
      </c>
      <c r="P2500">
        <v>61.19</v>
      </c>
      <c r="Q2500">
        <v>6</v>
      </c>
      <c r="R2500" t="s">
        <v>3335</v>
      </c>
      <c r="T2500" t="s">
        <v>3337</v>
      </c>
      <c r="U2500">
        <v>46</v>
      </c>
      <c r="V2500" t="s">
        <v>3354</v>
      </c>
    </row>
    <row r="2501" spans="1:22" ht="12.75" customHeight="1" x14ac:dyDescent="0.15">
      <c r="A2501">
        <v>24</v>
      </c>
      <c r="B2501">
        <v>2026</v>
      </c>
      <c r="C2501" s="21">
        <v>46186</v>
      </c>
      <c r="D2501" t="s">
        <v>143</v>
      </c>
      <c r="E2501" t="s">
        <v>144</v>
      </c>
      <c r="F2501" t="s">
        <v>21</v>
      </c>
      <c r="G2501">
        <v>1.8</v>
      </c>
      <c r="H2501" t="s">
        <v>4250</v>
      </c>
      <c r="I2501" t="s">
        <v>4122</v>
      </c>
      <c r="J2501" s="1" t="s">
        <v>307</v>
      </c>
      <c r="K2501" t="s">
        <v>181</v>
      </c>
      <c r="L2501" t="s">
        <v>3333</v>
      </c>
      <c r="M2501">
        <v>2</v>
      </c>
      <c r="N2501">
        <v>0.25</v>
      </c>
      <c r="O2501" t="s">
        <v>3440</v>
      </c>
      <c r="P2501">
        <v>22.62</v>
      </c>
      <c r="Q2501">
        <v>2</v>
      </c>
      <c r="R2501" t="s">
        <v>3424</v>
      </c>
      <c r="T2501" t="s">
        <v>3337</v>
      </c>
      <c r="V2501" t="s">
        <v>4258</v>
      </c>
    </row>
    <row r="2502" spans="1:22" ht="12.75" customHeight="1" x14ac:dyDescent="0.15">
      <c r="A2502">
        <v>24</v>
      </c>
      <c r="B2502">
        <v>2026</v>
      </c>
      <c r="C2502" s="21">
        <v>46186</v>
      </c>
      <c r="D2502" t="s">
        <v>143</v>
      </c>
      <c r="E2502" t="s">
        <v>144</v>
      </c>
      <c r="F2502" t="s">
        <v>21</v>
      </c>
      <c r="G2502">
        <v>1.8</v>
      </c>
      <c r="H2502" t="s">
        <v>4250</v>
      </c>
      <c r="I2502" t="s">
        <v>4122</v>
      </c>
      <c r="J2502" s="1" t="s">
        <v>307</v>
      </c>
      <c r="K2502" t="s">
        <v>181</v>
      </c>
      <c r="L2502" t="s">
        <v>3333</v>
      </c>
      <c r="M2502">
        <v>6</v>
      </c>
      <c r="N2502">
        <v>0.25</v>
      </c>
      <c r="O2502" t="s">
        <v>3334</v>
      </c>
      <c r="P2502">
        <v>20.399999999999999</v>
      </c>
      <c r="Q2502">
        <v>2</v>
      </c>
      <c r="R2502" t="s">
        <v>3335</v>
      </c>
      <c r="T2502" t="s">
        <v>3337</v>
      </c>
      <c r="V2502" t="s">
        <v>3815</v>
      </c>
    </row>
    <row r="2503" spans="1:22" ht="12.75" customHeight="1" x14ac:dyDescent="0.15">
      <c r="A2503">
        <v>24</v>
      </c>
      <c r="B2503">
        <v>2026</v>
      </c>
      <c r="C2503" s="21">
        <v>46186</v>
      </c>
      <c r="D2503" t="s">
        <v>141</v>
      </c>
      <c r="E2503" t="s">
        <v>142</v>
      </c>
      <c r="F2503" t="s">
        <v>75</v>
      </c>
      <c r="G2503">
        <v>1</v>
      </c>
      <c r="H2503" t="s">
        <v>3672</v>
      </c>
      <c r="I2503" t="s">
        <v>3673</v>
      </c>
      <c r="J2503" s="1" t="s">
        <v>26</v>
      </c>
      <c r="K2503" t="s">
        <v>181</v>
      </c>
      <c r="L2503" t="s">
        <v>3333</v>
      </c>
      <c r="M2503">
        <v>80</v>
      </c>
      <c r="N2503">
        <v>0.25</v>
      </c>
      <c r="O2503" t="s">
        <v>213</v>
      </c>
      <c r="P2503">
        <v>22.5</v>
      </c>
      <c r="Q2503">
        <v>2</v>
      </c>
      <c r="R2503" t="s">
        <v>3560</v>
      </c>
      <c r="T2503" t="s">
        <v>3402</v>
      </c>
      <c r="U2503">
        <v>-10</v>
      </c>
      <c r="V2503" t="s">
        <v>3523</v>
      </c>
    </row>
    <row r="2504" spans="1:22" ht="12.75" customHeight="1" x14ac:dyDescent="0.15">
      <c r="A2504">
        <v>24</v>
      </c>
      <c r="B2504">
        <v>2026</v>
      </c>
      <c r="C2504" s="21">
        <v>46186</v>
      </c>
      <c r="D2504" t="s">
        <v>141</v>
      </c>
      <c r="E2504" t="s">
        <v>142</v>
      </c>
      <c r="F2504" t="s">
        <v>75</v>
      </c>
      <c r="G2504">
        <v>1</v>
      </c>
      <c r="H2504" t="s">
        <v>3947</v>
      </c>
      <c r="I2504" t="s">
        <v>3673</v>
      </c>
      <c r="J2504" s="1" t="s">
        <v>26</v>
      </c>
      <c r="K2504" t="s">
        <v>2666</v>
      </c>
      <c r="L2504" t="s">
        <v>3587</v>
      </c>
      <c r="P2504">
        <v>16.399999999999999</v>
      </c>
      <c r="T2504" t="s">
        <v>3402</v>
      </c>
      <c r="U2504">
        <v>-10</v>
      </c>
      <c r="V2504" t="s">
        <v>3854</v>
      </c>
    </row>
    <row r="2505" spans="1:22" ht="12.75" customHeight="1" x14ac:dyDescent="0.15">
      <c r="A2505">
        <v>24</v>
      </c>
      <c r="B2505">
        <v>2026</v>
      </c>
      <c r="C2505" s="21">
        <v>46186</v>
      </c>
      <c r="D2505" t="s">
        <v>139</v>
      </c>
      <c r="E2505" t="s">
        <v>140</v>
      </c>
      <c r="F2505" t="s">
        <v>75</v>
      </c>
      <c r="G2505">
        <v>0.8</v>
      </c>
      <c r="H2505" t="s">
        <v>3653</v>
      </c>
      <c r="I2505" t="s">
        <v>3566</v>
      </c>
      <c r="J2505" s="1" t="s">
        <v>3389</v>
      </c>
      <c r="K2505" t="s">
        <v>181</v>
      </c>
      <c r="L2505" t="s">
        <v>3333</v>
      </c>
      <c r="M2505">
        <v>86</v>
      </c>
      <c r="N2505">
        <v>0.5</v>
      </c>
      <c r="O2505" t="s">
        <v>3334</v>
      </c>
      <c r="P2505">
        <v>40.79</v>
      </c>
      <c r="Q2505">
        <v>4</v>
      </c>
      <c r="R2505" t="s">
        <v>3386</v>
      </c>
      <c r="T2505" t="s">
        <v>3402</v>
      </c>
      <c r="U2505">
        <v>18</v>
      </c>
      <c r="V2505" t="s">
        <v>3574</v>
      </c>
    </row>
    <row r="2506" spans="1:22" ht="12.75" customHeight="1" x14ac:dyDescent="0.15">
      <c r="A2506">
        <v>24</v>
      </c>
      <c r="B2506">
        <v>2026</v>
      </c>
      <c r="C2506" s="21">
        <v>46186</v>
      </c>
      <c r="D2506" t="s">
        <v>139</v>
      </c>
      <c r="E2506" t="s">
        <v>140</v>
      </c>
      <c r="F2506" t="s">
        <v>75</v>
      </c>
      <c r="G2506">
        <v>0.8</v>
      </c>
      <c r="H2506" t="s">
        <v>3878</v>
      </c>
      <c r="I2506" t="s">
        <v>3566</v>
      </c>
      <c r="J2506" s="1" t="s">
        <v>3389</v>
      </c>
      <c r="K2506" t="s">
        <v>2666</v>
      </c>
      <c r="L2506" t="s">
        <v>3587</v>
      </c>
      <c r="P2506">
        <v>32.799999999999997</v>
      </c>
      <c r="T2506" t="s">
        <v>3402</v>
      </c>
      <c r="U2506">
        <v>18</v>
      </c>
      <c r="V2506" t="s">
        <v>4221</v>
      </c>
    </row>
    <row r="2507" spans="1:22" ht="12.75" customHeight="1" x14ac:dyDescent="0.15">
      <c r="A2507">
        <v>24</v>
      </c>
      <c r="B2507">
        <v>2026</v>
      </c>
      <c r="C2507" s="21">
        <v>46186</v>
      </c>
      <c r="D2507" t="s">
        <v>101</v>
      </c>
      <c r="E2507" t="s">
        <v>102</v>
      </c>
      <c r="F2507" t="s">
        <v>75</v>
      </c>
      <c r="G2507">
        <v>7.6</v>
      </c>
      <c r="H2507" t="s">
        <v>3391</v>
      </c>
      <c r="I2507" t="s">
        <v>353</v>
      </c>
      <c r="J2507" s="1" t="s">
        <v>253</v>
      </c>
      <c r="K2507" t="s">
        <v>181</v>
      </c>
      <c r="L2507" t="s">
        <v>3333</v>
      </c>
      <c r="M2507">
        <v>67</v>
      </c>
      <c r="N2507">
        <v>0.75</v>
      </c>
      <c r="O2507" t="s">
        <v>3334</v>
      </c>
      <c r="P2507">
        <v>61.19</v>
      </c>
      <c r="Q2507">
        <v>6</v>
      </c>
      <c r="R2507" t="s">
        <v>3404</v>
      </c>
      <c r="T2507" t="s">
        <v>3402</v>
      </c>
      <c r="U2507">
        <v>46</v>
      </c>
      <c r="V2507" t="s">
        <v>3354</v>
      </c>
    </row>
    <row r="2508" spans="1:22" ht="12.75" customHeight="1" x14ac:dyDescent="0.15">
      <c r="A2508">
        <v>24</v>
      </c>
      <c r="B2508">
        <v>2026</v>
      </c>
      <c r="C2508" s="21">
        <v>46186</v>
      </c>
      <c r="D2508" t="s">
        <v>101</v>
      </c>
      <c r="E2508" t="s">
        <v>102</v>
      </c>
      <c r="F2508" t="s">
        <v>75</v>
      </c>
      <c r="G2508">
        <v>7.6</v>
      </c>
      <c r="H2508" t="s">
        <v>3391</v>
      </c>
      <c r="I2508" t="s">
        <v>353</v>
      </c>
      <c r="J2508" s="1" t="s">
        <v>253</v>
      </c>
      <c r="K2508" t="s">
        <v>181</v>
      </c>
      <c r="L2508" t="s">
        <v>3333</v>
      </c>
      <c r="M2508">
        <v>19</v>
      </c>
      <c r="N2508">
        <v>0.75</v>
      </c>
      <c r="O2508" t="s">
        <v>3334</v>
      </c>
      <c r="P2508">
        <v>61.19</v>
      </c>
      <c r="Q2508">
        <v>6</v>
      </c>
      <c r="R2508" t="s">
        <v>3403</v>
      </c>
      <c r="T2508" t="s">
        <v>3402</v>
      </c>
      <c r="U2508">
        <v>46</v>
      </c>
      <c r="V2508" t="s">
        <v>3354</v>
      </c>
    </row>
    <row r="2509" spans="1:22" ht="12.75" customHeight="1" x14ac:dyDescent="0.15">
      <c r="A2509">
        <v>24</v>
      </c>
      <c r="B2509">
        <v>2026</v>
      </c>
      <c r="C2509" s="21">
        <v>46186</v>
      </c>
      <c r="D2509" t="s">
        <v>101</v>
      </c>
      <c r="E2509" t="s">
        <v>102</v>
      </c>
      <c r="F2509" t="s">
        <v>75</v>
      </c>
      <c r="G2509">
        <v>7.6</v>
      </c>
      <c r="H2509" t="s">
        <v>3391</v>
      </c>
      <c r="I2509" t="s">
        <v>353</v>
      </c>
      <c r="J2509" s="1" t="s">
        <v>253</v>
      </c>
      <c r="K2509" t="s">
        <v>181</v>
      </c>
      <c r="L2509" t="s">
        <v>3333</v>
      </c>
      <c r="M2509">
        <v>4</v>
      </c>
      <c r="N2509">
        <v>0.75</v>
      </c>
      <c r="O2509" t="s">
        <v>3334</v>
      </c>
      <c r="P2509">
        <v>61.19</v>
      </c>
      <c r="Q2509">
        <v>6</v>
      </c>
      <c r="R2509" t="s">
        <v>3773</v>
      </c>
      <c r="T2509" t="s">
        <v>3402</v>
      </c>
      <c r="U2509">
        <v>46</v>
      </c>
      <c r="V2509" t="s">
        <v>3354</v>
      </c>
    </row>
    <row r="2510" spans="1:22" ht="12.75" customHeight="1" x14ac:dyDescent="0.15">
      <c r="A2510">
        <v>24</v>
      </c>
      <c r="B2510">
        <v>2026</v>
      </c>
      <c r="C2510" s="21">
        <v>46186</v>
      </c>
      <c r="D2510" t="s">
        <v>141</v>
      </c>
      <c r="E2510" t="s">
        <v>142</v>
      </c>
      <c r="F2510" t="s">
        <v>75</v>
      </c>
      <c r="G2510">
        <v>1</v>
      </c>
      <c r="H2510" t="s">
        <v>4241</v>
      </c>
      <c r="I2510" t="s">
        <v>4242</v>
      </c>
      <c r="J2510" s="1" t="s">
        <v>3668</v>
      </c>
      <c r="K2510" t="s">
        <v>181</v>
      </c>
      <c r="L2510" t="s">
        <v>3340</v>
      </c>
      <c r="M2510">
        <v>78</v>
      </c>
      <c r="N2510">
        <v>1.31</v>
      </c>
      <c r="O2510" t="s">
        <v>211</v>
      </c>
      <c r="P2510">
        <v>72</v>
      </c>
      <c r="Q2510">
        <v>8</v>
      </c>
      <c r="R2510" t="s">
        <v>3341</v>
      </c>
      <c r="T2510" t="s">
        <v>3402</v>
      </c>
      <c r="U2510">
        <v>-10</v>
      </c>
      <c r="V2510" t="s">
        <v>193</v>
      </c>
    </row>
    <row r="2511" spans="1:22" ht="12.75" customHeight="1" x14ac:dyDescent="0.15">
      <c r="A2511">
        <v>24</v>
      </c>
      <c r="B2511">
        <v>2026</v>
      </c>
      <c r="C2511" s="21">
        <v>46186</v>
      </c>
      <c r="D2511" t="s">
        <v>141</v>
      </c>
      <c r="E2511" t="s">
        <v>142</v>
      </c>
      <c r="F2511" t="s">
        <v>75</v>
      </c>
      <c r="G2511">
        <v>1</v>
      </c>
      <c r="H2511" t="s">
        <v>4241</v>
      </c>
      <c r="I2511" t="s">
        <v>4242</v>
      </c>
      <c r="J2511" s="1" t="s">
        <v>3668</v>
      </c>
      <c r="K2511" t="s">
        <v>181</v>
      </c>
      <c r="L2511" t="s">
        <v>3333</v>
      </c>
      <c r="M2511">
        <v>86</v>
      </c>
      <c r="N2511">
        <v>0.5</v>
      </c>
      <c r="O2511" t="s">
        <v>3334</v>
      </c>
      <c r="P2511">
        <v>40.79</v>
      </c>
      <c r="Q2511">
        <v>4</v>
      </c>
      <c r="R2511" t="s">
        <v>3386</v>
      </c>
      <c r="T2511" t="s">
        <v>3402</v>
      </c>
      <c r="U2511">
        <v>-10</v>
      </c>
      <c r="V2511" t="s">
        <v>3456</v>
      </c>
    </row>
    <row r="2512" spans="1:22" ht="12.75" customHeight="1" x14ac:dyDescent="0.15">
      <c r="A2512">
        <v>24</v>
      </c>
      <c r="B2512">
        <v>2026</v>
      </c>
      <c r="C2512" s="21">
        <v>46186</v>
      </c>
      <c r="D2512" t="s">
        <v>141</v>
      </c>
      <c r="E2512" t="s">
        <v>142</v>
      </c>
      <c r="F2512" t="s">
        <v>75</v>
      </c>
      <c r="G2512">
        <v>1</v>
      </c>
      <c r="H2512" t="s">
        <v>3672</v>
      </c>
      <c r="I2512" t="s">
        <v>3673</v>
      </c>
      <c r="J2512" s="1" t="s">
        <v>26</v>
      </c>
      <c r="K2512" t="s">
        <v>181</v>
      </c>
      <c r="L2512" t="s">
        <v>3333</v>
      </c>
      <c r="M2512">
        <v>11</v>
      </c>
      <c r="N2512">
        <v>0.13</v>
      </c>
      <c r="O2512" t="s">
        <v>213</v>
      </c>
      <c r="P2512">
        <v>11.25</v>
      </c>
      <c r="Q2512">
        <v>1</v>
      </c>
      <c r="R2512" t="s">
        <v>3564</v>
      </c>
      <c r="T2512" t="s">
        <v>3402</v>
      </c>
      <c r="U2512">
        <v>-10</v>
      </c>
      <c r="V2512" t="s">
        <v>3561</v>
      </c>
    </row>
    <row r="2513" spans="1:22" ht="12.75" customHeight="1" x14ac:dyDescent="0.15">
      <c r="A2513">
        <v>24</v>
      </c>
      <c r="B2513">
        <v>2026</v>
      </c>
      <c r="C2513" s="21">
        <v>46186</v>
      </c>
      <c r="D2513" t="s">
        <v>141</v>
      </c>
      <c r="E2513" t="s">
        <v>142</v>
      </c>
      <c r="F2513" t="s">
        <v>75</v>
      </c>
      <c r="G2513">
        <v>1</v>
      </c>
      <c r="H2513" t="s">
        <v>3947</v>
      </c>
      <c r="I2513" t="s">
        <v>3673</v>
      </c>
      <c r="J2513" s="1" t="s">
        <v>26</v>
      </c>
      <c r="K2513" t="s">
        <v>2666</v>
      </c>
      <c r="L2513" t="s">
        <v>3587</v>
      </c>
      <c r="P2513">
        <v>8.1999999999999993</v>
      </c>
      <c r="T2513" t="s">
        <v>3402</v>
      </c>
      <c r="U2513">
        <v>-10</v>
      </c>
      <c r="V2513" t="s">
        <v>4259</v>
      </c>
    </row>
    <row r="2514" spans="1:22" ht="12.75" customHeight="1" x14ac:dyDescent="0.15">
      <c r="A2514">
        <v>24</v>
      </c>
      <c r="B2514">
        <v>2026</v>
      </c>
      <c r="C2514" s="21">
        <v>46186</v>
      </c>
      <c r="D2514" t="s">
        <v>143</v>
      </c>
      <c r="E2514" t="s">
        <v>144</v>
      </c>
      <c r="F2514" t="s">
        <v>21</v>
      </c>
      <c r="G2514">
        <v>1.8</v>
      </c>
      <c r="H2514" t="s">
        <v>4250</v>
      </c>
      <c r="I2514" t="s">
        <v>4122</v>
      </c>
      <c r="J2514" s="1" t="s">
        <v>307</v>
      </c>
      <c r="K2514" t="s">
        <v>181</v>
      </c>
      <c r="L2514" t="s">
        <v>3333</v>
      </c>
      <c r="M2514">
        <v>67</v>
      </c>
      <c r="N2514">
        <v>0.25</v>
      </c>
      <c r="O2514" t="s">
        <v>3334</v>
      </c>
      <c r="P2514">
        <v>20.399999999999999</v>
      </c>
      <c r="Q2514">
        <v>2</v>
      </c>
      <c r="R2514" t="s">
        <v>3404</v>
      </c>
      <c r="T2514" t="s">
        <v>3402</v>
      </c>
      <c r="V2514" t="s">
        <v>3815</v>
      </c>
    </row>
    <row r="2515" spans="1:22" ht="12.75" customHeight="1" x14ac:dyDescent="0.15">
      <c r="A2515">
        <v>24</v>
      </c>
      <c r="B2515">
        <v>2026</v>
      </c>
      <c r="C2515" s="21">
        <v>46186</v>
      </c>
      <c r="D2515" t="s">
        <v>143</v>
      </c>
      <c r="E2515" t="s">
        <v>144</v>
      </c>
      <c r="F2515" t="s">
        <v>21</v>
      </c>
      <c r="G2515">
        <v>1.8</v>
      </c>
      <c r="H2515" t="s">
        <v>4250</v>
      </c>
      <c r="I2515" t="s">
        <v>4122</v>
      </c>
      <c r="J2515" s="1" t="s">
        <v>307</v>
      </c>
      <c r="K2515" t="s">
        <v>181</v>
      </c>
      <c r="L2515" t="s">
        <v>3333</v>
      </c>
      <c r="M2515">
        <v>19</v>
      </c>
      <c r="N2515">
        <v>0.25</v>
      </c>
      <c r="O2515" t="s">
        <v>3334</v>
      </c>
      <c r="P2515">
        <v>20.399999999999999</v>
      </c>
      <c r="Q2515">
        <v>2</v>
      </c>
      <c r="R2515" t="s">
        <v>3403</v>
      </c>
      <c r="T2515" t="s">
        <v>3402</v>
      </c>
      <c r="V2515" t="s">
        <v>3815</v>
      </c>
    </row>
    <row r="2516" spans="1:22" ht="12.75" customHeight="1" x14ac:dyDescent="0.15">
      <c r="A2516">
        <v>24</v>
      </c>
      <c r="B2516">
        <v>2026</v>
      </c>
      <c r="C2516" s="21">
        <v>46186</v>
      </c>
      <c r="D2516" t="s">
        <v>143</v>
      </c>
      <c r="E2516" t="s">
        <v>144</v>
      </c>
      <c r="F2516" t="s">
        <v>21</v>
      </c>
      <c r="G2516">
        <v>1.8</v>
      </c>
      <c r="H2516" t="s">
        <v>4250</v>
      </c>
      <c r="I2516" t="s">
        <v>4122</v>
      </c>
      <c r="J2516" s="1" t="s">
        <v>307</v>
      </c>
      <c r="K2516" t="s">
        <v>181</v>
      </c>
      <c r="L2516" t="s">
        <v>3333</v>
      </c>
      <c r="M2516">
        <v>4</v>
      </c>
      <c r="N2516">
        <v>0.25</v>
      </c>
      <c r="O2516" t="s">
        <v>3334</v>
      </c>
      <c r="P2516">
        <v>20.399999999999999</v>
      </c>
      <c r="Q2516">
        <v>2</v>
      </c>
      <c r="R2516" t="s">
        <v>3773</v>
      </c>
      <c r="T2516" t="s">
        <v>3402</v>
      </c>
      <c r="V2516" t="s">
        <v>3815</v>
      </c>
    </row>
    <row r="2517" spans="1:22" ht="12.75" customHeight="1" x14ac:dyDescent="0.15">
      <c r="A2517">
        <v>24</v>
      </c>
      <c r="B2517">
        <v>2026</v>
      </c>
      <c r="C2517" s="21">
        <v>46188</v>
      </c>
      <c r="D2517" t="s">
        <v>101</v>
      </c>
      <c r="E2517" t="s">
        <v>102</v>
      </c>
      <c r="F2517" t="s">
        <v>75</v>
      </c>
      <c r="G2517">
        <v>7.6</v>
      </c>
      <c r="H2517" t="s">
        <v>3400</v>
      </c>
      <c r="I2517" t="s">
        <v>353</v>
      </c>
      <c r="J2517" s="1" t="s">
        <v>253</v>
      </c>
      <c r="K2517" t="s">
        <v>181</v>
      </c>
      <c r="L2517" t="s">
        <v>3340</v>
      </c>
      <c r="M2517">
        <v>62</v>
      </c>
      <c r="N2517">
        <v>0.98</v>
      </c>
      <c r="O2517" t="s">
        <v>211</v>
      </c>
      <c r="P2517">
        <v>54</v>
      </c>
      <c r="Q2517">
        <v>6</v>
      </c>
      <c r="R2517" t="s">
        <v>3375</v>
      </c>
      <c r="T2517" t="s">
        <v>3337</v>
      </c>
      <c r="U2517">
        <v>48</v>
      </c>
      <c r="V2517" t="s">
        <v>3405</v>
      </c>
    </row>
    <row r="2518" spans="1:22" ht="12.75" customHeight="1" x14ac:dyDescent="0.15">
      <c r="A2518">
        <v>24</v>
      </c>
      <c r="B2518">
        <v>2026</v>
      </c>
      <c r="C2518" s="21">
        <v>46188</v>
      </c>
      <c r="D2518" t="s">
        <v>101</v>
      </c>
      <c r="E2518" t="s">
        <v>102</v>
      </c>
      <c r="F2518" t="s">
        <v>75</v>
      </c>
      <c r="G2518">
        <v>7.6</v>
      </c>
      <c r="H2518" t="s">
        <v>3400</v>
      </c>
      <c r="I2518" t="s">
        <v>353</v>
      </c>
      <c r="J2518" s="1" t="s">
        <v>253</v>
      </c>
      <c r="K2518" t="s">
        <v>181</v>
      </c>
      <c r="L2518" t="s">
        <v>3340</v>
      </c>
      <c r="M2518">
        <v>53</v>
      </c>
      <c r="N2518">
        <v>0.98</v>
      </c>
      <c r="O2518" t="s">
        <v>211</v>
      </c>
      <c r="P2518">
        <v>54</v>
      </c>
      <c r="Q2518">
        <v>6</v>
      </c>
      <c r="R2518" t="s">
        <v>3373</v>
      </c>
      <c r="T2518" t="s">
        <v>3337</v>
      </c>
      <c r="U2518">
        <v>48</v>
      </c>
      <c r="V2518" t="s">
        <v>3405</v>
      </c>
    </row>
    <row r="2519" spans="1:22" ht="12.75" customHeight="1" x14ac:dyDescent="0.15">
      <c r="A2519">
        <v>24</v>
      </c>
      <c r="B2519">
        <v>2026</v>
      </c>
      <c r="C2519" s="21">
        <v>46188</v>
      </c>
      <c r="D2519" t="s">
        <v>101</v>
      </c>
      <c r="E2519" t="s">
        <v>102</v>
      </c>
      <c r="F2519" t="s">
        <v>75</v>
      </c>
      <c r="G2519">
        <v>7.6</v>
      </c>
      <c r="H2519" t="s">
        <v>3400</v>
      </c>
      <c r="I2519" t="s">
        <v>353</v>
      </c>
      <c r="J2519" s="1" t="s">
        <v>253</v>
      </c>
      <c r="K2519" t="s">
        <v>181</v>
      </c>
      <c r="L2519" t="s">
        <v>3340</v>
      </c>
      <c r="M2519">
        <v>58</v>
      </c>
      <c r="N2519">
        <v>0.98</v>
      </c>
      <c r="O2519" t="s">
        <v>211</v>
      </c>
      <c r="P2519">
        <v>54</v>
      </c>
      <c r="Q2519">
        <v>6</v>
      </c>
      <c r="R2519" t="s">
        <v>3343</v>
      </c>
      <c r="T2519" t="s">
        <v>3337</v>
      </c>
      <c r="U2519">
        <v>48</v>
      </c>
      <c r="V2519" t="s">
        <v>3405</v>
      </c>
    </row>
    <row r="2520" spans="1:22" ht="12.75" customHeight="1" x14ac:dyDescent="0.15">
      <c r="A2520">
        <v>24</v>
      </c>
      <c r="B2520">
        <v>2026</v>
      </c>
      <c r="C2520" s="21">
        <v>46188</v>
      </c>
      <c r="D2520" t="s">
        <v>101</v>
      </c>
      <c r="E2520" t="s">
        <v>102</v>
      </c>
      <c r="F2520" t="s">
        <v>75</v>
      </c>
      <c r="G2520">
        <v>7.6</v>
      </c>
      <c r="H2520" t="s">
        <v>3400</v>
      </c>
      <c r="I2520" t="s">
        <v>353</v>
      </c>
      <c r="J2520" s="1" t="s">
        <v>253</v>
      </c>
      <c r="K2520" t="s">
        <v>181</v>
      </c>
      <c r="L2520" t="s">
        <v>3340</v>
      </c>
      <c r="M2520">
        <v>45</v>
      </c>
      <c r="N2520">
        <v>0.98</v>
      </c>
      <c r="O2520" t="s">
        <v>211</v>
      </c>
      <c r="P2520">
        <v>54</v>
      </c>
      <c r="Q2520">
        <v>6</v>
      </c>
      <c r="R2520" t="s">
        <v>3377</v>
      </c>
      <c r="T2520" t="s">
        <v>3337</v>
      </c>
      <c r="U2520">
        <v>48</v>
      </c>
      <c r="V2520" t="s">
        <v>3405</v>
      </c>
    </row>
    <row r="2521" spans="1:22" ht="12.75" customHeight="1" x14ac:dyDescent="0.15">
      <c r="A2521">
        <v>24</v>
      </c>
      <c r="B2521">
        <v>2026</v>
      </c>
      <c r="C2521" s="21">
        <v>46188</v>
      </c>
      <c r="D2521" t="s">
        <v>101</v>
      </c>
      <c r="E2521" t="s">
        <v>102</v>
      </c>
      <c r="F2521" t="s">
        <v>75</v>
      </c>
      <c r="G2521">
        <v>7.6</v>
      </c>
      <c r="H2521" t="s">
        <v>3400</v>
      </c>
      <c r="I2521" t="s">
        <v>353</v>
      </c>
      <c r="J2521" s="1" t="s">
        <v>253</v>
      </c>
      <c r="K2521" t="s">
        <v>181</v>
      </c>
      <c r="L2521" t="s">
        <v>3340</v>
      </c>
      <c r="M2521">
        <v>81</v>
      </c>
      <c r="N2521">
        <v>0.98</v>
      </c>
      <c r="O2521" t="s">
        <v>211</v>
      </c>
      <c r="P2521">
        <v>54</v>
      </c>
      <c r="Q2521">
        <v>6</v>
      </c>
      <c r="R2521" t="s">
        <v>3374</v>
      </c>
      <c r="T2521" t="s">
        <v>3337</v>
      </c>
      <c r="U2521">
        <v>48</v>
      </c>
      <c r="V2521" t="s">
        <v>3405</v>
      </c>
    </row>
    <row r="2522" spans="1:22" ht="12.75" customHeight="1" x14ac:dyDescent="0.15">
      <c r="A2522">
        <v>24</v>
      </c>
      <c r="B2522">
        <v>2026</v>
      </c>
      <c r="C2522" s="21">
        <v>46188</v>
      </c>
      <c r="D2522" t="s">
        <v>84</v>
      </c>
      <c r="E2522" t="s">
        <v>85</v>
      </c>
      <c r="F2522" t="s">
        <v>21</v>
      </c>
      <c r="G2522">
        <v>2</v>
      </c>
      <c r="H2522" t="s">
        <v>3514</v>
      </c>
      <c r="I2522" t="s">
        <v>366</v>
      </c>
      <c r="J2522" s="1" t="s">
        <v>215</v>
      </c>
      <c r="K2522" t="s">
        <v>181</v>
      </c>
      <c r="L2522" t="s">
        <v>3340</v>
      </c>
      <c r="M2522">
        <v>62</v>
      </c>
      <c r="N2522">
        <v>0.64</v>
      </c>
      <c r="O2522" t="s">
        <v>211</v>
      </c>
      <c r="P2522">
        <v>35</v>
      </c>
      <c r="R2522" t="s">
        <v>3375</v>
      </c>
      <c r="S2522" t="s">
        <v>3579</v>
      </c>
      <c r="T2522" t="s">
        <v>3337</v>
      </c>
      <c r="U2522">
        <v>56</v>
      </c>
      <c r="V2522" t="s">
        <v>4126</v>
      </c>
    </row>
    <row r="2523" spans="1:22" ht="12.75" customHeight="1" x14ac:dyDescent="0.15">
      <c r="A2523">
        <v>24</v>
      </c>
      <c r="B2523">
        <v>2026</v>
      </c>
      <c r="C2523" s="21">
        <v>46188</v>
      </c>
      <c r="D2523" t="s">
        <v>84</v>
      </c>
      <c r="E2523" t="s">
        <v>85</v>
      </c>
      <c r="F2523" t="s">
        <v>21</v>
      </c>
      <c r="G2523">
        <v>2</v>
      </c>
      <c r="H2523" t="s">
        <v>3514</v>
      </c>
      <c r="I2523" t="s">
        <v>366</v>
      </c>
      <c r="J2523" s="1" t="s">
        <v>215</v>
      </c>
      <c r="K2523" t="s">
        <v>181</v>
      </c>
      <c r="L2523" t="s">
        <v>3340</v>
      </c>
      <c r="M2523">
        <v>53</v>
      </c>
      <c r="N2523">
        <v>0.64</v>
      </c>
      <c r="O2523" t="s">
        <v>211</v>
      </c>
      <c r="P2523">
        <v>35</v>
      </c>
      <c r="R2523" t="s">
        <v>3373</v>
      </c>
      <c r="T2523" t="s">
        <v>3337</v>
      </c>
      <c r="U2523">
        <v>56</v>
      </c>
      <c r="V2523" t="s">
        <v>4126</v>
      </c>
    </row>
    <row r="2524" spans="1:22" ht="12.75" customHeight="1" x14ac:dyDescent="0.15">
      <c r="A2524">
        <v>24</v>
      </c>
      <c r="B2524">
        <v>2026</v>
      </c>
      <c r="C2524" s="21">
        <v>46188</v>
      </c>
      <c r="D2524" t="s">
        <v>84</v>
      </c>
      <c r="E2524" t="s">
        <v>85</v>
      </c>
      <c r="F2524" t="s">
        <v>21</v>
      </c>
      <c r="G2524">
        <v>2</v>
      </c>
      <c r="H2524" t="s">
        <v>3514</v>
      </c>
      <c r="I2524" t="s">
        <v>366</v>
      </c>
      <c r="J2524" s="1" t="s">
        <v>215</v>
      </c>
      <c r="K2524" t="s">
        <v>181</v>
      </c>
      <c r="L2524" t="s">
        <v>3340</v>
      </c>
      <c r="M2524">
        <v>58</v>
      </c>
      <c r="N2524">
        <v>0.64</v>
      </c>
      <c r="O2524" t="s">
        <v>211</v>
      </c>
      <c r="P2524">
        <v>35</v>
      </c>
      <c r="R2524" t="s">
        <v>3343</v>
      </c>
      <c r="T2524" t="s">
        <v>3337</v>
      </c>
      <c r="U2524">
        <v>56</v>
      </c>
      <c r="V2524" t="s">
        <v>4126</v>
      </c>
    </row>
    <row r="2525" spans="1:22" ht="12.75" customHeight="1" x14ac:dyDescent="0.15">
      <c r="A2525">
        <v>24</v>
      </c>
      <c r="B2525">
        <v>2026</v>
      </c>
      <c r="C2525" s="21">
        <v>46188</v>
      </c>
      <c r="D2525" t="s">
        <v>84</v>
      </c>
      <c r="E2525" t="s">
        <v>85</v>
      </c>
      <c r="F2525" t="s">
        <v>21</v>
      </c>
      <c r="G2525">
        <v>2</v>
      </c>
      <c r="H2525" t="s">
        <v>3514</v>
      </c>
      <c r="I2525" t="s">
        <v>366</v>
      </c>
      <c r="J2525" s="1" t="s">
        <v>215</v>
      </c>
      <c r="K2525" t="s">
        <v>181</v>
      </c>
      <c r="L2525" t="s">
        <v>3340</v>
      </c>
      <c r="M2525">
        <v>45</v>
      </c>
      <c r="N2525">
        <v>0.64</v>
      </c>
      <c r="O2525" t="s">
        <v>211</v>
      </c>
      <c r="P2525">
        <v>35</v>
      </c>
      <c r="R2525" t="s">
        <v>3377</v>
      </c>
      <c r="T2525" t="s">
        <v>3337</v>
      </c>
      <c r="U2525">
        <v>56</v>
      </c>
      <c r="V2525" t="s">
        <v>4126</v>
      </c>
    </row>
    <row r="2526" spans="1:22" ht="12.75" customHeight="1" x14ac:dyDescent="0.15">
      <c r="A2526">
        <v>24</v>
      </c>
      <c r="B2526">
        <v>2026</v>
      </c>
      <c r="C2526" s="21">
        <v>46188</v>
      </c>
      <c r="D2526" t="s">
        <v>84</v>
      </c>
      <c r="E2526" t="s">
        <v>85</v>
      </c>
      <c r="F2526" t="s">
        <v>21</v>
      </c>
      <c r="G2526">
        <v>2</v>
      </c>
      <c r="H2526" t="s">
        <v>3514</v>
      </c>
      <c r="I2526" t="s">
        <v>366</v>
      </c>
      <c r="J2526" s="1" t="s">
        <v>215</v>
      </c>
      <c r="K2526" t="s">
        <v>181</v>
      </c>
      <c r="L2526" t="s">
        <v>3340</v>
      </c>
      <c r="M2526">
        <v>81</v>
      </c>
      <c r="N2526">
        <v>0.64</v>
      </c>
      <c r="O2526" t="s">
        <v>211</v>
      </c>
      <c r="P2526">
        <v>35</v>
      </c>
      <c r="R2526" t="s">
        <v>3374</v>
      </c>
      <c r="T2526" t="s">
        <v>3337</v>
      </c>
      <c r="U2526">
        <v>56</v>
      </c>
      <c r="V2526" t="s">
        <v>4126</v>
      </c>
    </row>
    <row r="2527" spans="1:22" ht="12.75" customHeight="1" x14ac:dyDescent="0.15">
      <c r="A2527">
        <v>24</v>
      </c>
      <c r="B2527">
        <v>2026</v>
      </c>
      <c r="C2527" s="21">
        <v>46188</v>
      </c>
      <c r="D2527" t="s">
        <v>101</v>
      </c>
      <c r="E2527" t="s">
        <v>102</v>
      </c>
      <c r="F2527" t="s">
        <v>75</v>
      </c>
      <c r="G2527">
        <v>7.6</v>
      </c>
      <c r="H2527" t="s">
        <v>3400</v>
      </c>
      <c r="I2527" t="s">
        <v>353</v>
      </c>
      <c r="J2527" s="1" t="s">
        <v>253</v>
      </c>
      <c r="K2527" t="s">
        <v>181</v>
      </c>
      <c r="L2527" t="s">
        <v>3333</v>
      </c>
      <c r="M2527">
        <v>2</v>
      </c>
      <c r="N2527">
        <v>1</v>
      </c>
      <c r="O2527" t="s">
        <v>3440</v>
      </c>
      <c r="P2527">
        <v>90.49</v>
      </c>
      <c r="Q2527">
        <v>8</v>
      </c>
      <c r="R2527" t="s">
        <v>3424</v>
      </c>
      <c r="T2527" t="s">
        <v>3337</v>
      </c>
      <c r="U2527">
        <v>48</v>
      </c>
      <c r="V2527" t="s">
        <v>3982</v>
      </c>
    </row>
    <row r="2528" spans="1:22" ht="12.75" customHeight="1" x14ac:dyDescent="0.15">
      <c r="A2528">
        <v>24</v>
      </c>
      <c r="B2528">
        <v>2026</v>
      </c>
      <c r="C2528" s="21">
        <v>46188</v>
      </c>
      <c r="D2528" t="s">
        <v>101</v>
      </c>
      <c r="E2528" t="s">
        <v>102</v>
      </c>
      <c r="F2528" t="s">
        <v>75</v>
      </c>
      <c r="G2528">
        <v>7.6</v>
      </c>
      <c r="H2528" t="s">
        <v>3400</v>
      </c>
      <c r="I2528" t="s">
        <v>353</v>
      </c>
      <c r="J2528" s="1" t="s">
        <v>253</v>
      </c>
      <c r="K2528" t="s">
        <v>181</v>
      </c>
      <c r="L2528" t="s">
        <v>3340</v>
      </c>
      <c r="M2528">
        <v>25</v>
      </c>
      <c r="N2528">
        <v>1</v>
      </c>
      <c r="O2528" t="s">
        <v>211</v>
      </c>
      <c r="P2528">
        <v>55</v>
      </c>
      <c r="R2528" t="s">
        <v>3413</v>
      </c>
      <c r="T2528" t="s">
        <v>3337</v>
      </c>
      <c r="U2528">
        <v>48</v>
      </c>
      <c r="V2528" t="s">
        <v>4088</v>
      </c>
    </row>
    <row r="2529" spans="1:22" ht="12.75" customHeight="1" x14ac:dyDescent="0.15">
      <c r="A2529">
        <v>24</v>
      </c>
      <c r="B2529">
        <v>2026</v>
      </c>
      <c r="C2529" s="21">
        <v>46188</v>
      </c>
      <c r="D2529" t="s">
        <v>101</v>
      </c>
      <c r="E2529" t="s">
        <v>102</v>
      </c>
      <c r="F2529" t="s">
        <v>75</v>
      </c>
      <c r="G2529">
        <v>7.6</v>
      </c>
      <c r="H2529" t="s">
        <v>3400</v>
      </c>
      <c r="I2529" t="s">
        <v>353</v>
      </c>
      <c r="J2529" s="1" t="s">
        <v>253</v>
      </c>
      <c r="K2529" t="s">
        <v>181</v>
      </c>
      <c r="L2529" t="s">
        <v>3333</v>
      </c>
      <c r="M2529">
        <v>1</v>
      </c>
      <c r="N2529">
        <v>0.63</v>
      </c>
      <c r="O2529" t="s">
        <v>3358</v>
      </c>
      <c r="P2529">
        <v>44.91</v>
      </c>
      <c r="Q2529">
        <v>5</v>
      </c>
      <c r="R2529" t="s">
        <v>3359</v>
      </c>
      <c r="T2529" t="s">
        <v>3337</v>
      </c>
      <c r="U2529">
        <v>48</v>
      </c>
      <c r="V2529" t="s">
        <v>4164</v>
      </c>
    </row>
    <row r="2530" spans="1:22" ht="12.75" customHeight="1" x14ac:dyDescent="0.15">
      <c r="A2530">
        <v>24</v>
      </c>
      <c r="B2530">
        <v>2026</v>
      </c>
      <c r="C2530" s="21">
        <v>46188</v>
      </c>
      <c r="D2530" t="s">
        <v>101</v>
      </c>
      <c r="E2530" t="s">
        <v>102</v>
      </c>
      <c r="F2530" t="s">
        <v>75</v>
      </c>
      <c r="G2530">
        <v>7.6</v>
      </c>
      <c r="H2530" t="s">
        <v>3400</v>
      </c>
      <c r="I2530" t="s">
        <v>353</v>
      </c>
      <c r="J2530" s="1" t="s">
        <v>253</v>
      </c>
      <c r="K2530" t="s">
        <v>181</v>
      </c>
      <c r="L2530" t="s">
        <v>3333</v>
      </c>
      <c r="M2530">
        <v>6</v>
      </c>
      <c r="N2530">
        <v>0.63</v>
      </c>
      <c r="O2530" t="s">
        <v>3334</v>
      </c>
      <c r="P2530">
        <v>50.99</v>
      </c>
      <c r="Q2530">
        <v>5</v>
      </c>
      <c r="R2530" t="s">
        <v>3335</v>
      </c>
      <c r="T2530" t="s">
        <v>3337</v>
      </c>
      <c r="U2530">
        <v>48</v>
      </c>
      <c r="V2530" t="s">
        <v>4114</v>
      </c>
    </row>
    <row r="2531" spans="1:22" ht="12.75" customHeight="1" x14ac:dyDescent="0.15">
      <c r="A2531">
        <v>24</v>
      </c>
      <c r="B2531">
        <v>2026</v>
      </c>
      <c r="C2531" s="21">
        <v>46188</v>
      </c>
      <c r="D2531" t="s">
        <v>143</v>
      </c>
      <c r="E2531" t="s">
        <v>144</v>
      </c>
      <c r="F2531" t="s">
        <v>21</v>
      </c>
      <c r="G2531">
        <v>1.8</v>
      </c>
      <c r="H2531" t="s">
        <v>3453</v>
      </c>
      <c r="I2531" t="s">
        <v>187</v>
      </c>
      <c r="J2531" s="1" t="s">
        <v>188</v>
      </c>
      <c r="K2531" t="s">
        <v>181</v>
      </c>
      <c r="L2531" t="s">
        <v>3333</v>
      </c>
      <c r="M2531">
        <v>1</v>
      </c>
      <c r="N2531">
        <v>0.38</v>
      </c>
      <c r="O2531" t="s">
        <v>3358</v>
      </c>
      <c r="P2531">
        <v>26.95</v>
      </c>
      <c r="Q2531">
        <v>3</v>
      </c>
      <c r="R2531" t="s">
        <v>3359</v>
      </c>
      <c r="T2531" t="s">
        <v>3337</v>
      </c>
      <c r="V2531" t="s">
        <v>4251</v>
      </c>
    </row>
    <row r="2532" spans="1:22" ht="12.75" customHeight="1" x14ac:dyDescent="0.15">
      <c r="A2532">
        <v>24</v>
      </c>
      <c r="B2532">
        <v>2026</v>
      </c>
      <c r="C2532" s="21">
        <v>46188</v>
      </c>
      <c r="D2532" t="s">
        <v>143</v>
      </c>
      <c r="E2532" t="s">
        <v>144</v>
      </c>
      <c r="F2532" t="s">
        <v>21</v>
      </c>
      <c r="G2532">
        <v>1.8</v>
      </c>
      <c r="H2532" t="s">
        <v>3453</v>
      </c>
      <c r="I2532" t="s">
        <v>187</v>
      </c>
      <c r="J2532" s="1" t="s">
        <v>188</v>
      </c>
      <c r="K2532" t="s">
        <v>181</v>
      </c>
      <c r="L2532" t="s">
        <v>3333</v>
      </c>
      <c r="M2532">
        <v>6</v>
      </c>
      <c r="N2532">
        <v>0.38</v>
      </c>
      <c r="O2532" t="s">
        <v>3334</v>
      </c>
      <c r="P2532">
        <v>30.59</v>
      </c>
      <c r="Q2532">
        <v>3</v>
      </c>
      <c r="R2532" t="s">
        <v>3335</v>
      </c>
      <c r="T2532" t="s">
        <v>3337</v>
      </c>
      <c r="V2532" t="s">
        <v>4252</v>
      </c>
    </row>
    <row r="2533" spans="1:22" ht="12.75" customHeight="1" x14ac:dyDescent="0.15">
      <c r="A2533">
        <v>24</v>
      </c>
      <c r="B2533">
        <v>2026</v>
      </c>
      <c r="C2533" s="21">
        <v>46188</v>
      </c>
      <c r="D2533" t="s">
        <v>141</v>
      </c>
      <c r="E2533" t="s">
        <v>142</v>
      </c>
      <c r="F2533" t="s">
        <v>75</v>
      </c>
      <c r="G2533">
        <v>1</v>
      </c>
      <c r="H2533" t="s">
        <v>4241</v>
      </c>
      <c r="I2533" t="s">
        <v>4242</v>
      </c>
      <c r="J2533" s="1" t="s">
        <v>3668</v>
      </c>
      <c r="K2533" t="s">
        <v>181</v>
      </c>
      <c r="L2533" t="s">
        <v>3333</v>
      </c>
      <c r="M2533">
        <v>86</v>
      </c>
      <c r="N2533">
        <v>1</v>
      </c>
      <c r="O2533" t="s">
        <v>3334</v>
      </c>
      <c r="P2533">
        <v>81.58</v>
      </c>
      <c r="Q2533">
        <v>8</v>
      </c>
      <c r="R2533" t="s">
        <v>3386</v>
      </c>
      <c r="T2533" t="s">
        <v>3402</v>
      </c>
      <c r="U2533">
        <v>-8</v>
      </c>
      <c r="V2533" t="s">
        <v>3334</v>
      </c>
    </row>
    <row r="2534" spans="1:22" ht="12.75" customHeight="1" x14ac:dyDescent="0.15">
      <c r="A2534">
        <v>24</v>
      </c>
      <c r="B2534">
        <v>2026</v>
      </c>
      <c r="C2534" s="21">
        <v>46188</v>
      </c>
      <c r="D2534" t="s">
        <v>141</v>
      </c>
      <c r="E2534" t="s">
        <v>142</v>
      </c>
      <c r="F2534" t="s">
        <v>75</v>
      </c>
      <c r="G2534">
        <v>1</v>
      </c>
      <c r="H2534" t="s">
        <v>4241</v>
      </c>
      <c r="I2534" t="s">
        <v>4242</v>
      </c>
      <c r="J2534" s="1" t="s">
        <v>3668</v>
      </c>
      <c r="K2534" t="s">
        <v>181</v>
      </c>
      <c r="L2534" t="s">
        <v>3340</v>
      </c>
      <c r="M2534">
        <v>78</v>
      </c>
      <c r="N2534">
        <v>1.31</v>
      </c>
      <c r="O2534" t="s">
        <v>211</v>
      </c>
      <c r="P2534">
        <v>72</v>
      </c>
      <c r="Q2534">
        <v>8</v>
      </c>
      <c r="R2534" t="s">
        <v>3341</v>
      </c>
      <c r="T2534" t="s">
        <v>3402</v>
      </c>
      <c r="U2534">
        <v>-8</v>
      </c>
      <c r="V2534" t="s">
        <v>193</v>
      </c>
    </row>
    <row r="2535" spans="1:22" ht="12.75" customHeight="1" x14ac:dyDescent="0.15">
      <c r="A2535">
        <v>24</v>
      </c>
      <c r="B2535">
        <v>2026</v>
      </c>
      <c r="C2535" s="21">
        <v>46188</v>
      </c>
      <c r="D2535" t="s">
        <v>101</v>
      </c>
      <c r="E2535" t="s">
        <v>102</v>
      </c>
      <c r="F2535" t="s">
        <v>75</v>
      </c>
      <c r="G2535">
        <v>7.6</v>
      </c>
      <c r="H2535" t="s">
        <v>3391</v>
      </c>
      <c r="I2535" t="s">
        <v>353</v>
      </c>
      <c r="J2535" s="1" t="s">
        <v>253</v>
      </c>
      <c r="K2535" t="s">
        <v>181</v>
      </c>
      <c r="L2535" t="s">
        <v>3333</v>
      </c>
      <c r="M2535">
        <v>67</v>
      </c>
      <c r="N2535">
        <v>1</v>
      </c>
      <c r="O2535" t="s">
        <v>3334</v>
      </c>
      <c r="P2535">
        <v>81.58</v>
      </c>
      <c r="Q2535">
        <v>8</v>
      </c>
      <c r="R2535" t="s">
        <v>3404</v>
      </c>
      <c r="T2535" t="s">
        <v>3402</v>
      </c>
      <c r="U2535">
        <v>48</v>
      </c>
      <c r="V2535" t="s">
        <v>3338</v>
      </c>
    </row>
    <row r="2536" spans="1:22" ht="12.75" customHeight="1" x14ac:dyDescent="0.15">
      <c r="A2536">
        <v>24</v>
      </c>
      <c r="B2536">
        <v>2026</v>
      </c>
      <c r="C2536" s="21">
        <v>46188</v>
      </c>
      <c r="D2536" t="s">
        <v>101</v>
      </c>
      <c r="E2536" t="s">
        <v>102</v>
      </c>
      <c r="F2536" t="s">
        <v>75</v>
      </c>
      <c r="G2536">
        <v>7.6</v>
      </c>
      <c r="H2536" t="s">
        <v>3391</v>
      </c>
      <c r="I2536" t="s">
        <v>353</v>
      </c>
      <c r="J2536" s="1" t="s">
        <v>253</v>
      </c>
      <c r="K2536" t="s">
        <v>181</v>
      </c>
      <c r="L2536" t="s">
        <v>3333</v>
      </c>
      <c r="M2536">
        <v>19</v>
      </c>
      <c r="N2536">
        <v>1</v>
      </c>
      <c r="O2536" t="s">
        <v>3334</v>
      </c>
      <c r="P2536">
        <v>81.58</v>
      </c>
      <c r="Q2536">
        <v>8</v>
      </c>
      <c r="R2536" t="s">
        <v>3403</v>
      </c>
      <c r="T2536" t="s">
        <v>3402</v>
      </c>
      <c r="U2536">
        <v>48</v>
      </c>
      <c r="V2536" t="s">
        <v>3338</v>
      </c>
    </row>
    <row r="2537" spans="1:22" ht="12.75" customHeight="1" x14ac:dyDescent="0.15">
      <c r="A2537">
        <v>24</v>
      </c>
      <c r="B2537">
        <v>2026</v>
      </c>
      <c r="C2537" s="21">
        <v>46188</v>
      </c>
      <c r="D2537" t="s">
        <v>101</v>
      </c>
      <c r="E2537" t="s">
        <v>102</v>
      </c>
      <c r="F2537" t="s">
        <v>75</v>
      </c>
      <c r="G2537">
        <v>7.6</v>
      </c>
      <c r="H2537" t="s">
        <v>3653</v>
      </c>
      <c r="I2537" t="s">
        <v>3566</v>
      </c>
      <c r="J2537" s="1" t="s">
        <v>3389</v>
      </c>
      <c r="K2537" t="s">
        <v>181</v>
      </c>
      <c r="L2537" t="s">
        <v>3333</v>
      </c>
      <c r="M2537">
        <v>80</v>
      </c>
      <c r="N2537">
        <v>0.5</v>
      </c>
      <c r="O2537" t="s">
        <v>213</v>
      </c>
      <c r="P2537">
        <v>45</v>
      </c>
      <c r="Q2537">
        <v>4</v>
      </c>
      <c r="R2537" t="s">
        <v>3560</v>
      </c>
      <c r="T2537" t="s">
        <v>3402</v>
      </c>
      <c r="U2537">
        <v>48</v>
      </c>
      <c r="V2537" t="s">
        <v>3348</v>
      </c>
    </row>
    <row r="2538" spans="1:22" ht="12.75" customHeight="1" x14ac:dyDescent="0.15">
      <c r="A2538">
        <v>24</v>
      </c>
      <c r="B2538">
        <v>2026</v>
      </c>
      <c r="C2538" s="21">
        <v>46188</v>
      </c>
      <c r="D2538" t="s">
        <v>101</v>
      </c>
      <c r="E2538" t="s">
        <v>102</v>
      </c>
      <c r="F2538" t="s">
        <v>75</v>
      </c>
      <c r="G2538">
        <v>7.6</v>
      </c>
      <c r="H2538" t="s">
        <v>3878</v>
      </c>
      <c r="I2538" t="s">
        <v>3566</v>
      </c>
      <c r="J2538" s="1" t="s">
        <v>3389</v>
      </c>
      <c r="K2538" t="s">
        <v>2666</v>
      </c>
      <c r="L2538" t="s">
        <v>3587</v>
      </c>
      <c r="P2538">
        <v>32.799999999999997</v>
      </c>
      <c r="Q2538">
        <v>4</v>
      </c>
      <c r="T2538" t="s">
        <v>3402</v>
      </c>
      <c r="U2538">
        <v>48</v>
      </c>
      <c r="V2538" t="s">
        <v>4245</v>
      </c>
    </row>
    <row r="2539" spans="1:22" ht="12.75" customHeight="1" x14ac:dyDescent="0.15">
      <c r="A2539">
        <v>24</v>
      </c>
      <c r="B2539">
        <v>2026</v>
      </c>
      <c r="C2539" s="21">
        <v>46188</v>
      </c>
      <c r="D2539" t="s">
        <v>101</v>
      </c>
      <c r="E2539" t="s">
        <v>102</v>
      </c>
      <c r="F2539" t="s">
        <v>75</v>
      </c>
      <c r="G2539">
        <v>7.6</v>
      </c>
      <c r="H2539" t="s">
        <v>3391</v>
      </c>
      <c r="I2539" t="s">
        <v>353</v>
      </c>
      <c r="J2539" s="1" t="s">
        <v>253</v>
      </c>
      <c r="K2539" t="s">
        <v>181</v>
      </c>
      <c r="L2539" t="s">
        <v>3333</v>
      </c>
      <c r="M2539">
        <v>4</v>
      </c>
      <c r="N2539">
        <v>0.75</v>
      </c>
      <c r="O2539" t="s">
        <v>3334</v>
      </c>
      <c r="P2539">
        <v>61.19</v>
      </c>
      <c r="Q2539">
        <v>6</v>
      </c>
      <c r="R2539" t="s">
        <v>3773</v>
      </c>
      <c r="T2539" t="s">
        <v>3402</v>
      </c>
      <c r="U2539">
        <v>48</v>
      </c>
      <c r="V2539" t="s">
        <v>3354</v>
      </c>
    </row>
    <row r="2540" spans="1:22" ht="12.75" customHeight="1" x14ac:dyDescent="0.15">
      <c r="A2540">
        <v>24</v>
      </c>
      <c r="B2540">
        <v>2026</v>
      </c>
      <c r="C2540" s="21">
        <v>46188</v>
      </c>
      <c r="D2540" t="s">
        <v>89</v>
      </c>
      <c r="E2540" t="s">
        <v>90</v>
      </c>
      <c r="F2540" t="s">
        <v>21</v>
      </c>
      <c r="G2540">
        <v>1</v>
      </c>
      <c r="H2540" t="s">
        <v>3803</v>
      </c>
      <c r="I2540" t="s">
        <v>3676</v>
      </c>
      <c r="J2540" s="1" t="s">
        <v>3533</v>
      </c>
      <c r="K2540" t="s">
        <v>181</v>
      </c>
      <c r="L2540" t="s">
        <v>3333</v>
      </c>
      <c r="M2540">
        <v>4</v>
      </c>
      <c r="N2540">
        <v>0.25</v>
      </c>
      <c r="O2540" t="s">
        <v>3334</v>
      </c>
      <c r="P2540">
        <v>20.399999999999999</v>
      </c>
      <c r="Q2540">
        <v>2</v>
      </c>
      <c r="R2540" t="s">
        <v>3773</v>
      </c>
      <c r="T2540" t="s">
        <v>3402</v>
      </c>
      <c r="U2540">
        <v>61</v>
      </c>
      <c r="V2540" t="s">
        <v>3474</v>
      </c>
    </row>
    <row r="2541" spans="1:22" ht="12.75" customHeight="1" x14ac:dyDescent="0.15">
      <c r="A2541">
        <v>24</v>
      </c>
      <c r="B2541">
        <v>2026</v>
      </c>
      <c r="C2541" s="21">
        <v>46188</v>
      </c>
      <c r="D2541" t="s">
        <v>137</v>
      </c>
      <c r="E2541" t="s">
        <v>138</v>
      </c>
      <c r="F2541" t="s">
        <v>75</v>
      </c>
      <c r="G2541">
        <v>1</v>
      </c>
      <c r="H2541" t="s">
        <v>3567</v>
      </c>
      <c r="I2541" t="s">
        <v>321</v>
      </c>
      <c r="J2541" s="1" t="s">
        <v>26</v>
      </c>
      <c r="K2541" t="s">
        <v>181</v>
      </c>
      <c r="L2541" t="s">
        <v>3333</v>
      </c>
      <c r="M2541">
        <v>80</v>
      </c>
      <c r="N2541">
        <v>0.19</v>
      </c>
      <c r="O2541" t="s">
        <v>213</v>
      </c>
      <c r="P2541">
        <v>16.88</v>
      </c>
      <c r="Q2541">
        <v>1.5</v>
      </c>
      <c r="R2541" t="s">
        <v>3560</v>
      </c>
      <c r="T2541" t="s">
        <v>3402</v>
      </c>
      <c r="U2541">
        <v>-32</v>
      </c>
      <c r="V2541" t="s">
        <v>3651</v>
      </c>
    </row>
    <row r="2542" spans="1:22" ht="12.75" customHeight="1" x14ac:dyDescent="0.15">
      <c r="A2542">
        <v>24</v>
      </c>
      <c r="B2542">
        <v>2026</v>
      </c>
      <c r="C2542" s="21">
        <v>46188</v>
      </c>
      <c r="D2542" t="s">
        <v>137</v>
      </c>
      <c r="E2542" t="s">
        <v>138</v>
      </c>
      <c r="F2542" t="s">
        <v>75</v>
      </c>
      <c r="G2542">
        <v>1</v>
      </c>
      <c r="H2542" t="s">
        <v>4013</v>
      </c>
      <c r="I2542" t="s">
        <v>321</v>
      </c>
      <c r="J2542" s="1" t="s">
        <v>26</v>
      </c>
      <c r="K2542" t="s">
        <v>2666</v>
      </c>
      <c r="L2542" t="s">
        <v>3587</v>
      </c>
      <c r="Q2542">
        <v>12.3</v>
      </c>
      <c r="T2542" t="s">
        <v>3402</v>
      </c>
      <c r="U2542">
        <v>-32</v>
      </c>
      <c r="V2542" t="s">
        <v>88</v>
      </c>
    </row>
    <row r="2543" spans="1:22" ht="12.75" customHeight="1" x14ac:dyDescent="0.15">
      <c r="A2543">
        <v>24</v>
      </c>
      <c r="B2543">
        <v>2026</v>
      </c>
      <c r="C2543" s="21">
        <v>46189</v>
      </c>
      <c r="D2543" t="s">
        <v>101</v>
      </c>
      <c r="E2543" t="s">
        <v>102</v>
      </c>
      <c r="F2543" t="s">
        <v>75</v>
      </c>
      <c r="G2543">
        <v>7.6</v>
      </c>
      <c r="H2543" t="s">
        <v>3400</v>
      </c>
      <c r="I2543" t="s">
        <v>353</v>
      </c>
      <c r="J2543" s="1" t="s">
        <v>253</v>
      </c>
      <c r="K2543" t="s">
        <v>181</v>
      </c>
      <c r="L2543" t="s">
        <v>3340</v>
      </c>
      <c r="M2543">
        <v>25</v>
      </c>
      <c r="N2543">
        <v>1</v>
      </c>
      <c r="O2543" t="s">
        <v>211</v>
      </c>
      <c r="P2543">
        <v>55</v>
      </c>
      <c r="R2543" t="s">
        <v>3413</v>
      </c>
      <c r="T2543" t="s">
        <v>3337</v>
      </c>
      <c r="U2543">
        <v>49</v>
      </c>
      <c r="V2543" t="s">
        <v>4088</v>
      </c>
    </row>
    <row r="2544" spans="1:22" ht="12.75" customHeight="1" x14ac:dyDescent="0.15">
      <c r="A2544">
        <v>24</v>
      </c>
      <c r="B2544">
        <v>2026</v>
      </c>
      <c r="C2544" s="21">
        <v>46189</v>
      </c>
      <c r="D2544" t="s">
        <v>143</v>
      </c>
      <c r="E2544" t="s">
        <v>144</v>
      </c>
      <c r="F2544" t="s">
        <v>21</v>
      </c>
      <c r="G2544">
        <v>1.8</v>
      </c>
      <c r="H2544" t="s">
        <v>3453</v>
      </c>
      <c r="I2544" t="s">
        <v>187</v>
      </c>
      <c r="J2544" s="1" t="s">
        <v>188</v>
      </c>
      <c r="K2544" t="s">
        <v>181</v>
      </c>
      <c r="L2544" t="s">
        <v>3333</v>
      </c>
      <c r="M2544">
        <v>1</v>
      </c>
      <c r="N2544">
        <v>1</v>
      </c>
      <c r="O2544" t="s">
        <v>3358</v>
      </c>
      <c r="P2544">
        <v>71.86</v>
      </c>
      <c r="Q2544">
        <v>8</v>
      </c>
      <c r="R2544" t="s">
        <v>3359</v>
      </c>
      <c r="T2544" t="s">
        <v>3337</v>
      </c>
      <c r="V2544" t="s">
        <v>4260</v>
      </c>
    </row>
    <row r="2545" spans="1:22" ht="12.75" customHeight="1" x14ac:dyDescent="0.15">
      <c r="A2545">
        <v>24</v>
      </c>
      <c r="B2545">
        <v>2026</v>
      </c>
      <c r="C2545" s="21">
        <v>46189</v>
      </c>
      <c r="D2545" t="s">
        <v>143</v>
      </c>
      <c r="E2545" t="s">
        <v>144</v>
      </c>
      <c r="F2545" t="s">
        <v>21</v>
      </c>
      <c r="G2545">
        <v>1.8</v>
      </c>
      <c r="H2545" t="s">
        <v>3453</v>
      </c>
      <c r="I2545" t="s">
        <v>187</v>
      </c>
      <c r="J2545" s="1" t="s">
        <v>188</v>
      </c>
      <c r="K2545" t="s">
        <v>181</v>
      </c>
      <c r="L2545" t="s">
        <v>3333</v>
      </c>
      <c r="M2545">
        <v>6</v>
      </c>
      <c r="N2545">
        <v>1</v>
      </c>
      <c r="O2545" t="s">
        <v>3334</v>
      </c>
      <c r="P2545">
        <v>81.58</v>
      </c>
      <c r="Q2545">
        <v>8</v>
      </c>
      <c r="R2545" t="s">
        <v>3335</v>
      </c>
      <c r="T2545" t="s">
        <v>3337</v>
      </c>
      <c r="V2545" t="s">
        <v>4261</v>
      </c>
    </row>
    <row r="2546" spans="1:22" ht="12.75" customHeight="1" x14ac:dyDescent="0.15">
      <c r="A2546">
        <v>24</v>
      </c>
      <c r="B2546">
        <v>2026</v>
      </c>
      <c r="C2546" s="21">
        <v>46189</v>
      </c>
      <c r="D2546" t="s">
        <v>141</v>
      </c>
      <c r="E2546" t="s">
        <v>142</v>
      </c>
      <c r="F2546" t="s">
        <v>75</v>
      </c>
      <c r="G2546">
        <v>1</v>
      </c>
      <c r="H2546" t="s">
        <v>4241</v>
      </c>
      <c r="I2546" t="s">
        <v>4242</v>
      </c>
      <c r="J2546" s="1" t="s">
        <v>3668</v>
      </c>
      <c r="K2546" t="s">
        <v>181</v>
      </c>
      <c r="L2546" t="s">
        <v>3333</v>
      </c>
      <c r="M2546">
        <v>86</v>
      </c>
      <c r="N2546">
        <v>0.88</v>
      </c>
      <c r="O2546" t="s">
        <v>3334</v>
      </c>
      <c r="P2546">
        <v>71.38</v>
      </c>
      <c r="Q2546">
        <v>7</v>
      </c>
      <c r="R2546" t="s">
        <v>3386</v>
      </c>
      <c r="T2546" t="s">
        <v>3402</v>
      </c>
      <c r="U2546">
        <v>-7</v>
      </c>
      <c r="V2546" t="s">
        <v>3925</v>
      </c>
    </row>
    <row r="2547" spans="1:22" ht="12.75" customHeight="1" x14ac:dyDescent="0.15">
      <c r="A2547">
        <v>24</v>
      </c>
      <c r="B2547">
        <v>2026</v>
      </c>
      <c r="C2547" s="21">
        <v>46189</v>
      </c>
      <c r="D2547" t="s">
        <v>19</v>
      </c>
      <c r="E2547" t="s">
        <v>20</v>
      </c>
      <c r="F2547" t="s">
        <v>21</v>
      </c>
      <c r="G2547">
        <v>3.8</v>
      </c>
      <c r="H2547" t="s">
        <v>3836</v>
      </c>
      <c r="I2547" t="s">
        <v>3810</v>
      </c>
      <c r="J2547" s="1" t="s">
        <v>30</v>
      </c>
      <c r="K2547" t="s">
        <v>181</v>
      </c>
      <c r="L2547" t="s">
        <v>3333</v>
      </c>
      <c r="M2547">
        <v>86</v>
      </c>
      <c r="N2547">
        <v>0.13</v>
      </c>
      <c r="O2547" t="s">
        <v>3334</v>
      </c>
      <c r="P2547">
        <v>10.199999999999999</v>
      </c>
      <c r="Q2547">
        <v>1</v>
      </c>
      <c r="R2547" t="s">
        <v>3386</v>
      </c>
      <c r="T2547" t="s">
        <v>3402</v>
      </c>
      <c r="U2547">
        <v>189</v>
      </c>
      <c r="V2547" t="s">
        <v>3441</v>
      </c>
    </row>
    <row r="2548" spans="1:22" ht="12.75" customHeight="1" x14ac:dyDescent="0.15">
      <c r="A2548">
        <v>24</v>
      </c>
      <c r="B2548">
        <v>2026</v>
      </c>
      <c r="C2548" s="21">
        <v>46189</v>
      </c>
      <c r="D2548" t="s">
        <v>89</v>
      </c>
      <c r="E2548" t="s">
        <v>90</v>
      </c>
      <c r="F2548" t="s">
        <v>21</v>
      </c>
      <c r="G2548">
        <v>1</v>
      </c>
      <c r="H2548" t="s">
        <v>3803</v>
      </c>
      <c r="I2548" t="s">
        <v>3676</v>
      </c>
      <c r="J2548" s="1" t="s">
        <v>3533</v>
      </c>
      <c r="K2548" t="s">
        <v>181</v>
      </c>
      <c r="L2548" t="s">
        <v>3333</v>
      </c>
      <c r="M2548">
        <v>4</v>
      </c>
      <c r="N2548">
        <v>0.38</v>
      </c>
      <c r="O2548" t="s">
        <v>3334</v>
      </c>
      <c r="P2548">
        <v>30.59</v>
      </c>
      <c r="Q2548">
        <v>3</v>
      </c>
      <c r="R2548" t="s">
        <v>3773</v>
      </c>
      <c r="T2548" t="s">
        <v>3402</v>
      </c>
      <c r="U2548">
        <v>62</v>
      </c>
      <c r="V2548" t="s">
        <v>3491</v>
      </c>
    </row>
    <row r="2549" spans="1:22" ht="12.75" customHeight="1" x14ac:dyDescent="0.15">
      <c r="A2549">
        <v>24</v>
      </c>
      <c r="B2549">
        <v>2026</v>
      </c>
      <c r="C2549" s="21">
        <v>46189</v>
      </c>
      <c r="D2549" t="s">
        <v>68</v>
      </c>
      <c r="E2549" t="s">
        <v>69</v>
      </c>
      <c r="F2549" t="s">
        <v>21</v>
      </c>
      <c r="G2549">
        <v>1</v>
      </c>
      <c r="H2549" t="s">
        <v>3799</v>
      </c>
      <c r="I2549" t="s">
        <v>3551</v>
      </c>
      <c r="J2549" s="1" t="s">
        <v>3533</v>
      </c>
      <c r="K2549" t="s">
        <v>181</v>
      </c>
      <c r="L2549" t="s">
        <v>3333</v>
      </c>
      <c r="M2549">
        <v>4</v>
      </c>
      <c r="N2549">
        <v>0.63</v>
      </c>
      <c r="O2549" t="s">
        <v>3334</v>
      </c>
      <c r="P2549">
        <v>50.99</v>
      </c>
      <c r="Q2549">
        <v>5</v>
      </c>
      <c r="R2549" t="s">
        <v>3773</v>
      </c>
      <c r="T2549" t="s">
        <v>3402</v>
      </c>
      <c r="U2549">
        <v>75</v>
      </c>
      <c r="V2549" t="s">
        <v>3574</v>
      </c>
    </row>
    <row r="2550" spans="1:22" ht="12.75" customHeight="1" x14ac:dyDescent="0.15">
      <c r="A2550">
        <v>24</v>
      </c>
      <c r="B2550">
        <v>2026</v>
      </c>
      <c r="C2550" s="21">
        <v>46189</v>
      </c>
      <c r="D2550" t="s">
        <v>101</v>
      </c>
      <c r="E2550" t="s">
        <v>102</v>
      </c>
      <c r="F2550" t="s">
        <v>75</v>
      </c>
      <c r="G2550">
        <v>7.6</v>
      </c>
      <c r="H2550" t="s">
        <v>3391</v>
      </c>
      <c r="I2550" t="s">
        <v>353</v>
      </c>
      <c r="J2550" s="1" t="s">
        <v>253</v>
      </c>
      <c r="K2550" t="s">
        <v>181</v>
      </c>
      <c r="L2550" t="s">
        <v>3333</v>
      </c>
      <c r="M2550">
        <v>67</v>
      </c>
      <c r="N2550">
        <v>0.75</v>
      </c>
      <c r="O2550" t="s">
        <v>3334</v>
      </c>
      <c r="P2550">
        <v>61.19</v>
      </c>
      <c r="Q2550">
        <v>6</v>
      </c>
      <c r="R2550" t="s">
        <v>3404</v>
      </c>
      <c r="T2550" t="s">
        <v>3402</v>
      </c>
      <c r="U2550">
        <v>49</v>
      </c>
      <c r="V2550" t="s">
        <v>3354</v>
      </c>
    </row>
    <row r="2551" spans="1:22" ht="12.75" customHeight="1" x14ac:dyDescent="0.15">
      <c r="A2551">
        <v>24</v>
      </c>
      <c r="B2551">
        <v>2026</v>
      </c>
      <c r="C2551" s="21">
        <v>46189</v>
      </c>
      <c r="D2551" t="s">
        <v>101</v>
      </c>
      <c r="E2551" t="s">
        <v>102</v>
      </c>
      <c r="F2551" t="s">
        <v>75</v>
      </c>
      <c r="G2551">
        <v>7.6</v>
      </c>
      <c r="H2551" t="s">
        <v>3391</v>
      </c>
      <c r="I2551" t="s">
        <v>353</v>
      </c>
      <c r="J2551" s="1" t="s">
        <v>253</v>
      </c>
      <c r="K2551" t="s">
        <v>181</v>
      </c>
      <c r="L2551" t="s">
        <v>3333</v>
      </c>
      <c r="M2551">
        <v>19</v>
      </c>
      <c r="N2551">
        <v>0.75</v>
      </c>
      <c r="O2551" t="s">
        <v>3334</v>
      </c>
      <c r="P2551">
        <v>61.19</v>
      </c>
      <c r="Q2551">
        <v>6</v>
      </c>
      <c r="R2551" t="s">
        <v>3403</v>
      </c>
      <c r="T2551" t="s">
        <v>3402</v>
      </c>
      <c r="U2551">
        <v>49</v>
      </c>
      <c r="V2551" t="s">
        <v>3354</v>
      </c>
    </row>
    <row r="2552" spans="1:22" ht="12.75" customHeight="1" x14ac:dyDescent="0.15">
      <c r="A2552">
        <v>24</v>
      </c>
      <c r="B2552">
        <v>2026</v>
      </c>
      <c r="C2552" s="21">
        <v>46189</v>
      </c>
      <c r="D2552" t="s">
        <v>101</v>
      </c>
      <c r="E2552" t="s">
        <v>102</v>
      </c>
      <c r="F2552" t="s">
        <v>75</v>
      </c>
      <c r="G2552">
        <v>7.6</v>
      </c>
      <c r="H2552" t="s">
        <v>3653</v>
      </c>
      <c r="I2552" t="s">
        <v>3566</v>
      </c>
      <c r="J2552" s="1" t="s">
        <v>3389</v>
      </c>
      <c r="K2552" t="s">
        <v>181</v>
      </c>
      <c r="L2552" t="s">
        <v>3333</v>
      </c>
      <c r="M2552">
        <v>80</v>
      </c>
      <c r="N2552">
        <v>0.25</v>
      </c>
      <c r="O2552" t="s">
        <v>213</v>
      </c>
      <c r="P2552">
        <v>22.5</v>
      </c>
      <c r="Q2552">
        <v>2</v>
      </c>
      <c r="R2552" t="s">
        <v>3560</v>
      </c>
      <c r="T2552" t="s">
        <v>3402</v>
      </c>
      <c r="U2552">
        <v>49</v>
      </c>
      <c r="V2552" t="s">
        <v>3979</v>
      </c>
    </row>
    <row r="2553" spans="1:22" ht="12.75" customHeight="1" x14ac:dyDescent="0.15">
      <c r="A2553">
        <v>24</v>
      </c>
      <c r="B2553">
        <v>2026</v>
      </c>
      <c r="C2553" s="21">
        <v>46189</v>
      </c>
      <c r="D2553" t="s">
        <v>101</v>
      </c>
      <c r="E2553" t="s">
        <v>102</v>
      </c>
      <c r="F2553" t="s">
        <v>75</v>
      </c>
      <c r="G2553">
        <v>7.6</v>
      </c>
      <c r="H2553" t="s">
        <v>3878</v>
      </c>
      <c r="I2553" t="s">
        <v>3566</v>
      </c>
      <c r="J2553" s="1" t="s">
        <v>3389</v>
      </c>
      <c r="K2553" t="s">
        <v>2666</v>
      </c>
      <c r="L2553" t="s">
        <v>3587</v>
      </c>
      <c r="P2553">
        <v>16.399999999999999</v>
      </c>
      <c r="T2553" t="s">
        <v>3402</v>
      </c>
      <c r="U2553">
        <v>49</v>
      </c>
      <c r="V2553" t="s">
        <v>4262</v>
      </c>
    </row>
    <row r="2554" spans="1:22" ht="12.75" customHeight="1" x14ac:dyDescent="0.15">
      <c r="A2554">
        <v>24</v>
      </c>
      <c r="B2554">
        <v>2026</v>
      </c>
      <c r="C2554" s="21">
        <v>46189</v>
      </c>
      <c r="D2554" t="s">
        <v>80</v>
      </c>
      <c r="E2554" t="s">
        <v>81</v>
      </c>
      <c r="F2554" t="s">
        <v>21</v>
      </c>
      <c r="G2554">
        <v>2.2999999999999998</v>
      </c>
      <c r="H2554" t="s">
        <v>3391</v>
      </c>
      <c r="I2554" t="s">
        <v>353</v>
      </c>
      <c r="J2554" s="1" t="s">
        <v>253</v>
      </c>
      <c r="K2554" t="s">
        <v>181</v>
      </c>
      <c r="L2554" t="s">
        <v>3333</v>
      </c>
      <c r="M2554">
        <v>67</v>
      </c>
      <c r="N2554">
        <v>0.25</v>
      </c>
      <c r="O2554" t="s">
        <v>3334</v>
      </c>
      <c r="P2554">
        <v>20.399999999999999</v>
      </c>
      <c r="Q2554">
        <v>2</v>
      </c>
      <c r="R2554" t="s">
        <v>3404</v>
      </c>
      <c r="T2554" t="s">
        <v>3402</v>
      </c>
      <c r="U2554">
        <v>75</v>
      </c>
      <c r="V2554" t="s">
        <v>4263</v>
      </c>
    </row>
    <row r="2555" spans="1:22" ht="12.75" customHeight="1" x14ac:dyDescent="0.15">
      <c r="A2555">
        <v>24</v>
      </c>
      <c r="B2555">
        <v>2026</v>
      </c>
      <c r="C2555" s="21">
        <v>46189</v>
      </c>
      <c r="D2555" t="s">
        <v>80</v>
      </c>
      <c r="E2555" t="s">
        <v>81</v>
      </c>
      <c r="F2555" t="s">
        <v>21</v>
      </c>
      <c r="G2555">
        <v>2.2999999999999998</v>
      </c>
      <c r="H2555" t="s">
        <v>3391</v>
      </c>
      <c r="I2555" t="s">
        <v>353</v>
      </c>
      <c r="J2555" s="1" t="s">
        <v>253</v>
      </c>
      <c r="K2555" t="s">
        <v>181</v>
      </c>
      <c r="L2555" t="s">
        <v>3333</v>
      </c>
      <c r="M2555">
        <v>19</v>
      </c>
      <c r="N2555">
        <v>0.25</v>
      </c>
      <c r="O2555" t="s">
        <v>3334</v>
      </c>
      <c r="P2555">
        <v>20.399999999999999</v>
      </c>
      <c r="Q2555">
        <v>2</v>
      </c>
      <c r="R2555" t="s">
        <v>3403</v>
      </c>
      <c r="T2555" t="s">
        <v>3402</v>
      </c>
      <c r="U2555">
        <v>75</v>
      </c>
      <c r="V2555" t="s">
        <v>4263</v>
      </c>
    </row>
    <row r="2556" spans="1:22" ht="12.75" customHeight="1" x14ac:dyDescent="0.15">
      <c r="A2556">
        <v>24</v>
      </c>
      <c r="B2556">
        <v>2026</v>
      </c>
      <c r="C2556" s="21">
        <v>46189</v>
      </c>
      <c r="D2556" t="s">
        <v>141</v>
      </c>
      <c r="E2556" t="s">
        <v>142</v>
      </c>
      <c r="F2556" t="s">
        <v>75</v>
      </c>
      <c r="G2556">
        <v>1</v>
      </c>
      <c r="H2556" t="s">
        <v>4241</v>
      </c>
      <c r="I2556" t="s">
        <v>4242</v>
      </c>
      <c r="J2556" s="1" t="s">
        <v>3668</v>
      </c>
      <c r="K2556" t="s">
        <v>181</v>
      </c>
      <c r="L2556" t="s">
        <v>3340</v>
      </c>
      <c r="M2556">
        <v>78</v>
      </c>
      <c r="N2556">
        <v>1.31</v>
      </c>
      <c r="O2556" t="s">
        <v>211</v>
      </c>
      <c r="P2556">
        <v>72</v>
      </c>
      <c r="Q2556">
        <v>8</v>
      </c>
      <c r="R2556" t="s">
        <v>3341</v>
      </c>
      <c r="T2556" t="s">
        <v>3402</v>
      </c>
      <c r="U2556">
        <v>-7</v>
      </c>
      <c r="V2556" t="s">
        <v>193</v>
      </c>
    </row>
    <row r="2557" spans="1:22" ht="12.75" customHeight="1" x14ac:dyDescent="0.15">
      <c r="A2557">
        <v>24</v>
      </c>
      <c r="B2557">
        <v>2026</v>
      </c>
      <c r="C2557" s="21">
        <v>46190</v>
      </c>
      <c r="D2557" t="s">
        <v>96</v>
      </c>
      <c r="E2557" t="s">
        <v>97</v>
      </c>
      <c r="F2557" t="s">
        <v>21</v>
      </c>
      <c r="G2557">
        <v>4.5</v>
      </c>
      <c r="H2557" t="s">
        <v>3408</v>
      </c>
      <c r="I2557" t="s">
        <v>366</v>
      </c>
      <c r="J2557" s="1" t="s">
        <v>215</v>
      </c>
      <c r="K2557" t="s">
        <v>181</v>
      </c>
      <c r="L2557" t="s">
        <v>3340</v>
      </c>
      <c r="M2557">
        <v>62</v>
      </c>
      <c r="N2557">
        <v>1.78</v>
      </c>
      <c r="O2557" t="s">
        <v>211</v>
      </c>
      <c r="P2557">
        <v>98</v>
      </c>
      <c r="R2557" t="s">
        <v>3375</v>
      </c>
      <c r="T2557" t="s">
        <v>3337</v>
      </c>
      <c r="U2557">
        <v>47</v>
      </c>
      <c r="V2557" t="s">
        <v>4264</v>
      </c>
    </row>
    <row r="2558" spans="1:22" ht="12.75" customHeight="1" x14ac:dyDescent="0.15">
      <c r="A2558">
        <v>24</v>
      </c>
      <c r="B2558">
        <v>2026</v>
      </c>
      <c r="C2558" s="21">
        <v>46190</v>
      </c>
      <c r="D2558" t="s">
        <v>96</v>
      </c>
      <c r="E2558" t="s">
        <v>97</v>
      </c>
      <c r="F2558" t="s">
        <v>21</v>
      </c>
      <c r="G2558">
        <v>4.5</v>
      </c>
      <c r="H2558" t="s">
        <v>3408</v>
      </c>
      <c r="I2558" t="s">
        <v>366</v>
      </c>
      <c r="J2558" s="1" t="s">
        <v>215</v>
      </c>
      <c r="K2558" t="s">
        <v>181</v>
      </c>
      <c r="L2558" t="s">
        <v>3340</v>
      </c>
      <c r="M2558">
        <v>53</v>
      </c>
      <c r="N2558">
        <v>1.78</v>
      </c>
      <c r="O2558" t="s">
        <v>211</v>
      </c>
      <c r="P2558">
        <v>98</v>
      </c>
      <c r="R2558" t="s">
        <v>3373</v>
      </c>
      <c r="T2558" t="s">
        <v>3337</v>
      </c>
      <c r="U2558">
        <v>47</v>
      </c>
      <c r="V2558" t="s">
        <v>4264</v>
      </c>
    </row>
    <row r="2559" spans="1:22" ht="12.75" customHeight="1" x14ac:dyDescent="0.15">
      <c r="A2559">
        <v>24</v>
      </c>
      <c r="B2559">
        <v>2026</v>
      </c>
      <c r="C2559" s="21">
        <v>46190</v>
      </c>
      <c r="D2559" t="s">
        <v>96</v>
      </c>
      <c r="E2559" t="s">
        <v>97</v>
      </c>
      <c r="F2559" t="s">
        <v>21</v>
      </c>
      <c r="G2559">
        <v>4.5</v>
      </c>
      <c r="H2559" t="s">
        <v>3408</v>
      </c>
      <c r="I2559" t="s">
        <v>366</v>
      </c>
      <c r="J2559" s="1" t="s">
        <v>215</v>
      </c>
      <c r="K2559" t="s">
        <v>181</v>
      </c>
      <c r="L2559" t="s">
        <v>3340</v>
      </c>
      <c r="M2559">
        <v>58</v>
      </c>
      <c r="N2559">
        <v>1.78</v>
      </c>
      <c r="O2559" t="s">
        <v>211</v>
      </c>
      <c r="P2559">
        <v>98</v>
      </c>
      <c r="R2559" t="s">
        <v>3343</v>
      </c>
      <c r="T2559" t="s">
        <v>3337</v>
      </c>
      <c r="U2559">
        <v>47</v>
      </c>
      <c r="V2559" t="s">
        <v>4264</v>
      </c>
    </row>
    <row r="2560" spans="1:22" ht="12.75" customHeight="1" x14ac:dyDescent="0.15">
      <c r="A2560">
        <v>24</v>
      </c>
      <c r="B2560">
        <v>2026</v>
      </c>
      <c r="C2560" s="21">
        <v>46190</v>
      </c>
      <c r="D2560" t="s">
        <v>96</v>
      </c>
      <c r="E2560" t="s">
        <v>97</v>
      </c>
      <c r="F2560" t="s">
        <v>21</v>
      </c>
      <c r="G2560">
        <v>4.5</v>
      </c>
      <c r="H2560" t="s">
        <v>3408</v>
      </c>
      <c r="I2560" t="s">
        <v>366</v>
      </c>
      <c r="J2560" s="1" t="s">
        <v>215</v>
      </c>
      <c r="K2560" t="s">
        <v>181</v>
      </c>
      <c r="L2560" t="s">
        <v>3340</v>
      </c>
      <c r="M2560">
        <v>45</v>
      </c>
      <c r="N2560">
        <v>1.78</v>
      </c>
      <c r="O2560" t="s">
        <v>211</v>
      </c>
      <c r="P2560">
        <v>98</v>
      </c>
      <c r="R2560" t="s">
        <v>3377</v>
      </c>
      <c r="T2560" t="s">
        <v>3337</v>
      </c>
      <c r="U2560">
        <v>47</v>
      </c>
      <c r="V2560" t="s">
        <v>4264</v>
      </c>
    </row>
    <row r="2561" spans="1:22" ht="12.75" customHeight="1" x14ac:dyDescent="0.15">
      <c r="A2561">
        <v>24</v>
      </c>
      <c r="B2561">
        <v>2026</v>
      </c>
      <c r="C2561" s="21">
        <v>46190</v>
      </c>
      <c r="D2561" t="s">
        <v>96</v>
      </c>
      <c r="E2561" t="s">
        <v>97</v>
      </c>
      <c r="F2561" t="s">
        <v>21</v>
      </c>
      <c r="G2561">
        <v>4.5</v>
      </c>
      <c r="H2561" t="s">
        <v>3408</v>
      </c>
      <c r="I2561" t="s">
        <v>366</v>
      </c>
      <c r="J2561" s="1" t="s">
        <v>215</v>
      </c>
      <c r="K2561" t="s">
        <v>181</v>
      </c>
      <c r="L2561" t="s">
        <v>3340</v>
      </c>
      <c r="M2561">
        <v>81</v>
      </c>
      <c r="N2561">
        <v>1.78</v>
      </c>
      <c r="O2561" t="s">
        <v>211</v>
      </c>
      <c r="P2561">
        <v>98</v>
      </c>
      <c r="R2561" t="s">
        <v>3374</v>
      </c>
      <c r="T2561" t="s">
        <v>3337</v>
      </c>
      <c r="U2561">
        <v>47</v>
      </c>
      <c r="V2561" t="s">
        <v>4264</v>
      </c>
    </row>
    <row r="2562" spans="1:22" ht="12.75" customHeight="1" x14ac:dyDescent="0.15">
      <c r="A2562">
        <v>24</v>
      </c>
      <c r="B2562">
        <v>2026</v>
      </c>
      <c r="C2562" s="21">
        <v>46190</v>
      </c>
      <c r="D2562" t="s">
        <v>143</v>
      </c>
      <c r="E2562" t="s">
        <v>144</v>
      </c>
      <c r="F2562" t="s">
        <v>21</v>
      </c>
      <c r="G2562">
        <v>1.8</v>
      </c>
      <c r="H2562" t="s">
        <v>3346</v>
      </c>
      <c r="I2562" t="s">
        <v>212</v>
      </c>
      <c r="J2562" s="1" t="s">
        <v>188</v>
      </c>
      <c r="K2562" t="s">
        <v>181</v>
      </c>
      <c r="L2562" t="s">
        <v>3333</v>
      </c>
      <c r="M2562">
        <v>1</v>
      </c>
      <c r="N2562">
        <v>1</v>
      </c>
      <c r="O2562" t="s">
        <v>3358</v>
      </c>
      <c r="P2562">
        <v>71.86</v>
      </c>
      <c r="Q2562">
        <v>8</v>
      </c>
      <c r="R2562" t="s">
        <v>3359</v>
      </c>
      <c r="T2562" t="s">
        <v>3337</v>
      </c>
      <c r="V2562" t="s">
        <v>4260</v>
      </c>
    </row>
    <row r="2563" spans="1:22" ht="12.75" customHeight="1" x14ac:dyDescent="0.15">
      <c r="A2563">
        <v>24</v>
      </c>
      <c r="B2563">
        <v>2026</v>
      </c>
      <c r="C2563" s="21">
        <v>46190</v>
      </c>
      <c r="D2563" t="s">
        <v>143</v>
      </c>
      <c r="E2563" t="s">
        <v>144</v>
      </c>
      <c r="F2563" t="s">
        <v>21</v>
      </c>
      <c r="G2563">
        <v>1.8</v>
      </c>
      <c r="H2563" t="s">
        <v>3346</v>
      </c>
      <c r="I2563" t="s">
        <v>212</v>
      </c>
      <c r="J2563" s="1" t="s">
        <v>188</v>
      </c>
      <c r="K2563" t="s">
        <v>181</v>
      </c>
      <c r="L2563" t="s">
        <v>3333</v>
      </c>
      <c r="M2563">
        <v>6</v>
      </c>
      <c r="N2563">
        <v>1</v>
      </c>
      <c r="O2563" t="s">
        <v>3334</v>
      </c>
      <c r="P2563">
        <v>81.58</v>
      </c>
      <c r="Q2563">
        <v>8</v>
      </c>
      <c r="R2563" t="s">
        <v>3335</v>
      </c>
      <c r="T2563" t="s">
        <v>3337</v>
      </c>
      <c r="V2563" t="s">
        <v>4261</v>
      </c>
    </row>
    <row r="2564" spans="1:22" ht="12.75" customHeight="1" x14ac:dyDescent="0.15">
      <c r="A2564">
        <v>24</v>
      </c>
      <c r="B2564">
        <v>2026</v>
      </c>
      <c r="C2564" s="21">
        <v>46190</v>
      </c>
      <c r="D2564" t="s">
        <v>101</v>
      </c>
      <c r="E2564" t="s">
        <v>102</v>
      </c>
      <c r="F2564" t="s">
        <v>75</v>
      </c>
      <c r="G2564">
        <v>7.6</v>
      </c>
      <c r="H2564" t="s">
        <v>3391</v>
      </c>
      <c r="I2564" t="s">
        <v>353</v>
      </c>
      <c r="J2564" s="1" t="s">
        <v>253</v>
      </c>
      <c r="K2564" t="s">
        <v>181</v>
      </c>
      <c r="L2564" t="s">
        <v>3340</v>
      </c>
      <c r="M2564">
        <v>25</v>
      </c>
      <c r="N2564">
        <v>1</v>
      </c>
      <c r="O2564" t="s">
        <v>211</v>
      </c>
      <c r="P2564">
        <v>55</v>
      </c>
      <c r="R2564" t="s">
        <v>3413</v>
      </c>
      <c r="T2564" t="s">
        <v>3337</v>
      </c>
      <c r="U2564">
        <v>50</v>
      </c>
      <c r="V2564" t="s">
        <v>4088</v>
      </c>
    </row>
    <row r="2565" spans="1:22" ht="12.75" customHeight="1" x14ac:dyDescent="0.15">
      <c r="A2565">
        <v>24</v>
      </c>
      <c r="B2565">
        <v>2026</v>
      </c>
      <c r="C2565" s="21">
        <v>46190</v>
      </c>
      <c r="D2565" t="s">
        <v>101</v>
      </c>
      <c r="E2565" t="s">
        <v>102</v>
      </c>
      <c r="F2565" t="s">
        <v>75</v>
      </c>
      <c r="G2565">
        <v>7.6</v>
      </c>
      <c r="H2565" t="s">
        <v>3391</v>
      </c>
      <c r="I2565" t="s">
        <v>353</v>
      </c>
      <c r="J2565" s="1" t="s">
        <v>253</v>
      </c>
      <c r="K2565" t="s">
        <v>181</v>
      </c>
      <c r="L2565" t="s">
        <v>3333</v>
      </c>
      <c r="M2565">
        <v>2</v>
      </c>
      <c r="N2565">
        <v>0.63</v>
      </c>
      <c r="O2565" t="s">
        <v>3440</v>
      </c>
      <c r="P2565">
        <v>56.56</v>
      </c>
      <c r="Q2565">
        <v>5</v>
      </c>
      <c r="R2565" t="s">
        <v>3424</v>
      </c>
      <c r="T2565" t="s">
        <v>3337</v>
      </c>
      <c r="U2565">
        <v>50</v>
      </c>
      <c r="V2565" t="s">
        <v>4249</v>
      </c>
    </row>
    <row r="2566" spans="1:22" ht="12.75" customHeight="1" x14ac:dyDescent="0.15">
      <c r="A2566">
        <v>24</v>
      </c>
      <c r="B2566">
        <v>2026</v>
      </c>
      <c r="C2566" s="21">
        <v>46190</v>
      </c>
      <c r="D2566" t="s">
        <v>80</v>
      </c>
      <c r="E2566" t="s">
        <v>81</v>
      </c>
      <c r="F2566" t="s">
        <v>21</v>
      </c>
      <c r="G2566">
        <v>2.2999999999999998</v>
      </c>
      <c r="H2566" t="s">
        <v>3391</v>
      </c>
      <c r="I2566" t="s">
        <v>353</v>
      </c>
      <c r="J2566" s="1" t="s">
        <v>253</v>
      </c>
      <c r="K2566" t="s">
        <v>181</v>
      </c>
      <c r="L2566" t="s">
        <v>3333</v>
      </c>
      <c r="M2566">
        <v>2</v>
      </c>
      <c r="N2566">
        <v>0.38</v>
      </c>
      <c r="O2566" t="s">
        <v>3440</v>
      </c>
      <c r="P2566">
        <v>33.93</v>
      </c>
      <c r="Q2566">
        <v>3</v>
      </c>
      <c r="R2566" t="s">
        <v>3424</v>
      </c>
      <c r="T2566" t="s">
        <v>3337</v>
      </c>
      <c r="U2566">
        <v>76</v>
      </c>
      <c r="V2566" t="s">
        <v>4265</v>
      </c>
    </row>
    <row r="2567" spans="1:22" ht="12.75" customHeight="1" x14ac:dyDescent="0.15">
      <c r="A2567">
        <v>24</v>
      </c>
      <c r="B2567">
        <v>2026</v>
      </c>
      <c r="C2567" s="21">
        <v>46190</v>
      </c>
      <c r="D2567" t="s">
        <v>122</v>
      </c>
      <c r="E2567" t="s">
        <v>123</v>
      </c>
      <c r="F2567" t="s">
        <v>75</v>
      </c>
      <c r="G2567">
        <v>4.5</v>
      </c>
      <c r="H2567" t="s">
        <v>3855</v>
      </c>
      <c r="I2567" t="s">
        <v>3808</v>
      </c>
      <c r="J2567" s="1" t="s">
        <v>26</v>
      </c>
      <c r="K2567" t="s">
        <v>181</v>
      </c>
      <c r="L2567" t="s">
        <v>3340</v>
      </c>
      <c r="M2567">
        <v>62</v>
      </c>
      <c r="N2567">
        <v>1.73</v>
      </c>
      <c r="O2567" t="s">
        <v>211</v>
      </c>
      <c r="P2567">
        <v>95</v>
      </c>
      <c r="R2567" t="s">
        <v>3375</v>
      </c>
      <c r="T2567" t="s">
        <v>3337</v>
      </c>
      <c r="V2567" t="s">
        <v>4266</v>
      </c>
    </row>
    <row r="2568" spans="1:22" ht="12.75" customHeight="1" x14ac:dyDescent="0.15">
      <c r="A2568">
        <v>24</v>
      </c>
      <c r="B2568">
        <v>2026</v>
      </c>
      <c r="C2568" s="21">
        <v>46190</v>
      </c>
      <c r="D2568" t="s">
        <v>122</v>
      </c>
      <c r="E2568" t="s">
        <v>123</v>
      </c>
      <c r="F2568" t="s">
        <v>75</v>
      </c>
      <c r="G2568">
        <v>4.5</v>
      </c>
      <c r="H2568" t="s">
        <v>3855</v>
      </c>
      <c r="I2568" t="s">
        <v>3808</v>
      </c>
      <c r="J2568" s="1" t="s">
        <v>26</v>
      </c>
      <c r="K2568" t="s">
        <v>181</v>
      </c>
      <c r="L2568" t="s">
        <v>3340</v>
      </c>
      <c r="M2568">
        <v>58</v>
      </c>
      <c r="N2568">
        <v>1.73</v>
      </c>
      <c r="O2568" t="s">
        <v>211</v>
      </c>
      <c r="P2568">
        <v>95</v>
      </c>
      <c r="R2568" t="s">
        <v>3343</v>
      </c>
      <c r="T2568" t="s">
        <v>3337</v>
      </c>
      <c r="V2568" t="s">
        <v>4266</v>
      </c>
    </row>
    <row r="2569" spans="1:22" ht="12.75" customHeight="1" x14ac:dyDescent="0.15">
      <c r="A2569">
        <v>24</v>
      </c>
      <c r="B2569">
        <v>2026</v>
      </c>
      <c r="C2569" s="21">
        <v>46190</v>
      </c>
      <c r="D2569" t="s">
        <v>122</v>
      </c>
      <c r="E2569" t="s">
        <v>123</v>
      </c>
      <c r="F2569" t="s">
        <v>75</v>
      </c>
      <c r="G2569">
        <v>4.5</v>
      </c>
      <c r="H2569" t="s">
        <v>3855</v>
      </c>
      <c r="I2569" t="s">
        <v>3808</v>
      </c>
      <c r="J2569" s="1" t="s">
        <v>26</v>
      </c>
      <c r="K2569" t="s">
        <v>181</v>
      </c>
      <c r="L2569" t="s">
        <v>3340</v>
      </c>
      <c r="M2569">
        <v>53</v>
      </c>
      <c r="N2569">
        <v>1.82</v>
      </c>
      <c r="O2569" t="s">
        <v>211</v>
      </c>
      <c r="P2569">
        <v>100</v>
      </c>
      <c r="R2569" t="s">
        <v>3373</v>
      </c>
      <c r="T2569" t="s">
        <v>3337</v>
      </c>
      <c r="V2569" t="s">
        <v>4267</v>
      </c>
    </row>
    <row r="2570" spans="1:22" ht="12.75" customHeight="1" x14ac:dyDescent="0.15">
      <c r="A2570">
        <v>24</v>
      </c>
      <c r="B2570">
        <v>2026</v>
      </c>
      <c r="C2570" s="21">
        <v>46190</v>
      </c>
      <c r="D2570" t="s">
        <v>122</v>
      </c>
      <c r="E2570" t="s">
        <v>123</v>
      </c>
      <c r="F2570" t="s">
        <v>75</v>
      </c>
      <c r="G2570">
        <v>4.5</v>
      </c>
      <c r="H2570" t="s">
        <v>3855</v>
      </c>
      <c r="I2570" t="s">
        <v>3808</v>
      </c>
      <c r="J2570" s="1" t="s">
        <v>26</v>
      </c>
      <c r="K2570" t="s">
        <v>181</v>
      </c>
      <c r="L2570" t="s">
        <v>3340</v>
      </c>
      <c r="M2570">
        <v>45</v>
      </c>
      <c r="N2570">
        <v>1.73</v>
      </c>
      <c r="O2570" t="s">
        <v>211</v>
      </c>
      <c r="P2570">
        <v>95</v>
      </c>
      <c r="R2570" t="s">
        <v>3377</v>
      </c>
      <c r="T2570" t="s">
        <v>3337</v>
      </c>
      <c r="V2570" t="s">
        <v>4266</v>
      </c>
    </row>
    <row r="2571" spans="1:22" ht="12.75" customHeight="1" x14ac:dyDescent="0.15">
      <c r="A2571">
        <v>24</v>
      </c>
      <c r="B2571">
        <v>2026</v>
      </c>
      <c r="C2571" s="21">
        <v>46190</v>
      </c>
      <c r="D2571" t="s">
        <v>122</v>
      </c>
      <c r="E2571" t="s">
        <v>123</v>
      </c>
      <c r="F2571" t="s">
        <v>75</v>
      </c>
      <c r="G2571">
        <v>4.5</v>
      </c>
      <c r="H2571" t="s">
        <v>3855</v>
      </c>
      <c r="I2571" t="s">
        <v>3808</v>
      </c>
      <c r="J2571" s="1" t="s">
        <v>26</v>
      </c>
      <c r="K2571" t="s">
        <v>181</v>
      </c>
      <c r="L2571" t="s">
        <v>3340</v>
      </c>
      <c r="M2571">
        <v>81</v>
      </c>
      <c r="N2571">
        <v>1.73</v>
      </c>
      <c r="O2571" t="s">
        <v>211</v>
      </c>
      <c r="P2571">
        <v>95</v>
      </c>
      <c r="R2571" t="s">
        <v>3374</v>
      </c>
      <c r="T2571" t="s">
        <v>3337</v>
      </c>
      <c r="V2571" t="s">
        <v>4266</v>
      </c>
    </row>
    <row r="2572" spans="1:22" ht="12.75" customHeight="1" x14ac:dyDescent="0.15">
      <c r="A2572">
        <v>24</v>
      </c>
      <c r="B2572">
        <v>2026</v>
      </c>
      <c r="C2572" s="21">
        <v>46190</v>
      </c>
      <c r="D2572" t="s">
        <v>122</v>
      </c>
      <c r="E2572" t="s">
        <v>123</v>
      </c>
      <c r="F2572" t="s">
        <v>75</v>
      </c>
      <c r="G2572">
        <v>4.5</v>
      </c>
      <c r="H2572" t="s">
        <v>4268</v>
      </c>
      <c r="I2572" t="s">
        <v>4269</v>
      </c>
      <c r="J2572" s="1" t="s">
        <v>26</v>
      </c>
      <c r="K2572" t="s">
        <v>181</v>
      </c>
      <c r="L2572" t="s">
        <v>3340</v>
      </c>
      <c r="M2572">
        <v>72</v>
      </c>
      <c r="N2572">
        <v>0.55000000000000004</v>
      </c>
      <c r="O2572" t="s">
        <v>211</v>
      </c>
      <c r="P2572">
        <v>30</v>
      </c>
      <c r="R2572" t="s">
        <v>3488</v>
      </c>
      <c r="T2572" t="s">
        <v>3337</v>
      </c>
      <c r="V2572" t="s">
        <v>3382</v>
      </c>
    </row>
    <row r="2573" spans="1:22" ht="12.75" customHeight="1" x14ac:dyDescent="0.15">
      <c r="A2573">
        <v>24</v>
      </c>
      <c r="B2573">
        <v>2026</v>
      </c>
      <c r="C2573" s="21">
        <v>46190</v>
      </c>
      <c r="D2573" t="s">
        <v>68</v>
      </c>
      <c r="E2573" t="s">
        <v>69</v>
      </c>
      <c r="F2573" t="s">
        <v>21</v>
      </c>
      <c r="G2573">
        <v>1</v>
      </c>
      <c r="H2573" t="s">
        <v>3803</v>
      </c>
      <c r="I2573" t="s">
        <v>3676</v>
      </c>
      <c r="J2573" s="1" t="s">
        <v>3533</v>
      </c>
      <c r="K2573" t="s">
        <v>181</v>
      </c>
      <c r="L2573" t="s">
        <v>3333</v>
      </c>
      <c r="M2573">
        <v>4</v>
      </c>
      <c r="N2573">
        <v>0.75</v>
      </c>
      <c r="O2573" t="s">
        <v>3334</v>
      </c>
      <c r="P2573">
        <v>61.19</v>
      </c>
      <c r="Q2573">
        <v>6</v>
      </c>
      <c r="R2573" t="s">
        <v>3773</v>
      </c>
      <c r="T2573" t="s">
        <v>3402</v>
      </c>
      <c r="U2573">
        <v>76</v>
      </c>
      <c r="V2573" t="s">
        <v>3715</v>
      </c>
    </row>
    <row r="2574" spans="1:22" ht="12.75" customHeight="1" x14ac:dyDescent="0.15">
      <c r="A2574">
        <v>24</v>
      </c>
      <c r="B2574">
        <v>2026</v>
      </c>
      <c r="C2574" s="21">
        <v>46190</v>
      </c>
      <c r="D2574" t="s">
        <v>80</v>
      </c>
      <c r="E2574" t="s">
        <v>81</v>
      </c>
      <c r="F2574" t="s">
        <v>21</v>
      </c>
      <c r="G2574">
        <v>2.2999999999999998</v>
      </c>
      <c r="H2574" t="s">
        <v>3391</v>
      </c>
      <c r="I2574" t="s">
        <v>353</v>
      </c>
      <c r="J2574" s="1" t="s">
        <v>253</v>
      </c>
      <c r="K2574" t="s">
        <v>181</v>
      </c>
      <c r="L2574" t="s">
        <v>3333</v>
      </c>
      <c r="M2574">
        <v>67</v>
      </c>
      <c r="N2574">
        <v>1</v>
      </c>
      <c r="O2574" t="s">
        <v>3334</v>
      </c>
      <c r="P2574">
        <v>81.58</v>
      </c>
      <c r="Q2574">
        <v>8</v>
      </c>
      <c r="R2574" t="s">
        <v>3404</v>
      </c>
      <c r="T2574" t="s">
        <v>3402</v>
      </c>
      <c r="U2574">
        <v>76</v>
      </c>
      <c r="V2574" t="s">
        <v>3612</v>
      </c>
    </row>
    <row r="2575" spans="1:22" ht="12.75" customHeight="1" x14ac:dyDescent="0.15">
      <c r="A2575">
        <v>24</v>
      </c>
      <c r="B2575">
        <v>2026</v>
      </c>
      <c r="C2575" s="21">
        <v>46190</v>
      </c>
      <c r="D2575" t="s">
        <v>80</v>
      </c>
      <c r="E2575" t="s">
        <v>81</v>
      </c>
      <c r="F2575" t="s">
        <v>21</v>
      </c>
      <c r="G2575">
        <v>2.2999999999999998</v>
      </c>
      <c r="H2575" t="s">
        <v>3391</v>
      </c>
      <c r="I2575" t="s">
        <v>353</v>
      </c>
      <c r="J2575" s="1" t="s">
        <v>253</v>
      </c>
      <c r="K2575" t="s">
        <v>181</v>
      </c>
      <c r="L2575" t="s">
        <v>3333</v>
      </c>
      <c r="M2575">
        <v>19</v>
      </c>
      <c r="N2575">
        <v>1</v>
      </c>
      <c r="O2575" t="s">
        <v>3334</v>
      </c>
      <c r="P2575">
        <v>81.58</v>
      </c>
      <c r="Q2575">
        <v>8</v>
      </c>
      <c r="R2575" t="s">
        <v>3403</v>
      </c>
      <c r="T2575" t="s">
        <v>3402</v>
      </c>
      <c r="U2575">
        <v>76</v>
      </c>
      <c r="V2575" t="s">
        <v>3612</v>
      </c>
    </row>
    <row r="2576" spans="1:22" ht="12.75" customHeight="1" x14ac:dyDescent="0.15">
      <c r="A2576">
        <v>24</v>
      </c>
      <c r="B2576">
        <v>2026</v>
      </c>
      <c r="C2576" s="21">
        <v>46190</v>
      </c>
      <c r="D2576" t="s">
        <v>143</v>
      </c>
      <c r="E2576" t="s">
        <v>144</v>
      </c>
      <c r="F2576" t="s">
        <v>21</v>
      </c>
      <c r="G2576">
        <v>1.8</v>
      </c>
      <c r="H2576" t="s">
        <v>3672</v>
      </c>
      <c r="I2576" t="s">
        <v>3673</v>
      </c>
      <c r="J2576" s="1" t="s">
        <v>26</v>
      </c>
      <c r="K2576" t="s">
        <v>181</v>
      </c>
      <c r="L2576" t="s">
        <v>3333</v>
      </c>
      <c r="M2576">
        <v>86</v>
      </c>
      <c r="N2576">
        <v>0.63</v>
      </c>
      <c r="O2576" t="s">
        <v>3334</v>
      </c>
      <c r="P2576">
        <v>50.99</v>
      </c>
      <c r="Q2576">
        <v>5</v>
      </c>
      <c r="R2576" t="s">
        <v>3386</v>
      </c>
      <c r="T2576" t="s">
        <v>3402</v>
      </c>
      <c r="V2576" t="s">
        <v>4270</v>
      </c>
    </row>
    <row r="2577" spans="1:22" ht="12.75" customHeight="1" x14ac:dyDescent="0.15">
      <c r="A2577">
        <v>24</v>
      </c>
      <c r="B2577">
        <v>2026</v>
      </c>
      <c r="C2577" s="21">
        <v>46190</v>
      </c>
      <c r="D2577" t="s">
        <v>143</v>
      </c>
      <c r="E2577" t="s">
        <v>144</v>
      </c>
      <c r="F2577" t="s">
        <v>21</v>
      </c>
      <c r="G2577">
        <v>1.8</v>
      </c>
      <c r="H2577" t="s">
        <v>3947</v>
      </c>
      <c r="I2577" t="s">
        <v>3673</v>
      </c>
      <c r="J2577" s="1" t="s">
        <v>26</v>
      </c>
      <c r="K2577" t="s">
        <v>2666</v>
      </c>
      <c r="L2577" t="s">
        <v>3587</v>
      </c>
      <c r="P2577">
        <v>49.2</v>
      </c>
      <c r="T2577" t="s">
        <v>3402</v>
      </c>
      <c r="V2577" t="s">
        <v>4271</v>
      </c>
    </row>
    <row r="2578" spans="1:22" ht="12.75" customHeight="1" x14ac:dyDescent="0.15">
      <c r="A2578">
        <v>24</v>
      </c>
      <c r="B2578">
        <v>2026</v>
      </c>
      <c r="C2578" s="21">
        <v>46190</v>
      </c>
      <c r="D2578" t="s">
        <v>68</v>
      </c>
      <c r="E2578" t="s">
        <v>69</v>
      </c>
      <c r="F2578" t="s">
        <v>21</v>
      </c>
      <c r="G2578">
        <v>1</v>
      </c>
      <c r="H2578" t="s">
        <v>4241</v>
      </c>
      <c r="I2578" t="s">
        <v>4242</v>
      </c>
      <c r="J2578" s="1" t="s">
        <v>3668</v>
      </c>
      <c r="K2578" t="s">
        <v>181</v>
      </c>
      <c r="L2578" t="s">
        <v>3340</v>
      </c>
      <c r="M2578">
        <v>78</v>
      </c>
      <c r="N2578">
        <v>0.82</v>
      </c>
      <c r="O2578" t="s">
        <v>211</v>
      </c>
      <c r="P2578">
        <v>45</v>
      </c>
      <c r="Q2578">
        <v>5</v>
      </c>
      <c r="R2578" t="s">
        <v>3341</v>
      </c>
      <c r="T2578" t="s">
        <v>3402</v>
      </c>
      <c r="U2578">
        <v>76</v>
      </c>
      <c r="V2578" t="s">
        <v>3530</v>
      </c>
    </row>
    <row r="2579" spans="1:22" ht="12.75" customHeight="1" x14ac:dyDescent="0.15">
      <c r="A2579">
        <v>24</v>
      </c>
      <c r="B2579">
        <v>2026</v>
      </c>
      <c r="C2579" s="21">
        <v>46190</v>
      </c>
      <c r="D2579" t="s">
        <v>141</v>
      </c>
      <c r="E2579" t="s">
        <v>142</v>
      </c>
      <c r="F2579" t="s">
        <v>75</v>
      </c>
      <c r="G2579">
        <v>1</v>
      </c>
      <c r="H2579" t="s">
        <v>4241</v>
      </c>
      <c r="I2579" t="s">
        <v>4242</v>
      </c>
      <c r="J2579" s="1" t="s">
        <v>3668</v>
      </c>
      <c r="K2579" t="s">
        <v>181</v>
      </c>
      <c r="L2579" t="s">
        <v>3340</v>
      </c>
      <c r="M2579">
        <v>78</v>
      </c>
      <c r="N2579">
        <v>0.49</v>
      </c>
      <c r="O2579" t="s">
        <v>211</v>
      </c>
      <c r="P2579">
        <v>27</v>
      </c>
      <c r="Q2579">
        <v>3</v>
      </c>
      <c r="R2579" t="s">
        <v>3341</v>
      </c>
      <c r="T2579" t="s">
        <v>3402</v>
      </c>
      <c r="U2579">
        <v>-6</v>
      </c>
      <c r="V2579" t="s">
        <v>273</v>
      </c>
    </row>
    <row r="2580" spans="1:22" ht="12.75" customHeight="1" x14ac:dyDescent="0.15">
      <c r="A2580">
        <v>24</v>
      </c>
      <c r="B2580">
        <v>2026</v>
      </c>
      <c r="C2580" s="21">
        <v>46190</v>
      </c>
      <c r="D2580" t="s">
        <v>141</v>
      </c>
      <c r="E2580" t="s">
        <v>142</v>
      </c>
      <c r="F2580" t="s">
        <v>75</v>
      </c>
      <c r="G2580">
        <v>1</v>
      </c>
      <c r="H2580" t="s">
        <v>4241</v>
      </c>
      <c r="I2580" t="s">
        <v>4242</v>
      </c>
      <c r="J2580" s="1" t="s">
        <v>3668</v>
      </c>
      <c r="K2580" t="s">
        <v>181</v>
      </c>
      <c r="L2580" t="s">
        <v>3333</v>
      </c>
      <c r="M2580">
        <v>86</v>
      </c>
      <c r="N2580">
        <v>0.38</v>
      </c>
      <c r="O2580" t="s">
        <v>3334</v>
      </c>
      <c r="P2580">
        <v>30.59</v>
      </c>
      <c r="Q2580">
        <v>3</v>
      </c>
      <c r="R2580" t="s">
        <v>3386</v>
      </c>
      <c r="T2580" t="s">
        <v>3402</v>
      </c>
      <c r="U2580">
        <v>-6</v>
      </c>
      <c r="V2580" t="s">
        <v>3491</v>
      </c>
    </row>
    <row r="2581" spans="1:22" ht="12.75" customHeight="1" x14ac:dyDescent="0.15">
      <c r="A2581">
        <v>24</v>
      </c>
      <c r="B2581">
        <v>2026</v>
      </c>
      <c r="C2581" s="21">
        <v>46190</v>
      </c>
      <c r="D2581" t="s">
        <v>141</v>
      </c>
      <c r="E2581" t="s">
        <v>142</v>
      </c>
      <c r="F2581" t="s">
        <v>75</v>
      </c>
      <c r="G2581">
        <v>1</v>
      </c>
      <c r="H2581" t="s">
        <v>3803</v>
      </c>
      <c r="I2581" t="s">
        <v>3676</v>
      </c>
      <c r="J2581" s="1" t="s">
        <v>3533</v>
      </c>
      <c r="K2581" t="s">
        <v>181</v>
      </c>
      <c r="L2581" t="s">
        <v>3333</v>
      </c>
      <c r="M2581">
        <v>4</v>
      </c>
      <c r="N2581">
        <v>0.25</v>
      </c>
      <c r="O2581" t="s">
        <v>3334</v>
      </c>
      <c r="P2581">
        <v>20.399999999999999</v>
      </c>
      <c r="Q2581">
        <v>2</v>
      </c>
      <c r="R2581" t="s">
        <v>3773</v>
      </c>
      <c r="T2581" t="s">
        <v>3402</v>
      </c>
      <c r="U2581">
        <v>-6</v>
      </c>
      <c r="V2581" t="s">
        <v>3474</v>
      </c>
    </row>
    <row r="2582" spans="1:22" ht="12.75" customHeight="1" x14ac:dyDescent="0.15">
      <c r="A2582">
        <v>24</v>
      </c>
      <c r="B2582">
        <v>2026</v>
      </c>
      <c r="C2582" s="21">
        <v>46191</v>
      </c>
      <c r="D2582" t="s">
        <v>122</v>
      </c>
      <c r="E2582" t="s">
        <v>123</v>
      </c>
      <c r="F2582" t="s">
        <v>75</v>
      </c>
      <c r="G2582">
        <v>4.5</v>
      </c>
      <c r="H2582" t="s">
        <v>3855</v>
      </c>
      <c r="I2582" t="s">
        <v>3808</v>
      </c>
      <c r="J2582" s="1" t="s">
        <v>26</v>
      </c>
      <c r="K2582" t="s">
        <v>181</v>
      </c>
      <c r="L2582" t="s">
        <v>3340</v>
      </c>
      <c r="M2582">
        <v>58</v>
      </c>
      <c r="N2582">
        <v>1.82</v>
      </c>
      <c r="O2582" t="s">
        <v>211</v>
      </c>
      <c r="P2582">
        <v>100</v>
      </c>
      <c r="R2582" t="s">
        <v>3343</v>
      </c>
      <c r="T2582" t="s">
        <v>3337</v>
      </c>
      <c r="V2582" t="s">
        <v>4267</v>
      </c>
    </row>
    <row r="2583" spans="1:22" ht="12.75" customHeight="1" x14ac:dyDescent="0.15">
      <c r="A2583">
        <v>24</v>
      </c>
      <c r="B2583">
        <v>2026</v>
      </c>
      <c r="C2583" s="21">
        <v>46191</v>
      </c>
      <c r="D2583" t="s">
        <v>122</v>
      </c>
      <c r="E2583" t="s">
        <v>123</v>
      </c>
      <c r="F2583" t="s">
        <v>75</v>
      </c>
      <c r="G2583">
        <v>4.5</v>
      </c>
      <c r="H2583" t="s">
        <v>3855</v>
      </c>
      <c r="I2583" t="s">
        <v>3808</v>
      </c>
      <c r="J2583" s="1" t="s">
        <v>26</v>
      </c>
      <c r="K2583" t="s">
        <v>181</v>
      </c>
      <c r="L2583" t="s">
        <v>3340</v>
      </c>
      <c r="M2583">
        <v>53</v>
      </c>
      <c r="N2583">
        <v>1.82</v>
      </c>
      <c r="O2583" t="s">
        <v>211</v>
      </c>
      <c r="P2583">
        <v>100</v>
      </c>
      <c r="R2583" t="s">
        <v>3373</v>
      </c>
      <c r="T2583" t="s">
        <v>3337</v>
      </c>
      <c r="V2583" t="s">
        <v>4267</v>
      </c>
    </row>
    <row r="2584" spans="1:22" ht="12.75" customHeight="1" x14ac:dyDescent="0.15">
      <c r="A2584">
        <v>24</v>
      </c>
      <c r="B2584">
        <v>2026</v>
      </c>
      <c r="C2584" s="21">
        <v>46191</v>
      </c>
      <c r="D2584" t="s">
        <v>122</v>
      </c>
      <c r="E2584" t="s">
        <v>123</v>
      </c>
      <c r="F2584" t="s">
        <v>75</v>
      </c>
      <c r="G2584">
        <v>4.5</v>
      </c>
      <c r="H2584" t="s">
        <v>3855</v>
      </c>
      <c r="I2584" t="s">
        <v>3808</v>
      </c>
      <c r="J2584" s="1" t="s">
        <v>26</v>
      </c>
      <c r="K2584" t="s">
        <v>181</v>
      </c>
      <c r="L2584" t="s">
        <v>3340</v>
      </c>
      <c r="M2584">
        <v>45</v>
      </c>
      <c r="N2584">
        <v>1.82</v>
      </c>
      <c r="O2584" t="s">
        <v>211</v>
      </c>
      <c r="P2584">
        <v>100</v>
      </c>
      <c r="R2584" t="s">
        <v>3377</v>
      </c>
      <c r="T2584" t="s">
        <v>3337</v>
      </c>
      <c r="V2584" t="s">
        <v>4267</v>
      </c>
    </row>
    <row r="2585" spans="1:22" ht="12.75" customHeight="1" x14ac:dyDescent="0.15">
      <c r="A2585">
        <v>24</v>
      </c>
      <c r="B2585">
        <v>2026</v>
      </c>
      <c r="C2585" s="21">
        <v>46191</v>
      </c>
      <c r="D2585" t="s">
        <v>122</v>
      </c>
      <c r="E2585" t="s">
        <v>123</v>
      </c>
      <c r="F2585" t="s">
        <v>75</v>
      </c>
      <c r="G2585">
        <v>4.5</v>
      </c>
      <c r="H2585" t="s">
        <v>3855</v>
      </c>
      <c r="I2585" t="s">
        <v>3808</v>
      </c>
      <c r="J2585" s="1" t="s">
        <v>26</v>
      </c>
      <c r="K2585" t="s">
        <v>181</v>
      </c>
      <c r="L2585" t="s">
        <v>3340</v>
      </c>
      <c r="M2585">
        <v>81</v>
      </c>
      <c r="N2585">
        <v>1.82</v>
      </c>
      <c r="O2585" t="s">
        <v>211</v>
      </c>
      <c r="P2585">
        <v>100</v>
      </c>
      <c r="R2585" t="s">
        <v>3374</v>
      </c>
      <c r="T2585" t="s">
        <v>3337</v>
      </c>
      <c r="V2585" t="s">
        <v>4267</v>
      </c>
    </row>
    <row r="2586" spans="1:22" ht="12.75" customHeight="1" x14ac:dyDescent="0.15">
      <c r="A2586">
        <v>24</v>
      </c>
      <c r="B2586">
        <v>2026</v>
      </c>
      <c r="C2586" s="21">
        <v>46191</v>
      </c>
      <c r="D2586" t="s">
        <v>122</v>
      </c>
      <c r="E2586" t="s">
        <v>123</v>
      </c>
      <c r="F2586" t="s">
        <v>75</v>
      </c>
      <c r="G2586">
        <v>4.5</v>
      </c>
      <c r="H2586" t="s">
        <v>3855</v>
      </c>
      <c r="I2586" t="s">
        <v>3808</v>
      </c>
      <c r="J2586" s="1" t="s">
        <v>26</v>
      </c>
      <c r="K2586" t="s">
        <v>181</v>
      </c>
      <c r="L2586" t="s">
        <v>3340</v>
      </c>
      <c r="M2586">
        <v>62</v>
      </c>
      <c r="N2586">
        <v>1.82</v>
      </c>
      <c r="O2586" t="s">
        <v>211</v>
      </c>
      <c r="P2586">
        <v>100</v>
      </c>
      <c r="R2586" t="s">
        <v>3375</v>
      </c>
      <c r="T2586" t="s">
        <v>3337</v>
      </c>
      <c r="V2586" t="s">
        <v>4267</v>
      </c>
    </row>
    <row r="2587" spans="1:22" ht="12.75" customHeight="1" x14ac:dyDescent="0.15">
      <c r="A2587">
        <v>24</v>
      </c>
      <c r="B2587">
        <v>2026</v>
      </c>
      <c r="C2587" s="21">
        <v>46191</v>
      </c>
      <c r="D2587" t="s">
        <v>122</v>
      </c>
      <c r="E2587" t="s">
        <v>123</v>
      </c>
      <c r="F2587" t="s">
        <v>75</v>
      </c>
      <c r="G2587">
        <v>4.5</v>
      </c>
      <c r="H2587" t="s">
        <v>4268</v>
      </c>
      <c r="I2587" t="s">
        <v>4269</v>
      </c>
      <c r="J2587" s="1" t="s">
        <v>26</v>
      </c>
      <c r="K2587" t="s">
        <v>181</v>
      </c>
      <c r="L2587" t="s">
        <v>3340</v>
      </c>
      <c r="M2587">
        <v>72</v>
      </c>
      <c r="N2587">
        <v>0.36</v>
      </c>
      <c r="O2587" t="s">
        <v>211</v>
      </c>
      <c r="P2587">
        <v>20</v>
      </c>
      <c r="R2587" t="s">
        <v>3488</v>
      </c>
      <c r="T2587" t="s">
        <v>3337</v>
      </c>
      <c r="V2587" t="s">
        <v>4161</v>
      </c>
    </row>
    <row r="2588" spans="1:22" ht="12.75" customHeight="1" x14ac:dyDescent="0.15">
      <c r="A2588">
        <v>24</v>
      </c>
      <c r="B2588">
        <v>2026</v>
      </c>
      <c r="C2588" s="21">
        <v>46191</v>
      </c>
      <c r="D2588" t="s">
        <v>143</v>
      </c>
      <c r="E2588" t="s">
        <v>144</v>
      </c>
      <c r="F2588" t="s">
        <v>21</v>
      </c>
      <c r="G2588">
        <v>1.8</v>
      </c>
      <c r="H2588" t="s">
        <v>3346</v>
      </c>
      <c r="I2588" t="s">
        <v>212</v>
      </c>
      <c r="J2588" s="1" t="s">
        <v>188</v>
      </c>
      <c r="K2588" t="s">
        <v>181</v>
      </c>
      <c r="L2588" t="s">
        <v>3333</v>
      </c>
      <c r="M2588">
        <v>1</v>
      </c>
      <c r="N2588">
        <v>1</v>
      </c>
      <c r="O2588" t="s">
        <v>3358</v>
      </c>
      <c r="P2588">
        <v>71.86</v>
      </c>
      <c r="Q2588">
        <v>8</v>
      </c>
      <c r="R2588" t="s">
        <v>3359</v>
      </c>
      <c r="T2588" t="s">
        <v>3337</v>
      </c>
      <c r="V2588">
        <f>+P2588/G2588</f>
        <v>39.922222222222224</v>
      </c>
    </row>
    <row r="2589" spans="1:22" ht="12.75" customHeight="1" x14ac:dyDescent="0.15">
      <c r="A2589">
        <v>24</v>
      </c>
      <c r="B2589">
        <v>2026</v>
      </c>
      <c r="C2589" s="21">
        <v>46191</v>
      </c>
      <c r="D2589" t="s">
        <v>143</v>
      </c>
      <c r="E2589" t="s">
        <v>144</v>
      </c>
      <c r="F2589" t="s">
        <v>21</v>
      </c>
      <c r="G2589">
        <v>1.8</v>
      </c>
      <c r="H2589" t="s">
        <v>3346</v>
      </c>
      <c r="I2589" t="s">
        <v>212</v>
      </c>
      <c r="J2589" s="1" t="s">
        <v>188</v>
      </c>
      <c r="K2589" t="s">
        <v>181</v>
      </c>
      <c r="L2589" t="s">
        <v>3333</v>
      </c>
      <c r="M2589">
        <v>6</v>
      </c>
      <c r="N2589">
        <v>1</v>
      </c>
      <c r="O2589" t="s">
        <v>3334</v>
      </c>
      <c r="P2589">
        <v>81.58</v>
      </c>
      <c r="Q2589">
        <v>8</v>
      </c>
      <c r="R2589" t="s">
        <v>3335</v>
      </c>
      <c r="T2589" t="s">
        <v>3337</v>
      </c>
      <c r="V2589" t="s">
        <v>4261</v>
      </c>
    </row>
    <row r="2590" spans="1:22" ht="12.75" customHeight="1" x14ac:dyDescent="0.15">
      <c r="A2590">
        <v>24</v>
      </c>
      <c r="B2590">
        <v>2026</v>
      </c>
      <c r="C2590" s="21">
        <v>46191</v>
      </c>
      <c r="D2590" t="s">
        <v>80</v>
      </c>
      <c r="E2590" t="s">
        <v>81</v>
      </c>
      <c r="F2590" t="s">
        <v>21</v>
      </c>
      <c r="G2590">
        <v>2.2999999999999998</v>
      </c>
      <c r="H2590" t="s">
        <v>3391</v>
      </c>
      <c r="I2590" t="s">
        <v>353</v>
      </c>
      <c r="J2590" s="1" t="s">
        <v>253</v>
      </c>
      <c r="K2590" t="s">
        <v>181</v>
      </c>
      <c r="L2590" t="s">
        <v>3340</v>
      </c>
      <c r="M2590">
        <v>25</v>
      </c>
      <c r="N2590">
        <v>1</v>
      </c>
      <c r="O2590" t="s">
        <v>211</v>
      </c>
      <c r="P2590">
        <v>55</v>
      </c>
      <c r="R2590" t="s">
        <v>3413</v>
      </c>
      <c r="T2590" t="s">
        <v>3337</v>
      </c>
      <c r="U2590">
        <v>77</v>
      </c>
      <c r="V2590" t="s">
        <v>4272</v>
      </c>
    </row>
    <row r="2591" spans="1:22" ht="12.75" customHeight="1" x14ac:dyDescent="0.15">
      <c r="A2591">
        <v>24</v>
      </c>
      <c r="B2591">
        <v>2026</v>
      </c>
      <c r="C2591" s="21">
        <v>46191</v>
      </c>
      <c r="D2591" t="s">
        <v>80</v>
      </c>
      <c r="E2591" t="s">
        <v>81</v>
      </c>
      <c r="F2591" t="s">
        <v>21</v>
      </c>
      <c r="G2591">
        <v>2.2999999999999998</v>
      </c>
      <c r="H2591" t="s">
        <v>3391</v>
      </c>
      <c r="I2591" t="s">
        <v>353</v>
      </c>
      <c r="J2591" s="1" t="s">
        <v>253</v>
      </c>
      <c r="K2591" t="s">
        <v>181</v>
      </c>
      <c r="L2591" t="s">
        <v>3333</v>
      </c>
      <c r="M2591">
        <v>67</v>
      </c>
      <c r="N2591">
        <v>0.13</v>
      </c>
      <c r="O2591" t="s">
        <v>3334</v>
      </c>
      <c r="P2591">
        <v>10.199999999999999</v>
      </c>
      <c r="Q2591">
        <v>1</v>
      </c>
      <c r="R2591" t="s">
        <v>3404</v>
      </c>
      <c r="T2591" t="s">
        <v>3402</v>
      </c>
      <c r="U2591">
        <v>77</v>
      </c>
      <c r="V2591" t="s">
        <v>3713</v>
      </c>
    </row>
    <row r="2592" spans="1:22" ht="12.75" customHeight="1" x14ac:dyDescent="0.15">
      <c r="A2592">
        <v>24</v>
      </c>
      <c r="B2592">
        <v>2026</v>
      </c>
      <c r="C2592" s="21">
        <v>46191</v>
      </c>
      <c r="D2592" t="s">
        <v>80</v>
      </c>
      <c r="E2592" t="s">
        <v>81</v>
      </c>
      <c r="F2592" t="s">
        <v>21</v>
      </c>
      <c r="G2592">
        <v>2.2999999999999998</v>
      </c>
      <c r="H2592" t="s">
        <v>3391</v>
      </c>
      <c r="I2592" t="s">
        <v>353</v>
      </c>
      <c r="J2592" s="1" t="s">
        <v>253</v>
      </c>
      <c r="K2592" t="s">
        <v>181</v>
      </c>
      <c r="L2592" t="s">
        <v>3333</v>
      </c>
      <c r="M2592">
        <v>19</v>
      </c>
      <c r="N2592">
        <v>0.13</v>
      </c>
      <c r="O2592" t="s">
        <v>3334</v>
      </c>
      <c r="P2592">
        <v>10.199999999999999</v>
      </c>
      <c r="Q2592">
        <v>1</v>
      </c>
      <c r="R2592" t="s">
        <v>3403</v>
      </c>
      <c r="T2592" t="s">
        <v>3402</v>
      </c>
      <c r="U2592">
        <v>77</v>
      </c>
      <c r="V2592" t="s">
        <v>3713</v>
      </c>
    </row>
    <row r="2593" spans="1:22" ht="12.75" customHeight="1" x14ac:dyDescent="0.15">
      <c r="A2593">
        <v>24</v>
      </c>
      <c r="B2593">
        <v>2026</v>
      </c>
      <c r="C2593" s="21">
        <v>46191</v>
      </c>
      <c r="D2593" t="s">
        <v>84</v>
      </c>
      <c r="E2593" t="s">
        <v>85</v>
      </c>
      <c r="F2593" t="s">
        <v>21</v>
      </c>
      <c r="G2593">
        <v>2</v>
      </c>
      <c r="H2593" t="s">
        <v>3391</v>
      </c>
      <c r="I2593" t="s">
        <v>353</v>
      </c>
      <c r="J2593" s="1" t="s">
        <v>253</v>
      </c>
      <c r="K2593" t="s">
        <v>181</v>
      </c>
      <c r="L2593" t="s">
        <v>3333</v>
      </c>
      <c r="M2593">
        <v>67</v>
      </c>
      <c r="N2593">
        <v>0.88</v>
      </c>
      <c r="O2593" t="s">
        <v>3334</v>
      </c>
      <c r="P2593">
        <v>71.38</v>
      </c>
      <c r="Q2593">
        <v>7</v>
      </c>
      <c r="R2593" t="s">
        <v>3404</v>
      </c>
      <c r="T2593" t="s">
        <v>3402</v>
      </c>
      <c r="U2593">
        <v>59</v>
      </c>
      <c r="V2593" t="s">
        <v>3469</v>
      </c>
    </row>
    <row r="2594" spans="1:22" ht="12.75" customHeight="1" x14ac:dyDescent="0.15">
      <c r="A2594">
        <v>24</v>
      </c>
      <c r="B2594">
        <v>2026</v>
      </c>
      <c r="C2594" s="21">
        <v>46191</v>
      </c>
      <c r="D2594" t="s">
        <v>84</v>
      </c>
      <c r="E2594" t="s">
        <v>85</v>
      </c>
      <c r="F2594" t="s">
        <v>21</v>
      </c>
      <c r="G2594">
        <v>2</v>
      </c>
      <c r="H2594" t="s">
        <v>3391</v>
      </c>
      <c r="I2594" t="s">
        <v>353</v>
      </c>
      <c r="J2594" s="1" t="s">
        <v>253</v>
      </c>
      <c r="K2594" t="s">
        <v>181</v>
      </c>
      <c r="L2594" t="s">
        <v>3333</v>
      </c>
      <c r="M2594">
        <v>19</v>
      </c>
      <c r="N2594">
        <v>0.88</v>
      </c>
      <c r="O2594" t="s">
        <v>3334</v>
      </c>
      <c r="P2594">
        <v>71.38</v>
      </c>
      <c r="Q2594">
        <v>7</v>
      </c>
      <c r="R2594" t="s">
        <v>3403</v>
      </c>
      <c r="T2594" t="s">
        <v>3402</v>
      </c>
      <c r="U2594">
        <v>59</v>
      </c>
      <c r="V2594" t="s">
        <v>3469</v>
      </c>
    </row>
    <row r="2595" spans="1:22" ht="15" customHeight="1" x14ac:dyDescent="0.2">
      <c r="A2595">
        <v>24</v>
      </c>
      <c r="B2595">
        <v>2026</v>
      </c>
      <c r="C2595" s="21">
        <v>46191</v>
      </c>
      <c r="D2595" t="s">
        <v>135</v>
      </c>
      <c r="E2595" s="27" t="s">
        <v>136</v>
      </c>
      <c r="F2595" t="s">
        <v>21</v>
      </c>
      <c r="G2595">
        <v>1</v>
      </c>
      <c r="H2595" t="s">
        <v>3567</v>
      </c>
      <c r="I2595" t="s">
        <v>321</v>
      </c>
      <c r="J2595" s="1" t="s">
        <v>26</v>
      </c>
      <c r="K2595" t="s">
        <v>181</v>
      </c>
      <c r="L2595" t="s">
        <v>3333</v>
      </c>
      <c r="M2595">
        <v>86</v>
      </c>
      <c r="N2595">
        <v>1</v>
      </c>
      <c r="O2595" t="s">
        <v>3334</v>
      </c>
      <c r="P2595">
        <v>81.58</v>
      </c>
      <c r="Q2595">
        <v>8</v>
      </c>
      <c r="R2595" t="s">
        <v>3386</v>
      </c>
      <c r="S2595" t="s">
        <v>4273</v>
      </c>
      <c r="T2595" t="s">
        <v>3402</v>
      </c>
      <c r="U2595">
        <v>-8</v>
      </c>
      <c r="V2595" t="s">
        <v>3334</v>
      </c>
    </row>
    <row r="2596" spans="1:22" ht="15" customHeight="1" x14ac:dyDescent="0.2">
      <c r="A2596">
        <v>24</v>
      </c>
      <c r="B2596">
        <v>2026</v>
      </c>
      <c r="C2596" s="21">
        <v>46191</v>
      </c>
      <c r="D2596" t="s">
        <v>135</v>
      </c>
      <c r="E2596" s="27" t="s">
        <v>136</v>
      </c>
      <c r="F2596" t="s">
        <v>21</v>
      </c>
      <c r="G2596">
        <v>1</v>
      </c>
      <c r="H2596" t="s">
        <v>4013</v>
      </c>
      <c r="I2596" t="s">
        <v>321</v>
      </c>
      <c r="J2596" s="1" t="s">
        <v>26</v>
      </c>
      <c r="K2596" t="s">
        <v>2666</v>
      </c>
      <c r="L2596" t="s">
        <v>3587</v>
      </c>
      <c r="T2596" t="s">
        <v>3402</v>
      </c>
      <c r="U2596">
        <v>-8</v>
      </c>
      <c r="V2596" t="s">
        <v>88</v>
      </c>
    </row>
    <row r="2597" spans="1:22" ht="12.75" customHeight="1" x14ac:dyDescent="0.15">
      <c r="A2597">
        <v>24</v>
      </c>
      <c r="B2597">
        <v>2026</v>
      </c>
      <c r="C2597" s="21">
        <v>46191</v>
      </c>
      <c r="D2597" t="s">
        <v>141</v>
      </c>
      <c r="E2597" t="s">
        <v>142</v>
      </c>
      <c r="F2597" t="s">
        <v>75</v>
      </c>
      <c r="G2597">
        <v>1</v>
      </c>
      <c r="H2597" t="s">
        <v>4135</v>
      </c>
      <c r="I2597" t="s">
        <v>4136</v>
      </c>
      <c r="J2597" s="1" t="s">
        <v>3533</v>
      </c>
      <c r="K2597" t="s">
        <v>181</v>
      </c>
      <c r="L2597" t="s">
        <v>3333</v>
      </c>
      <c r="M2597">
        <v>4</v>
      </c>
      <c r="N2597">
        <v>0.75</v>
      </c>
      <c r="O2597" t="s">
        <v>3334</v>
      </c>
      <c r="P2597">
        <v>61.19</v>
      </c>
      <c r="Q2597">
        <v>6</v>
      </c>
      <c r="R2597" t="s">
        <v>3773</v>
      </c>
      <c r="T2597" t="s">
        <v>3402</v>
      </c>
      <c r="U2597">
        <v>-5</v>
      </c>
      <c r="V2597" t="s">
        <v>3715</v>
      </c>
    </row>
    <row r="2598" spans="1:22" ht="12.75" customHeight="1" x14ac:dyDescent="0.15">
      <c r="A2598">
        <v>24</v>
      </c>
      <c r="B2598">
        <v>2026</v>
      </c>
      <c r="C2598" s="21">
        <v>46191</v>
      </c>
      <c r="D2598" t="s">
        <v>141</v>
      </c>
      <c r="E2598" t="s">
        <v>142</v>
      </c>
      <c r="F2598" t="s">
        <v>75</v>
      </c>
      <c r="G2598">
        <v>1</v>
      </c>
      <c r="H2598" t="s">
        <v>4241</v>
      </c>
      <c r="I2598" t="s">
        <v>4242</v>
      </c>
      <c r="J2598" s="1" t="s">
        <v>3668</v>
      </c>
      <c r="K2598" t="s">
        <v>181</v>
      </c>
      <c r="L2598" t="s">
        <v>3340</v>
      </c>
      <c r="M2598">
        <v>78</v>
      </c>
      <c r="N2598">
        <v>0.33</v>
      </c>
      <c r="O2598" t="s">
        <v>211</v>
      </c>
      <c r="P2598">
        <v>18</v>
      </c>
      <c r="Q2598">
        <v>2</v>
      </c>
      <c r="R2598" t="s">
        <v>3341</v>
      </c>
      <c r="T2598" t="s">
        <v>3402</v>
      </c>
      <c r="U2598">
        <v>-5</v>
      </c>
      <c r="V2598" t="s">
        <v>260</v>
      </c>
    </row>
    <row r="2599" spans="1:22" ht="12.75" customHeight="1" x14ac:dyDescent="0.15">
      <c r="A2599">
        <v>24</v>
      </c>
      <c r="B2599">
        <v>2026</v>
      </c>
      <c r="C2599" s="21">
        <v>46191</v>
      </c>
      <c r="D2599" t="s">
        <v>141</v>
      </c>
      <c r="E2599" t="s">
        <v>142</v>
      </c>
      <c r="F2599" t="s">
        <v>75</v>
      </c>
      <c r="G2599">
        <v>1</v>
      </c>
      <c r="H2599" t="s">
        <v>4135</v>
      </c>
      <c r="I2599" t="s">
        <v>4136</v>
      </c>
      <c r="J2599" s="1" t="s">
        <v>3533</v>
      </c>
      <c r="K2599" t="s">
        <v>181</v>
      </c>
      <c r="L2599" t="s">
        <v>3340</v>
      </c>
      <c r="M2599">
        <v>78</v>
      </c>
      <c r="N2599">
        <v>0.98</v>
      </c>
      <c r="O2599" t="s">
        <v>211</v>
      </c>
      <c r="P2599">
        <v>54</v>
      </c>
      <c r="Q2599">
        <v>6</v>
      </c>
      <c r="R2599" t="s">
        <v>3341</v>
      </c>
      <c r="T2599" t="s">
        <v>3402</v>
      </c>
      <c r="U2599">
        <v>-5</v>
      </c>
      <c r="V2599" t="s">
        <v>3926</v>
      </c>
    </row>
    <row r="2600" spans="1:22" ht="12.75" customHeight="1" x14ac:dyDescent="0.15">
      <c r="A2600">
        <v>24</v>
      </c>
      <c r="B2600">
        <v>2026</v>
      </c>
      <c r="C2600" s="21">
        <v>46191</v>
      </c>
      <c r="D2600" t="s">
        <v>107</v>
      </c>
      <c r="E2600" t="s">
        <v>108</v>
      </c>
      <c r="F2600" t="s">
        <v>21</v>
      </c>
      <c r="G2600">
        <v>4.5</v>
      </c>
      <c r="H2600" t="s">
        <v>3653</v>
      </c>
      <c r="I2600" t="s">
        <v>3566</v>
      </c>
      <c r="J2600" s="1" t="s">
        <v>3389</v>
      </c>
      <c r="K2600" t="s">
        <v>181</v>
      </c>
      <c r="L2600" t="s">
        <v>3333</v>
      </c>
      <c r="M2600">
        <v>80</v>
      </c>
      <c r="N2600">
        <v>0.44</v>
      </c>
      <c r="O2600" t="s">
        <v>213</v>
      </c>
      <c r="P2600">
        <v>39.380000000000003</v>
      </c>
      <c r="Q2600">
        <v>3.5</v>
      </c>
      <c r="R2600" t="s">
        <v>3560</v>
      </c>
      <c r="T2600" t="s">
        <v>3402</v>
      </c>
      <c r="U2600">
        <v>34</v>
      </c>
      <c r="V2600" t="s">
        <v>4274</v>
      </c>
    </row>
    <row r="2601" spans="1:22" ht="12.75" customHeight="1" x14ac:dyDescent="0.15">
      <c r="A2601">
        <v>24</v>
      </c>
      <c r="B2601">
        <v>2026</v>
      </c>
      <c r="C2601" s="21">
        <v>46191</v>
      </c>
      <c r="D2601" t="s">
        <v>107</v>
      </c>
      <c r="E2601" t="s">
        <v>108</v>
      </c>
      <c r="F2601" t="s">
        <v>21</v>
      </c>
      <c r="G2601">
        <v>4.5</v>
      </c>
      <c r="H2601" t="s">
        <v>3878</v>
      </c>
      <c r="I2601" t="s">
        <v>3566</v>
      </c>
      <c r="J2601" s="1" t="s">
        <v>3389</v>
      </c>
      <c r="K2601" t="s">
        <v>2666</v>
      </c>
      <c r="L2601" t="s">
        <v>3587</v>
      </c>
      <c r="T2601" t="s">
        <v>3402</v>
      </c>
      <c r="U2601">
        <v>34</v>
      </c>
      <c r="V2601" t="s">
        <v>88</v>
      </c>
    </row>
    <row r="2602" spans="1:22" ht="12.75" customHeight="1" x14ac:dyDescent="0.15">
      <c r="A2602">
        <v>25</v>
      </c>
      <c r="B2602">
        <v>2026</v>
      </c>
      <c r="C2602" s="21">
        <v>46192</v>
      </c>
      <c r="D2602" t="s">
        <v>89</v>
      </c>
      <c r="E2602" t="s">
        <v>90</v>
      </c>
      <c r="F2602" t="s">
        <v>21</v>
      </c>
      <c r="G2602">
        <v>1</v>
      </c>
      <c r="H2602" t="s">
        <v>3514</v>
      </c>
      <c r="I2602" t="s">
        <v>366</v>
      </c>
      <c r="J2602" s="1" t="s">
        <v>215</v>
      </c>
      <c r="K2602" t="s">
        <v>181</v>
      </c>
      <c r="L2602" t="s">
        <v>3340</v>
      </c>
      <c r="M2602">
        <v>62</v>
      </c>
      <c r="N2602">
        <v>0.51</v>
      </c>
      <c r="O2602" t="s">
        <v>211</v>
      </c>
      <c r="P2602">
        <v>28</v>
      </c>
      <c r="R2602" t="s">
        <v>3375</v>
      </c>
      <c r="S2602" t="s">
        <v>4275</v>
      </c>
      <c r="T2602" t="s">
        <v>3337</v>
      </c>
      <c r="U2602">
        <v>65</v>
      </c>
      <c r="V2602" t="s">
        <v>3825</v>
      </c>
    </row>
    <row r="2603" spans="1:22" ht="12.75" customHeight="1" x14ac:dyDescent="0.15">
      <c r="A2603">
        <v>25</v>
      </c>
      <c r="B2603">
        <v>2026</v>
      </c>
      <c r="C2603" s="21">
        <v>46192</v>
      </c>
      <c r="D2603" t="s">
        <v>89</v>
      </c>
      <c r="E2603" t="s">
        <v>90</v>
      </c>
      <c r="F2603" t="s">
        <v>21</v>
      </c>
      <c r="G2603">
        <v>1</v>
      </c>
      <c r="H2603" t="s">
        <v>3514</v>
      </c>
      <c r="I2603" t="s">
        <v>366</v>
      </c>
      <c r="J2603" s="1" t="s">
        <v>215</v>
      </c>
      <c r="K2603" t="s">
        <v>181</v>
      </c>
      <c r="L2603" t="s">
        <v>3340</v>
      </c>
      <c r="M2603">
        <v>58</v>
      </c>
      <c r="N2603">
        <v>0.51</v>
      </c>
      <c r="O2603" t="s">
        <v>211</v>
      </c>
      <c r="P2603">
        <v>28</v>
      </c>
      <c r="R2603" t="s">
        <v>3343</v>
      </c>
      <c r="T2603" t="s">
        <v>3337</v>
      </c>
      <c r="U2603">
        <v>65</v>
      </c>
      <c r="V2603" t="s">
        <v>3825</v>
      </c>
    </row>
    <row r="2604" spans="1:22" ht="12.75" customHeight="1" x14ac:dyDescent="0.15">
      <c r="A2604">
        <v>25</v>
      </c>
      <c r="B2604">
        <v>2026</v>
      </c>
      <c r="C2604" s="21">
        <v>46192</v>
      </c>
      <c r="D2604" t="s">
        <v>89</v>
      </c>
      <c r="E2604" t="s">
        <v>90</v>
      </c>
      <c r="F2604" t="s">
        <v>21</v>
      </c>
      <c r="G2604">
        <v>1</v>
      </c>
      <c r="H2604" t="s">
        <v>3514</v>
      </c>
      <c r="I2604" t="s">
        <v>366</v>
      </c>
      <c r="J2604" s="1" t="s">
        <v>215</v>
      </c>
      <c r="K2604" t="s">
        <v>181</v>
      </c>
      <c r="L2604" t="s">
        <v>3340</v>
      </c>
      <c r="M2604">
        <v>53</v>
      </c>
      <c r="N2604">
        <v>0.51</v>
      </c>
      <c r="O2604" t="s">
        <v>211</v>
      </c>
      <c r="P2604">
        <v>28</v>
      </c>
      <c r="R2604" t="s">
        <v>3373</v>
      </c>
      <c r="T2604" t="s">
        <v>3337</v>
      </c>
      <c r="U2604">
        <v>65</v>
      </c>
      <c r="V2604" t="s">
        <v>3825</v>
      </c>
    </row>
    <row r="2605" spans="1:22" ht="12.75" customHeight="1" x14ac:dyDescent="0.15">
      <c r="A2605">
        <v>25</v>
      </c>
      <c r="B2605">
        <v>2026</v>
      </c>
      <c r="C2605" s="21">
        <v>46192</v>
      </c>
      <c r="D2605" t="s">
        <v>89</v>
      </c>
      <c r="E2605" t="s">
        <v>90</v>
      </c>
      <c r="F2605" t="s">
        <v>21</v>
      </c>
      <c r="G2605">
        <v>1</v>
      </c>
      <c r="H2605" t="s">
        <v>3514</v>
      </c>
      <c r="I2605" t="s">
        <v>366</v>
      </c>
      <c r="J2605" s="1" t="s">
        <v>215</v>
      </c>
      <c r="K2605" t="s">
        <v>181</v>
      </c>
      <c r="L2605" t="s">
        <v>3340</v>
      </c>
      <c r="M2605">
        <v>45</v>
      </c>
      <c r="N2605">
        <v>0.51</v>
      </c>
      <c r="O2605" t="s">
        <v>211</v>
      </c>
      <c r="P2605">
        <v>28</v>
      </c>
      <c r="R2605" t="s">
        <v>3377</v>
      </c>
      <c r="T2605" t="s">
        <v>3337</v>
      </c>
      <c r="U2605">
        <v>65</v>
      </c>
      <c r="V2605" t="s">
        <v>3825</v>
      </c>
    </row>
    <row r="2606" spans="1:22" ht="12.75" customHeight="1" x14ac:dyDescent="0.15">
      <c r="A2606">
        <v>25</v>
      </c>
      <c r="B2606">
        <v>2026</v>
      </c>
      <c r="C2606" s="21">
        <v>46192</v>
      </c>
      <c r="D2606" t="s">
        <v>89</v>
      </c>
      <c r="E2606" t="s">
        <v>90</v>
      </c>
      <c r="F2606" t="s">
        <v>21</v>
      </c>
      <c r="G2606">
        <v>1</v>
      </c>
      <c r="H2606" t="s">
        <v>3514</v>
      </c>
      <c r="I2606" t="s">
        <v>366</v>
      </c>
      <c r="J2606" s="1" t="s">
        <v>215</v>
      </c>
      <c r="K2606" t="s">
        <v>181</v>
      </c>
      <c r="L2606" t="s">
        <v>3340</v>
      </c>
      <c r="M2606">
        <v>81</v>
      </c>
      <c r="N2606">
        <v>0.51</v>
      </c>
      <c r="O2606" t="s">
        <v>211</v>
      </c>
      <c r="P2606">
        <v>28</v>
      </c>
      <c r="R2606" t="s">
        <v>3374</v>
      </c>
      <c r="T2606" t="s">
        <v>3337</v>
      </c>
      <c r="U2606">
        <v>65</v>
      </c>
      <c r="V2606" t="s">
        <v>3825</v>
      </c>
    </row>
    <row r="2607" spans="1:22" ht="12.75" customHeight="1" x14ac:dyDescent="0.15">
      <c r="A2607">
        <v>25</v>
      </c>
      <c r="B2607">
        <v>2026</v>
      </c>
      <c r="C2607" s="21">
        <v>46192</v>
      </c>
      <c r="D2607" t="s">
        <v>122</v>
      </c>
      <c r="E2607" t="s">
        <v>123</v>
      </c>
      <c r="F2607" t="s">
        <v>75</v>
      </c>
      <c r="G2607">
        <v>4.5</v>
      </c>
      <c r="H2607" t="s">
        <v>3519</v>
      </c>
      <c r="I2607" t="s">
        <v>214</v>
      </c>
      <c r="J2607" s="1" t="s">
        <v>215</v>
      </c>
      <c r="K2607" t="s">
        <v>181</v>
      </c>
      <c r="L2607" t="s">
        <v>3340</v>
      </c>
      <c r="M2607">
        <v>62</v>
      </c>
      <c r="N2607">
        <v>0.87</v>
      </c>
      <c r="O2607" t="s">
        <v>211</v>
      </c>
      <c r="P2607">
        <v>48</v>
      </c>
      <c r="R2607" t="s">
        <v>3375</v>
      </c>
      <c r="S2607" t="s">
        <v>4276</v>
      </c>
      <c r="T2607" t="s">
        <v>3337</v>
      </c>
      <c r="V2607" t="s">
        <v>4237</v>
      </c>
    </row>
    <row r="2608" spans="1:22" ht="12.75" customHeight="1" x14ac:dyDescent="0.15">
      <c r="A2608">
        <v>25</v>
      </c>
      <c r="B2608">
        <v>2026</v>
      </c>
      <c r="C2608" s="21">
        <v>46192</v>
      </c>
      <c r="D2608" t="s">
        <v>122</v>
      </c>
      <c r="E2608" t="s">
        <v>123</v>
      </c>
      <c r="F2608" t="s">
        <v>75</v>
      </c>
      <c r="G2608">
        <v>4.5</v>
      </c>
      <c r="H2608" t="s">
        <v>3519</v>
      </c>
      <c r="I2608" t="s">
        <v>214</v>
      </c>
      <c r="J2608" s="1" t="s">
        <v>215</v>
      </c>
      <c r="K2608" t="s">
        <v>181</v>
      </c>
      <c r="L2608" t="s">
        <v>3340</v>
      </c>
      <c r="M2608">
        <v>58</v>
      </c>
      <c r="N2608">
        <v>0.87</v>
      </c>
      <c r="O2608" t="s">
        <v>211</v>
      </c>
      <c r="P2608">
        <v>48</v>
      </c>
      <c r="R2608" t="s">
        <v>3343</v>
      </c>
      <c r="T2608" t="s">
        <v>3337</v>
      </c>
      <c r="V2608" t="s">
        <v>4237</v>
      </c>
    </row>
    <row r="2609" spans="1:22" ht="12.75" customHeight="1" x14ac:dyDescent="0.15">
      <c r="A2609">
        <v>25</v>
      </c>
      <c r="C2609" s="21">
        <v>46192</v>
      </c>
      <c r="D2609" t="s">
        <v>122</v>
      </c>
      <c r="E2609" t="s">
        <v>123</v>
      </c>
      <c r="F2609" t="s">
        <v>75</v>
      </c>
      <c r="G2609">
        <v>4.5</v>
      </c>
      <c r="H2609" t="s">
        <v>3519</v>
      </c>
      <c r="I2609" t="s">
        <v>214</v>
      </c>
      <c r="J2609" s="1" t="s">
        <v>215</v>
      </c>
      <c r="K2609" t="s">
        <v>181</v>
      </c>
      <c r="L2609" t="s">
        <v>3340</v>
      </c>
      <c r="M2609">
        <v>53</v>
      </c>
      <c r="N2609">
        <v>0.87</v>
      </c>
      <c r="O2609" t="s">
        <v>211</v>
      </c>
      <c r="P2609">
        <v>48</v>
      </c>
      <c r="R2609" t="s">
        <v>3373</v>
      </c>
      <c r="T2609" t="s">
        <v>3337</v>
      </c>
      <c r="V2609" t="s">
        <v>4237</v>
      </c>
    </row>
    <row r="2610" spans="1:22" ht="12.75" customHeight="1" x14ac:dyDescent="0.15">
      <c r="A2610">
        <v>25</v>
      </c>
      <c r="C2610" s="21">
        <v>46192</v>
      </c>
      <c r="D2610" t="s">
        <v>122</v>
      </c>
      <c r="E2610" t="s">
        <v>123</v>
      </c>
      <c r="F2610" t="s">
        <v>75</v>
      </c>
      <c r="G2610">
        <v>4.5</v>
      </c>
      <c r="H2610" t="s">
        <v>3519</v>
      </c>
      <c r="I2610" t="s">
        <v>214</v>
      </c>
      <c r="J2610" s="1" t="s">
        <v>215</v>
      </c>
      <c r="K2610" t="s">
        <v>181</v>
      </c>
      <c r="L2610" t="s">
        <v>3340</v>
      </c>
      <c r="M2610">
        <v>45</v>
      </c>
      <c r="N2610">
        <v>0.87</v>
      </c>
      <c r="O2610" t="s">
        <v>211</v>
      </c>
      <c r="P2610">
        <v>48</v>
      </c>
      <c r="R2610" t="s">
        <v>3377</v>
      </c>
      <c r="T2610" t="s">
        <v>3337</v>
      </c>
      <c r="V2610" t="s">
        <v>4237</v>
      </c>
    </row>
    <row r="2611" spans="1:22" ht="12.75" customHeight="1" x14ac:dyDescent="0.15">
      <c r="A2611">
        <v>25</v>
      </c>
      <c r="C2611" s="21">
        <v>46192</v>
      </c>
      <c r="D2611" t="s">
        <v>122</v>
      </c>
      <c r="E2611" t="s">
        <v>123</v>
      </c>
      <c r="F2611" t="s">
        <v>75</v>
      </c>
      <c r="G2611">
        <v>4.5</v>
      </c>
      <c r="H2611" t="s">
        <v>3519</v>
      </c>
      <c r="I2611" t="s">
        <v>214</v>
      </c>
      <c r="J2611" s="1" t="s">
        <v>215</v>
      </c>
      <c r="K2611" t="s">
        <v>181</v>
      </c>
      <c r="L2611" t="s">
        <v>3340</v>
      </c>
      <c r="M2611">
        <v>81</v>
      </c>
      <c r="N2611">
        <v>0.87</v>
      </c>
      <c r="O2611" t="s">
        <v>211</v>
      </c>
      <c r="P2611">
        <v>48</v>
      </c>
      <c r="R2611" t="s">
        <v>3374</v>
      </c>
      <c r="T2611" t="s">
        <v>3337</v>
      </c>
      <c r="V2611" t="s">
        <v>4237</v>
      </c>
    </row>
    <row r="2612" spans="1:22" ht="12.75" customHeight="1" x14ac:dyDescent="0.15">
      <c r="A2612">
        <v>25</v>
      </c>
      <c r="C2612" s="21">
        <v>46192</v>
      </c>
      <c r="D2612" t="s">
        <v>84</v>
      </c>
      <c r="E2612" t="s">
        <v>85</v>
      </c>
      <c r="F2612" t="s">
        <v>21</v>
      </c>
      <c r="G2612">
        <v>2</v>
      </c>
      <c r="H2612" t="s">
        <v>3400</v>
      </c>
      <c r="I2612" t="s">
        <v>353</v>
      </c>
      <c r="J2612" s="1" t="s">
        <v>253</v>
      </c>
      <c r="K2612" t="s">
        <v>181</v>
      </c>
      <c r="L2612" t="s">
        <v>3340</v>
      </c>
      <c r="M2612">
        <v>25</v>
      </c>
      <c r="N2612">
        <v>1</v>
      </c>
      <c r="O2612" t="s">
        <v>211</v>
      </c>
      <c r="P2612">
        <v>55</v>
      </c>
      <c r="R2612" t="s">
        <v>3413</v>
      </c>
      <c r="T2612" t="s">
        <v>3337</v>
      </c>
      <c r="U2612">
        <v>60</v>
      </c>
      <c r="V2612" t="s">
        <v>209</v>
      </c>
    </row>
    <row r="2613" spans="1:22" ht="12.75" customHeight="1" x14ac:dyDescent="0.15">
      <c r="A2613">
        <v>25</v>
      </c>
      <c r="C2613" s="21">
        <v>46192</v>
      </c>
      <c r="D2613" t="s">
        <v>84</v>
      </c>
      <c r="E2613" t="s">
        <v>85</v>
      </c>
      <c r="F2613" t="s">
        <v>21</v>
      </c>
      <c r="G2613">
        <v>2</v>
      </c>
      <c r="H2613" t="s">
        <v>3400</v>
      </c>
      <c r="I2613" t="s">
        <v>353</v>
      </c>
      <c r="J2613" s="1" t="s">
        <v>253</v>
      </c>
      <c r="K2613" t="s">
        <v>181</v>
      </c>
      <c r="L2613" t="s">
        <v>3333</v>
      </c>
      <c r="M2613">
        <v>2</v>
      </c>
      <c r="N2613">
        <v>1</v>
      </c>
      <c r="O2613" t="s">
        <v>3440</v>
      </c>
      <c r="P2613">
        <v>90.49</v>
      </c>
      <c r="Q2613">
        <v>8</v>
      </c>
      <c r="R2613" t="s">
        <v>3424</v>
      </c>
      <c r="T2613" t="s">
        <v>3337</v>
      </c>
      <c r="U2613">
        <v>60</v>
      </c>
      <c r="V2613" t="s">
        <v>3976</v>
      </c>
    </row>
    <row r="2614" spans="1:22" ht="12.75" customHeight="1" x14ac:dyDescent="0.15">
      <c r="A2614">
        <v>25</v>
      </c>
      <c r="C2614" s="21">
        <v>46192</v>
      </c>
      <c r="D2614" t="s">
        <v>107</v>
      </c>
      <c r="E2614" t="s">
        <v>108</v>
      </c>
      <c r="F2614" t="s">
        <v>21</v>
      </c>
      <c r="G2614">
        <v>4.5</v>
      </c>
      <c r="H2614" t="s">
        <v>3666</v>
      </c>
      <c r="I2614" t="s">
        <v>3667</v>
      </c>
      <c r="J2614" s="1" t="s">
        <v>3668</v>
      </c>
      <c r="K2614" t="s">
        <v>181</v>
      </c>
      <c r="L2614" t="s">
        <v>3333</v>
      </c>
      <c r="M2614">
        <v>1</v>
      </c>
      <c r="N2614">
        <v>1</v>
      </c>
      <c r="O2614" t="s">
        <v>3358</v>
      </c>
      <c r="P2614">
        <v>71.86</v>
      </c>
      <c r="Q2614">
        <v>8</v>
      </c>
      <c r="R2614" t="s">
        <v>3359</v>
      </c>
      <c r="T2614" t="s">
        <v>3337</v>
      </c>
      <c r="U2614">
        <v>35</v>
      </c>
      <c r="V2614" t="s">
        <v>3817</v>
      </c>
    </row>
    <row r="2615" spans="1:22" ht="12.75" customHeight="1" x14ac:dyDescent="0.15">
      <c r="A2615">
        <v>25</v>
      </c>
      <c r="C2615" s="21">
        <v>46192</v>
      </c>
      <c r="D2615" t="s">
        <v>107</v>
      </c>
      <c r="E2615" t="s">
        <v>108</v>
      </c>
      <c r="F2615" t="s">
        <v>21</v>
      </c>
      <c r="G2615">
        <v>4.5</v>
      </c>
      <c r="H2615" t="s">
        <v>3666</v>
      </c>
      <c r="I2615" t="s">
        <v>3667</v>
      </c>
      <c r="J2615" s="1" t="s">
        <v>3668</v>
      </c>
      <c r="K2615" t="s">
        <v>181</v>
      </c>
      <c r="L2615" t="s">
        <v>3333</v>
      </c>
      <c r="M2615">
        <v>6</v>
      </c>
      <c r="N2615">
        <v>1</v>
      </c>
      <c r="O2615" t="s">
        <v>3334</v>
      </c>
      <c r="P2615">
        <v>81.58</v>
      </c>
      <c r="Q2615">
        <v>8</v>
      </c>
      <c r="R2615" t="s">
        <v>3335</v>
      </c>
      <c r="T2615" t="s">
        <v>3337</v>
      </c>
      <c r="U2615">
        <v>35</v>
      </c>
      <c r="V2615" t="s">
        <v>3826</v>
      </c>
    </row>
    <row r="2616" spans="1:22" ht="12.75" customHeight="1" x14ac:dyDescent="0.15">
      <c r="A2616">
        <v>25</v>
      </c>
      <c r="C2616" s="21">
        <v>46192</v>
      </c>
      <c r="D2616" t="s">
        <v>107</v>
      </c>
      <c r="E2616" t="s">
        <v>108</v>
      </c>
      <c r="F2616" t="s">
        <v>21</v>
      </c>
      <c r="G2616">
        <v>4.5</v>
      </c>
      <c r="H2616" t="s">
        <v>3653</v>
      </c>
      <c r="I2616" t="s">
        <v>3566</v>
      </c>
      <c r="J2616" s="1" t="s">
        <v>3389</v>
      </c>
      <c r="K2616" t="s">
        <v>181</v>
      </c>
      <c r="L2616" t="s">
        <v>3333</v>
      </c>
      <c r="M2616">
        <v>80</v>
      </c>
      <c r="N2616">
        <v>0</v>
      </c>
      <c r="O2616" t="s">
        <v>213</v>
      </c>
      <c r="P2616">
        <v>0</v>
      </c>
      <c r="R2616" t="s">
        <v>3560</v>
      </c>
      <c r="T2616" t="s">
        <v>3402</v>
      </c>
      <c r="U2616">
        <v>35</v>
      </c>
      <c r="V2616" t="s">
        <v>88</v>
      </c>
    </row>
    <row r="2617" spans="1:22" ht="12.75" customHeight="1" x14ac:dyDescent="0.15">
      <c r="A2617">
        <v>25</v>
      </c>
      <c r="C2617" s="21">
        <v>46192</v>
      </c>
      <c r="D2617" t="s">
        <v>107</v>
      </c>
      <c r="E2617" t="s">
        <v>108</v>
      </c>
      <c r="F2617" t="s">
        <v>21</v>
      </c>
      <c r="G2617">
        <v>4.5</v>
      </c>
      <c r="H2617" t="s">
        <v>3878</v>
      </c>
      <c r="I2617" t="s">
        <v>3566</v>
      </c>
      <c r="J2617" s="1" t="s">
        <v>3389</v>
      </c>
      <c r="K2617" t="s">
        <v>2666</v>
      </c>
      <c r="L2617" t="s">
        <v>3587</v>
      </c>
      <c r="T2617" t="s">
        <v>3402</v>
      </c>
      <c r="U2617">
        <v>35</v>
      </c>
      <c r="V2617" t="s">
        <v>88</v>
      </c>
    </row>
    <row r="2618" spans="1:22" ht="12.75" customHeight="1" x14ac:dyDescent="0.15">
      <c r="A2618">
        <v>25</v>
      </c>
      <c r="C2618" s="21">
        <v>46192</v>
      </c>
      <c r="D2618" t="s">
        <v>84</v>
      </c>
      <c r="E2618" t="s">
        <v>85</v>
      </c>
      <c r="F2618" t="s">
        <v>21</v>
      </c>
      <c r="G2618">
        <v>2</v>
      </c>
      <c r="H2618" t="s">
        <v>3391</v>
      </c>
      <c r="I2618" t="s">
        <v>353</v>
      </c>
      <c r="J2618" s="1" t="s">
        <v>253</v>
      </c>
      <c r="K2618" t="s">
        <v>181</v>
      </c>
      <c r="L2618" t="s">
        <v>3333</v>
      </c>
      <c r="M2618">
        <v>67</v>
      </c>
      <c r="N2618">
        <v>0.88</v>
      </c>
      <c r="O2618" t="s">
        <v>3334</v>
      </c>
      <c r="P2618">
        <v>71.38</v>
      </c>
      <c r="Q2618">
        <v>7</v>
      </c>
      <c r="R2618" t="s">
        <v>3404</v>
      </c>
      <c r="T2618" t="s">
        <v>3402</v>
      </c>
      <c r="U2618">
        <v>60</v>
      </c>
      <c r="V2618" t="s">
        <v>3469</v>
      </c>
    </row>
    <row r="2619" spans="1:22" ht="12.75" customHeight="1" x14ac:dyDescent="0.15">
      <c r="A2619">
        <v>25</v>
      </c>
      <c r="C2619" s="21">
        <v>46192</v>
      </c>
      <c r="D2619" t="s">
        <v>84</v>
      </c>
      <c r="E2619" t="s">
        <v>85</v>
      </c>
      <c r="F2619" t="s">
        <v>21</v>
      </c>
      <c r="G2619">
        <v>2</v>
      </c>
      <c r="H2619" t="s">
        <v>3391</v>
      </c>
      <c r="I2619" t="s">
        <v>353</v>
      </c>
      <c r="J2619" s="1" t="s">
        <v>253</v>
      </c>
      <c r="K2619" t="s">
        <v>181</v>
      </c>
      <c r="L2619" t="s">
        <v>3333</v>
      </c>
      <c r="M2619">
        <v>19</v>
      </c>
      <c r="N2619">
        <v>1</v>
      </c>
      <c r="O2619" t="s">
        <v>3334</v>
      </c>
      <c r="P2619">
        <v>81.58</v>
      </c>
      <c r="Q2619">
        <v>8</v>
      </c>
      <c r="R2619" t="s">
        <v>3403</v>
      </c>
      <c r="T2619" t="s">
        <v>3402</v>
      </c>
      <c r="U2619">
        <v>60</v>
      </c>
      <c r="V2619" t="s">
        <v>3456</v>
      </c>
    </row>
    <row r="2620" spans="1:22" ht="12.75" customHeight="1" x14ac:dyDescent="0.15">
      <c r="A2620">
        <v>25</v>
      </c>
      <c r="C2620" s="21">
        <v>46192</v>
      </c>
      <c r="D2620" t="s">
        <v>137</v>
      </c>
      <c r="E2620" t="s">
        <v>138</v>
      </c>
      <c r="F2620" t="s">
        <v>75</v>
      </c>
      <c r="G2620">
        <v>1</v>
      </c>
      <c r="H2620" t="s">
        <v>4277</v>
      </c>
      <c r="I2620" t="s">
        <v>4278</v>
      </c>
      <c r="J2620" s="1" t="s">
        <v>3668</v>
      </c>
      <c r="K2620" t="s">
        <v>181</v>
      </c>
      <c r="L2620" t="s">
        <v>3333</v>
      </c>
      <c r="M2620">
        <v>86</v>
      </c>
      <c r="N2620">
        <v>1</v>
      </c>
      <c r="O2620" t="s">
        <v>3334</v>
      </c>
      <c r="P2620">
        <v>81.58</v>
      </c>
      <c r="Q2620">
        <v>8</v>
      </c>
      <c r="R2620" t="s">
        <v>3386</v>
      </c>
      <c r="T2620" t="s">
        <v>3402</v>
      </c>
      <c r="U2620">
        <v>-28</v>
      </c>
      <c r="V2620" t="s">
        <v>3334</v>
      </c>
    </row>
    <row r="2621" spans="1:22" ht="12.75" customHeight="1" x14ac:dyDescent="0.15">
      <c r="A2621">
        <v>25</v>
      </c>
      <c r="C2621" s="21">
        <v>46192</v>
      </c>
      <c r="D2621" t="s">
        <v>137</v>
      </c>
      <c r="E2621" t="s">
        <v>138</v>
      </c>
      <c r="F2621" t="s">
        <v>75</v>
      </c>
      <c r="G2621">
        <v>1</v>
      </c>
      <c r="H2621" t="s">
        <v>4277</v>
      </c>
      <c r="I2621" t="s">
        <v>4278</v>
      </c>
      <c r="J2621" s="1" t="s">
        <v>3668</v>
      </c>
      <c r="K2621" t="s">
        <v>181</v>
      </c>
      <c r="L2621" t="s">
        <v>3340</v>
      </c>
      <c r="M2621">
        <v>78</v>
      </c>
      <c r="N2621">
        <v>1.31</v>
      </c>
      <c r="O2621" t="s">
        <v>211</v>
      </c>
      <c r="P2621">
        <v>72</v>
      </c>
      <c r="Q2621">
        <v>8</v>
      </c>
      <c r="R2621" t="s">
        <v>3341</v>
      </c>
      <c r="T2621" t="s">
        <v>3402</v>
      </c>
      <c r="U2621">
        <v>-28</v>
      </c>
      <c r="V2621" t="s">
        <v>193</v>
      </c>
    </row>
    <row r="2622" spans="1:22" ht="12.75" customHeight="1" x14ac:dyDescent="0.15">
      <c r="A2622">
        <v>25</v>
      </c>
      <c r="C2622" s="21">
        <v>46193</v>
      </c>
      <c r="D2622" t="s">
        <v>80</v>
      </c>
      <c r="E2622" t="s">
        <v>81</v>
      </c>
      <c r="F2622" t="s">
        <v>21</v>
      </c>
      <c r="G2622">
        <v>2.2999999999999998</v>
      </c>
      <c r="H2622" t="s">
        <v>3514</v>
      </c>
      <c r="I2622" t="s">
        <v>366</v>
      </c>
      <c r="J2622" s="1" t="s">
        <v>215</v>
      </c>
      <c r="K2622" t="s">
        <v>181</v>
      </c>
      <c r="L2622" t="s">
        <v>3340</v>
      </c>
      <c r="M2622">
        <v>45</v>
      </c>
      <c r="N2622">
        <v>1.02</v>
      </c>
      <c r="O2622" t="s">
        <v>211</v>
      </c>
      <c r="P2622">
        <v>56</v>
      </c>
      <c r="R2622" t="s">
        <v>3377</v>
      </c>
      <c r="S2622" t="s">
        <v>3981</v>
      </c>
      <c r="T2622" t="s">
        <v>3337</v>
      </c>
      <c r="U2622">
        <v>79</v>
      </c>
      <c r="V2622" t="s">
        <v>4279</v>
      </c>
    </row>
    <row r="2623" spans="1:22" ht="12.75" customHeight="1" x14ac:dyDescent="0.15">
      <c r="A2623">
        <v>25</v>
      </c>
      <c r="C2623" s="21">
        <v>46193</v>
      </c>
      <c r="D2623" t="s">
        <v>80</v>
      </c>
      <c r="E2623" t="s">
        <v>81</v>
      </c>
      <c r="F2623" t="s">
        <v>21</v>
      </c>
      <c r="G2623">
        <v>2.2999999999999998</v>
      </c>
      <c r="H2623" t="s">
        <v>3514</v>
      </c>
      <c r="I2623" t="s">
        <v>366</v>
      </c>
      <c r="J2623" s="1" t="s">
        <v>215</v>
      </c>
      <c r="K2623" t="s">
        <v>181</v>
      </c>
      <c r="L2623" t="s">
        <v>3340</v>
      </c>
      <c r="M2623">
        <v>81</v>
      </c>
      <c r="N2623">
        <v>1.02</v>
      </c>
      <c r="O2623" t="s">
        <v>211</v>
      </c>
      <c r="P2623">
        <v>56</v>
      </c>
      <c r="R2623" t="s">
        <v>3374</v>
      </c>
      <c r="T2623" t="s">
        <v>3337</v>
      </c>
      <c r="U2623">
        <v>79</v>
      </c>
      <c r="V2623" t="s">
        <v>4279</v>
      </c>
    </row>
    <row r="2624" spans="1:22" ht="12.75" customHeight="1" x14ac:dyDescent="0.15">
      <c r="A2624">
        <v>25</v>
      </c>
      <c r="C2624" s="21">
        <v>46193</v>
      </c>
      <c r="D2624" t="s">
        <v>80</v>
      </c>
      <c r="E2624" t="s">
        <v>81</v>
      </c>
      <c r="F2624" t="s">
        <v>21</v>
      </c>
      <c r="G2624">
        <v>2.2999999999999998</v>
      </c>
      <c r="H2624" t="s">
        <v>3514</v>
      </c>
      <c r="I2624" t="s">
        <v>366</v>
      </c>
      <c r="J2624" s="1" t="s">
        <v>215</v>
      </c>
      <c r="K2624" t="s">
        <v>181</v>
      </c>
      <c r="L2624" t="s">
        <v>3340</v>
      </c>
      <c r="M2624">
        <v>53</v>
      </c>
      <c r="N2624">
        <v>1.02</v>
      </c>
      <c r="O2624" t="s">
        <v>211</v>
      </c>
      <c r="P2624">
        <v>56</v>
      </c>
      <c r="R2624" t="s">
        <v>3373</v>
      </c>
      <c r="T2624" t="s">
        <v>3337</v>
      </c>
      <c r="U2624">
        <v>79</v>
      </c>
      <c r="V2624" t="s">
        <v>4279</v>
      </c>
    </row>
    <row r="2625" spans="1:22" ht="12.75" customHeight="1" x14ac:dyDescent="0.15">
      <c r="A2625">
        <v>25</v>
      </c>
      <c r="C2625" s="21">
        <v>46193</v>
      </c>
      <c r="D2625" t="s">
        <v>80</v>
      </c>
      <c r="E2625" t="s">
        <v>81</v>
      </c>
      <c r="F2625" t="s">
        <v>21</v>
      </c>
      <c r="G2625">
        <v>2.2999999999999998</v>
      </c>
      <c r="H2625" t="s">
        <v>3514</v>
      </c>
      <c r="I2625" t="s">
        <v>366</v>
      </c>
      <c r="J2625" s="1" t="s">
        <v>215</v>
      </c>
      <c r="K2625" t="s">
        <v>181</v>
      </c>
      <c r="L2625" t="s">
        <v>3340</v>
      </c>
      <c r="M2625">
        <v>58</v>
      </c>
      <c r="N2625">
        <v>1.02</v>
      </c>
      <c r="O2625" t="s">
        <v>211</v>
      </c>
      <c r="P2625">
        <v>56</v>
      </c>
      <c r="R2625" t="s">
        <v>3343</v>
      </c>
      <c r="T2625" t="s">
        <v>3337</v>
      </c>
      <c r="U2625">
        <v>79</v>
      </c>
      <c r="V2625" t="s">
        <v>4279</v>
      </c>
    </row>
    <row r="2626" spans="1:22" ht="12.75" customHeight="1" x14ac:dyDescent="0.15">
      <c r="A2626">
        <v>25</v>
      </c>
      <c r="C2626" s="21">
        <v>46193</v>
      </c>
      <c r="D2626" t="s">
        <v>80</v>
      </c>
      <c r="E2626" t="s">
        <v>81</v>
      </c>
      <c r="F2626" t="s">
        <v>21</v>
      </c>
      <c r="G2626">
        <v>2.2999999999999998</v>
      </c>
      <c r="H2626" t="s">
        <v>3514</v>
      </c>
      <c r="I2626" t="s">
        <v>366</v>
      </c>
      <c r="J2626" s="1" t="s">
        <v>215</v>
      </c>
      <c r="K2626" t="s">
        <v>181</v>
      </c>
      <c r="L2626" t="s">
        <v>3340</v>
      </c>
      <c r="M2626">
        <v>62</v>
      </c>
      <c r="N2626">
        <v>1.02</v>
      </c>
      <c r="O2626" t="s">
        <v>211</v>
      </c>
      <c r="P2626">
        <v>56</v>
      </c>
      <c r="R2626" t="s">
        <v>3375</v>
      </c>
      <c r="T2626" t="s">
        <v>3337</v>
      </c>
      <c r="U2626">
        <v>79</v>
      </c>
      <c r="V2626" t="s">
        <v>4279</v>
      </c>
    </row>
    <row r="2627" spans="1:22" ht="12.75" customHeight="1" x14ac:dyDescent="0.15">
      <c r="A2627">
        <v>25</v>
      </c>
      <c r="C2627" s="21">
        <v>46193</v>
      </c>
      <c r="D2627" t="s">
        <v>107</v>
      </c>
      <c r="E2627" t="s">
        <v>108</v>
      </c>
      <c r="F2627" t="s">
        <v>21</v>
      </c>
      <c r="G2627">
        <v>4.5</v>
      </c>
      <c r="H2627" t="s">
        <v>3519</v>
      </c>
      <c r="I2627" t="s">
        <v>214</v>
      </c>
      <c r="J2627" s="1" t="s">
        <v>215</v>
      </c>
      <c r="K2627" t="s">
        <v>181</v>
      </c>
      <c r="L2627" t="s">
        <v>3340</v>
      </c>
      <c r="M2627">
        <v>45</v>
      </c>
      <c r="N2627">
        <v>1.02</v>
      </c>
      <c r="O2627" t="s">
        <v>211</v>
      </c>
      <c r="P2627">
        <v>56</v>
      </c>
      <c r="R2627" t="s">
        <v>3377</v>
      </c>
      <c r="S2627" t="s">
        <v>4280</v>
      </c>
      <c r="T2627" t="s">
        <v>3337</v>
      </c>
      <c r="U2627">
        <v>36</v>
      </c>
      <c r="V2627" t="s">
        <v>4281</v>
      </c>
    </row>
    <row r="2628" spans="1:22" ht="12.75" customHeight="1" x14ac:dyDescent="0.15">
      <c r="A2628">
        <v>25</v>
      </c>
      <c r="C2628" s="21">
        <v>46193</v>
      </c>
      <c r="D2628" t="s">
        <v>107</v>
      </c>
      <c r="E2628" t="s">
        <v>108</v>
      </c>
      <c r="F2628" t="s">
        <v>21</v>
      </c>
      <c r="G2628">
        <v>4.5</v>
      </c>
      <c r="H2628" t="s">
        <v>3519</v>
      </c>
      <c r="I2628" t="s">
        <v>214</v>
      </c>
      <c r="J2628" s="1" t="s">
        <v>215</v>
      </c>
      <c r="K2628" t="s">
        <v>181</v>
      </c>
      <c r="L2628" t="s">
        <v>3340</v>
      </c>
      <c r="M2628">
        <v>81</v>
      </c>
      <c r="N2628">
        <v>1.02</v>
      </c>
      <c r="O2628" t="s">
        <v>211</v>
      </c>
      <c r="P2628">
        <v>56</v>
      </c>
      <c r="R2628" t="s">
        <v>3374</v>
      </c>
      <c r="T2628" t="s">
        <v>3337</v>
      </c>
      <c r="U2628">
        <v>36</v>
      </c>
      <c r="V2628" t="s">
        <v>4281</v>
      </c>
    </row>
    <row r="2629" spans="1:22" ht="12.75" customHeight="1" x14ac:dyDescent="0.15">
      <c r="A2629">
        <v>25</v>
      </c>
      <c r="C2629" s="21">
        <v>46193</v>
      </c>
      <c r="D2629" t="s">
        <v>107</v>
      </c>
      <c r="E2629" t="s">
        <v>108</v>
      </c>
      <c r="F2629" t="s">
        <v>21</v>
      </c>
      <c r="G2629">
        <v>4.5</v>
      </c>
      <c r="H2629" t="s">
        <v>3519</v>
      </c>
      <c r="I2629" t="s">
        <v>214</v>
      </c>
      <c r="J2629" s="1" t="s">
        <v>215</v>
      </c>
      <c r="K2629" t="s">
        <v>181</v>
      </c>
      <c r="L2629" t="s">
        <v>3340</v>
      </c>
      <c r="M2629">
        <v>53</v>
      </c>
      <c r="N2629">
        <v>1.02</v>
      </c>
      <c r="O2629" t="s">
        <v>211</v>
      </c>
      <c r="P2629">
        <v>56</v>
      </c>
      <c r="R2629" t="s">
        <v>3373</v>
      </c>
      <c r="T2629" t="s">
        <v>3337</v>
      </c>
      <c r="U2629">
        <v>36</v>
      </c>
      <c r="V2629" t="s">
        <v>4281</v>
      </c>
    </row>
    <row r="2630" spans="1:22" ht="12.75" customHeight="1" x14ac:dyDescent="0.15">
      <c r="A2630">
        <v>25</v>
      </c>
      <c r="C2630" s="21">
        <v>46193</v>
      </c>
      <c r="D2630" t="s">
        <v>107</v>
      </c>
      <c r="E2630" t="s">
        <v>108</v>
      </c>
      <c r="F2630" t="s">
        <v>21</v>
      </c>
      <c r="G2630">
        <v>4.5</v>
      </c>
      <c r="H2630" t="s">
        <v>3519</v>
      </c>
      <c r="I2630" t="s">
        <v>214</v>
      </c>
      <c r="J2630" s="1" t="s">
        <v>215</v>
      </c>
      <c r="K2630" t="s">
        <v>181</v>
      </c>
      <c r="L2630" t="s">
        <v>3340</v>
      </c>
      <c r="M2630">
        <v>58</v>
      </c>
      <c r="N2630">
        <v>1.02</v>
      </c>
      <c r="O2630" t="s">
        <v>211</v>
      </c>
      <c r="P2630">
        <v>56</v>
      </c>
      <c r="R2630" t="s">
        <v>3343</v>
      </c>
      <c r="T2630" t="s">
        <v>3337</v>
      </c>
      <c r="U2630">
        <v>36</v>
      </c>
      <c r="V2630" t="s">
        <v>4281</v>
      </c>
    </row>
    <row r="2631" spans="1:22" ht="12.75" customHeight="1" x14ac:dyDescent="0.15">
      <c r="A2631">
        <v>25</v>
      </c>
      <c r="C2631" s="21">
        <v>46193</v>
      </c>
      <c r="D2631" t="s">
        <v>107</v>
      </c>
      <c r="E2631" t="s">
        <v>108</v>
      </c>
      <c r="F2631" t="s">
        <v>21</v>
      </c>
      <c r="G2631">
        <v>4.5</v>
      </c>
      <c r="H2631" t="s">
        <v>3519</v>
      </c>
      <c r="I2631" t="s">
        <v>214</v>
      </c>
      <c r="J2631" s="1" t="s">
        <v>215</v>
      </c>
      <c r="K2631" t="s">
        <v>181</v>
      </c>
      <c r="L2631" t="s">
        <v>3340</v>
      </c>
      <c r="M2631">
        <v>62</v>
      </c>
      <c r="N2631">
        <v>1.02</v>
      </c>
      <c r="O2631" t="s">
        <v>211</v>
      </c>
      <c r="P2631">
        <v>56</v>
      </c>
      <c r="R2631" t="s">
        <v>3375</v>
      </c>
      <c r="T2631" t="s">
        <v>3337</v>
      </c>
      <c r="U2631">
        <v>36</v>
      </c>
      <c r="V2631" t="s">
        <v>4281</v>
      </c>
    </row>
    <row r="2632" spans="1:22" ht="12.75" customHeight="1" x14ac:dyDescent="0.15">
      <c r="A2632">
        <v>25</v>
      </c>
      <c r="C2632" s="21">
        <v>46193</v>
      </c>
      <c r="D2632" t="s">
        <v>84</v>
      </c>
      <c r="E2632" t="s">
        <v>85</v>
      </c>
      <c r="F2632" t="s">
        <v>21</v>
      </c>
      <c r="G2632">
        <v>2</v>
      </c>
      <c r="H2632" t="s">
        <v>3400</v>
      </c>
      <c r="I2632" t="s">
        <v>353</v>
      </c>
      <c r="J2632" s="1" t="s">
        <v>253</v>
      </c>
      <c r="K2632" t="s">
        <v>181</v>
      </c>
      <c r="L2632" t="s">
        <v>3340</v>
      </c>
      <c r="M2632">
        <v>25</v>
      </c>
      <c r="N2632">
        <v>1</v>
      </c>
      <c r="O2632" t="s">
        <v>211</v>
      </c>
      <c r="P2632">
        <v>55</v>
      </c>
      <c r="R2632" t="s">
        <v>3413</v>
      </c>
      <c r="T2632" t="s">
        <v>3337</v>
      </c>
      <c r="U2632">
        <v>61</v>
      </c>
      <c r="V2632" t="s">
        <v>209</v>
      </c>
    </row>
    <row r="2633" spans="1:22" ht="12.75" customHeight="1" x14ac:dyDescent="0.15">
      <c r="A2633">
        <v>25</v>
      </c>
      <c r="C2633" s="21">
        <v>46193</v>
      </c>
      <c r="D2633" t="s">
        <v>84</v>
      </c>
      <c r="E2633" t="s">
        <v>85</v>
      </c>
      <c r="F2633" t="s">
        <v>21</v>
      </c>
      <c r="G2633">
        <v>2</v>
      </c>
      <c r="H2633" t="s">
        <v>3400</v>
      </c>
      <c r="I2633" t="s">
        <v>353</v>
      </c>
      <c r="J2633" s="1" t="s">
        <v>253</v>
      </c>
      <c r="K2633" t="s">
        <v>181</v>
      </c>
      <c r="L2633" t="s">
        <v>3333</v>
      </c>
      <c r="M2633">
        <v>2</v>
      </c>
      <c r="N2633">
        <v>0.13</v>
      </c>
      <c r="O2633" t="s">
        <v>3440</v>
      </c>
      <c r="P2633">
        <v>11.31</v>
      </c>
      <c r="Q2633">
        <v>1</v>
      </c>
      <c r="R2633" t="s">
        <v>3424</v>
      </c>
      <c r="T2633" t="s">
        <v>3337</v>
      </c>
      <c r="U2633">
        <v>61</v>
      </c>
      <c r="V2633" t="s">
        <v>3885</v>
      </c>
    </row>
    <row r="2634" spans="1:22" ht="12.75" customHeight="1" x14ac:dyDescent="0.15">
      <c r="A2634">
        <v>25</v>
      </c>
      <c r="C2634" s="21">
        <v>46193</v>
      </c>
      <c r="D2634" t="s">
        <v>80</v>
      </c>
      <c r="E2634" t="s">
        <v>81</v>
      </c>
      <c r="F2634" t="s">
        <v>21</v>
      </c>
      <c r="G2634">
        <v>2.2999999999999998</v>
      </c>
      <c r="H2634" t="s">
        <v>3514</v>
      </c>
      <c r="I2634" t="s">
        <v>366</v>
      </c>
      <c r="J2634" s="1" t="s">
        <v>215</v>
      </c>
      <c r="K2634" t="s">
        <v>181</v>
      </c>
      <c r="L2634" t="s">
        <v>3333</v>
      </c>
      <c r="M2634">
        <v>2</v>
      </c>
      <c r="N2634">
        <v>0.5</v>
      </c>
      <c r="O2634" t="s">
        <v>3440</v>
      </c>
      <c r="P2634">
        <v>45.25</v>
      </c>
      <c r="Q2634">
        <v>4</v>
      </c>
      <c r="R2634" t="s">
        <v>3424</v>
      </c>
      <c r="T2634" t="s">
        <v>3337</v>
      </c>
      <c r="U2634">
        <v>79</v>
      </c>
      <c r="V2634" t="s">
        <v>3997</v>
      </c>
    </row>
    <row r="2635" spans="1:22" ht="12.75" customHeight="1" x14ac:dyDescent="0.15">
      <c r="A2635">
        <v>25</v>
      </c>
      <c r="C2635" s="21">
        <v>46193</v>
      </c>
      <c r="D2635" t="s">
        <v>107</v>
      </c>
      <c r="E2635" t="s">
        <v>108</v>
      </c>
      <c r="F2635" t="s">
        <v>21</v>
      </c>
      <c r="G2635">
        <v>4.5</v>
      </c>
      <c r="H2635" t="s">
        <v>3519</v>
      </c>
      <c r="I2635" t="s">
        <v>214</v>
      </c>
      <c r="J2635" s="1" t="s">
        <v>215</v>
      </c>
      <c r="K2635" t="s">
        <v>181</v>
      </c>
      <c r="L2635" t="s">
        <v>3333</v>
      </c>
      <c r="M2635">
        <v>2</v>
      </c>
      <c r="N2635">
        <v>0.38</v>
      </c>
      <c r="O2635" t="s">
        <v>3440</v>
      </c>
      <c r="P2635">
        <v>33.93</v>
      </c>
      <c r="Q2635">
        <v>3</v>
      </c>
      <c r="R2635" t="s">
        <v>3424</v>
      </c>
      <c r="T2635" t="s">
        <v>3337</v>
      </c>
      <c r="U2635">
        <v>36</v>
      </c>
      <c r="V2635" t="s">
        <v>4282</v>
      </c>
    </row>
    <row r="2636" spans="1:22" ht="12.75" customHeight="1" x14ac:dyDescent="0.15">
      <c r="A2636">
        <v>25</v>
      </c>
      <c r="C2636" s="21">
        <v>46193</v>
      </c>
      <c r="D2636" t="s">
        <v>107</v>
      </c>
      <c r="E2636" t="s">
        <v>108</v>
      </c>
      <c r="F2636" t="s">
        <v>21</v>
      </c>
      <c r="G2636">
        <v>4.5</v>
      </c>
      <c r="H2636" t="s">
        <v>3666</v>
      </c>
      <c r="I2636" t="s">
        <v>3667</v>
      </c>
      <c r="J2636" s="1" t="s">
        <v>3668</v>
      </c>
      <c r="K2636" t="s">
        <v>181</v>
      </c>
      <c r="L2636" t="s">
        <v>3333</v>
      </c>
      <c r="M2636">
        <v>6</v>
      </c>
      <c r="N2636">
        <v>0.5</v>
      </c>
      <c r="O2636" t="s">
        <v>3334</v>
      </c>
      <c r="P2636">
        <v>40.79</v>
      </c>
      <c r="Q2636">
        <v>4</v>
      </c>
      <c r="R2636" t="s">
        <v>3335</v>
      </c>
      <c r="T2636" t="s">
        <v>3337</v>
      </c>
      <c r="U2636">
        <v>36</v>
      </c>
      <c r="V2636" t="s">
        <v>3870</v>
      </c>
    </row>
    <row r="2637" spans="1:22" ht="12.75" customHeight="1" x14ac:dyDescent="0.15">
      <c r="A2637">
        <v>25</v>
      </c>
      <c r="C2637" s="21">
        <v>46193</v>
      </c>
      <c r="D2637" t="s">
        <v>84</v>
      </c>
      <c r="E2637" t="s">
        <v>85</v>
      </c>
      <c r="F2637" t="s">
        <v>21</v>
      </c>
      <c r="G2637">
        <v>2</v>
      </c>
      <c r="H2637" t="s">
        <v>3400</v>
      </c>
      <c r="I2637" t="s">
        <v>353</v>
      </c>
      <c r="J2637" s="1" t="s">
        <v>253</v>
      </c>
      <c r="K2637" t="s">
        <v>181</v>
      </c>
      <c r="L2637" t="s">
        <v>3333</v>
      </c>
      <c r="M2637">
        <v>6</v>
      </c>
      <c r="N2637">
        <v>0.5</v>
      </c>
      <c r="O2637" t="s">
        <v>3334</v>
      </c>
      <c r="P2637">
        <v>40.79</v>
      </c>
      <c r="Q2637">
        <v>4</v>
      </c>
      <c r="R2637" t="s">
        <v>3335</v>
      </c>
      <c r="T2637" t="s">
        <v>3337</v>
      </c>
      <c r="U2637">
        <v>61</v>
      </c>
      <c r="V2637" t="s">
        <v>3474</v>
      </c>
    </row>
    <row r="2638" spans="1:22" ht="12.75" customHeight="1" x14ac:dyDescent="0.15">
      <c r="A2638">
        <v>25</v>
      </c>
      <c r="C2638" s="21">
        <v>46193</v>
      </c>
      <c r="D2638" t="s">
        <v>107</v>
      </c>
      <c r="E2638" t="s">
        <v>108</v>
      </c>
      <c r="F2638" t="s">
        <v>21</v>
      </c>
      <c r="G2638">
        <v>4.5</v>
      </c>
      <c r="H2638" t="s">
        <v>3666</v>
      </c>
      <c r="I2638" t="s">
        <v>3667</v>
      </c>
      <c r="J2638" s="1" t="s">
        <v>3668</v>
      </c>
      <c r="K2638" t="s">
        <v>181</v>
      </c>
      <c r="L2638" t="s">
        <v>3333</v>
      </c>
      <c r="M2638">
        <v>1</v>
      </c>
      <c r="N2638">
        <v>0.5</v>
      </c>
      <c r="O2638" t="s">
        <v>3358</v>
      </c>
      <c r="P2638">
        <v>35.93</v>
      </c>
      <c r="Q2638">
        <v>4</v>
      </c>
      <c r="R2638" t="s">
        <v>3359</v>
      </c>
      <c r="T2638" t="s">
        <v>3337</v>
      </c>
      <c r="U2638">
        <v>36</v>
      </c>
      <c r="V2638" t="s">
        <v>3872</v>
      </c>
    </row>
    <row r="2639" spans="1:22" ht="12.75" customHeight="1" x14ac:dyDescent="0.15">
      <c r="A2639">
        <v>25</v>
      </c>
      <c r="C2639" s="21">
        <v>46193</v>
      </c>
      <c r="D2639" t="s">
        <v>84</v>
      </c>
      <c r="E2639" t="s">
        <v>85</v>
      </c>
      <c r="F2639" t="s">
        <v>21</v>
      </c>
      <c r="G2639">
        <v>2</v>
      </c>
      <c r="H2639" t="s">
        <v>3391</v>
      </c>
      <c r="I2639" t="s">
        <v>353</v>
      </c>
      <c r="J2639" s="1" t="s">
        <v>253</v>
      </c>
      <c r="K2639" t="s">
        <v>181</v>
      </c>
      <c r="L2639" t="s">
        <v>3333</v>
      </c>
      <c r="M2639">
        <v>67</v>
      </c>
      <c r="N2639">
        <v>0.75</v>
      </c>
      <c r="O2639" t="s">
        <v>3334</v>
      </c>
      <c r="P2639">
        <v>61.19</v>
      </c>
      <c r="Q2639">
        <v>6</v>
      </c>
      <c r="R2639" t="s">
        <v>3404</v>
      </c>
      <c r="T2639" t="s">
        <v>3402</v>
      </c>
      <c r="U2639">
        <v>61</v>
      </c>
      <c r="V2639" t="s">
        <v>3491</v>
      </c>
    </row>
    <row r="2640" spans="1:22" ht="12.75" customHeight="1" x14ac:dyDescent="0.15">
      <c r="A2640">
        <v>25</v>
      </c>
      <c r="C2640" s="21">
        <v>46193</v>
      </c>
      <c r="D2640" t="s">
        <v>84</v>
      </c>
      <c r="E2640" t="s">
        <v>85</v>
      </c>
      <c r="F2640" t="s">
        <v>21</v>
      </c>
      <c r="G2640">
        <v>2</v>
      </c>
      <c r="H2640" t="s">
        <v>3391</v>
      </c>
      <c r="I2640" t="s">
        <v>353</v>
      </c>
      <c r="J2640" s="1" t="s">
        <v>253</v>
      </c>
      <c r="K2640" t="s">
        <v>181</v>
      </c>
      <c r="L2640" t="s">
        <v>3333</v>
      </c>
      <c r="M2640">
        <v>19</v>
      </c>
      <c r="N2640">
        <v>0.75</v>
      </c>
      <c r="O2640" t="s">
        <v>3334</v>
      </c>
      <c r="P2640">
        <v>61.19</v>
      </c>
      <c r="Q2640">
        <v>6</v>
      </c>
      <c r="R2640" t="s">
        <v>3403</v>
      </c>
      <c r="T2640" t="s">
        <v>3402</v>
      </c>
      <c r="U2640">
        <v>61</v>
      </c>
      <c r="V2640" t="s">
        <v>3491</v>
      </c>
    </row>
    <row r="2641" spans="1:22" ht="12.75" customHeight="1" x14ac:dyDescent="0.15">
      <c r="A2641">
        <v>25</v>
      </c>
      <c r="C2641" s="21">
        <v>46193</v>
      </c>
      <c r="D2641" t="s">
        <v>137</v>
      </c>
      <c r="E2641" t="s">
        <v>138</v>
      </c>
      <c r="F2641" t="s">
        <v>75</v>
      </c>
      <c r="G2641">
        <v>1</v>
      </c>
      <c r="H2641" t="s">
        <v>3803</v>
      </c>
      <c r="I2641" t="s">
        <v>3676</v>
      </c>
      <c r="J2641" s="1" t="s">
        <v>3533</v>
      </c>
      <c r="K2641" t="s">
        <v>181</v>
      </c>
      <c r="L2641" t="s">
        <v>3333</v>
      </c>
      <c r="M2641">
        <v>4</v>
      </c>
      <c r="N2641">
        <v>0.75</v>
      </c>
      <c r="O2641" t="s">
        <v>3334</v>
      </c>
      <c r="P2641">
        <v>61.19</v>
      </c>
      <c r="Q2641">
        <v>6</v>
      </c>
      <c r="R2641" t="s">
        <v>3773</v>
      </c>
      <c r="S2641" t="s">
        <v>4283</v>
      </c>
      <c r="T2641" t="s">
        <v>3402</v>
      </c>
      <c r="U2641">
        <v>-27</v>
      </c>
      <c r="V2641" t="s">
        <v>3715</v>
      </c>
    </row>
    <row r="2642" spans="1:22" ht="12.75" customHeight="1" x14ac:dyDescent="0.15">
      <c r="A2642">
        <v>25</v>
      </c>
      <c r="C2642" s="21">
        <v>46193</v>
      </c>
      <c r="D2642" t="s">
        <v>137</v>
      </c>
      <c r="E2642" t="s">
        <v>138</v>
      </c>
      <c r="F2642" t="s">
        <v>75</v>
      </c>
      <c r="G2642">
        <v>1</v>
      </c>
      <c r="H2642" t="s">
        <v>4284</v>
      </c>
      <c r="I2642" t="s">
        <v>4278</v>
      </c>
      <c r="J2642" s="1" t="s">
        <v>3668</v>
      </c>
      <c r="K2642" t="s">
        <v>181</v>
      </c>
      <c r="L2642" t="s">
        <v>3333</v>
      </c>
      <c r="M2642">
        <v>86</v>
      </c>
      <c r="N2642">
        <v>0.75</v>
      </c>
      <c r="O2642" t="s">
        <v>3334</v>
      </c>
      <c r="P2642">
        <v>61.19</v>
      </c>
      <c r="Q2642">
        <v>6</v>
      </c>
      <c r="R2642" t="s">
        <v>3386</v>
      </c>
      <c r="T2642" t="s">
        <v>3402</v>
      </c>
      <c r="U2642">
        <v>-27</v>
      </c>
      <c r="V2642" t="s">
        <v>3715</v>
      </c>
    </row>
    <row r="2643" spans="1:22" ht="12.75" customHeight="1" x14ac:dyDescent="0.15">
      <c r="A2643">
        <v>25</v>
      </c>
      <c r="C2643" s="21">
        <v>46193</v>
      </c>
      <c r="D2643" t="s">
        <v>137</v>
      </c>
      <c r="E2643" t="s">
        <v>138</v>
      </c>
      <c r="F2643" t="s">
        <v>75</v>
      </c>
      <c r="G2643">
        <v>1</v>
      </c>
      <c r="H2643" t="s">
        <v>4277</v>
      </c>
      <c r="I2643" t="s">
        <v>4278</v>
      </c>
      <c r="J2643" s="1" t="s">
        <v>3668</v>
      </c>
      <c r="K2643" t="s">
        <v>181</v>
      </c>
      <c r="L2643" t="s">
        <v>3340</v>
      </c>
      <c r="M2643">
        <v>78</v>
      </c>
      <c r="N2643">
        <v>0.98</v>
      </c>
      <c r="O2643" t="s">
        <v>211</v>
      </c>
      <c r="P2643">
        <v>54</v>
      </c>
      <c r="Q2643">
        <v>6</v>
      </c>
      <c r="R2643" t="s">
        <v>3341</v>
      </c>
      <c r="T2643" t="s">
        <v>3402</v>
      </c>
      <c r="U2643">
        <v>-27</v>
      </c>
      <c r="V2643" t="s">
        <v>3926</v>
      </c>
    </row>
    <row r="2644" spans="1:22" ht="12.75" customHeight="1" x14ac:dyDescent="0.15">
      <c r="A2644">
        <v>25</v>
      </c>
      <c r="C2644" s="21">
        <v>46195</v>
      </c>
      <c r="D2644" t="s">
        <v>39</v>
      </c>
      <c r="E2644" t="s">
        <v>40</v>
      </c>
      <c r="F2644" t="s">
        <v>21</v>
      </c>
      <c r="G2644">
        <v>1.91</v>
      </c>
      <c r="H2644" t="s">
        <v>4285</v>
      </c>
      <c r="I2644" t="s">
        <v>4286</v>
      </c>
      <c r="J2644" s="1" t="s">
        <v>3696</v>
      </c>
      <c r="K2644" t="s">
        <v>181</v>
      </c>
      <c r="L2644" t="s">
        <v>3340</v>
      </c>
      <c r="M2644">
        <v>62</v>
      </c>
      <c r="N2644">
        <v>0.16</v>
      </c>
      <c r="O2644" t="s">
        <v>211</v>
      </c>
      <c r="P2644">
        <v>9</v>
      </c>
      <c r="Q2644">
        <v>1</v>
      </c>
      <c r="R2644" t="s">
        <v>3375</v>
      </c>
      <c r="S2644" t="s">
        <v>165</v>
      </c>
      <c r="T2644" t="s">
        <v>3337</v>
      </c>
      <c r="U2644">
        <v>158</v>
      </c>
      <c r="V2644" t="s">
        <v>4287</v>
      </c>
    </row>
    <row r="2645" spans="1:22" ht="12.75" customHeight="1" x14ac:dyDescent="0.15">
      <c r="A2645">
        <v>25</v>
      </c>
      <c r="C2645" s="21">
        <v>46195</v>
      </c>
      <c r="D2645" t="s">
        <v>39</v>
      </c>
      <c r="E2645" t="s">
        <v>40</v>
      </c>
      <c r="F2645" t="s">
        <v>21</v>
      </c>
      <c r="G2645">
        <v>1.91</v>
      </c>
      <c r="H2645" t="s">
        <v>4285</v>
      </c>
      <c r="I2645" t="s">
        <v>4286</v>
      </c>
      <c r="J2645" s="1" t="s">
        <v>3696</v>
      </c>
      <c r="K2645" t="s">
        <v>181</v>
      </c>
      <c r="L2645" t="s">
        <v>3340</v>
      </c>
      <c r="M2645">
        <v>58</v>
      </c>
      <c r="N2645">
        <v>0.16</v>
      </c>
      <c r="O2645" t="s">
        <v>211</v>
      </c>
      <c r="P2645">
        <v>9</v>
      </c>
      <c r="Q2645">
        <v>1</v>
      </c>
      <c r="R2645" t="s">
        <v>3343</v>
      </c>
      <c r="S2645" t="s">
        <v>165</v>
      </c>
      <c r="T2645" t="s">
        <v>3337</v>
      </c>
      <c r="U2645">
        <v>158</v>
      </c>
      <c r="V2645" t="s">
        <v>4287</v>
      </c>
    </row>
    <row r="2646" spans="1:22" ht="12.75" customHeight="1" x14ac:dyDescent="0.15">
      <c r="A2646">
        <v>25</v>
      </c>
      <c r="C2646" s="21">
        <v>46195</v>
      </c>
      <c r="D2646" t="s">
        <v>39</v>
      </c>
      <c r="E2646" t="s">
        <v>40</v>
      </c>
      <c r="F2646" t="s">
        <v>21</v>
      </c>
      <c r="G2646">
        <v>1.91</v>
      </c>
      <c r="H2646" t="s">
        <v>4285</v>
      </c>
      <c r="I2646" t="s">
        <v>4286</v>
      </c>
      <c r="J2646" s="1" t="s">
        <v>3696</v>
      </c>
      <c r="K2646" t="s">
        <v>181</v>
      </c>
      <c r="L2646" t="s">
        <v>3340</v>
      </c>
      <c r="M2646">
        <v>53</v>
      </c>
      <c r="N2646">
        <v>0.16</v>
      </c>
      <c r="O2646" t="s">
        <v>211</v>
      </c>
      <c r="P2646">
        <v>9</v>
      </c>
      <c r="Q2646">
        <v>1</v>
      </c>
      <c r="R2646" t="s">
        <v>3373</v>
      </c>
      <c r="S2646" t="s">
        <v>165</v>
      </c>
      <c r="T2646" t="s">
        <v>3337</v>
      </c>
      <c r="U2646">
        <v>158</v>
      </c>
      <c r="V2646" t="s">
        <v>4287</v>
      </c>
    </row>
    <row r="2647" spans="1:22" ht="12.75" customHeight="1" x14ac:dyDescent="0.15">
      <c r="A2647">
        <v>25</v>
      </c>
      <c r="C2647" s="21">
        <v>46195</v>
      </c>
      <c r="D2647" t="s">
        <v>39</v>
      </c>
      <c r="E2647" t="s">
        <v>40</v>
      </c>
      <c r="F2647" t="s">
        <v>21</v>
      </c>
      <c r="G2647">
        <v>1.91</v>
      </c>
      <c r="H2647" t="s">
        <v>4285</v>
      </c>
      <c r="I2647" t="s">
        <v>4286</v>
      </c>
      <c r="J2647" s="1" t="s">
        <v>3696</v>
      </c>
      <c r="K2647" t="s">
        <v>181</v>
      </c>
      <c r="L2647" t="s">
        <v>3340</v>
      </c>
      <c r="M2647">
        <v>81</v>
      </c>
      <c r="N2647">
        <v>0.16</v>
      </c>
      <c r="O2647" t="s">
        <v>211</v>
      </c>
      <c r="P2647">
        <v>9</v>
      </c>
      <c r="Q2647">
        <v>1</v>
      </c>
      <c r="R2647" t="s">
        <v>3374</v>
      </c>
      <c r="S2647" t="s">
        <v>165</v>
      </c>
      <c r="T2647" t="s">
        <v>3337</v>
      </c>
      <c r="U2647">
        <v>158</v>
      </c>
      <c r="V2647" t="s">
        <v>4287</v>
      </c>
    </row>
    <row r="2648" spans="1:22" ht="12.75" customHeight="1" x14ac:dyDescent="0.15">
      <c r="A2648">
        <v>25</v>
      </c>
      <c r="C2648" s="21">
        <v>46195</v>
      </c>
      <c r="D2648" t="s">
        <v>39</v>
      </c>
      <c r="E2648" t="s">
        <v>40</v>
      </c>
      <c r="F2648" t="s">
        <v>21</v>
      </c>
      <c r="G2648">
        <v>1.91</v>
      </c>
      <c r="H2648" t="s">
        <v>4285</v>
      </c>
      <c r="I2648" t="s">
        <v>4286</v>
      </c>
      <c r="J2648" s="1" t="s">
        <v>3696</v>
      </c>
      <c r="K2648" t="s">
        <v>181</v>
      </c>
      <c r="L2648" t="s">
        <v>3340</v>
      </c>
      <c r="M2648">
        <v>45</v>
      </c>
      <c r="N2648">
        <v>0.16</v>
      </c>
      <c r="O2648" t="s">
        <v>211</v>
      </c>
      <c r="P2648">
        <v>9</v>
      </c>
      <c r="Q2648">
        <v>1</v>
      </c>
      <c r="R2648" t="s">
        <v>3377</v>
      </c>
      <c r="S2648" t="s">
        <v>165</v>
      </c>
      <c r="T2648" t="s">
        <v>3337</v>
      </c>
      <c r="U2648">
        <v>158</v>
      </c>
      <c r="V2648" t="s">
        <v>4287</v>
      </c>
    </row>
    <row r="2649" spans="1:22" ht="12.75" customHeight="1" x14ac:dyDescent="0.15">
      <c r="A2649">
        <v>25</v>
      </c>
      <c r="C2649" s="21">
        <v>46195</v>
      </c>
      <c r="D2649" t="s">
        <v>39</v>
      </c>
      <c r="E2649" t="s">
        <v>40</v>
      </c>
      <c r="F2649" t="s">
        <v>21</v>
      </c>
      <c r="G2649">
        <v>1.91</v>
      </c>
      <c r="H2649" t="s">
        <v>4045</v>
      </c>
      <c r="I2649" t="s">
        <v>309</v>
      </c>
      <c r="J2649" s="1" t="s">
        <v>307</v>
      </c>
      <c r="K2649" t="s">
        <v>181</v>
      </c>
      <c r="L2649" t="s">
        <v>3340</v>
      </c>
      <c r="M2649">
        <v>62</v>
      </c>
      <c r="N2649">
        <v>1.82</v>
      </c>
      <c r="O2649" t="s">
        <v>211</v>
      </c>
      <c r="P2649">
        <v>100</v>
      </c>
      <c r="R2649" t="s">
        <v>3375</v>
      </c>
      <c r="S2649" t="s">
        <v>4288</v>
      </c>
      <c r="T2649" t="s">
        <v>3337</v>
      </c>
      <c r="U2649">
        <v>158</v>
      </c>
      <c r="V2649" t="s">
        <v>4289</v>
      </c>
    </row>
    <row r="2650" spans="1:22" ht="12.75" customHeight="1" x14ac:dyDescent="0.15">
      <c r="A2650">
        <v>25</v>
      </c>
      <c r="C2650" s="21">
        <v>46195</v>
      </c>
      <c r="D2650" t="s">
        <v>39</v>
      </c>
      <c r="E2650" t="s">
        <v>40</v>
      </c>
      <c r="F2650" t="s">
        <v>21</v>
      </c>
      <c r="G2650">
        <v>1.91</v>
      </c>
      <c r="H2650" t="s">
        <v>4045</v>
      </c>
      <c r="I2650" t="s">
        <v>309</v>
      </c>
      <c r="J2650" s="1" t="s">
        <v>307</v>
      </c>
      <c r="K2650" t="s">
        <v>181</v>
      </c>
      <c r="L2650" t="s">
        <v>3340</v>
      </c>
      <c r="M2650">
        <v>58</v>
      </c>
      <c r="N2650">
        <v>2.36</v>
      </c>
      <c r="O2650" t="s">
        <v>211</v>
      </c>
      <c r="P2650">
        <v>130</v>
      </c>
      <c r="R2650" t="s">
        <v>3343</v>
      </c>
      <c r="S2650" t="s">
        <v>4290</v>
      </c>
      <c r="T2650" t="s">
        <v>3337</v>
      </c>
      <c r="U2650">
        <v>158</v>
      </c>
      <c r="V2650" t="s">
        <v>4291</v>
      </c>
    </row>
    <row r="2651" spans="1:22" ht="12.75" customHeight="1" x14ac:dyDescent="0.15">
      <c r="A2651">
        <v>25</v>
      </c>
      <c r="C2651" s="21">
        <v>46195</v>
      </c>
      <c r="D2651" t="s">
        <v>39</v>
      </c>
      <c r="E2651" t="s">
        <v>40</v>
      </c>
      <c r="F2651" t="s">
        <v>21</v>
      </c>
      <c r="G2651">
        <v>1.91</v>
      </c>
      <c r="H2651" t="s">
        <v>4045</v>
      </c>
      <c r="I2651" t="s">
        <v>309</v>
      </c>
      <c r="J2651" s="1" t="s">
        <v>307</v>
      </c>
      <c r="K2651" t="s">
        <v>181</v>
      </c>
      <c r="L2651" t="s">
        <v>3340</v>
      </c>
      <c r="M2651">
        <v>53</v>
      </c>
      <c r="N2651">
        <v>0.91</v>
      </c>
      <c r="O2651" t="s">
        <v>211</v>
      </c>
      <c r="P2651">
        <v>50</v>
      </c>
      <c r="R2651" t="s">
        <v>3373</v>
      </c>
      <c r="S2651" t="s">
        <v>4292</v>
      </c>
      <c r="T2651" t="s">
        <v>3337</v>
      </c>
      <c r="U2651">
        <v>158</v>
      </c>
      <c r="V2651" t="s">
        <v>4293</v>
      </c>
    </row>
    <row r="2652" spans="1:22" ht="12.75" customHeight="1" x14ac:dyDescent="0.15">
      <c r="A2652">
        <v>25</v>
      </c>
      <c r="C2652" s="21">
        <v>46195</v>
      </c>
      <c r="D2652" t="s">
        <v>39</v>
      </c>
      <c r="E2652" t="s">
        <v>40</v>
      </c>
      <c r="F2652" t="s">
        <v>21</v>
      </c>
      <c r="G2652">
        <v>1.91</v>
      </c>
      <c r="H2652" t="s">
        <v>4045</v>
      </c>
      <c r="I2652" t="s">
        <v>309</v>
      </c>
      <c r="J2652" s="1" t="s">
        <v>307</v>
      </c>
      <c r="K2652" t="s">
        <v>181</v>
      </c>
      <c r="L2652" t="s">
        <v>3340</v>
      </c>
      <c r="M2652">
        <v>81</v>
      </c>
      <c r="N2652">
        <v>2.5499999999999998</v>
      </c>
      <c r="O2652" t="s">
        <v>211</v>
      </c>
      <c r="P2652">
        <v>140</v>
      </c>
      <c r="R2652" t="s">
        <v>3374</v>
      </c>
      <c r="S2652" t="s">
        <v>4294</v>
      </c>
      <c r="T2652" t="s">
        <v>3337</v>
      </c>
      <c r="U2652">
        <v>158</v>
      </c>
      <c r="V2652" t="s">
        <v>4295</v>
      </c>
    </row>
    <row r="2653" spans="1:22" ht="12.75" customHeight="1" x14ac:dyDescent="0.15">
      <c r="A2653">
        <v>25</v>
      </c>
      <c r="C2653" s="21">
        <v>46195</v>
      </c>
      <c r="D2653" t="s">
        <v>39</v>
      </c>
      <c r="E2653" t="s">
        <v>40</v>
      </c>
      <c r="F2653" t="s">
        <v>21</v>
      </c>
      <c r="G2653">
        <v>1.91</v>
      </c>
      <c r="H2653" t="s">
        <v>4045</v>
      </c>
      <c r="I2653" t="s">
        <v>309</v>
      </c>
      <c r="J2653" s="1" t="s">
        <v>307</v>
      </c>
      <c r="K2653" t="s">
        <v>181</v>
      </c>
      <c r="L2653" t="s">
        <v>3340</v>
      </c>
      <c r="M2653">
        <v>45</v>
      </c>
      <c r="N2653">
        <v>1.91</v>
      </c>
      <c r="O2653" t="s">
        <v>211</v>
      </c>
      <c r="P2653">
        <v>105</v>
      </c>
      <c r="R2653" t="s">
        <v>3377</v>
      </c>
      <c r="S2653" t="s">
        <v>4296</v>
      </c>
      <c r="T2653" t="s">
        <v>3337</v>
      </c>
      <c r="U2653">
        <v>158</v>
      </c>
      <c r="V2653" t="s">
        <v>4297</v>
      </c>
    </row>
    <row r="2654" spans="1:22" ht="12.75" customHeight="1" x14ac:dyDescent="0.15">
      <c r="A2654">
        <v>25</v>
      </c>
      <c r="C2654" s="21">
        <v>46195</v>
      </c>
      <c r="D2654" t="s">
        <v>39</v>
      </c>
      <c r="E2654" t="s">
        <v>40</v>
      </c>
      <c r="F2654" t="s">
        <v>21</v>
      </c>
      <c r="G2654">
        <v>1.91</v>
      </c>
      <c r="H2654" t="s">
        <v>4285</v>
      </c>
      <c r="I2654" t="s">
        <v>4286</v>
      </c>
      <c r="J2654" s="1" t="s">
        <v>3696</v>
      </c>
      <c r="K2654" t="s">
        <v>181</v>
      </c>
      <c r="L2654" t="s">
        <v>3340</v>
      </c>
      <c r="M2654">
        <v>25</v>
      </c>
      <c r="N2654">
        <v>0.16</v>
      </c>
      <c r="O2654" t="s">
        <v>211</v>
      </c>
      <c r="P2654">
        <v>9</v>
      </c>
      <c r="R2654" t="s">
        <v>3413</v>
      </c>
      <c r="T2654" t="s">
        <v>3337</v>
      </c>
      <c r="U2654">
        <v>158</v>
      </c>
      <c r="V2654" t="s">
        <v>4287</v>
      </c>
    </row>
    <row r="2655" spans="1:22" ht="12.75" customHeight="1" x14ac:dyDescent="0.15">
      <c r="A2655">
        <v>25</v>
      </c>
      <c r="C2655" s="21">
        <v>46195</v>
      </c>
      <c r="D2655" t="s">
        <v>39</v>
      </c>
      <c r="E2655" t="s">
        <v>40</v>
      </c>
      <c r="F2655" t="s">
        <v>21</v>
      </c>
      <c r="G2655">
        <v>1.91</v>
      </c>
      <c r="H2655" t="s">
        <v>4285</v>
      </c>
      <c r="I2655" t="s">
        <v>4286</v>
      </c>
      <c r="J2655" s="1" t="s">
        <v>3696</v>
      </c>
      <c r="K2655" t="s">
        <v>181</v>
      </c>
      <c r="L2655" t="s">
        <v>3333</v>
      </c>
      <c r="M2655">
        <v>2</v>
      </c>
      <c r="N2655">
        <v>0.13</v>
      </c>
      <c r="O2655" t="s">
        <v>3440</v>
      </c>
      <c r="P2655">
        <v>11.31</v>
      </c>
      <c r="Q2655">
        <v>1</v>
      </c>
      <c r="R2655" t="s">
        <v>3424</v>
      </c>
      <c r="T2655" t="s">
        <v>3337</v>
      </c>
      <c r="U2655">
        <v>158</v>
      </c>
      <c r="V2655" t="s">
        <v>3348</v>
      </c>
    </row>
    <row r="2656" spans="1:22" ht="12.75" customHeight="1" x14ac:dyDescent="0.15">
      <c r="A2656">
        <v>25</v>
      </c>
      <c r="C2656" s="21">
        <v>46195</v>
      </c>
      <c r="D2656" t="s">
        <v>107</v>
      </c>
      <c r="E2656" t="s">
        <v>108</v>
      </c>
      <c r="F2656" t="s">
        <v>21</v>
      </c>
      <c r="G2656">
        <v>4.5</v>
      </c>
      <c r="H2656" t="s">
        <v>3400</v>
      </c>
      <c r="I2656" t="s">
        <v>353</v>
      </c>
      <c r="J2656" s="1" t="s">
        <v>253</v>
      </c>
      <c r="K2656" t="s">
        <v>181</v>
      </c>
      <c r="L2656" t="s">
        <v>3340</v>
      </c>
      <c r="M2656">
        <v>25</v>
      </c>
      <c r="N2656">
        <v>0.84</v>
      </c>
      <c r="O2656" t="s">
        <v>211</v>
      </c>
      <c r="P2656">
        <v>46</v>
      </c>
      <c r="R2656" t="s">
        <v>3413</v>
      </c>
      <c r="T2656" t="s">
        <v>3337</v>
      </c>
      <c r="U2656">
        <v>38</v>
      </c>
      <c r="V2656" t="s">
        <v>4298</v>
      </c>
    </row>
    <row r="2657" spans="1:22" ht="12.75" customHeight="1" x14ac:dyDescent="0.15">
      <c r="A2657">
        <v>25</v>
      </c>
      <c r="C2657" s="21">
        <v>46195</v>
      </c>
      <c r="D2657" t="s">
        <v>107</v>
      </c>
      <c r="E2657" t="s">
        <v>108</v>
      </c>
      <c r="F2657" t="s">
        <v>21</v>
      </c>
      <c r="G2657">
        <v>4.5</v>
      </c>
      <c r="H2657" t="s">
        <v>3400</v>
      </c>
      <c r="I2657" t="s">
        <v>353</v>
      </c>
      <c r="J2657" s="1" t="s">
        <v>253</v>
      </c>
      <c r="K2657" t="s">
        <v>181</v>
      </c>
      <c r="L2657" t="s">
        <v>3333</v>
      </c>
      <c r="M2657">
        <v>2</v>
      </c>
      <c r="N2657">
        <v>0.88</v>
      </c>
      <c r="O2657" t="s">
        <v>3440</v>
      </c>
      <c r="P2657">
        <v>79.180000000000007</v>
      </c>
      <c r="Q2657">
        <v>7</v>
      </c>
      <c r="R2657" t="s">
        <v>3424</v>
      </c>
      <c r="T2657" t="s">
        <v>3337</v>
      </c>
      <c r="U2657">
        <v>38</v>
      </c>
      <c r="V2657" t="s">
        <v>4299</v>
      </c>
    </row>
    <row r="2658" spans="1:22" ht="12.75" customHeight="1" x14ac:dyDescent="0.15">
      <c r="A2658">
        <v>25</v>
      </c>
      <c r="C2658" s="21">
        <v>46195</v>
      </c>
      <c r="D2658" t="s">
        <v>143</v>
      </c>
      <c r="E2658" t="s">
        <v>144</v>
      </c>
      <c r="F2658" t="s">
        <v>21</v>
      </c>
      <c r="G2658">
        <v>1.8</v>
      </c>
      <c r="H2658" t="s">
        <v>3454</v>
      </c>
      <c r="I2658" t="s">
        <v>212</v>
      </c>
      <c r="J2658" s="1" t="s">
        <v>188</v>
      </c>
      <c r="K2658" t="s">
        <v>181</v>
      </c>
      <c r="L2658" t="s">
        <v>3333</v>
      </c>
      <c r="M2658">
        <v>6</v>
      </c>
      <c r="N2658">
        <v>1</v>
      </c>
      <c r="O2658" t="s">
        <v>3334</v>
      </c>
      <c r="P2658">
        <v>81.58</v>
      </c>
      <c r="Q2658">
        <v>8</v>
      </c>
      <c r="R2658" t="s">
        <v>3335</v>
      </c>
      <c r="T2658" t="s">
        <v>3337</v>
      </c>
      <c r="V2658" t="s">
        <v>4261</v>
      </c>
    </row>
    <row r="2659" spans="1:22" ht="12.75" customHeight="1" x14ac:dyDescent="0.15">
      <c r="A2659">
        <v>25</v>
      </c>
      <c r="C2659" s="21">
        <v>46195</v>
      </c>
      <c r="D2659" t="s">
        <v>107</v>
      </c>
      <c r="E2659" t="s">
        <v>108</v>
      </c>
      <c r="F2659" t="s">
        <v>21</v>
      </c>
      <c r="G2659">
        <v>4.5</v>
      </c>
      <c r="H2659" t="s">
        <v>3400</v>
      </c>
      <c r="I2659" t="s">
        <v>353</v>
      </c>
      <c r="J2659" s="1" t="s">
        <v>253</v>
      </c>
      <c r="K2659" t="s">
        <v>181</v>
      </c>
      <c r="L2659" t="s">
        <v>3333</v>
      </c>
      <c r="M2659">
        <v>1</v>
      </c>
      <c r="N2659">
        <v>1</v>
      </c>
      <c r="O2659" t="s">
        <v>3358</v>
      </c>
      <c r="P2659">
        <v>71.86</v>
      </c>
      <c r="Q2659">
        <v>8</v>
      </c>
      <c r="R2659" t="s">
        <v>3359</v>
      </c>
      <c r="T2659" t="s">
        <v>3337</v>
      </c>
      <c r="U2659">
        <v>38</v>
      </c>
      <c r="V2659" t="s">
        <v>3817</v>
      </c>
    </row>
    <row r="2660" spans="1:22" ht="12.75" customHeight="1" x14ac:dyDescent="0.15">
      <c r="A2660">
        <v>25</v>
      </c>
      <c r="C2660" s="21">
        <v>46195</v>
      </c>
      <c r="D2660" t="s">
        <v>84</v>
      </c>
      <c r="E2660" t="s">
        <v>85</v>
      </c>
      <c r="F2660" t="s">
        <v>21</v>
      </c>
      <c r="G2660">
        <v>2</v>
      </c>
      <c r="H2660" t="s">
        <v>3391</v>
      </c>
      <c r="I2660" t="s">
        <v>353</v>
      </c>
      <c r="J2660" s="1" t="s">
        <v>253</v>
      </c>
      <c r="K2660" t="s">
        <v>181</v>
      </c>
      <c r="L2660" t="s">
        <v>3333</v>
      </c>
      <c r="M2660">
        <v>67</v>
      </c>
      <c r="N2660">
        <v>0.13</v>
      </c>
      <c r="O2660" t="s">
        <v>3334</v>
      </c>
      <c r="P2660">
        <v>10.199999999999999</v>
      </c>
      <c r="Q2660">
        <v>1</v>
      </c>
      <c r="R2660" t="s">
        <v>3404</v>
      </c>
      <c r="T2660" t="s">
        <v>3402</v>
      </c>
      <c r="U2660">
        <v>63</v>
      </c>
      <c r="V2660" t="s">
        <v>3463</v>
      </c>
    </row>
    <row r="2661" spans="1:22" ht="12.75" customHeight="1" x14ac:dyDescent="0.15">
      <c r="A2661">
        <v>25</v>
      </c>
      <c r="C2661" s="21">
        <v>46195</v>
      </c>
      <c r="D2661" t="s">
        <v>84</v>
      </c>
      <c r="E2661" t="s">
        <v>85</v>
      </c>
      <c r="F2661" t="s">
        <v>21</v>
      </c>
      <c r="G2661">
        <v>2</v>
      </c>
      <c r="H2661" t="s">
        <v>3391</v>
      </c>
      <c r="I2661" t="s">
        <v>353</v>
      </c>
      <c r="J2661" s="1" t="s">
        <v>253</v>
      </c>
      <c r="K2661" t="s">
        <v>181</v>
      </c>
      <c r="L2661" t="s">
        <v>3333</v>
      </c>
      <c r="M2661">
        <v>19</v>
      </c>
      <c r="N2661">
        <v>0.13</v>
      </c>
      <c r="O2661" t="s">
        <v>3334</v>
      </c>
      <c r="P2661">
        <v>10.199999999999999</v>
      </c>
      <c r="Q2661">
        <v>1</v>
      </c>
      <c r="R2661" t="s">
        <v>3403</v>
      </c>
      <c r="T2661" t="s">
        <v>3402</v>
      </c>
      <c r="U2661">
        <v>63</v>
      </c>
      <c r="V2661" t="s">
        <v>3463</v>
      </c>
    </row>
    <row r="2662" spans="1:22" ht="12.75" customHeight="1" x14ac:dyDescent="0.15">
      <c r="A2662">
        <v>25</v>
      </c>
      <c r="C2662" s="21">
        <v>46195</v>
      </c>
      <c r="D2662" t="s">
        <v>39</v>
      </c>
      <c r="E2662" t="s">
        <v>40</v>
      </c>
      <c r="F2662" t="s">
        <v>21</v>
      </c>
      <c r="G2662">
        <v>1.91</v>
      </c>
      <c r="H2662" t="s">
        <v>3391</v>
      </c>
      <c r="I2662" t="s">
        <v>353</v>
      </c>
      <c r="J2662" s="1" t="s">
        <v>253</v>
      </c>
      <c r="K2662" t="s">
        <v>181</v>
      </c>
      <c r="L2662" t="s">
        <v>3333</v>
      </c>
      <c r="M2662">
        <v>67</v>
      </c>
      <c r="N2662">
        <v>0.38</v>
      </c>
      <c r="O2662" t="s">
        <v>3334</v>
      </c>
      <c r="P2662">
        <v>30.59</v>
      </c>
      <c r="Q2662">
        <v>3</v>
      </c>
      <c r="R2662" t="s">
        <v>3404</v>
      </c>
      <c r="T2662" t="s">
        <v>3402</v>
      </c>
      <c r="U2662">
        <v>158</v>
      </c>
      <c r="V2662" t="s">
        <v>3417</v>
      </c>
    </row>
    <row r="2663" spans="1:22" ht="12.75" customHeight="1" x14ac:dyDescent="0.15">
      <c r="A2663">
        <v>25</v>
      </c>
      <c r="C2663" s="21">
        <v>46195</v>
      </c>
      <c r="D2663" t="s">
        <v>39</v>
      </c>
      <c r="E2663" t="s">
        <v>40</v>
      </c>
      <c r="F2663" t="s">
        <v>21</v>
      </c>
      <c r="G2663">
        <v>1.91</v>
      </c>
      <c r="H2663" t="s">
        <v>3391</v>
      </c>
      <c r="I2663" t="s">
        <v>353</v>
      </c>
      <c r="J2663" s="1" t="s">
        <v>253</v>
      </c>
      <c r="K2663" t="s">
        <v>181</v>
      </c>
      <c r="L2663" t="s">
        <v>3333</v>
      </c>
      <c r="M2663">
        <v>19</v>
      </c>
      <c r="N2663">
        <v>0.38</v>
      </c>
      <c r="O2663" t="s">
        <v>3334</v>
      </c>
      <c r="P2663">
        <v>30.59</v>
      </c>
      <c r="Q2663">
        <v>3</v>
      </c>
      <c r="R2663" t="s">
        <v>3403</v>
      </c>
      <c r="T2663" t="s">
        <v>3402</v>
      </c>
      <c r="U2663">
        <v>158</v>
      </c>
      <c r="V2663" t="s">
        <v>3417</v>
      </c>
    </row>
    <row r="2664" spans="1:22" ht="12.75" customHeight="1" x14ac:dyDescent="0.15">
      <c r="A2664">
        <v>25</v>
      </c>
      <c r="C2664" s="21">
        <v>46195</v>
      </c>
      <c r="D2664" t="s">
        <v>73</v>
      </c>
      <c r="E2664" t="s">
        <v>74</v>
      </c>
      <c r="F2664" t="s">
        <v>75</v>
      </c>
      <c r="G2664">
        <v>2.2999999999999998</v>
      </c>
      <c r="H2664" t="s">
        <v>3391</v>
      </c>
      <c r="I2664" t="s">
        <v>353</v>
      </c>
      <c r="J2664" s="1" t="s">
        <v>253</v>
      </c>
      <c r="K2664" t="s">
        <v>181</v>
      </c>
      <c r="L2664" t="s">
        <v>3333</v>
      </c>
      <c r="M2664">
        <v>67</v>
      </c>
      <c r="N2664">
        <v>0.25</v>
      </c>
      <c r="O2664" t="s">
        <v>3334</v>
      </c>
      <c r="P2664">
        <v>20.399999999999999</v>
      </c>
      <c r="Q2664">
        <v>2</v>
      </c>
      <c r="R2664" t="s">
        <v>3404</v>
      </c>
      <c r="T2664" t="s">
        <v>3402</v>
      </c>
      <c r="U2664">
        <v>65</v>
      </c>
      <c r="V2664" t="s">
        <v>4263</v>
      </c>
    </row>
    <row r="2665" spans="1:22" ht="12.75" customHeight="1" x14ac:dyDescent="0.15">
      <c r="A2665">
        <v>25</v>
      </c>
      <c r="C2665" s="21">
        <v>46195</v>
      </c>
      <c r="D2665" t="s">
        <v>73</v>
      </c>
      <c r="E2665" t="s">
        <v>74</v>
      </c>
      <c r="F2665" t="s">
        <v>75</v>
      </c>
      <c r="G2665">
        <v>2.2999999999999998</v>
      </c>
      <c r="H2665" t="s">
        <v>3391</v>
      </c>
      <c r="I2665" t="s">
        <v>353</v>
      </c>
      <c r="J2665" s="1" t="s">
        <v>253</v>
      </c>
      <c r="K2665" t="s">
        <v>181</v>
      </c>
      <c r="L2665" t="s">
        <v>3333</v>
      </c>
      <c r="M2665">
        <v>19</v>
      </c>
      <c r="N2665">
        <v>0.25</v>
      </c>
      <c r="O2665" t="s">
        <v>3334</v>
      </c>
      <c r="P2665">
        <v>20.399999999999999</v>
      </c>
      <c r="Q2665">
        <v>2</v>
      </c>
      <c r="R2665" t="s">
        <v>3403</v>
      </c>
      <c r="T2665" t="s">
        <v>3402</v>
      </c>
      <c r="U2665">
        <v>65</v>
      </c>
      <c r="V2665" t="s">
        <v>4263</v>
      </c>
    </row>
    <row r="2666" spans="1:22" ht="12.75" customHeight="1" x14ac:dyDescent="0.15">
      <c r="A2666">
        <v>25</v>
      </c>
      <c r="C2666" s="21">
        <v>46195</v>
      </c>
      <c r="D2666" t="s">
        <v>137</v>
      </c>
      <c r="E2666" t="s">
        <v>138</v>
      </c>
      <c r="F2666" t="s">
        <v>75</v>
      </c>
      <c r="G2666">
        <v>1</v>
      </c>
      <c r="H2666" t="s">
        <v>3845</v>
      </c>
      <c r="I2666" t="s">
        <v>380</v>
      </c>
      <c r="J2666" s="1" t="s">
        <v>3533</v>
      </c>
      <c r="K2666" t="s">
        <v>181</v>
      </c>
      <c r="L2666" t="s">
        <v>3333</v>
      </c>
      <c r="M2666">
        <v>86</v>
      </c>
      <c r="N2666">
        <v>1</v>
      </c>
      <c r="O2666" t="s">
        <v>3334</v>
      </c>
      <c r="P2666">
        <v>81.58</v>
      </c>
      <c r="Q2666">
        <v>8</v>
      </c>
      <c r="R2666" t="s">
        <v>3386</v>
      </c>
      <c r="T2666" t="s">
        <v>3402</v>
      </c>
      <c r="U2666">
        <v>-25</v>
      </c>
      <c r="V2666" t="s">
        <v>3334</v>
      </c>
    </row>
    <row r="2667" spans="1:22" ht="12.75" customHeight="1" x14ac:dyDescent="0.15">
      <c r="A2667">
        <v>25</v>
      </c>
      <c r="C2667" s="21">
        <v>46195</v>
      </c>
      <c r="D2667" t="s">
        <v>137</v>
      </c>
      <c r="E2667" t="s">
        <v>138</v>
      </c>
      <c r="F2667" t="s">
        <v>75</v>
      </c>
      <c r="G2667">
        <v>1</v>
      </c>
      <c r="H2667" t="s">
        <v>3845</v>
      </c>
      <c r="I2667" t="s">
        <v>380</v>
      </c>
      <c r="J2667" s="1" t="s">
        <v>3533</v>
      </c>
      <c r="K2667" t="s">
        <v>181</v>
      </c>
      <c r="L2667" t="s">
        <v>3340</v>
      </c>
      <c r="M2667">
        <v>78</v>
      </c>
      <c r="N2667">
        <v>0.82</v>
      </c>
      <c r="O2667" t="s">
        <v>211</v>
      </c>
      <c r="P2667">
        <v>45</v>
      </c>
      <c r="Q2667">
        <v>5</v>
      </c>
      <c r="R2667" t="s">
        <v>3341</v>
      </c>
      <c r="T2667" t="s">
        <v>3402</v>
      </c>
      <c r="U2667">
        <v>-25</v>
      </c>
      <c r="V2667" t="s">
        <v>3530</v>
      </c>
    </row>
    <row r="2668" spans="1:22" ht="12.75" customHeight="1" x14ac:dyDescent="0.15">
      <c r="A2668">
        <v>25</v>
      </c>
      <c r="C2668" s="21">
        <v>46195</v>
      </c>
      <c r="D2668" t="s">
        <v>137</v>
      </c>
      <c r="E2668" t="s">
        <v>138</v>
      </c>
      <c r="F2668" t="s">
        <v>75</v>
      </c>
      <c r="G2668">
        <v>1</v>
      </c>
      <c r="H2668" t="s">
        <v>3845</v>
      </c>
      <c r="I2668" t="s">
        <v>380</v>
      </c>
      <c r="J2668" s="1" t="s">
        <v>3533</v>
      </c>
      <c r="K2668" t="s">
        <v>181</v>
      </c>
      <c r="L2668" t="s">
        <v>3333</v>
      </c>
      <c r="M2668">
        <v>4</v>
      </c>
      <c r="N2668">
        <v>0.63</v>
      </c>
      <c r="O2668" t="s">
        <v>3334</v>
      </c>
      <c r="P2668">
        <v>50.99</v>
      </c>
      <c r="Q2668">
        <v>5</v>
      </c>
      <c r="R2668" t="s">
        <v>3773</v>
      </c>
      <c r="T2668" t="s">
        <v>3402</v>
      </c>
      <c r="U2668">
        <v>-25</v>
      </c>
      <c r="V2668" t="s">
        <v>3574</v>
      </c>
    </row>
    <row r="2669" spans="1:22" ht="12.75" customHeight="1" x14ac:dyDescent="0.15">
      <c r="A2669">
        <v>25</v>
      </c>
      <c r="C2669" s="21">
        <v>46195</v>
      </c>
      <c r="D2669" t="s">
        <v>39</v>
      </c>
      <c r="E2669" t="s">
        <v>40</v>
      </c>
      <c r="F2669" t="s">
        <v>21</v>
      </c>
      <c r="G2669">
        <v>1.91</v>
      </c>
      <c r="H2669" t="s">
        <v>3945</v>
      </c>
      <c r="I2669" t="s">
        <v>3686</v>
      </c>
      <c r="J2669" s="1" t="s">
        <v>3437</v>
      </c>
      <c r="K2669" t="s">
        <v>181</v>
      </c>
      <c r="L2669" t="s">
        <v>3333</v>
      </c>
      <c r="M2669">
        <v>4</v>
      </c>
      <c r="N2669">
        <v>0.38</v>
      </c>
      <c r="O2669" t="s">
        <v>3334</v>
      </c>
      <c r="P2669">
        <v>30.59</v>
      </c>
      <c r="Q2669">
        <v>3</v>
      </c>
      <c r="R2669" t="s">
        <v>3773</v>
      </c>
      <c r="T2669" t="s">
        <v>3402</v>
      </c>
      <c r="U2669">
        <v>158</v>
      </c>
      <c r="V2669" t="s">
        <v>3417</v>
      </c>
    </row>
    <row r="2670" spans="1:22" ht="12.75" customHeight="1" x14ac:dyDescent="0.15">
      <c r="A2670">
        <v>25</v>
      </c>
      <c r="C2670" s="21">
        <v>46195</v>
      </c>
      <c r="D2670" t="s">
        <v>39</v>
      </c>
      <c r="E2670" t="s">
        <v>40</v>
      </c>
      <c r="F2670" t="s">
        <v>21</v>
      </c>
      <c r="G2670">
        <v>1.91</v>
      </c>
      <c r="H2670" t="s">
        <v>3945</v>
      </c>
      <c r="I2670" t="s">
        <v>3686</v>
      </c>
      <c r="J2670" s="1" t="s">
        <v>3437</v>
      </c>
      <c r="K2670" t="s">
        <v>181</v>
      </c>
      <c r="L2670" t="s">
        <v>3340</v>
      </c>
      <c r="M2670">
        <v>4</v>
      </c>
      <c r="N2670">
        <v>0.65</v>
      </c>
      <c r="O2670" t="s">
        <v>211</v>
      </c>
      <c r="P2670">
        <v>36</v>
      </c>
      <c r="Q2670">
        <v>4</v>
      </c>
      <c r="R2670" t="s">
        <v>3773</v>
      </c>
      <c r="T2670" t="s">
        <v>3402</v>
      </c>
      <c r="U2670">
        <v>158</v>
      </c>
      <c r="V2670" t="s">
        <v>3978</v>
      </c>
    </row>
    <row r="2671" spans="1:22" ht="12.75" customHeight="1" x14ac:dyDescent="0.15">
      <c r="A2671">
        <v>25</v>
      </c>
      <c r="C2671" s="21">
        <v>46196</v>
      </c>
      <c r="D2671" t="s">
        <v>73</v>
      </c>
      <c r="E2671" t="s">
        <v>74</v>
      </c>
      <c r="F2671" t="s">
        <v>75</v>
      </c>
      <c r="G2671">
        <v>2.2999999999999998</v>
      </c>
      <c r="H2671" t="s">
        <v>3514</v>
      </c>
      <c r="I2671" t="s">
        <v>366</v>
      </c>
      <c r="J2671" s="1" t="s">
        <v>215</v>
      </c>
      <c r="K2671" t="s">
        <v>181</v>
      </c>
      <c r="L2671" t="s">
        <v>3340</v>
      </c>
      <c r="M2671">
        <v>62</v>
      </c>
      <c r="N2671">
        <v>1.02</v>
      </c>
      <c r="O2671" t="s">
        <v>211</v>
      </c>
      <c r="P2671">
        <v>56</v>
      </c>
      <c r="R2671" t="s">
        <v>3375</v>
      </c>
      <c r="S2671" t="s">
        <v>4300</v>
      </c>
      <c r="T2671" t="s">
        <v>3337</v>
      </c>
      <c r="U2671">
        <v>66</v>
      </c>
      <c r="V2671" t="s">
        <v>4279</v>
      </c>
    </row>
    <row r="2672" spans="1:22" ht="12.75" customHeight="1" x14ac:dyDescent="0.15">
      <c r="A2672">
        <v>25</v>
      </c>
      <c r="C2672" s="21">
        <v>46196</v>
      </c>
      <c r="D2672" t="s">
        <v>73</v>
      </c>
      <c r="E2672" t="s">
        <v>74</v>
      </c>
      <c r="F2672" t="s">
        <v>75</v>
      </c>
      <c r="G2672">
        <v>2.2999999999999998</v>
      </c>
      <c r="H2672" t="s">
        <v>3514</v>
      </c>
      <c r="I2672" t="s">
        <v>366</v>
      </c>
      <c r="J2672" s="1" t="s">
        <v>215</v>
      </c>
      <c r="K2672" t="s">
        <v>181</v>
      </c>
      <c r="L2672" t="s">
        <v>3340</v>
      </c>
      <c r="M2672">
        <v>58</v>
      </c>
      <c r="N2672">
        <v>1.02</v>
      </c>
      <c r="O2672" t="s">
        <v>211</v>
      </c>
      <c r="P2672">
        <v>56</v>
      </c>
      <c r="R2672" t="s">
        <v>3343</v>
      </c>
      <c r="T2672" t="s">
        <v>3337</v>
      </c>
      <c r="U2672">
        <v>66</v>
      </c>
      <c r="V2672" t="s">
        <v>4279</v>
      </c>
    </row>
    <row r="2673" spans="1:22" ht="12.75" customHeight="1" x14ac:dyDescent="0.15">
      <c r="A2673">
        <v>25</v>
      </c>
      <c r="C2673" s="21">
        <v>46196</v>
      </c>
      <c r="D2673" t="s">
        <v>73</v>
      </c>
      <c r="E2673" t="s">
        <v>74</v>
      </c>
      <c r="F2673" t="s">
        <v>75</v>
      </c>
      <c r="G2673">
        <v>2.2999999999999998</v>
      </c>
      <c r="H2673" t="s">
        <v>3514</v>
      </c>
      <c r="I2673" t="s">
        <v>366</v>
      </c>
      <c r="J2673" s="1" t="s">
        <v>215</v>
      </c>
      <c r="K2673" t="s">
        <v>181</v>
      </c>
      <c r="L2673" t="s">
        <v>3340</v>
      </c>
      <c r="M2673">
        <v>53</v>
      </c>
      <c r="N2673">
        <v>1.02</v>
      </c>
      <c r="O2673" t="s">
        <v>211</v>
      </c>
      <c r="P2673">
        <v>56</v>
      </c>
      <c r="R2673" t="s">
        <v>3373</v>
      </c>
      <c r="T2673" t="s">
        <v>3337</v>
      </c>
      <c r="U2673">
        <v>66</v>
      </c>
      <c r="V2673" t="s">
        <v>4279</v>
      </c>
    </row>
    <row r="2674" spans="1:22" ht="12.75" customHeight="1" x14ac:dyDescent="0.15">
      <c r="A2674">
        <v>25</v>
      </c>
      <c r="C2674" s="21">
        <v>46196</v>
      </c>
      <c r="D2674" t="s">
        <v>73</v>
      </c>
      <c r="E2674" t="s">
        <v>74</v>
      </c>
      <c r="F2674" t="s">
        <v>75</v>
      </c>
      <c r="G2674">
        <v>2.2999999999999998</v>
      </c>
      <c r="H2674" t="s">
        <v>3514</v>
      </c>
      <c r="I2674" t="s">
        <v>366</v>
      </c>
      <c r="J2674" s="1" t="s">
        <v>215</v>
      </c>
      <c r="K2674" t="s">
        <v>181</v>
      </c>
      <c r="L2674" t="s">
        <v>3340</v>
      </c>
      <c r="M2674">
        <v>81</v>
      </c>
      <c r="N2674">
        <v>1.02</v>
      </c>
      <c r="O2674" t="s">
        <v>211</v>
      </c>
      <c r="P2674">
        <v>56</v>
      </c>
      <c r="R2674" t="s">
        <v>3374</v>
      </c>
      <c r="T2674" t="s">
        <v>3337</v>
      </c>
      <c r="U2674">
        <v>66</v>
      </c>
      <c r="V2674" t="s">
        <v>4279</v>
      </c>
    </row>
    <row r="2675" spans="1:22" ht="12.75" customHeight="1" x14ac:dyDescent="0.15">
      <c r="A2675">
        <v>25</v>
      </c>
      <c r="C2675" s="21">
        <v>46196</v>
      </c>
      <c r="D2675" t="s">
        <v>73</v>
      </c>
      <c r="E2675" t="s">
        <v>74</v>
      </c>
      <c r="F2675" t="s">
        <v>75</v>
      </c>
      <c r="G2675">
        <v>2.2999999999999998</v>
      </c>
      <c r="H2675" t="s">
        <v>3514</v>
      </c>
      <c r="I2675" t="s">
        <v>366</v>
      </c>
      <c r="J2675" s="1" t="s">
        <v>215</v>
      </c>
      <c r="K2675" t="s">
        <v>181</v>
      </c>
      <c r="L2675" t="s">
        <v>3340</v>
      </c>
      <c r="M2675">
        <v>45</v>
      </c>
      <c r="N2675">
        <v>1.02</v>
      </c>
      <c r="O2675" t="s">
        <v>211</v>
      </c>
      <c r="P2675">
        <v>56</v>
      </c>
      <c r="R2675" t="s">
        <v>3377</v>
      </c>
      <c r="T2675" t="s">
        <v>3337</v>
      </c>
      <c r="U2675">
        <v>66</v>
      </c>
      <c r="V2675" t="s">
        <v>4279</v>
      </c>
    </row>
    <row r="2676" spans="1:22" ht="12.75" customHeight="1" x14ac:dyDescent="0.15">
      <c r="A2676">
        <v>25</v>
      </c>
      <c r="C2676" s="21">
        <v>46196</v>
      </c>
      <c r="D2676" t="s">
        <v>107</v>
      </c>
      <c r="E2676" t="s">
        <v>108</v>
      </c>
      <c r="F2676" t="s">
        <v>21</v>
      </c>
      <c r="G2676">
        <v>4.5</v>
      </c>
      <c r="H2676" t="s">
        <v>3400</v>
      </c>
      <c r="I2676" t="s">
        <v>353</v>
      </c>
      <c r="J2676" s="1" t="s">
        <v>253</v>
      </c>
      <c r="K2676" t="s">
        <v>181</v>
      </c>
      <c r="L2676" t="s">
        <v>3340</v>
      </c>
      <c r="M2676">
        <v>25</v>
      </c>
      <c r="N2676">
        <v>1</v>
      </c>
      <c r="O2676" t="s">
        <v>211</v>
      </c>
      <c r="P2676">
        <v>55</v>
      </c>
      <c r="R2676" t="s">
        <v>3413</v>
      </c>
      <c r="T2676" t="s">
        <v>3337</v>
      </c>
      <c r="U2676">
        <v>39</v>
      </c>
      <c r="V2676" t="s">
        <v>365</v>
      </c>
    </row>
    <row r="2677" spans="1:22" ht="12.75" customHeight="1" x14ac:dyDescent="0.15">
      <c r="A2677">
        <v>25</v>
      </c>
      <c r="C2677" s="21">
        <v>46196</v>
      </c>
      <c r="D2677" t="s">
        <v>107</v>
      </c>
      <c r="E2677" t="s">
        <v>108</v>
      </c>
      <c r="F2677" t="s">
        <v>21</v>
      </c>
      <c r="G2677">
        <v>4.5</v>
      </c>
      <c r="H2677" t="s">
        <v>3400</v>
      </c>
      <c r="I2677" t="s">
        <v>353</v>
      </c>
      <c r="J2677" s="1" t="s">
        <v>253</v>
      </c>
      <c r="K2677" t="s">
        <v>181</v>
      </c>
      <c r="L2677" t="s">
        <v>3333</v>
      </c>
      <c r="M2677">
        <v>2</v>
      </c>
      <c r="N2677">
        <v>0.63</v>
      </c>
      <c r="O2677" t="s">
        <v>3440</v>
      </c>
      <c r="P2677">
        <v>56.56</v>
      </c>
      <c r="Q2677">
        <v>5</v>
      </c>
      <c r="R2677" t="s">
        <v>3424</v>
      </c>
      <c r="T2677" t="s">
        <v>3337</v>
      </c>
      <c r="U2677">
        <v>39</v>
      </c>
      <c r="V2677" t="s">
        <v>4258</v>
      </c>
    </row>
    <row r="2678" spans="1:22" ht="12.75" customHeight="1" x14ac:dyDescent="0.15">
      <c r="A2678">
        <v>25</v>
      </c>
      <c r="C2678" s="21">
        <v>46196</v>
      </c>
      <c r="D2678" t="s">
        <v>73</v>
      </c>
      <c r="E2678" t="s">
        <v>74</v>
      </c>
      <c r="F2678" t="s">
        <v>75</v>
      </c>
      <c r="G2678">
        <v>2.2999999999999998</v>
      </c>
      <c r="H2678" t="s">
        <v>4301</v>
      </c>
      <c r="I2678" t="s">
        <v>3487</v>
      </c>
      <c r="J2678" s="1" t="s">
        <v>215</v>
      </c>
      <c r="K2678" t="s">
        <v>181</v>
      </c>
      <c r="L2678" t="s">
        <v>3333</v>
      </c>
      <c r="M2678">
        <v>2</v>
      </c>
      <c r="N2678">
        <v>0.38</v>
      </c>
      <c r="O2678" t="s">
        <v>3440</v>
      </c>
      <c r="P2678">
        <v>33.93</v>
      </c>
      <c r="Q2678">
        <v>3</v>
      </c>
      <c r="R2678" t="s">
        <v>3424</v>
      </c>
      <c r="T2678" t="s">
        <v>3337</v>
      </c>
      <c r="U2678">
        <v>66</v>
      </c>
      <c r="V2678" t="s">
        <v>4265</v>
      </c>
    </row>
    <row r="2679" spans="1:22" ht="15" customHeight="1" x14ac:dyDescent="0.2">
      <c r="A2679">
        <v>25</v>
      </c>
      <c r="C2679" s="21">
        <v>46196</v>
      </c>
      <c r="D2679" t="s">
        <v>135</v>
      </c>
      <c r="E2679" s="27" t="s">
        <v>136</v>
      </c>
      <c r="F2679" t="s">
        <v>21</v>
      </c>
      <c r="G2679">
        <v>1</v>
      </c>
      <c r="H2679" t="s">
        <v>3502</v>
      </c>
      <c r="I2679" t="s">
        <v>3503</v>
      </c>
      <c r="J2679" s="1" t="s">
        <v>30</v>
      </c>
      <c r="K2679" t="s">
        <v>181</v>
      </c>
      <c r="L2679" t="s">
        <v>3333</v>
      </c>
      <c r="M2679">
        <v>1</v>
      </c>
      <c r="N2679">
        <v>1</v>
      </c>
      <c r="O2679" t="s">
        <v>3358</v>
      </c>
      <c r="P2679">
        <v>71.86</v>
      </c>
      <c r="Q2679">
        <v>8</v>
      </c>
      <c r="R2679" t="s">
        <v>3359</v>
      </c>
      <c r="T2679" t="s">
        <v>3337</v>
      </c>
      <c r="U2679">
        <v>-3</v>
      </c>
      <c r="V2679" t="s">
        <v>3358</v>
      </c>
    </row>
    <row r="2680" spans="1:22" ht="15" customHeight="1" x14ac:dyDescent="0.2">
      <c r="A2680">
        <v>25</v>
      </c>
      <c r="C2680" s="21">
        <v>46196</v>
      </c>
      <c r="D2680" t="s">
        <v>135</v>
      </c>
      <c r="E2680" s="27" t="s">
        <v>136</v>
      </c>
      <c r="F2680" t="s">
        <v>21</v>
      </c>
      <c r="G2680">
        <v>1</v>
      </c>
      <c r="H2680" t="s">
        <v>3502</v>
      </c>
      <c r="I2680" t="s">
        <v>3503</v>
      </c>
      <c r="J2680" s="1" t="s">
        <v>30</v>
      </c>
      <c r="K2680" t="s">
        <v>181</v>
      </c>
      <c r="L2680" t="s">
        <v>3333</v>
      </c>
      <c r="M2680">
        <v>6</v>
      </c>
      <c r="N2680">
        <v>1</v>
      </c>
      <c r="O2680" t="s">
        <v>3334</v>
      </c>
      <c r="P2680">
        <v>81.58</v>
      </c>
      <c r="Q2680">
        <v>8</v>
      </c>
      <c r="R2680" t="s">
        <v>3335</v>
      </c>
      <c r="T2680" t="s">
        <v>3337</v>
      </c>
      <c r="U2680">
        <v>-3</v>
      </c>
      <c r="V2680" t="s">
        <v>3334</v>
      </c>
    </row>
    <row r="2681" spans="1:22" ht="12.75" customHeight="1" x14ac:dyDescent="0.15">
      <c r="A2681">
        <v>25</v>
      </c>
      <c r="C2681" s="21">
        <v>46196</v>
      </c>
      <c r="D2681" t="s">
        <v>39</v>
      </c>
      <c r="E2681" t="s">
        <v>40</v>
      </c>
      <c r="F2681" t="s">
        <v>21</v>
      </c>
      <c r="G2681">
        <v>1.91</v>
      </c>
      <c r="H2681" t="s">
        <v>4302</v>
      </c>
      <c r="I2681" t="s">
        <v>4303</v>
      </c>
      <c r="J2681" s="1" t="s">
        <v>4304</v>
      </c>
      <c r="K2681" t="s">
        <v>181</v>
      </c>
      <c r="L2681" t="s">
        <v>3340</v>
      </c>
      <c r="M2681">
        <v>86</v>
      </c>
      <c r="N2681">
        <v>1</v>
      </c>
      <c r="O2681" t="s">
        <v>211</v>
      </c>
      <c r="P2681">
        <v>55</v>
      </c>
      <c r="R2681" t="s">
        <v>3386</v>
      </c>
      <c r="S2681" t="s">
        <v>4305</v>
      </c>
      <c r="T2681" t="s">
        <v>3402</v>
      </c>
      <c r="U2681">
        <v>159</v>
      </c>
      <c r="V2681" t="s">
        <v>4216</v>
      </c>
    </row>
    <row r="2682" spans="1:22" ht="12.75" customHeight="1" x14ac:dyDescent="0.15">
      <c r="A2682">
        <v>25</v>
      </c>
      <c r="C2682" s="21">
        <v>46196</v>
      </c>
      <c r="D2682" t="s">
        <v>39</v>
      </c>
      <c r="E2682" t="s">
        <v>40</v>
      </c>
      <c r="F2682" t="s">
        <v>21</v>
      </c>
      <c r="G2682">
        <v>1.91</v>
      </c>
      <c r="H2682" t="s">
        <v>3937</v>
      </c>
      <c r="I2682" t="s">
        <v>309</v>
      </c>
      <c r="J2682" s="1" t="s">
        <v>307</v>
      </c>
      <c r="K2682" t="s">
        <v>181</v>
      </c>
      <c r="L2682" t="s">
        <v>3333</v>
      </c>
      <c r="M2682">
        <v>67</v>
      </c>
      <c r="N2682">
        <v>0.75</v>
      </c>
      <c r="O2682" t="s">
        <v>3334</v>
      </c>
      <c r="P2682">
        <v>61.19</v>
      </c>
      <c r="Q2682">
        <v>6</v>
      </c>
      <c r="R2682" t="s">
        <v>3404</v>
      </c>
      <c r="T2682" t="s">
        <v>3402</v>
      </c>
      <c r="U2682">
        <v>159</v>
      </c>
      <c r="V2682" t="s">
        <v>4215</v>
      </c>
    </row>
    <row r="2683" spans="1:22" ht="12.75" customHeight="1" x14ac:dyDescent="0.15">
      <c r="A2683">
        <v>25</v>
      </c>
      <c r="C2683" s="21">
        <v>46196</v>
      </c>
      <c r="D2683" t="s">
        <v>39</v>
      </c>
      <c r="E2683" t="s">
        <v>40</v>
      </c>
      <c r="F2683" t="s">
        <v>21</v>
      </c>
      <c r="G2683">
        <v>1.91</v>
      </c>
      <c r="H2683" t="s">
        <v>3937</v>
      </c>
      <c r="I2683" t="s">
        <v>309</v>
      </c>
      <c r="J2683" s="1" t="s">
        <v>307</v>
      </c>
      <c r="K2683" t="s">
        <v>181</v>
      </c>
      <c r="L2683" t="s">
        <v>3333</v>
      </c>
      <c r="M2683">
        <v>19</v>
      </c>
      <c r="N2683">
        <v>0.75</v>
      </c>
      <c r="O2683" t="s">
        <v>3334</v>
      </c>
      <c r="P2683">
        <v>61.19</v>
      </c>
      <c r="Q2683">
        <v>6</v>
      </c>
      <c r="R2683" t="s">
        <v>3403</v>
      </c>
      <c r="T2683" t="s">
        <v>3402</v>
      </c>
      <c r="U2683">
        <v>159</v>
      </c>
      <c r="V2683" t="s">
        <v>4215</v>
      </c>
    </row>
    <row r="2684" spans="1:22" ht="12.75" customHeight="1" x14ac:dyDescent="0.15">
      <c r="A2684">
        <v>25</v>
      </c>
      <c r="C2684" s="21">
        <v>46196</v>
      </c>
      <c r="D2684" t="s">
        <v>39</v>
      </c>
      <c r="E2684" t="s">
        <v>40</v>
      </c>
      <c r="F2684" t="s">
        <v>21</v>
      </c>
      <c r="G2684">
        <v>1.91</v>
      </c>
      <c r="H2684" t="s">
        <v>3937</v>
      </c>
      <c r="I2684" t="s">
        <v>309</v>
      </c>
      <c r="J2684" s="1" t="s">
        <v>307</v>
      </c>
      <c r="K2684" t="s">
        <v>181</v>
      </c>
      <c r="L2684" t="s">
        <v>3340</v>
      </c>
      <c r="M2684">
        <v>78</v>
      </c>
      <c r="N2684">
        <v>1.82</v>
      </c>
      <c r="O2684" t="s">
        <v>211</v>
      </c>
      <c r="P2684">
        <v>100</v>
      </c>
      <c r="R2684" t="s">
        <v>3341</v>
      </c>
      <c r="T2684" t="s">
        <v>3402</v>
      </c>
      <c r="U2684">
        <v>159</v>
      </c>
      <c r="V2684" t="s">
        <v>4289</v>
      </c>
    </row>
    <row r="2685" spans="1:22" ht="12.75" customHeight="1" x14ac:dyDescent="0.15">
      <c r="A2685">
        <v>25</v>
      </c>
      <c r="C2685" s="21">
        <v>46196</v>
      </c>
      <c r="D2685" t="s">
        <v>107</v>
      </c>
      <c r="E2685" t="s">
        <v>108</v>
      </c>
      <c r="F2685" t="s">
        <v>21</v>
      </c>
      <c r="G2685">
        <v>4.5</v>
      </c>
      <c r="H2685" t="s">
        <v>3391</v>
      </c>
      <c r="I2685" t="s">
        <v>353</v>
      </c>
      <c r="J2685" s="1" t="s">
        <v>253</v>
      </c>
      <c r="K2685" t="s">
        <v>181</v>
      </c>
      <c r="L2685" t="s">
        <v>3333</v>
      </c>
      <c r="M2685">
        <v>67</v>
      </c>
      <c r="N2685">
        <v>0.25</v>
      </c>
      <c r="O2685" t="s">
        <v>3334</v>
      </c>
      <c r="P2685">
        <v>20.399999999999999</v>
      </c>
      <c r="Q2685">
        <v>2</v>
      </c>
      <c r="R2685" t="s">
        <v>3404</v>
      </c>
      <c r="T2685" t="s">
        <v>3402</v>
      </c>
      <c r="U2685">
        <v>39</v>
      </c>
      <c r="V2685" t="s">
        <v>3837</v>
      </c>
    </row>
    <row r="2686" spans="1:22" ht="12.75" customHeight="1" x14ac:dyDescent="0.15">
      <c r="A2686">
        <v>25</v>
      </c>
      <c r="C2686" s="21">
        <v>46196</v>
      </c>
      <c r="D2686" t="s">
        <v>107</v>
      </c>
      <c r="E2686" t="s">
        <v>108</v>
      </c>
      <c r="F2686" t="s">
        <v>21</v>
      </c>
      <c r="G2686">
        <v>4.5</v>
      </c>
      <c r="H2686" t="s">
        <v>3391</v>
      </c>
      <c r="I2686" t="s">
        <v>353</v>
      </c>
      <c r="J2686" s="1" t="s">
        <v>253</v>
      </c>
      <c r="K2686" t="s">
        <v>181</v>
      </c>
      <c r="L2686" t="s">
        <v>3333</v>
      </c>
      <c r="M2686">
        <v>19</v>
      </c>
      <c r="N2686">
        <v>0.25</v>
      </c>
      <c r="O2686" t="s">
        <v>3334</v>
      </c>
      <c r="P2686">
        <v>20.399999999999999</v>
      </c>
      <c r="Q2686">
        <v>2</v>
      </c>
      <c r="R2686" t="s">
        <v>3403</v>
      </c>
      <c r="T2686" t="s">
        <v>3402</v>
      </c>
      <c r="U2686">
        <v>39</v>
      </c>
      <c r="V2686" t="s">
        <v>3837</v>
      </c>
    </row>
    <row r="2687" spans="1:22" ht="12.75" customHeight="1" x14ac:dyDescent="0.15">
      <c r="A2687">
        <v>25</v>
      </c>
      <c r="C2687" s="21">
        <v>46196</v>
      </c>
      <c r="D2687" t="s">
        <v>39</v>
      </c>
      <c r="E2687" t="s">
        <v>40</v>
      </c>
      <c r="F2687" t="s">
        <v>21</v>
      </c>
      <c r="G2687">
        <v>1.91</v>
      </c>
      <c r="H2687" t="s">
        <v>3937</v>
      </c>
      <c r="I2687" t="s">
        <v>309</v>
      </c>
      <c r="J2687" s="1" t="s">
        <v>307</v>
      </c>
      <c r="K2687" t="s">
        <v>181</v>
      </c>
      <c r="L2687" t="s">
        <v>3340</v>
      </c>
      <c r="M2687">
        <v>67</v>
      </c>
      <c r="N2687">
        <v>0.71</v>
      </c>
      <c r="O2687" t="s">
        <v>211</v>
      </c>
      <c r="P2687">
        <v>38.799999999999997</v>
      </c>
      <c r="R2687" t="s">
        <v>3404</v>
      </c>
      <c r="T2687" t="s">
        <v>3402</v>
      </c>
      <c r="U2687">
        <v>159</v>
      </c>
      <c r="V2687" t="s">
        <v>4306</v>
      </c>
    </row>
    <row r="2688" spans="1:22" ht="12.75" customHeight="1" x14ac:dyDescent="0.15">
      <c r="A2688">
        <v>25</v>
      </c>
      <c r="C2688" s="21">
        <v>46196</v>
      </c>
      <c r="D2688" t="s">
        <v>39</v>
      </c>
      <c r="E2688" t="s">
        <v>40</v>
      </c>
      <c r="F2688" t="s">
        <v>21</v>
      </c>
      <c r="G2688">
        <v>1.91</v>
      </c>
      <c r="H2688" t="s">
        <v>3937</v>
      </c>
      <c r="I2688" t="s">
        <v>309</v>
      </c>
      <c r="J2688" s="1" t="s">
        <v>307</v>
      </c>
      <c r="K2688" t="s">
        <v>181</v>
      </c>
      <c r="L2688" t="s">
        <v>3340</v>
      </c>
      <c r="M2688">
        <v>19</v>
      </c>
      <c r="N2688">
        <v>0.71</v>
      </c>
      <c r="O2688" t="s">
        <v>211</v>
      </c>
      <c r="P2688">
        <v>38.799999999999997</v>
      </c>
      <c r="R2688" t="s">
        <v>3403</v>
      </c>
      <c r="T2688" t="s">
        <v>3402</v>
      </c>
      <c r="U2688">
        <v>159</v>
      </c>
      <c r="V2688" t="s">
        <v>4306</v>
      </c>
    </row>
    <row r="2689" spans="1:22" ht="12.75" customHeight="1" x14ac:dyDescent="0.15">
      <c r="A2689">
        <v>25</v>
      </c>
      <c r="B2689">
        <v>2026</v>
      </c>
      <c r="C2689" s="21">
        <v>46196</v>
      </c>
      <c r="D2689" t="s">
        <v>141</v>
      </c>
      <c r="E2689" t="s">
        <v>142</v>
      </c>
      <c r="F2689" t="s">
        <v>75</v>
      </c>
      <c r="G2689">
        <v>1</v>
      </c>
      <c r="H2689" t="s">
        <v>3845</v>
      </c>
      <c r="I2689" t="s">
        <v>380</v>
      </c>
      <c r="J2689" s="1" t="s">
        <v>3533</v>
      </c>
      <c r="K2689" t="s">
        <v>181</v>
      </c>
      <c r="L2689" t="s">
        <v>3340</v>
      </c>
      <c r="M2689">
        <v>78</v>
      </c>
      <c r="N2689">
        <v>0.33</v>
      </c>
      <c r="O2689" t="s">
        <v>211</v>
      </c>
      <c r="P2689">
        <v>18</v>
      </c>
      <c r="Q2689">
        <v>2</v>
      </c>
      <c r="R2689" t="s">
        <v>3341</v>
      </c>
      <c r="T2689" t="s">
        <v>3402</v>
      </c>
      <c r="U2689">
        <v>0</v>
      </c>
      <c r="V2689" t="s">
        <v>260</v>
      </c>
    </row>
    <row r="2690" spans="1:22" ht="12.75" customHeight="1" x14ac:dyDescent="0.15">
      <c r="A2690">
        <v>25</v>
      </c>
      <c r="C2690" s="21">
        <v>46196</v>
      </c>
      <c r="D2690" t="s">
        <v>39</v>
      </c>
      <c r="E2690" t="s">
        <v>40</v>
      </c>
      <c r="F2690" t="s">
        <v>21</v>
      </c>
      <c r="G2690">
        <v>1.91</v>
      </c>
      <c r="H2690" t="s">
        <v>3945</v>
      </c>
      <c r="I2690" t="s">
        <v>3686</v>
      </c>
      <c r="J2690" s="1" t="s">
        <v>3437</v>
      </c>
      <c r="K2690" t="s">
        <v>181</v>
      </c>
      <c r="L2690" t="s">
        <v>3333</v>
      </c>
      <c r="M2690">
        <v>4</v>
      </c>
      <c r="N2690">
        <v>1</v>
      </c>
      <c r="O2690" t="s">
        <v>3334</v>
      </c>
      <c r="P2690">
        <v>81.58</v>
      </c>
      <c r="Q2690">
        <v>8</v>
      </c>
      <c r="R2690" t="s">
        <v>3773</v>
      </c>
      <c r="T2690" t="s">
        <v>3402</v>
      </c>
      <c r="U2690">
        <v>159</v>
      </c>
      <c r="V2690" t="s">
        <v>3443</v>
      </c>
    </row>
    <row r="2691" spans="1:22" ht="12.75" customHeight="1" x14ac:dyDescent="0.15">
      <c r="A2691">
        <v>25</v>
      </c>
      <c r="C2691" s="21">
        <v>46196</v>
      </c>
      <c r="D2691" t="s">
        <v>39</v>
      </c>
      <c r="E2691" t="s">
        <v>40</v>
      </c>
      <c r="F2691" t="s">
        <v>21</v>
      </c>
      <c r="G2691">
        <v>1.91</v>
      </c>
      <c r="H2691" t="s">
        <v>3945</v>
      </c>
      <c r="I2691" t="s">
        <v>3686</v>
      </c>
      <c r="J2691" s="1" t="s">
        <v>3437</v>
      </c>
      <c r="K2691" t="s">
        <v>181</v>
      </c>
      <c r="L2691" t="s">
        <v>3340</v>
      </c>
      <c r="M2691">
        <v>4</v>
      </c>
      <c r="N2691">
        <v>0.33</v>
      </c>
      <c r="O2691" t="s">
        <v>211</v>
      </c>
      <c r="P2691">
        <v>18</v>
      </c>
      <c r="Q2691">
        <v>2</v>
      </c>
      <c r="R2691" t="s">
        <v>3773</v>
      </c>
      <c r="T2691" t="s">
        <v>3402</v>
      </c>
      <c r="U2691">
        <v>159</v>
      </c>
      <c r="V2691" t="s">
        <v>3425</v>
      </c>
    </row>
    <row r="2692" spans="1:22" ht="12.75" customHeight="1" x14ac:dyDescent="0.15">
      <c r="A2692">
        <v>25</v>
      </c>
      <c r="B2692">
        <v>2026</v>
      </c>
      <c r="C2692" s="21">
        <v>46196</v>
      </c>
      <c r="D2692" t="s">
        <v>141</v>
      </c>
      <c r="E2692" t="s">
        <v>142</v>
      </c>
      <c r="F2692" t="s">
        <v>75</v>
      </c>
      <c r="G2692">
        <v>1</v>
      </c>
      <c r="H2692" t="s">
        <v>3845</v>
      </c>
      <c r="I2692" t="s">
        <v>380</v>
      </c>
      <c r="J2692" s="1" t="s">
        <v>3533</v>
      </c>
      <c r="K2692" t="s">
        <v>181</v>
      </c>
      <c r="L2692" t="s">
        <v>3333</v>
      </c>
      <c r="M2692">
        <v>86</v>
      </c>
      <c r="N2692">
        <v>1</v>
      </c>
      <c r="O2692" t="s">
        <v>3334</v>
      </c>
      <c r="P2692">
        <v>81.58</v>
      </c>
      <c r="Q2692">
        <v>8</v>
      </c>
      <c r="R2692" t="s">
        <v>3386</v>
      </c>
      <c r="S2692" t="s">
        <v>4307</v>
      </c>
      <c r="T2692" t="s">
        <v>3402</v>
      </c>
      <c r="U2692">
        <v>0</v>
      </c>
      <c r="V2692" t="s">
        <v>3334</v>
      </c>
    </row>
    <row r="2693" spans="1:22" ht="12.75" customHeight="1" x14ac:dyDescent="0.15">
      <c r="A2693">
        <v>25</v>
      </c>
      <c r="B2693">
        <v>2026</v>
      </c>
      <c r="C2693" s="21">
        <v>46196</v>
      </c>
      <c r="D2693" t="s">
        <v>141</v>
      </c>
      <c r="E2693" t="s">
        <v>142</v>
      </c>
      <c r="F2693" t="s">
        <v>75</v>
      </c>
      <c r="G2693">
        <v>1</v>
      </c>
      <c r="H2693" t="s">
        <v>3845</v>
      </c>
      <c r="I2693" t="s">
        <v>380</v>
      </c>
      <c r="J2693" s="1" t="s">
        <v>3533</v>
      </c>
      <c r="K2693" t="s">
        <v>181</v>
      </c>
      <c r="L2693" t="s">
        <v>3340</v>
      </c>
      <c r="M2693">
        <v>86</v>
      </c>
      <c r="N2693">
        <v>1</v>
      </c>
      <c r="O2693" t="s">
        <v>211</v>
      </c>
      <c r="P2693">
        <v>55</v>
      </c>
      <c r="R2693" t="s">
        <v>3386</v>
      </c>
      <c r="S2693" t="s">
        <v>4308</v>
      </c>
      <c r="T2693" t="s">
        <v>3402</v>
      </c>
      <c r="U2693">
        <v>0</v>
      </c>
      <c r="V2693" t="s">
        <v>211</v>
      </c>
    </row>
    <row r="2694" spans="1:22" ht="12.75" customHeight="1" x14ac:dyDescent="0.15">
      <c r="A2694">
        <v>25</v>
      </c>
      <c r="B2694">
        <v>2026</v>
      </c>
      <c r="C2694" s="21">
        <v>46196</v>
      </c>
      <c r="D2694" t="s">
        <v>141</v>
      </c>
      <c r="E2694" t="s">
        <v>142</v>
      </c>
      <c r="F2694" t="s">
        <v>75</v>
      </c>
      <c r="G2694">
        <v>1</v>
      </c>
      <c r="H2694" t="s">
        <v>3845</v>
      </c>
      <c r="I2694" t="s">
        <v>380</v>
      </c>
      <c r="J2694" s="1" t="s">
        <v>3533</v>
      </c>
      <c r="K2694" t="s">
        <v>181</v>
      </c>
      <c r="L2694" t="s">
        <v>3340</v>
      </c>
      <c r="M2694">
        <v>78</v>
      </c>
      <c r="N2694">
        <v>1</v>
      </c>
      <c r="O2694" t="s">
        <v>211</v>
      </c>
      <c r="P2694">
        <v>55</v>
      </c>
      <c r="R2694" t="s">
        <v>3341</v>
      </c>
      <c r="T2694" t="s">
        <v>3402</v>
      </c>
      <c r="U2694">
        <v>0</v>
      </c>
      <c r="V2694" t="s">
        <v>211</v>
      </c>
    </row>
    <row r="2695" spans="1:22" ht="12.75" customHeight="1" x14ac:dyDescent="0.15">
      <c r="A2695">
        <v>25</v>
      </c>
      <c r="C2695" s="21">
        <v>46196</v>
      </c>
      <c r="D2695" t="s">
        <v>107</v>
      </c>
      <c r="E2695" t="s">
        <v>108</v>
      </c>
      <c r="F2695" t="s">
        <v>21</v>
      </c>
      <c r="G2695">
        <v>4.5</v>
      </c>
      <c r="H2695" t="s">
        <v>3653</v>
      </c>
      <c r="I2695" t="s">
        <v>3566</v>
      </c>
      <c r="J2695" s="1" t="s">
        <v>3389</v>
      </c>
      <c r="K2695" t="s">
        <v>181</v>
      </c>
      <c r="L2695" t="s">
        <v>3333</v>
      </c>
      <c r="M2695">
        <v>80</v>
      </c>
      <c r="N2695">
        <v>0.38</v>
      </c>
      <c r="O2695" t="s">
        <v>213</v>
      </c>
      <c r="P2695">
        <v>33.75</v>
      </c>
      <c r="Q2695">
        <v>3</v>
      </c>
      <c r="R2695" t="s">
        <v>3560</v>
      </c>
      <c r="T2695" t="s">
        <v>3402</v>
      </c>
      <c r="U2695">
        <v>39</v>
      </c>
      <c r="V2695" t="s">
        <v>4309</v>
      </c>
    </row>
    <row r="2696" spans="1:22" ht="12.75" customHeight="1" x14ac:dyDescent="0.15">
      <c r="A2696">
        <v>25</v>
      </c>
      <c r="C2696" s="21">
        <v>46196</v>
      </c>
      <c r="D2696" t="s">
        <v>107</v>
      </c>
      <c r="E2696" t="s">
        <v>108</v>
      </c>
      <c r="F2696" t="s">
        <v>21</v>
      </c>
      <c r="G2696">
        <v>4.5</v>
      </c>
      <c r="H2696" t="s">
        <v>3878</v>
      </c>
      <c r="I2696" t="s">
        <v>3566</v>
      </c>
      <c r="J2696" s="1" t="s">
        <v>3389</v>
      </c>
      <c r="K2696" t="s">
        <v>2666</v>
      </c>
      <c r="L2696" t="s">
        <v>3587</v>
      </c>
      <c r="P2696">
        <v>24</v>
      </c>
      <c r="T2696" t="s">
        <v>3402</v>
      </c>
      <c r="U2696">
        <v>39</v>
      </c>
      <c r="V2696" t="s">
        <v>4310</v>
      </c>
    </row>
    <row r="2697" spans="1:22" ht="12.75" customHeight="1" x14ac:dyDescent="0.15">
      <c r="A2697">
        <v>25</v>
      </c>
      <c r="C2697" s="21">
        <v>46197</v>
      </c>
      <c r="D2697" t="s">
        <v>139</v>
      </c>
      <c r="E2697" t="s">
        <v>140</v>
      </c>
      <c r="F2697" t="s">
        <v>75</v>
      </c>
      <c r="G2697">
        <v>0.8</v>
      </c>
      <c r="H2697" t="s">
        <v>3378</v>
      </c>
      <c r="I2697" t="s">
        <v>214</v>
      </c>
      <c r="J2697" s="1" t="s">
        <v>215</v>
      </c>
      <c r="K2697" t="s">
        <v>181</v>
      </c>
      <c r="L2697" t="s">
        <v>3340</v>
      </c>
      <c r="M2697">
        <v>62</v>
      </c>
      <c r="N2697">
        <v>0.36</v>
      </c>
      <c r="O2697" t="s">
        <v>211</v>
      </c>
      <c r="P2697">
        <v>20</v>
      </c>
      <c r="R2697" t="s">
        <v>3375</v>
      </c>
      <c r="S2697" t="s">
        <v>4311</v>
      </c>
      <c r="T2697" t="s">
        <v>3337</v>
      </c>
      <c r="U2697">
        <v>29</v>
      </c>
      <c r="V2697" t="s">
        <v>3608</v>
      </c>
    </row>
    <row r="2698" spans="1:22" ht="12.75" customHeight="1" x14ac:dyDescent="0.15">
      <c r="A2698">
        <v>25</v>
      </c>
      <c r="C2698" s="21">
        <v>46197</v>
      </c>
      <c r="D2698" t="s">
        <v>139</v>
      </c>
      <c r="E2698" t="s">
        <v>140</v>
      </c>
      <c r="F2698" t="s">
        <v>75</v>
      </c>
      <c r="G2698">
        <v>0.8</v>
      </c>
      <c r="H2698" t="s">
        <v>3378</v>
      </c>
      <c r="I2698" t="s">
        <v>214</v>
      </c>
      <c r="J2698" s="1" t="s">
        <v>215</v>
      </c>
      <c r="K2698" t="s">
        <v>181</v>
      </c>
      <c r="L2698" t="s">
        <v>3340</v>
      </c>
      <c r="M2698">
        <v>58</v>
      </c>
      <c r="N2698">
        <v>0.36</v>
      </c>
      <c r="O2698" t="s">
        <v>211</v>
      </c>
      <c r="P2698">
        <v>20</v>
      </c>
      <c r="R2698" t="s">
        <v>3343</v>
      </c>
      <c r="T2698" t="s">
        <v>3337</v>
      </c>
      <c r="U2698">
        <v>29</v>
      </c>
      <c r="V2698" t="s">
        <v>3608</v>
      </c>
    </row>
    <row r="2699" spans="1:22" ht="12.75" customHeight="1" x14ac:dyDescent="0.15">
      <c r="A2699">
        <v>25</v>
      </c>
      <c r="C2699" s="21">
        <v>46197</v>
      </c>
      <c r="D2699" t="s">
        <v>139</v>
      </c>
      <c r="E2699" t="s">
        <v>140</v>
      </c>
      <c r="F2699" t="s">
        <v>75</v>
      </c>
      <c r="G2699">
        <v>0.8</v>
      </c>
      <c r="H2699" t="s">
        <v>3378</v>
      </c>
      <c r="I2699" t="s">
        <v>214</v>
      </c>
      <c r="J2699" s="1" t="s">
        <v>215</v>
      </c>
      <c r="K2699" t="s">
        <v>181</v>
      </c>
      <c r="L2699" t="s">
        <v>3340</v>
      </c>
      <c r="M2699">
        <v>53</v>
      </c>
      <c r="N2699">
        <v>0.36</v>
      </c>
      <c r="O2699" t="s">
        <v>211</v>
      </c>
      <c r="P2699">
        <v>20</v>
      </c>
      <c r="R2699" t="s">
        <v>3373</v>
      </c>
      <c r="T2699" t="s">
        <v>3337</v>
      </c>
      <c r="U2699">
        <v>29</v>
      </c>
      <c r="V2699" t="s">
        <v>3608</v>
      </c>
    </row>
    <row r="2700" spans="1:22" ht="12.75" customHeight="1" x14ac:dyDescent="0.15">
      <c r="A2700">
        <v>25</v>
      </c>
      <c r="C2700" s="21">
        <v>46197</v>
      </c>
      <c r="D2700" t="s">
        <v>139</v>
      </c>
      <c r="E2700" t="s">
        <v>140</v>
      </c>
      <c r="F2700" t="s">
        <v>75</v>
      </c>
      <c r="G2700">
        <v>0.8</v>
      </c>
      <c r="H2700" t="s">
        <v>3378</v>
      </c>
      <c r="I2700" t="s">
        <v>214</v>
      </c>
      <c r="J2700" s="1" t="s">
        <v>215</v>
      </c>
      <c r="K2700" t="s">
        <v>181</v>
      </c>
      <c r="L2700" t="s">
        <v>3340</v>
      </c>
      <c r="M2700">
        <v>81</v>
      </c>
      <c r="N2700">
        <v>0.36</v>
      </c>
      <c r="O2700" t="s">
        <v>211</v>
      </c>
      <c r="P2700">
        <v>20</v>
      </c>
      <c r="R2700" t="s">
        <v>3374</v>
      </c>
      <c r="T2700" t="s">
        <v>3337</v>
      </c>
      <c r="U2700">
        <v>29</v>
      </c>
      <c r="V2700" t="s">
        <v>3608</v>
      </c>
    </row>
    <row r="2701" spans="1:22" ht="12.75" customHeight="1" x14ac:dyDescent="0.15">
      <c r="A2701">
        <v>25</v>
      </c>
      <c r="C2701" s="21">
        <v>46197</v>
      </c>
      <c r="D2701" t="s">
        <v>47</v>
      </c>
      <c r="E2701" t="s">
        <v>48</v>
      </c>
      <c r="F2701" t="s">
        <v>21</v>
      </c>
      <c r="G2701">
        <v>2</v>
      </c>
      <c r="H2701" t="s">
        <v>3514</v>
      </c>
      <c r="I2701" t="s">
        <v>366</v>
      </c>
      <c r="J2701" s="1" t="s">
        <v>215</v>
      </c>
      <c r="K2701" t="s">
        <v>181</v>
      </c>
      <c r="L2701" t="s">
        <v>3340</v>
      </c>
      <c r="M2701">
        <v>62</v>
      </c>
      <c r="N2701">
        <v>1.27</v>
      </c>
      <c r="O2701" t="s">
        <v>211</v>
      </c>
      <c r="P2701">
        <v>70</v>
      </c>
      <c r="R2701" t="s">
        <v>3375</v>
      </c>
      <c r="S2701" t="s">
        <v>4312</v>
      </c>
      <c r="T2701" t="s">
        <v>3337</v>
      </c>
      <c r="U2701">
        <v>125</v>
      </c>
      <c r="V2701" t="s">
        <v>3607</v>
      </c>
    </row>
    <row r="2702" spans="1:22" ht="12.75" customHeight="1" x14ac:dyDescent="0.15">
      <c r="A2702">
        <v>25</v>
      </c>
      <c r="C2702" s="21">
        <v>46197</v>
      </c>
      <c r="D2702" t="s">
        <v>47</v>
      </c>
      <c r="E2702" t="s">
        <v>48</v>
      </c>
      <c r="F2702" t="s">
        <v>21</v>
      </c>
      <c r="G2702">
        <v>2</v>
      </c>
      <c r="H2702" t="s">
        <v>3514</v>
      </c>
      <c r="I2702" t="s">
        <v>366</v>
      </c>
      <c r="J2702" s="1" t="s">
        <v>215</v>
      </c>
      <c r="K2702" t="s">
        <v>181</v>
      </c>
      <c r="L2702" t="s">
        <v>3340</v>
      </c>
      <c r="M2702">
        <v>58</v>
      </c>
      <c r="N2702">
        <v>1.27</v>
      </c>
      <c r="O2702" t="s">
        <v>211</v>
      </c>
      <c r="P2702">
        <v>70</v>
      </c>
      <c r="R2702" t="s">
        <v>3343</v>
      </c>
      <c r="T2702" t="s">
        <v>3337</v>
      </c>
      <c r="U2702">
        <v>125</v>
      </c>
      <c r="V2702" t="s">
        <v>3607</v>
      </c>
    </row>
    <row r="2703" spans="1:22" ht="12.75" customHeight="1" x14ac:dyDescent="0.15">
      <c r="A2703">
        <v>25</v>
      </c>
      <c r="C2703" s="21">
        <v>46197</v>
      </c>
      <c r="D2703" t="s">
        <v>47</v>
      </c>
      <c r="E2703" t="s">
        <v>48</v>
      </c>
      <c r="F2703" t="s">
        <v>21</v>
      </c>
      <c r="G2703">
        <v>2</v>
      </c>
      <c r="H2703" t="s">
        <v>3514</v>
      </c>
      <c r="I2703" t="s">
        <v>366</v>
      </c>
      <c r="J2703" s="1" t="s">
        <v>215</v>
      </c>
      <c r="K2703" t="s">
        <v>181</v>
      </c>
      <c r="L2703" t="s">
        <v>3340</v>
      </c>
      <c r="M2703">
        <v>53</v>
      </c>
      <c r="N2703">
        <v>1.27</v>
      </c>
      <c r="O2703" t="s">
        <v>211</v>
      </c>
      <c r="P2703">
        <v>70</v>
      </c>
      <c r="R2703" t="s">
        <v>3373</v>
      </c>
      <c r="T2703" t="s">
        <v>3337</v>
      </c>
      <c r="U2703">
        <v>125</v>
      </c>
      <c r="V2703" t="s">
        <v>3607</v>
      </c>
    </row>
    <row r="2704" spans="1:22" ht="12.75" customHeight="1" x14ac:dyDescent="0.15">
      <c r="A2704">
        <v>25</v>
      </c>
      <c r="C2704" s="21">
        <v>46197</v>
      </c>
      <c r="D2704" t="s">
        <v>47</v>
      </c>
      <c r="E2704" t="s">
        <v>48</v>
      </c>
      <c r="F2704" t="s">
        <v>21</v>
      </c>
      <c r="G2704">
        <v>2</v>
      </c>
      <c r="H2704" t="s">
        <v>3514</v>
      </c>
      <c r="I2704" t="s">
        <v>366</v>
      </c>
      <c r="J2704" s="1" t="s">
        <v>215</v>
      </c>
      <c r="K2704" t="s">
        <v>181</v>
      </c>
      <c r="L2704" t="s">
        <v>3340</v>
      </c>
      <c r="M2704">
        <v>81</v>
      </c>
      <c r="N2704">
        <v>1.27</v>
      </c>
      <c r="O2704" t="s">
        <v>211</v>
      </c>
      <c r="P2704">
        <v>70</v>
      </c>
      <c r="R2704" t="s">
        <v>3374</v>
      </c>
      <c r="T2704" t="s">
        <v>3337</v>
      </c>
      <c r="U2704">
        <v>125</v>
      </c>
      <c r="V2704" t="s">
        <v>3607</v>
      </c>
    </row>
    <row r="2705" spans="1:22" ht="12.75" customHeight="1" x14ac:dyDescent="0.15">
      <c r="A2705">
        <v>25</v>
      </c>
      <c r="C2705" s="21">
        <v>46197</v>
      </c>
      <c r="D2705" t="s">
        <v>139</v>
      </c>
      <c r="E2705" t="s">
        <v>140</v>
      </c>
      <c r="F2705" t="s">
        <v>75</v>
      </c>
      <c r="G2705">
        <v>0.8</v>
      </c>
      <c r="H2705" t="s">
        <v>3400</v>
      </c>
      <c r="I2705" t="s">
        <v>353</v>
      </c>
      <c r="J2705" s="1" t="s">
        <v>253</v>
      </c>
      <c r="K2705" t="s">
        <v>181</v>
      </c>
      <c r="L2705" t="s">
        <v>3340</v>
      </c>
      <c r="M2705">
        <v>25</v>
      </c>
      <c r="N2705">
        <v>1</v>
      </c>
      <c r="O2705" t="s">
        <v>211</v>
      </c>
      <c r="P2705">
        <v>55</v>
      </c>
      <c r="R2705" t="s">
        <v>3413</v>
      </c>
      <c r="T2705" t="s">
        <v>3337</v>
      </c>
      <c r="U2705">
        <v>29</v>
      </c>
      <c r="V2705" t="s">
        <v>4056</v>
      </c>
    </row>
    <row r="2706" spans="1:22" ht="12.75" customHeight="1" x14ac:dyDescent="0.15">
      <c r="A2706">
        <v>25</v>
      </c>
      <c r="C2706" s="21">
        <v>46197</v>
      </c>
      <c r="D2706" t="s">
        <v>139</v>
      </c>
      <c r="E2706" t="s">
        <v>140</v>
      </c>
      <c r="F2706" t="s">
        <v>75</v>
      </c>
      <c r="G2706">
        <v>0.8</v>
      </c>
      <c r="H2706" t="s">
        <v>3400</v>
      </c>
      <c r="I2706" t="s">
        <v>353</v>
      </c>
      <c r="J2706" s="1" t="s">
        <v>253</v>
      </c>
      <c r="K2706" t="s">
        <v>181</v>
      </c>
      <c r="L2706" t="s">
        <v>3333</v>
      </c>
      <c r="M2706">
        <v>2</v>
      </c>
      <c r="N2706">
        <v>1</v>
      </c>
      <c r="O2706" t="s">
        <v>3440</v>
      </c>
      <c r="P2706">
        <v>90.49</v>
      </c>
      <c r="Q2706">
        <v>8</v>
      </c>
      <c r="R2706" t="s">
        <v>3424</v>
      </c>
      <c r="T2706" t="s">
        <v>3337</v>
      </c>
      <c r="U2706">
        <v>29</v>
      </c>
      <c r="V2706" t="s">
        <v>4313</v>
      </c>
    </row>
    <row r="2707" spans="1:22" ht="12.75" customHeight="1" x14ac:dyDescent="0.15">
      <c r="A2707">
        <v>25</v>
      </c>
      <c r="C2707" s="21">
        <v>46197</v>
      </c>
      <c r="D2707" t="s">
        <v>143</v>
      </c>
      <c r="E2707" t="s">
        <v>144</v>
      </c>
      <c r="F2707" t="s">
        <v>21</v>
      </c>
      <c r="G2707">
        <v>1.8</v>
      </c>
      <c r="H2707" t="s">
        <v>3346</v>
      </c>
      <c r="I2707" t="s">
        <v>212</v>
      </c>
      <c r="J2707" s="1" t="s">
        <v>188</v>
      </c>
      <c r="K2707" t="s">
        <v>181</v>
      </c>
      <c r="L2707" t="s">
        <v>3333</v>
      </c>
      <c r="M2707">
        <v>1</v>
      </c>
      <c r="N2707">
        <v>1</v>
      </c>
      <c r="O2707" t="s">
        <v>3358</v>
      </c>
      <c r="P2707">
        <v>71.86</v>
      </c>
      <c r="Q2707">
        <v>8</v>
      </c>
      <c r="R2707" t="s">
        <v>3359</v>
      </c>
      <c r="T2707" t="s">
        <v>3337</v>
      </c>
      <c r="V2707" t="s">
        <v>4260</v>
      </c>
    </row>
    <row r="2708" spans="1:22" ht="12.75" customHeight="1" x14ac:dyDescent="0.15">
      <c r="A2708">
        <v>25</v>
      </c>
      <c r="C2708" s="21">
        <v>46197</v>
      </c>
      <c r="D2708" t="s">
        <v>143</v>
      </c>
      <c r="E2708" t="s">
        <v>144</v>
      </c>
      <c r="F2708" t="s">
        <v>21</v>
      </c>
      <c r="G2708">
        <v>1.8</v>
      </c>
      <c r="H2708" t="s">
        <v>3346</v>
      </c>
      <c r="I2708" t="s">
        <v>212</v>
      </c>
      <c r="J2708" s="1" t="s">
        <v>188</v>
      </c>
      <c r="K2708" t="s">
        <v>181</v>
      </c>
      <c r="L2708" t="s">
        <v>3333</v>
      </c>
      <c r="M2708">
        <v>6</v>
      </c>
      <c r="N2708">
        <v>0.5</v>
      </c>
      <c r="O2708" t="s">
        <v>3334</v>
      </c>
      <c r="P2708">
        <v>40.79</v>
      </c>
      <c r="Q2708">
        <v>4</v>
      </c>
      <c r="R2708" t="s">
        <v>3335</v>
      </c>
      <c r="T2708" t="s">
        <v>3337</v>
      </c>
      <c r="V2708" t="s">
        <v>4314</v>
      </c>
    </row>
    <row r="2709" spans="1:22" ht="12.75" customHeight="1" x14ac:dyDescent="0.15">
      <c r="A2709">
        <v>25</v>
      </c>
      <c r="C2709" s="21">
        <v>46197</v>
      </c>
      <c r="D2709" t="s">
        <v>139</v>
      </c>
      <c r="E2709" t="s">
        <v>140</v>
      </c>
      <c r="F2709" t="s">
        <v>75</v>
      </c>
      <c r="G2709">
        <v>0.8</v>
      </c>
      <c r="H2709" t="s">
        <v>3400</v>
      </c>
      <c r="I2709" t="s">
        <v>353</v>
      </c>
      <c r="J2709" s="1" t="s">
        <v>253</v>
      </c>
      <c r="K2709" t="s">
        <v>181</v>
      </c>
      <c r="L2709" t="s">
        <v>3333</v>
      </c>
      <c r="M2709">
        <v>6</v>
      </c>
      <c r="N2709">
        <v>0.5</v>
      </c>
      <c r="O2709" t="s">
        <v>3334</v>
      </c>
      <c r="P2709">
        <v>40.79</v>
      </c>
      <c r="Q2709">
        <v>4</v>
      </c>
      <c r="R2709" t="s">
        <v>3335</v>
      </c>
      <c r="T2709" t="s">
        <v>3337</v>
      </c>
      <c r="U2709">
        <v>29</v>
      </c>
      <c r="V2709" t="s">
        <v>3574</v>
      </c>
    </row>
    <row r="2710" spans="1:22" ht="15" customHeight="1" x14ac:dyDescent="0.2">
      <c r="A2710">
        <v>25</v>
      </c>
      <c r="C2710" s="21">
        <v>46197</v>
      </c>
      <c r="D2710" t="s">
        <v>135</v>
      </c>
      <c r="E2710" s="27" t="s">
        <v>136</v>
      </c>
      <c r="F2710" t="s">
        <v>21</v>
      </c>
      <c r="G2710">
        <v>1</v>
      </c>
      <c r="H2710" t="s">
        <v>4241</v>
      </c>
      <c r="I2710" t="s">
        <v>4242</v>
      </c>
      <c r="J2710" s="1" t="s">
        <v>3668</v>
      </c>
      <c r="K2710" t="s">
        <v>181</v>
      </c>
      <c r="L2710" t="s">
        <v>3333</v>
      </c>
      <c r="M2710">
        <v>4</v>
      </c>
      <c r="N2710">
        <v>0.75</v>
      </c>
      <c r="O2710" t="s">
        <v>3334</v>
      </c>
      <c r="P2710">
        <v>61.19</v>
      </c>
      <c r="Q2710">
        <v>6</v>
      </c>
      <c r="R2710" t="s">
        <v>3773</v>
      </c>
      <c r="S2710" t="s">
        <v>4315</v>
      </c>
      <c r="T2710" t="s">
        <v>3402</v>
      </c>
      <c r="U2710">
        <v>-2</v>
      </c>
      <c r="V2710" t="s">
        <v>3715</v>
      </c>
    </row>
    <row r="2711" spans="1:22" ht="15" customHeight="1" x14ac:dyDescent="0.2">
      <c r="A2711">
        <v>25</v>
      </c>
      <c r="C2711" s="21">
        <v>46197</v>
      </c>
      <c r="D2711" t="s">
        <v>135</v>
      </c>
      <c r="E2711" s="27" t="s">
        <v>136</v>
      </c>
      <c r="F2711" t="s">
        <v>21</v>
      </c>
      <c r="G2711">
        <v>1</v>
      </c>
      <c r="H2711" t="s">
        <v>4241</v>
      </c>
      <c r="I2711" t="s">
        <v>4242</v>
      </c>
      <c r="J2711" s="1" t="s">
        <v>3668</v>
      </c>
      <c r="K2711" t="s">
        <v>181</v>
      </c>
      <c r="L2711" t="s">
        <v>3333</v>
      </c>
      <c r="M2711">
        <v>86</v>
      </c>
      <c r="N2711">
        <v>0.75</v>
      </c>
      <c r="O2711" t="s">
        <v>3334</v>
      </c>
      <c r="P2711">
        <v>61.19</v>
      </c>
      <c r="Q2711">
        <v>6</v>
      </c>
      <c r="R2711" t="s">
        <v>3386</v>
      </c>
      <c r="S2711" t="s">
        <v>4316</v>
      </c>
      <c r="T2711" t="s">
        <v>3402</v>
      </c>
      <c r="U2711">
        <v>-2</v>
      </c>
      <c r="V2711" t="s">
        <v>3715</v>
      </c>
    </row>
    <row r="2712" spans="1:22" ht="15" customHeight="1" x14ac:dyDescent="0.2">
      <c r="A2712">
        <v>25</v>
      </c>
      <c r="C2712" s="21">
        <v>46197</v>
      </c>
      <c r="D2712" t="s">
        <v>135</v>
      </c>
      <c r="E2712" s="27" t="s">
        <v>136</v>
      </c>
      <c r="F2712" t="s">
        <v>21</v>
      </c>
      <c r="G2712">
        <v>1</v>
      </c>
      <c r="H2712" t="s">
        <v>4241</v>
      </c>
      <c r="I2712" t="s">
        <v>4242</v>
      </c>
      <c r="J2712" s="1" t="s">
        <v>3668</v>
      </c>
      <c r="K2712" t="s">
        <v>181</v>
      </c>
      <c r="L2712" t="s">
        <v>3340</v>
      </c>
      <c r="M2712">
        <v>78</v>
      </c>
      <c r="N2712">
        <v>1.9</v>
      </c>
      <c r="O2712" t="s">
        <v>211</v>
      </c>
      <c r="P2712">
        <v>104.5</v>
      </c>
      <c r="Q2712">
        <v>6</v>
      </c>
      <c r="R2712" t="s">
        <v>3341</v>
      </c>
      <c r="S2712" t="s">
        <v>4317</v>
      </c>
      <c r="T2712" t="s">
        <v>3402</v>
      </c>
      <c r="U2712">
        <v>-2</v>
      </c>
      <c r="V2712" t="s">
        <v>4318</v>
      </c>
    </row>
    <row r="2713" spans="1:22" ht="15" customHeight="1" x14ac:dyDescent="0.2">
      <c r="A2713">
        <v>25</v>
      </c>
      <c r="C2713" s="21">
        <v>46197</v>
      </c>
      <c r="D2713" t="s">
        <v>135</v>
      </c>
      <c r="E2713" s="27" t="s">
        <v>136</v>
      </c>
      <c r="F2713" t="s">
        <v>21</v>
      </c>
      <c r="G2713">
        <v>1</v>
      </c>
      <c r="H2713" t="s">
        <v>4277</v>
      </c>
      <c r="I2713" t="s">
        <v>4278</v>
      </c>
      <c r="J2713" s="1" t="s">
        <v>3668</v>
      </c>
      <c r="K2713" t="s">
        <v>181</v>
      </c>
      <c r="L2713" t="s">
        <v>3340</v>
      </c>
      <c r="M2713">
        <v>4</v>
      </c>
      <c r="N2713">
        <v>0.79</v>
      </c>
      <c r="O2713" t="s">
        <v>211</v>
      </c>
      <c r="P2713">
        <v>43.31</v>
      </c>
      <c r="Q2713">
        <v>43.31</v>
      </c>
      <c r="R2713" t="s">
        <v>3773</v>
      </c>
      <c r="T2713" t="s">
        <v>3402</v>
      </c>
      <c r="U2713">
        <v>-2</v>
      </c>
      <c r="V2713" t="s">
        <v>4319</v>
      </c>
    </row>
    <row r="2714" spans="1:22" ht="15" customHeight="1" x14ac:dyDescent="0.2">
      <c r="A2714">
        <v>25</v>
      </c>
      <c r="C2714" s="21">
        <v>46197</v>
      </c>
      <c r="D2714" t="s">
        <v>135</v>
      </c>
      <c r="E2714" s="27" t="s">
        <v>136</v>
      </c>
      <c r="F2714" t="s">
        <v>21</v>
      </c>
      <c r="G2714">
        <v>1</v>
      </c>
      <c r="H2714" t="s">
        <v>4277</v>
      </c>
      <c r="I2714" t="s">
        <v>4278</v>
      </c>
      <c r="J2714" s="1" t="s">
        <v>3668</v>
      </c>
      <c r="K2714" t="s">
        <v>181</v>
      </c>
      <c r="L2714" t="s">
        <v>3340</v>
      </c>
      <c r="M2714">
        <v>86</v>
      </c>
      <c r="N2714">
        <v>0.79</v>
      </c>
      <c r="O2714" t="s">
        <v>211</v>
      </c>
      <c r="P2714">
        <v>43.31</v>
      </c>
      <c r="Q2714">
        <v>43.31</v>
      </c>
      <c r="R2714" t="s">
        <v>3386</v>
      </c>
      <c r="T2714" t="s">
        <v>3402</v>
      </c>
      <c r="U2714">
        <v>-2</v>
      </c>
      <c r="V2714" t="s">
        <v>4319</v>
      </c>
    </row>
    <row r="2715" spans="1:22" ht="15" customHeight="1" x14ac:dyDescent="0.2">
      <c r="A2715">
        <v>25</v>
      </c>
      <c r="C2715" s="21">
        <v>46197</v>
      </c>
      <c r="D2715" t="s">
        <v>135</v>
      </c>
      <c r="E2715" s="27" t="s">
        <v>136</v>
      </c>
      <c r="F2715" t="s">
        <v>21</v>
      </c>
      <c r="G2715">
        <v>1</v>
      </c>
      <c r="H2715" t="s">
        <v>4320</v>
      </c>
      <c r="I2715" t="s">
        <v>4321</v>
      </c>
      <c r="J2715" s="1" t="s">
        <v>3696</v>
      </c>
      <c r="K2715" t="s">
        <v>181</v>
      </c>
      <c r="L2715" t="s">
        <v>3333</v>
      </c>
      <c r="M2715">
        <v>4</v>
      </c>
      <c r="N2715">
        <v>0.25</v>
      </c>
      <c r="O2715" t="s">
        <v>3334</v>
      </c>
      <c r="P2715">
        <v>20.399999999999999</v>
      </c>
      <c r="Q2715">
        <v>2</v>
      </c>
      <c r="R2715" t="s">
        <v>3773</v>
      </c>
      <c r="T2715" t="s">
        <v>3402</v>
      </c>
      <c r="U2715">
        <v>-2</v>
      </c>
      <c r="V2715" t="s">
        <v>3474</v>
      </c>
    </row>
    <row r="2716" spans="1:22" ht="15" customHeight="1" x14ac:dyDescent="0.2">
      <c r="A2716">
        <v>25</v>
      </c>
      <c r="C2716" s="21">
        <v>46197</v>
      </c>
      <c r="D2716" t="s">
        <v>135</v>
      </c>
      <c r="E2716" s="27" t="s">
        <v>136</v>
      </c>
      <c r="F2716" t="s">
        <v>21</v>
      </c>
      <c r="G2716">
        <v>1</v>
      </c>
      <c r="H2716" t="s">
        <v>4277</v>
      </c>
      <c r="I2716" t="s">
        <v>4278</v>
      </c>
      <c r="J2716" s="1" t="s">
        <v>3668</v>
      </c>
      <c r="K2716" t="s">
        <v>181</v>
      </c>
      <c r="L2716" t="s">
        <v>3333</v>
      </c>
      <c r="M2716">
        <v>86</v>
      </c>
      <c r="N2716">
        <v>0.25</v>
      </c>
      <c r="O2716" t="s">
        <v>3334</v>
      </c>
      <c r="P2716">
        <v>20.399999999999999</v>
      </c>
      <c r="Q2716">
        <v>2</v>
      </c>
      <c r="R2716" t="s">
        <v>3386</v>
      </c>
      <c r="T2716" t="s">
        <v>3402</v>
      </c>
      <c r="U2716">
        <v>-2</v>
      </c>
      <c r="V2716" t="s">
        <v>3474</v>
      </c>
    </row>
    <row r="2717" spans="1:22" ht="15" customHeight="1" x14ac:dyDescent="0.2">
      <c r="A2717">
        <v>25</v>
      </c>
      <c r="C2717" s="21">
        <v>46197</v>
      </c>
      <c r="D2717" t="s">
        <v>135</v>
      </c>
      <c r="E2717" s="27" t="s">
        <v>136</v>
      </c>
      <c r="F2717" t="s">
        <v>21</v>
      </c>
      <c r="G2717">
        <v>1</v>
      </c>
      <c r="H2717" t="s">
        <v>4277</v>
      </c>
      <c r="I2717" t="s">
        <v>4278</v>
      </c>
      <c r="J2717" s="1" t="s">
        <v>3668</v>
      </c>
      <c r="K2717" t="s">
        <v>181</v>
      </c>
      <c r="L2717" t="s">
        <v>3340</v>
      </c>
      <c r="M2717">
        <v>78</v>
      </c>
      <c r="N2717">
        <v>0.33</v>
      </c>
      <c r="O2717" t="s">
        <v>211</v>
      </c>
      <c r="P2717">
        <v>18</v>
      </c>
      <c r="Q2717">
        <v>2</v>
      </c>
      <c r="R2717" t="s">
        <v>3341</v>
      </c>
      <c r="T2717" t="s">
        <v>3402</v>
      </c>
      <c r="U2717">
        <v>-2</v>
      </c>
      <c r="V2717" t="s">
        <v>260</v>
      </c>
    </row>
    <row r="2718" spans="1:22" ht="15" customHeight="1" x14ac:dyDescent="0.2">
      <c r="A2718">
        <v>25</v>
      </c>
      <c r="C2718" s="21">
        <v>46197</v>
      </c>
      <c r="D2718" t="s">
        <v>135</v>
      </c>
      <c r="E2718" s="27" t="s">
        <v>136</v>
      </c>
      <c r="F2718" t="s">
        <v>21</v>
      </c>
      <c r="G2718">
        <v>1</v>
      </c>
      <c r="H2718" t="s">
        <v>3567</v>
      </c>
      <c r="I2718" t="s">
        <v>321</v>
      </c>
      <c r="J2718" s="1" t="s">
        <v>26</v>
      </c>
      <c r="K2718" t="s">
        <v>181</v>
      </c>
      <c r="L2718" t="s">
        <v>3340</v>
      </c>
      <c r="M2718">
        <v>86</v>
      </c>
      <c r="N2718">
        <v>0.55000000000000004</v>
      </c>
      <c r="O2718" t="s">
        <v>211</v>
      </c>
      <c r="P2718">
        <v>30</v>
      </c>
      <c r="Q2718">
        <v>2</v>
      </c>
      <c r="R2718" t="s">
        <v>3386</v>
      </c>
      <c r="S2718" t="s">
        <v>4322</v>
      </c>
      <c r="T2718" t="s">
        <v>3402</v>
      </c>
      <c r="U2718">
        <v>-2</v>
      </c>
      <c r="V2718" t="s">
        <v>291</v>
      </c>
    </row>
    <row r="2719" spans="1:22" ht="15" customHeight="1" x14ac:dyDescent="0.2">
      <c r="A2719">
        <v>25</v>
      </c>
      <c r="C2719" s="21">
        <v>46197</v>
      </c>
      <c r="D2719" t="s">
        <v>135</v>
      </c>
      <c r="E2719" s="27" t="s">
        <v>136</v>
      </c>
      <c r="F2719" t="s">
        <v>21</v>
      </c>
      <c r="G2719">
        <v>1</v>
      </c>
      <c r="H2719" t="s">
        <v>4013</v>
      </c>
      <c r="I2719" t="s">
        <v>321</v>
      </c>
      <c r="J2719" s="1" t="s">
        <v>26</v>
      </c>
      <c r="K2719" t="s">
        <v>2666</v>
      </c>
      <c r="L2719" t="s">
        <v>3587</v>
      </c>
      <c r="P2719">
        <v>15</v>
      </c>
      <c r="S2719" t="s">
        <v>4323</v>
      </c>
      <c r="T2719" t="s">
        <v>3402</v>
      </c>
      <c r="U2719">
        <v>-2</v>
      </c>
      <c r="V2719" t="s">
        <v>3915</v>
      </c>
    </row>
    <row r="2720" spans="1:22" ht="12.75" customHeight="1" x14ac:dyDescent="0.15">
      <c r="A2720">
        <v>25</v>
      </c>
      <c r="C2720" s="21">
        <v>46197</v>
      </c>
      <c r="D2720" t="s">
        <v>139</v>
      </c>
      <c r="E2720" t="s">
        <v>140</v>
      </c>
      <c r="F2720" t="s">
        <v>75</v>
      </c>
      <c r="G2720">
        <v>0.8</v>
      </c>
      <c r="H2720" t="s">
        <v>3391</v>
      </c>
      <c r="I2720" t="s">
        <v>353</v>
      </c>
      <c r="J2720" s="1" t="s">
        <v>253</v>
      </c>
      <c r="K2720" t="s">
        <v>181</v>
      </c>
      <c r="L2720" t="s">
        <v>3587</v>
      </c>
      <c r="M2720">
        <v>120</v>
      </c>
      <c r="N2720">
        <v>6.67</v>
      </c>
      <c r="O2720" t="s">
        <v>211</v>
      </c>
      <c r="P2720">
        <v>367</v>
      </c>
      <c r="Q2720">
        <v>5</v>
      </c>
      <c r="R2720" t="s">
        <v>3415</v>
      </c>
      <c r="T2720" t="s">
        <v>3402</v>
      </c>
      <c r="U2720">
        <v>29</v>
      </c>
      <c r="V2720" t="s">
        <v>4324</v>
      </c>
    </row>
    <row r="2721" spans="1:22" ht="15" customHeight="1" x14ac:dyDescent="0.2">
      <c r="A2721">
        <v>25</v>
      </c>
      <c r="C2721" s="21">
        <v>46197</v>
      </c>
      <c r="D2721" t="s">
        <v>135</v>
      </c>
      <c r="E2721" s="27" t="s">
        <v>136</v>
      </c>
      <c r="F2721" t="s">
        <v>21</v>
      </c>
      <c r="G2721">
        <v>1</v>
      </c>
      <c r="H2721" t="s">
        <v>3908</v>
      </c>
      <c r="I2721" t="s">
        <v>3909</v>
      </c>
      <c r="J2721" s="1" t="s">
        <v>3389</v>
      </c>
      <c r="K2721" t="s">
        <v>181</v>
      </c>
      <c r="L2721" t="s">
        <v>3587</v>
      </c>
      <c r="M2721">
        <v>120</v>
      </c>
      <c r="N2721">
        <v>1.33</v>
      </c>
      <c r="O2721" t="s">
        <v>211</v>
      </c>
      <c r="P2721">
        <v>73</v>
      </c>
      <c r="Q2721">
        <v>1</v>
      </c>
      <c r="R2721" t="s">
        <v>3415</v>
      </c>
      <c r="T2721" t="s">
        <v>3402</v>
      </c>
      <c r="U2721">
        <v>-2</v>
      </c>
      <c r="V2721" t="s">
        <v>4325</v>
      </c>
    </row>
    <row r="2722" spans="1:22" ht="15" customHeight="1" x14ac:dyDescent="0.2">
      <c r="A2722">
        <v>25</v>
      </c>
      <c r="C2722" s="21">
        <v>46197</v>
      </c>
      <c r="D2722" t="s">
        <v>135</v>
      </c>
      <c r="E2722" s="27" t="s">
        <v>136</v>
      </c>
      <c r="F2722" t="s">
        <v>21</v>
      </c>
      <c r="G2722">
        <v>1</v>
      </c>
      <c r="H2722" t="s">
        <v>3908</v>
      </c>
      <c r="I2722" t="s">
        <v>3909</v>
      </c>
      <c r="J2722" s="1" t="s">
        <v>3389</v>
      </c>
      <c r="K2722" t="s">
        <v>181</v>
      </c>
      <c r="L2722" t="s">
        <v>3333</v>
      </c>
      <c r="M2722">
        <v>19</v>
      </c>
      <c r="N2722">
        <v>0.13</v>
      </c>
      <c r="O2722" t="s">
        <v>3334</v>
      </c>
      <c r="P2722">
        <v>10.199999999999999</v>
      </c>
      <c r="Q2722">
        <v>1</v>
      </c>
      <c r="R2722" t="s">
        <v>3403</v>
      </c>
      <c r="T2722" t="s">
        <v>3402</v>
      </c>
      <c r="U2722">
        <v>-2</v>
      </c>
      <c r="V2722" t="s">
        <v>3472</v>
      </c>
    </row>
    <row r="2723" spans="1:22" ht="15" customHeight="1" x14ac:dyDescent="0.2">
      <c r="A2723">
        <v>25</v>
      </c>
      <c r="C2723" s="21">
        <v>46197</v>
      </c>
      <c r="D2723" t="s">
        <v>135</v>
      </c>
      <c r="E2723" s="27" t="s">
        <v>136</v>
      </c>
      <c r="F2723" t="s">
        <v>21</v>
      </c>
      <c r="G2723">
        <v>1</v>
      </c>
      <c r="H2723" t="s">
        <v>3908</v>
      </c>
      <c r="I2723" t="s">
        <v>3909</v>
      </c>
      <c r="J2723" s="1" t="s">
        <v>3389</v>
      </c>
      <c r="K2723" t="s">
        <v>181</v>
      </c>
      <c r="L2723" t="s">
        <v>3333</v>
      </c>
      <c r="M2723">
        <v>67</v>
      </c>
      <c r="N2723">
        <v>0.13</v>
      </c>
      <c r="O2723" t="s">
        <v>3334</v>
      </c>
      <c r="P2723">
        <v>10.199999999999999</v>
      </c>
      <c r="Q2723">
        <v>1</v>
      </c>
      <c r="R2723" t="s">
        <v>3404</v>
      </c>
      <c r="T2723" t="s">
        <v>3402</v>
      </c>
      <c r="U2723">
        <v>-2</v>
      </c>
      <c r="V2723" t="s">
        <v>3472</v>
      </c>
    </row>
    <row r="2724" spans="1:22" ht="12.75" customHeight="1" x14ac:dyDescent="0.15">
      <c r="A2724">
        <v>25</v>
      </c>
      <c r="C2724" s="21">
        <v>46197</v>
      </c>
      <c r="D2724" t="s">
        <v>139</v>
      </c>
      <c r="E2724" t="s">
        <v>140</v>
      </c>
      <c r="F2724" t="s">
        <v>75</v>
      </c>
      <c r="G2724">
        <v>0.8</v>
      </c>
      <c r="H2724" t="s">
        <v>3391</v>
      </c>
      <c r="I2724" t="s">
        <v>353</v>
      </c>
      <c r="J2724" s="1" t="s">
        <v>253</v>
      </c>
      <c r="K2724" t="s">
        <v>181</v>
      </c>
      <c r="L2724" t="s">
        <v>3333</v>
      </c>
      <c r="M2724">
        <v>19</v>
      </c>
      <c r="N2724">
        <v>0.63</v>
      </c>
      <c r="O2724" t="s">
        <v>3334</v>
      </c>
      <c r="P2724">
        <v>50.99</v>
      </c>
      <c r="Q2724">
        <v>5</v>
      </c>
      <c r="R2724" t="s">
        <v>3403</v>
      </c>
      <c r="T2724" t="s">
        <v>3402</v>
      </c>
      <c r="U2724">
        <v>29</v>
      </c>
      <c r="V2724" t="s">
        <v>4098</v>
      </c>
    </row>
    <row r="2725" spans="1:22" ht="12.75" customHeight="1" x14ac:dyDescent="0.15">
      <c r="A2725">
        <v>25</v>
      </c>
      <c r="C2725" s="21">
        <v>46197</v>
      </c>
      <c r="D2725" t="s">
        <v>139</v>
      </c>
      <c r="E2725" t="s">
        <v>140</v>
      </c>
      <c r="F2725" t="s">
        <v>75</v>
      </c>
      <c r="G2725">
        <v>0.8</v>
      </c>
      <c r="H2725" t="s">
        <v>3391</v>
      </c>
      <c r="I2725" t="s">
        <v>353</v>
      </c>
      <c r="J2725" s="1" t="s">
        <v>253</v>
      </c>
      <c r="K2725" t="s">
        <v>181</v>
      </c>
      <c r="L2725" t="s">
        <v>3333</v>
      </c>
      <c r="M2725">
        <v>67</v>
      </c>
      <c r="N2725">
        <v>0.63</v>
      </c>
      <c r="O2725" t="s">
        <v>3334</v>
      </c>
      <c r="P2725">
        <v>50.99</v>
      </c>
      <c r="Q2725">
        <v>5</v>
      </c>
      <c r="R2725" t="s">
        <v>3404</v>
      </c>
      <c r="T2725" t="s">
        <v>3402</v>
      </c>
      <c r="U2725">
        <v>29</v>
      </c>
      <c r="V2725" t="s">
        <v>4098</v>
      </c>
    </row>
    <row r="2726" spans="1:22" ht="15" customHeight="1" x14ac:dyDescent="0.2">
      <c r="A2726">
        <v>25</v>
      </c>
      <c r="C2726" s="21">
        <v>46197</v>
      </c>
      <c r="D2726" t="s">
        <v>135</v>
      </c>
      <c r="E2726" s="27" t="s">
        <v>136</v>
      </c>
      <c r="F2726" t="s">
        <v>21</v>
      </c>
      <c r="G2726">
        <v>1</v>
      </c>
      <c r="H2726" t="s">
        <v>3567</v>
      </c>
      <c r="I2726" t="s">
        <v>321</v>
      </c>
      <c r="J2726" s="1" t="s">
        <v>26</v>
      </c>
      <c r="K2726" t="s">
        <v>181</v>
      </c>
      <c r="L2726" t="s">
        <v>3333</v>
      </c>
      <c r="M2726">
        <v>80</v>
      </c>
      <c r="N2726">
        <v>0.5</v>
      </c>
      <c r="O2726" t="s">
        <v>213</v>
      </c>
      <c r="P2726">
        <v>45</v>
      </c>
      <c r="Q2726">
        <v>4</v>
      </c>
      <c r="R2726" t="s">
        <v>3560</v>
      </c>
      <c r="T2726" t="s">
        <v>3402</v>
      </c>
      <c r="U2726">
        <v>-2</v>
      </c>
      <c r="V2726" t="s">
        <v>3530</v>
      </c>
    </row>
    <row r="2727" spans="1:22" ht="15" customHeight="1" x14ac:dyDescent="0.2">
      <c r="A2727">
        <v>25</v>
      </c>
      <c r="C2727" s="21">
        <v>46197</v>
      </c>
      <c r="D2727" t="s">
        <v>135</v>
      </c>
      <c r="E2727" s="27" t="s">
        <v>136</v>
      </c>
      <c r="F2727" t="s">
        <v>21</v>
      </c>
      <c r="G2727">
        <v>1</v>
      </c>
      <c r="H2727" t="s">
        <v>4013</v>
      </c>
      <c r="I2727" t="s">
        <v>321</v>
      </c>
      <c r="J2727" s="1" t="s">
        <v>26</v>
      </c>
      <c r="K2727" t="s">
        <v>2666</v>
      </c>
      <c r="L2727" t="s">
        <v>3587</v>
      </c>
      <c r="P2727">
        <v>32</v>
      </c>
      <c r="T2727" t="s">
        <v>3402</v>
      </c>
      <c r="U2727">
        <v>-2</v>
      </c>
      <c r="V2727" t="s">
        <v>3496</v>
      </c>
    </row>
    <row r="2728" spans="1:22" ht="12.75" customHeight="1" x14ac:dyDescent="0.15">
      <c r="A2728">
        <v>25</v>
      </c>
      <c r="C2728" s="21">
        <v>46197</v>
      </c>
      <c r="D2728" t="s">
        <v>107</v>
      </c>
      <c r="E2728" t="s">
        <v>108</v>
      </c>
      <c r="F2728" t="s">
        <v>21</v>
      </c>
      <c r="G2728">
        <v>4.5</v>
      </c>
      <c r="H2728" t="s">
        <v>3653</v>
      </c>
      <c r="I2728" t="s">
        <v>3566</v>
      </c>
      <c r="J2728" s="1" t="s">
        <v>3389</v>
      </c>
      <c r="K2728" t="s">
        <v>181</v>
      </c>
      <c r="L2728" t="s">
        <v>3333</v>
      </c>
      <c r="M2728">
        <v>80</v>
      </c>
      <c r="N2728">
        <v>0.13</v>
      </c>
      <c r="O2728" t="s">
        <v>213</v>
      </c>
      <c r="P2728">
        <v>11.25</v>
      </c>
      <c r="Q2728">
        <v>1</v>
      </c>
      <c r="R2728" t="s">
        <v>3560</v>
      </c>
      <c r="T2728" t="s">
        <v>3402</v>
      </c>
      <c r="U2728">
        <v>40</v>
      </c>
      <c r="V2728" t="s">
        <v>4326</v>
      </c>
    </row>
    <row r="2729" spans="1:22" ht="12.75" customHeight="1" x14ac:dyDescent="0.15">
      <c r="A2729">
        <v>25</v>
      </c>
      <c r="C2729" s="21">
        <v>46197</v>
      </c>
      <c r="D2729" t="s">
        <v>107</v>
      </c>
      <c r="E2729" t="s">
        <v>108</v>
      </c>
      <c r="F2729" t="s">
        <v>21</v>
      </c>
      <c r="G2729">
        <v>4.5</v>
      </c>
      <c r="H2729" t="s">
        <v>3878</v>
      </c>
      <c r="I2729" t="s">
        <v>3566</v>
      </c>
      <c r="J2729" s="1" t="s">
        <v>3389</v>
      </c>
      <c r="K2729" t="s">
        <v>2666</v>
      </c>
      <c r="L2729" t="s">
        <v>3587</v>
      </c>
      <c r="P2729">
        <v>8</v>
      </c>
      <c r="T2729" t="s">
        <v>3402</v>
      </c>
      <c r="U2729">
        <v>40</v>
      </c>
      <c r="V2729" t="s">
        <v>4327</v>
      </c>
    </row>
    <row r="2730" spans="1:22" ht="12.75" customHeight="1" x14ac:dyDescent="0.15">
      <c r="A2730">
        <v>25</v>
      </c>
      <c r="C2730" s="21">
        <v>46198</v>
      </c>
      <c r="D2730" t="s">
        <v>143</v>
      </c>
      <c r="E2730" t="s">
        <v>144</v>
      </c>
      <c r="F2730" t="s">
        <v>21</v>
      </c>
      <c r="G2730">
        <v>1.8</v>
      </c>
      <c r="H2730" t="s">
        <v>3378</v>
      </c>
      <c r="I2730" t="s">
        <v>214</v>
      </c>
      <c r="J2730" s="1" t="s">
        <v>215</v>
      </c>
      <c r="K2730" t="s">
        <v>181</v>
      </c>
      <c r="L2730" t="s">
        <v>3340</v>
      </c>
      <c r="M2730">
        <v>62</v>
      </c>
      <c r="N2730">
        <v>0.87</v>
      </c>
      <c r="O2730" t="s">
        <v>211</v>
      </c>
      <c r="P2730">
        <v>48</v>
      </c>
      <c r="R2730" t="s">
        <v>3375</v>
      </c>
      <c r="S2730" t="s">
        <v>4236</v>
      </c>
      <c r="T2730" t="s">
        <v>3337</v>
      </c>
      <c r="V2730" t="s">
        <v>4328</v>
      </c>
    </row>
    <row r="2731" spans="1:22" ht="12.75" customHeight="1" x14ac:dyDescent="0.15">
      <c r="A2731">
        <v>25</v>
      </c>
      <c r="C2731" s="21">
        <v>46198</v>
      </c>
      <c r="D2731" t="s">
        <v>143</v>
      </c>
      <c r="E2731" t="s">
        <v>144</v>
      </c>
      <c r="F2731" t="s">
        <v>21</v>
      </c>
      <c r="G2731">
        <v>1.8</v>
      </c>
      <c r="H2731" t="s">
        <v>3378</v>
      </c>
      <c r="I2731" t="s">
        <v>214</v>
      </c>
      <c r="J2731" s="1" t="s">
        <v>215</v>
      </c>
      <c r="K2731" t="s">
        <v>181</v>
      </c>
      <c r="L2731" t="s">
        <v>3340</v>
      </c>
      <c r="M2731">
        <v>58</v>
      </c>
      <c r="N2731">
        <v>0.87</v>
      </c>
      <c r="O2731" t="s">
        <v>211</v>
      </c>
      <c r="P2731">
        <v>48</v>
      </c>
      <c r="R2731" t="s">
        <v>3343</v>
      </c>
      <c r="T2731" t="s">
        <v>3337</v>
      </c>
      <c r="V2731" t="s">
        <v>4328</v>
      </c>
    </row>
    <row r="2732" spans="1:22" ht="12.75" customHeight="1" x14ac:dyDescent="0.15">
      <c r="A2732">
        <v>25</v>
      </c>
      <c r="C2732" s="21">
        <v>46198</v>
      </c>
      <c r="D2732" t="s">
        <v>143</v>
      </c>
      <c r="E2732" t="s">
        <v>144</v>
      </c>
      <c r="F2732" t="s">
        <v>21</v>
      </c>
      <c r="G2732">
        <v>1.8</v>
      </c>
      <c r="H2732" t="s">
        <v>3378</v>
      </c>
      <c r="I2732" t="s">
        <v>214</v>
      </c>
      <c r="J2732" s="1" t="s">
        <v>215</v>
      </c>
      <c r="K2732" t="s">
        <v>181</v>
      </c>
      <c r="L2732" t="s">
        <v>3340</v>
      </c>
      <c r="M2732">
        <v>53</v>
      </c>
      <c r="N2732">
        <v>0.87</v>
      </c>
      <c r="O2732" t="s">
        <v>211</v>
      </c>
      <c r="P2732">
        <v>48</v>
      </c>
      <c r="R2732" t="s">
        <v>3373</v>
      </c>
      <c r="T2732" t="s">
        <v>3337</v>
      </c>
      <c r="V2732" t="s">
        <v>4328</v>
      </c>
    </row>
    <row r="2733" spans="1:22" ht="12.75" customHeight="1" x14ac:dyDescent="0.15">
      <c r="A2733">
        <v>25</v>
      </c>
      <c r="C2733" s="21">
        <v>46198</v>
      </c>
      <c r="D2733" t="s">
        <v>143</v>
      </c>
      <c r="E2733" t="s">
        <v>144</v>
      </c>
      <c r="F2733" t="s">
        <v>21</v>
      </c>
      <c r="G2733">
        <v>1.8</v>
      </c>
      <c r="H2733" t="s">
        <v>3378</v>
      </c>
      <c r="I2733" t="s">
        <v>214</v>
      </c>
      <c r="J2733" s="1" t="s">
        <v>215</v>
      </c>
      <c r="K2733" t="s">
        <v>181</v>
      </c>
      <c r="L2733" t="s">
        <v>3340</v>
      </c>
      <c r="M2733">
        <v>81</v>
      </c>
      <c r="N2733">
        <v>0.87</v>
      </c>
      <c r="O2733" t="s">
        <v>211</v>
      </c>
      <c r="P2733">
        <v>48</v>
      </c>
      <c r="R2733" t="s">
        <v>3374</v>
      </c>
      <c r="T2733" t="s">
        <v>3337</v>
      </c>
      <c r="V2733" t="s">
        <v>4328</v>
      </c>
    </row>
    <row r="2734" spans="1:22" ht="12.75" customHeight="1" x14ac:dyDescent="0.15">
      <c r="A2734">
        <v>25</v>
      </c>
      <c r="C2734" s="21">
        <v>46198</v>
      </c>
      <c r="D2734" t="s">
        <v>143</v>
      </c>
      <c r="E2734" t="s">
        <v>144</v>
      </c>
      <c r="F2734" t="s">
        <v>21</v>
      </c>
      <c r="G2734">
        <v>1.8</v>
      </c>
      <c r="H2734" t="s">
        <v>3378</v>
      </c>
      <c r="I2734" t="s">
        <v>214</v>
      </c>
      <c r="J2734" s="1" t="s">
        <v>215</v>
      </c>
      <c r="K2734" t="s">
        <v>181</v>
      </c>
      <c r="L2734" t="s">
        <v>3340</v>
      </c>
      <c r="M2734">
        <v>45</v>
      </c>
      <c r="N2734">
        <v>0.87</v>
      </c>
      <c r="O2734" t="s">
        <v>211</v>
      </c>
      <c r="P2734">
        <v>48</v>
      </c>
      <c r="R2734" t="s">
        <v>3377</v>
      </c>
      <c r="T2734" t="s">
        <v>3337</v>
      </c>
      <c r="V2734" t="s">
        <v>4328</v>
      </c>
    </row>
    <row r="2735" spans="1:22" ht="12.75" customHeight="1" x14ac:dyDescent="0.15">
      <c r="A2735">
        <v>25</v>
      </c>
      <c r="C2735" s="21">
        <v>46198</v>
      </c>
      <c r="D2735" t="s">
        <v>107</v>
      </c>
      <c r="E2735" t="s">
        <v>108</v>
      </c>
      <c r="F2735" t="s">
        <v>21</v>
      </c>
      <c r="G2735">
        <v>4.5</v>
      </c>
      <c r="H2735" t="s">
        <v>3391</v>
      </c>
      <c r="I2735" t="s">
        <v>353</v>
      </c>
      <c r="J2735" s="1" t="s">
        <v>253</v>
      </c>
      <c r="K2735" t="s">
        <v>181</v>
      </c>
      <c r="L2735" t="s">
        <v>3340</v>
      </c>
      <c r="M2735">
        <v>58</v>
      </c>
      <c r="N2735">
        <v>0.33</v>
      </c>
      <c r="O2735" t="s">
        <v>211</v>
      </c>
      <c r="P2735">
        <v>18</v>
      </c>
      <c r="R2735" t="s">
        <v>3343</v>
      </c>
      <c r="T2735" t="s">
        <v>3337</v>
      </c>
      <c r="U2735">
        <v>41</v>
      </c>
      <c r="V2735" t="s">
        <v>4105</v>
      </c>
    </row>
    <row r="2736" spans="1:22" ht="12.75" customHeight="1" x14ac:dyDescent="0.15">
      <c r="A2736">
        <v>25</v>
      </c>
      <c r="C2736" s="21">
        <v>46198</v>
      </c>
      <c r="D2736" t="s">
        <v>107</v>
      </c>
      <c r="E2736" t="s">
        <v>108</v>
      </c>
      <c r="F2736" t="s">
        <v>21</v>
      </c>
      <c r="G2736">
        <v>4.5</v>
      </c>
      <c r="H2736" t="s">
        <v>3391</v>
      </c>
      <c r="I2736" t="s">
        <v>353</v>
      </c>
      <c r="J2736" s="1" t="s">
        <v>253</v>
      </c>
      <c r="K2736" t="s">
        <v>181</v>
      </c>
      <c r="L2736" t="s">
        <v>3340</v>
      </c>
      <c r="M2736">
        <v>53</v>
      </c>
      <c r="N2736">
        <v>0.33</v>
      </c>
      <c r="O2736" t="s">
        <v>211</v>
      </c>
      <c r="P2736">
        <v>18</v>
      </c>
      <c r="R2736" t="s">
        <v>3373</v>
      </c>
      <c r="T2736" t="s">
        <v>3337</v>
      </c>
      <c r="U2736">
        <v>41</v>
      </c>
      <c r="V2736" t="s">
        <v>4105</v>
      </c>
    </row>
    <row r="2737" spans="1:22" ht="12.75" customHeight="1" x14ac:dyDescent="0.15">
      <c r="A2737">
        <v>25</v>
      </c>
      <c r="C2737" s="21">
        <v>46198</v>
      </c>
      <c r="D2737" t="s">
        <v>107</v>
      </c>
      <c r="E2737" t="s">
        <v>108</v>
      </c>
      <c r="F2737" t="s">
        <v>21</v>
      </c>
      <c r="G2737">
        <v>4.5</v>
      </c>
      <c r="H2737" t="s">
        <v>3391</v>
      </c>
      <c r="I2737" t="s">
        <v>353</v>
      </c>
      <c r="J2737" s="1" t="s">
        <v>253</v>
      </c>
      <c r="K2737" t="s">
        <v>181</v>
      </c>
      <c r="L2737" t="s">
        <v>3340</v>
      </c>
      <c r="M2737">
        <v>81</v>
      </c>
      <c r="N2737">
        <v>0.33</v>
      </c>
      <c r="O2737" t="s">
        <v>211</v>
      </c>
      <c r="P2737">
        <v>18</v>
      </c>
      <c r="R2737" t="s">
        <v>3374</v>
      </c>
      <c r="T2737" t="s">
        <v>3337</v>
      </c>
      <c r="U2737">
        <v>41</v>
      </c>
      <c r="V2737" t="s">
        <v>4105</v>
      </c>
    </row>
    <row r="2738" spans="1:22" ht="12.75" customHeight="1" x14ac:dyDescent="0.15">
      <c r="A2738">
        <v>25</v>
      </c>
      <c r="B2738">
        <v>2026</v>
      </c>
      <c r="C2738" s="21">
        <v>46198</v>
      </c>
      <c r="D2738" t="s">
        <v>141</v>
      </c>
      <c r="E2738" t="s">
        <v>142</v>
      </c>
      <c r="F2738" t="s">
        <v>75</v>
      </c>
      <c r="G2738">
        <v>1</v>
      </c>
      <c r="H2738" t="s">
        <v>3408</v>
      </c>
      <c r="I2738" t="s">
        <v>366</v>
      </c>
      <c r="J2738" s="1" t="s">
        <v>215</v>
      </c>
      <c r="K2738" t="s">
        <v>181</v>
      </c>
      <c r="L2738" t="s">
        <v>3340</v>
      </c>
      <c r="M2738">
        <v>62</v>
      </c>
      <c r="N2738">
        <v>0.76</v>
      </c>
      <c r="O2738" t="s">
        <v>211</v>
      </c>
      <c r="P2738">
        <v>42</v>
      </c>
      <c r="R2738" t="s">
        <v>3375</v>
      </c>
      <c r="S2738" t="s">
        <v>4238</v>
      </c>
      <c r="T2738" t="s">
        <v>3337</v>
      </c>
      <c r="U2738">
        <v>2</v>
      </c>
      <c r="V2738" t="s">
        <v>251</v>
      </c>
    </row>
    <row r="2739" spans="1:22" ht="12.75" customHeight="1" x14ac:dyDescent="0.15">
      <c r="A2739">
        <v>25</v>
      </c>
      <c r="B2739">
        <v>2026</v>
      </c>
      <c r="C2739" s="21">
        <v>46198</v>
      </c>
      <c r="D2739" t="s">
        <v>141</v>
      </c>
      <c r="E2739" t="s">
        <v>142</v>
      </c>
      <c r="F2739" t="s">
        <v>75</v>
      </c>
      <c r="G2739">
        <v>1</v>
      </c>
      <c r="H2739" t="s">
        <v>3408</v>
      </c>
      <c r="I2739" t="s">
        <v>366</v>
      </c>
      <c r="J2739" s="1" t="s">
        <v>215</v>
      </c>
      <c r="K2739" t="s">
        <v>181</v>
      </c>
      <c r="L2739" t="s">
        <v>3340</v>
      </c>
      <c r="M2739">
        <v>58</v>
      </c>
      <c r="N2739">
        <v>0.76</v>
      </c>
      <c r="O2739" t="s">
        <v>211</v>
      </c>
      <c r="P2739">
        <v>42</v>
      </c>
      <c r="R2739" t="s">
        <v>3343</v>
      </c>
      <c r="T2739" t="s">
        <v>3337</v>
      </c>
      <c r="U2739">
        <v>2</v>
      </c>
      <c r="V2739" t="s">
        <v>251</v>
      </c>
    </row>
    <row r="2740" spans="1:22" ht="12.75" customHeight="1" x14ac:dyDescent="0.15">
      <c r="A2740">
        <v>25</v>
      </c>
      <c r="B2740">
        <v>2026</v>
      </c>
      <c r="C2740" s="21">
        <v>46198</v>
      </c>
      <c r="D2740" t="s">
        <v>141</v>
      </c>
      <c r="E2740" t="s">
        <v>142</v>
      </c>
      <c r="F2740" t="s">
        <v>75</v>
      </c>
      <c r="G2740">
        <v>1</v>
      </c>
      <c r="H2740" t="s">
        <v>3408</v>
      </c>
      <c r="I2740" t="s">
        <v>366</v>
      </c>
      <c r="J2740" s="1" t="s">
        <v>215</v>
      </c>
      <c r="K2740" t="s">
        <v>181</v>
      </c>
      <c r="L2740" t="s">
        <v>3340</v>
      </c>
      <c r="M2740">
        <v>53</v>
      </c>
      <c r="N2740">
        <v>0.76</v>
      </c>
      <c r="O2740" t="s">
        <v>211</v>
      </c>
      <c r="P2740">
        <v>42</v>
      </c>
      <c r="R2740" t="s">
        <v>3373</v>
      </c>
      <c r="T2740" t="s">
        <v>3337</v>
      </c>
      <c r="U2740">
        <v>2</v>
      </c>
      <c r="V2740" t="s">
        <v>251</v>
      </c>
    </row>
    <row r="2741" spans="1:22" ht="12.75" customHeight="1" x14ac:dyDescent="0.15">
      <c r="A2741">
        <v>25</v>
      </c>
      <c r="B2741">
        <v>2026</v>
      </c>
      <c r="C2741" s="21">
        <v>46198</v>
      </c>
      <c r="D2741" t="s">
        <v>141</v>
      </c>
      <c r="E2741" t="s">
        <v>142</v>
      </c>
      <c r="F2741" t="s">
        <v>75</v>
      </c>
      <c r="G2741">
        <v>1</v>
      </c>
      <c r="H2741" t="s">
        <v>3408</v>
      </c>
      <c r="I2741" t="s">
        <v>366</v>
      </c>
      <c r="J2741" s="1" t="s">
        <v>215</v>
      </c>
      <c r="K2741" t="s">
        <v>181</v>
      </c>
      <c r="L2741" t="s">
        <v>3340</v>
      </c>
      <c r="M2741">
        <v>81</v>
      </c>
      <c r="N2741">
        <v>0.76</v>
      </c>
      <c r="O2741" t="s">
        <v>211</v>
      </c>
      <c r="P2741">
        <v>42</v>
      </c>
      <c r="R2741" t="s">
        <v>3374</v>
      </c>
      <c r="T2741" t="s">
        <v>3337</v>
      </c>
      <c r="U2741">
        <v>2</v>
      </c>
      <c r="V2741" t="s">
        <v>251</v>
      </c>
    </row>
    <row r="2742" spans="1:22" ht="12.75" customHeight="1" x14ac:dyDescent="0.15">
      <c r="A2742">
        <v>25</v>
      </c>
      <c r="B2742">
        <v>2026</v>
      </c>
      <c r="C2742" s="21">
        <v>46198</v>
      </c>
      <c r="D2742" t="s">
        <v>141</v>
      </c>
      <c r="E2742" t="s">
        <v>142</v>
      </c>
      <c r="F2742" t="s">
        <v>75</v>
      </c>
      <c r="G2742">
        <v>1</v>
      </c>
      <c r="H2742" t="s">
        <v>3408</v>
      </c>
      <c r="I2742" t="s">
        <v>366</v>
      </c>
      <c r="J2742" s="1" t="s">
        <v>215</v>
      </c>
      <c r="K2742" t="s">
        <v>181</v>
      </c>
      <c r="L2742" t="s">
        <v>3340</v>
      </c>
      <c r="M2742">
        <v>45</v>
      </c>
      <c r="N2742">
        <v>0.76</v>
      </c>
      <c r="O2742" t="s">
        <v>211</v>
      </c>
      <c r="P2742">
        <v>42</v>
      </c>
      <c r="R2742" t="s">
        <v>3377</v>
      </c>
      <c r="T2742" t="s">
        <v>3337</v>
      </c>
      <c r="U2742">
        <v>2</v>
      </c>
      <c r="V2742" t="s">
        <v>251</v>
      </c>
    </row>
    <row r="2743" spans="1:22" ht="15" customHeight="1" x14ac:dyDescent="0.2">
      <c r="A2743">
        <v>25</v>
      </c>
      <c r="C2743" s="21">
        <v>46198</v>
      </c>
      <c r="D2743" t="s">
        <v>135</v>
      </c>
      <c r="E2743" s="27" t="s">
        <v>136</v>
      </c>
      <c r="F2743" t="s">
        <v>21</v>
      </c>
      <c r="G2743">
        <v>1</v>
      </c>
      <c r="H2743" t="s">
        <v>3408</v>
      </c>
      <c r="I2743" t="s">
        <v>366</v>
      </c>
      <c r="J2743" s="1" t="s">
        <v>215</v>
      </c>
      <c r="K2743" t="s">
        <v>181</v>
      </c>
      <c r="L2743" t="s">
        <v>3340</v>
      </c>
      <c r="M2743">
        <v>62</v>
      </c>
      <c r="N2743">
        <v>0.32</v>
      </c>
      <c r="O2743" t="s">
        <v>211</v>
      </c>
      <c r="P2743">
        <v>17.5</v>
      </c>
      <c r="R2743" t="s">
        <v>3375</v>
      </c>
      <c r="S2743" t="s">
        <v>4329</v>
      </c>
      <c r="T2743" t="s">
        <v>3337</v>
      </c>
      <c r="U2743">
        <v>-1</v>
      </c>
      <c r="V2743" t="s">
        <v>4126</v>
      </c>
    </row>
    <row r="2744" spans="1:22" ht="15" customHeight="1" x14ac:dyDescent="0.2">
      <c r="A2744">
        <v>25</v>
      </c>
      <c r="C2744" s="21">
        <v>46198</v>
      </c>
      <c r="D2744" t="s">
        <v>135</v>
      </c>
      <c r="E2744" s="27" t="s">
        <v>136</v>
      </c>
      <c r="F2744" t="s">
        <v>21</v>
      </c>
      <c r="G2744">
        <v>1</v>
      </c>
      <c r="H2744" t="s">
        <v>3408</v>
      </c>
      <c r="I2744" t="s">
        <v>366</v>
      </c>
      <c r="J2744" s="1" t="s">
        <v>215</v>
      </c>
      <c r="K2744" t="s">
        <v>181</v>
      </c>
      <c r="L2744" t="s">
        <v>3340</v>
      </c>
      <c r="M2744">
        <v>58</v>
      </c>
      <c r="N2744">
        <v>0.32</v>
      </c>
      <c r="O2744" t="s">
        <v>211</v>
      </c>
      <c r="P2744">
        <v>17.5</v>
      </c>
      <c r="R2744" t="s">
        <v>3343</v>
      </c>
      <c r="T2744" t="s">
        <v>3337</v>
      </c>
      <c r="U2744">
        <v>-1</v>
      </c>
      <c r="V2744" t="s">
        <v>4126</v>
      </c>
    </row>
    <row r="2745" spans="1:22" ht="15" customHeight="1" x14ac:dyDescent="0.2">
      <c r="A2745">
        <v>25</v>
      </c>
      <c r="C2745" s="21">
        <v>46198</v>
      </c>
      <c r="D2745" t="s">
        <v>135</v>
      </c>
      <c r="E2745" s="27" t="s">
        <v>136</v>
      </c>
      <c r="F2745" t="s">
        <v>21</v>
      </c>
      <c r="G2745">
        <v>1</v>
      </c>
      <c r="H2745" t="s">
        <v>3408</v>
      </c>
      <c r="I2745" t="s">
        <v>366</v>
      </c>
      <c r="J2745" s="1" t="s">
        <v>215</v>
      </c>
      <c r="K2745" t="s">
        <v>181</v>
      </c>
      <c r="L2745" t="s">
        <v>3340</v>
      </c>
      <c r="M2745">
        <v>53</v>
      </c>
      <c r="N2745">
        <v>0.32</v>
      </c>
      <c r="O2745" t="s">
        <v>211</v>
      </c>
      <c r="P2745">
        <v>17.5</v>
      </c>
      <c r="R2745" t="s">
        <v>3373</v>
      </c>
      <c r="T2745" t="s">
        <v>3337</v>
      </c>
      <c r="U2745">
        <v>-1</v>
      </c>
      <c r="V2745" t="s">
        <v>4126</v>
      </c>
    </row>
    <row r="2746" spans="1:22" ht="15" customHeight="1" x14ac:dyDescent="0.2">
      <c r="A2746">
        <v>25</v>
      </c>
      <c r="C2746" s="21">
        <v>46198</v>
      </c>
      <c r="D2746" t="s">
        <v>135</v>
      </c>
      <c r="E2746" s="27" t="s">
        <v>136</v>
      </c>
      <c r="F2746" t="s">
        <v>21</v>
      </c>
      <c r="G2746">
        <v>1</v>
      </c>
      <c r="H2746" t="s">
        <v>3408</v>
      </c>
      <c r="I2746" t="s">
        <v>366</v>
      </c>
      <c r="J2746" s="1" t="s">
        <v>215</v>
      </c>
      <c r="K2746" t="s">
        <v>181</v>
      </c>
      <c r="L2746" t="s">
        <v>3340</v>
      </c>
      <c r="M2746">
        <v>81</v>
      </c>
      <c r="N2746">
        <v>0.32</v>
      </c>
      <c r="O2746" t="s">
        <v>211</v>
      </c>
      <c r="P2746">
        <v>17.5</v>
      </c>
      <c r="R2746" t="s">
        <v>3374</v>
      </c>
      <c r="T2746" t="s">
        <v>3337</v>
      </c>
      <c r="U2746">
        <v>-1</v>
      </c>
      <c r="V2746" t="s">
        <v>4126</v>
      </c>
    </row>
    <row r="2747" spans="1:22" ht="12.75" customHeight="1" x14ac:dyDescent="0.15">
      <c r="A2747">
        <v>25</v>
      </c>
      <c r="C2747" s="21">
        <v>46198</v>
      </c>
      <c r="D2747" t="s">
        <v>107</v>
      </c>
      <c r="E2747" t="s">
        <v>108</v>
      </c>
      <c r="F2747" t="s">
        <v>21</v>
      </c>
      <c r="G2747">
        <v>4.5</v>
      </c>
      <c r="H2747" t="s">
        <v>3400</v>
      </c>
      <c r="I2747" t="s">
        <v>353</v>
      </c>
      <c r="J2747" s="1" t="s">
        <v>253</v>
      </c>
      <c r="K2747" t="s">
        <v>181</v>
      </c>
      <c r="L2747" t="s">
        <v>3333</v>
      </c>
      <c r="M2747">
        <v>2</v>
      </c>
      <c r="N2747">
        <v>1</v>
      </c>
      <c r="O2747" t="s">
        <v>3440</v>
      </c>
      <c r="P2747">
        <v>90.49</v>
      </c>
      <c r="Q2747">
        <v>8</v>
      </c>
      <c r="R2747" t="s">
        <v>3424</v>
      </c>
      <c r="T2747" t="s">
        <v>3337</v>
      </c>
      <c r="U2747">
        <v>41</v>
      </c>
      <c r="V2747" t="s">
        <v>4330</v>
      </c>
    </row>
    <row r="2748" spans="1:22" ht="12.75" customHeight="1" x14ac:dyDescent="0.15">
      <c r="A2748">
        <v>25</v>
      </c>
      <c r="B2748">
        <v>2026</v>
      </c>
      <c r="C2748" s="21">
        <v>46198</v>
      </c>
      <c r="D2748" t="s">
        <v>141</v>
      </c>
      <c r="E2748" t="s">
        <v>142</v>
      </c>
      <c r="F2748" t="s">
        <v>75</v>
      </c>
      <c r="G2748">
        <v>1</v>
      </c>
      <c r="H2748" t="s">
        <v>4331</v>
      </c>
      <c r="I2748" t="s">
        <v>3866</v>
      </c>
      <c r="J2748" s="1" t="s">
        <v>30</v>
      </c>
      <c r="K2748" t="s">
        <v>181</v>
      </c>
      <c r="L2748" t="s">
        <v>3333</v>
      </c>
      <c r="M2748">
        <v>6</v>
      </c>
      <c r="N2748">
        <v>0.5</v>
      </c>
      <c r="O2748" t="s">
        <v>3334</v>
      </c>
      <c r="P2748">
        <v>40.79</v>
      </c>
      <c r="Q2748">
        <v>4</v>
      </c>
      <c r="R2748" t="s">
        <v>3335</v>
      </c>
      <c r="T2748" t="s">
        <v>3337</v>
      </c>
      <c r="U2748">
        <v>2</v>
      </c>
      <c r="V2748" t="s">
        <v>3456</v>
      </c>
    </row>
    <row r="2749" spans="1:22" ht="15" customHeight="1" x14ac:dyDescent="0.2">
      <c r="A2749">
        <v>25</v>
      </c>
      <c r="C2749" s="21">
        <v>46198</v>
      </c>
      <c r="D2749" t="s">
        <v>135</v>
      </c>
      <c r="E2749" s="27" t="s">
        <v>136</v>
      </c>
      <c r="F2749" t="s">
        <v>21</v>
      </c>
      <c r="G2749">
        <v>1</v>
      </c>
      <c r="H2749" t="s">
        <v>4332</v>
      </c>
      <c r="I2749" t="s">
        <v>4333</v>
      </c>
      <c r="J2749" s="1" t="s">
        <v>3389</v>
      </c>
      <c r="K2749" t="s">
        <v>181</v>
      </c>
      <c r="L2749" t="s">
        <v>3333</v>
      </c>
      <c r="M2749">
        <v>6</v>
      </c>
      <c r="N2749">
        <v>0.5</v>
      </c>
      <c r="O2749" t="s">
        <v>3334</v>
      </c>
      <c r="P2749">
        <v>40.79</v>
      </c>
      <c r="Q2749">
        <v>4</v>
      </c>
      <c r="R2749" t="s">
        <v>3335</v>
      </c>
      <c r="T2749" t="s">
        <v>3337</v>
      </c>
      <c r="U2749">
        <v>-1</v>
      </c>
      <c r="V2749" t="s">
        <v>3456</v>
      </c>
    </row>
    <row r="2750" spans="1:22" ht="12.75" customHeight="1" x14ac:dyDescent="0.15">
      <c r="A2750">
        <v>25</v>
      </c>
      <c r="B2750">
        <v>2026</v>
      </c>
      <c r="C2750" s="21">
        <v>46198</v>
      </c>
      <c r="D2750" t="s">
        <v>141</v>
      </c>
      <c r="E2750" t="s">
        <v>142</v>
      </c>
      <c r="F2750" t="s">
        <v>75</v>
      </c>
      <c r="G2750">
        <v>1</v>
      </c>
      <c r="H2750" t="s">
        <v>4331</v>
      </c>
      <c r="I2750" t="s">
        <v>3866</v>
      </c>
      <c r="J2750" s="1" t="s">
        <v>30</v>
      </c>
      <c r="K2750" t="s">
        <v>181</v>
      </c>
      <c r="L2750" t="s">
        <v>3333</v>
      </c>
      <c r="M2750">
        <v>1</v>
      </c>
      <c r="N2750">
        <v>0.5</v>
      </c>
      <c r="O2750" t="s">
        <v>3358</v>
      </c>
      <c r="P2750">
        <v>35.93</v>
      </c>
      <c r="Q2750">
        <v>4</v>
      </c>
      <c r="R2750" t="s">
        <v>3359</v>
      </c>
      <c r="T2750" t="s">
        <v>3337</v>
      </c>
      <c r="V2750" t="s">
        <v>3452</v>
      </c>
    </row>
    <row r="2751" spans="1:22" ht="15" customHeight="1" x14ac:dyDescent="0.2">
      <c r="A2751">
        <v>25</v>
      </c>
      <c r="B2751">
        <v>2026</v>
      </c>
      <c r="C2751" s="21">
        <v>46198</v>
      </c>
      <c r="D2751" t="s">
        <v>135</v>
      </c>
      <c r="E2751" s="27" t="s">
        <v>136</v>
      </c>
      <c r="F2751" t="s">
        <v>21</v>
      </c>
      <c r="G2751">
        <v>1</v>
      </c>
      <c r="H2751" t="s">
        <v>4332</v>
      </c>
      <c r="I2751" t="s">
        <v>4333</v>
      </c>
      <c r="J2751" s="1" t="s">
        <v>3389</v>
      </c>
      <c r="K2751" t="s">
        <v>181</v>
      </c>
      <c r="L2751" t="s">
        <v>3333</v>
      </c>
      <c r="M2751">
        <v>1</v>
      </c>
      <c r="N2751">
        <v>0.5</v>
      </c>
      <c r="O2751" t="s">
        <v>3358</v>
      </c>
      <c r="P2751">
        <v>35.93</v>
      </c>
      <c r="Q2751">
        <v>4</v>
      </c>
      <c r="R2751" t="s">
        <v>3359</v>
      </c>
      <c r="T2751" t="s">
        <v>3337</v>
      </c>
      <c r="V2751" t="s">
        <v>3452</v>
      </c>
    </row>
    <row r="2752" spans="1:22" ht="15" customHeight="1" x14ac:dyDescent="0.2">
      <c r="A2752">
        <v>25</v>
      </c>
      <c r="B2752">
        <v>2026</v>
      </c>
      <c r="C2752" s="21">
        <v>46198</v>
      </c>
      <c r="D2752" t="s">
        <v>135</v>
      </c>
      <c r="E2752" s="27" t="s">
        <v>136</v>
      </c>
      <c r="F2752" t="s">
        <v>21</v>
      </c>
      <c r="G2752">
        <v>1</v>
      </c>
      <c r="H2752" t="s">
        <v>3672</v>
      </c>
      <c r="I2752" t="s">
        <v>3673</v>
      </c>
      <c r="J2752" s="1" t="s">
        <v>26</v>
      </c>
      <c r="K2752" t="s">
        <v>181</v>
      </c>
      <c r="L2752" t="s">
        <v>3333</v>
      </c>
      <c r="M2752">
        <v>80</v>
      </c>
      <c r="N2752">
        <v>0.88</v>
      </c>
      <c r="O2752" t="s">
        <v>213</v>
      </c>
      <c r="P2752">
        <v>78.75</v>
      </c>
      <c r="Q2752">
        <v>7</v>
      </c>
      <c r="R2752" t="s">
        <v>3560</v>
      </c>
      <c r="T2752" t="s">
        <v>3402</v>
      </c>
      <c r="V2752" t="s">
        <v>4334</v>
      </c>
    </row>
    <row r="2753" spans="1:22" ht="15" customHeight="1" x14ac:dyDescent="0.2">
      <c r="A2753">
        <v>25</v>
      </c>
      <c r="B2753">
        <v>2026</v>
      </c>
      <c r="C2753" s="21">
        <v>46198</v>
      </c>
      <c r="D2753" t="s">
        <v>135</v>
      </c>
      <c r="E2753" s="27" t="s">
        <v>136</v>
      </c>
      <c r="F2753" t="s">
        <v>21</v>
      </c>
      <c r="G2753">
        <v>1</v>
      </c>
      <c r="H2753" t="s">
        <v>3947</v>
      </c>
      <c r="I2753" t="s">
        <v>3673</v>
      </c>
      <c r="J2753" s="1" t="s">
        <v>26</v>
      </c>
      <c r="K2753" t="s">
        <v>2666</v>
      </c>
      <c r="L2753" t="s">
        <v>3587</v>
      </c>
      <c r="P2753">
        <v>56</v>
      </c>
      <c r="T2753" t="s">
        <v>3402</v>
      </c>
      <c r="V2753" t="s">
        <v>4335</v>
      </c>
    </row>
    <row r="2754" spans="1:22" ht="15" customHeight="1" x14ac:dyDescent="0.2">
      <c r="A2754">
        <v>25</v>
      </c>
      <c r="B2754">
        <v>2026</v>
      </c>
      <c r="C2754" s="21">
        <v>46198</v>
      </c>
      <c r="D2754" t="s">
        <v>135</v>
      </c>
      <c r="E2754" s="27" t="s">
        <v>136</v>
      </c>
      <c r="F2754" t="s">
        <v>21</v>
      </c>
      <c r="G2754">
        <v>1</v>
      </c>
      <c r="H2754" t="s">
        <v>4241</v>
      </c>
      <c r="I2754" t="s">
        <v>4242</v>
      </c>
      <c r="J2754" s="1" t="s">
        <v>3668</v>
      </c>
      <c r="K2754" t="s">
        <v>181</v>
      </c>
      <c r="L2754" t="s">
        <v>3340</v>
      </c>
      <c r="M2754">
        <v>78</v>
      </c>
      <c r="N2754">
        <v>1.1499999999999999</v>
      </c>
      <c r="O2754" t="s">
        <v>211</v>
      </c>
      <c r="P2754">
        <v>63</v>
      </c>
      <c r="Q2754">
        <v>7</v>
      </c>
      <c r="R2754" t="s">
        <v>3341</v>
      </c>
      <c r="T2754" t="s">
        <v>3402</v>
      </c>
      <c r="V2754" t="s">
        <v>269</v>
      </c>
    </row>
    <row r="2755" spans="1:22" ht="15" customHeight="1" x14ac:dyDescent="0.2">
      <c r="A2755">
        <v>25</v>
      </c>
      <c r="B2755">
        <v>2026</v>
      </c>
      <c r="C2755" s="21">
        <v>46198</v>
      </c>
      <c r="D2755" t="s">
        <v>135</v>
      </c>
      <c r="E2755" s="27" t="s">
        <v>136</v>
      </c>
      <c r="F2755" t="s">
        <v>21</v>
      </c>
      <c r="G2755">
        <v>1</v>
      </c>
      <c r="H2755" t="s">
        <v>3908</v>
      </c>
      <c r="I2755" t="s">
        <v>3909</v>
      </c>
      <c r="J2755" s="1" t="s">
        <v>3389</v>
      </c>
      <c r="K2755" t="s">
        <v>181</v>
      </c>
      <c r="L2755" t="s">
        <v>3333</v>
      </c>
      <c r="M2755">
        <v>4</v>
      </c>
      <c r="N2755">
        <v>0.88</v>
      </c>
      <c r="O2755" t="s">
        <v>3334</v>
      </c>
      <c r="P2755">
        <v>71.38</v>
      </c>
      <c r="Q2755">
        <v>7</v>
      </c>
      <c r="R2755" t="s">
        <v>3773</v>
      </c>
      <c r="T2755" t="s">
        <v>3402</v>
      </c>
      <c r="V2755" t="s">
        <v>3925</v>
      </c>
    </row>
    <row r="2756" spans="1:22" ht="15" customHeight="1" x14ac:dyDescent="0.2">
      <c r="A2756">
        <v>25</v>
      </c>
      <c r="B2756">
        <v>2026</v>
      </c>
      <c r="C2756" s="21">
        <v>46198</v>
      </c>
      <c r="D2756" t="s">
        <v>135</v>
      </c>
      <c r="E2756" s="27" t="s">
        <v>136</v>
      </c>
      <c r="F2756" t="s">
        <v>21</v>
      </c>
      <c r="G2756">
        <v>1</v>
      </c>
      <c r="H2756" t="s">
        <v>4336</v>
      </c>
      <c r="I2756" t="s">
        <v>3931</v>
      </c>
      <c r="J2756" s="1" t="s">
        <v>3660</v>
      </c>
      <c r="K2756" t="s">
        <v>181</v>
      </c>
      <c r="L2756" t="s">
        <v>3333</v>
      </c>
      <c r="M2756">
        <v>86</v>
      </c>
      <c r="N2756">
        <v>0.88</v>
      </c>
      <c r="O2756" t="s">
        <v>3334</v>
      </c>
      <c r="P2756">
        <v>71.38</v>
      </c>
      <c r="Q2756">
        <v>7</v>
      </c>
      <c r="R2756" t="s">
        <v>3386</v>
      </c>
      <c r="T2756" t="s">
        <v>3402</v>
      </c>
      <c r="V2756" t="s">
        <v>3925</v>
      </c>
    </row>
    <row r="2757" spans="1:22" ht="15" customHeight="1" x14ac:dyDescent="0.2">
      <c r="A2757">
        <v>25</v>
      </c>
      <c r="B2757">
        <v>2026</v>
      </c>
      <c r="C2757" s="21">
        <v>46198</v>
      </c>
      <c r="D2757" t="s">
        <v>135</v>
      </c>
      <c r="E2757" s="27" t="s">
        <v>136</v>
      </c>
      <c r="F2757" t="s">
        <v>21</v>
      </c>
      <c r="G2757">
        <v>1</v>
      </c>
      <c r="H2757" t="s">
        <v>4337</v>
      </c>
      <c r="I2757" t="s">
        <v>3913</v>
      </c>
      <c r="J2757" s="1" t="s">
        <v>3533</v>
      </c>
      <c r="K2757" t="s">
        <v>181</v>
      </c>
      <c r="L2757" t="s">
        <v>3340</v>
      </c>
      <c r="M2757">
        <v>4</v>
      </c>
      <c r="N2757">
        <v>0.16</v>
      </c>
      <c r="O2757" t="s">
        <v>211</v>
      </c>
      <c r="P2757">
        <v>9</v>
      </c>
      <c r="Q2757">
        <v>1</v>
      </c>
      <c r="R2757" t="s">
        <v>3773</v>
      </c>
      <c r="T2757" t="s">
        <v>3402</v>
      </c>
      <c r="V2757" t="s">
        <v>3473</v>
      </c>
    </row>
    <row r="2758" spans="1:22" ht="15" customHeight="1" x14ac:dyDescent="0.2">
      <c r="A2758">
        <v>25</v>
      </c>
      <c r="B2758">
        <v>2026</v>
      </c>
      <c r="C2758" s="21">
        <v>46198</v>
      </c>
      <c r="D2758" t="s">
        <v>135</v>
      </c>
      <c r="E2758" s="27" t="s">
        <v>136</v>
      </c>
      <c r="F2758" t="s">
        <v>21</v>
      </c>
      <c r="G2758">
        <v>1</v>
      </c>
      <c r="H2758" t="s">
        <v>4337</v>
      </c>
      <c r="I2758" t="s">
        <v>3913</v>
      </c>
      <c r="J2758" s="1" t="s">
        <v>3533</v>
      </c>
      <c r="K2758" t="s">
        <v>181</v>
      </c>
      <c r="L2758" t="s">
        <v>3340</v>
      </c>
      <c r="M2758">
        <v>86</v>
      </c>
      <c r="N2758">
        <v>0.16</v>
      </c>
      <c r="O2758" t="s">
        <v>211</v>
      </c>
      <c r="P2758">
        <v>9</v>
      </c>
      <c r="Q2758">
        <v>1</v>
      </c>
      <c r="R2758" t="s">
        <v>3386</v>
      </c>
      <c r="T2758" t="s">
        <v>3402</v>
      </c>
      <c r="V2758" t="s">
        <v>3473</v>
      </c>
    </row>
    <row r="2759" spans="1:22" ht="15" customHeight="1" x14ac:dyDescent="0.2">
      <c r="A2759">
        <v>25</v>
      </c>
      <c r="B2759">
        <v>2026</v>
      </c>
      <c r="C2759" s="21">
        <v>46198</v>
      </c>
      <c r="D2759" t="s">
        <v>135</v>
      </c>
      <c r="E2759" s="27" t="s">
        <v>136</v>
      </c>
      <c r="F2759" t="s">
        <v>21</v>
      </c>
      <c r="G2759">
        <v>1</v>
      </c>
      <c r="H2759" t="s">
        <v>4337</v>
      </c>
      <c r="I2759" t="s">
        <v>3913</v>
      </c>
      <c r="J2759" s="1" t="s">
        <v>3533</v>
      </c>
      <c r="K2759" t="s">
        <v>181</v>
      </c>
      <c r="L2759" t="s">
        <v>3340</v>
      </c>
      <c r="M2759">
        <v>78</v>
      </c>
      <c r="N2759">
        <v>0.16</v>
      </c>
      <c r="O2759" t="s">
        <v>211</v>
      </c>
      <c r="P2759">
        <v>9</v>
      </c>
      <c r="Q2759">
        <v>1</v>
      </c>
      <c r="R2759" t="s">
        <v>3341</v>
      </c>
      <c r="T2759" t="s">
        <v>3402</v>
      </c>
      <c r="V2759" t="s">
        <v>3473</v>
      </c>
    </row>
    <row r="2760" spans="1:22" ht="12.75" customHeight="1" x14ac:dyDescent="0.15">
      <c r="A2760">
        <v>25</v>
      </c>
      <c r="B2760">
        <v>2026</v>
      </c>
      <c r="C2760" s="21">
        <v>46198</v>
      </c>
      <c r="D2760" t="s">
        <v>137</v>
      </c>
      <c r="E2760" t="s">
        <v>138</v>
      </c>
      <c r="F2760" t="s">
        <v>75</v>
      </c>
      <c r="G2760">
        <v>1</v>
      </c>
      <c r="H2760" t="s">
        <v>3845</v>
      </c>
      <c r="I2760" t="s">
        <v>380</v>
      </c>
      <c r="J2760" s="1" t="s">
        <v>3533</v>
      </c>
      <c r="K2760" t="s">
        <v>181</v>
      </c>
      <c r="L2760" t="s">
        <v>3333</v>
      </c>
      <c r="M2760">
        <v>4</v>
      </c>
      <c r="N2760">
        <v>0.13</v>
      </c>
      <c r="O2760" t="s">
        <v>3334</v>
      </c>
      <c r="P2760">
        <v>10.199999999999999</v>
      </c>
      <c r="Q2760">
        <v>1</v>
      </c>
      <c r="R2760" t="s">
        <v>3773</v>
      </c>
      <c r="T2760" t="s">
        <v>3402</v>
      </c>
      <c r="V2760" t="s">
        <v>3472</v>
      </c>
    </row>
    <row r="2761" spans="1:22" ht="12.75" customHeight="1" x14ac:dyDescent="0.15">
      <c r="A2761">
        <v>25</v>
      </c>
      <c r="B2761">
        <v>2026</v>
      </c>
      <c r="C2761" s="21">
        <v>46198</v>
      </c>
      <c r="D2761" t="s">
        <v>137</v>
      </c>
      <c r="E2761" t="s">
        <v>138</v>
      </c>
      <c r="F2761" t="s">
        <v>75</v>
      </c>
      <c r="G2761">
        <v>1</v>
      </c>
      <c r="H2761" t="s">
        <v>3845</v>
      </c>
      <c r="I2761" t="s">
        <v>380</v>
      </c>
      <c r="J2761" s="1" t="s">
        <v>3533</v>
      </c>
      <c r="K2761" t="s">
        <v>181</v>
      </c>
      <c r="L2761" t="s">
        <v>3333</v>
      </c>
      <c r="M2761">
        <v>86</v>
      </c>
      <c r="N2761">
        <v>0.13</v>
      </c>
      <c r="O2761" t="s">
        <v>3334</v>
      </c>
      <c r="P2761">
        <v>10.199999999999999</v>
      </c>
      <c r="Q2761">
        <v>1</v>
      </c>
      <c r="R2761" t="s">
        <v>3386</v>
      </c>
      <c r="T2761" t="s">
        <v>3402</v>
      </c>
      <c r="V2761" t="s">
        <v>3472</v>
      </c>
    </row>
    <row r="2762" spans="1:22" ht="12.75" customHeight="1" x14ac:dyDescent="0.15">
      <c r="A2762">
        <v>25</v>
      </c>
      <c r="B2762">
        <v>2026</v>
      </c>
      <c r="C2762" s="21">
        <v>46198</v>
      </c>
      <c r="D2762" t="s">
        <v>137</v>
      </c>
      <c r="E2762" t="s">
        <v>138</v>
      </c>
      <c r="F2762" t="s">
        <v>75</v>
      </c>
      <c r="G2762">
        <v>1</v>
      </c>
      <c r="H2762" t="s">
        <v>3845</v>
      </c>
      <c r="I2762" t="s">
        <v>380</v>
      </c>
      <c r="J2762" s="1" t="s">
        <v>3533</v>
      </c>
      <c r="K2762" t="s">
        <v>181</v>
      </c>
      <c r="L2762" t="s">
        <v>3340</v>
      </c>
      <c r="M2762">
        <v>78</v>
      </c>
      <c r="N2762">
        <v>0.16</v>
      </c>
      <c r="O2762" t="s">
        <v>211</v>
      </c>
      <c r="P2762">
        <v>9</v>
      </c>
      <c r="Q2762">
        <v>1</v>
      </c>
      <c r="R2762" t="s">
        <v>3341</v>
      </c>
      <c r="T2762" t="s">
        <v>3402</v>
      </c>
      <c r="V2762" t="s">
        <v>3473</v>
      </c>
    </row>
    <row r="2763" spans="1:22" ht="12.75" customHeight="1" x14ac:dyDescent="0.15">
      <c r="A2763">
        <v>25</v>
      </c>
      <c r="B2763">
        <v>2026</v>
      </c>
      <c r="C2763" s="21">
        <v>46198</v>
      </c>
      <c r="D2763" t="s">
        <v>39</v>
      </c>
      <c r="E2763" t="s">
        <v>40</v>
      </c>
      <c r="F2763" t="s">
        <v>21</v>
      </c>
      <c r="G2763">
        <v>1.91</v>
      </c>
      <c r="H2763" t="s">
        <v>3391</v>
      </c>
      <c r="I2763" t="s">
        <v>353</v>
      </c>
      <c r="J2763" s="1" t="s">
        <v>253</v>
      </c>
      <c r="K2763" t="s">
        <v>181</v>
      </c>
      <c r="L2763" t="s">
        <v>3587</v>
      </c>
      <c r="M2763">
        <v>120</v>
      </c>
      <c r="N2763">
        <v>7</v>
      </c>
      <c r="O2763" t="s">
        <v>211</v>
      </c>
      <c r="P2763">
        <v>385</v>
      </c>
      <c r="R2763" t="s">
        <v>3415</v>
      </c>
      <c r="T2763" t="s">
        <v>3402</v>
      </c>
      <c r="V2763" t="s">
        <v>4338</v>
      </c>
    </row>
    <row r="2764" spans="1:22" ht="12.75" customHeight="1" x14ac:dyDescent="0.15">
      <c r="A2764">
        <v>25</v>
      </c>
      <c r="B2764">
        <v>2026</v>
      </c>
      <c r="C2764" s="21">
        <v>46198</v>
      </c>
      <c r="D2764" t="s">
        <v>39</v>
      </c>
      <c r="E2764" t="s">
        <v>40</v>
      </c>
      <c r="F2764" t="s">
        <v>21</v>
      </c>
      <c r="G2764">
        <v>1.91</v>
      </c>
      <c r="H2764" t="s">
        <v>3391</v>
      </c>
      <c r="I2764" t="s">
        <v>353</v>
      </c>
      <c r="J2764" s="1" t="s">
        <v>253</v>
      </c>
      <c r="K2764" t="s">
        <v>181</v>
      </c>
      <c r="L2764" t="s">
        <v>3333</v>
      </c>
      <c r="M2764">
        <v>67</v>
      </c>
      <c r="N2764">
        <v>0.75</v>
      </c>
      <c r="O2764" t="s">
        <v>3334</v>
      </c>
      <c r="P2764">
        <v>61.19</v>
      </c>
      <c r="Q2764">
        <v>6</v>
      </c>
      <c r="R2764" t="s">
        <v>3404</v>
      </c>
      <c r="T2764" t="s">
        <v>3402</v>
      </c>
      <c r="V2764" t="s">
        <v>4215</v>
      </c>
    </row>
    <row r="2765" spans="1:22" ht="12.75" customHeight="1" x14ac:dyDescent="0.15">
      <c r="A2765">
        <v>25</v>
      </c>
      <c r="B2765">
        <v>2026</v>
      </c>
      <c r="C2765" s="21">
        <v>46198</v>
      </c>
      <c r="D2765" t="s">
        <v>39</v>
      </c>
      <c r="E2765" t="s">
        <v>40</v>
      </c>
      <c r="F2765" t="s">
        <v>21</v>
      </c>
      <c r="G2765">
        <v>1.91</v>
      </c>
      <c r="H2765" t="s">
        <v>3391</v>
      </c>
      <c r="I2765" t="s">
        <v>353</v>
      </c>
      <c r="J2765" s="1" t="s">
        <v>253</v>
      </c>
      <c r="K2765" t="s">
        <v>181</v>
      </c>
      <c r="L2765" t="s">
        <v>3333</v>
      </c>
      <c r="M2765">
        <v>19</v>
      </c>
      <c r="N2765">
        <v>0.75</v>
      </c>
      <c r="O2765" t="s">
        <v>3334</v>
      </c>
      <c r="P2765">
        <v>61.19</v>
      </c>
      <c r="Q2765">
        <v>6</v>
      </c>
      <c r="R2765" t="s">
        <v>3403</v>
      </c>
      <c r="T2765" t="s">
        <v>3402</v>
      </c>
      <c r="V2765" t="s">
        <v>4215</v>
      </c>
    </row>
    <row r="2766" spans="1:22" ht="15" customHeight="1" x14ac:dyDescent="0.2">
      <c r="A2766">
        <v>25</v>
      </c>
      <c r="B2766">
        <v>2026</v>
      </c>
      <c r="C2766" s="21">
        <v>46198</v>
      </c>
      <c r="D2766" t="s">
        <v>135</v>
      </c>
      <c r="E2766" s="27" t="s">
        <v>136</v>
      </c>
      <c r="F2766" t="s">
        <v>21</v>
      </c>
      <c r="G2766">
        <v>1</v>
      </c>
      <c r="H2766" t="s">
        <v>3908</v>
      </c>
      <c r="I2766" t="s">
        <v>3909</v>
      </c>
      <c r="J2766" s="1" t="s">
        <v>3389</v>
      </c>
      <c r="K2766" t="s">
        <v>181</v>
      </c>
      <c r="L2766" t="s">
        <v>3333</v>
      </c>
      <c r="M2766">
        <v>67</v>
      </c>
      <c r="N2766">
        <v>0.25</v>
      </c>
      <c r="O2766" t="s">
        <v>3334</v>
      </c>
      <c r="P2766">
        <v>20.399999999999999</v>
      </c>
      <c r="Q2766">
        <v>2</v>
      </c>
      <c r="R2766" t="s">
        <v>3404</v>
      </c>
      <c r="T2766" t="s">
        <v>3402</v>
      </c>
      <c r="V2766" t="s">
        <v>3474</v>
      </c>
    </row>
    <row r="2767" spans="1:22" ht="15" customHeight="1" x14ac:dyDescent="0.2">
      <c r="A2767">
        <v>25</v>
      </c>
      <c r="B2767">
        <v>2026</v>
      </c>
      <c r="C2767" s="21">
        <v>46198</v>
      </c>
      <c r="D2767" t="s">
        <v>135</v>
      </c>
      <c r="E2767" s="27" t="s">
        <v>136</v>
      </c>
      <c r="F2767" t="s">
        <v>21</v>
      </c>
      <c r="G2767">
        <v>1</v>
      </c>
      <c r="H2767" t="s">
        <v>3908</v>
      </c>
      <c r="I2767" t="s">
        <v>3909</v>
      </c>
      <c r="J2767" s="1" t="s">
        <v>3389</v>
      </c>
      <c r="K2767" t="s">
        <v>181</v>
      </c>
      <c r="L2767" t="s">
        <v>3333</v>
      </c>
      <c r="M2767">
        <v>19</v>
      </c>
      <c r="N2767">
        <v>0.25</v>
      </c>
      <c r="O2767" t="s">
        <v>3334</v>
      </c>
      <c r="P2767">
        <v>20.399999999999999</v>
      </c>
      <c r="Q2767">
        <v>2</v>
      </c>
      <c r="R2767" t="s">
        <v>3403</v>
      </c>
      <c r="T2767" t="s">
        <v>3402</v>
      </c>
      <c r="V2767" t="s">
        <v>3474</v>
      </c>
    </row>
    <row r="2768" spans="1:22" ht="12.75" customHeight="1" x14ac:dyDescent="0.15">
      <c r="A2768">
        <v>26</v>
      </c>
      <c r="B2768">
        <v>2026</v>
      </c>
      <c r="C2768" s="21">
        <v>46199</v>
      </c>
      <c r="D2768" t="s">
        <v>96</v>
      </c>
      <c r="E2768" t="s">
        <v>97</v>
      </c>
      <c r="F2768" t="s">
        <v>21</v>
      </c>
      <c r="G2768">
        <v>4.5</v>
      </c>
      <c r="H2768" t="s">
        <v>3408</v>
      </c>
      <c r="I2768" t="s">
        <v>366</v>
      </c>
      <c r="J2768" s="1" t="s">
        <v>215</v>
      </c>
      <c r="K2768" t="s">
        <v>181</v>
      </c>
      <c r="L2768" t="s">
        <v>3340</v>
      </c>
      <c r="M2768">
        <v>62</v>
      </c>
      <c r="N2768">
        <v>1.53</v>
      </c>
      <c r="O2768" t="s">
        <v>211</v>
      </c>
      <c r="P2768">
        <v>84</v>
      </c>
      <c r="R2768" t="s">
        <v>3375</v>
      </c>
      <c r="S2768" t="s">
        <v>4339</v>
      </c>
      <c r="T2768" t="s">
        <v>3337</v>
      </c>
      <c r="V2768" t="s">
        <v>4340</v>
      </c>
    </row>
    <row r="2769" spans="1:27" ht="12.75" customHeight="1" x14ac:dyDescent="0.15">
      <c r="A2769">
        <v>26</v>
      </c>
      <c r="B2769">
        <v>2026</v>
      </c>
      <c r="C2769" s="21">
        <v>46199</v>
      </c>
      <c r="D2769" t="s">
        <v>96</v>
      </c>
      <c r="E2769" t="s">
        <v>97</v>
      </c>
      <c r="F2769" t="s">
        <v>21</v>
      </c>
      <c r="G2769">
        <v>4.5</v>
      </c>
      <c r="H2769" t="s">
        <v>3408</v>
      </c>
      <c r="I2769" t="s">
        <v>366</v>
      </c>
      <c r="J2769" s="1" t="s">
        <v>215</v>
      </c>
      <c r="K2769" t="s">
        <v>181</v>
      </c>
      <c r="L2769" t="s">
        <v>3340</v>
      </c>
      <c r="M2769">
        <v>58</v>
      </c>
      <c r="N2769">
        <v>1.53</v>
      </c>
      <c r="O2769" t="s">
        <v>211</v>
      </c>
      <c r="P2769">
        <v>84</v>
      </c>
      <c r="R2769" t="s">
        <v>3343</v>
      </c>
      <c r="T2769" t="s">
        <v>3337</v>
      </c>
      <c r="V2769" t="s">
        <v>4340</v>
      </c>
    </row>
    <row r="2770" spans="1:27" ht="12.75" customHeight="1" x14ac:dyDescent="0.15">
      <c r="A2770">
        <v>26</v>
      </c>
      <c r="B2770">
        <v>2026</v>
      </c>
      <c r="C2770" s="21">
        <v>46199</v>
      </c>
      <c r="D2770" t="s">
        <v>96</v>
      </c>
      <c r="E2770" t="s">
        <v>97</v>
      </c>
      <c r="F2770" t="s">
        <v>21</v>
      </c>
      <c r="G2770">
        <v>4.5</v>
      </c>
      <c r="H2770" t="s">
        <v>3408</v>
      </c>
      <c r="I2770" t="s">
        <v>366</v>
      </c>
      <c r="J2770" s="1" t="s">
        <v>215</v>
      </c>
      <c r="K2770" t="s">
        <v>181</v>
      </c>
      <c r="L2770" t="s">
        <v>3340</v>
      </c>
      <c r="M2770">
        <v>53</v>
      </c>
      <c r="N2770">
        <v>1.53</v>
      </c>
      <c r="O2770" t="s">
        <v>211</v>
      </c>
      <c r="P2770">
        <v>84</v>
      </c>
      <c r="R2770" t="s">
        <v>3373</v>
      </c>
      <c r="T2770" t="s">
        <v>3337</v>
      </c>
      <c r="V2770" t="s">
        <v>4340</v>
      </c>
    </row>
    <row r="2771" spans="1:27" ht="12.75" customHeight="1" x14ac:dyDescent="0.15">
      <c r="A2771">
        <v>26</v>
      </c>
      <c r="B2771">
        <v>2026</v>
      </c>
      <c r="C2771" s="21">
        <v>46199</v>
      </c>
      <c r="D2771" t="s">
        <v>96</v>
      </c>
      <c r="E2771" t="s">
        <v>97</v>
      </c>
      <c r="F2771" t="s">
        <v>21</v>
      </c>
      <c r="G2771">
        <v>4.5</v>
      </c>
      <c r="H2771" t="s">
        <v>3408</v>
      </c>
      <c r="I2771" t="s">
        <v>366</v>
      </c>
      <c r="J2771" s="1" t="s">
        <v>215</v>
      </c>
      <c r="K2771" t="s">
        <v>181</v>
      </c>
      <c r="L2771" t="s">
        <v>3340</v>
      </c>
      <c r="M2771">
        <v>81</v>
      </c>
      <c r="N2771">
        <v>1.53</v>
      </c>
      <c r="O2771" t="s">
        <v>211</v>
      </c>
      <c r="P2771">
        <v>84</v>
      </c>
      <c r="R2771" t="s">
        <v>3374</v>
      </c>
      <c r="T2771" t="s">
        <v>3337</v>
      </c>
      <c r="V2771" t="s">
        <v>4340</v>
      </c>
    </row>
    <row r="2772" spans="1:27" ht="12.75" customHeight="1" x14ac:dyDescent="0.15">
      <c r="A2772">
        <v>26</v>
      </c>
      <c r="B2772">
        <v>2026</v>
      </c>
      <c r="C2772" s="21">
        <v>46199</v>
      </c>
      <c r="D2772" t="s">
        <v>96</v>
      </c>
      <c r="E2772" t="s">
        <v>97</v>
      </c>
      <c r="F2772" t="s">
        <v>21</v>
      </c>
      <c r="G2772">
        <v>4.5</v>
      </c>
      <c r="H2772" t="s">
        <v>3408</v>
      </c>
      <c r="I2772" t="s">
        <v>366</v>
      </c>
      <c r="J2772" s="1" t="s">
        <v>215</v>
      </c>
      <c r="K2772" t="s">
        <v>181</v>
      </c>
      <c r="L2772" t="s">
        <v>3340</v>
      </c>
      <c r="M2772">
        <v>45</v>
      </c>
      <c r="N2772">
        <v>1.53</v>
      </c>
      <c r="O2772" t="s">
        <v>211</v>
      </c>
      <c r="P2772">
        <v>84</v>
      </c>
      <c r="R2772" t="s">
        <v>3377</v>
      </c>
      <c r="T2772" t="s">
        <v>3337</v>
      </c>
      <c r="V2772" t="s">
        <v>4340</v>
      </c>
    </row>
    <row r="2773" spans="1:27" ht="15" customHeight="1" x14ac:dyDescent="0.2">
      <c r="A2773">
        <v>26</v>
      </c>
      <c r="B2773">
        <v>2026</v>
      </c>
      <c r="C2773" s="21">
        <v>46199</v>
      </c>
      <c r="D2773" t="s">
        <v>135</v>
      </c>
      <c r="E2773" s="27" t="s">
        <v>136</v>
      </c>
      <c r="F2773" t="s">
        <v>21</v>
      </c>
      <c r="G2773">
        <v>1</v>
      </c>
      <c r="H2773" t="s">
        <v>3495</v>
      </c>
      <c r="I2773" t="s">
        <v>29</v>
      </c>
      <c r="J2773" s="1" t="s">
        <v>30</v>
      </c>
      <c r="K2773" t="s">
        <v>181</v>
      </c>
      <c r="L2773" t="s">
        <v>3340</v>
      </c>
      <c r="M2773">
        <v>62</v>
      </c>
      <c r="N2773">
        <v>0.49</v>
      </c>
      <c r="O2773" t="s">
        <v>211</v>
      </c>
      <c r="P2773">
        <v>27</v>
      </c>
      <c r="Q2773">
        <v>3</v>
      </c>
      <c r="R2773" t="s">
        <v>3375</v>
      </c>
      <c r="T2773" t="s">
        <v>3337</v>
      </c>
      <c r="V2773" t="s">
        <v>273</v>
      </c>
    </row>
    <row r="2774" spans="1:27" ht="15" customHeight="1" x14ac:dyDescent="0.2">
      <c r="A2774">
        <v>26</v>
      </c>
      <c r="B2774">
        <v>2026</v>
      </c>
      <c r="C2774" s="21">
        <v>46199</v>
      </c>
      <c r="D2774" t="s">
        <v>135</v>
      </c>
      <c r="E2774" s="27" t="s">
        <v>136</v>
      </c>
      <c r="F2774" t="s">
        <v>21</v>
      </c>
      <c r="G2774">
        <v>1</v>
      </c>
      <c r="H2774" t="s">
        <v>3495</v>
      </c>
      <c r="I2774" t="s">
        <v>29</v>
      </c>
      <c r="J2774" s="1" t="s">
        <v>30</v>
      </c>
      <c r="K2774" t="s">
        <v>181</v>
      </c>
      <c r="L2774" t="s">
        <v>3340</v>
      </c>
      <c r="M2774">
        <v>58</v>
      </c>
      <c r="N2774">
        <v>0.49</v>
      </c>
      <c r="O2774" t="s">
        <v>211</v>
      </c>
      <c r="P2774">
        <v>27</v>
      </c>
      <c r="Q2774">
        <v>3</v>
      </c>
      <c r="R2774" t="s">
        <v>3343</v>
      </c>
      <c r="T2774" t="s">
        <v>3337</v>
      </c>
      <c r="V2774" t="s">
        <v>273</v>
      </c>
    </row>
    <row r="2775" spans="1:27" ht="15" customHeight="1" x14ac:dyDescent="0.2">
      <c r="A2775">
        <v>26</v>
      </c>
      <c r="B2775">
        <v>2026</v>
      </c>
      <c r="C2775" s="21">
        <v>46199</v>
      </c>
      <c r="D2775" t="s">
        <v>135</v>
      </c>
      <c r="E2775" s="27" t="s">
        <v>136</v>
      </c>
      <c r="F2775" t="s">
        <v>21</v>
      </c>
      <c r="G2775">
        <v>1</v>
      </c>
      <c r="H2775" t="s">
        <v>3495</v>
      </c>
      <c r="I2775" t="s">
        <v>29</v>
      </c>
      <c r="J2775" s="1" t="s">
        <v>30</v>
      </c>
      <c r="K2775" t="s">
        <v>181</v>
      </c>
      <c r="L2775" t="s">
        <v>3340</v>
      </c>
      <c r="M2775">
        <v>53</v>
      </c>
      <c r="N2775">
        <v>0.49</v>
      </c>
      <c r="O2775" t="s">
        <v>211</v>
      </c>
      <c r="P2775">
        <v>27</v>
      </c>
      <c r="Q2775">
        <v>3</v>
      </c>
      <c r="R2775" t="s">
        <v>3373</v>
      </c>
      <c r="T2775" t="s">
        <v>3337</v>
      </c>
      <c r="V2775" t="s">
        <v>273</v>
      </c>
    </row>
    <row r="2776" spans="1:27" ht="15" customHeight="1" x14ac:dyDescent="0.2">
      <c r="A2776">
        <v>26</v>
      </c>
      <c r="B2776">
        <v>2026</v>
      </c>
      <c r="C2776" s="21">
        <v>46199</v>
      </c>
      <c r="D2776" t="s">
        <v>135</v>
      </c>
      <c r="E2776" s="27" t="s">
        <v>136</v>
      </c>
      <c r="F2776" t="s">
        <v>21</v>
      </c>
      <c r="G2776">
        <v>1</v>
      </c>
      <c r="H2776" t="s">
        <v>3495</v>
      </c>
      <c r="I2776" t="s">
        <v>29</v>
      </c>
      <c r="J2776" s="1" t="s">
        <v>30</v>
      </c>
      <c r="K2776" t="s">
        <v>181</v>
      </c>
      <c r="L2776" t="s">
        <v>3340</v>
      </c>
      <c r="M2776">
        <v>81</v>
      </c>
      <c r="N2776">
        <v>0.49</v>
      </c>
      <c r="O2776" t="s">
        <v>211</v>
      </c>
      <c r="P2776">
        <v>27</v>
      </c>
      <c r="Q2776">
        <v>3</v>
      </c>
      <c r="R2776" t="s">
        <v>3374</v>
      </c>
      <c r="T2776" t="s">
        <v>3337</v>
      </c>
      <c r="V2776" t="s">
        <v>273</v>
      </c>
      <c r="AA2776" s="28"/>
    </row>
    <row r="2777" spans="1:27" ht="15" customHeight="1" x14ac:dyDescent="0.2">
      <c r="A2777">
        <v>26</v>
      </c>
      <c r="B2777">
        <v>2026</v>
      </c>
      <c r="C2777" s="21">
        <v>46199</v>
      </c>
      <c r="D2777" t="s">
        <v>135</v>
      </c>
      <c r="E2777" s="27" t="s">
        <v>136</v>
      </c>
      <c r="F2777" t="s">
        <v>21</v>
      </c>
      <c r="G2777">
        <v>1</v>
      </c>
      <c r="H2777" t="s">
        <v>3495</v>
      </c>
      <c r="I2777" t="s">
        <v>29</v>
      </c>
      <c r="J2777" s="1" t="s">
        <v>30</v>
      </c>
      <c r="K2777" t="s">
        <v>181</v>
      </c>
      <c r="L2777" t="s">
        <v>3340</v>
      </c>
      <c r="M2777">
        <v>45</v>
      </c>
      <c r="N2777">
        <v>0.49</v>
      </c>
      <c r="O2777" t="s">
        <v>211</v>
      </c>
      <c r="P2777">
        <v>27</v>
      </c>
      <c r="Q2777">
        <v>3</v>
      </c>
      <c r="R2777" t="s">
        <v>3377</v>
      </c>
      <c r="T2777" t="s">
        <v>3337</v>
      </c>
      <c r="V2777" t="s">
        <v>273</v>
      </c>
      <c r="AA2777" s="28"/>
    </row>
    <row r="2778" spans="1:27" ht="12.75" customHeight="1" x14ac:dyDescent="0.15">
      <c r="A2778">
        <v>26</v>
      </c>
      <c r="B2778">
        <v>2026</v>
      </c>
      <c r="C2778" s="21">
        <v>46199</v>
      </c>
      <c r="D2778" t="s">
        <v>107</v>
      </c>
      <c r="E2778" t="s">
        <v>108</v>
      </c>
      <c r="F2778" t="s">
        <v>21</v>
      </c>
      <c r="G2778">
        <v>4.5</v>
      </c>
      <c r="H2778" t="s">
        <v>3391</v>
      </c>
      <c r="I2778" t="s">
        <v>353</v>
      </c>
      <c r="J2778" s="1" t="s">
        <v>253</v>
      </c>
      <c r="K2778" t="s">
        <v>181</v>
      </c>
      <c r="L2778" t="s">
        <v>3340</v>
      </c>
      <c r="M2778">
        <v>25</v>
      </c>
      <c r="N2778">
        <v>1</v>
      </c>
      <c r="O2778" t="s">
        <v>211</v>
      </c>
      <c r="P2778">
        <v>55</v>
      </c>
      <c r="Q2778">
        <v>6</v>
      </c>
      <c r="R2778" t="s">
        <v>3413</v>
      </c>
      <c r="T2778" t="s">
        <v>3337</v>
      </c>
      <c r="V2778" t="s">
        <v>365</v>
      </c>
      <c r="AA2778" t="s">
        <v>273</v>
      </c>
    </row>
    <row r="2779" spans="1:27" ht="12.75" customHeight="1" x14ac:dyDescent="0.15">
      <c r="A2779">
        <v>26</v>
      </c>
      <c r="B2779">
        <v>2026</v>
      </c>
      <c r="C2779" s="21">
        <v>46199</v>
      </c>
      <c r="D2779" t="s">
        <v>107</v>
      </c>
      <c r="E2779" t="s">
        <v>108</v>
      </c>
      <c r="F2779" t="s">
        <v>21</v>
      </c>
      <c r="G2779">
        <v>4.5</v>
      </c>
      <c r="H2779" t="s">
        <v>3391</v>
      </c>
      <c r="I2779" t="s">
        <v>353</v>
      </c>
      <c r="J2779" s="1" t="s">
        <v>253</v>
      </c>
      <c r="K2779" t="s">
        <v>181</v>
      </c>
      <c r="L2779" t="s">
        <v>3333</v>
      </c>
      <c r="M2779">
        <v>2</v>
      </c>
      <c r="N2779">
        <v>0.75</v>
      </c>
      <c r="O2779" t="s">
        <v>3440</v>
      </c>
      <c r="P2779">
        <v>67.87</v>
      </c>
      <c r="Q2779">
        <v>6</v>
      </c>
      <c r="R2779" t="s">
        <v>3424</v>
      </c>
      <c r="T2779" t="s">
        <v>3337</v>
      </c>
      <c r="V2779" t="s">
        <v>4341</v>
      </c>
      <c r="AA2779" t="s">
        <v>273</v>
      </c>
    </row>
    <row r="2780" spans="1:27" ht="15" customHeight="1" x14ac:dyDescent="0.2">
      <c r="A2780">
        <v>26</v>
      </c>
      <c r="B2780">
        <v>2026</v>
      </c>
      <c r="C2780" s="21">
        <v>46199</v>
      </c>
      <c r="D2780" t="s">
        <v>135</v>
      </c>
      <c r="E2780" s="27" t="s">
        <v>136</v>
      </c>
      <c r="F2780" t="s">
        <v>21</v>
      </c>
      <c r="G2780">
        <v>1</v>
      </c>
      <c r="H2780" t="s">
        <v>3495</v>
      </c>
      <c r="I2780" t="s">
        <v>29</v>
      </c>
      <c r="J2780" s="1" t="s">
        <v>30</v>
      </c>
      <c r="K2780" t="s">
        <v>181</v>
      </c>
      <c r="L2780" t="s">
        <v>3333</v>
      </c>
      <c r="M2780">
        <v>2</v>
      </c>
      <c r="N2780">
        <v>0.25</v>
      </c>
      <c r="O2780" t="s">
        <v>3440</v>
      </c>
      <c r="P2780">
        <v>22.62</v>
      </c>
      <c r="Q2780">
        <v>2</v>
      </c>
      <c r="R2780" t="s">
        <v>3424</v>
      </c>
      <c r="T2780" t="s">
        <v>3337</v>
      </c>
      <c r="V2780" t="s">
        <v>3630</v>
      </c>
      <c r="AA2780" s="28"/>
    </row>
    <row r="2781" spans="1:27" ht="15" customHeight="1" x14ac:dyDescent="0.2">
      <c r="A2781">
        <v>26</v>
      </c>
      <c r="B2781">
        <v>2026</v>
      </c>
      <c r="C2781" s="21">
        <v>46199</v>
      </c>
      <c r="D2781" t="s">
        <v>135</v>
      </c>
      <c r="E2781" s="27" t="s">
        <v>136</v>
      </c>
      <c r="F2781" t="s">
        <v>21</v>
      </c>
      <c r="G2781">
        <v>1</v>
      </c>
      <c r="H2781" t="s">
        <v>3495</v>
      </c>
      <c r="I2781" t="s">
        <v>29</v>
      </c>
      <c r="J2781" s="1" t="s">
        <v>30</v>
      </c>
      <c r="K2781" t="s">
        <v>181</v>
      </c>
      <c r="L2781" t="s">
        <v>3340</v>
      </c>
      <c r="M2781">
        <v>2</v>
      </c>
      <c r="N2781">
        <v>0.16</v>
      </c>
      <c r="O2781" t="s">
        <v>211</v>
      </c>
      <c r="P2781">
        <v>9</v>
      </c>
      <c r="Q2781">
        <v>1</v>
      </c>
      <c r="R2781" t="s">
        <v>3424</v>
      </c>
      <c r="T2781" t="s">
        <v>3337</v>
      </c>
      <c r="V2781" t="s">
        <v>3473</v>
      </c>
      <c r="AA2781" s="28"/>
    </row>
    <row r="2782" spans="1:27" ht="12.75" customHeight="1" x14ac:dyDescent="0.15">
      <c r="A2782">
        <v>26</v>
      </c>
      <c r="B2782">
        <v>2026</v>
      </c>
      <c r="C2782" s="21">
        <v>46199</v>
      </c>
      <c r="D2782" t="s">
        <v>115</v>
      </c>
      <c r="E2782" t="s">
        <v>116</v>
      </c>
      <c r="F2782" t="s">
        <v>21</v>
      </c>
      <c r="G2782">
        <v>2</v>
      </c>
      <c r="H2782" t="s">
        <v>3378</v>
      </c>
      <c r="I2782" t="s">
        <v>214</v>
      </c>
      <c r="J2782" s="1" t="s">
        <v>215</v>
      </c>
      <c r="K2782" t="s">
        <v>181</v>
      </c>
      <c r="L2782" t="s">
        <v>3333</v>
      </c>
      <c r="M2782">
        <v>1</v>
      </c>
      <c r="N2782">
        <v>0.63</v>
      </c>
      <c r="O2782" t="s">
        <v>3358</v>
      </c>
      <c r="P2782">
        <v>44.91</v>
      </c>
      <c r="Q2782">
        <v>5</v>
      </c>
      <c r="R2782" t="s">
        <v>3359</v>
      </c>
      <c r="T2782" t="s">
        <v>3337</v>
      </c>
      <c r="V2782" t="s">
        <v>3494</v>
      </c>
      <c r="AA2782" t="s">
        <v>273</v>
      </c>
    </row>
    <row r="2783" spans="1:27" ht="12.75" customHeight="1" x14ac:dyDescent="0.15">
      <c r="A2783">
        <v>26</v>
      </c>
      <c r="B2783">
        <v>2026</v>
      </c>
      <c r="C2783" s="21">
        <v>46199</v>
      </c>
      <c r="D2783" t="s">
        <v>115</v>
      </c>
      <c r="E2783" t="s">
        <v>116</v>
      </c>
      <c r="F2783" t="s">
        <v>21</v>
      </c>
      <c r="G2783">
        <v>2</v>
      </c>
      <c r="H2783" t="s">
        <v>3378</v>
      </c>
      <c r="I2783" t="s">
        <v>214</v>
      </c>
      <c r="J2783" s="1" t="s">
        <v>215</v>
      </c>
      <c r="K2783" t="s">
        <v>181</v>
      </c>
      <c r="L2783" t="s">
        <v>3333</v>
      </c>
      <c r="M2783">
        <v>6</v>
      </c>
      <c r="N2783">
        <v>0.63</v>
      </c>
      <c r="O2783" t="s">
        <v>3334</v>
      </c>
      <c r="P2783">
        <v>50.99</v>
      </c>
      <c r="Q2783">
        <v>5</v>
      </c>
      <c r="R2783" t="s">
        <v>3335</v>
      </c>
      <c r="T2783" t="s">
        <v>3337</v>
      </c>
      <c r="V2783" t="s">
        <v>3500</v>
      </c>
      <c r="AA2783" t="s">
        <v>3630</v>
      </c>
    </row>
    <row r="2784" spans="1:27" ht="12.75" customHeight="1" x14ac:dyDescent="0.15">
      <c r="A2784">
        <v>26</v>
      </c>
      <c r="B2784">
        <v>2026</v>
      </c>
      <c r="C2784" s="21">
        <v>46199</v>
      </c>
      <c r="D2784" t="s">
        <v>84</v>
      </c>
      <c r="E2784" t="s">
        <v>85</v>
      </c>
      <c r="F2784" t="s">
        <v>21</v>
      </c>
      <c r="G2784">
        <v>2</v>
      </c>
      <c r="H2784" t="s">
        <v>4240</v>
      </c>
      <c r="I2784" t="s">
        <v>3954</v>
      </c>
      <c r="J2784" s="1" t="s">
        <v>253</v>
      </c>
      <c r="K2784" t="s">
        <v>181</v>
      </c>
      <c r="L2784" t="s">
        <v>3333</v>
      </c>
      <c r="M2784">
        <v>1</v>
      </c>
      <c r="N2784">
        <v>0.13</v>
      </c>
      <c r="O2784" t="s">
        <v>3358</v>
      </c>
      <c r="P2784">
        <v>8.98</v>
      </c>
      <c r="Q2784">
        <v>1</v>
      </c>
      <c r="R2784" t="s">
        <v>3359</v>
      </c>
      <c r="T2784" t="s">
        <v>3337</v>
      </c>
      <c r="V2784" t="s">
        <v>4342</v>
      </c>
      <c r="AA2784" t="s">
        <v>3473</v>
      </c>
    </row>
    <row r="2785" spans="1:27" ht="12.75" customHeight="1" x14ac:dyDescent="0.15">
      <c r="A2785">
        <v>26</v>
      </c>
      <c r="B2785">
        <v>2026</v>
      </c>
      <c r="C2785" s="21">
        <v>46199</v>
      </c>
      <c r="D2785" t="s">
        <v>84</v>
      </c>
      <c r="E2785" t="s">
        <v>85</v>
      </c>
      <c r="F2785" t="s">
        <v>21</v>
      </c>
      <c r="G2785">
        <v>2</v>
      </c>
      <c r="H2785" t="s">
        <v>4240</v>
      </c>
      <c r="I2785" t="s">
        <v>3954</v>
      </c>
      <c r="J2785" s="1" t="s">
        <v>253</v>
      </c>
      <c r="K2785" t="s">
        <v>181</v>
      </c>
      <c r="L2785" t="s">
        <v>3333</v>
      </c>
      <c r="M2785">
        <v>6</v>
      </c>
      <c r="N2785">
        <v>0.13</v>
      </c>
      <c r="O2785" t="s">
        <v>3334</v>
      </c>
      <c r="P2785">
        <v>10.199999999999999</v>
      </c>
      <c r="Q2785">
        <v>1</v>
      </c>
      <c r="R2785" t="s">
        <v>3335</v>
      </c>
      <c r="T2785" t="s">
        <v>3337</v>
      </c>
      <c r="V2785" t="s">
        <v>3463</v>
      </c>
      <c r="AA2785" t="s">
        <v>3450</v>
      </c>
    </row>
    <row r="2786" spans="1:27" ht="15" customHeight="1" x14ac:dyDescent="0.2">
      <c r="A2786">
        <v>26</v>
      </c>
      <c r="B2786">
        <v>2026</v>
      </c>
      <c r="C2786" s="21">
        <v>46199</v>
      </c>
      <c r="D2786" t="s">
        <v>135</v>
      </c>
      <c r="E2786" s="27" t="s">
        <v>136</v>
      </c>
      <c r="F2786" t="s">
        <v>21</v>
      </c>
      <c r="G2786">
        <v>1</v>
      </c>
      <c r="H2786" t="s">
        <v>3495</v>
      </c>
      <c r="I2786" t="s">
        <v>29</v>
      </c>
      <c r="J2786" s="1" t="s">
        <v>30</v>
      </c>
      <c r="K2786" t="s">
        <v>181</v>
      </c>
      <c r="L2786" t="s">
        <v>3333</v>
      </c>
      <c r="M2786">
        <v>1</v>
      </c>
      <c r="N2786">
        <v>0.25</v>
      </c>
      <c r="O2786" t="s">
        <v>3358</v>
      </c>
      <c r="P2786">
        <v>17.97</v>
      </c>
      <c r="Q2786">
        <v>2</v>
      </c>
      <c r="R2786" t="s">
        <v>3359</v>
      </c>
      <c r="T2786" t="s">
        <v>3337</v>
      </c>
      <c r="V2786" t="s">
        <v>3450</v>
      </c>
      <c r="AA2786" s="28"/>
    </row>
    <row r="2787" spans="1:27" ht="15" customHeight="1" x14ac:dyDescent="0.2">
      <c r="A2787">
        <v>26</v>
      </c>
      <c r="B2787">
        <v>2026</v>
      </c>
      <c r="C2787" s="21">
        <v>46199</v>
      </c>
      <c r="D2787" t="s">
        <v>135</v>
      </c>
      <c r="E2787" s="27" t="s">
        <v>136</v>
      </c>
      <c r="F2787" t="s">
        <v>21</v>
      </c>
      <c r="G2787">
        <v>1</v>
      </c>
      <c r="H2787" t="s">
        <v>3495</v>
      </c>
      <c r="I2787" t="s">
        <v>29</v>
      </c>
      <c r="J2787" s="1" t="s">
        <v>30</v>
      </c>
      <c r="K2787" t="s">
        <v>181</v>
      </c>
      <c r="L2787" t="s">
        <v>3333</v>
      </c>
      <c r="M2787">
        <v>6</v>
      </c>
      <c r="N2787">
        <v>0.25</v>
      </c>
      <c r="O2787" t="s">
        <v>3334</v>
      </c>
      <c r="P2787">
        <v>20.399999999999999</v>
      </c>
      <c r="Q2787">
        <v>2</v>
      </c>
      <c r="R2787" t="s">
        <v>3335</v>
      </c>
      <c r="T2787" t="s">
        <v>3337</v>
      </c>
      <c r="V2787" t="s">
        <v>3474</v>
      </c>
      <c r="AA2787" s="28"/>
    </row>
    <row r="2788" spans="1:27" ht="15" customHeight="1" x14ac:dyDescent="0.2">
      <c r="A2788">
        <v>26</v>
      </c>
      <c r="B2788">
        <v>2026</v>
      </c>
      <c r="C2788" s="21">
        <v>46199</v>
      </c>
      <c r="D2788" t="s">
        <v>135</v>
      </c>
      <c r="E2788" s="27" t="s">
        <v>136</v>
      </c>
      <c r="F2788" t="s">
        <v>21</v>
      </c>
      <c r="G2788">
        <v>1</v>
      </c>
      <c r="H2788" t="s">
        <v>3495</v>
      </c>
      <c r="I2788" t="s">
        <v>29</v>
      </c>
      <c r="J2788" s="1" t="s">
        <v>30</v>
      </c>
      <c r="K2788" t="s">
        <v>181</v>
      </c>
      <c r="L2788" t="s">
        <v>3340</v>
      </c>
      <c r="M2788">
        <v>1</v>
      </c>
      <c r="N2788">
        <v>0.16</v>
      </c>
      <c r="O2788" t="s">
        <v>211</v>
      </c>
      <c r="P2788">
        <v>9</v>
      </c>
      <c r="Q2788">
        <v>1</v>
      </c>
      <c r="R2788" t="s">
        <v>3359</v>
      </c>
      <c r="T2788" t="s">
        <v>3337</v>
      </c>
      <c r="V2788" t="s">
        <v>3473</v>
      </c>
      <c r="AA2788" s="28"/>
    </row>
    <row r="2789" spans="1:27" ht="15" customHeight="1" x14ac:dyDescent="0.2">
      <c r="A2789">
        <v>26</v>
      </c>
      <c r="B2789">
        <v>2026</v>
      </c>
      <c r="C2789" s="21">
        <v>46199</v>
      </c>
      <c r="D2789" t="s">
        <v>135</v>
      </c>
      <c r="E2789" s="27" t="s">
        <v>136</v>
      </c>
      <c r="F2789" t="s">
        <v>21</v>
      </c>
      <c r="G2789">
        <v>1</v>
      </c>
      <c r="H2789" t="s">
        <v>3495</v>
      </c>
      <c r="I2789" t="s">
        <v>29</v>
      </c>
      <c r="J2789" s="1" t="s">
        <v>30</v>
      </c>
      <c r="K2789" t="s">
        <v>181</v>
      </c>
      <c r="L2789" t="s">
        <v>3340</v>
      </c>
      <c r="M2789">
        <v>6</v>
      </c>
      <c r="N2789">
        <v>0.16</v>
      </c>
      <c r="O2789" t="s">
        <v>211</v>
      </c>
      <c r="P2789">
        <v>9</v>
      </c>
      <c r="Q2789">
        <v>1</v>
      </c>
      <c r="R2789" t="s">
        <v>3335</v>
      </c>
      <c r="T2789" t="s">
        <v>3337</v>
      </c>
      <c r="V2789" t="s">
        <v>3473</v>
      </c>
      <c r="AA2789" s="28"/>
    </row>
    <row r="2790" spans="1:27" ht="15" customHeight="1" x14ac:dyDescent="0.2">
      <c r="A2790">
        <v>26</v>
      </c>
      <c r="B2790">
        <v>2026</v>
      </c>
      <c r="C2790" s="21">
        <v>46199</v>
      </c>
      <c r="D2790" t="s">
        <v>135</v>
      </c>
      <c r="E2790" s="27" t="s">
        <v>136</v>
      </c>
      <c r="F2790" t="s">
        <v>21</v>
      </c>
      <c r="G2790">
        <v>1</v>
      </c>
      <c r="H2790" t="s">
        <v>3495</v>
      </c>
      <c r="I2790" t="s">
        <v>29</v>
      </c>
      <c r="J2790" s="1" t="s">
        <v>30</v>
      </c>
      <c r="K2790" t="s">
        <v>181</v>
      </c>
      <c r="L2790" t="s">
        <v>3340</v>
      </c>
      <c r="M2790">
        <v>72</v>
      </c>
      <c r="N2790">
        <v>0.18</v>
      </c>
      <c r="O2790" t="s">
        <v>211</v>
      </c>
      <c r="P2790">
        <v>10</v>
      </c>
      <c r="Q2790">
        <v>1</v>
      </c>
      <c r="R2790" t="s">
        <v>3488</v>
      </c>
      <c r="T2790" t="s">
        <v>3337</v>
      </c>
      <c r="V2790" t="s">
        <v>3711</v>
      </c>
      <c r="AA2790" s="29"/>
    </row>
    <row r="2791" spans="1:27" ht="12.75" customHeight="1" x14ac:dyDescent="0.15">
      <c r="A2791">
        <v>26</v>
      </c>
      <c r="B2791">
        <v>2026</v>
      </c>
      <c r="C2791" s="21">
        <v>46199</v>
      </c>
      <c r="D2791" t="s">
        <v>137</v>
      </c>
      <c r="E2791" t="s">
        <v>138</v>
      </c>
      <c r="F2791" t="s">
        <v>75</v>
      </c>
      <c r="G2791">
        <v>1</v>
      </c>
      <c r="H2791" t="s">
        <v>3845</v>
      </c>
      <c r="I2791" t="s">
        <v>380</v>
      </c>
      <c r="J2791" s="1" t="s">
        <v>3533</v>
      </c>
      <c r="K2791" t="s">
        <v>181</v>
      </c>
      <c r="L2791" t="s">
        <v>3333</v>
      </c>
      <c r="M2791">
        <v>4</v>
      </c>
      <c r="N2791">
        <v>0.19</v>
      </c>
      <c r="O2791" t="s">
        <v>3334</v>
      </c>
      <c r="P2791">
        <v>15.3</v>
      </c>
      <c r="Q2791">
        <v>1.5</v>
      </c>
      <c r="R2791" t="s">
        <v>3773</v>
      </c>
      <c r="T2791" t="s">
        <v>3402</v>
      </c>
      <c r="V2791" t="s">
        <v>3475</v>
      </c>
      <c r="AA2791" t="s">
        <v>3474</v>
      </c>
    </row>
    <row r="2792" spans="1:27" ht="12.75" customHeight="1" x14ac:dyDescent="0.15">
      <c r="A2792">
        <v>26</v>
      </c>
      <c r="B2792">
        <v>2026</v>
      </c>
      <c r="C2792" s="21">
        <v>46199</v>
      </c>
      <c r="D2792" t="s">
        <v>137</v>
      </c>
      <c r="E2792" t="s">
        <v>138</v>
      </c>
      <c r="F2792" t="s">
        <v>75</v>
      </c>
      <c r="G2792">
        <v>1</v>
      </c>
      <c r="H2792" t="s">
        <v>3845</v>
      </c>
      <c r="I2792" t="s">
        <v>380</v>
      </c>
      <c r="J2792" s="1" t="s">
        <v>3533</v>
      </c>
      <c r="K2792" t="s">
        <v>181</v>
      </c>
      <c r="L2792" t="s">
        <v>3333</v>
      </c>
      <c r="M2792">
        <v>86</v>
      </c>
      <c r="N2792">
        <v>0.19</v>
      </c>
      <c r="O2792" t="s">
        <v>3334</v>
      </c>
      <c r="P2792">
        <v>15.3</v>
      </c>
      <c r="Q2792">
        <v>1.5</v>
      </c>
      <c r="R2792" t="s">
        <v>3386</v>
      </c>
      <c r="T2792" t="s">
        <v>3402</v>
      </c>
      <c r="V2792" t="s">
        <v>3475</v>
      </c>
      <c r="AA2792" t="s">
        <v>3473</v>
      </c>
    </row>
    <row r="2793" spans="1:27" ht="12.75" customHeight="1" x14ac:dyDescent="0.15">
      <c r="A2793">
        <v>26</v>
      </c>
      <c r="B2793">
        <v>2026</v>
      </c>
      <c r="C2793" s="21">
        <v>46199</v>
      </c>
      <c r="D2793" t="s">
        <v>137</v>
      </c>
      <c r="E2793" t="s">
        <v>138</v>
      </c>
      <c r="F2793" t="s">
        <v>75</v>
      </c>
      <c r="G2793">
        <v>1</v>
      </c>
      <c r="H2793" t="s">
        <v>3845</v>
      </c>
      <c r="I2793" t="s">
        <v>380</v>
      </c>
      <c r="J2793" s="1" t="s">
        <v>3533</v>
      </c>
      <c r="K2793" t="s">
        <v>181</v>
      </c>
      <c r="L2793" t="s">
        <v>3340</v>
      </c>
      <c r="M2793">
        <v>78</v>
      </c>
      <c r="N2793">
        <v>0.25</v>
      </c>
      <c r="O2793" t="s">
        <v>211</v>
      </c>
      <c r="P2793">
        <v>13.5</v>
      </c>
      <c r="Q2793">
        <v>1.5</v>
      </c>
      <c r="R2793" t="s">
        <v>3341</v>
      </c>
      <c r="T2793" t="s">
        <v>3402</v>
      </c>
      <c r="V2793" t="s">
        <v>3476</v>
      </c>
      <c r="AA2793" t="s">
        <v>3473</v>
      </c>
    </row>
    <row r="2794" spans="1:27" ht="15" customHeight="1" x14ac:dyDescent="0.2">
      <c r="A2794">
        <v>26</v>
      </c>
      <c r="B2794">
        <v>2026</v>
      </c>
      <c r="C2794" s="21">
        <v>46199</v>
      </c>
      <c r="D2794" t="s">
        <v>135</v>
      </c>
      <c r="E2794" s="27" t="s">
        <v>136</v>
      </c>
      <c r="F2794" t="s">
        <v>21</v>
      </c>
      <c r="G2794">
        <v>1</v>
      </c>
      <c r="H2794" t="s">
        <v>4343</v>
      </c>
      <c r="I2794" t="s">
        <v>3655</v>
      </c>
      <c r="J2794" s="1" t="s">
        <v>3668</v>
      </c>
      <c r="K2794" t="s">
        <v>181</v>
      </c>
      <c r="L2794" t="s">
        <v>3333</v>
      </c>
      <c r="M2794">
        <v>4</v>
      </c>
      <c r="N2794">
        <v>0.25</v>
      </c>
      <c r="O2794" t="s">
        <v>3334</v>
      </c>
      <c r="P2794">
        <v>20.399999999999999</v>
      </c>
      <c r="Q2794">
        <v>2</v>
      </c>
      <c r="R2794" t="s">
        <v>3773</v>
      </c>
      <c r="T2794" t="s">
        <v>3402</v>
      </c>
      <c r="V2794" t="s">
        <v>3474</v>
      </c>
    </row>
    <row r="2795" spans="1:27" ht="15" customHeight="1" x14ac:dyDescent="0.2">
      <c r="A2795">
        <v>26</v>
      </c>
      <c r="B2795">
        <v>2026</v>
      </c>
      <c r="C2795" s="21">
        <v>46199</v>
      </c>
      <c r="D2795" t="s">
        <v>135</v>
      </c>
      <c r="E2795" s="27" t="s">
        <v>136</v>
      </c>
      <c r="F2795" t="s">
        <v>21</v>
      </c>
      <c r="G2795">
        <v>1</v>
      </c>
      <c r="H2795" t="s">
        <v>4241</v>
      </c>
      <c r="I2795" t="s">
        <v>4242</v>
      </c>
      <c r="J2795" s="1" t="s">
        <v>3668</v>
      </c>
      <c r="K2795" t="s">
        <v>181</v>
      </c>
      <c r="L2795" t="s">
        <v>3333</v>
      </c>
      <c r="M2795">
        <v>86</v>
      </c>
      <c r="N2795">
        <v>0.13</v>
      </c>
      <c r="O2795" t="s">
        <v>3334</v>
      </c>
      <c r="P2795">
        <v>10.199999999999999</v>
      </c>
      <c r="Q2795">
        <v>1</v>
      </c>
      <c r="R2795" t="s">
        <v>3386</v>
      </c>
      <c r="T2795" t="s">
        <v>3402</v>
      </c>
      <c r="V2795" t="s">
        <v>3472</v>
      </c>
    </row>
    <row r="2796" spans="1:27" ht="15" customHeight="1" x14ac:dyDescent="0.2">
      <c r="A2796">
        <v>26</v>
      </c>
      <c r="B2796">
        <v>2026</v>
      </c>
      <c r="C2796" s="21">
        <v>46199</v>
      </c>
      <c r="D2796" t="s">
        <v>135</v>
      </c>
      <c r="E2796" s="27" t="s">
        <v>136</v>
      </c>
      <c r="F2796" t="s">
        <v>21</v>
      </c>
      <c r="G2796">
        <v>1</v>
      </c>
      <c r="H2796" t="s">
        <v>4241</v>
      </c>
      <c r="I2796" t="s">
        <v>4242</v>
      </c>
      <c r="J2796" s="1" t="s">
        <v>3668</v>
      </c>
      <c r="K2796" t="s">
        <v>181</v>
      </c>
      <c r="L2796" t="s">
        <v>3340</v>
      </c>
      <c r="M2796">
        <v>78</v>
      </c>
      <c r="N2796">
        <v>0.16</v>
      </c>
      <c r="O2796" t="s">
        <v>211</v>
      </c>
      <c r="P2796">
        <v>9</v>
      </c>
      <c r="Q2796">
        <v>1</v>
      </c>
      <c r="R2796" t="s">
        <v>3341</v>
      </c>
      <c r="T2796" t="s">
        <v>3402</v>
      </c>
      <c r="V2796" t="s">
        <v>3473</v>
      </c>
    </row>
    <row r="2797" spans="1:27" ht="12.75" customHeight="1" x14ac:dyDescent="0.15">
      <c r="A2797">
        <v>26</v>
      </c>
      <c r="B2797">
        <v>2026</v>
      </c>
      <c r="C2797" s="21">
        <v>46199</v>
      </c>
      <c r="D2797" t="s">
        <v>139</v>
      </c>
      <c r="E2797" t="s">
        <v>140</v>
      </c>
      <c r="F2797" t="s">
        <v>75</v>
      </c>
      <c r="G2797">
        <v>0.8</v>
      </c>
      <c r="H2797" t="s">
        <v>4277</v>
      </c>
      <c r="I2797" t="s">
        <v>4278</v>
      </c>
      <c r="J2797" s="1" t="s">
        <v>3668</v>
      </c>
      <c r="K2797" t="s">
        <v>181</v>
      </c>
      <c r="L2797" t="s">
        <v>3333</v>
      </c>
      <c r="M2797">
        <v>86</v>
      </c>
      <c r="N2797">
        <v>0.44</v>
      </c>
      <c r="O2797" t="s">
        <v>3334</v>
      </c>
      <c r="P2797">
        <v>35.69</v>
      </c>
      <c r="Q2797">
        <v>3.5</v>
      </c>
      <c r="R2797" t="s">
        <v>3386</v>
      </c>
      <c r="T2797" t="s">
        <v>3402</v>
      </c>
      <c r="V2797" t="s">
        <v>4064</v>
      </c>
    </row>
    <row r="2798" spans="1:27" ht="12.75" customHeight="1" x14ac:dyDescent="0.15">
      <c r="A2798">
        <v>26</v>
      </c>
      <c r="B2798">
        <v>2026</v>
      </c>
      <c r="C2798" s="21">
        <v>46199</v>
      </c>
      <c r="D2798" t="s">
        <v>139</v>
      </c>
      <c r="E2798" t="s">
        <v>140</v>
      </c>
      <c r="F2798" t="s">
        <v>75</v>
      </c>
      <c r="G2798">
        <v>0.8</v>
      </c>
      <c r="H2798" t="s">
        <v>4277</v>
      </c>
      <c r="I2798" t="s">
        <v>4278</v>
      </c>
      <c r="J2798" s="1" t="s">
        <v>3668</v>
      </c>
      <c r="K2798" t="s">
        <v>181</v>
      </c>
      <c r="L2798" t="s">
        <v>3340</v>
      </c>
      <c r="M2798">
        <v>78</v>
      </c>
      <c r="N2798">
        <v>0.56999999999999995</v>
      </c>
      <c r="O2798" t="s">
        <v>211</v>
      </c>
      <c r="P2798">
        <v>31.5</v>
      </c>
      <c r="Q2798">
        <v>3.5</v>
      </c>
      <c r="R2798" t="s">
        <v>3341</v>
      </c>
      <c r="T2798" t="s">
        <v>3402</v>
      </c>
      <c r="V2798" t="s">
        <v>4344</v>
      </c>
    </row>
    <row r="2799" spans="1:27" ht="12.75" customHeight="1" x14ac:dyDescent="0.15">
      <c r="A2799">
        <v>26</v>
      </c>
      <c r="B2799">
        <v>2026</v>
      </c>
      <c r="C2799" s="21">
        <v>46199</v>
      </c>
      <c r="D2799" t="s">
        <v>139</v>
      </c>
      <c r="E2799" t="s">
        <v>140</v>
      </c>
      <c r="F2799" t="s">
        <v>75</v>
      </c>
      <c r="G2799">
        <v>0.8</v>
      </c>
      <c r="H2799" t="s">
        <v>4277</v>
      </c>
      <c r="I2799" t="s">
        <v>4278</v>
      </c>
      <c r="J2799" s="1" t="s">
        <v>3668</v>
      </c>
      <c r="K2799" t="s">
        <v>181</v>
      </c>
      <c r="L2799" t="s">
        <v>3333</v>
      </c>
      <c r="M2799">
        <v>4</v>
      </c>
      <c r="N2799">
        <v>0.31</v>
      </c>
      <c r="O2799" t="s">
        <v>3334</v>
      </c>
      <c r="P2799">
        <v>25.49</v>
      </c>
      <c r="Q2799">
        <v>2.5</v>
      </c>
      <c r="R2799" t="s">
        <v>3773</v>
      </c>
      <c r="T2799" t="s">
        <v>3402</v>
      </c>
      <c r="V2799" t="s">
        <v>4345</v>
      </c>
    </row>
    <row r="2800" spans="1:27" ht="12.75" customHeight="1" x14ac:dyDescent="0.15">
      <c r="A2800">
        <v>26</v>
      </c>
      <c r="B2800">
        <v>2026</v>
      </c>
      <c r="C2800" s="21">
        <v>46199</v>
      </c>
      <c r="D2800" t="s">
        <v>139</v>
      </c>
      <c r="E2800" t="s">
        <v>140</v>
      </c>
      <c r="F2800" t="s">
        <v>75</v>
      </c>
      <c r="G2800">
        <v>0.8</v>
      </c>
      <c r="H2800" t="s">
        <v>3672</v>
      </c>
      <c r="I2800" t="s">
        <v>3673</v>
      </c>
      <c r="J2800" s="1" t="s">
        <v>26</v>
      </c>
      <c r="K2800" t="s">
        <v>181</v>
      </c>
      <c r="L2800" t="s">
        <v>3333</v>
      </c>
      <c r="M2800">
        <v>80</v>
      </c>
      <c r="N2800">
        <v>0.56000000000000005</v>
      </c>
      <c r="O2800" t="s">
        <v>213</v>
      </c>
      <c r="P2800">
        <v>50.63</v>
      </c>
      <c r="Q2800">
        <v>4.5</v>
      </c>
      <c r="R2800" t="s">
        <v>3560</v>
      </c>
      <c r="T2800" t="s">
        <v>3402</v>
      </c>
      <c r="V2800" t="s">
        <v>4346</v>
      </c>
    </row>
    <row r="2801" spans="1:27" ht="12.75" customHeight="1" x14ac:dyDescent="0.15">
      <c r="A2801">
        <v>26</v>
      </c>
      <c r="B2801">
        <v>2026</v>
      </c>
      <c r="C2801" s="21">
        <v>46199</v>
      </c>
      <c r="D2801" t="s">
        <v>139</v>
      </c>
      <c r="E2801" t="s">
        <v>140</v>
      </c>
      <c r="F2801" t="s">
        <v>75</v>
      </c>
      <c r="G2801">
        <v>0.8</v>
      </c>
      <c r="H2801" t="s">
        <v>3947</v>
      </c>
      <c r="I2801" t="s">
        <v>3673</v>
      </c>
      <c r="J2801" s="1" t="s">
        <v>26</v>
      </c>
      <c r="K2801" t="s">
        <v>2666</v>
      </c>
      <c r="L2801" t="s">
        <v>3587</v>
      </c>
      <c r="P2801">
        <v>36</v>
      </c>
      <c r="T2801" t="s">
        <v>3402</v>
      </c>
      <c r="V2801" t="s">
        <v>3530</v>
      </c>
    </row>
    <row r="2802" spans="1:27" ht="12.75" customHeight="1" x14ac:dyDescent="0.15">
      <c r="A2802">
        <v>26</v>
      </c>
      <c r="B2802">
        <v>2026</v>
      </c>
      <c r="C2802" s="21">
        <v>46199</v>
      </c>
      <c r="D2802" t="s">
        <v>107</v>
      </c>
      <c r="E2802" t="s">
        <v>108</v>
      </c>
      <c r="F2802" t="s">
        <v>21</v>
      </c>
      <c r="G2802">
        <v>4.5</v>
      </c>
      <c r="H2802" t="s">
        <v>3391</v>
      </c>
      <c r="I2802" t="s">
        <v>353</v>
      </c>
      <c r="J2802" s="1" t="s">
        <v>253</v>
      </c>
      <c r="K2802" t="s">
        <v>181</v>
      </c>
      <c r="L2802" t="s">
        <v>3333</v>
      </c>
      <c r="M2802">
        <v>67</v>
      </c>
      <c r="N2802">
        <v>0.75</v>
      </c>
      <c r="O2802" t="s">
        <v>3334</v>
      </c>
      <c r="P2802">
        <v>61.19</v>
      </c>
      <c r="Q2802">
        <v>6</v>
      </c>
      <c r="R2802" t="s">
        <v>3404</v>
      </c>
      <c r="T2802" t="s">
        <v>3402</v>
      </c>
      <c r="V2802" t="s">
        <v>4347</v>
      </c>
    </row>
    <row r="2803" spans="1:27" ht="12.75" customHeight="1" x14ac:dyDescent="0.15">
      <c r="A2803">
        <v>26</v>
      </c>
      <c r="B2803">
        <v>2026</v>
      </c>
      <c r="C2803" s="21">
        <v>46199</v>
      </c>
      <c r="D2803" t="s">
        <v>107</v>
      </c>
      <c r="E2803" t="s">
        <v>108</v>
      </c>
      <c r="F2803" t="s">
        <v>21</v>
      </c>
      <c r="G2803">
        <v>4.5</v>
      </c>
      <c r="H2803" t="s">
        <v>3391</v>
      </c>
      <c r="I2803" t="s">
        <v>353</v>
      </c>
      <c r="J2803" s="1" t="s">
        <v>253</v>
      </c>
      <c r="K2803" t="s">
        <v>181</v>
      </c>
      <c r="L2803" t="s">
        <v>3333</v>
      </c>
      <c r="M2803">
        <v>19</v>
      </c>
      <c r="N2803">
        <v>0.75</v>
      </c>
      <c r="O2803" t="s">
        <v>3334</v>
      </c>
      <c r="P2803">
        <v>61.19</v>
      </c>
      <c r="Q2803">
        <v>6</v>
      </c>
      <c r="R2803" t="s">
        <v>3403</v>
      </c>
      <c r="T2803" t="s">
        <v>3402</v>
      </c>
      <c r="V2803" t="s">
        <v>4347</v>
      </c>
    </row>
    <row r="2804" spans="1:27" ht="15" customHeight="1" x14ac:dyDescent="0.2">
      <c r="A2804">
        <v>26</v>
      </c>
      <c r="B2804">
        <v>2026</v>
      </c>
      <c r="C2804" s="21">
        <v>46199</v>
      </c>
      <c r="D2804" t="s">
        <v>135</v>
      </c>
      <c r="E2804" s="27" t="s">
        <v>136</v>
      </c>
      <c r="F2804" t="s">
        <v>21</v>
      </c>
      <c r="G2804">
        <v>1</v>
      </c>
      <c r="H2804" t="s">
        <v>3495</v>
      </c>
      <c r="I2804" t="s">
        <v>29</v>
      </c>
      <c r="J2804" s="1" t="s">
        <v>30</v>
      </c>
      <c r="K2804" t="s">
        <v>181</v>
      </c>
      <c r="L2804" t="s">
        <v>3333</v>
      </c>
      <c r="M2804">
        <v>67</v>
      </c>
      <c r="N2804">
        <v>0.25</v>
      </c>
      <c r="O2804" t="s">
        <v>3334</v>
      </c>
      <c r="P2804">
        <v>20.399999999999999</v>
      </c>
      <c r="Q2804">
        <v>2</v>
      </c>
      <c r="R2804" t="s">
        <v>3404</v>
      </c>
      <c r="T2804" t="s">
        <v>3402</v>
      </c>
      <c r="V2804" t="s">
        <v>3474</v>
      </c>
    </row>
    <row r="2805" spans="1:27" ht="15" customHeight="1" x14ac:dyDescent="0.2">
      <c r="A2805">
        <v>26</v>
      </c>
      <c r="B2805">
        <v>2026</v>
      </c>
      <c r="C2805" s="21">
        <v>46199</v>
      </c>
      <c r="D2805" t="s">
        <v>135</v>
      </c>
      <c r="E2805" s="27" t="s">
        <v>136</v>
      </c>
      <c r="F2805" t="s">
        <v>21</v>
      </c>
      <c r="G2805">
        <v>1</v>
      </c>
      <c r="H2805" t="s">
        <v>3495</v>
      </c>
      <c r="I2805" t="s">
        <v>29</v>
      </c>
      <c r="J2805" s="1" t="s">
        <v>30</v>
      </c>
      <c r="K2805" t="s">
        <v>181</v>
      </c>
      <c r="L2805" t="s">
        <v>3333</v>
      </c>
      <c r="M2805">
        <v>19</v>
      </c>
      <c r="N2805">
        <v>0.25</v>
      </c>
      <c r="O2805" t="s">
        <v>3334</v>
      </c>
      <c r="P2805">
        <v>20.399999999999999</v>
      </c>
      <c r="Q2805">
        <v>2</v>
      </c>
      <c r="R2805" t="s">
        <v>3403</v>
      </c>
      <c r="T2805" t="s">
        <v>3402</v>
      </c>
      <c r="V2805" t="s">
        <v>3474</v>
      </c>
      <c r="AA2805" s="29"/>
    </row>
    <row r="2806" spans="1:27" ht="15" customHeight="1" x14ac:dyDescent="0.2">
      <c r="A2806">
        <v>26</v>
      </c>
      <c r="B2806">
        <v>2026</v>
      </c>
      <c r="C2806" s="21">
        <v>46199</v>
      </c>
      <c r="D2806" t="s">
        <v>135</v>
      </c>
      <c r="E2806" s="27" t="s">
        <v>136</v>
      </c>
      <c r="F2806" t="s">
        <v>21</v>
      </c>
      <c r="G2806">
        <v>1</v>
      </c>
      <c r="H2806" t="s">
        <v>3803</v>
      </c>
      <c r="I2806" t="s">
        <v>3676</v>
      </c>
      <c r="J2806" s="1" t="s">
        <v>3533</v>
      </c>
      <c r="K2806" t="s">
        <v>181</v>
      </c>
      <c r="L2806" t="s">
        <v>3333</v>
      </c>
      <c r="M2806">
        <v>4</v>
      </c>
      <c r="N2806">
        <v>0.25</v>
      </c>
      <c r="O2806" t="s">
        <v>3334</v>
      </c>
      <c r="P2806">
        <v>20.399999999999999</v>
      </c>
      <c r="Q2806">
        <v>2</v>
      </c>
      <c r="R2806" t="s">
        <v>3773</v>
      </c>
      <c r="T2806" t="s">
        <v>3402</v>
      </c>
      <c r="V2806" t="s">
        <v>3474</v>
      </c>
    </row>
    <row r="2807" spans="1:27" ht="15" customHeight="1" x14ac:dyDescent="0.2">
      <c r="A2807">
        <v>26</v>
      </c>
      <c r="B2807">
        <v>2026</v>
      </c>
      <c r="C2807" s="21">
        <v>46199</v>
      </c>
      <c r="D2807" t="s">
        <v>135</v>
      </c>
      <c r="E2807" s="27" t="s">
        <v>136</v>
      </c>
      <c r="F2807" t="s">
        <v>21</v>
      </c>
      <c r="G2807">
        <v>1</v>
      </c>
      <c r="H2807" t="s">
        <v>3803</v>
      </c>
      <c r="I2807" t="s">
        <v>3676</v>
      </c>
      <c r="J2807" s="1" t="s">
        <v>3533</v>
      </c>
      <c r="K2807" t="s">
        <v>181</v>
      </c>
      <c r="L2807" t="s">
        <v>3333</v>
      </c>
      <c r="M2807">
        <v>86</v>
      </c>
      <c r="N2807">
        <v>0.25</v>
      </c>
      <c r="O2807" t="s">
        <v>3334</v>
      </c>
      <c r="P2807">
        <v>20.399999999999999</v>
      </c>
      <c r="Q2807">
        <v>2</v>
      </c>
      <c r="R2807" t="s">
        <v>3386</v>
      </c>
      <c r="S2807" t="s">
        <v>4348</v>
      </c>
      <c r="T2807" t="s">
        <v>3402</v>
      </c>
      <c r="V2807" t="s">
        <v>3474</v>
      </c>
    </row>
    <row r="2808" spans="1:27" ht="15" customHeight="1" x14ac:dyDescent="0.2">
      <c r="A2808">
        <v>26</v>
      </c>
      <c r="B2808">
        <v>2026</v>
      </c>
      <c r="C2808" s="21">
        <v>46199</v>
      </c>
      <c r="D2808" t="s">
        <v>135</v>
      </c>
      <c r="E2808" s="27" t="s">
        <v>136</v>
      </c>
      <c r="F2808" t="s">
        <v>21</v>
      </c>
      <c r="G2808">
        <v>1</v>
      </c>
      <c r="H2808" t="s">
        <v>3803</v>
      </c>
      <c r="I2808" t="s">
        <v>3676</v>
      </c>
      <c r="J2808" s="1" t="s">
        <v>3533</v>
      </c>
      <c r="K2808" t="s">
        <v>181</v>
      </c>
      <c r="L2808" t="s">
        <v>3340</v>
      </c>
      <c r="M2808">
        <v>78</v>
      </c>
      <c r="N2808">
        <v>0.65</v>
      </c>
      <c r="O2808" t="s">
        <v>211</v>
      </c>
      <c r="P2808">
        <v>36</v>
      </c>
      <c r="Q2808">
        <v>4</v>
      </c>
      <c r="R2808" t="s">
        <v>3341</v>
      </c>
      <c r="T2808" t="s">
        <v>3402</v>
      </c>
      <c r="V2808" t="s">
        <v>3507</v>
      </c>
    </row>
    <row r="2809" spans="1:27" ht="15" customHeight="1" x14ac:dyDescent="0.2">
      <c r="A2809">
        <v>26</v>
      </c>
      <c r="B2809">
        <v>2026</v>
      </c>
      <c r="C2809" s="21">
        <v>46199</v>
      </c>
      <c r="D2809" t="s">
        <v>135</v>
      </c>
      <c r="E2809" s="27" t="s">
        <v>136</v>
      </c>
      <c r="F2809" t="s">
        <v>21</v>
      </c>
      <c r="G2809">
        <v>1</v>
      </c>
      <c r="H2809" t="s">
        <v>3803</v>
      </c>
      <c r="I2809" t="s">
        <v>3676</v>
      </c>
      <c r="J2809" s="1" t="s">
        <v>3533</v>
      </c>
      <c r="K2809" t="s">
        <v>181</v>
      </c>
      <c r="L2809" t="s">
        <v>3340</v>
      </c>
      <c r="M2809">
        <v>4</v>
      </c>
      <c r="N2809">
        <v>0.16</v>
      </c>
      <c r="O2809" t="s">
        <v>211</v>
      </c>
      <c r="P2809">
        <v>9</v>
      </c>
      <c r="Q2809">
        <v>1</v>
      </c>
      <c r="R2809" t="s">
        <v>3773</v>
      </c>
      <c r="T2809" t="s">
        <v>3402</v>
      </c>
      <c r="V2809" t="s">
        <v>3473</v>
      </c>
    </row>
    <row r="2810" spans="1:27" ht="15" customHeight="1" x14ac:dyDescent="0.2">
      <c r="A2810">
        <v>26</v>
      </c>
      <c r="B2810">
        <v>2026</v>
      </c>
      <c r="C2810" s="21">
        <v>46199</v>
      </c>
      <c r="D2810" t="s">
        <v>135</v>
      </c>
      <c r="E2810" s="27" t="s">
        <v>136</v>
      </c>
      <c r="F2810" t="s">
        <v>21</v>
      </c>
      <c r="G2810">
        <v>1</v>
      </c>
      <c r="H2810" t="s">
        <v>3845</v>
      </c>
      <c r="I2810" t="s">
        <v>380</v>
      </c>
      <c r="J2810" s="1" t="s">
        <v>3533</v>
      </c>
      <c r="K2810" t="s">
        <v>181</v>
      </c>
      <c r="L2810" t="s">
        <v>3340</v>
      </c>
      <c r="M2810">
        <v>86</v>
      </c>
      <c r="N2810">
        <v>1.0900000000000001</v>
      </c>
      <c r="O2810" t="s">
        <v>211</v>
      </c>
      <c r="P2810">
        <v>60</v>
      </c>
      <c r="R2810" t="s">
        <v>3386</v>
      </c>
      <c r="S2810" t="s">
        <v>4349</v>
      </c>
      <c r="T2810" t="s">
        <v>3402</v>
      </c>
      <c r="V2810" t="s">
        <v>189</v>
      </c>
    </row>
    <row r="2811" spans="1:27" ht="15" customHeight="1" x14ac:dyDescent="0.2">
      <c r="A2811">
        <v>26</v>
      </c>
      <c r="B2811">
        <v>2026</v>
      </c>
      <c r="C2811" s="21">
        <v>46199</v>
      </c>
      <c r="D2811" t="s">
        <v>135</v>
      </c>
      <c r="E2811" s="27" t="s">
        <v>136</v>
      </c>
      <c r="F2811" t="s">
        <v>21</v>
      </c>
      <c r="G2811">
        <v>1</v>
      </c>
      <c r="H2811" t="s">
        <v>3495</v>
      </c>
      <c r="I2811" t="s">
        <v>29</v>
      </c>
      <c r="J2811" s="1" t="s">
        <v>30</v>
      </c>
      <c r="K2811" t="s">
        <v>181</v>
      </c>
      <c r="L2811" t="s">
        <v>3340</v>
      </c>
      <c r="M2811">
        <v>67</v>
      </c>
      <c r="N2811">
        <v>0.16</v>
      </c>
      <c r="O2811" t="s">
        <v>211</v>
      </c>
      <c r="P2811">
        <v>9</v>
      </c>
      <c r="Q2811">
        <v>1</v>
      </c>
      <c r="R2811" t="s">
        <v>3404</v>
      </c>
      <c r="T2811" t="s">
        <v>3402</v>
      </c>
      <c r="V2811" t="s">
        <v>3473</v>
      </c>
    </row>
    <row r="2812" spans="1:27" ht="15" customHeight="1" x14ac:dyDescent="0.2">
      <c r="A2812">
        <v>26</v>
      </c>
      <c r="B2812">
        <v>2026</v>
      </c>
      <c r="C2812" s="21">
        <v>46199</v>
      </c>
      <c r="D2812" t="s">
        <v>135</v>
      </c>
      <c r="E2812" s="27" t="s">
        <v>136</v>
      </c>
      <c r="F2812" t="s">
        <v>21</v>
      </c>
      <c r="G2812">
        <v>1</v>
      </c>
      <c r="H2812" t="s">
        <v>3495</v>
      </c>
      <c r="I2812" t="s">
        <v>29</v>
      </c>
      <c r="J2812" s="1" t="s">
        <v>30</v>
      </c>
      <c r="K2812" t="s">
        <v>181</v>
      </c>
      <c r="L2812" t="s">
        <v>3340</v>
      </c>
      <c r="M2812">
        <v>19</v>
      </c>
      <c r="N2812">
        <v>0.16</v>
      </c>
      <c r="O2812" t="s">
        <v>211</v>
      </c>
      <c r="P2812">
        <v>9</v>
      </c>
      <c r="Q2812">
        <v>1</v>
      </c>
      <c r="R2812" t="s">
        <v>3403</v>
      </c>
      <c r="T2812" t="s">
        <v>3402</v>
      </c>
      <c r="V2812" t="s">
        <v>3473</v>
      </c>
    </row>
    <row r="2813" spans="1:27" ht="12.75" customHeight="1" x14ac:dyDescent="0.15">
      <c r="A2813">
        <v>26</v>
      </c>
      <c r="B2813">
        <v>2026</v>
      </c>
      <c r="C2813" s="21">
        <v>46200</v>
      </c>
      <c r="D2813" t="s">
        <v>39</v>
      </c>
      <c r="E2813" t="s">
        <v>40</v>
      </c>
      <c r="F2813" t="s">
        <v>21</v>
      </c>
      <c r="G2813">
        <v>1.91</v>
      </c>
      <c r="H2813" t="s">
        <v>4285</v>
      </c>
      <c r="I2813" t="s">
        <v>4286</v>
      </c>
      <c r="J2813" s="1" t="s">
        <v>3696</v>
      </c>
      <c r="K2813" t="s">
        <v>181</v>
      </c>
      <c r="L2813" t="s">
        <v>3340</v>
      </c>
      <c r="M2813">
        <v>62</v>
      </c>
      <c r="N2813">
        <v>0.33</v>
      </c>
      <c r="O2813" t="s">
        <v>211</v>
      </c>
      <c r="P2813">
        <v>18</v>
      </c>
      <c r="Q2813">
        <v>2</v>
      </c>
      <c r="R2813" t="s">
        <v>3375</v>
      </c>
      <c r="S2813" t="s">
        <v>4350</v>
      </c>
      <c r="T2813" t="s">
        <v>3337</v>
      </c>
      <c r="V2813" t="s">
        <v>3425</v>
      </c>
    </row>
    <row r="2814" spans="1:27" ht="12.75" customHeight="1" x14ac:dyDescent="0.15">
      <c r="A2814">
        <v>26</v>
      </c>
      <c r="B2814">
        <v>2026</v>
      </c>
      <c r="C2814" s="21">
        <v>46200</v>
      </c>
      <c r="D2814" t="s">
        <v>39</v>
      </c>
      <c r="E2814" t="s">
        <v>40</v>
      </c>
      <c r="F2814" t="s">
        <v>21</v>
      </c>
      <c r="G2814">
        <v>1.91</v>
      </c>
      <c r="H2814" t="s">
        <v>4285</v>
      </c>
      <c r="I2814" t="s">
        <v>4286</v>
      </c>
      <c r="J2814" s="1" t="s">
        <v>3696</v>
      </c>
      <c r="K2814" t="s">
        <v>181</v>
      </c>
      <c r="L2814" t="s">
        <v>3340</v>
      </c>
      <c r="M2814">
        <v>58</v>
      </c>
      <c r="N2814">
        <v>0.33</v>
      </c>
      <c r="O2814" t="s">
        <v>211</v>
      </c>
      <c r="P2814">
        <v>18</v>
      </c>
      <c r="Q2814">
        <v>2</v>
      </c>
      <c r="R2814" t="s">
        <v>3343</v>
      </c>
      <c r="T2814" t="s">
        <v>3337</v>
      </c>
      <c r="V2814" t="s">
        <v>3425</v>
      </c>
    </row>
    <row r="2815" spans="1:27" ht="12.75" customHeight="1" x14ac:dyDescent="0.15">
      <c r="A2815">
        <v>26</v>
      </c>
      <c r="B2815">
        <v>2026</v>
      </c>
      <c r="C2815" s="21">
        <v>46200</v>
      </c>
      <c r="D2815" t="s">
        <v>39</v>
      </c>
      <c r="E2815" t="s">
        <v>40</v>
      </c>
      <c r="F2815" t="s">
        <v>21</v>
      </c>
      <c r="G2815">
        <v>1.91</v>
      </c>
      <c r="H2815" t="s">
        <v>4285</v>
      </c>
      <c r="I2815" t="s">
        <v>4286</v>
      </c>
      <c r="J2815" s="1" t="s">
        <v>3696</v>
      </c>
      <c r="K2815" t="s">
        <v>181</v>
      </c>
      <c r="L2815" t="s">
        <v>3340</v>
      </c>
      <c r="M2815">
        <v>53</v>
      </c>
      <c r="N2815">
        <v>0.33</v>
      </c>
      <c r="O2815" t="s">
        <v>211</v>
      </c>
      <c r="P2815">
        <v>18</v>
      </c>
      <c r="Q2815">
        <v>2</v>
      </c>
      <c r="R2815" t="s">
        <v>3373</v>
      </c>
      <c r="T2815" t="s">
        <v>3337</v>
      </c>
      <c r="V2815" t="s">
        <v>3425</v>
      </c>
    </row>
    <row r="2816" spans="1:27" ht="12.75" customHeight="1" x14ac:dyDescent="0.15">
      <c r="A2816">
        <v>26</v>
      </c>
      <c r="B2816">
        <v>2026</v>
      </c>
      <c r="C2816" s="21">
        <v>46200</v>
      </c>
      <c r="D2816" t="s">
        <v>39</v>
      </c>
      <c r="E2816" t="s">
        <v>40</v>
      </c>
      <c r="F2816" t="s">
        <v>21</v>
      </c>
      <c r="G2816">
        <v>1.91</v>
      </c>
      <c r="H2816" t="s">
        <v>4285</v>
      </c>
      <c r="I2816" t="s">
        <v>4286</v>
      </c>
      <c r="J2816" s="1" t="s">
        <v>3696</v>
      </c>
      <c r="K2816" t="s">
        <v>181</v>
      </c>
      <c r="L2816" t="s">
        <v>3340</v>
      </c>
      <c r="M2816">
        <v>81</v>
      </c>
      <c r="N2816">
        <v>0.33</v>
      </c>
      <c r="O2816" t="s">
        <v>211</v>
      </c>
      <c r="P2816">
        <v>18</v>
      </c>
      <c r="Q2816">
        <v>2</v>
      </c>
      <c r="R2816" t="s">
        <v>3374</v>
      </c>
      <c r="T2816" t="s">
        <v>3337</v>
      </c>
      <c r="V2816" t="s">
        <v>3425</v>
      </c>
    </row>
    <row r="2817" spans="1:22" ht="12.75" customHeight="1" x14ac:dyDescent="0.15">
      <c r="A2817">
        <v>26</v>
      </c>
      <c r="B2817">
        <v>2026</v>
      </c>
      <c r="C2817" s="21">
        <v>46200</v>
      </c>
      <c r="D2817" t="s">
        <v>39</v>
      </c>
      <c r="E2817" t="s">
        <v>40</v>
      </c>
      <c r="F2817" t="s">
        <v>21</v>
      </c>
      <c r="G2817">
        <v>1.91</v>
      </c>
      <c r="H2817" t="s">
        <v>4285</v>
      </c>
      <c r="I2817" t="s">
        <v>4286</v>
      </c>
      <c r="J2817" s="1" t="s">
        <v>3696</v>
      </c>
      <c r="K2817" t="s">
        <v>181</v>
      </c>
      <c r="L2817" t="s">
        <v>3340</v>
      </c>
      <c r="M2817">
        <v>45</v>
      </c>
      <c r="N2817">
        <v>0.33</v>
      </c>
      <c r="O2817" t="s">
        <v>211</v>
      </c>
      <c r="P2817">
        <v>18</v>
      </c>
      <c r="Q2817">
        <v>2</v>
      </c>
      <c r="R2817" t="s">
        <v>3377</v>
      </c>
      <c r="T2817" t="s">
        <v>3337</v>
      </c>
      <c r="V2817" t="s">
        <v>3425</v>
      </c>
    </row>
    <row r="2818" spans="1:22" ht="12.75" customHeight="1" x14ac:dyDescent="0.15">
      <c r="A2818">
        <v>26</v>
      </c>
      <c r="B2818">
        <v>2026</v>
      </c>
      <c r="C2818" s="21">
        <v>46200</v>
      </c>
      <c r="D2818" t="s">
        <v>107</v>
      </c>
      <c r="E2818" t="s">
        <v>108</v>
      </c>
      <c r="F2818" t="s">
        <v>21</v>
      </c>
      <c r="G2818">
        <v>4.5</v>
      </c>
      <c r="H2818" t="s">
        <v>4285</v>
      </c>
      <c r="I2818" t="s">
        <v>4286</v>
      </c>
      <c r="J2818" s="1" t="s">
        <v>3696</v>
      </c>
      <c r="K2818" t="s">
        <v>181</v>
      </c>
      <c r="L2818" t="s">
        <v>3340</v>
      </c>
      <c r="M2818">
        <v>62</v>
      </c>
      <c r="N2818">
        <v>0.41</v>
      </c>
      <c r="O2818" t="s">
        <v>211</v>
      </c>
      <c r="P2818">
        <v>22.5</v>
      </c>
      <c r="Q2818">
        <v>2.5</v>
      </c>
      <c r="R2818" t="s">
        <v>3375</v>
      </c>
      <c r="T2818" t="s">
        <v>3337</v>
      </c>
      <c r="V2818" t="s">
        <v>3504</v>
      </c>
    </row>
    <row r="2819" spans="1:22" ht="12.75" customHeight="1" x14ac:dyDescent="0.15">
      <c r="A2819">
        <v>26</v>
      </c>
      <c r="B2819">
        <v>2026</v>
      </c>
      <c r="C2819" s="21">
        <v>46200</v>
      </c>
      <c r="D2819" t="s">
        <v>107</v>
      </c>
      <c r="E2819" t="s">
        <v>108</v>
      </c>
      <c r="F2819" t="s">
        <v>21</v>
      </c>
      <c r="G2819">
        <v>4.5</v>
      </c>
      <c r="H2819" t="s">
        <v>4285</v>
      </c>
      <c r="I2819" t="s">
        <v>4286</v>
      </c>
      <c r="J2819" s="1" t="s">
        <v>3696</v>
      </c>
      <c r="K2819" t="s">
        <v>181</v>
      </c>
      <c r="L2819" t="s">
        <v>3340</v>
      </c>
      <c r="M2819">
        <v>58</v>
      </c>
      <c r="N2819">
        <v>0.41</v>
      </c>
      <c r="O2819" t="s">
        <v>211</v>
      </c>
      <c r="P2819">
        <v>22.5</v>
      </c>
      <c r="Q2819">
        <v>2.5</v>
      </c>
      <c r="R2819" t="s">
        <v>3343</v>
      </c>
      <c r="T2819" t="s">
        <v>3337</v>
      </c>
      <c r="V2819" t="s">
        <v>3504</v>
      </c>
    </row>
    <row r="2820" spans="1:22" ht="12.75" customHeight="1" x14ac:dyDescent="0.15">
      <c r="A2820">
        <v>26</v>
      </c>
      <c r="B2820">
        <v>2026</v>
      </c>
      <c r="C2820" s="21">
        <v>46200</v>
      </c>
      <c r="D2820" t="s">
        <v>107</v>
      </c>
      <c r="E2820" t="s">
        <v>108</v>
      </c>
      <c r="F2820" t="s">
        <v>21</v>
      </c>
      <c r="G2820">
        <v>4.5</v>
      </c>
      <c r="H2820" t="s">
        <v>4285</v>
      </c>
      <c r="I2820" t="s">
        <v>4286</v>
      </c>
      <c r="J2820" s="1" t="s">
        <v>3696</v>
      </c>
      <c r="K2820" t="s">
        <v>181</v>
      </c>
      <c r="L2820" t="s">
        <v>3340</v>
      </c>
      <c r="M2820">
        <v>53</v>
      </c>
      <c r="N2820">
        <v>0.41</v>
      </c>
      <c r="O2820" t="s">
        <v>211</v>
      </c>
      <c r="P2820">
        <v>22.5</v>
      </c>
      <c r="Q2820">
        <v>2.5</v>
      </c>
      <c r="R2820" t="s">
        <v>3373</v>
      </c>
      <c r="T2820" t="s">
        <v>3337</v>
      </c>
      <c r="V2820" t="s">
        <v>3504</v>
      </c>
    </row>
    <row r="2821" spans="1:22" ht="12.75" customHeight="1" x14ac:dyDescent="0.15">
      <c r="A2821">
        <v>26</v>
      </c>
      <c r="B2821">
        <v>2026</v>
      </c>
      <c r="C2821" s="21">
        <v>46200</v>
      </c>
      <c r="D2821" t="s">
        <v>107</v>
      </c>
      <c r="E2821" t="s">
        <v>108</v>
      </c>
      <c r="F2821" t="s">
        <v>21</v>
      </c>
      <c r="G2821">
        <v>4.5</v>
      </c>
      <c r="H2821" t="s">
        <v>4285</v>
      </c>
      <c r="I2821" t="s">
        <v>4286</v>
      </c>
      <c r="J2821" s="1" t="s">
        <v>3696</v>
      </c>
      <c r="K2821" t="s">
        <v>181</v>
      </c>
      <c r="L2821" t="s">
        <v>3340</v>
      </c>
      <c r="M2821">
        <v>81</v>
      </c>
      <c r="N2821">
        <v>0.41</v>
      </c>
      <c r="O2821" t="s">
        <v>211</v>
      </c>
      <c r="P2821">
        <v>22.5</v>
      </c>
      <c r="Q2821">
        <v>2.5</v>
      </c>
      <c r="R2821" t="s">
        <v>3374</v>
      </c>
      <c r="T2821" t="s">
        <v>3337</v>
      </c>
      <c r="V2821" t="s">
        <v>3504</v>
      </c>
    </row>
    <row r="2822" spans="1:22" ht="12.75" customHeight="1" x14ac:dyDescent="0.15">
      <c r="A2822">
        <v>26</v>
      </c>
      <c r="B2822">
        <v>2026</v>
      </c>
      <c r="C2822" s="21">
        <v>46200</v>
      </c>
      <c r="D2822" t="s">
        <v>107</v>
      </c>
      <c r="E2822" t="s">
        <v>108</v>
      </c>
      <c r="F2822" t="s">
        <v>21</v>
      </c>
      <c r="G2822">
        <v>4.5</v>
      </c>
      <c r="H2822" t="s">
        <v>4285</v>
      </c>
      <c r="I2822" t="s">
        <v>4286</v>
      </c>
      <c r="J2822" s="1" t="s">
        <v>3696</v>
      </c>
      <c r="K2822" t="s">
        <v>181</v>
      </c>
      <c r="L2822" t="s">
        <v>3340</v>
      </c>
      <c r="M2822">
        <v>45</v>
      </c>
      <c r="N2822">
        <v>0.41</v>
      </c>
      <c r="O2822" t="s">
        <v>211</v>
      </c>
      <c r="P2822">
        <v>22.5</v>
      </c>
      <c r="Q2822">
        <v>2.5</v>
      </c>
      <c r="R2822" t="s">
        <v>3377</v>
      </c>
      <c r="T2822" t="s">
        <v>3337</v>
      </c>
      <c r="V2822" t="s">
        <v>3504</v>
      </c>
    </row>
    <row r="2823" spans="1:22" ht="12.75" customHeight="1" x14ac:dyDescent="0.15">
      <c r="A2823">
        <v>26</v>
      </c>
      <c r="B2823">
        <v>2026</v>
      </c>
      <c r="C2823" s="21">
        <v>46200</v>
      </c>
      <c r="D2823" t="s">
        <v>84</v>
      </c>
      <c r="E2823" t="s">
        <v>85</v>
      </c>
      <c r="F2823" t="s">
        <v>21</v>
      </c>
      <c r="G2823">
        <v>2</v>
      </c>
      <c r="H2823" t="s">
        <v>3514</v>
      </c>
      <c r="I2823" t="s">
        <v>366</v>
      </c>
      <c r="J2823" s="1" t="s">
        <v>215</v>
      </c>
      <c r="K2823" t="s">
        <v>181</v>
      </c>
      <c r="L2823" t="s">
        <v>3340</v>
      </c>
      <c r="M2823">
        <v>62</v>
      </c>
      <c r="N2823">
        <v>0.64</v>
      </c>
      <c r="O2823" t="s">
        <v>211</v>
      </c>
      <c r="P2823">
        <v>35</v>
      </c>
      <c r="R2823" t="s">
        <v>3375</v>
      </c>
      <c r="S2823" t="s">
        <v>4351</v>
      </c>
      <c r="T2823" t="s">
        <v>3337</v>
      </c>
      <c r="V2823" t="s">
        <v>4126</v>
      </c>
    </row>
    <row r="2824" spans="1:22" ht="12.75" customHeight="1" x14ac:dyDescent="0.15">
      <c r="A2824">
        <v>26</v>
      </c>
      <c r="B2824">
        <v>2026</v>
      </c>
      <c r="C2824" s="21">
        <v>46200</v>
      </c>
      <c r="D2824" t="s">
        <v>84</v>
      </c>
      <c r="E2824" t="s">
        <v>85</v>
      </c>
      <c r="F2824" t="s">
        <v>21</v>
      </c>
      <c r="G2824">
        <v>2</v>
      </c>
      <c r="H2824" t="s">
        <v>3514</v>
      </c>
      <c r="I2824" t="s">
        <v>366</v>
      </c>
      <c r="J2824" s="1" t="s">
        <v>215</v>
      </c>
      <c r="K2824" t="s">
        <v>181</v>
      </c>
      <c r="L2824" t="s">
        <v>3340</v>
      </c>
      <c r="M2824">
        <v>58</v>
      </c>
      <c r="N2824">
        <v>0.64</v>
      </c>
      <c r="O2824" t="s">
        <v>211</v>
      </c>
      <c r="P2824">
        <v>35</v>
      </c>
      <c r="R2824" t="s">
        <v>3343</v>
      </c>
      <c r="T2824" t="s">
        <v>3337</v>
      </c>
      <c r="V2824" t="s">
        <v>4126</v>
      </c>
    </row>
    <row r="2825" spans="1:22" ht="12.75" customHeight="1" x14ac:dyDescent="0.15">
      <c r="A2825">
        <v>26</v>
      </c>
      <c r="B2825">
        <v>2026</v>
      </c>
      <c r="C2825" s="21">
        <v>46200</v>
      </c>
      <c r="D2825" t="s">
        <v>84</v>
      </c>
      <c r="E2825" t="s">
        <v>85</v>
      </c>
      <c r="F2825" t="s">
        <v>21</v>
      </c>
      <c r="G2825">
        <v>2</v>
      </c>
      <c r="H2825" t="s">
        <v>3514</v>
      </c>
      <c r="I2825" t="s">
        <v>366</v>
      </c>
      <c r="J2825" s="1" t="s">
        <v>215</v>
      </c>
      <c r="K2825" t="s">
        <v>181</v>
      </c>
      <c r="L2825" t="s">
        <v>3340</v>
      </c>
      <c r="M2825">
        <v>53</v>
      </c>
      <c r="N2825">
        <v>0.64</v>
      </c>
      <c r="O2825" t="s">
        <v>211</v>
      </c>
      <c r="P2825">
        <v>35</v>
      </c>
      <c r="R2825" t="s">
        <v>3373</v>
      </c>
      <c r="T2825" t="s">
        <v>3337</v>
      </c>
      <c r="V2825" t="s">
        <v>4126</v>
      </c>
    </row>
    <row r="2826" spans="1:22" ht="12.75" customHeight="1" x14ac:dyDescent="0.15">
      <c r="A2826">
        <v>26</v>
      </c>
      <c r="B2826">
        <v>2026</v>
      </c>
      <c r="C2826" s="21">
        <v>46200</v>
      </c>
      <c r="D2826" t="s">
        <v>84</v>
      </c>
      <c r="E2826" t="s">
        <v>85</v>
      </c>
      <c r="F2826" t="s">
        <v>21</v>
      </c>
      <c r="G2826">
        <v>2</v>
      </c>
      <c r="H2826" t="s">
        <v>3514</v>
      </c>
      <c r="I2826" t="s">
        <v>366</v>
      </c>
      <c r="J2826" s="1" t="s">
        <v>215</v>
      </c>
      <c r="K2826" t="s">
        <v>181</v>
      </c>
      <c r="L2826" t="s">
        <v>3340</v>
      </c>
      <c r="M2826">
        <v>81</v>
      </c>
      <c r="N2826">
        <v>0.64</v>
      </c>
      <c r="O2826" t="s">
        <v>211</v>
      </c>
      <c r="P2826">
        <v>35</v>
      </c>
      <c r="R2826" t="s">
        <v>3374</v>
      </c>
      <c r="T2826" t="s">
        <v>3337</v>
      </c>
      <c r="V2826" t="s">
        <v>4126</v>
      </c>
    </row>
    <row r="2827" spans="1:22" ht="12.75" customHeight="1" x14ac:dyDescent="0.15">
      <c r="A2827">
        <v>26</v>
      </c>
      <c r="B2827">
        <v>2026</v>
      </c>
      <c r="C2827" s="21">
        <v>46200</v>
      </c>
      <c r="D2827" t="s">
        <v>84</v>
      </c>
      <c r="E2827" t="s">
        <v>85</v>
      </c>
      <c r="F2827" t="s">
        <v>21</v>
      </c>
      <c r="G2827">
        <v>2</v>
      </c>
      <c r="H2827" t="s">
        <v>3514</v>
      </c>
      <c r="I2827" t="s">
        <v>366</v>
      </c>
      <c r="J2827" s="1" t="s">
        <v>215</v>
      </c>
      <c r="K2827" t="s">
        <v>181</v>
      </c>
      <c r="L2827" t="s">
        <v>3340</v>
      </c>
      <c r="M2827">
        <v>45</v>
      </c>
      <c r="N2827">
        <v>0.64</v>
      </c>
      <c r="O2827" t="s">
        <v>211</v>
      </c>
      <c r="P2827">
        <v>35</v>
      </c>
      <c r="R2827" t="s">
        <v>3377</v>
      </c>
      <c r="T2827" t="s">
        <v>3337</v>
      </c>
      <c r="V2827" t="s">
        <v>4126</v>
      </c>
    </row>
    <row r="2828" spans="1:22" ht="12.75" customHeight="1" x14ac:dyDescent="0.15">
      <c r="A2828">
        <v>26</v>
      </c>
      <c r="B2828">
        <v>2026</v>
      </c>
      <c r="C2828" s="21">
        <v>46200</v>
      </c>
      <c r="D2828" t="s">
        <v>141</v>
      </c>
      <c r="E2828" t="s">
        <v>142</v>
      </c>
      <c r="F2828" t="s">
        <v>75</v>
      </c>
      <c r="G2828">
        <v>1</v>
      </c>
      <c r="H2828" t="s">
        <v>3378</v>
      </c>
      <c r="I2828" t="s">
        <v>214</v>
      </c>
      <c r="J2828" s="1" t="s">
        <v>215</v>
      </c>
      <c r="K2828" t="s">
        <v>181</v>
      </c>
      <c r="L2828" t="s">
        <v>3340</v>
      </c>
      <c r="M2828">
        <v>62</v>
      </c>
      <c r="N2828">
        <v>0.15</v>
      </c>
      <c r="O2828" t="s">
        <v>211</v>
      </c>
      <c r="P2828">
        <v>8</v>
      </c>
      <c r="R2828" t="s">
        <v>3375</v>
      </c>
      <c r="S2828" t="s">
        <v>4352</v>
      </c>
      <c r="T2828" t="s">
        <v>3337</v>
      </c>
      <c r="V2828" t="s">
        <v>183</v>
      </c>
    </row>
    <row r="2829" spans="1:22" ht="12.75" customHeight="1" x14ac:dyDescent="0.15">
      <c r="A2829">
        <v>26</v>
      </c>
      <c r="B2829">
        <v>2026</v>
      </c>
      <c r="C2829" s="21">
        <v>46200</v>
      </c>
      <c r="D2829" t="s">
        <v>141</v>
      </c>
      <c r="E2829" t="s">
        <v>142</v>
      </c>
      <c r="F2829" t="s">
        <v>75</v>
      </c>
      <c r="G2829">
        <v>1</v>
      </c>
      <c r="H2829" t="s">
        <v>3378</v>
      </c>
      <c r="I2829" t="s">
        <v>214</v>
      </c>
      <c r="J2829" s="1" t="s">
        <v>215</v>
      </c>
      <c r="K2829" t="s">
        <v>181</v>
      </c>
      <c r="L2829" t="s">
        <v>3340</v>
      </c>
      <c r="M2829">
        <v>58</v>
      </c>
      <c r="N2829">
        <v>0.15</v>
      </c>
      <c r="O2829" t="s">
        <v>211</v>
      </c>
      <c r="P2829">
        <v>8</v>
      </c>
      <c r="R2829" t="s">
        <v>3343</v>
      </c>
      <c r="T2829" t="s">
        <v>3337</v>
      </c>
      <c r="V2829" t="s">
        <v>183</v>
      </c>
    </row>
    <row r="2830" spans="1:22" ht="12.75" customHeight="1" x14ac:dyDescent="0.15">
      <c r="A2830">
        <v>26</v>
      </c>
      <c r="B2830">
        <v>2026</v>
      </c>
      <c r="C2830" s="21">
        <v>46200</v>
      </c>
      <c r="D2830" t="s">
        <v>141</v>
      </c>
      <c r="E2830" t="s">
        <v>142</v>
      </c>
      <c r="F2830" t="s">
        <v>75</v>
      </c>
      <c r="G2830">
        <v>1</v>
      </c>
      <c r="H2830" t="s">
        <v>3378</v>
      </c>
      <c r="I2830" t="s">
        <v>214</v>
      </c>
      <c r="J2830" s="1" t="s">
        <v>215</v>
      </c>
      <c r="K2830" t="s">
        <v>181</v>
      </c>
      <c r="L2830" t="s">
        <v>3340</v>
      </c>
      <c r="M2830">
        <v>53</v>
      </c>
      <c r="N2830">
        <v>0.15</v>
      </c>
      <c r="O2830" t="s">
        <v>211</v>
      </c>
      <c r="P2830">
        <v>8</v>
      </c>
      <c r="R2830" t="s">
        <v>3373</v>
      </c>
      <c r="T2830" t="s">
        <v>3337</v>
      </c>
      <c r="V2830" t="s">
        <v>183</v>
      </c>
    </row>
    <row r="2831" spans="1:22" ht="12.75" customHeight="1" x14ac:dyDescent="0.15">
      <c r="A2831">
        <v>26</v>
      </c>
      <c r="B2831">
        <v>2026</v>
      </c>
      <c r="C2831" s="21">
        <v>46200</v>
      </c>
      <c r="D2831" t="s">
        <v>141</v>
      </c>
      <c r="E2831" t="s">
        <v>142</v>
      </c>
      <c r="F2831" t="s">
        <v>75</v>
      </c>
      <c r="G2831">
        <v>1</v>
      </c>
      <c r="H2831" t="s">
        <v>3378</v>
      </c>
      <c r="I2831" t="s">
        <v>214</v>
      </c>
      <c r="J2831" s="1" t="s">
        <v>215</v>
      </c>
      <c r="K2831" t="s">
        <v>181</v>
      </c>
      <c r="L2831" t="s">
        <v>3340</v>
      </c>
      <c r="M2831">
        <v>81</v>
      </c>
      <c r="N2831">
        <v>0.15</v>
      </c>
      <c r="O2831" t="s">
        <v>211</v>
      </c>
      <c r="P2831">
        <v>8</v>
      </c>
      <c r="R2831" t="s">
        <v>3374</v>
      </c>
      <c r="T2831" t="s">
        <v>3337</v>
      </c>
      <c r="V2831" t="s">
        <v>183</v>
      </c>
    </row>
    <row r="2832" spans="1:22" ht="12.75" customHeight="1" x14ac:dyDescent="0.15">
      <c r="A2832">
        <v>26</v>
      </c>
      <c r="B2832">
        <v>2026</v>
      </c>
      <c r="C2832" s="21">
        <v>46200</v>
      </c>
      <c r="D2832" t="s">
        <v>141</v>
      </c>
      <c r="E2832" t="s">
        <v>142</v>
      </c>
      <c r="F2832" t="s">
        <v>75</v>
      </c>
      <c r="G2832">
        <v>1</v>
      </c>
      <c r="H2832" t="s">
        <v>3378</v>
      </c>
      <c r="I2832" t="s">
        <v>214</v>
      </c>
      <c r="J2832" s="1" t="s">
        <v>215</v>
      </c>
      <c r="K2832" t="s">
        <v>181</v>
      </c>
      <c r="L2832" t="s">
        <v>3340</v>
      </c>
      <c r="M2832">
        <v>45</v>
      </c>
      <c r="N2832">
        <v>0.15</v>
      </c>
      <c r="O2832" t="s">
        <v>211</v>
      </c>
      <c r="P2832">
        <v>8</v>
      </c>
      <c r="R2832" t="s">
        <v>3377</v>
      </c>
      <c r="T2832" t="s">
        <v>3337</v>
      </c>
      <c r="V2832" t="s">
        <v>183</v>
      </c>
    </row>
    <row r="2833" spans="1:22" ht="12.75" customHeight="1" x14ac:dyDescent="0.15">
      <c r="A2833">
        <v>26</v>
      </c>
      <c r="B2833">
        <v>2026</v>
      </c>
      <c r="C2833" s="21">
        <v>46200</v>
      </c>
      <c r="D2833" t="s">
        <v>122</v>
      </c>
      <c r="E2833" t="s">
        <v>123</v>
      </c>
      <c r="F2833" t="s">
        <v>75</v>
      </c>
      <c r="G2833">
        <v>4.5</v>
      </c>
      <c r="H2833" t="s">
        <v>3780</v>
      </c>
      <c r="I2833" t="s">
        <v>206</v>
      </c>
      <c r="J2833" s="1" t="s">
        <v>207</v>
      </c>
      <c r="K2833" t="s">
        <v>181</v>
      </c>
      <c r="L2833" t="s">
        <v>3340</v>
      </c>
      <c r="M2833">
        <v>62</v>
      </c>
      <c r="N2833">
        <v>0.9</v>
      </c>
      <c r="O2833" t="s">
        <v>211</v>
      </c>
      <c r="P2833">
        <v>49.5</v>
      </c>
      <c r="R2833" t="s">
        <v>3375</v>
      </c>
      <c r="S2833" t="s">
        <v>4353</v>
      </c>
      <c r="T2833" t="s">
        <v>3337</v>
      </c>
      <c r="V2833" t="s">
        <v>3882</v>
      </c>
    </row>
    <row r="2834" spans="1:22" ht="12.75" customHeight="1" x14ac:dyDescent="0.15">
      <c r="A2834">
        <v>26</v>
      </c>
      <c r="B2834">
        <v>2026</v>
      </c>
      <c r="C2834" s="21">
        <v>46200</v>
      </c>
      <c r="D2834" t="s">
        <v>122</v>
      </c>
      <c r="E2834" t="s">
        <v>123</v>
      </c>
      <c r="F2834" t="s">
        <v>75</v>
      </c>
      <c r="G2834">
        <v>4.5</v>
      </c>
      <c r="H2834" t="s">
        <v>3780</v>
      </c>
      <c r="I2834" t="s">
        <v>206</v>
      </c>
      <c r="J2834" s="1" t="s">
        <v>207</v>
      </c>
      <c r="K2834" t="s">
        <v>181</v>
      </c>
      <c r="L2834" t="s">
        <v>3340</v>
      </c>
      <c r="M2834">
        <v>58</v>
      </c>
      <c r="N2834">
        <v>0.9</v>
      </c>
      <c r="O2834" t="s">
        <v>211</v>
      </c>
      <c r="P2834">
        <v>49.5</v>
      </c>
      <c r="R2834" t="s">
        <v>3343</v>
      </c>
      <c r="T2834" t="s">
        <v>3337</v>
      </c>
      <c r="V2834" t="s">
        <v>3882</v>
      </c>
    </row>
    <row r="2835" spans="1:22" ht="12.75" customHeight="1" x14ac:dyDescent="0.15">
      <c r="A2835">
        <v>26</v>
      </c>
      <c r="B2835">
        <v>2026</v>
      </c>
      <c r="C2835" s="21">
        <v>46200</v>
      </c>
      <c r="D2835" t="s">
        <v>122</v>
      </c>
      <c r="E2835" t="s">
        <v>123</v>
      </c>
      <c r="F2835" t="s">
        <v>75</v>
      </c>
      <c r="G2835">
        <v>4.5</v>
      </c>
      <c r="H2835" t="s">
        <v>3780</v>
      </c>
      <c r="I2835" t="s">
        <v>206</v>
      </c>
      <c r="J2835" s="1" t="s">
        <v>207</v>
      </c>
      <c r="K2835" t="s">
        <v>181</v>
      </c>
      <c r="L2835" t="s">
        <v>3340</v>
      </c>
      <c r="M2835">
        <v>53</v>
      </c>
      <c r="N2835">
        <v>0.9</v>
      </c>
      <c r="O2835" t="s">
        <v>211</v>
      </c>
      <c r="P2835">
        <v>49.5</v>
      </c>
      <c r="R2835" t="s">
        <v>3373</v>
      </c>
      <c r="T2835" t="s">
        <v>3337</v>
      </c>
      <c r="V2835" t="s">
        <v>3882</v>
      </c>
    </row>
    <row r="2836" spans="1:22" ht="12.75" customHeight="1" x14ac:dyDescent="0.15">
      <c r="A2836">
        <v>26</v>
      </c>
      <c r="B2836">
        <v>2026</v>
      </c>
      <c r="C2836" s="21">
        <v>46200</v>
      </c>
      <c r="D2836" t="s">
        <v>122</v>
      </c>
      <c r="E2836" t="s">
        <v>123</v>
      </c>
      <c r="F2836" t="s">
        <v>75</v>
      </c>
      <c r="G2836">
        <v>4.5</v>
      </c>
      <c r="H2836" t="s">
        <v>3780</v>
      </c>
      <c r="I2836" t="s">
        <v>206</v>
      </c>
      <c r="J2836" s="1" t="s">
        <v>207</v>
      </c>
      <c r="K2836" t="s">
        <v>181</v>
      </c>
      <c r="L2836" t="s">
        <v>3340</v>
      </c>
      <c r="M2836">
        <v>81</v>
      </c>
      <c r="N2836">
        <v>0.9</v>
      </c>
      <c r="O2836" t="s">
        <v>211</v>
      </c>
      <c r="P2836">
        <v>49.5</v>
      </c>
      <c r="R2836" t="s">
        <v>3374</v>
      </c>
      <c r="T2836" t="s">
        <v>3337</v>
      </c>
      <c r="V2836" t="s">
        <v>3882</v>
      </c>
    </row>
    <row r="2837" spans="1:22" ht="12.75" customHeight="1" x14ac:dyDescent="0.15">
      <c r="A2837">
        <v>26</v>
      </c>
      <c r="B2837">
        <v>2026</v>
      </c>
      <c r="C2837" s="21">
        <v>46200</v>
      </c>
      <c r="D2837" t="s">
        <v>122</v>
      </c>
      <c r="E2837" t="s">
        <v>123</v>
      </c>
      <c r="F2837" t="s">
        <v>75</v>
      </c>
      <c r="G2837">
        <v>4.5</v>
      </c>
      <c r="H2837" t="s">
        <v>3780</v>
      </c>
      <c r="I2837" t="s">
        <v>206</v>
      </c>
      <c r="J2837" s="1" t="s">
        <v>207</v>
      </c>
      <c r="K2837" t="s">
        <v>181</v>
      </c>
      <c r="L2837" t="s">
        <v>3340</v>
      </c>
      <c r="M2837">
        <v>45</v>
      </c>
      <c r="N2837">
        <v>0.9</v>
      </c>
      <c r="O2837" t="s">
        <v>211</v>
      </c>
      <c r="P2837">
        <v>49.5</v>
      </c>
      <c r="R2837" t="s">
        <v>3377</v>
      </c>
      <c r="T2837" t="s">
        <v>3337</v>
      </c>
      <c r="V2837" t="s">
        <v>3882</v>
      </c>
    </row>
    <row r="2838" spans="1:22" ht="12.75" customHeight="1" x14ac:dyDescent="0.15">
      <c r="A2838">
        <v>26</v>
      </c>
      <c r="B2838">
        <v>2026</v>
      </c>
      <c r="C2838" s="21">
        <v>46200</v>
      </c>
      <c r="D2838" t="s">
        <v>122</v>
      </c>
      <c r="E2838" t="s">
        <v>123</v>
      </c>
      <c r="F2838" t="s">
        <v>75</v>
      </c>
      <c r="G2838">
        <v>4.5</v>
      </c>
      <c r="H2838" t="s">
        <v>3492</v>
      </c>
      <c r="I2838" t="s">
        <v>194</v>
      </c>
      <c r="J2838" s="1" t="s">
        <v>188</v>
      </c>
      <c r="K2838" t="s">
        <v>181</v>
      </c>
      <c r="L2838" t="s">
        <v>3340</v>
      </c>
      <c r="M2838">
        <v>62</v>
      </c>
      <c r="N2838">
        <v>0.1</v>
      </c>
      <c r="O2838" t="s">
        <v>211</v>
      </c>
      <c r="P2838">
        <v>5.5</v>
      </c>
      <c r="R2838" t="s">
        <v>3375</v>
      </c>
      <c r="S2838" t="s">
        <v>4354</v>
      </c>
      <c r="T2838" t="s">
        <v>3337</v>
      </c>
      <c r="V2838" t="s">
        <v>4355</v>
      </c>
    </row>
    <row r="2839" spans="1:22" ht="12.75" customHeight="1" x14ac:dyDescent="0.15">
      <c r="A2839">
        <v>26</v>
      </c>
      <c r="B2839">
        <v>2026</v>
      </c>
      <c r="C2839" s="21">
        <v>46200</v>
      </c>
      <c r="D2839" t="s">
        <v>122</v>
      </c>
      <c r="E2839" t="s">
        <v>123</v>
      </c>
      <c r="F2839" t="s">
        <v>75</v>
      </c>
      <c r="G2839">
        <v>4.5</v>
      </c>
      <c r="H2839" t="s">
        <v>3492</v>
      </c>
      <c r="I2839" t="s">
        <v>194</v>
      </c>
      <c r="J2839" s="1" t="s">
        <v>188</v>
      </c>
      <c r="K2839" t="s">
        <v>181</v>
      </c>
      <c r="L2839" t="s">
        <v>3340</v>
      </c>
      <c r="M2839">
        <v>58</v>
      </c>
      <c r="N2839">
        <v>0.1</v>
      </c>
      <c r="O2839" t="s">
        <v>211</v>
      </c>
      <c r="P2839">
        <v>5.5</v>
      </c>
      <c r="R2839" t="s">
        <v>3343</v>
      </c>
      <c r="T2839" t="s">
        <v>3337</v>
      </c>
      <c r="V2839" t="s">
        <v>4355</v>
      </c>
    </row>
    <row r="2840" spans="1:22" ht="12.75" customHeight="1" x14ac:dyDescent="0.15">
      <c r="A2840">
        <v>26</v>
      </c>
      <c r="B2840">
        <v>2026</v>
      </c>
      <c r="C2840" s="21">
        <v>46200</v>
      </c>
      <c r="D2840" t="s">
        <v>122</v>
      </c>
      <c r="E2840" t="s">
        <v>123</v>
      </c>
      <c r="F2840" t="s">
        <v>75</v>
      </c>
      <c r="G2840">
        <v>4.5</v>
      </c>
      <c r="H2840" t="s">
        <v>3492</v>
      </c>
      <c r="I2840" t="s">
        <v>194</v>
      </c>
      <c r="J2840" s="1" t="s">
        <v>188</v>
      </c>
      <c r="K2840" t="s">
        <v>181</v>
      </c>
      <c r="L2840" t="s">
        <v>3340</v>
      </c>
      <c r="M2840">
        <v>53</v>
      </c>
      <c r="N2840">
        <v>0.1</v>
      </c>
      <c r="O2840" t="s">
        <v>211</v>
      </c>
      <c r="P2840">
        <v>5.5</v>
      </c>
      <c r="R2840" t="s">
        <v>3373</v>
      </c>
      <c r="T2840" t="s">
        <v>3337</v>
      </c>
      <c r="V2840" t="s">
        <v>4355</v>
      </c>
    </row>
    <row r="2841" spans="1:22" ht="12.75" customHeight="1" x14ac:dyDescent="0.15">
      <c r="A2841">
        <v>26</v>
      </c>
      <c r="B2841">
        <v>2026</v>
      </c>
      <c r="C2841" s="21">
        <v>46200</v>
      </c>
      <c r="D2841" t="s">
        <v>122</v>
      </c>
      <c r="E2841" t="s">
        <v>123</v>
      </c>
      <c r="F2841" t="s">
        <v>75</v>
      </c>
      <c r="G2841">
        <v>4.5</v>
      </c>
      <c r="H2841" t="s">
        <v>3492</v>
      </c>
      <c r="I2841" t="s">
        <v>194</v>
      </c>
      <c r="J2841" s="1" t="s">
        <v>188</v>
      </c>
      <c r="K2841" t="s">
        <v>181</v>
      </c>
      <c r="L2841" t="s">
        <v>3340</v>
      </c>
      <c r="M2841">
        <v>81</v>
      </c>
      <c r="N2841">
        <v>0.1</v>
      </c>
      <c r="O2841" t="s">
        <v>211</v>
      </c>
      <c r="P2841">
        <v>5.5</v>
      </c>
      <c r="R2841" t="s">
        <v>3374</v>
      </c>
      <c r="T2841" t="s">
        <v>3337</v>
      </c>
      <c r="V2841" t="s">
        <v>4355</v>
      </c>
    </row>
    <row r="2842" spans="1:22" ht="12.75" customHeight="1" x14ac:dyDescent="0.15">
      <c r="A2842">
        <v>26</v>
      </c>
      <c r="B2842">
        <v>2026</v>
      </c>
      <c r="C2842" s="21">
        <v>46200</v>
      </c>
      <c r="D2842" t="s">
        <v>122</v>
      </c>
      <c r="E2842" t="s">
        <v>123</v>
      </c>
      <c r="F2842" t="s">
        <v>75</v>
      </c>
      <c r="G2842">
        <v>4.5</v>
      </c>
      <c r="H2842" t="s">
        <v>3492</v>
      </c>
      <c r="I2842" t="s">
        <v>194</v>
      </c>
      <c r="J2842" s="1" t="s">
        <v>188</v>
      </c>
      <c r="K2842" t="s">
        <v>181</v>
      </c>
      <c r="L2842" t="s">
        <v>3340</v>
      </c>
      <c r="M2842">
        <v>45</v>
      </c>
      <c r="N2842">
        <v>0.1</v>
      </c>
      <c r="O2842" t="s">
        <v>211</v>
      </c>
      <c r="P2842">
        <v>5.5</v>
      </c>
      <c r="R2842" t="s">
        <v>3377</v>
      </c>
      <c r="T2842" t="s">
        <v>3337</v>
      </c>
      <c r="V2842" t="s">
        <v>4355</v>
      </c>
    </row>
    <row r="2843" spans="1:22" ht="12.75" customHeight="1" x14ac:dyDescent="0.15">
      <c r="A2843">
        <v>26</v>
      </c>
      <c r="B2843">
        <v>2026</v>
      </c>
      <c r="C2843" s="21">
        <v>46200</v>
      </c>
      <c r="D2843" t="s">
        <v>47</v>
      </c>
      <c r="E2843" t="s">
        <v>48</v>
      </c>
      <c r="F2843" t="s">
        <v>21</v>
      </c>
      <c r="G2843">
        <v>2</v>
      </c>
      <c r="H2843" t="s">
        <v>4356</v>
      </c>
      <c r="I2843" t="s">
        <v>4357</v>
      </c>
      <c r="J2843" s="1" t="s">
        <v>188</v>
      </c>
      <c r="K2843" t="s">
        <v>181</v>
      </c>
      <c r="L2843" t="s">
        <v>3333</v>
      </c>
      <c r="M2843">
        <v>6</v>
      </c>
      <c r="N2843">
        <v>0.63</v>
      </c>
      <c r="O2843" t="s">
        <v>3334</v>
      </c>
      <c r="P2843">
        <v>50.99</v>
      </c>
      <c r="Q2843">
        <v>5</v>
      </c>
      <c r="R2843" t="s">
        <v>3335</v>
      </c>
      <c r="T2843" t="s">
        <v>3337</v>
      </c>
      <c r="V2843" t="s">
        <v>3500</v>
      </c>
    </row>
    <row r="2844" spans="1:22" ht="12.75" customHeight="1" x14ac:dyDescent="0.15">
      <c r="A2844">
        <v>26</v>
      </c>
      <c r="B2844">
        <v>2026</v>
      </c>
      <c r="C2844" s="21">
        <v>46200</v>
      </c>
      <c r="D2844" t="s">
        <v>107</v>
      </c>
      <c r="E2844" t="s">
        <v>108</v>
      </c>
      <c r="F2844" t="s">
        <v>21</v>
      </c>
      <c r="G2844">
        <v>4.5</v>
      </c>
      <c r="H2844" t="s">
        <v>3400</v>
      </c>
      <c r="I2844" t="s">
        <v>353</v>
      </c>
      <c r="J2844" s="1" t="s">
        <v>253</v>
      </c>
      <c r="K2844" t="s">
        <v>181</v>
      </c>
      <c r="L2844" t="s">
        <v>3333</v>
      </c>
      <c r="M2844">
        <v>6</v>
      </c>
      <c r="N2844">
        <v>0.38</v>
      </c>
      <c r="O2844" t="s">
        <v>3334</v>
      </c>
      <c r="P2844">
        <v>30.59</v>
      </c>
      <c r="Q2844">
        <v>3</v>
      </c>
      <c r="R2844" t="s">
        <v>3335</v>
      </c>
      <c r="T2844" t="s">
        <v>3337</v>
      </c>
      <c r="V2844" t="s">
        <v>3816</v>
      </c>
    </row>
    <row r="2845" spans="1:22" ht="12.75" customHeight="1" x14ac:dyDescent="0.15">
      <c r="A2845">
        <v>26</v>
      </c>
      <c r="B2845">
        <v>2026</v>
      </c>
      <c r="C2845" s="21">
        <v>46200</v>
      </c>
      <c r="D2845" t="s">
        <v>141</v>
      </c>
      <c r="E2845" t="s">
        <v>142</v>
      </c>
      <c r="F2845" t="s">
        <v>75</v>
      </c>
      <c r="G2845">
        <v>1</v>
      </c>
      <c r="H2845" t="s">
        <v>3466</v>
      </c>
      <c r="I2845" t="s">
        <v>3467</v>
      </c>
      <c r="J2845" s="1" t="s">
        <v>3468</v>
      </c>
      <c r="K2845" t="s">
        <v>181</v>
      </c>
      <c r="L2845" t="s">
        <v>3333</v>
      </c>
      <c r="M2845">
        <v>1</v>
      </c>
      <c r="N2845">
        <v>0.75</v>
      </c>
      <c r="O2845" t="s">
        <v>3358</v>
      </c>
      <c r="P2845">
        <v>53.9</v>
      </c>
      <c r="Q2845">
        <v>6</v>
      </c>
      <c r="R2845" t="s">
        <v>3359</v>
      </c>
      <c r="T2845" t="s">
        <v>3337</v>
      </c>
      <c r="V2845" t="s">
        <v>4358</v>
      </c>
    </row>
    <row r="2846" spans="1:22" ht="12.75" customHeight="1" x14ac:dyDescent="0.15">
      <c r="A2846">
        <v>26</v>
      </c>
      <c r="B2846">
        <v>2026</v>
      </c>
      <c r="C2846" s="21">
        <v>46200</v>
      </c>
      <c r="D2846" t="s">
        <v>91</v>
      </c>
      <c r="E2846" t="s">
        <v>92</v>
      </c>
      <c r="F2846" t="s">
        <v>21</v>
      </c>
      <c r="G2846">
        <v>1.3</v>
      </c>
      <c r="H2846" t="s">
        <v>3400</v>
      </c>
      <c r="I2846" t="s">
        <v>353</v>
      </c>
      <c r="J2846" s="1" t="s">
        <v>253</v>
      </c>
      <c r="K2846" t="s">
        <v>181</v>
      </c>
      <c r="L2846" t="s">
        <v>3333</v>
      </c>
      <c r="M2846">
        <v>1</v>
      </c>
      <c r="N2846">
        <v>0.25</v>
      </c>
      <c r="O2846" t="s">
        <v>3358</v>
      </c>
      <c r="P2846">
        <v>17.97</v>
      </c>
      <c r="Q2846">
        <v>2</v>
      </c>
      <c r="R2846" t="s">
        <v>3359</v>
      </c>
      <c r="T2846" t="s">
        <v>3337</v>
      </c>
      <c r="V2846" t="s">
        <v>4359</v>
      </c>
    </row>
    <row r="2847" spans="1:22" ht="12.75" customHeight="1" x14ac:dyDescent="0.15">
      <c r="A2847">
        <v>26</v>
      </c>
      <c r="B2847">
        <v>2026</v>
      </c>
      <c r="C2847" s="21">
        <v>46200</v>
      </c>
      <c r="D2847" t="s">
        <v>107</v>
      </c>
      <c r="E2847" t="s">
        <v>108</v>
      </c>
      <c r="F2847" t="s">
        <v>21</v>
      </c>
      <c r="G2847">
        <v>4.5</v>
      </c>
      <c r="H2847" t="s">
        <v>3400</v>
      </c>
      <c r="I2847" t="s">
        <v>353</v>
      </c>
      <c r="J2847" s="1" t="s">
        <v>253</v>
      </c>
      <c r="K2847" t="s">
        <v>181</v>
      </c>
      <c r="L2847" t="s">
        <v>3333</v>
      </c>
      <c r="M2847">
        <v>2</v>
      </c>
      <c r="N2847">
        <v>1</v>
      </c>
      <c r="O2847" t="s">
        <v>3440</v>
      </c>
      <c r="P2847">
        <v>90.49</v>
      </c>
      <c r="Q2847">
        <v>8</v>
      </c>
      <c r="R2847" t="s">
        <v>3424</v>
      </c>
      <c r="T2847" t="s">
        <v>3337</v>
      </c>
      <c r="V2847" t="s">
        <v>4330</v>
      </c>
    </row>
    <row r="2848" spans="1:22" ht="12.75" customHeight="1" x14ac:dyDescent="0.15">
      <c r="A2848">
        <v>26</v>
      </c>
      <c r="B2848">
        <v>2026</v>
      </c>
      <c r="C2848" s="21">
        <v>46200</v>
      </c>
      <c r="D2848" t="s">
        <v>107</v>
      </c>
      <c r="E2848" t="s">
        <v>108</v>
      </c>
      <c r="F2848" t="s">
        <v>21</v>
      </c>
      <c r="G2848">
        <v>4.5</v>
      </c>
      <c r="H2848" t="s">
        <v>3400</v>
      </c>
      <c r="I2848" t="s">
        <v>353</v>
      </c>
      <c r="J2848" s="1" t="s">
        <v>253</v>
      </c>
      <c r="K2848" t="s">
        <v>181</v>
      </c>
      <c r="L2848" t="s">
        <v>3340</v>
      </c>
      <c r="M2848">
        <v>25</v>
      </c>
      <c r="N2848">
        <v>1</v>
      </c>
      <c r="O2848" t="s">
        <v>211</v>
      </c>
      <c r="P2848">
        <v>55</v>
      </c>
      <c r="R2848" t="s">
        <v>3413</v>
      </c>
      <c r="T2848" t="s">
        <v>3337</v>
      </c>
      <c r="V2848" t="s">
        <v>365</v>
      </c>
    </row>
    <row r="2849" spans="1:22" ht="12.75" customHeight="1" x14ac:dyDescent="0.15">
      <c r="A2849">
        <v>26</v>
      </c>
      <c r="B2849">
        <v>2026</v>
      </c>
      <c r="C2849" s="21">
        <v>46200</v>
      </c>
      <c r="D2849" t="s">
        <v>122</v>
      </c>
      <c r="E2849" t="s">
        <v>123</v>
      </c>
      <c r="F2849" t="s">
        <v>75</v>
      </c>
      <c r="G2849">
        <v>4.5</v>
      </c>
      <c r="H2849" t="s">
        <v>3385</v>
      </c>
      <c r="I2849" t="s">
        <v>344</v>
      </c>
      <c r="J2849" s="1" t="s">
        <v>207</v>
      </c>
      <c r="K2849" t="s">
        <v>181</v>
      </c>
      <c r="L2849" t="s">
        <v>3340</v>
      </c>
      <c r="M2849">
        <v>200</v>
      </c>
      <c r="N2849">
        <v>18</v>
      </c>
      <c r="O2849" t="s">
        <v>211</v>
      </c>
      <c r="P2849">
        <v>990</v>
      </c>
      <c r="R2849" t="s">
        <v>4038</v>
      </c>
      <c r="T2849" t="s">
        <v>3337</v>
      </c>
      <c r="V2849" t="s">
        <v>205</v>
      </c>
    </row>
    <row r="2850" spans="1:22" ht="12.75" customHeight="1" x14ac:dyDescent="0.15">
      <c r="A2850">
        <v>26</v>
      </c>
      <c r="B2850">
        <v>2026</v>
      </c>
      <c r="C2850" s="21">
        <v>46200</v>
      </c>
      <c r="D2850" t="s">
        <v>107</v>
      </c>
      <c r="E2850" t="s">
        <v>108</v>
      </c>
      <c r="F2850" t="s">
        <v>21</v>
      </c>
      <c r="G2850">
        <v>4.5</v>
      </c>
      <c r="H2850" t="s">
        <v>3400</v>
      </c>
      <c r="I2850" t="s">
        <v>353</v>
      </c>
      <c r="J2850" s="1" t="s">
        <v>253</v>
      </c>
      <c r="K2850" t="s">
        <v>181</v>
      </c>
      <c r="L2850" t="s">
        <v>3333</v>
      </c>
      <c r="M2850">
        <v>67</v>
      </c>
      <c r="N2850">
        <v>1</v>
      </c>
      <c r="O2850" t="s">
        <v>3334</v>
      </c>
      <c r="P2850">
        <v>81.58</v>
      </c>
      <c r="Q2850">
        <v>8</v>
      </c>
      <c r="R2850" t="s">
        <v>3404</v>
      </c>
      <c r="T2850" t="s">
        <v>3402</v>
      </c>
      <c r="V2850" t="s">
        <v>3826</v>
      </c>
    </row>
    <row r="2851" spans="1:22" ht="12.75" customHeight="1" x14ac:dyDescent="0.15">
      <c r="A2851">
        <v>26</v>
      </c>
      <c r="B2851">
        <v>2026</v>
      </c>
      <c r="C2851" s="21">
        <v>46200</v>
      </c>
      <c r="D2851" t="s">
        <v>107</v>
      </c>
      <c r="E2851" t="s">
        <v>108</v>
      </c>
      <c r="F2851" t="s">
        <v>21</v>
      </c>
      <c r="G2851">
        <v>4.5</v>
      </c>
      <c r="H2851" t="s">
        <v>3400</v>
      </c>
      <c r="I2851" t="s">
        <v>353</v>
      </c>
      <c r="J2851" s="1" t="s">
        <v>253</v>
      </c>
      <c r="K2851" t="s">
        <v>181</v>
      </c>
      <c r="L2851" t="s">
        <v>3333</v>
      </c>
      <c r="M2851">
        <v>19</v>
      </c>
      <c r="N2851">
        <v>1</v>
      </c>
      <c r="O2851" t="s">
        <v>3334</v>
      </c>
      <c r="P2851">
        <v>81.58</v>
      </c>
      <c r="Q2851">
        <v>8</v>
      </c>
      <c r="R2851" t="s">
        <v>3403</v>
      </c>
      <c r="T2851" t="s">
        <v>3402</v>
      </c>
      <c r="V2851" t="s">
        <v>3826</v>
      </c>
    </row>
    <row r="2852" spans="1:22" ht="12.75" customHeight="1" x14ac:dyDescent="0.15">
      <c r="A2852">
        <v>26</v>
      </c>
      <c r="B2852">
        <v>2026</v>
      </c>
      <c r="C2852" s="21">
        <v>46200</v>
      </c>
      <c r="D2852" t="s">
        <v>107</v>
      </c>
      <c r="E2852" t="s">
        <v>108</v>
      </c>
      <c r="F2852" t="s">
        <v>21</v>
      </c>
      <c r="G2852">
        <v>4.5</v>
      </c>
      <c r="H2852" t="s">
        <v>3672</v>
      </c>
      <c r="I2852" t="s">
        <v>3673</v>
      </c>
      <c r="J2852" s="1" t="s">
        <v>26</v>
      </c>
      <c r="K2852" t="s">
        <v>181</v>
      </c>
      <c r="L2852" t="s">
        <v>3333</v>
      </c>
      <c r="M2852">
        <v>80</v>
      </c>
      <c r="N2852">
        <v>0.5</v>
      </c>
      <c r="O2852" t="s">
        <v>213</v>
      </c>
      <c r="P2852">
        <v>45</v>
      </c>
      <c r="Q2852">
        <v>4</v>
      </c>
      <c r="R2852" t="s">
        <v>3560</v>
      </c>
      <c r="T2852" t="s">
        <v>3402</v>
      </c>
      <c r="V2852" t="s">
        <v>3711</v>
      </c>
    </row>
    <row r="2853" spans="1:22" ht="12.75" customHeight="1" x14ac:dyDescent="0.15">
      <c r="A2853">
        <v>26</v>
      </c>
      <c r="B2853">
        <v>2026</v>
      </c>
      <c r="C2853" s="21">
        <v>46200</v>
      </c>
      <c r="D2853" t="s">
        <v>107</v>
      </c>
      <c r="E2853" t="s">
        <v>108</v>
      </c>
      <c r="F2853" t="s">
        <v>21</v>
      </c>
      <c r="G2853">
        <v>4.5</v>
      </c>
      <c r="H2853" t="s">
        <v>3947</v>
      </c>
      <c r="I2853" t="s">
        <v>3673</v>
      </c>
      <c r="J2853" s="1" t="s">
        <v>26</v>
      </c>
      <c r="K2853" t="s">
        <v>2666</v>
      </c>
      <c r="L2853" t="s">
        <v>3587</v>
      </c>
      <c r="P2853">
        <v>32</v>
      </c>
      <c r="T2853" t="s">
        <v>3402</v>
      </c>
      <c r="V2853" t="s">
        <v>3405</v>
      </c>
    </row>
    <row r="2854" spans="1:22" ht="12.75" customHeight="1" x14ac:dyDescent="0.15">
      <c r="A2854">
        <v>26</v>
      </c>
      <c r="B2854">
        <v>2026</v>
      </c>
      <c r="C2854" s="21">
        <v>46200</v>
      </c>
      <c r="D2854" t="s">
        <v>139</v>
      </c>
      <c r="E2854" t="s">
        <v>140</v>
      </c>
      <c r="F2854" t="s">
        <v>75</v>
      </c>
      <c r="G2854">
        <v>0.8</v>
      </c>
      <c r="H2854" t="s">
        <v>4277</v>
      </c>
      <c r="I2854" t="s">
        <v>4278</v>
      </c>
      <c r="J2854" s="1" t="s">
        <v>3668</v>
      </c>
      <c r="K2854" t="s">
        <v>181</v>
      </c>
      <c r="L2854" t="s">
        <v>3340</v>
      </c>
      <c r="M2854">
        <v>78</v>
      </c>
      <c r="N2854">
        <v>1.31</v>
      </c>
      <c r="O2854" t="s">
        <v>211</v>
      </c>
      <c r="P2854">
        <v>72</v>
      </c>
      <c r="Q2854">
        <v>8</v>
      </c>
      <c r="R2854" t="s">
        <v>3341</v>
      </c>
      <c r="T2854" t="s">
        <v>3402</v>
      </c>
      <c r="V2854" t="s">
        <v>213</v>
      </c>
    </row>
    <row r="2855" spans="1:22" ht="12.75" customHeight="1" x14ac:dyDescent="0.15">
      <c r="A2855">
        <v>26</v>
      </c>
      <c r="B2855">
        <v>2026</v>
      </c>
      <c r="C2855" s="21">
        <v>46200</v>
      </c>
      <c r="D2855" t="s">
        <v>139</v>
      </c>
      <c r="E2855" t="s">
        <v>140</v>
      </c>
      <c r="F2855" t="s">
        <v>75</v>
      </c>
      <c r="G2855">
        <v>0.8</v>
      </c>
      <c r="H2855" t="s">
        <v>4277</v>
      </c>
      <c r="I2855" t="s">
        <v>4278</v>
      </c>
      <c r="J2855" s="1" t="s">
        <v>3668</v>
      </c>
      <c r="K2855" t="s">
        <v>181</v>
      </c>
      <c r="L2855" t="s">
        <v>3333</v>
      </c>
      <c r="M2855">
        <v>4</v>
      </c>
      <c r="N2855">
        <v>0.63</v>
      </c>
      <c r="O2855" t="s">
        <v>3334</v>
      </c>
      <c r="P2855">
        <v>50.99</v>
      </c>
      <c r="Q2855">
        <v>5</v>
      </c>
      <c r="R2855" t="s">
        <v>3773</v>
      </c>
      <c r="T2855" t="s">
        <v>3402</v>
      </c>
      <c r="V2855" t="s">
        <v>4098</v>
      </c>
    </row>
    <row r="2856" spans="1:22" ht="12.75" customHeight="1" x14ac:dyDescent="0.15">
      <c r="A2856">
        <v>26</v>
      </c>
      <c r="B2856">
        <v>2026</v>
      </c>
      <c r="C2856" s="21">
        <v>46200</v>
      </c>
      <c r="D2856" t="s">
        <v>139</v>
      </c>
      <c r="E2856" t="s">
        <v>140</v>
      </c>
      <c r="F2856" t="s">
        <v>75</v>
      </c>
      <c r="G2856">
        <v>0.8</v>
      </c>
      <c r="H2856" t="s">
        <v>4277</v>
      </c>
      <c r="I2856" t="s">
        <v>4278</v>
      </c>
      <c r="J2856" s="1" t="s">
        <v>3668</v>
      </c>
      <c r="K2856" t="s">
        <v>181</v>
      </c>
      <c r="L2856" t="s">
        <v>3333</v>
      </c>
      <c r="M2856">
        <v>86</v>
      </c>
      <c r="N2856">
        <v>0.63</v>
      </c>
      <c r="O2856" t="s">
        <v>3334</v>
      </c>
      <c r="P2856">
        <v>50.99</v>
      </c>
      <c r="Q2856">
        <v>5</v>
      </c>
      <c r="R2856" t="s">
        <v>3386</v>
      </c>
      <c r="T2856" t="s">
        <v>3402</v>
      </c>
      <c r="V2856" t="s">
        <v>4098</v>
      </c>
    </row>
    <row r="2857" spans="1:22" ht="15" customHeight="1" x14ac:dyDescent="0.2">
      <c r="A2857">
        <v>26</v>
      </c>
      <c r="B2857">
        <v>2026</v>
      </c>
      <c r="C2857" s="21">
        <v>46200</v>
      </c>
      <c r="D2857" t="s">
        <v>135</v>
      </c>
      <c r="E2857" s="27" t="s">
        <v>136</v>
      </c>
      <c r="F2857" t="s">
        <v>21</v>
      </c>
      <c r="G2857">
        <v>1</v>
      </c>
      <c r="H2857" t="s">
        <v>3845</v>
      </c>
      <c r="I2857" t="s">
        <v>380</v>
      </c>
      <c r="J2857" s="1" t="s">
        <v>3533</v>
      </c>
      <c r="K2857" t="s">
        <v>181</v>
      </c>
      <c r="L2857" t="s">
        <v>3333</v>
      </c>
      <c r="M2857">
        <v>4</v>
      </c>
      <c r="N2857">
        <v>0.19</v>
      </c>
      <c r="O2857" t="s">
        <v>3334</v>
      </c>
      <c r="P2857">
        <v>15.3</v>
      </c>
      <c r="Q2857">
        <v>1.5</v>
      </c>
      <c r="R2857" t="s">
        <v>3773</v>
      </c>
      <c r="T2857" t="s">
        <v>3402</v>
      </c>
      <c r="V2857" t="s">
        <v>3475</v>
      </c>
    </row>
    <row r="2858" spans="1:22" ht="15" customHeight="1" x14ac:dyDescent="0.2">
      <c r="A2858">
        <v>26</v>
      </c>
      <c r="B2858">
        <v>2026</v>
      </c>
      <c r="C2858" s="21">
        <v>46200</v>
      </c>
      <c r="D2858" t="s">
        <v>135</v>
      </c>
      <c r="E2858" s="27" t="s">
        <v>136</v>
      </c>
      <c r="F2858" t="s">
        <v>21</v>
      </c>
      <c r="G2858">
        <v>1</v>
      </c>
      <c r="H2858" t="s">
        <v>3845</v>
      </c>
      <c r="I2858" t="s">
        <v>380</v>
      </c>
      <c r="J2858" s="1" t="s">
        <v>3533</v>
      </c>
      <c r="K2858" t="s">
        <v>181</v>
      </c>
      <c r="L2858" t="s">
        <v>3333</v>
      </c>
      <c r="M2858">
        <v>86</v>
      </c>
      <c r="N2858">
        <v>0.19</v>
      </c>
      <c r="O2858" t="s">
        <v>3334</v>
      </c>
      <c r="P2858">
        <v>15.3</v>
      </c>
      <c r="Q2858">
        <v>1.5</v>
      </c>
      <c r="R2858" t="s">
        <v>3386</v>
      </c>
      <c r="T2858" t="s">
        <v>3402</v>
      </c>
      <c r="V2858" t="s">
        <v>3475</v>
      </c>
    </row>
    <row r="2859" spans="1:22" ht="12.75" customHeight="1" x14ac:dyDescent="0.15">
      <c r="A2859">
        <v>26</v>
      </c>
      <c r="B2859">
        <v>2026</v>
      </c>
      <c r="C2859" s="21">
        <v>46200</v>
      </c>
      <c r="D2859" t="s">
        <v>141</v>
      </c>
      <c r="E2859" t="s">
        <v>142</v>
      </c>
      <c r="F2859" t="s">
        <v>75</v>
      </c>
      <c r="G2859">
        <v>1</v>
      </c>
      <c r="H2859" t="s">
        <v>3845</v>
      </c>
      <c r="I2859" t="s">
        <v>380</v>
      </c>
      <c r="J2859" s="1" t="s">
        <v>3533</v>
      </c>
      <c r="K2859" t="s">
        <v>181</v>
      </c>
      <c r="L2859" t="s">
        <v>3333</v>
      </c>
      <c r="M2859">
        <v>4</v>
      </c>
      <c r="N2859">
        <v>0.19</v>
      </c>
      <c r="O2859" t="s">
        <v>3334</v>
      </c>
      <c r="P2859">
        <v>15.3</v>
      </c>
      <c r="Q2859">
        <v>1.5</v>
      </c>
      <c r="R2859" t="s">
        <v>3773</v>
      </c>
      <c r="T2859" t="s">
        <v>3402</v>
      </c>
      <c r="V2859" t="s">
        <v>3475</v>
      </c>
    </row>
    <row r="2860" spans="1:22" ht="12.75" customHeight="1" x14ac:dyDescent="0.15">
      <c r="A2860">
        <v>26</v>
      </c>
      <c r="B2860">
        <v>2026</v>
      </c>
      <c r="C2860" s="21">
        <v>46200</v>
      </c>
      <c r="D2860" t="s">
        <v>141</v>
      </c>
      <c r="E2860" t="s">
        <v>142</v>
      </c>
      <c r="F2860" t="s">
        <v>75</v>
      </c>
      <c r="G2860">
        <v>1</v>
      </c>
      <c r="H2860" t="s">
        <v>3845</v>
      </c>
      <c r="I2860" t="s">
        <v>380</v>
      </c>
      <c r="J2860" s="1" t="s">
        <v>3533</v>
      </c>
      <c r="K2860" t="s">
        <v>181</v>
      </c>
      <c r="L2860" t="s">
        <v>3333</v>
      </c>
      <c r="M2860">
        <v>86</v>
      </c>
      <c r="N2860">
        <v>0.19</v>
      </c>
      <c r="O2860" t="s">
        <v>3334</v>
      </c>
      <c r="P2860">
        <v>15.3</v>
      </c>
      <c r="Q2860">
        <v>1.5</v>
      </c>
      <c r="R2860" t="s">
        <v>3386</v>
      </c>
      <c r="T2860" t="s">
        <v>3402</v>
      </c>
      <c r="V2860" t="s">
        <v>3475</v>
      </c>
    </row>
    <row r="2861" spans="1:22" ht="12.75" customHeight="1" x14ac:dyDescent="0.15">
      <c r="A2861">
        <v>26</v>
      </c>
      <c r="B2861">
        <v>2026</v>
      </c>
      <c r="C2861" s="21">
        <v>46202</v>
      </c>
      <c r="D2861" t="s">
        <v>122</v>
      </c>
      <c r="E2861" t="s">
        <v>123</v>
      </c>
      <c r="F2861" t="s">
        <v>75</v>
      </c>
      <c r="G2861">
        <v>4.5</v>
      </c>
      <c r="H2861" t="s">
        <v>3400</v>
      </c>
      <c r="I2861" t="s">
        <v>353</v>
      </c>
      <c r="J2861" s="1" t="s">
        <v>253</v>
      </c>
      <c r="K2861" t="s">
        <v>181</v>
      </c>
      <c r="L2861" t="s">
        <v>3340</v>
      </c>
      <c r="M2861">
        <v>2</v>
      </c>
      <c r="N2861">
        <v>0.98</v>
      </c>
      <c r="O2861" t="s">
        <v>211</v>
      </c>
      <c r="P2861">
        <v>54</v>
      </c>
      <c r="Q2861">
        <v>6</v>
      </c>
      <c r="R2861" t="s">
        <v>3424</v>
      </c>
      <c r="S2861" t="s">
        <v>4360</v>
      </c>
      <c r="T2861" t="s">
        <v>3337</v>
      </c>
      <c r="V2861" t="s">
        <v>227</v>
      </c>
    </row>
    <row r="2862" spans="1:22" ht="12.75" customHeight="1" x14ac:dyDescent="0.15">
      <c r="A2862">
        <v>26</v>
      </c>
      <c r="B2862">
        <v>2026</v>
      </c>
      <c r="C2862" s="21">
        <v>46202</v>
      </c>
      <c r="D2862" t="s">
        <v>122</v>
      </c>
      <c r="E2862" t="s">
        <v>123</v>
      </c>
      <c r="F2862" t="s">
        <v>75</v>
      </c>
      <c r="G2862">
        <v>4.5</v>
      </c>
      <c r="H2862" t="s">
        <v>3400</v>
      </c>
      <c r="I2862" t="s">
        <v>353</v>
      </c>
      <c r="J2862" s="1" t="s">
        <v>253</v>
      </c>
      <c r="K2862" t="s">
        <v>181</v>
      </c>
      <c r="L2862" t="s">
        <v>23</v>
      </c>
      <c r="M2862">
        <v>176</v>
      </c>
      <c r="P2862">
        <v>440</v>
      </c>
      <c r="R2862" t="s">
        <v>4361</v>
      </c>
      <c r="S2862" t="s">
        <v>4362</v>
      </c>
      <c r="T2862" t="s">
        <v>3337</v>
      </c>
      <c r="V2862" t="s">
        <v>4363</v>
      </c>
    </row>
    <row r="2863" spans="1:22" ht="12.75" customHeight="1" x14ac:dyDescent="0.15">
      <c r="A2863">
        <v>26</v>
      </c>
      <c r="B2863">
        <v>2026</v>
      </c>
      <c r="C2863" s="21">
        <v>46202</v>
      </c>
      <c r="D2863" t="s">
        <v>122</v>
      </c>
      <c r="E2863" t="s">
        <v>123</v>
      </c>
      <c r="F2863" t="s">
        <v>75</v>
      </c>
      <c r="G2863">
        <v>4.5</v>
      </c>
      <c r="H2863" t="s">
        <v>3400</v>
      </c>
      <c r="I2863" t="s">
        <v>353</v>
      </c>
      <c r="J2863" s="1" t="s">
        <v>253</v>
      </c>
      <c r="K2863" t="s">
        <v>181</v>
      </c>
      <c r="L2863" t="s">
        <v>3340</v>
      </c>
      <c r="M2863">
        <v>25</v>
      </c>
      <c r="N2863">
        <v>1</v>
      </c>
      <c r="O2863" t="s">
        <v>211</v>
      </c>
      <c r="P2863">
        <v>55</v>
      </c>
      <c r="R2863" t="s">
        <v>3413</v>
      </c>
      <c r="T2863" t="s">
        <v>3337</v>
      </c>
      <c r="V2863" t="s">
        <v>365</v>
      </c>
    </row>
    <row r="2864" spans="1:22" ht="15" customHeight="1" x14ac:dyDescent="0.2">
      <c r="A2864">
        <v>26</v>
      </c>
      <c r="B2864">
        <v>2026</v>
      </c>
      <c r="C2864" s="21">
        <v>46202</v>
      </c>
      <c r="D2864" t="s">
        <v>135</v>
      </c>
      <c r="E2864" s="27" t="s">
        <v>136</v>
      </c>
      <c r="F2864" t="s">
        <v>21</v>
      </c>
      <c r="G2864">
        <v>1</v>
      </c>
      <c r="H2864" t="s">
        <v>4241</v>
      </c>
      <c r="I2864" t="s">
        <v>4242</v>
      </c>
      <c r="J2864" s="1" t="s">
        <v>3668</v>
      </c>
      <c r="K2864" t="s">
        <v>181</v>
      </c>
      <c r="L2864" t="s">
        <v>3340</v>
      </c>
      <c r="M2864">
        <v>67</v>
      </c>
      <c r="N2864">
        <v>1.0900000000000001</v>
      </c>
      <c r="O2864" t="s">
        <v>211</v>
      </c>
      <c r="P2864">
        <v>60</v>
      </c>
      <c r="Q2864">
        <v>6</v>
      </c>
      <c r="R2864" t="s">
        <v>3404</v>
      </c>
      <c r="T2864" t="s">
        <v>3402</v>
      </c>
      <c r="V2864" t="s">
        <v>189</v>
      </c>
    </row>
    <row r="2865" spans="1:22" ht="12.75" customHeight="1" x14ac:dyDescent="0.15">
      <c r="A2865">
        <v>26</v>
      </c>
      <c r="B2865">
        <v>2026</v>
      </c>
      <c r="C2865" s="21">
        <v>46202</v>
      </c>
      <c r="D2865" t="s">
        <v>137</v>
      </c>
      <c r="E2865" t="s">
        <v>138</v>
      </c>
      <c r="F2865" t="s">
        <v>75</v>
      </c>
      <c r="G2865">
        <v>1</v>
      </c>
      <c r="H2865" t="s">
        <v>3804</v>
      </c>
      <c r="I2865" t="s">
        <v>3805</v>
      </c>
      <c r="J2865" s="1" t="s">
        <v>3660</v>
      </c>
      <c r="K2865" t="s">
        <v>181</v>
      </c>
      <c r="L2865" t="s">
        <v>3340</v>
      </c>
      <c r="M2865">
        <v>4</v>
      </c>
      <c r="N2865">
        <v>0</v>
      </c>
      <c r="O2865" t="s">
        <v>211</v>
      </c>
      <c r="P2865">
        <v>0</v>
      </c>
      <c r="R2865" t="s">
        <v>3773</v>
      </c>
      <c r="S2865" t="s">
        <v>4364</v>
      </c>
      <c r="T2865" t="s">
        <v>3402</v>
      </c>
      <c r="V2865" t="s">
        <v>88</v>
      </c>
    </row>
    <row r="2866" spans="1:22" ht="12.75" customHeight="1" x14ac:dyDescent="0.15">
      <c r="A2866">
        <v>26</v>
      </c>
      <c r="B2866">
        <v>2026</v>
      </c>
      <c r="C2866" s="21">
        <v>46202</v>
      </c>
      <c r="D2866" t="s">
        <v>137</v>
      </c>
      <c r="E2866" t="s">
        <v>138</v>
      </c>
      <c r="F2866" t="s">
        <v>75</v>
      </c>
      <c r="G2866">
        <v>1</v>
      </c>
      <c r="H2866" t="s">
        <v>3804</v>
      </c>
      <c r="I2866" t="s">
        <v>3805</v>
      </c>
      <c r="J2866" s="1" t="s">
        <v>3660</v>
      </c>
      <c r="K2866" t="s">
        <v>181</v>
      </c>
      <c r="L2866" t="s">
        <v>3340</v>
      </c>
      <c r="M2866">
        <v>86</v>
      </c>
      <c r="N2866">
        <v>0</v>
      </c>
      <c r="O2866" t="s">
        <v>211</v>
      </c>
      <c r="P2866">
        <v>0</v>
      </c>
      <c r="R2866" t="s">
        <v>3386</v>
      </c>
      <c r="S2866" t="s">
        <v>4365</v>
      </c>
      <c r="T2866" t="s">
        <v>3402</v>
      </c>
      <c r="V2866" t="s">
        <v>88</v>
      </c>
    </row>
    <row r="2867" spans="1:22" ht="15" customHeight="1" x14ac:dyDescent="0.2">
      <c r="A2867">
        <v>26</v>
      </c>
      <c r="B2867">
        <v>2026</v>
      </c>
      <c r="C2867" s="21">
        <v>46202</v>
      </c>
      <c r="D2867" t="s">
        <v>135</v>
      </c>
      <c r="E2867" s="27" t="s">
        <v>136</v>
      </c>
      <c r="F2867" t="s">
        <v>21</v>
      </c>
      <c r="G2867">
        <v>1</v>
      </c>
      <c r="H2867" t="s">
        <v>4241</v>
      </c>
      <c r="I2867" t="s">
        <v>4242</v>
      </c>
      <c r="J2867" s="1" t="s">
        <v>3668</v>
      </c>
      <c r="K2867" t="s">
        <v>181</v>
      </c>
      <c r="L2867" t="s">
        <v>3340</v>
      </c>
      <c r="M2867">
        <v>78</v>
      </c>
      <c r="N2867">
        <v>0.98</v>
      </c>
      <c r="O2867" t="s">
        <v>211</v>
      </c>
      <c r="P2867">
        <v>54</v>
      </c>
      <c r="Q2867">
        <v>6</v>
      </c>
      <c r="R2867" t="s">
        <v>3341</v>
      </c>
      <c r="S2867">
        <v>15.3</v>
      </c>
      <c r="T2867" t="s">
        <v>3402</v>
      </c>
      <c r="V2867" t="s">
        <v>3926</v>
      </c>
    </row>
    <row r="2868" spans="1:22" ht="12.75" customHeight="1" x14ac:dyDescent="0.15">
      <c r="A2868">
        <v>26</v>
      </c>
      <c r="B2868">
        <v>2026</v>
      </c>
      <c r="C2868" s="21">
        <v>46203</v>
      </c>
      <c r="D2868" t="s">
        <v>122</v>
      </c>
      <c r="E2868" t="s">
        <v>123</v>
      </c>
      <c r="F2868" t="s">
        <v>75</v>
      </c>
      <c r="G2868">
        <v>4.5</v>
      </c>
      <c r="H2868" t="s">
        <v>3400</v>
      </c>
      <c r="I2868" t="s">
        <v>353</v>
      </c>
      <c r="J2868" s="1" t="s">
        <v>253</v>
      </c>
      <c r="K2868" t="s">
        <v>181</v>
      </c>
      <c r="L2868" t="s">
        <v>3333</v>
      </c>
      <c r="M2868">
        <v>2</v>
      </c>
      <c r="N2868">
        <v>1</v>
      </c>
      <c r="O2868" t="s">
        <v>3440</v>
      </c>
      <c r="P2868">
        <v>90.49</v>
      </c>
      <c r="Q2868">
        <v>8</v>
      </c>
      <c r="R2868" t="s">
        <v>3424</v>
      </c>
      <c r="T2868" t="s">
        <v>3337</v>
      </c>
      <c r="V2868" t="s">
        <v>4330</v>
      </c>
    </row>
    <row r="2869" spans="1:22" ht="12.75" customHeight="1" x14ac:dyDescent="0.15">
      <c r="A2869">
        <v>26</v>
      </c>
      <c r="B2869">
        <v>2026</v>
      </c>
      <c r="C2869" s="21">
        <v>46203</v>
      </c>
      <c r="D2869" t="s">
        <v>122</v>
      </c>
      <c r="E2869" t="s">
        <v>123</v>
      </c>
      <c r="F2869" t="s">
        <v>75</v>
      </c>
      <c r="G2869">
        <v>4.5</v>
      </c>
      <c r="H2869" t="s">
        <v>3400</v>
      </c>
      <c r="I2869" t="s">
        <v>353</v>
      </c>
      <c r="J2869" s="1" t="s">
        <v>253</v>
      </c>
      <c r="K2869" t="s">
        <v>181</v>
      </c>
      <c r="L2869" t="s">
        <v>23</v>
      </c>
      <c r="M2869">
        <v>176</v>
      </c>
      <c r="P2869">
        <v>550</v>
      </c>
      <c r="R2869" t="s">
        <v>4361</v>
      </c>
      <c r="S2869" t="s">
        <v>4366</v>
      </c>
      <c r="T2869" t="s">
        <v>3337</v>
      </c>
      <c r="V2869" t="s">
        <v>4367</v>
      </c>
    </row>
    <row r="2870" spans="1:22" ht="12.75" customHeight="1" x14ac:dyDescent="0.15">
      <c r="A2870">
        <v>26</v>
      </c>
      <c r="B2870">
        <v>2026</v>
      </c>
      <c r="C2870" s="21">
        <v>46203</v>
      </c>
      <c r="D2870" t="s">
        <v>122</v>
      </c>
      <c r="E2870" t="s">
        <v>123</v>
      </c>
      <c r="F2870" t="s">
        <v>75</v>
      </c>
      <c r="G2870">
        <v>4.5</v>
      </c>
      <c r="H2870" t="s">
        <v>3400</v>
      </c>
      <c r="I2870" t="s">
        <v>353</v>
      </c>
      <c r="J2870" s="1" t="s">
        <v>253</v>
      </c>
      <c r="K2870" t="s">
        <v>181</v>
      </c>
      <c r="L2870" t="s">
        <v>3340</v>
      </c>
      <c r="M2870">
        <v>25</v>
      </c>
      <c r="N2870">
        <v>1</v>
      </c>
      <c r="O2870" t="s">
        <v>211</v>
      </c>
      <c r="P2870">
        <v>55</v>
      </c>
      <c r="R2870" t="s">
        <v>3413</v>
      </c>
      <c r="T2870" t="s">
        <v>3337</v>
      </c>
      <c r="V2870" t="s">
        <v>365</v>
      </c>
    </row>
    <row r="2871" spans="1:22" ht="12.75" customHeight="1" x14ac:dyDescent="0.15">
      <c r="A2871">
        <v>26</v>
      </c>
      <c r="B2871">
        <v>2026</v>
      </c>
      <c r="C2871" s="21">
        <v>46203</v>
      </c>
      <c r="D2871" t="s">
        <v>122</v>
      </c>
      <c r="E2871" t="s">
        <v>123</v>
      </c>
      <c r="F2871" t="s">
        <v>75</v>
      </c>
      <c r="G2871">
        <v>4.5</v>
      </c>
      <c r="H2871" t="s">
        <v>3400</v>
      </c>
      <c r="I2871" t="s">
        <v>353</v>
      </c>
      <c r="J2871" s="1" t="s">
        <v>253</v>
      </c>
      <c r="K2871" t="s">
        <v>181</v>
      </c>
      <c r="L2871" t="s">
        <v>3340</v>
      </c>
      <c r="M2871">
        <v>81</v>
      </c>
      <c r="N2871">
        <v>1.31</v>
      </c>
      <c r="O2871" t="s">
        <v>211</v>
      </c>
      <c r="P2871">
        <v>72</v>
      </c>
      <c r="Q2871">
        <v>8</v>
      </c>
      <c r="R2871" t="s">
        <v>3374</v>
      </c>
      <c r="T2871" t="s">
        <v>3337</v>
      </c>
      <c r="V2871" t="s">
        <v>4141</v>
      </c>
    </row>
    <row r="2872" spans="1:22" ht="12.75" customHeight="1" x14ac:dyDescent="0.15">
      <c r="A2872">
        <v>26</v>
      </c>
      <c r="B2872">
        <v>2026</v>
      </c>
      <c r="C2872" s="21">
        <v>46203</v>
      </c>
      <c r="D2872" t="s">
        <v>122</v>
      </c>
      <c r="E2872" t="s">
        <v>123</v>
      </c>
      <c r="F2872" t="s">
        <v>75</v>
      </c>
      <c r="G2872">
        <v>4.5</v>
      </c>
      <c r="H2872" t="s">
        <v>3400</v>
      </c>
      <c r="I2872" t="s">
        <v>353</v>
      </c>
      <c r="J2872" s="1" t="s">
        <v>253</v>
      </c>
      <c r="K2872" t="s">
        <v>181</v>
      </c>
      <c r="L2872" t="s">
        <v>3340</v>
      </c>
      <c r="M2872">
        <v>58</v>
      </c>
      <c r="N2872">
        <v>1.31</v>
      </c>
      <c r="O2872" t="s">
        <v>211</v>
      </c>
      <c r="P2872">
        <v>72</v>
      </c>
      <c r="Q2872">
        <v>8</v>
      </c>
      <c r="R2872" t="s">
        <v>3343</v>
      </c>
      <c r="T2872" t="s">
        <v>3337</v>
      </c>
      <c r="V2872" t="s">
        <v>4141</v>
      </c>
    </row>
    <row r="2873" spans="1:22" ht="12.75" customHeight="1" x14ac:dyDescent="0.15">
      <c r="A2873">
        <v>26</v>
      </c>
      <c r="B2873">
        <v>2026</v>
      </c>
      <c r="C2873" s="21">
        <v>46203</v>
      </c>
      <c r="D2873" t="s">
        <v>122</v>
      </c>
      <c r="E2873" t="s">
        <v>123</v>
      </c>
      <c r="F2873" t="s">
        <v>75</v>
      </c>
      <c r="G2873">
        <v>4.5</v>
      </c>
      <c r="H2873" t="s">
        <v>3400</v>
      </c>
      <c r="I2873" t="s">
        <v>353</v>
      </c>
      <c r="J2873" s="1" t="s">
        <v>253</v>
      </c>
      <c r="K2873" t="s">
        <v>181</v>
      </c>
      <c r="L2873" t="s">
        <v>3340</v>
      </c>
      <c r="M2873">
        <v>53</v>
      </c>
      <c r="N2873">
        <v>1.31</v>
      </c>
      <c r="O2873" t="s">
        <v>211</v>
      </c>
      <c r="P2873">
        <v>72</v>
      </c>
      <c r="Q2873">
        <v>8</v>
      </c>
      <c r="R2873" t="s">
        <v>3373</v>
      </c>
      <c r="T2873" t="s">
        <v>3337</v>
      </c>
      <c r="V2873" t="s">
        <v>4141</v>
      </c>
    </row>
    <row r="2874" spans="1:22" ht="12.75" customHeight="1" x14ac:dyDescent="0.15">
      <c r="A2874">
        <v>26</v>
      </c>
      <c r="B2874">
        <v>2026</v>
      </c>
      <c r="C2874" s="21">
        <v>46203</v>
      </c>
      <c r="D2874" t="s">
        <v>107</v>
      </c>
      <c r="E2874" t="s">
        <v>108</v>
      </c>
      <c r="F2874" t="s">
        <v>21</v>
      </c>
      <c r="G2874">
        <v>4.5</v>
      </c>
      <c r="H2874" t="s">
        <v>3400</v>
      </c>
      <c r="I2874" t="s">
        <v>353</v>
      </c>
      <c r="J2874" s="1" t="s">
        <v>253</v>
      </c>
      <c r="K2874" t="s">
        <v>181</v>
      </c>
      <c r="L2874" t="s">
        <v>3333</v>
      </c>
      <c r="M2874">
        <v>6</v>
      </c>
      <c r="N2874">
        <v>0.5</v>
      </c>
      <c r="O2874" t="s">
        <v>3334</v>
      </c>
      <c r="P2874">
        <v>40.79</v>
      </c>
      <c r="Q2874">
        <v>4</v>
      </c>
      <c r="R2874" t="s">
        <v>3335</v>
      </c>
      <c r="T2874" t="s">
        <v>3337</v>
      </c>
      <c r="V2874" t="s">
        <v>3870</v>
      </c>
    </row>
    <row r="2875" spans="1:22" ht="12.75" customHeight="1" x14ac:dyDescent="0.15">
      <c r="A2875">
        <v>26</v>
      </c>
      <c r="B2875">
        <v>2026</v>
      </c>
      <c r="C2875" s="21">
        <v>46203</v>
      </c>
      <c r="D2875" t="s">
        <v>107</v>
      </c>
      <c r="E2875" t="s">
        <v>108</v>
      </c>
      <c r="F2875" t="s">
        <v>21</v>
      </c>
      <c r="G2875">
        <v>4.5</v>
      </c>
      <c r="H2875" t="s">
        <v>3400</v>
      </c>
      <c r="I2875" t="s">
        <v>353</v>
      </c>
      <c r="J2875" s="1" t="s">
        <v>253</v>
      </c>
      <c r="K2875" t="s">
        <v>181</v>
      </c>
      <c r="L2875" t="s">
        <v>3333</v>
      </c>
      <c r="M2875">
        <v>1</v>
      </c>
      <c r="N2875">
        <v>0.5</v>
      </c>
      <c r="O2875" t="s">
        <v>3358</v>
      </c>
      <c r="P2875">
        <v>35.93</v>
      </c>
      <c r="Q2875">
        <v>4</v>
      </c>
      <c r="R2875" t="s">
        <v>3359</v>
      </c>
      <c r="T2875" t="s">
        <v>3337</v>
      </c>
      <c r="V2875" t="s">
        <v>3872</v>
      </c>
    </row>
    <row r="2876" spans="1:22" ht="15" customHeight="1" x14ac:dyDescent="0.2">
      <c r="A2876">
        <v>26</v>
      </c>
      <c r="B2876">
        <v>2026</v>
      </c>
      <c r="C2876" s="21">
        <v>46203</v>
      </c>
      <c r="D2876" t="s">
        <v>135</v>
      </c>
      <c r="E2876" s="27" t="s">
        <v>136</v>
      </c>
      <c r="F2876" t="s">
        <v>21</v>
      </c>
      <c r="G2876">
        <v>1</v>
      </c>
      <c r="H2876" t="s">
        <v>4241</v>
      </c>
      <c r="I2876" t="s">
        <v>4242</v>
      </c>
      <c r="J2876" s="1" t="s">
        <v>3668</v>
      </c>
      <c r="K2876" t="s">
        <v>181</v>
      </c>
      <c r="L2876" t="s">
        <v>3333</v>
      </c>
      <c r="M2876">
        <v>67</v>
      </c>
      <c r="N2876">
        <v>0.25</v>
      </c>
      <c r="O2876" t="s">
        <v>3334</v>
      </c>
      <c r="P2876">
        <v>20.399999999999999</v>
      </c>
      <c r="Q2876">
        <v>2</v>
      </c>
      <c r="R2876" t="s">
        <v>3404</v>
      </c>
      <c r="T2876" t="s">
        <v>3402</v>
      </c>
      <c r="V2876" t="s">
        <v>3474</v>
      </c>
    </row>
    <row r="2877" spans="1:22" ht="15" customHeight="1" x14ac:dyDescent="0.2">
      <c r="A2877">
        <v>26</v>
      </c>
      <c r="B2877">
        <v>2026</v>
      </c>
      <c r="C2877" s="21">
        <v>46203</v>
      </c>
      <c r="D2877" t="s">
        <v>135</v>
      </c>
      <c r="E2877" s="27" t="s">
        <v>136</v>
      </c>
      <c r="F2877" t="s">
        <v>21</v>
      </c>
      <c r="G2877">
        <v>1</v>
      </c>
      <c r="H2877" t="s">
        <v>4241</v>
      </c>
      <c r="I2877" t="s">
        <v>4242</v>
      </c>
      <c r="J2877" s="1" t="s">
        <v>3668</v>
      </c>
      <c r="K2877" t="s">
        <v>181</v>
      </c>
      <c r="L2877" t="s">
        <v>3333</v>
      </c>
      <c r="M2877">
        <v>19</v>
      </c>
      <c r="N2877">
        <v>0.25</v>
      </c>
      <c r="O2877" t="s">
        <v>3334</v>
      </c>
      <c r="P2877">
        <v>20.399999999999999</v>
      </c>
      <c r="Q2877">
        <v>2</v>
      </c>
      <c r="R2877" t="s">
        <v>3403</v>
      </c>
      <c r="T2877" t="s">
        <v>3402</v>
      </c>
      <c r="V2877" t="s">
        <v>3474</v>
      </c>
    </row>
    <row r="2878" spans="1:22" ht="12.75" customHeight="1" x14ac:dyDescent="0.15">
      <c r="A2878">
        <v>26</v>
      </c>
      <c r="B2878">
        <v>2026</v>
      </c>
      <c r="C2878" s="21">
        <v>46203</v>
      </c>
      <c r="D2878" t="s">
        <v>139</v>
      </c>
      <c r="E2878" t="s">
        <v>140</v>
      </c>
      <c r="F2878" t="s">
        <v>75</v>
      </c>
      <c r="G2878">
        <v>0.8</v>
      </c>
      <c r="H2878" t="s">
        <v>4241</v>
      </c>
      <c r="I2878" t="s">
        <v>4242</v>
      </c>
      <c r="J2878" s="1" t="s">
        <v>3668</v>
      </c>
      <c r="K2878" t="s">
        <v>181</v>
      </c>
      <c r="L2878" t="s">
        <v>3333</v>
      </c>
      <c r="M2878">
        <v>67</v>
      </c>
      <c r="N2878">
        <v>0.5</v>
      </c>
      <c r="O2878" t="s">
        <v>3334</v>
      </c>
      <c r="P2878">
        <v>40.79</v>
      </c>
      <c r="Q2878">
        <v>4</v>
      </c>
      <c r="R2878" t="s">
        <v>3404</v>
      </c>
      <c r="T2878" t="s">
        <v>3402</v>
      </c>
      <c r="V2878" t="s">
        <v>3574</v>
      </c>
    </row>
    <row r="2879" spans="1:22" ht="12.75" customHeight="1" x14ac:dyDescent="0.15">
      <c r="A2879">
        <v>26</v>
      </c>
      <c r="B2879">
        <v>2026</v>
      </c>
      <c r="C2879" s="21">
        <v>46203</v>
      </c>
      <c r="D2879" t="s">
        <v>139</v>
      </c>
      <c r="E2879" t="s">
        <v>140</v>
      </c>
      <c r="F2879" t="s">
        <v>75</v>
      </c>
      <c r="G2879">
        <v>0.8</v>
      </c>
      <c r="H2879" t="s">
        <v>4241</v>
      </c>
      <c r="I2879" t="s">
        <v>4242</v>
      </c>
      <c r="J2879" s="1" t="s">
        <v>3668</v>
      </c>
      <c r="K2879" t="s">
        <v>181</v>
      </c>
      <c r="L2879" t="s">
        <v>3333</v>
      </c>
      <c r="M2879">
        <v>19</v>
      </c>
      <c r="N2879">
        <v>0.5</v>
      </c>
      <c r="O2879" t="s">
        <v>3334</v>
      </c>
      <c r="P2879">
        <v>40.79</v>
      </c>
      <c r="Q2879">
        <v>4</v>
      </c>
      <c r="R2879" t="s">
        <v>3403</v>
      </c>
      <c r="T2879" t="s">
        <v>3402</v>
      </c>
      <c r="V2879" t="s">
        <v>3574</v>
      </c>
    </row>
    <row r="2880" spans="1:22" ht="12.75" customHeight="1" x14ac:dyDescent="0.15">
      <c r="A2880">
        <v>26</v>
      </c>
      <c r="B2880">
        <v>2026</v>
      </c>
      <c r="C2880" s="21">
        <v>46203</v>
      </c>
      <c r="D2880" t="s">
        <v>137</v>
      </c>
      <c r="E2880" t="s">
        <v>138</v>
      </c>
      <c r="F2880" t="s">
        <v>75</v>
      </c>
      <c r="G2880">
        <v>1</v>
      </c>
      <c r="H2880" t="s">
        <v>4241</v>
      </c>
      <c r="I2880" t="s">
        <v>4242</v>
      </c>
      <c r="J2880" s="1" t="s">
        <v>3668</v>
      </c>
      <c r="K2880" t="s">
        <v>181</v>
      </c>
      <c r="L2880" t="s">
        <v>3333</v>
      </c>
      <c r="M2880">
        <v>67</v>
      </c>
      <c r="N2880">
        <v>0.25</v>
      </c>
      <c r="O2880" t="s">
        <v>3334</v>
      </c>
      <c r="P2880">
        <v>20.399999999999999</v>
      </c>
      <c r="Q2880">
        <v>2</v>
      </c>
      <c r="R2880" t="s">
        <v>3404</v>
      </c>
      <c r="T2880" t="s">
        <v>3402</v>
      </c>
      <c r="V2880" t="s">
        <v>3474</v>
      </c>
    </row>
    <row r="2881" spans="1:22" ht="12.75" customHeight="1" x14ac:dyDescent="0.15">
      <c r="A2881">
        <v>26</v>
      </c>
      <c r="B2881">
        <v>2026</v>
      </c>
      <c r="C2881" s="21">
        <v>46203</v>
      </c>
      <c r="D2881" t="s">
        <v>137</v>
      </c>
      <c r="E2881" t="s">
        <v>138</v>
      </c>
      <c r="F2881" t="s">
        <v>75</v>
      </c>
      <c r="G2881">
        <v>1</v>
      </c>
      <c r="H2881" t="s">
        <v>4241</v>
      </c>
      <c r="I2881" t="s">
        <v>4242</v>
      </c>
      <c r="J2881" s="1" t="s">
        <v>3668</v>
      </c>
      <c r="K2881" t="s">
        <v>181</v>
      </c>
      <c r="L2881" t="s">
        <v>3333</v>
      </c>
      <c r="M2881">
        <v>19</v>
      </c>
      <c r="N2881">
        <v>0.25</v>
      </c>
      <c r="O2881" t="s">
        <v>3334</v>
      </c>
      <c r="P2881">
        <v>20.399999999999999</v>
      </c>
      <c r="Q2881">
        <v>2</v>
      </c>
      <c r="R2881" t="s">
        <v>3403</v>
      </c>
      <c r="T2881" t="s">
        <v>3402</v>
      </c>
      <c r="V2881" t="s">
        <v>3474</v>
      </c>
    </row>
    <row r="2882" spans="1:22" ht="12.75" customHeight="1" x14ac:dyDescent="0.15">
      <c r="A2882">
        <v>26</v>
      </c>
      <c r="B2882">
        <v>2026</v>
      </c>
      <c r="C2882" s="21">
        <v>46203</v>
      </c>
      <c r="D2882" t="s">
        <v>137</v>
      </c>
      <c r="E2882" t="s">
        <v>138</v>
      </c>
      <c r="F2882" t="s">
        <v>75</v>
      </c>
      <c r="G2882">
        <v>1</v>
      </c>
      <c r="H2882" t="s">
        <v>4241</v>
      </c>
      <c r="I2882" t="s">
        <v>4242</v>
      </c>
      <c r="J2882" s="1" t="s">
        <v>3668</v>
      </c>
      <c r="K2882" t="s">
        <v>181</v>
      </c>
      <c r="L2882" t="s">
        <v>3333</v>
      </c>
      <c r="M2882">
        <v>86</v>
      </c>
      <c r="N2882">
        <v>1</v>
      </c>
      <c r="O2882" t="s">
        <v>3334</v>
      </c>
      <c r="P2882">
        <v>81.58</v>
      </c>
      <c r="Q2882">
        <v>8</v>
      </c>
      <c r="R2882" t="s">
        <v>3386</v>
      </c>
      <c r="S2882" t="s">
        <v>4368</v>
      </c>
      <c r="T2882" t="s">
        <v>3402</v>
      </c>
      <c r="V2882" t="s">
        <v>3334</v>
      </c>
    </row>
    <row r="2883" spans="1:22" ht="12.75" customHeight="1" x14ac:dyDescent="0.15">
      <c r="A2883">
        <v>26</v>
      </c>
      <c r="B2883">
        <v>2026</v>
      </c>
      <c r="C2883" s="21">
        <v>46203</v>
      </c>
      <c r="D2883" t="s">
        <v>137</v>
      </c>
      <c r="E2883" t="s">
        <v>138</v>
      </c>
      <c r="F2883" t="s">
        <v>75</v>
      </c>
      <c r="G2883">
        <v>1</v>
      </c>
      <c r="H2883" t="s">
        <v>4241</v>
      </c>
      <c r="I2883" t="s">
        <v>4242</v>
      </c>
      <c r="J2883" s="1" t="s">
        <v>3668</v>
      </c>
      <c r="K2883" t="s">
        <v>181</v>
      </c>
      <c r="L2883" t="s">
        <v>3333</v>
      </c>
      <c r="M2883">
        <v>4</v>
      </c>
      <c r="N2883">
        <v>1</v>
      </c>
      <c r="O2883" t="s">
        <v>3334</v>
      </c>
      <c r="P2883">
        <v>81.58</v>
      </c>
      <c r="Q2883">
        <v>8</v>
      </c>
      <c r="R2883" t="s">
        <v>3773</v>
      </c>
      <c r="S2883" t="s">
        <v>4369</v>
      </c>
      <c r="T2883" t="s">
        <v>3402</v>
      </c>
      <c r="V2883" t="s">
        <v>3334</v>
      </c>
    </row>
    <row r="2884" spans="1:22" ht="12.75" customHeight="1" x14ac:dyDescent="0.15">
      <c r="A2884">
        <v>26</v>
      </c>
      <c r="B2884">
        <v>2026</v>
      </c>
      <c r="C2884" s="21">
        <v>46203</v>
      </c>
      <c r="D2884" t="s">
        <v>137</v>
      </c>
      <c r="E2884" t="s">
        <v>138</v>
      </c>
      <c r="F2884" t="s">
        <v>75</v>
      </c>
      <c r="G2884">
        <v>1</v>
      </c>
      <c r="H2884" t="s">
        <v>4241</v>
      </c>
      <c r="I2884" t="s">
        <v>4242</v>
      </c>
      <c r="J2884" s="1" t="s">
        <v>3668</v>
      </c>
      <c r="K2884" t="s">
        <v>181</v>
      </c>
      <c r="L2884" t="s">
        <v>3340</v>
      </c>
      <c r="M2884">
        <v>78</v>
      </c>
      <c r="N2884">
        <v>1.31</v>
      </c>
      <c r="O2884" t="s">
        <v>211</v>
      </c>
      <c r="P2884">
        <v>72</v>
      </c>
      <c r="Q2884">
        <v>8</v>
      </c>
      <c r="R2884" t="s">
        <v>3341</v>
      </c>
      <c r="S2884" t="s">
        <v>4370</v>
      </c>
      <c r="T2884" t="s">
        <v>3402</v>
      </c>
      <c r="U2884">
        <v>-17</v>
      </c>
      <c r="V2884" t="s">
        <v>193</v>
      </c>
    </row>
    <row r="2885" spans="1:22" ht="12.75" customHeight="1" x14ac:dyDescent="0.15">
      <c r="A2885">
        <v>26</v>
      </c>
      <c r="B2885">
        <v>2026</v>
      </c>
      <c r="C2885" s="21">
        <v>46203</v>
      </c>
      <c r="D2885" t="s">
        <v>107</v>
      </c>
      <c r="E2885" t="s">
        <v>108</v>
      </c>
      <c r="F2885" t="s">
        <v>21</v>
      </c>
      <c r="G2885">
        <v>4.5</v>
      </c>
      <c r="H2885" t="s">
        <v>3672</v>
      </c>
      <c r="I2885" t="s">
        <v>3673</v>
      </c>
      <c r="J2885" s="1" t="s">
        <v>26</v>
      </c>
      <c r="K2885" t="s">
        <v>181</v>
      </c>
      <c r="L2885" t="s">
        <v>3333</v>
      </c>
      <c r="M2885">
        <v>80</v>
      </c>
      <c r="N2885">
        <v>0.63</v>
      </c>
      <c r="O2885" t="s">
        <v>213</v>
      </c>
      <c r="P2885">
        <v>56.25</v>
      </c>
      <c r="Q2885">
        <v>5</v>
      </c>
      <c r="R2885" t="s">
        <v>3560</v>
      </c>
      <c r="T2885" t="s">
        <v>3402</v>
      </c>
      <c r="U2885">
        <v>46</v>
      </c>
      <c r="V2885" t="s">
        <v>3610</v>
      </c>
    </row>
    <row r="2886" spans="1:22" ht="12.75" customHeight="1" x14ac:dyDescent="0.15">
      <c r="A2886">
        <v>26</v>
      </c>
      <c r="B2886">
        <v>2026</v>
      </c>
      <c r="C2886" s="21">
        <v>46203</v>
      </c>
      <c r="D2886" t="s">
        <v>107</v>
      </c>
      <c r="E2886" t="s">
        <v>108</v>
      </c>
      <c r="F2886" t="s">
        <v>21</v>
      </c>
      <c r="G2886">
        <v>4.5</v>
      </c>
      <c r="H2886" t="s">
        <v>3947</v>
      </c>
      <c r="I2886" t="s">
        <v>3673</v>
      </c>
      <c r="J2886" s="1" t="s">
        <v>26</v>
      </c>
      <c r="K2886" t="s">
        <v>2666</v>
      </c>
      <c r="L2886" t="s">
        <v>3587</v>
      </c>
      <c r="P2886">
        <v>40</v>
      </c>
      <c r="T2886" t="s">
        <v>3402</v>
      </c>
      <c r="U2886">
        <v>46</v>
      </c>
      <c r="V2886" t="s">
        <v>4021</v>
      </c>
    </row>
    <row r="2887" spans="1:22" ht="12.75" customHeight="1" x14ac:dyDescent="0.15">
      <c r="A2887">
        <v>26</v>
      </c>
      <c r="B2887">
        <v>2026</v>
      </c>
      <c r="C2887" s="21">
        <v>46204</v>
      </c>
      <c r="D2887" t="s">
        <v>141</v>
      </c>
      <c r="E2887" t="s">
        <v>142</v>
      </c>
      <c r="F2887" t="s">
        <v>75</v>
      </c>
      <c r="G2887">
        <v>1</v>
      </c>
      <c r="H2887" t="s">
        <v>3519</v>
      </c>
      <c r="I2887" t="s">
        <v>214</v>
      </c>
      <c r="J2887" s="1" t="s">
        <v>215</v>
      </c>
      <c r="K2887" t="s">
        <v>181</v>
      </c>
      <c r="L2887" t="s">
        <v>3340</v>
      </c>
      <c r="M2887">
        <v>81</v>
      </c>
      <c r="N2887">
        <v>0.19</v>
      </c>
      <c r="O2887" t="s">
        <v>211</v>
      </c>
      <c r="P2887">
        <v>10.4</v>
      </c>
      <c r="R2887" t="s">
        <v>3374</v>
      </c>
      <c r="S2887" t="s">
        <v>4371</v>
      </c>
      <c r="T2887" t="s">
        <v>3337</v>
      </c>
      <c r="U2887">
        <v>8</v>
      </c>
      <c r="V2887" t="s">
        <v>4372</v>
      </c>
    </row>
    <row r="2888" spans="1:22" ht="12.75" customHeight="1" x14ac:dyDescent="0.15">
      <c r="A2888">
        <v>26</v>
      </c>
      <c r="B2888">
        <v>2026</v>
      </c>
      <c r="C2888" s="21">
        <v>46204</v>
      </c>
      <c r="D2888" t="s">
        <v>141</v>
      </c>
      <c r="E2888" t="s">
        <v>142</v>
      </c>
      <c r="F2888" t="s">
        <v>75</v>
      </c>
      <c r="G2888">
        <v>1</v>
      </c>
      <c r="H2888" t="s">
        <v>3519</v>
      </c>
      <c r="I2888" t="s">
        <v>214</v>
      </c>
      <c r="J2888" s="1" t="s">
        <v>215</v>
      </c>
      <c r="K2888" t="s">
        <v>181</v>
      </c>
      <c r="L2888" t="s">
        <v>3340</v>
      </c>
      <c r="M2888">
        <v>58</v>
      </c>
      <c r="N2888">
        <v>0.19</v>
      </c>
      <c r="O2888" t="s">
        <v>211</v>
      </c>
      <c r="P2888">
        <v>10.4</v>
      </c>
      <c r="R2888" t="s">
        <v>3343</v>
      </c>
      <c r="T2888" t="s">
        <v>3337</v>
      </c>
      <c r="U2888">
        <v>8</v>
      </c>
      <c r="V2888" t="s">
        <v>4372</v>
      </c>
    </row>
    <row r="2889" spans="1:22" ht="12.75" customHeight="1" x14ac:dyDescent="0.15">
      <c r="A2889">
        <v>26</v>
      </c>
      <c r="B2889">
        <v>2026</v>
      </c>
      <c r="C2889" s="21">
        <v>46204</v>
      </c>
      <c r="D2889" t="s">
        <v>141</v>
      </c>
      <c r="E2889" t="s">
        <v>142</v>
      </c>
      <c r="F2889" t="s">
        <v>75</v>
      </c>
      <c r="G2889">
        <v>1</v>
      </c>
      <c r="H2889" t="s">
        <v>3519</v>
      </c>
      <c r="I2889" t="s">
        <v>214</v>
      </c>
      <c r="J2889" s="1" t="s">
        <v>215</v>
      </c>
      <c r="K2889" t="s">
        <v>181</v>
      </c>
      <c r="L2889" t="s">
        <v>3340</v>
      </c>
      <c r="M2889">
        <v>53</v>
      </c>
      <c r="N2889">
        <v>0.19</v>
      </c>
      <c r="O2889" t="s">
        <v>211</v>
      </c>
      <c r="P2889">
        <v>10.4</v>
      </c>
      <c r="R2889" t="s">
        <v>3373</v>
      </c>
      <c r="T2889" t="s">
        <v>3337</v>
      </c>
      <c r="U2889">
        <v>8</v>
      </c>
      <c r="V2889" t="s">
        <v>4372</v>
      </c>
    </row>
    <row r="2890" spans="1:22" ht="12.75" customHeight="1" x14ac:dyDescent="0.15">
      <c r="A2890">
        <v>26</v>
      </c>
      <c r="B2890">
        <v>2026</v>
      </c>
      <c r="C2890" s="21">
        <v>46204</v>
      </c>
      <c r="D2890" t="s">
        <v>141</v>
      </c>
      <c r="E2890" t="s">
        <v>142</v>
      </c>
      <c r="F2890" t="s">
        <v>75</v>
      </c>
      <c r="G2890">
        <v>1</v>
      </c>
      <c r="H2890" t="s">
        <v>3519</v>
      </c>
      <c r="I2890" t="s">
        <v>214</v>
      </c>
      <c r="J2890" s="1" t="s">
        <v>215</v>
      </c>
      <c r="K2890" t="s">
        <v>181</v>
      </c>
      <c r="L2890" t="s">
        <v>3340</v>
      </c>
      <c r="M2890">
        <v>45</v>
      </c>
      <c r="N2890">
        <v>0.19</v>
      </c>
      <c r="O2890" t="s">
        <v>211</v>
      </c>
      <c r="P2890">
        <v>10.4</v>
      </c>
      <c r="R2890" t="s">
        <v>3377</v>
      </c>
      <c r="T2890" t="s">
        <v>3337</v>
      </c>
      <c r="U2890">
        <v>8</v>
      </c>
      <c r="V2890" t="s">
        <v>4372</v>
      </c>
    </row>
    <row r="2891" spans="1:22" ht="12.75" customHeight="1" x14ac:dyDescent="0.15">
      <c r="A2891">
        <v>26</v>
      </c>
      <c r="B2891">
        <v>2026</v>
      </c>
      <c r="C2891" s="21">
        <v>46204</v>
      </c>
      <c r="D2891" t="s">
        <v>141</v>
      </c>
      <c r="E2891" t="s">
        <v>142</v>
      </c>
      <c r="F2891" t="s">
        <v>75</v>
      </c>
      <c r="G2891">
        <v>1</v>
      </c>
      <c r="H2891" t="s">
        <v>3519</v>
      </c>
      <c r="I2891" t="s">
        <v>214</v>
      </c>
      <c r="J2891" s="1" t="s">
        <v>215</v>
      </c>
      <c r="K2891" t="s">
        <v>181</v>
      </c>
      <c r="L2891" t="s">
        <v>3340</v>
      </c>
      <c r="M2891">
        <v>62</v>
      </c>
      <c r="N2891">
        <v>0.19</v>
      </c>
      <c r="O2891" t="s">
        <v>211</v>
      </c>
      <c r="P2891">
        <v>10.4</v>
      </c>
      <c r="R2891" t="s">
        <v>3375</v>
      </c>
      <c r="T2891" t="s">
        <v>3337</v>
      </c>
      <c r="U2891">
        <v>8</v>
      </c>
      <c r="V2891" t="s">
        <v>4372</v>
      </c>
    </row>
    <row r="2892" spans="1:22" ht="12.75" customHeight="1" x14ac:dyDescent="0.15">
      <c r="A2892">
        <v>26</v>
      </c>
      <c r="B2892">
        <v>2026</v>
      </c>
      <c r="C2892" s="21">
        <v>46204</v>
      </c>
      <c r="D2892" t="s">
        <v>143</v>
      </c>
      <c r="E2892" t="s">
        <v>144</v>
      </c>
      <c r="F2892" t="s">
        <v>21</v>
      </c>
      <c r="G2892">
        <v>1.8</v>
      </c>
      <c r="H2892" t="s">
        <v>3519</v>
      </c>
      <c r="I2892" t="s">
        <v>214</v>
      </c>
      <c r="J2892" s="1" t="s">
        <v>215</v>
      </c>
      <c r="K2892" t="s">
        <v>181</v>
      </c>
      <c r="L2892" t="s">
        <v>3340</v>
      </c>
      <c r="M2892">
        <v>81</v>
      </c>
      <c r="N2892">
        <v>0.39</v>
      </c>
      <c r="O2892" t="s">
        <v>211</v>
      </c>
      <c r="P2892">
        <v>21.6</v>
      </c>
      <c r="R2892" t="s">
        <v>3374</v>
      </c>
      <c r="S2892" t="s">
        <v>4373</v>
      </c>
      <c r="T2892" t="s">
        <v>3337</v>
      </c>
      <c r="V2892" t="s">
        <v>227</v>
      </c>
    </row>
    <row r="2893" spans="1:22" ht="12.75" customHeight="1" x14ac:dyDescent="0.15">
      <c r="A2893">
        <v>26</v>
      </c>
      <c r="B2893">
        <v>2026</v>
      </c>
      <c r="C2893" s="21">
        <v>46204</v>
      </c>
      <c r="D2893" t="s">
        <v>143</v>
      </c>
      <c r="E2893" t="s">
        <v>144</v>
      </c>
      <c r="F2893" t="s">
        <v>21</v>
      </c>
      <c r="G2893">
        <v>1.8</v>
      </c>
      <c r="H2893" t="s">
        <v>3519</v>
      </c>
      <c r="I2893" t="s">
        <v>214</v>
      </c>
      <c r="J2893" s="1" t="s">
        <v>215</v>
      </c>
      <c r="K2893" t="s">
        <v>181</v>
      </c>
      <c r="L2893" t="s">
        <v>3340</v>
      </c>
      <c r="M2893">
        <v>58</v>
      </c>
      <c r="N2893">
        <v>0.39</v>
      </c>
      <c r="O2893" t="s">
        <v>211</v>
      </c>
      <c r="P2893">
        <v>21.6</v>
      </c>
      <c r="R2893" t="s">
        <v>3343</v>
      </c>
      <c r="T2893" t="s">
        <v>3337</v>
      </c>
      <c r="V2893" t="s">
        <v>227</v>
      </c>
    </row>
    <row r="2894" spans="1:22" ht="12.75" customHeight="1" x14ac:dyDescent="0.15">
      <c r="A2894">
        <v>26</v>
      </c>
      <c r="B2894">
        <v>2026</v>
      </c>
      <c r="C2894" s="21">
        <v>46204</v>
      </c>
      <c r="D2894" t="s">
        <v>143</v>
      </c>
      <c r="E2894" t="s">
        <v>144</v>
      </c>
      <c r="F2894" t="s">
        <v>21</v>
      </c>
      <c r="G2894">
        <v>1.8</v>
      </c>
      <c r="H2894" t="s">
        <v>3519</v>
      </c>
      <c r="I2894" t="s">
        <v>214</v>
      </c>
      <c r="J2894" s="1" t="s">
        <v>215</v>
      </c>
      <c r="K2894" t="s">
        <v>181</v>
      </c>
      <c r="L2894" t="s">
        <v>3340</v>
      </c>
      <c r="M2894">
        <v>53</v>
      </c>
      <c r="N2894">
        <v>0.39</v>
      </c>
      <c r="O2894" t="s">
        <v>211</v>
      </c>
      <c r="P2894">
        <v>21.6</v>
      </c>
      <c r="R2894" t="s">
        <v>3373</v>
      </c>
      <c r="T2894" t="s">
        <v>3337</v>
      </c>
      <c r="V2894" t="s">
        <v>227</v>
      </c>
    </row>
    <row r="2895" spans="1:22" ht="12.75" customHeight="1" x14ac:dyDescent="0.15">
      <c r="A2895">
        <v>26</v>
      </c>
      <c r="B2895">
        <v>2026</v>
      </c>
      <c r="C2895" s="21">
        <v>46204</v>
      </c>
      <c r="D2895" t="s">
        <v>143</v>
      </c>
      <c r="E2895" t="s">
        <v>144</v>
      </c>
      <c r="F2895" t="s">
        <v>21</v>
      </c>
      <c r="G2895">
        <v>1.8</v>
      </c>
      <c r="H2895" t="s">
        <v>3519</v>
      </c>
      <c r="I2895" t="s">
        <v>214</v>
      </c>
      <c r="J2895" s="1" t="s">
        <v>215</v>
      </c>
      <c r="K2895" t="s">
        <v>181</v>
      </c>
      <c r="L2895" t="s">
        <v>3340</v>
      </c>
      <c r="M2895">
        <v>45</v>
      </c>
      <c r="N2895">
        <v>0.39</v>
      </c>
      <c r="O2895" t="s">
        <v>211</v>
      </c>
      <c r="P2895">
        <v>21.6</v>
      </c>
      <c r="R2895" t="s">
        <v>3377</v>
      </c>
      <c r="T2895" t="s">
        <v>3337</v>
      </c>
      <c r="V2895" t="s">
        <v>227</v>
      </c>
    </row>
    <row r="2896" spans="1:22" ht="12.75" customHeight="1" x14ac:dyDescent="0.15">
      <c r="A2896">
        <v>26</v>
      </c>
      <c r="B2896">
        <v>2026</v>
      </c>
      <c r="C2896" s="21">
        <v>46204</v>
      </c>
      <c r="D2896" t="s">
        <v>143</v>
      </c>
      <c r="E2896" t="s">
        <v>144</v>
      </c>
      <c r="F2896" t="s">
        <v>21</v>
      </c>
      <c r="G2896">
        <v>1.8</v>
      </c>
      <c r="H2896" t="s">
        <v>3519</v>
      </c>
      <c r="I2896" t="s">
        <v>214</v>
      </c>
      <c r="J2896" s="1" t="s">
        <v>215</v>
      </c>
      <c r="K2896" t="s">
        <v>181</v>
      </c>
      <c r="L2896" t="s">
        <v>3340</v>
      </c>
      <c r="M2896">
        <v>62</v>
      </c>
      <c r="N2896">
        <v>0.39</v>
      </c>
      <c r="O2896" t="s">
        <v>211</v>
      </c>
      <c r="P2896">
        <v>21.6</v>
      </c>
      <c r="R2896" t="s">
        <v>3375</v>
      </c>
      <c r="T2896" t="s">
        <v>3337</v>
      </c>
      <c r="V2896" t="s">
        <v>227</v>
      </c>
    </row>
    <row r="2897" spans="1:22" ht="12.75" customHeight="1" x14ac:dyDescent="0.15">
      <c r="A2897">
        <v>26</v>
      </c>
      <c r="B2897">
        <v>2026</v>
      </c>
      <c r="C2897" s="21">
        <v>46204</v>
      </c>
      <c r="D2897" t="s">
        <v>122</v>
      </c>
      <c r="E2897" t="s">
        <v>123</v>
      </c>
      <c r="F2897" t="s">
        <v>75</v>
      </c>
      <c r="G2897">
        <v>4.5</v>
      </c>
      <c r="H2897" t="s">
        <v>3400</v>
      </c>
      <c r="I2897" t="s">
        <v>353</v>
      </c>
      <c r="J2897" s="1" t="s">
        <v>253</v>
      </c>
      <c r="K2897" t="s">
        <v>181</v>
      </c>
      <c r="L2897" t="s">
        <v>23</v>
      </c>
      <c r="M2897">
        <v>176</v>
      </c>
      <c r="P2897">
        <v>715</v>
      </c>
      <c r="R2897" t="s">
        <v>4361</v>
      </c>
      <c r="S2897" t="s">
        <v>4374</v>
      </c>
      <c r="T2897" t="s">
        <v>3337</v>
      </c>
      <c r="V2897" t="s">
        <v>4375</v>
      </c>
    </row>
    <row r="2898" spans="1:22" ht="12.75" customHeight="1" x14ac:dyDescent="0.15">
      <c r="A2898">
        <v>26</v>
      </c>
      <c r="B2898">
        <v>2026</v>
      </c>
      <c r="C2898" s="21">
        <v>46204</v>
      </c>
      <c r="D2898" t="s">
        <v>122</v>
      </c>
      <c r="E2898" t="s">
        <v>123</v>
      </c>
      <c r="F2898" t="s">
        <v>75</v>
      </c>
      <c r="G2898">
        <v>4.5</v>
      </c>
      <c r="H2898" t="s">
        <v>3400</v>
      </c>
      <c r="I2898" t="s">
        <v>353</v>
      </c>
      <c r="J2898" s="1" t="s">
        <v>253</v>
      </c>
      <c r="K2898" t="s">
        <v>181</v>
      </c>
      <c r="L2898" t="s">
        <v>3340</v>
      </c>
      <c r="M2898">
        <v>25</v>
      </c>
      <c r="N2898">
        <v>1</v>
      </c>
      <c r="O2898" t="s">
        <v>211</v>
      </c>
      <c r="P2898">
        <v>55</v>
      </c>
      <c r="R2898" t="s">
        <v>3413</v>
      </c>
      <c r="T2898" t="s">
        <v>3337</v>
      </c>
      <c r="V2898" t="s">
        <v>365</v>
      </c>
    </row>
    <row r="2899" spans="1:22" ht="12.75" customHeight="1" x14ac:dyDescent="0.15">
      <c r="A2899">
        <v>26</v>
      </c>
      <c r="B2899">
        <v>2026</v>
      </c>
      <c r="C2899" s="21">
        <v>46204</v>
      </c>
      <c r="D2899" t="s">
        <v>122</v>
      </c>
      <c r="E2899" t="s">
        <v>123</v>
      </c>
      <c r="F2899" t="s">
        <v>75</v>
      </c>
      <c r="G2899">
        <v>4.5</v>
      </c>
      <c r="H2899" t="s">
        <v>3400</v>
      </c>
      <c r="I2899" t="s">
        <v>353</v>
      </c>
      <c r="J2899" s="1" t="s">
        <v>253</v>
      </c>
      <c r="K2899" t="s">
        <v>181</v>
      </c>
      <c r="L2899" t="s">
        <v>3333</v>
      </c>
      <c r="M2899">
        <v>2</v>
      </c>
      <c r="N2899">
        <v>0.75</v>
      </c>
      <c r="O2899" t="s">
        <v>3440</v>
      </c>
      <c r="P2899">
        <v>67.87</v>
      </c>
      <c r="Q2899">
        <v>6</v>
      </c>
      <c r="R2899" t="s">
        <v>3424</v>
      </c>
      <c r="T2899" t="s">
        <v>3337</v>
      </c>
      <c r="V2899" t="s">
        <v>4341</v>
      </c>
    </row>
    <row r="2900" spans="1:22" ht="12.75" customHeight="1" x14ac:dyDescent="0.15">
      <c r="A2900">
        <v>26</v>
      </c>
      <c r="B2900">
        <v>2026</v>
      </c>
      <c r="C2900" s="21">
        <v>46204</v>
      </c>
      <c r="D2900" t="s">
        <v>89</v>
      </c>
      <c r="E2900" t="s">
        <v>90</v>
      </c>
      <c r="F2900" t="s">
        <v>21</v>
      </c>
      <c r="G2900">
        <v>1</v>
      </c>
      <c r="H2900" t="s">
        <v>3400</v>
      </c>
      <c r="I2900" t="s">
        <v>353</v>
      </c>
      <c r="J2900" s="1" t="s">
        <v>253</v>
      </c>
      <c r="K2900" t="s">
        <v>181</v>
      </c>
      <c r="L2900" t="s">
        <v>3333</v>
      </c>
      <c r="M2900">
        <v>1</v>
      </c>
      <c r="N2900">
        <v>1</v>
      </c>
      <c r="O2900" t="s">
        <v>3358</v>
      </c>
      <c r="P2900">
        <v>71.86</v>
      </c>
      <c r="Q2900">
        <v>8</v>
      </c>
      <c r="R2900" t="s">
        <v>3359</v>
      </c>
      <c r="T2900" t="s">
        <v>3337</v>
      </c>
      <c r="U2900">
        <v>77</v>
      </c>
      <c r="V2900" t="s">
        <v>3358</v>
      </c>
    </row>
    <row r="2901" spans="1:22" ht="12.75" customHeight="1" x14ac:dyDescent="0.15">
      <c r="A2901">
        <v>26</v>
      </c>
      <c r="B2901">
        <v>2026</v>
      </c>
      <c r="C2901" s="21">
        <v>46204</v>
      </c>
      <c r="D2901" t="s">
        <v>89</v>
      </c>
      <c r="E2901" t="s">
        <v>90</v>
      </c>
      <c r="F2901" t="s">
        <v>21</v>
      </c>
      <c r="G2901">
        <v>1</v>
      </c>
      <c r="H2901" t="s">
        <v>3400</v>
      </c>
      <c r="I2901" t="s">
        <v>353</v>
      </c>
      <c r="J2901" s="1" t="s">
        <v>253</v>
      </c>
      <c r="K2901" t="s">
        <v>181</v>
      </c>
      <c r="L2901" t="s">
        <v>3333</v>
      </c>
      <c r="M2901">
        <v>6</v>
      </c>
      <c r="N2901">
        <v>1</v>
      </c>
      <c r="O2901" t="s">
        <v>3334</v>
      </c>
      <c r="P2901">
        <v>81.58</v>
      </c>
      <c r="Q2901">
        <v>8</v>
      </c>
      <c r="R2901" t="s">
        <v>3335</v>
      </c>
      <c r="T2901" t="s">
        <v>3337</v>
      </c>
      <c r="U2901">
        <v>77</v>
      </c>
      <c r="V2901" t="s">
        <v>3334</v>
      </c>
    </row>
    <row r="2902" spans="1:22" ht="12.75" customHeight="1" x14ac:dyDescent="0.15">
      <c r="A2902">
        <v>26</v>
      </c>
      <c r="B2902">
        <v>2026</v>
      </c>
      <c r="C2902" s="21">
        <v>46204</v>
      </c>
      <c r="D2902" t="s">
        <v>137</v>
      </c>
      <c r="E2902" t="s">
        <v>138</v>
      </c>
      <c r="F2902" t="s">
        <v>75</v>
      </c>
      <c r="G2902">
        <v>1</v>
      </c>
      <c r="H2902" t="s">
        <v>4241</v>
      </c>
      <c r="I2902" t="s">
        <v>4242</v>
      </c>
      <c r="J2902" s="1" t="s">
        <v>3668</v>
      </c>
      <c r="K2902" t="s">
        <v>181</v>
      </c>
      <c r="L2902" t="s">
        <v>3333</v>
      </c>
      <c r="M2902">
        <v>67</v>
      </c>
      <c r="N2902">
        <v>0.88</v>
      </c>
      <c r="O2902" t="s">
        <v>3334</v>
      </c>
      <c r="P2902">
        <v>71.38</v>
      </c>
      <c r="Q2902">
        <v>7</v>
      </c>
      <c r="R2902" t="s">
        <v>3404</v>
      </c>
      <c r="T2902" t="s">
        <v>3402</v>
      </c>
      <c r="U2902">
        <v>-16</v>
      </c>
      <c r="V2902" t="s">
        <v>3925</v>
      </c>
    </row>
    <row r="2903" spans="1:22" ht="12.75" customHeight="1" x14ac:dyDescent="0.15">
      <c r="A2903">
        <v>26</v>
      </c>
      <c r="B2903">
        <v>2026</v>
      </c>
      <c r="C2903" s="21">
        <v>46204</v>
      </c>
      <c r="D2903" t="s">
        <v>68</v>
      </c>
      <c r="E2903" t="s">
        <v>69</v>
      </c>
      <c r="F2903" t="s">
        <v>21</v>
      </c>
      <c r="G2903">
        <v>1</v>
      </c>
      <c r="H2903" t="s">
        <v>3799</v>
      </c>
      <c r="I2903" t="s">
        <v>3551</v>
      </c>
      <c r="J2903" s="1" t="s">
        <v>3533</v>
      </c>
      <c r="K2903" t="s">
        <v>181</v>
      </c>
      <c r="L2903" t="s">
        <v>3333</v>
      </c>
      <c r="M2903">
        <v>67</v>
      </c>
      <c r="N2903">
        <v>0.13</v>
      </c>
      <c r="O2903" t="s">
        <v>3334</v>
      </c>
      <c r="P2903">
        <v>10.199999999999999</v>
      </c>
      <c r="Q2903">
        <v>1</v>
      </c>
      <c r="R2903" t="s">
        <v>3404</v>
      </c>
      <c r="T2903" t="s">
        <v>3402</v>
      </c>
      <c r="U2903">
        <v>90</v>
      </c>
      <c r="V2903" t="s">
        <v>3472</v>
      </c>
    </row>
    <row r="2904" spans="1:22" ht="12.75" customHeight="1" x14ac:dyDescent="0.15">
      <c r="A2904">
        <v>26</v>
      </c>
      <c r="B2904">
        <v>2026</v>
      </c>
      <c r="C2904" s="21">
        <v>46204</v>
      </c>
      <c r="D2904" t="s">
        <v>68</v>
      </c>
      <c r="E2904" t="s">
        <v>69</v>
      </c>
      <c r="F2904" t="s">
        <v>21</v>
      </c>
      <c r="G2904">
        <v>1</v>
      </c>
      <c r="H2904" t="s">
        <v>3803</v>
      </c>
      <c r="I2904" t="s">
        <v>3676</v>
      </c>
      <c r="J2904" s="1" t="s">
        <v>3533</v>
      </c>
      <c r="K2904" t="s">
        <v>181</v>
      </c>
      <c r="L2904" t="s">
        <v>3333</v>
      </c>
      <c r="M2904">
        <v>4</v>
      </c>
      <c r="N2904">
        <v>1</v>
      </c>
      <c r="O2904" t="s">
        <v>3334</v>
      </c>
      <c r="P2904">
        <v>81.58</v>
      </c>
      <c r="Q2904">
        <v>8</v>
      </c>
      <c r="R2904" t="s">
        <v>3773</v>
      </c>
      <c r="S2904" t="s">
        <v>4376</v>
      </c>
      <c r="T2904" t="s">
        <v>3402</v>
      </c>
      <c r="U2904">
        <v>90</v>
      </c>
      <c r="V2904" t="s">
        <v>3334</v>
      </c>
    </row>
    <row r="2905" spans="1:22" ht="12.75" customHeight="1" x14ac:dyDescent="0.15">
      <c r="A2905">
        <v>26</v>
      </c>
      <c r="B2905">
        <v>2026</v>
      </c>
      <c r="C2905" s="21">
        <v>46204</v>
      </c>
      <c r="D2905" t="s">
        <v>68</v>
      </c>
      <c r="E2905" t="s">
        <v>69</v>
      </c>
      <c r="F2905" t="s">
        <v>21</v>
      </c>
      <c r="G2905">
        <v>1</v>
      </c>
      <c r="H2905" t="s">
        <v>3536</v>
      </c>
      <c r="I2905" t="s">
        <v>3676</v>
      </c>
      <c r="J2905" s="1" t="s">
        <v>3533</v>
      </c>
      <c r="K2905" t="s">
        <v>181</v>
      </c>
      <c r="L2905" t="s">
        <v>3340</v>
      </c>
      <c r="M2905">
        <v>78</v>
      </c>
      <c r="N2905">
        <v>1.31</v>
      </c>
      <c r="O2905" t="s">
        <v>211</v>
      </c>
      <c r="P2905">
        <v>72</v>
      </c>
      <c r="Q2905">
        <v>8</v>
      </c>
      <c r="R2905" t="s">
        <v>3341</v>
      </c>
      <c r="S2905" t="s">
        <v>4377</v>
      </c>
      <c r="T2905" t="s">
        <v>3402</v>
      </c>
      <c r="U2905">
        <v>90</v>
      </c>
      <c r="V2905" t="s">
        <v>193</v>
      </c>
    </row>
    <row r="2906" spans="1:22" ht="12.75" customHeight="1" x14ac:dyDescent="0.15">
      <c r="A2906">
        <v>26</v>
      </c>
      <c r="B2906">
        <v>2026</v>
      </c>
      <c r="C2906" s="21">
        <v>46204</v>
      </c>
      <c r="D2906" t="s">
        <v>39</v>
      </c>
      <c r="E2906" t="s">
        <v>40</v>
      </c>
      <c r="F2906" t="s">
        <v>21</v>
      </c>
      <c r="G2906">
        <v>1.91</v>
      </c>
      <c r="H2906" t="s">
        <v>4378</v>
      </c>
      <c r="I2906" t="s">
        <v>4379</v>
      </c>
      <c r="J2906" s="1" t="s">
        <v>215</v>
      </c>
      <c r="K2906" t="s">
        <v>181</v>
      </c>
      <c r="L2906" t="s">
        <v>3340</v>
      </c>
      <c r="M2906">
        <v>86</v>
      </c>
      <c r="N2906">
        <v>0.25</v>
      </c>
      <c r="O2906" t="s">
        <v>211</v>
      </c>
      <c r="P2906">
        <v>13.5</v>
      </c>
      <c r="Q2906">
        <v>1.5</v>
      </c>
      <c r="R2906" t="s">
        <v>3386</v>
      </c>
      <c r="T2906" t="s">
        <v>3402</v>
      </c>
      <c r="U2906">
        <v>167</v>
      </c>
      <c r="V2906" t="s">
        <v>4380</v>
      </c>
    </row>
    <row r="2907" spans="1:22" ht="12.75" customHeight="1" x14ac:dyDescent="0.15">
      <c r="A2907">
        <v>26</v>
      </c>
      <c r="B2907">
        <v>2026</v>
      </c>
      <c r="C2907" s="21">
        <v>46204</v>
      </c>
      <c r="D2907" t="s">
        <v>39</v>
      </c>
      <c r="E2907" t="s">
        <v>40</v>
      </c>
      <c r="F2907" t="s">
        <v>21</v>
      </c>
      <c r="G2907">
        <v>1.91</v>
      </c>
      <c r="H2907" t="s">
        <v>4381</v>
      </c>
      <c r="I2907" t="s">
        <v>4382</v>
      </c>
      <c r="J2907" s="1" t="s">
        <v>4383</v>
      </c>
      <c r="K2907" t="s">
        <v>2666</v>
      </c>
      <c r="L2907" t="s">
        <v>3340</v>
      </c>
      <c r="M2907">
        <v>81</v>
      </c>
      <c r="N2907">
        <v>0.56999999999999995</v>
      </c>
      <c r="O2907" t="s">
        <v>211</v>
      </c>
      <c r="P2907">
        <v>31.35</v>
      </c>
      <c r="Q2907">
        <v>1.5</v>
      </c>
      <c r="R2907" t="s">
        <v>3374</v>
      </c>
      <c r="T2907" t="s">
        <v>3402</v>
      </c>
      <c r="U2907">
        <v>167</v>
      </c>
      <c r="V2907" t="s">
        <v>4384</v>
      </c>
    </row>
    <row r="2908" spans="1:22" ht="12.75" customHeight="1" x14ac:dyDescent="0.15">
      <c r="A2908">
        <v>26</v>
      </c>
      <c r="B2908">
        <v>2026</v>
      </c>
      <c r="C2908" s="21">
        <v>46204</v>
      </c>
      <c r="D2908" t="s">
        <v>39</v>
      </c>
      <c r="E2908" t="s">
        <v>40</v>
      </c>
      <c r="F2908" t="s">
        <v>21</v>
      </c>
      <c r="G2908">
        <v>1.91</v>
      </c>
      <c r="H2908" t="s">
        <v>4381</v>
      </c>
      <c r="I2908" t="s">
        <v>4382</v>
      </c>
      <c r="J2908" s="1" t="s">
        <v>4383</v>
      </c>
      <c r="K2908" t="s">
        <v>2666</v>
      </c>
      <c r="L2908" t="s">
        <v>3587</v>
      </c>
      <c r="T2908" t="s">
        <v>3402</v>
      </c>
      <c r="U2908">
        <v>167</v>
      </c>
      <c r="V2908" t="s">
        <v>88</v>
      </c>
    </row>
    <row r="2909" spans="1:22" ht="12.75" customHeight="1" x14ac:dyDescent="0.15">
      <c r="A2909">
        <v>26</v>
      </c>
      <c r="B2909">
        <v>2026</v>
      </c>
      <c r="C2909" s="21">
        <v>46205</v>
      </c>
      <c r="D2909" t="s">
        <v>122</v>
      </c>
      <c r="E2909" t="s">
        <v>123</v>
      </c>
      <c r="F2909" t="s">
        <v>75</v>
      </c>
      <c r="G2909">
        <v>4.5</v>
      </c>
      <c r="H2909" t="s">
        <v>3519</v>
      </c>
      <c r="I2909" t="s">
        <v>214</v>
      </c>
      <c r="J2909" s="1" t="s">
        <v>215</v>
      </c>
      <c r="K2909" t="s">
        <v>181</v>
      </c>
      <c r="L2909" t="s">
        <v>3340</v>
      </c>
      <c r="M2909">
        <v>81</v>
      </c>
      <c r="N2909">
        <v>0.87</v>
      </c>
      <c r="O2909" t="s">
        <v>211</v>
      </c>
      <c r="P2909">
        <v>48</v>
      </c>
      <c r="R2909" t="s">
        <v>3374</v>
      </c>
      <c r="S2909" t="s">
        <v>4385</v>
      </c>
      <c r="T2909" t="s">
        <v>3337</v>
      </c>
      <c r="V2909" t="s">
        <v>4237</v>
      </c>
    </row>
    <row r="2910" spans="1:22" ht="12.75" customHeight="1" x14ac:dyDescent="0.15">
      <c r="A2910">
        <v>26</v>
      </c>
      <c r="B2910">
        <v>2026</v>
      </c>
      <c r="C2910" s="21">
        <v>46205</v>
      </c>
      <c r="D2910" t="s">
        <v>122</v>
      </c>
      <c r="E2910" t="s">
        <v>123</v>
      </c>
      <c r="F2910" t="s">
        <v>75</v>
      </c>
      <c r="G2910">
        <v>4.5</v>
      </c>
      <c r="H2910" t="s">
        <v>3519</v>
      </c>
      <c r="I2910" t="s">
        <v>214</v>
      </c>
      <c r="J2910" s="1" t="s">
        <v>215</v>
      </c>
      <c r="K2910" t="s">
        <v>181</v>
      </c>
      <c r="L2910" t="s">
        <v>3340</v>
      </c>
      <c r="M2910">
        <v>58</v>
      </c>
      <c r="N2910">
        <v>0.87</v>
      </c>
      <c r="O2910" t="s">
        <v>211</v>
      </c>
      <c r="P2910">
        <v>48</v>
      </c>
      <c r="R2910" t="s">
        <v>3343</v>
      </c>
      <c r="T2910" t="s">
        <v>3337</v>
      </c>
      <c r="V2910" t="s">
        <v>4237</v>
      </c>
    </row>
    <row r="2911" spans="1:22" ht="12.75" customHeight="1" x14ac:dyDescent="0.15">
      <c r="A2911">
        <v>26</v>
      </c>
      <c r="B2911">
        <v>2026</v>
      </c>
      <c r="C2911" s="21">
        <v>46205</v>
      </c>
      <c r="D2911" t="s">
        <v>122</v>
      </c>
      <c r="E2911" t="s">
        <v>123</v>
      </c>
      <c r="F2911" t="s">
        <v>75</v>
      </c>
      <c r="G2911">
        <v>4.5</v>
      </c>
      <c r="H2911" t="s">
        <v>3519</v>
      </c>
      <c r="I2911" t="s">
        <v>214</v>
      </c>
      <c r="J2911" s="1" t="s">
        <v>215</v>
      </c>
      <c r="K2911" t="s">
        <v>181</v>
      </c>
      <c r="L2911" t="s">
        <v>3340</v>
      </c>
      <c r="M2911">
        <v>53</v>
      </c>
      <c r="N2911">
        <v>0.87</v>
      </c>
      <c r="O2911" t="s">
        <v>211</v>
      </c>
      <c r="P2911">
        <v>48</v>
      </c>
      <c r="R2911" t="s">
        <v>3373</v>
      </c>
      <c r="T2911" t="s">
        <v>3337</v>
      </c>
      <c r="V2911" t="s">
        <v>4237</v>
      </c>
    </row>
    <row r="2912" spans="1:22" ht="12.75" customHeight="1" x14ac:dyDescent="0.15">
      <c r="A2912">
        <v>26</v>
      </c>
      <c r="B2912">
        <v>2026</v>
      </c>
      <c r="C2912" s="21">
        <v>46205</v>
      </c>
      <c r="D2912" t="s">
        <v>122</v>
      </c>
      <c r="E2912" t="s">
        <v>123</v>
      </c>
      <c r="F2912" t="s">
        <v>75</v>
      </c>
      <c r="G2912">
        <v>4.5</v>
      </c>
      <c r="H2912" t="s">
        <v>3519</v>
      </c>
      <c r="I2912" t="s">
        <v>214</v>
      </c>
      <c r="J2912" s="1" t="s">
        <v>215</v>
      </c>
      <c r="K2912" t="s">
        <v>181</v>
      </c>
      <c r="L2912" t="s">
        <v>3340</v>
      </c>
      <c r="M2912">
        <v>45</v>
      </c>
      <c r="N2912">
        <v>0.87</v>
      </c>
      <c r="O2912" t="s">
        <v>211</v>
      </c>
      <c r="P2912">
        <v>48</v>
      </c>
      <c r="R2912" t="s">
        <v>3377</v>
      </c>
      <c r="T2912" t="s">
        <v>3337</v>
      </c>
      <c r="V2912" t="s">
        <v>4237</v>
      </c>
    </row>
    <row r="2913" spans="1:22" ht="12.75" customHeight="1" x14ac:dyDescent="0.15">
      <c r="A2913">
        <v>26</v>
      </c>
      <c r="B2913">
        <v>2026</v>
      </c>
      <c r="C2913" s="21">
        <v>46205</v>
      </c>
      <c r="D2913" t="s">
        <v>122</v>
      </c>
      <c r="E2913" t="s">
        <v>123</v>
      </c>
      <c r="F2913" t="s">
        <v>75</v>
      </c>
      <c r="G2913">
        <v>4.5</v>
      </c>
      <c r="H2913" t="s">
        <v>3519</v>
      </c>
      <c r="I2913" t="s">
        <v>214</v>
      </c>
      <c r="J2913" s="1" t="s">
        <v>215</v>
      </c>
      <c r="K2913" t="s">
        <v>181</v>
      </c>
      <c r="L2913" t="s">
        <v>3340</v>
      </c>
      <c r="M2913">
        <v>62</v>
      </c>
      <c r="N2913">
        <v>0.87</v>
      </c>
      <c r="O2913" t="s">
        <v>211</v>
      </c>
      <c r="P2913">
        <v>48</v>
      </c>
      <c r="R2913" t="s">
        <v>3375</v>
      </c>
      <c r="T2913" t="s">
        <v>3337</v>
      </c>
      <c r="V2913" t="s">
        <v>4237</v>
      </c>
    </row>
    <row r="2914" spans="1:22" ht="12.75" customHeight="1" x14ac:dyDescent="0.15">
      <c r="A2914">
        <v>26</v>
      </c>
      <c r="B2914">
        <v>2026</v>
      </c>
      <c r="C2914" s="21">
        <v>46205</v>
      </c>
      <c r="D2914" t="s">
        <v>107</v>
      </c>
      <c r="E2914" t="s">
        <v>108</v>
      </c>
      <c r="F2914" t="s">
        <v>21</v>
      </c>
      <c r="G2914">
        <v>4.5</v>
      </c>
      <c r="H2914" t="s">
        <v>3400</v>
      </c>
      <c r="I2914" t="s">
        <v>353</v>
      </c>
      <c r="J2914" s="1" t="s">
        <v>253</v>
      </c>
      <c r="K2914" t="s">
        <v>181</v>
      </c>
      <c r="L2914" t="s">
        <v>3340</v>
      </c>
      <c r="M2914">
        <v>58</v>
      </c>
      <c r="N2914">
        <v>0.33</v>
      </c>
      <c r="O2914" t="s">
        <v>211</v>
      </c>
      <c r="P2914">
        <v>18</v>
      </c>
      <c r="Q2914">
        <v>2</v>
      </c>
      <c r="R2914" t="s">
        <v>3343</v>
      </c>
      <c r="T2914" t="s">
        <v>3337</v>
      </c>
      <c r="U2914">
        <v>48</v>
      </c>
      <c r="V2914" t="s">
        <v>4105</v>
      </c>
    </row>
    <row r="2915" spans="1:22" ht="12.75" customHeight="1" x14ac:dyDescent="0.15">
      <c r="A2915">
        <v>26</v>
      </c>
      <c r="B2915">
        <v>2026</v>
      </c>
      <c r="C2915" s="21">
        <v>46205</v>
      </c>
      <c r="D2915" t="s">
        <v>122</v>
      </c>
      <c r="E2915" t="s">
        <v>123</v>
      </c>
      <c r="F2915" t="s">
        <v>75</v>
      </c>
      <c r="G2915">
        <v>4.5</v>
      </c>
      <c r="H2915" t="s">
        <v>3400</v>
      </c>
      <c r="I2915" t="s">
        <v>353</v>
      </c>
      <c r="J2915" s="1" t="s">
        <v>253</v>
      </c>
      <c r="K2915" t="s">
        <v>181</v>
      </c>
      <c r="L2915" t="s">
        <v>3340</v>
      </c>
      <c r="M2915">
        <v>81</v>
      </c>
      <c r="N2915">
        <v>0.33</v>
      </c>
      <c r="O2915" t="s">
        <v>211</v>
      </c>
      <c r="P2915">
        <v>18</v>
      </c>
      <c r="Q2915">
        <v>2</v>
      </c>
      <c r="R2915" t="s">
        <v>3374</v>
      </c>
      <c r="T2915" t="s">
        <v>3337</v>
      </c>
      <c r="V2915" t="s">
        <v>4105</v>
      </c>
    </row>
    <row r="2916" spans="1:22" ht="12.75" customHeight="1" x14ac:dyDescent="0.15">
      <c r="A2916">
        <v>26</v>
      </c>
      <c r="B2916">
        <v>2026</v>
      </c>
      <c r="C2916" s="21">
        <v>46205</v>
      </c>
      <c r="D2916" t="s">
        <v>122</v>
      </c>
      <c r="E2916" t="s">
        <v>123</v>
      </c>
      <c r="F2916" t="s">
        <v>75</v>
      </c>
      <c r="G2916">
        <v>4.5</v>
      </c>
      <c r="H2916" t="s">
        <v>3400</v>
      </c>
      <c r="I2916" t="s">
        <v>353</v>
      </c>
      <c r="J2916" s="1" t="s">
        <v>253</v>
      </c>
      <c r="K2916" t="s">
        <v>181</v>
      </c>
      <c r="L2916" t="s">
        <v>3340</v>
      </c>
      <c r="M2916">
        <v>58</v>
      </c>
      <c r="N2916">
        <v>0.33</v>
      </c>
      <c r="O2916" t="s">
        <v>211</v>
      </c>
      <c r="P2916">
        <v>18</v>
      </c>
      <c r="Q2916">
        <v>2</v>
      </c>
      <c r="R2916" t="s">
        <v>3343</v>
      </c>
      <c r="T2916" t="s">
        <v>3337</v>
      </c>
      <c r="V2916" t="s">
        <v>4105</v>
      </c>
    </row>
    <row r="2917" spans="1:22" ht="12.75" customHeight="1" x14ac:dyDescent="0.15">
      <c r="A2917">
        <v>26</v>
      </c>
      <c r="B2917">
        <v>2026</v>
      </c>
      <c r="C2917" s="21">
        <v>46205</v>
      </c>
      <c r="D2917" t="s">
        <v>107</v>
      </c>
      <c r="E2917" t="s">
        <v>108</v>
      </c>
      <c r="F2917" t="s">
        <v>21</v>
      </c>
      <c r="G2917">
        <v>4.5</v>
      </c>
      <c r="H2917" t="s">
        <v>3400</v>
      </c>
      <c r="I2917" t="s">
        <v>353</v>
      </c>
      <c r="J2917" s="1" t="s">
        <v>253</v>
      </c>
      <c r="K2917" t="s">
        <v>181</v>
      </c>
      <c r="L2917" t="s">
        <v>3333</v>
      </c>
      <c r="M2917">
        <v>1</v>
      </c>
      <c r="N2917">
        <v>1</v>
      </c>
      <c r="O2917" t="s">
        <v>3358</v>
      </c>
      <c r="P2917">
        <v>71.86</v>
      </c>
      <c r="Q2917">
        <v>8</v>
      </c>
      <c r="R2917" t="s">
        <v>3359</v>
      </c>
      <c r="T2917" t="s">
        <v>3337</v>
      </c>
      <c r="U2917">
        <v>48</v>
      </c>
      <c r="V2917" t="s">
        <v>3817</v>
      </c>
    </row>
    <row r="2918" spans="1:22" ht="12.75" customHeight="1" x14ac:dyDescent="0.15">
      <c r="A2918">
        <v>26</v>
      </c>
      <c r="B2918">
        <v>2026</v>
      </c>
      <c r="C2918" s="21">
        <v>46205</v>
      </c>
      <c r="D2918" t="s">
        <v>107</v>
      </c>
      <c r="E2918" t="s">
        <v>108</v>
      </c>
      <c r="F2918" t="s">
        <v>21</v>
      </c>
      <c r="G2918">
        <v>4.5</v>
      </c>
      <c r="H2918" t="s">
        <v>3400</v>
      </c>
      <c r="I2918" t="s">
        <v>353</v>
      </c>
      <c r="J2918" s="1" t="s">
        <v>253</v>
      </c>
      <c r="K2918" t="s">
        <v>181</v>
      </c>
      <c r="L2918" t="s">
        <v>3333</v>
      </c>
      <c r="M2918">
        <v>6</v>
      </c>
      <c r="N2918">
        <v>1</v>
      </c>
      <c r="O2918" t="s">
        <v>3334</v>
      </c>
      <c r="P2918">
        <v>81.58</v>
      </c>
      <c r="Q2918">
        <v>8</v>
      </c>
      <c r="R2918" t="s">
        <v>3335</v>
      </c>
      <c r="T2918" t="s">
        <v>3337</v>
      </c>
      <c r="U2918">
        <v>48</v>
      </c>
      <c r="V2918" t="s">
        <v>3826</v>
      </c>
    </row>
    <row r="2919" spans="1:22" ht="12.75" customHeight="1" x14ac:dyDescent="0.15">
      <c r="A2919">
        <v>26</v>
      </c>
      <c r="B2919">
        <v>2026</v>
      </c>
      <c r="C2919" s="21">
        <v>46205</v>
      </c>
      <c r="D2919" t="s">
        <v>122</v>
      </c>
      <c r="E2919" t="s">
        <v>123</v>
      </c>
      <c r="F2919" t="s">
        <v>75</v>
      </c>
      <c r="G2919">
        <v>4.5</v>
      </c>
      <c r="H2919" t="s">
        <v>3400</v>
      </c>
      <c r="I2919" t="s">
        <v>353</v>
      </c>
      <c r="J2919" s="1" t="s">
        <v>253</v>
      </c>
      <c r="K2919" t="s">
        <v>181</v>
      </c>
      <c r="L2919" t="s">
        <v>3340</v>
      </c>
      <c r="M2919">
        <v>25</v>
      </c>
      <c r="N2919">
        <v>1.31</v>
      </c>
      <c r="O2919" t="s">
        <v>211</v>
      </c>
      <c r="P2919">
        <v>72</v>
      </c>
      <c r="Q2919">
        <v>8</v>
      </c>
      <c r="R2919" t="s">
        <v>3413</v>
      </c>
      <c r="T2919" t="s">
        <v>3337</v>
      </c>
      <c r="V2919" t="s">
        <v>4141</v>
      </c>
    </row>
    <row r="2920" spans="1:22" ht="12.75" customHeight="1" x14ac:dyDescent="0.15">
      <c r="A2920">
        <v>26</v>
      </c>
      <c r="B2920">
        <v>2026</v>
      </c>
      <c r="C2920" s="21">
        <v>46205</v>
      </c>
      <c r="D2920" t="s">
        <v>122</v>
      </c>
      <c r="E2920" t="s">
        <v>123</v>
      </c>
      <c r="F2920" t="s">
        <v>75</v>
      </c>
      <c r="G2920">
        <v>4.5</v>
      </c>
      <c r="H2920" t="s">
        <v>3400</v>
      </c>
      <c r="I2920" t="s">
        <v>353</v>
      </c>
      <c r="J2920" s="1" t="s">
        <v>253</v>
      </c>
      <c r="K2920" t="s">
        <v>181</v>
      </c>
      <c r="L2920" t="s">
        <v>3333</v>
      </c>
      <c r="M2920">
        <v>2</v>
      </c>
      <c r="N2920">
        <v>1</v>
      </c>
      <c r="O2920" t="s">
        <v>3440</v>
      </c>
      <c r="P2920">
        <v>90.49</v>
      </c>
      <c r="Q2920">
        <v>8</v>
      </c>
      <c r="R2920" t="s">
        <v>3424</v>
      </c>
      <c r="T2920" t="s">
        <v>3337</v>
      </c>
      <c r="V2920" t="s">
        <v>4330</v>
      </c>
    </row>
    <row r="2921" spans="1:22" ht="12.75" customHeight="1" x14ac:dyDescent="0.15">
      <c r="A2921">
        <v>26</v>
      </c>
      <c r="B2921">
        <v>2026</v>
      </c>
      <c r="C2921" s="21">
        <v>46205</v>
      </c>
      <c r="D2921" t="s">
        <v>122</v>
      </c>
      <c r="E2921" t="s">
        <v>123</v>
      </c>
      <c r="F2921" t="s">
        <v>75</v>
      </c>
      <c r="G2921">
        <v>4.5</v>
      </c>
      <c r="H2921" t="s">
        <v>3400</v>
      </c>
      <c r="I2921" t="s">
        <v>353</v>
      </c>
      <c r="J2921" s="1" t="s">
        <v>253</v>
      </c>
      <c r="K2921" t="s">
        <v>181</v>
      </c>
      <c r="L2921" t="s">
        <v>23</v>
      </c>
      <c r="M2921">
        <v>176</v>
      </c>
      <c r="P2921">
        <v>715</v>
      </c>
      <c r="Q2921">
        <v>8</v>
      </c>
      <c r="R2921" t="s">
        <v>4361</v>
      </c>
      <c r="S2921" t="s">
        <v>4386</v>
      </c>
      <c r="T2921" t="s">
        <v>3337</v>
      </c>
      <c r="V2921" t="s">
        <v>4375</v>
      </c>
    </row>
    <row r="2922" spans="1:22" ht="12.75" customHeight="1" x14ac:dyDescent="0.15">
      <c r="A2922">
        <v>26</v>
      </c>
      <c r="B2922">
        <v>2026</v>
      </c>
      <c r="C2922" s="21">
        <v>46205</v>
      </c>
      <c r="D2922" t="s">
        <v>137</v>
      </c>
      <c r="E2922" t="s">
        <v>138</v>
      </c>
      <c r="F2922" t="s">
        <v>75</v>
      </c>
      <c r="G2922">
        <v>1</v>
      </c>
      <c r="H2922" t="s">
        <v>4241</v>
      </c>
      <c r="I2922" t="s">
        <v>4242</v>
      </c>
      <c r="J2922" s="1" t="s">
        <v>3668</v>
      </c>
      <c r="K2922" t="s">
        <v>181</v>
      </c>
      <c r="L2922" t="s">
        <v>3333</v>
      </c>
      <c r="M2922">
        <v>67</v>
      </c>
      <c r="N2922">
        <v>0.63</v>
      </c>
      <c r="O2922" t="s">
        <v>3334</v>
      </c>
      <c r="P2922">
        <v>50.99</v>
      </c>
      <c r="Q2922">
        <v>5</v>
      </c>
      <c r="R2922" t="s">
        <v>3404</v>
      </c>
      <c r="T2922" t="s">
        <v>3402</v>
      </c>
      <c r="U2922">
        <v>-15</v>
      </c>
      <c r="V2922" t="s">
        <v>3574</v>
      </c>
    </row>
    <row r="2923" spans="1:22" ht="12.75" customHeight="1" x14ac:dyDescent="0.15">
      <c r="A2923">
        <v>26</v>
      </c>
      <c r="B2923">
        <v>2026</v>
      </c>
      <c r="C2923" s="21">
        <v>46205</v>
      </c>
      <c r="D2923" t="s">
        <v>89</v>
      </c>
      <c r="E2923" t="s">
        <v>90</v>
      </c>
      <c r="F2923" t="s">
        <v>21</v>
      </c>
      <c r="G2923">
        <v>1</v>
      </c>
      <c r="H2923" t="s">
        <v>4241</v>
      </c>
      <c r="I2923" t="s">
        <v>4242</v>
      </c>
      <c r="J2923" s="1" t="s">
        <v>3668</v>
      </c>
      <c r="K2923" t="s">
        <v>181</v>
      </c>
      <c r="L2923" t="s">
        <v>3333</v>
      </c>
      <c r="M2923">
        <v>67</v>
      </c>
      <c r="N2923">
        <v>0.38</v>
      </c>
      <c r="O2923" t="s">
        <v>3334</v>
      </c>
      <c r="P2923">
        <v>30.59</v>
      </c>
      <c r="Q2923">
        <v>3</v>
      </c>
      <c r="R2923" t="s">
        <v>3404</v>
      </c>
      <c r="T2923" t="s">
        <v>3402</v>
      </c>
      <c r="U2923">
        <v>78</v>
      </c>
      <c r="V2923" t="s">
        <v>3491</v>
      </c>
    </row>
    <row r="2924" spans="1:22" ht="12.75" customHeight="1" x14ac:dyDescent="0.15">
      <c r="A2924">
        <v>26</v>
      </c>
      <c r="B2924">
        <v>2026</v>
      </c>
      <c r="C2924" s="21">
        <v>46205</v>
      </c>
      <c r="D2924" t="s">
        <v>139</v>
      </c>
      <c r="E2924" t="s">
        <v>140</v>
      </c>
      <c r="F2924" t="s">
        <v>75</v>
      </c>
      <c r="G2924">
        <v>0.8</v>
      </c>
      <c r="H2924" t="s">
        <v>4241</v>
      </c>
      <c r="I2924" t="s">
        <v>4242</v>
      </c>
      <c r="J2924" s="1" t="s">
        <v>3668</v>
      </c>
      <c r="K2924" t="s">
        <v>181</v>
      </c>
      <c r="L2924" t="s">
        <v>3333</v>
      </c>
      <c r="M2924">
        <v>86</v>
      </c>
      <c r="N2924">
        <v>0.88</v>
      </c>
      <c r="O2924" t="s">
        <v>3334</v>
      </c>
      <c r="P2924">
        <v>71.38</v>
      </c>
      <c r="Q2924">
        <v>7</v>
      </c>
      <c r="R2924" t="s">
        <v>3386</v>
      </c>
      <c r="T2924" t="s">
        <v>3402</v>
      </c>
      <c r="U2924">
        <v>37</v>
      </c>
      <c r="V2924" t="s">
        <v>4387</v>
      </c>
    </row>
    <row r="2925" spans="1:22" ht="12.75" customHeight="1" x14ac:dyDescent="0.15">
      <c r="A2925">
        <v>26</v>
      </c>
      <c r="B2925">
        <v>2026</v>
      </c>
      <c r="C2925" s="21">
        <v>46205</v>
      </c>
      <c r="D2925" t="s">
        <v>68</v>
      </c>
      <c r="E2925" t="s">
        <v>69</v>
      </c>
      <c r="F2925" t="s">
        <v>21</v>
      </c>
      <c r="G2925">
        <v>1</v>
      </c>
      <c r="H2925" t="s">
        <v>4388</v>
      </c>
      <c r="I2925" t="s">
        <v>4389</v>
      </c>
      <c r="J2925" s="1" t="s">
        <v>3533</v>
      </c>
      <c r="K2925" t="s">
        <v>181</v>
      </c>
      <c r="L2925" t="s">
        <v>3333</v>
      </c>
      <c r="M2925">
        <v>86</v>
      </c>
      <c r="N2925">
        <v>0.13</v>
      </c>
      <c r="O2925" t="s">
        <v>3334</v>
      </c>
      <c r="P2925">
        <v>10.199999999999999</v>
      </c>
      <c r="Q2925">
        <v>1</v>
      </c>
      <c r="R2925" t="s">
        <v>3386</v>
      </c>
      <c r="T2925" t="s">
        <v>3402</v>
      </c>
      <c r="U2925">
        <v>91</v>
      </c>
      <c r="V2925" t="s">
        <v>3472</v>
      </c>
    </row>
    <row r="2926" spans="1:22" ht="12.75" customHeight="1" x14ac:dyDescent="0.15">
      <c r="A2926">
        <v>26</v>
      </c>
      <c r="B2926">
        <v>2026</v>
      </c>
      <c r="C2926" s="21">
        <v>46205</v>
      </c>
      <c r="D2926" t="s">
        <v>68</v>
      </c>
      <c r="E2926" t="s">
        <v>69</v>
      </c>
      <c r="F2926" t="s">
        <v>21</v>
      </c>
      <c r="G2926">
        <v>1</v>
      </c>
      <c r="H2926" t="s">
        <v>3845</v>
      </c>
      <c r="I2926" t="s">
        <v>380</v>
      </c>
      <c r="J2926" s="1" t="s">
        <v>3533</v>
      </c>
      <c r="K2926" t="s">
        <v>181</v>
      </c>
      <c r="L2926" t="s">
        <v>3333</v>
      </c>
      <c r="M2926">
        <v>4</v>
      </c>
      <c r="N2926">
        <v>0.38</v>
      </c>
      <c r="O2926" t="s">
        <v>3334</v>
      </c>
      <c r="P2926">
        <v>30.59</v>
      </c>
      <c r="Q2926">
        <v>3</v>
      </c>
      <c r="R2926" t="s">
        <v>3773</v>
      </c>
      <c r="T2926" t="s">
        <v>3402</v>
      </c>
      <c r="U2926">
        <v>91</v>
      </c>
      <c r="V2926" t="s">
        <v>3491</v>
      </c>
    </row>
    <row r="2927" spans="1:22" ht="12.75" customHeight="1" x14ac:dyDescent="0.15">
      <c r="A2927">
        <v>26</v>
      </c>
      <c r="B2927">
        <v>2026</v>
      </c>
      <c r="C2927" s="21">
        <v>46205</v>
      </c>
      <c r="D2927" t="s">
        <v>68</v>
      </c>
      <c r="E2927" t="s">
        <v>69</v>
      </c>
      <c r="F2927" t="s">
        <v>21</v>
      </c>
      <c r="G2927">
        <v>1</v>
      </c>
      <c r="H2927" t="s">
        <v>3845</v>
      </c>
      <c r="I2927" t="s">
        <v>380</v>
      </c>
      <c r="J2927" s="1" t="s">
        <v>3533</v>
      </c>
      <c r="K2927" t="s">
        <v>181</v>
      </c>
      <c r="L2927" t="s">
        <v>3340</v>
      </c>
      <c r="M2927">
        <v>78</v>
      </c>
      <c r="N2927">
        <v>0.49</v>
      </c>
      <c r="O2927" t="s">
        <v>211</v>
      </c>
      <c r="P2927">
        <v>27</v>
      </c>
      <c r="Q2927">
        <v>3</v>
      </c>
      <c r="R2927" t="s">
        <v>3341</v>
      </c>
      <c r="S2927">
        <v>61.19</v>
      </c>
      <c r="T2927" t="s">
        <v>3402</v>
      </c>
      <c r="U2927">
        <v>91</v>
      </c>
      <c r="V2927" t="s">
        <v>273</v>
      </c>
    </row>
    <row r="2928" spans="1:22" ht="12.75" customHeight="1" x14ac:dyDescent="0.15">
      <c r="A2928">
        <v>26</v>
      </c>
      <c r="B2928">
        <v>2026</v>
      </c>
      <c r="C2928" s="21">
        <v>46205</v>
      </c>
      <c r="D2928" t="s">
        <v>91</v>
      </c>
      <c r="E2928" t="s">
        <v>92</v>
      </c>
      <c r="F2928" t="s">
        <v>21</v>
      </c>
      <c r="G2928">
        <v>1.3</v>
      </c>
      <c r="H2928" t="s">
        <v>3799</v>
      </c>
      <c r="I2928" t="s">
        <v>3551</v>
      </c>
      <c r="J2928" s="1" t="s">
        <v>3533</v>
      </c>
      <c r="K2928" t="s">
        <v>181</v>
      </c>
      <c r="L2928" t="s">
        <v>3333</v>
      </c>
      <c r="M2928">
        <v>4</v>
      </c>
      <c r="N2928">
        <v>0.63</v>
      </c>
      <c r="O2928" t="s">
        <v>3334</v>
      </c>
      <c r="P2928">
        <v>50.99</v>
      </c>
      <c r="Q2928">
        <v>5</v>
      </c>
      <c r="R2928" t="s">
        <v>3773</v>
      </c>
      <c r="S2928">
        <v>81.58</v>
      </c>
      <c r="T2928" t="s">
        <v>3402</v>
      </c>
      <c r="U2928">
        <v>75</v>
      </c>
      <c r="V2928" t="s">
        <v>4137</v>
      </c>
    </row>
    <row r="2929" spans="1:22" ht="12.75" customHeight="1" x14ac:dyDescent="0.15">
      <c r="A2929">
        <v>26</v>
      </c>
      <c r="B2929">
        <v>2026</v>
      </c>
      <c r="C2929" s="21">
        <v>46205</v>
      </c>
      <c r="D2929" t="s">
        <v>91</v>
      </c>
      <c r="E2929" t="s">
        <v>92</v>
      </c>
      <c r="F2929" t="s">
        <v>21</v>
      </c>
      <c r="G2929">
        <v>1.3</v>
      </c>
      <c r="H2929" t="s">
        <v>3799</v>
      </c>
      <c r="I2929" t="s">
        <v>3551</v>
      </c>
      <c r="J2929" s="1" t="s">
        <v>3533</v>
      </c>
      <c r="K2929" t="s">
        <v>181</v>
      </c>
      <c r="L2929" t="s">
        <v>3340</v>
      </c>
      <c r="M2929">
        <v>78</v>
      </c>
      <c r="N2929">
        <v>0.82</v>
      </c>
      <c r="O2929" t="s">
        <v>211</v>
      </c>
      <c r="P2929">
        <v>45</v>
      </c>
      <c r="Q2929">
        <v>5</v>
      </c>
      <c r="R2929" t="s">
        <v>3341</v>
      </c>
      <c r="S2929">
        <v>45.01</v>
      </c>
      <c r="T2929" t="s">
        <v>3402</v>
      </c>
      <c r="U2929">
        <v>75</v>
      </c>
      <c r="V2929" t="s">
        <v>4069</v>
      </c>
    </row>
    <row r="2930" spans="1:22" ht="12.75" customHeight="1" x14ac:dyDescent="0.15">
      <c r="A2930">
        <v>26</v>
      </c>
      <c r="B2930">
        <v>2026</v>
      </c>
      <c r="C2930" s="21">
        <v>46205</v>
      </c>
      <c r="D2930" t="s">
        <v>137</v>
      </c>
      <c r="E2930" t="s">
        <v>138</v>
      </c>
      <c r="F2930" t="s">
        <v>75</v>
      </c>
      <c r="G2930">
        <v>1</v>
      </c>
      <c r="H2930" t="s">
        <v>3804</v>
      </c>
      <c r="I2930" t="s">
        <v>3805</v>
      </c>
      <c r="J2930" s="1" t="s">
        <v>3660</v>
      </c>
      <c r="K2930" t="s">
        <v>181</v>
      </c>
      <c r="L2930" t="s">
        <v>3340</v>
      </c>
      <c r="M2930">
        <v>86</v>
      </c>
      <c r="N2930">
        <v>7.27</v>
      </c>
      <c r="O2930" t="s">
        <v>211</v>
      </c>
      <c r="P2930">
        <v>400</v>
      </c>
      <c r="R2930" t="s">
        <v>3386</v>
      </c>
      <c r="S2930">
        <v>50.99</v>
      </c>
      <c r="T2930" t="s">
        <v>3402</v>
      </c>
      <c r="U2930">
        <v>-15</v>
      </c>
      <c r="V2930" t="s">
        <v>56</v>
      </c>
    </row>
    <row r="2931" spans="1:22" ht="12.75" customHeight="1" x14ac:dyDescent="0.15">
      <c r="A2931">
        <v>26</v>
      </c>
      <c r="B2931">
        <v>2026</v>
      </c>
      <c r="C2931" s="21">
        <v>46205</v>
      </c>
      <c r="D2931" t="s">
        <v>137</v>
      </c>
      <c r="E2931" t="s">
        <v>138</v>
      </c>
      <c r="F2931" t="s">
        <v>75</v>
      </c>
      <c r="G2931">
        <v>1</v>
      </c>
      <c r="H2931" t="s">
        <v>4390</v>
      </c>
      <c r="I2931" t="s">
        <v>4391</v>
      </c>
      <c r="J2931" s="1" t="s">
        <v>3668</v>
      </c>
      <c r="K2931" t="s">
        <v>181</v>
      </c>
      <c r="L2931" t="s">
        <v>3340</v>
      </c>
      <c r="M2931">
        <v>86</v>
      </c>
      <c r="N2931">
        <v>2.96</v>
      </c>
      <c r="O2931" t="s">
        <v>211</v>
      </c>
      <c r="P2931">
        <v>163</v>
      </c>
      <c r="R2931" t="s">
        <v>3386</v>
      </c>
      <c r="S2931">
        <v>10.199999999999999</v>
      </c>
      <c r="T2931" t="s">
        <v>3402</v>
      </c>
      <c r="U2931">
        <v>-15</v>
      </c>
      <c r="V2931" t="s">
        <v>4392</v>
      </c>
    </row>
    <row r="2932" spans="1:22" ht="12.75" customHeight="1" x14ac:dyDescent="0.15">
      <c r="A2932">
        <v>26</v>
      </c>
      <c r="B2932">
        <v>2026</v>
      </c>
      <c r="C2932" s="21">
        <v>46205</v>
      </c>
      <c r="D2932" t="s">
        <v>101</v>
      </c>
      <c r="E2932" t="s">
        <v>102</v>
      </c>
      <c r="F2932" t="s">
        <v>75</v>
      </c>
      <c r="G2932">
        <v>7.6</v>
      </c>
      <c r="H2932" t="s">
        <v>3672</v>
      </c>
      <c r="I2932" t="s">
        <v>3673</v>
      </c>
      <c r="J2932" s="1" t="s">
        <v>26</v>
      </c>
      <c r="K2932" t="s">
        <v>181</v>
      </c>
      <c r="L2932" t="s">
        <v>3333</v>
      </c>
      <c r="M2932">
        <v>80</v>
      </c>
      <c r="N2932">
        <v>0.38</v>
      </c>
      <c r="O2932" t="s">
        <v>213</v>
      </c>
      <c r="P2932">
        <v>33.75</v>
      </c>
      <c r="Q2932">
        <v>3</v>
      </c>
      <c r="R2932" t="s">
        <v>3560</v>
      </c>
      <c r="S2932">
        <v>10.199999999999999</v>
      </c>
      <c r="T2932" t="s">
        <v>3402</v>
      </c>
      <c r="U2932">
        <v>65</v>
      </c>
      <c r="V2932" t="s">
        <v>4161</v>
      </c>
    </row>
    <row r="2933" spans="1:22" ht="12.75" customHeight="1" x14ac:dyDescent="0.15">
      <c r="A2933">
        <v>26</v>
      </c>
      <c r="B2933">
        <v>2026</v>
      </c>
      <c r="C2933" s="21">
        <v>46205</v>
      </c>
      <c r="D2933" t="s">
        <v>101</v>
      </c>
      <c r="E2933" t="s">
        <v>102</v>
      </c>
      <c r="F2933" t="s">
        <v>75</v>
      </c>
      <c r="G2933">
        <v>7.6</v>
      </c>
      <c r="H2933" t="s">
        <v>3947</v>
      </c>
      <c r="I2933" t="s">
        <v>3673</v>
      </c>
      <c r="J2933" s="1" t="s">
        <v>26</v>
      </c>
      <c r="K2933" t="s">
        <v>2666</v>
      </c>
      <c r="L2933" t="s">
        <v>3587</v>
      </c>
      <c r="P2933">
        <v>24</v>
      </c>
      <c r="S2933">
        <v>9</v>
      </c>
      <c r="T2933" t="s">
        <v>3402</v>
      </c>
      <c r="U2933">
        <v>65</v>
      </c>
      <c r="V2933" t="s">
        <v>3381</v>
      </c>
    </row>
    <row r="2934" spans="1:22" ht="12.75" customHeight="1" x14ac:dyDescent="0.15">
      <c r="A2934">
        <v>27</v>
      </c>
      <c r="B2934">
        <v>2026</v>
      </c>
      <c r="C2934" s="21">
        <v>46206</v>
      </c>
      <c r="D2934" t="s">
        <v>122</v>
      </c>
      <c r="E2934" t="s">
        <v>123</v>
      </c>
      <c r="F2934" t="s">
        <v>75</v>
      </c>
      <c r="G2934">
        <v>4.5</v>
      </c>
      <c r="H2934" t="s">
        <v>3400</v>
      </c>
      <c r="I2934" t="s">
        <v>353</v>
      </c>
      <c r="J2934" s="1" t="s">
        <v>253</v>
      </c>
      <c r="K2934" t="s">
        <v>181</v>
      </c>
      <c r="L2934" t="s">
        <v>23</v>
      </c>
      <c r="M2934">
        <v>176</v>
      </c>
      <c r="P2934">
        <v>660</v>
      </c>
      <c r="Q2934">
        <v>8</v>
      </c>
      <c r="R2934" t="s">
        <v>4361</v>
      </c>
      <c r="S2934" t="s">
        <v>4393</v>
      </c>
      <c r="T2934" t="s">
        <v>3337</v>
      </c>
      <c r="V2934" t="s">
        <v>4394</v>
      </c>
    </row>
    <row r="2935" spans="1:22" ht="12.75" customHeight="1" x14ac:dyDescent="0.15">
      <c r="A2935">
        <v>27</v>
      </c>
      <c r="B2935">
        <v>2026</v>
      </c>
      <c r="C2935" s="21">
        <v>46206</v>
      </c>
      <c r="D2935" t="s">
        <v>122</v>
      </c>
      <c r="E2935" t="s">
        <v>123</v>
      </c>
      <c r="F2935" t="s">
        <v>75</v>
      </c>
      <c r="G2935">
        <v>4.5</v>
      </c>
      <c r="H2935" t="s">
        <v>3400</v>
      </c>
      <c r="I2935" t="s">
        <v>353</v>
      </c>
      <c r="J2935" s="1" t="s">
        <v>253</v>
      </c>
      <c r="K2935" t="s">
        <v>181</v>
      </c>
      <c r="L2935" t="s">
        <v>3340</v>
      </c>
      <c r="M2935">
        <v>25</v>
      </c>
      <c r="N2935">
        <v>1.31</v>
      </c>
      <c r="O2935" t="s">
        <v>211</v>
      </c>
      <c r="P2935">
        <v>72</v>
      </c>
      <c r="Q2935">
        <v>8</v>
      </c>
      <c r="R2935" t="s">
        <v>3413</v>
      </c>
      <c r="T2935" t="s">
        <v>3337</v>
      </c>
      <c r="V2935" t="s">
        <v>4141</v>
      </c>
    </row>
    <row r="2936" spans="1:22" ht="12.75" customHeight="1" x14ac:dyDescent="0.15">
      <c r="A2936">
        <v>27</v>
      </c>
      <c r="B2936">
        <v>2026</v>
      </c>
      <c r="C2936" s="21">
        <v>46206</v>
      </c>
      <c r="D2936" t="s">
        <v>122</v>
      </c>
      <c r="E2936" t="s">
        <v>123</v>
      </c>
      <c r="F2936" t="s">
        <v>75</v>
      </c>
      <c r="G2936">
        <v>4.5</v>
      </c>
      <c r="H2936" t="s">
        <v>3400</v>
      </c>
      <c r="I2936" t="s">
        <v>353</v>
      </c>
      <c r="J2936" s="1" t="s">
        <v>253</v>
      </c>
      <c r="K2936" t="s">
        <v>181</v>
      </c>
      <c r="L2936" t="s">
        <v>3340</v>
      </c>
      <c r="M2936">
        <v>53</v>
      </c>
      <c r="N2936">
        <v>1.31</v>
      </c>
      <c r="O2936" t="s">
        <v>211</v>
      </c>
      <c r="P2936">
        <v>72</v>
      </c>
      <c r="Q2936">
        <v>8</v>
      </c>
      <c r="R2936" t="s">
        <v>3373</v>
      </c>
      <c r="T2936" t="s">
        <v>3337</v>
      </c>
      <c r="V2936" t="s">
        <v>4141</v>
      </c>
    </row>
    <row r="2937" spans="1:22" ht="12.75" customHeight="1" x14ac:dyDescent="0.15">
      <c r="A2937">
        <v>27</v>
      </c>
      <c r="B2937">
        <v>2026</v>
      </c>
      <c r="C2937" s="21">
        <v>46206</v>
      </c>
      <c r="D2937" t="s">
        <v>122</v>
      </c>
      <c r="E2937" t="s">
        <v>123</v>
      </c>
      <c r="F2937" t="s">
        <v>75</v>
      </c>
      <c r="G2937">
        <v>4.5</v>
      </c>
      <c r="H2937" t="s">
        <v>3400</v>
      </c>
      <c r="I2937" t="s">
        <v>353</v>
      </c>
      <c r="J2937" s="1" t="s">
        <v>253</v>
      </c>
      <c r="K2937" t="s">
        <v>181</v>
      </c>
      <c r="L2937" t="s">
        <v>3340</v>
      </c>
      <c r="M2937">
        <v>45</v>
      </c>
      <c r="N2937">
        <v>1.31</v>
      </c>
      <c r="O2937" t="s">
        <v>211</v>
      </c>
      <c r="P2937">
        <v>72</v>
      </c>
      <c r="Q2937">
        <v>8</v>
      </c>
      <c r="R2937" t="s">
        <v>3377</v>
      </c>
      <c r="T2937" t="s">
        <v>3337</v>
      </c>
      <c r="V2937" t="s">
        <v>4141</v>
      </c>
    </row>
    <row r="2938" spans="1:22" ht="12.75" customHeight="1" x14ac:dyDescent="0.15">
      <c r="A2938">
        <v>27</v>
      </c>
      <c r="B2938">
        <v>2026</v>
      </c>
      <c r="C2938" s="21">
        <v>46206</v>
      </c>
      <c r="D2938" t="s">
        <v>122</v>
      </c>
      <c r="E2938" t="s">
        <v>123</v>
      </c>
      <c r="F2938" t="s">
        <v>75</v>
      </c>
      <c r="G2938">
        <v>4.5</v>
      </c>
      <c r="H2938" t="s">
        <v>3400</v>
      </c>
      <c r="I2938" t="s">
        <v>353</v>
      </c>
      <c r="J2938" s="1" t="s">
        <v>253</v>
      </c>
      <c r="K2938" t="s">
        <v>181</v>
      </c>
      <c r="L2938" t="s">
        <v>3340</v>
      </c>
      <c r="M2938">
        <v>58</v>
      </c>
      <c r="N2938">
        <v>1.31</v>
      </c>
      <c r="O2938" t="s">
        <v>211</v>
      </c>
      <c r="P2938">
        <v>72</v>
      </c>
      <c r="Q2938">
        <v>8</v>
      </c>
      <c r="R2938" t="s">
        <v>3343</v>
      </c>
      <c r="T2938" t="s">
        <v>3337</v>
      </c>
      <c r="V2938" t="s">
        <v>4141</v>
      </c>
    </row>
    <row r="2939" spans="1:22" ht="12.75" customHeight="1" x14ac:dyDescent="0.15">
      <c r="A2939">
        <v>27</v>
      </c>
      <c r="B2939">
        <v>2026</v>
      </c>
      <c r="C2939" s="21">
        <v>46206</v>
      </c>
      <c r="D2939" t="s">
        <v>122</v>
      </c>
      <c r="E2939" t="s">
        <v>123</v>
      </c>
      <c r="F2939" t="s">
        <v>75</v>
      </c>
      <c r="G2939">
        <v>4.5</v>
      </c>
      <c r="H2939" t="s">
        <v>3400</v>
      </c>
      <c r="I2939" t="s">
        <v>353</v>
      </c>
      <c r="J2939" s="1" t="s">
        <v>253</v>
      </c>
      <c r="K2939" t="s">
        <v>181</v>
      </c>
      <c r="L2939" t="s">
        <v>3340</v>
      </c>
      <c r="M2939">
        <v>81</v>
      </c>
      <c r="N2939">
        <v>1.31</v>
      </c>
      <c r="O2939" t="s">
        <v>211</v>
      </c>
      <c r="P2939">
        <v>72</v>
      </c>
      <c r="Q2939">
        <v>8</v>
      </c>
      <c r="R2939" t="s">
        <v>3374</v>
      </c>
      <c r="T2939" t="s">
        <v>3337</v>
      </c>
      <c r="V2939" t="s">
        <v>4141</v>
      </c>
    </row>
    <row r="2940" spans="1:22" ht="12.75" customHeight="1" x14ac:dyDescent="0.15">
      <c r="A2940">
        <v>27</v>
      </c>
      <c r="B2940">
        <v>2026</v>
      </c>
      <c r="C2940" s="21">
        <v>46206</v>
      </c>
      <c r="D2940" t="s">
        <v>122</v>
      </c>
      <c r="E2940" t="s">
        <v>123</v>
      </c>
      <c r="F2940" t="s">
        <v>75</v>
      </c>
      <c r="G2940">
        <v>4.5</v>
      </c>
      <c r="H2940" t="s">
        <v>3400</v>
      </c>
      <c r="I2940" t="s">
        <v>353</v>
      </c>
      <c r="J2940" s="1" t="s">
        <v>253</v>
      </c>
      <c r="K2940" t="s">
        <v>181</v>
      </c>
      <c r="L2940" t="s">
        <v>3333</v>
      </c>
      <c r="M2940">
        <v>2</v>
      </c>
      <c r="N2940">
        <v>1</v>
      </c>
      <c r="O2940" t="s">
        <v>3440</v>
      </c>
      <c r="P2940">
        <v>90.49</v>
      </c>
      <c r="Q2940">
        <v>8</v>
      </c>
      <c r="R2940" t="s">
        <v>3424</v>
      </c>
      <c r="T2940" t="s">
        <v>3337</v>
      </c>
      <c r="V2940" t="s">
        <v>4330</v>
      </c>
    </row>
    <row r="2941" spans="1:22" ht="12.75" customHeight="1" x14ac:dyDescent="0.15">
      <c r="A2941">
        <v>27</v>
      </c>
      <c r="B2941">
        <v>2026</v>
      </c>
      <c r="C2941" s="21">
        <v>46206</v>
      </c>
      <c r="D2941" t="s">
        <v>107</v>
      </c>
      <c r="E2941" t="s">
        <v>108</v>
      </c>
      <c r="F2941" t="s">
        <v>21</v>
      </c>
      <c r="G2941">
        <v>4.5</v>
      </c>
      <c r="H2941" t="s">
        <v>3400</v>
      </c>
      <c r="I2941" t="s">
        <v>353</v>
      </c>
      <c r="J2941" s="1" t="s">
        <v>253</v>
      </c>
      <c r="K2941" t="s">
        <v>181</v>
      </c>
      <c r="L2941" t="s">
        <v>3333</v>
      </c>
      <c r="M2941">
        <v>1</v>
      </c>
      <c r="N2941">
        <v>1</v>
      </c>
      <c r="O2941" t="s">
        <v>3358</v>
      </c>
      <c r="P2941">
        <v>71.86</v>
      </c>
      <c r="Q2941">
        <v>8</v>
      </c>
      <c r="R2941" t="s">
        <v>3359</v>
      </c>
      <c r="T2941" t="s">
        <v>3337</v>
      </c>
      <c r="U2941">
        <v>49</v>
      </c>
      <c r="V2941" t="s">
        <v>3817</v>
      </c>
    </row>
    <row r="2942" spans="1:22" ht="12.75" customHeight="1" x14ac:dyDescent="0.15">
      <c r="A2942">
        <v>27</v>
      </c>
      <c r="B2942">
        <v>2026</v>
      </c>
      <c r="C2942" s="21">
        <v>46206</v>
      </c>
      <c r="D2942" t="s">
        <v>107</v>
      </c>
      <c r="E2942" t="s">
        <v>108</v>
      </c>
      <c r="F2942" t="s">
        <v>21</v>
      </c>
      <c r="G2942">
        <v>4.5</v>
      </c>
      <c r="H2942" t="s">
        <v>3400</v>
      </c>
      <c r="I2942" t="s">
        <v>353</v>
      </c>
      <c r="J2942" s="1" t="s">
        <v>253</v>
      </c>
      <c r="K2942" t="s">
        <v>181</v>
      </c>
      <c r="L2942" t="s">
        <v>3333</v>
      </c>
      <c r="M2942">
        <v>6</v>
      </c>
      <c r="N2942">
        <v>1</v>
      </c>
      <c r="O2942" t="s">
        <v>3334</v>
      </c>
      <c r="P2942">
        <v>81.58</v>
      </c>
      <c r="Q2942">
        <v>8</v>
      </c>
      <c r="R2942" t="s">
        <v>3335</v>
      </c>
      <c r="T2942" t="s">
        <v>3337</v>
      </c>
      <c r="U2942">
        <v>49</v>
      </c>
      <c r="V2942" t="s">
        <v>3826</v>
      </c>
    </row>
    <row r="2943" spans="1:22" ht="12.75" customHeight="1" x14ac:dyDescent="0.15">
      <c r="A2943">
        <v>27</v>
      </c>
      <c r="B2943">
        <v>2026</v>
      </c>
      <c r="C2943" s="21">
        <v>46206</v>
      </c>
      <c r="D2943" t="s">
        <v>47</v>
      </c>
      <c r="E2943" t="s">
        <v>48</v>
      </c>
      <c r="F2943" t="s">
        <v>21</v>
      </c>
      <c r="G2943">
        <v>2</v>
      </c>
      <c r="H2943" t="s">
        <v>4378</v>
      </c>
      <c r="I2943" t="s">
        <v>4379</v>
      </c>
      <c r="J2943" s="1" t="s">
        <v>215</v>
      </c>
      <c r="K2943" t="s">
        <v>181</v>
      </c>
      <c r="L2943" t="s">
        <v>3333</v>
      </c>
      <c r="M2943">
        <v>80</v>
      </c>
      <c r="N2943">
        <v>0.38</v>
      </c>
      <c r="O2943" t="s">
        <v>213</v>
      </c>
      <c r="P2943">
        <v>33.75</v>
      </c>
      <c r="Q2943">
        <v>3</v>
      </c>
      <c r="R2943" t="s">
        <v>3560</v>
      </c>
      <c r="S2943">
        <v>13.5</v>
      </c>
      <c r="T2943" t="s">
        <v>3402</v>
      </c>
      <c r="U2943">
        <v>134</v>
      </c>
      <c r="V2943" t="s">
        <v>3651</v>
      </c>
    </row>
    <row r="2944" spans="1:22" ht="12.75" customHeight="1" x14ac:dyDescent="0.15">
      <c r="A2944">
        <v>27</v>
      </c>
      <c r="B2944">
        <v>2026</v>
      </c>
      <c r="C2944" s="21">
        <v>46206</v>
      </c>
      <c r="D2944" t="s">
        <v>47</v>
      </c>
      <c r="E2944" t="s">
        <v>48</v>
      </c>
      <c r="F2944" t="s">
        <v>21</v>
      </c>
      <c r="G2944">
        <v>2</v>
      </c>
      <c r="H2944" t="s">
        <v>4381</v>
      </c>
      <c r="I2944" t="s">
        <v>4382</v>
      </c>
      <c r="J2944" s="1" t="s">
        <v>4383</v>
      </c>
      <c r="K2944" t="s">
        <v>2666</v>
      </c>
      <c r="L2944" t="s">
        <v>3587</v>
      </c>
      <c r="P2944">
        <v>24</v>
      </c>
      <c r="T2944" t="s">
        <v>3402</v>
      </c>
      <c r="U2944">
        <v>134</v>
      </c>
      <c r="V2944" t="s">
        <v>227</v>
      </c>
    </row>
    <row r="2945" spans="1:22" ht="12.75" customHeight="1" x14ac:dyDescent="0.15">
      <c r="A2945">
        <v>27</v>
      </c>
      <c r="B2945">
        <v>2026</v>
      </c>
      <c r="C2945" s="21">
        <v>46206</v>
      </c>
      <c r="D2945" t="s">
        <v>47</v>
      </c>
      <c r="E2945" t="s">
        <v>48</v>
      </c>
      <c r="F2945" t="s">
        <v>21</v>
      </c>
      <c r="G2945">
        <v>2</v>
      </c>
      <c r="H2945" t="s">
        <v>4378</v>
      </c>
      <c r="I2945" t="s">
        <v>4379</v>
      </c>
      <c r="J2945" s="1" t="s">
        <v>215</v>
      </c>
      <c r="K2945" t="s">
        <v>181</v>
      </c>
      <c r="L2945" t="s">
        <v>3333</v>
      </c>
      <c r="M2945">
        <v>86</v>
      </c>
      <c r="N2945">
        <v>0.38</v>
      </c>
      <c r="O2945" t="s">
        <v>3334</v>
      </c>
      <c r="P2945">
        <v>30.59</v>
      </c>
      <c r="Q2945">
        <v>3</v>
      </c>
      <c r="R2945" t="s">
        <v>3386</v>
      </c>
      <c r="S2945" t="s">
        <v>4395</v>
      </c>
      <c r="T2945" t="s">
        <v>3402</v>
      </c>
      <c r="U2945">
        <v>134</v>
      </c>
      <c r="V2945" t="s">
        <v>3475</v>
      </c>
    </row>
    <row r="2946" spans="1:22" ht="12.75" customHeight="1" x14ac:dyDescent="0.15">
      <c r="A2946">
        <v>27</v>
      </c>
      <c r="B2946">
        <v>2026</v>
      </c>
      <c r="C2946" s="21">
        <v>46206</v>
      </c>
      <c r="D2946" t="s">
        <v>89</v>
      </c>
      <c r="E2946" t="s">
        <v>90</v>
      </c>
      <c r="F2946" t="s">
        <v>21</v>
      </c>
      <c r="G2946">
        <v>1</v>
      </c>
      <c r="H2946" t="s">
        <v>4241</v>
      </c>
      <c r="I2946" t="s">
        <v>4242</v>
      </c>
      <c r="J2946" s="1" t="s">
        <v>3668</v>
      </c>
      <c r="K2946" t="s">
        <v>181</v>
      </c>
      <c r="L2946" t="s">
        <v>3333</v>
      </c>
      <c r="M2946">
        <v>67</v>
      </c>
      <c r="N2946">
        <v>0.5</v>
      </c>
      <c r="O2946" t="s">
        <v>3334</v>
      </c>
      <c r="P2946">
        <v>40.79</v>
      </c>
      <c r="Q2946">
        <v>4</v>
      </c>
      <c r="R2946" t="s">
        <v>3404</v>
      </c>
      <c r="T2946" t="s">
        <v>3402</v>
      </c>
      <c r="U2946">
        <v>79</v>
      </c>
      <c r="V2946" t="s">
        <v>3456</v>
      </c>
    </row>
    <row r="2947" spans="1:22" ht="12.75" customHeight="1" x14ac:dyDescent="0.15">
      <c r="A2947">
        <v>27</v>
      </c>
      <c r="B2947">
        <v>2026</v>
      </c>
      <c r="C2947" s="21">
        <v>46206</v>
      </c>
      <c r="D2947" t="s">
        <v>141</v>
      </c>
      <c r="E2947" t="s">
        <v>142</v>
      </c>
      <c r="F2947" t="s">
        <v>75</v>
      </c>
      <c r="G2947">
        <v>1</v>
      </c>
      <c r="H2947" t="s">
        <v>4241</v>
      </c>
      <c r="I2947" t="s">
        <v>4242</v>
      </c>
      <c r="J2947" s="1" t="s">
        <v>3668</v>
      </c>
      <c r="K2947" t="s">
        <v>181</v>
      </c>
      <c r="L2947" t="s">
        <v>3333</v>
      </c>
      <c r="M2947">
        <v>67</v>
      </c>
      <c r="N2947">
        <v>0.5</v>
      </c>
      <c r="O2947" t="s">
        <v>3334</v>
      </c>
      <c r="P2947">
        <v>40.79</v>
      </c>
      <c r="Q2947">
        <v>4</v>
      </c>
      <c r="R2947" t="s">
        <v>3404</v>
      </c>
      <c r="T2947" t="s">
        <v>3402</v>
      </c>
      <c r="U2947">
        <v>10</v>
      </c>
      <c r="V2947" t="s">
        <v>3456</v>
      </c>
    </row>
    <row r="2948" spans="1:22" ht="12.75" customHeight="1" x14ac:dyDescent="0.15">
      <c r="A2948">
        <v>27</v>
      </c>
      <c r="B2948">
        <v>2026</v>
      </c>
      <c r="C2948" s="21">
        <v>46206</v>
      </c>
      <c r="D2948" t="s">
        <v>91</v>
      </c>
      <c r="E2948" t="s">
        <v>92</v>
      </c>
      <c r="F2948" t="s">
        <v>21</v>
      </c>
      <c r="G2948">
        <v>1.3</v>
      </c>
      <c r="H2948" t="s">
        <v>3803</v>
      </c>
      <c r="I2948" t="s">
        <v>3676</v>
      </c>
      <c r="J2948" s="1" t="s">
        <v>3533</v>
      </c>
      <c r="K2948" t="s">
        <v>181</v>
      </c>
      <c r="L2948" t="s">
        <v>3333</v>
      </c>
      <c r="M2948">
        <v>4</v>
      </c>
      <c r="N2948">
        <v>1</v>
      </c>
      <c r="O2948" t="s">
        <v>3334</v>
      </c>
      <c r="P2948">
        <v>81.58</v>
      </c>
      <c r="Q2948">
        <v>8</v>
      </c>
      <c r="R2948" t="s">
        <v>3773</v>
      </c>
      <c r="T2948" t="s">
        <v>3402</v>
      </c>
      <c r="U2948">
        <v>76</v>
      </c>
      <c r="V2948" t="s">
        <v>4396</v>
      </c>
    </row>
    <row r="2949" spans="1:22" ht="12.75" customHeight="1" x14ac:dyDescent="0.15">
      <c r="A2949">
        <v>27</v>
      </c>
      <c r="B2949">
        <v>2026</v>
      </c>
      <c r="C2949" s="21">
        <v>46206</v>
      </c>
      <c r="D2949" t="s">
        <v>91</v>
      </c>
      <c r="E2949" t="s">
        <v>92</v>
      </c>
      <c r="F2949" t="s">
        <v>21</v>
      </c>
      <c r="G2949">
        <v>1.3</v>
      </c>
      <c r="H2949" t="s">
        <v>3803</v>
      </c>
      <c r="I2949" t="s">
        <v>3676</v>
      </c>
      <c r="J2949" s="1" t="s">
        <v>3533</v>
      </c>
      <c r="K2949" t="s">
        <v>181</v>
      </c>
      <c r="L2949" t="s">
        <v>3340</v>
      </c>
      <c r="M2949">
        <v>78</v>
      </c>
      <c r="N2949">
        <v>1.31</v>
      </c>
      <c r="O2949" t="s">
        <v>211</v>
      </c>
      <c r="P2949">
        <v>72</v>
      </c>
      <c r="Q2949">
        <v>8</v>
      </c>
      <c r="R2949" t="s">
        <v>3341</v>
      </c>
      <c r="T2949" t="s">
        <v>3402</v>
      </c>
      <c r="U2949">
        <v>76</v>
      </c>
      <c r="V2949" t="s">
        <v>4397</v>
      </c>
    </row>
    <row r="2950" spans="1:22" ht="12.75" customHeight="1" x14ac:dyDescent="0.15">
      <c r="A2950">
        <v>27</v>
      </c>
      <c r="B2950">
        <v>2026</v>
      </c>
      <c r="C2950" s="21">
        <v>46206</v>
      </c>
      <c r="D2950" t="s">
        <v>91</v>
      </c>
      <c r="E2950" t="s">
        <v>92</v>
      </c>
      <c r="F2950" t="s">
        <v>21</v>
      </c>
      <c r="G2950">
        <v>1.3</v>
      </c>
      <c r="H2950" t="s">
        <v>3803</v>
      </c>
      <c r="I2950" t="s">
        <v>3676</v>
      </c>
      <c r="J2950" s="1" t="s">
        <v>3533</v>
      </c>
      <c r="K2950" t="s">
        <v>181</v>
      </c>
      <c r="L2950" t="s">
        <v>3333</v>
      </c>
      <c r="M2950">
        <v>86</v>
      </c>
      <c r="N2950">
        <v>0.63</v>
      </c>
      <c r="O2950" t="s">
        <v>3334</v>
      </c>
      <c r="P2950">
        <v>50.99</v>
      </c>
      <c r="Q2950">
        <v>5</v>
      </c>
      <c r="R2950" t="s">
        <v>3386</v>
      </c>
      <c r="T2950" t="s">
        <v>3402</v>
      </c>
      <c r="U2950">
        <v>76</v>
      </c>
      <c r="V2950" t="s">
        <v>4137</v>
      </c>
    </row>
    <row r="2951" spans="1:22" ht="12.75" customHeight="1" x14ac:dyDescent="0.15">
      <c r="A2951">
        <v>27</v>
      </c>
      <c r="B2951">
        <v>2026</v>
      </c>
      <c r="C2951" s="21">
        <v>46207</v>
      </c>
      <c r="D2951" t="s">
        <v>122</v>
      </c>
      <c r="E2951" t="s">
        <v>123</v>
      </c>
      <c r="F2951" t="s">
        <v>75</v>
      </c>
      <c r="G2951">
        <v>4.5</v>
      </c>
      <c r="H2951" t="s">
        <v>3400</v>
      </c>
      <c r="I2951" t="s">
        <v>353</v>
      </c>
      <c r="J2951" s="1" t="s">
        <v>253</v>
      </c>
      <c r="K2951" t="s">
        <v>181</v>
      </c>
      <c r="L2951" t="s">
        <v>3340</v>
      </c>
      <c r="M2951">
        <v>25</v>
      </c>
      <c r="N2951">
        <v>1</v>
      </c>
      <c r="O2951" t="s">
        <v>211</v>
      </c>
      <c r="P2951">
        <v>55</v>
      </c>
      <c r="R2951" t="s">
        <v>3413</v>
      </c>
      <c r="T2951" t="s">
        <v>3337</v>
      </c>
      <c r="V2951" t="s">
        <v>365</v>
      </c>
    </row>
    <row r="2952" spans="1:22" ht="12.75" customHeight="1" x14ac:dyDescent="0.15">
      <c r="A2952">
        <v>27</v>
      </c>
      <c r="B2952">
        <v>2026</v>
      </c>
      <c r="C2952" s="21">
        <v>46207</v>
      </c>
      <c r="D2952" t="s">
        <v>122</v>
      </c>
      <c r="E2952" t="s">
        <v>123</v>
      </c>
      <c r="F2952" t="s">
        <v>75</v>
      </c>
      <c r="G2952">
        <v>4.5</v>
      </c>
      <c r="H2952" t="s">
        <v>3400</v>
      </c>
      <c r="I2952" t="s">
        <v>353</v>
      </c>
      <c r="J2952" s="1" t="s">
        <v>253</v>
      </c>
      <c r="K2952" t="s">
        <v>181</v>
      </c>
      <c r="L2952" t="s">
        <v>3340</v>
      </c>
      <c r="M2952">
        <v>53</v>
      </c>
      <c r="N2952">
        <v>0.98</v>
      </c>
      <c r="O2952" t="s">
        <v>211</v>
      </c>
      <c r="P2952">
        <v>54</v>
      </c>
      <c r="Q2952">
        <v>6</v>
      </c>
      <c r="R2952" t="s">
        <v>3373</v>
      </c>
      <c r="T2952" t="s">
        <v>3337</v>
      </c>
      <c r="V2952" t="s">
        <v>227</v>
      </c>
    </row>
    <row r="2953" spans="1:22" ht="12.75" customHeight="1" x14ac:dyDescent="0.15">
      <c r="A2953">
        <v>27</v>
      </c>
      <c r="B2953">
        <v>2026</v>
      </c>
      <c r="C2953" s="21">
        <v>46207</v>
      </c>
      <c r="D2953" t="s">
        <v>39</v>
      </c>
      <c r="E2953" t="s">
        <v>40</v>
      </c>
      <c r="F2953" t="s">
        <v>21</v>
      </c>
      <c r="G2953">
        <v>1.91</v>
      </c>
      <c r="H2953" t="s">
        <v>4121</v>
      </c>
      <c r="I2953" t="s">
        <v>4122</v>
      </c>
      <c r="J2953" s="1" t="s">
        <v>307</v>
      </c>
      <c r="K2953" t="s">
        <v>181</v>
      </c>
      <c r="L2953" t="s">
        <v>3340</v>
      </c>
      <c r="M2953">
        <v>45</v>
      </c>
      <c r="N2953">
        <v>0.82</v>
      </c>
      <c r="O2953" t="s">
        <v>211</v>
      </c>
      <c r="P2953">
        <v>45</v>
      </c>
      <c r="Q2953">
        <v>5</v>
      </c>
      <c r="R2953" t="s">
        <v>3377</v>
      </c>
      <c r="T2953" t="s">
        <v>3337</v>
      </c>
      <c r="U2953">
        <v>170</v>
      </c>
      <c r="V2953" t="s">
        <v>3447</v>
      </c>
    </row>
    <row r="2954" spans="1:22" ht="12.75" customHeight="1" x14ac:dyDescent="0.15">
      <c r="A2954">
        <v>27</v>
      </c>
      <c r="B2954">
        <v>2026</v>
      </c>
      <c r="C2954" s="21">
        <v>46207</v>
      </c>
      <c r="D2954" t="s">
        <v>39</v>
      </c>
      <c r="E2954" t="s">
        <v>40</v>
      </c>
      <c r="F2954" t="s">
        <v>21</v>
      </c>
      <c r="G2954">
        <v>1.91</v>
      </c>
      <c r="H2954" t="s">
        <v>4121</v>
      </c>
      <c r="I2954" t="s">
        <v>4122</v>
      </c>
      <c r="J2954" s="1" t="s">
        <v>307</v>
      </c>
      <c r="K2954" t="s">
        <v>181</v>
      </c>
      <c r="L2954" t="s">
        <v>3340</v>
      </c>
      <c r="M2954">
        <v>58</v>
      </c>
      <c r="N2954">
        <v>0.82</v>
      </c>
      <c r="O2954" t="s">
        <v>211</v>
      </c>
      <c r="P2954">
        <v>45</v>
      </c>
      <c r="Q2954">
        <v>5</v>
      </c>
      <c r="R2954" t="s">
        <v>3343</v>
      </c>
      <c r="T2954" t="s">
        <v>3337</v>
      </c>
      <c r="U2954">
        <v>170</v>
      </c>
      <c r="V2954" t="s">
        <v>3447</v>
      </c>
    </row>
    <row r="2955" spans="1:22" ht="12.75" customHeight="1" x14ac:dyDescent="0.15">
      <c r="A2955">
        <v>27</v>
      </c>
      <c r="B2955">
        <v>2026</v>
      </c>
      <c r="C2955" s="21">
        <v>46207</v>
      </c>
      <c r="D2955" t="s">
        <v>122</v>
      </c>
      <c r="E2955" t="s">
        <v>123</v>
      </c>
      <c r="F2955" t="s">
        <v>75</v>
      </c>
      <c r="G2955">
        <v>4.5</v>
      </c>
      <c r="H2955" t="s">
        <v>3400</v>
      </c>
      <c r="I2955" t="s">
        <v>353</v>
      </c>
      <c r="J2955" s="1" t="s">
        <v>253</v>
      </c>
      <c r="K2955" t="s">
        <v>181</v>
      </c>
      <c r="L2955" t="s">
        <v>3340</v>
      </c>
      <c r="M2955">
        <v>81</v>
      </c>
      <c r="N2955">
        <v>0.98</v>
      </c>
      <c r="O2955" t="s">
        <v>211</v>
      </c>
      <c r="P2955">
        <v>54</v>
      </c>
      <c r="Q2955">
        <v>6</v>
      </c>
      <c r="R2955" t="s">
        <v>3374</v>
      </c>
      <c r="T2955" t="s">
        <v>3337</v>
      </c>
      <c r="V2955" t="s">
        <v>227</v>
      </c>
    </row>
    <row r="2956" spans="1:22" ht="12.75" customHeight="1" x14ac:dyDescent="0.15">
      <c r="A2956">
        <v>27</v>
      </c>
      <c r="B2956">
        <v>2026</v>
      </c>
      <c r="C2956" s="21">
        <v>46207</v>
      </c>
      <c r="D2956" t="s">
        <v>122</v>
      </c>
      <c r="E2956" t="s">
        <v>123</v>
      </c>
      <c r="F2956" t="s">
        <v>75</v>
      </c>
      <c r="G2956">
        <v>4.5</v>
      </c>
      <c r="H2956" t="s">
        <v>3400</v>
      </c>
      <c r="I2956" t="s">
        <v>353</v>
      </c>
      <c r="J2956" s="1" t="s">
        <v>253</v>
      </c>
      <c r="K2956" t="s">
        <v>181</v>
      </c>
      <c r="L2956" t="s">
        <v>3333</v>
      </c>
      <c r="M2956">
        <v>2</v>
      </c>
      <c r="N2956">
        <v>0.5</v>
      </c>
      <c r="O2956" t="s">
        <v>3440</v>
      </c>
      <c r="P2956">
        <v>45.25</v>
      </c>
      <c r="Q2956">
        <v>4</v>
      </c>
      <c r="R2956" t="s">
        <v>3424</v>
      </c>
      <c r="T2956" t="s">
        <v>3337</v>
      </c>
      <c r="V2956" t="s">
        <v>4398</v>
      </c>
    </row>
    <row r="2957" spans="1:22" ht="12.75" customHeight="1" x14ac:dyDescent="0.15">
      <c r="A2957">
        <v>27</v>
      </c>
      <c r="B2957">
        <v>2026</v>
      </c>
      <c r="C2957" s="21">
        <v>46207</v>
      </c>
      <c r="D2957" t="s">
        <v>107</v>
      </c>
      <c r="E2957" t="s">
        <v>108</v>
      </c>
      <c r="F2957" t="s">
        <v>21</v>
      </c>
      <c r="G2957">
        <v>4.5</v>
      </c>
      <c r="H2957" t="s">
        <v>3400</v>
      </c>
      <c r="I2957" t="s">
        <v>353</v>
      </c>
      <c r="J2957" s="1" t="s">
        <v>253</v>
      </c>
      <c r="K2957" t="s">
        <v>181</v>
      </c>
      <c r="L2957" t="s">
        <v>3333</v>
      </c>
      <c r="M2957">
        <v>2</v>
      </c>
      <c r="N2957">
        <v>0.5</v>
      </c>
      <c r="O2957" t="s">
        <v>3440</v>
      </c>
      <c r="P2957">
        <v>45.25</v>
      </c>
      <c r="Q2957">
        <v>4</v>
      </c>
      <c r="R2957" t="s">
        <v>3424</v>
      </c>
      <c r="T2957" t="s">
        <v>3337</v>
      </c>
      <c r="U2957">
        <v>50</v>
      </c>
      <c r="V2957" t="s">
        <v>4398</v>
      </c>
    </row>
    <row r="2958" spans="1:22" ht="12.75" customHeight="1" x14ac:dyDescent="0.15">
      <c r="A2958">
        <v>27</v>
      </c>
      <c r="B2958">
        <v>2026</v>
      </c>
      <c r="C2958" s="21">
        <v>46207</v>
      </c>
      <c r="D2958" t="s">
        <v>39</v>
      </c>
      <c r="E2958" t="s">
        <v>40</v>
      </c>
      <c r="F2958" t="s">
        <v>21</v>
      </c>
      <c r="G2958">
        <v>1.91</v>
      </c>
      <c r="H2958" t="s">
        <v>4121</v>
      </c>
      <c r="I2958" t="s">
        <v>4122</v>
      </c>
      <c r="J2958" s="1" t="s">
        <v>307</v>
      </c>
      <c r="K2958" t="s">
        <v>181</v>
      </c>
      <c r="L2958" t="s">
        <v>3340</v>
      </c>
      <c r="M2958">
        <v>62</v>
      </c>
      <c r="N2958">
        <v>0.82</v>
      </c>
      <c r="O2958" t="s">
        <v>211</v>
      </c>
      <c r="P2958">
        <v>45</v>
      </c>
      <c r="Q2958">
        <v>5</v>
      </c>
      <c r="R2958" t="s">
        <v>3375</v>
      </c>
      <c r="T2958" t="s">
        <v>3337</v>
      </c>
      <c r="U2958">
        <v>170</v>
      </c>
      <c r="V2958" t="s">
        <v>3447</v>
      </c>
    </row>
    <row r="2959" spans="1:22" ht="12.75" customHeight="1" x14ac:dyDescent="0.15">
      <c r="A2959">
        <v>27</v>
      </c>
      <c r="B2959">
        <v>2026</v>
      </c>
      <c r="C2959" s="21">
        <v>46207</v>
      </c>
      <c r="D2959" t="s">
        <v>107</v>
      </c>
      <c r="E2959" t="s">
        <v>108</v>
      </c>
      <c r="F2959" t="s">
        <v>21</v>
      </c>
      <c r="G2959">
        <v>4.5</v>
      </c>
      <c r="H2959" t="s">
        <v>3400</v>
      </c>
      <c r="I2959" t="s">
        <v>353</v>
      </c>
      <c r="J2959" s="1" t="s">
        <v>253</v>
      </c>
      <c r="K2959" t="s">
        <v>181</v>
      </c>
      <c r="L2959" t="s">
        <v>3333</v>
      </c>
      <c r="M2959">
        <v>1</v>
      </c>
      <c r="N2959">
        <v>1</v>
      </c>
      <c r="O2959" t="s">
        <v>3358</v>
      </c>
      <c r="P2959">
        <v>71.86</v>
      </c>
      <c r="Q2959">
        <v>8</v>
      </c>
      <c r="R2959" t="s">
        <v>3359</v>
      </c>
      <c r="T2959" t="s">
        <v>3337</v>
      </c>
      <c r="U2959">
        <v>50</v>
      </c>
      <c r="V2959" t="s">
        <v>3817</v>
      </c>
    </row>
    <row r="2960" spans="1:22" ht="12.75" customHeight="1" x14ac:dyDescent="0.15">
      <c r="A2960">
        <v>27</v>
      </c>
      <c r="B2960">
        <v>2026</v>
      </c>
      <c r="C2960" s="21">
        <v>46207</v>
      </c>
      <c r="D2960" t="s">
        <v>107</v>
      </c>
      <c r="E2960" t="s">
        <v>108</v>
      </c>
      <c r="F2960" t="s">
        <v>21</v>
      </c>
      <c r="G2960">
        <v>4.5</v>
      </c>
      <c r="H2960" t="s">
        <v>3400</v>
      </c>
      <c r="I2960" t="s">
        <v>353</v>
      </c>
      <c r="J2960" s="1" t="s">
        <v>253</v>
      </c>
      <c r="K2960" t="s">
        <v>181</v>
      </c>
      <c r="L2960" t="s">
        <v>3333</v>
      </c>
      <c r="M2960">
        <v>6</v>
      </c>
      <c r="N2960">
        <v>1</v>
      </c>
      <c r="O2960" t="s">
        <v>3334</v>
      </c>
      <c r="P2960">
        <v>81.58</v>
      </c>
      <c r="Q2960">
        <v>8</v>
      </c>
      <c r="R2960" t="s">
        <v>3335</v>
      </c>
      <c r="T2960" t="s">
        <v>3337</v>
      </c>
      <c r="U2960">
        <v>50</v>
      </c>
      <c r="V2960" t="s">
        <v>3826</v>
      </c>
    </row>
    <row r="2961" spans="1:22" ht="12.75" customHeight="1" x14ac:dyDescent="0.15">
      <c r="A2961">
        <v>27</v>
      </c>
      <c r="B2961">
        <v>2026</v>
      </c>
      <c r="C2961" s="21">
        <v>46207</v>
      </c>
      <c r="D2961" t="s">
        <v>53</v>
      </c>
      <c r="E2961" t="s">
        <v>54</v>
      </c>
      <c r="F2961" t="s">
        <v>21</v>
      </c>
      <c r="G2961">
        <v>2</v>
      </c>
      <c r="H2961" t="s">
        <v>4378</v>
      </c>
      <c r="I2961" t="s">
        <v>4379</v>
      </c>
      <c r="J2961" s="1" t="s">
        <v>215</v>
      </c>
      <c r="K2961" t="s">
        <v>181</v>
      </c>
      <c r="L2961" t="s">
        <v>3333</v>
      </c>
      <c r="M2961">
        <v>86</v>
      </c>
      <c r="N2961">
        <v>0.13</v>
      </c>
      <c r="O2961" t="s">
        <v>3334</v>
      </c>
      <c r="P2961">
        <v>10.199999999999999</v>
      </c>
      <c r="Q2961">
        <v>1</v>
      </c>
      <c r="R2961" t="s">
        <v>3386</v>
      </c>
      <c r="S2961" t="s">
        <v>4399</v>
      </c>
      <c r="T2961" t="s">
        <v>3402</v>
      </c>
      <c r="U2961">
        <v>121</v>
      </c>
      <c r="V2961" t="s">
        <v>3463</v>
      </c>
    </row>
    <row r="2962" spans="1:22" ht="12.75" customHeight="1" x14ac:dyDescent="0.15">
      <c r="A2962">
        <v>27</v>
      </c>
      <c r="B2962">
        <v>2026</v>
      </c>
      <c r="C2962" s="21">
        <v>46207</v>
      </c>
      <c r="D2962" t="s">
        <v>53</v>
      </c>
      <c r="E2962" t="s">
        <v>54</v>
      </c>
      <c r="F2962" t="s">
        <v>21</v>
      </c>
      <c r="G2962">
        <v>2</v>
      </c>
      <c r="H2962" t="s">
        <v>4378</v>
      </c>
      <c r="I2962" t="s">
        <v>4379</v>
      </c>
      <c r="J2962" s="1" t="s">
        <v>215</v>
      </c>
      <c r="K2962" t="s">
        <v>181</v>
      </c>
      <c r="L2962" t="s">
        <v>3340</v>
      </c>
      <c r="M2962">
        <v>86</v>
      </c>
      <c r="N2962">
        <v>0.18</v>
      </c>
      <c r="O2962" t="s">
        <v>211</v>
      </c>
      <c r="P2962">
        <v>10</v>
      </c>
      <c r="Q2962">
        <v>1</v>
      </c>
      <c r="R2962" t="s">
        <v>3386</v>
      </c>
      <c r="T2962" t="s">
        <v>3402</v>
      </c>
      <c r="U2962">
        <v>121</v>
      </c>
      <c r="V2962" t="s">
        <v>3504</v>
      </c>
    </row>
    <row r="2963" spans="1:22" ht="12.75" customHeight="1" x14ac:dyDescent="0.15">
      <c r="A2963">
        <v>27</v>
      </c>
      <c r="B2963">
        <v>2026</v>
      </c>
      <c r="C2963" s="21">
        <v>46207</v>
      </c>
      <c r="D2963" t="s">
        <v>53</v>
      </c>
      <c r="E2963" t="s">
        <v>54</v>
      </c>
      <c r="F2963" t="s">
        <v>21</v>
      </c>
      <c r="G2963">
        <v>2</v>
      </c>
      <c r="H2963" t="s">
        <v>4378</v>
      </c>
      <c r="I2963" t="s">
        <v>4379</v>
      </c>
      <c r="J2963" s="1" t="s">
        <v>215</v>
      </c>
      <c r="K2963" t="s">
        <v>181</v>
      </c>
      <c r="L2963" t="s">
        <v>3333</v>
      </c>
      <c r="M2963">
        <v>80</v>
      </c>
      <c r="N2963">
        <v>0.25</v>
      </c>
      <c r="O2963" t="s">
        <v>213</v>
      </c>
      <c r="P2963">
        <v>22.5</v>
      </c>
      <c r="Q2963">
        <v>2</v>
      </c>
      <c r="R2963" t="s">
        <v>3560</v>
      </c>
      <c r="T2963" t="s">
        <v>3402</v>
      </c>
      <c r="U2963">
        <v>121</v>
      </c>
      <c r="V2963" t="s">
        <v>3561</v>
      </c>
    </row>
    <row r="2964" spans="1:22" ht="12.75" customHeight="1" x14ac:dyDescent="0.15">
      <c r="A2964">
        <v>27</v>
      </c>
      <c r="B2964">
        <v>2026</v>
      </c>
      <c r="C2964" s="21">
        <v>46207</v>
      </c>
      <c r="D2964" t="s">
        <v>53</v>
      </c>
      <c r="E2964" t="s">
        <v>54</v>
      </c>
      <c r="F2964" t="s">
        <v>21</v>
      </c>
      <c r="G2964">
        <v>2</v>
      </c>
      <c r="H2964" t="s">
        <v>4381</v>
      </c>
      <c r="I2964" t="s">
        <v>4382</v>
      </c>
      <c r="J2964" s="1" t="s">
        <v>4383</v>
      </c>
      <c r="K2964" t="s">
        <v>2666</v>
      </c>
      <c r="L2964" t="s">
        <v>3587</v>
      </c>
      <c r="P2964">
        <v>16</v>
      </c>
      <c r="T2964" t="s">
        <v>3402</v>
      </c>
      <c r="U2964">
        <v>121</v>
      </c>
      <c r="V2964" t="s">
        <v>183</v>
      </c>
    </row>
    <row r="2965" spans="1:22" ht="12.75" customHeight="1" x14ac:dyDescent="0.15">
      <c r="A2965">
        <v>27</v>
      </c>
      <c r="B2965">
        <v>2026</v>
      </c>
      <c r="C2965" s="21">
        <v>46207</v>
      </c>
      <c r="D2965" t="s">
        <v>115</v>
      </c>
      <c r="E2965" t="s">
        <v>116</v>
      </c>
      <c r="F2965" t="s">
        <v>21</v>
      </c>
      <c r="G2965">
        <v>2</v>
      </c>
      <c r="H2965" t="s">
        <v>3653</v>
      </c>
      <c r="I2965" t="s">
        <v>3566</v>
      </c>
      <c r="J2965" s="1" t="s">
        <v>3389</v>
      </c>
      <c r="K2965" t="s">
        <v>181</v>
      </c>
      <c r="L2965" t="s">
        <v>3333</v>
      </c>
      <c r="M2965">
        <v>80</v>
      </c>
      <c r="N2965">
        <v>0.44</v>
      </c>
      <c r="O2965" t="s">
        <v>213</v>
      </c>
      <c r="P2965">
        <v>39.380000000000003</v>
      </c>
      <c r="Q2965">
        <v>3.5</v>
      </c>
      <c r="R2965" t="s">
        <v>3560</v>
      </c>
      <c r="T2965" t="s">
        <v>3402</v>
      </c>
      <c r="U2965">
        <v>44</v>
      </c>
      <c r="V2965" t="s">
        <v>4400</v>
      </c>
    </row>
    <row r="2966" spans="1:22" ht="12.75" customHeight="1" x14ac:dyDescent="0.15">
      <c r="A2966">
        <v>27</v>
      </c>
      <c r="B2966">
        <v>2026</v>
      </c>
      <c r="C2966" s="21">
        <v>46207</v>
      </c>
      <c r="D2966" t="s">
        <v>115</v>
      </c>
      <c r="E2966" t="s">
        <v>116</v>
      </c>
      <c r="F2966" t="s">
        <v>21</v>
      </c>
      <c r="G2966">
        <v>2</v>
      </c>
      <c r="H2966" t="s">
        <v>3878</v>
      </c>
      <c r="I2966" t="s">
        <v>3566</v>
      </c>
      <c r="J2966" s="1" t="s">
        <v>3389</v>
      </c>
      <c r="K2966" t="s">
        <v>2666</v>
      </c>
      <c r="L2966" t="s">
        <v>3587</v>
      </c>
      <c r="Q2966">
        <v>28</v>
      </c>
      <c r="T2966" t="s">
        <v>3402</v>
      </c>
      <c r="U2966">
        <v>44</v>
      </c>
      <c r="V2966" t="s">
        <v>88</v>
      </c>
    </row>
    <row r="2967" spans="1:22" ht="12.75" customHeight="1" x14ac:dyDescent="0.15">
      <c r="A2967">
        <v>27</v>
      </c>
      <c r="B2967">
        <v>2026</v>
      </c>
      <c r="C2967" s="21">
        <v>46207</v>
      </c>
      <c r="D2967" t="s">
        <v>141</v>
      </c>
      <c r="E2967" t="s">
        <v>142</v>
      </c>
      <c r="F2967" t="s">
        <v>75</v>
      </c>
      <c r="G2967">
        <v>1</v>
      </c>
      <c r="H2967" t="s">
        <v>4241</v>
      </c>
      <c r="I2967" t="s">
        <v>4242</v>
      </c>
      <c r="J2967" s="1" t="s">
        <v>3668</v>
      </c>
      <c r="K2967" t="s">
        <v>181</v>
      </c>
      <c r="L2967" t="s">
        <v>3333</v>
      </c>
      <c r="M2967">
        <v>67</v>
      </c>
      <c r="N2967">
        <v>0.38</v>
      </c>
      <c r="O2967" t="s">
        <v>3334</v>
      </c>
      <c r="P2967">
        <v>30.59</v>
      </c>
      <c r="Q2967">
        <v>3</v>
      </c>
      <c r="R2967" t="s">
        <v>3404</v>
      </c>
      <c r="S2967" t="s">
        <v>4401</v>
      </c>
      <c r="T2967" t="s">
        <v>3402</v>
      </c>
      <c r="U2967">
        <v>11</v>
      </c>
      <c r="V2967" t="s">
        <v>3491</v>
      </c>
    </row>
    <row r="2968" spans="1:22" ht="12.75" customHeight="1" x14ac:dyDescent="0.15">
      <c r="A2968">
        <v>27</v>
      </c>
      <c r="B2968">
        <v>2026</v>
      </c>
      <c r="C2968" s="21">
        <v>46207</v>
      </c>
      <c r="D2968" t="s">
        <v>91</v>
      </c>
      <c r="E2968" t="s">
        <v>92</v>
      </c>
      <c r="F2968" t="s">
        <v>21</v>
      </c>
      <c r="G2968">
        <v>1.3</v>
      </c>
      <c r="H2968" t="s">
        <v>3799</v>
      </c>
      <c r="I2968" t="s">
        <v>3551</v>
      </c>
      <c r="J2968" s="1" t="s">
        <v>3533</v>
      </c>
      <c r="K2968" t="s">
        <v>181</v>
      </c>
      <c r="L2968" t="s">
        <v>3333</v>
      </c>
      <c r="M2968">
        <v>67</v>
      </c>
      <c r="N2968">
        <v>0.25</v>
      </c>
      <c r="O2968" t="s">
        <v>3334</v>
      </c>
      <c r="P2968">
        <v>20.399999999999999</v>
      </c>
      <c r="Q2968">
        <v>2</v>
      </c>
      <c r="R2968" t="s">
        <v>3404</v>
      </c>
      <c r="S2968" t="s">
        <v>4402</v>
      </c>
      <c r="T2968" t="s">
        <v>3402</v>
      </c>
      <c r="U2968">
        <v>77</v>
      </c>
      <c r="V2968" t="s">
        <v>3802</v>
      </c>
    </row>
    <row r="2969" spans="1:22" ht="12.75" customHeight="1" x14ac:dyDescent="0.15">
      <c r="A2969">
        <v>27</v>
      </c>
      <c r="B2969">
        <v>2026</v>
      </c>
      <c r="C2969" s="21">
        <v>46207</v>
      </c>
      <c r="D2969" t="s">
        <v>91</v>
      </c>
      <c r="E2969" t="s">
        <v>92</v>
      </c>
      <c r="F2969" t="s">
        <v>21</v>
      </c>
      <c r="G2969">
        <v>1.3</v>
      </c>
      <c r="H2969" t="s">
        <v>4403</v>
      </c>
      <c r="I2969" t="s">
        <v>4404</v>
      </c>
      <c r="J2969" s="1" t="s">
        <v>3533</v>
      </c>
      <c r="K2969" t="s">
        <v>181</v>
      </c>
      <c r="L2969" t="s">
        <v>3340</v>
      </c>
      <c r="M2969">
        <v>78</v>
      </c>
      <c r="N2969">
        <v>0.16</v>
      </c>
      <c r="O2969" t="s">
        <v>211</v>
      </c>
      <c r="P2969">
        <v>9</v>
      </c>
      <c r="Q2969">
        <v>1</v>
      </c>
      <c r="R2969" t="s">
        <v>3341</v>
      </c>
      <c r="T2969" t="s">
        <v>3402</v>
      </c>
      <c r="U2969">
        <v>77</v>
      </c>
      <c r="V2969" t="s">
        <v>4405</v>
      </c>
    </row>
    <row r="2970" spans="1:22" ht="12.75" customHeight="1" x14ac:dyDescent="0.15">
      <c r="A2970">
        <v>27</v>
      </c>
      <c r="B2970">
        <v>2026</v>
      </c>
      <c r="C2970" s="21">
        <v>46207</v>
      </c>
      <c r="D2970" t="s">
        <v>91</v>
      </c>
      <c r="E2970" t="s">
        <v>92</v>
      </c>
      <c r="F2970" t="s">
        <v>21</v>
      </c>
      <c r="G2970">
        <v>1.3</v>
      </c>
      <c r="H2970" t="s">
        <v>3845</v>
      </c>
      <c r="I2970" t="s">
        <v>380</v>
      </c>
      <c r="J2970" s="1" t="s">
        <v>3533</v>
      </c>
      <c r="K2970" t="s">
        <v>181</v>
      </c>
      <c r="L2970" t="s">
        <v>3333</v>
      </c>
      <c r="M2970">
        <v>4</v>
      </c>
      <c r="N2970">
        <v>0.63</v>
      </c>
      <c r="O2970" t="s">
        <v>3334</v>
      </c>
      <c r="P2970">
        <v>50.99</v>
      </c>
      <c r="Q2970">
        <v>5</v>
      </c>
      <c r="R2970" t="s">
        <v>3773</v>
      </c>
      <c r="T2970" t="s">
        <v>3402</v>
      </c>
      <c r="U2970">
        <v>77</v>
      </c>
      <c r="V2970" t="s">
        <v>4137</v>
      </c>
    </row>
    <row r="2971" spans="1:22" ht="12.75" customHeight="1" x14ac:dyDescent="0.15">
      <c r="A2971">
        <v>27</v>
      </c>
      <c r="B2971">
        <v>2026</v>
      </c>
      <c r="C2971" s="21">
        <v>46208</v>
      </c>
      <c r="D2971" t="s">
        <v>47</v>
      </c>
      <c r="E2971" t="s">
        <v>48</v>
      </c>
      <c r="F2971" t="s">
        <v>21</v>
      </c>
      <c r="G2971">
        <v>2</v>
      </c>
      <c r="H2971" t="s">
        <v>3454</v>
      </c>
      <c r="I2971" t="s">
        <v>212</v>
      </c>
      <c r="J2971" s="1" t="s">
        <v>188</v>
      </c>
      <c r="K2971" t="s">
        <v>181</v>
      </c>
      <c r="L2971" t="s">
        <v>3340</v>
      </c>
      <c r="M2971">
        <v>6</v>
      </c>
      <c r="N2971">
        <v>1.45</v>
      </c>
      <c r="O2971" t="s">
        <v>211</v>
      </c>
      <c r="P2971">
        <v>80</v>
      </c>
      <c r="R2971" t="s">
        <v>3335</v>
      </c>
      <c r="T2971" t="s">
        <v>3337</v>
      </c>
      <c r="U2971">
        <v>136</v>
      </c>
      <c r="V2971" t="s">
        <v>229</v>
      </c>
    </row>
    <row r="2972" spans="1:22" ht="12.75" customHeight="1" x14ac:dyDescent="0.15">
      <c r="A2972">
        <v>27</v>
      </c>
      <c r="B2972">
        <v>2026</v>
      </c>
      <c r="C2972" s="21">
        <v>46208</v>
      </c>
      <c r="D2972" t="s">
        <v>115</v>
      </c>
      <c r="E2972" t="s">
        <v>116</v>
      </c>
      <c r="F2972" t="s">
        <v>21</v>
      </c>
      <c r="G2972">
        <v>2</v>
      </c>
      <c r="H2972" t="s">
        <v>4378</v>
      </c>
      <c r="I2972" t="s">
        <v>4379</v>
      </c>
      <c r="J2972" s="1" t="s">
        <v>215</v>
      </c>
      <c r="K2972" t="s">
        <v>181</v>
      </c>
      <c r="L2972" t="s">
        <v>3340</v>
      </c>
      <c r="M2972">
        <v>80</v>
      </c>
      <c r="N2972">
        <v>0.55000000000000004</v>
      </c>
      <c r="O2972" t="s">
        <v>211</v>
      </c>
      <c r="P2972">
        <v>30</v>
      </c>
      <c r="Q2972">
        <v>3</v>
      </c>
      <c r="R2972" t="s">
        <v>3560</v>
      </c>
      <c r="T2972" t="s">
        <v>3402</v>
      </c>
      <c r="U2972">
        <v>45</v>
      </c>
      <c r="V2972" t="s">
        <v>3915</v>
      </c>
    </row>
    <row r="2973" spans="1:22" ht="12.75" customHeight="1" x14ac:dyDescent="0.15">
      <c r="A2973">
        <v>27</v>
      </c>
      <c r="B2973">
        <v>2026</v>
      </c>
      <c r="C2973" s="21">
        <v>46208</v>
      </c>
      <c r="D2973" t="s">
        <v>115</v>
      </c>
      <c r="E2973" t="s">
        <v>116</v>
      </c>
      <c r="F2973" t="s">
        <v>21</v>
      </c>
      <c r="G2973">
        <v>2</v>
      </c>
      <c r="H2973" t="s">
        <v>4381</v>
      </c>
      <c r="I2973" t="s">
        <v>4382</v>
      </c>
      <c r="J2973" s="1" t="s">
        <v>4383</v>
      </c>
      <c r="K2973" t="s">
        <v>2666</v>
      </c>
      <c r="L2973" t="s">
        <v>3587</v>
      </c>
      <c r="P2973">
        <v>24</v>
      </c>
      <c r="T2973" t="s">
        <v>3402</v>
      </c>
      <c r="U2973">
        <v>45</v>
      </c>
      <c r="V2973" t="s">
        <v>227</v>
      </c>
    </row>
    <row r="2974" spans="1:22" ht="12.75" customHeight="1" x14ac:dyDescent="0.15">
      <c r="A2974">
        <v>27</v>
      </c>
      <c r="B2974">
        <v>2026</v>
      </c>
      <c r="C2974" s="21">
        <v>46208</v>
      </c>
      <c r="D2974" t="s">
        <v>115</v>
      </c>
      <c r="E2974" t="s">
        <v>116</v>
      </c>
      <c r="F2974" t="s">
        <v>21</v>
      </c>
      <c r="G2974">
        <v>2</v>
      </c>
      <c r="H2974" t="s">
        <v>4378</v>
      </c>
      <c r="I2974" t="s">
        <v>4379</v>
      </c>
      <c r="J2974" s="1" t="s">
        <v>215</v>
      </c>
      <c r="K2974" t="s">
        <v>181</v>
      </c>
      <c r="L2974" t="s">
        <v>3340</v>
      </c>
      <c r="M2974">
        <v>81</v>
      </c>
      <c r="N2974">
        <v>0.55000000000000004</v>
      </c>
      <c r="O2974" t="s">
        <v>211</v>
      </c>
      <c r="P2974">
        <v>30</v>
      </c>
      <c r="Q2974">
        <v>3</v>
      </c>
      <c r="R2974" t="s">
        <v>3374</v>
      </c>
      <c r="T2974" t="s">
        <v>3402</v>
      </c>
      <c r="U2974">
        <v>45</v>
      </c>
      <c r="V2974" t="s">
        <v>3915</v>
      </c>
    </row>
    <row r="2975" spans="1:22" ht="12.75" customHeight="1" x14ac:dyDescent="0.15">
      <c r="A2975">
        <v>27</v>
      </c>
      <c r="B2975">
        <v>2026</v>
      </c>
      <c r="C2975" s="21">
        <v>46209</v>
      </c>
      <c r="D2975" t="s">
        <v>4406</v>
      </c>
      <c r="E2975" t="s">
        <v>4407</v>
      </c>
      <c r="G2975">
        <v>10</v>
      </c>
      <c r="H2975" t="s">
        <v>3868</v>
      </c>
      <c r="I2975" t="s">
        <v>3869</v>
      </c>
      <c r="J2975" s="1" t="s">
        <v>3696</v>
      </c>
      <c r="K2975" t="s">
        <v>181</v>
      </c>
      <c r="L2975" t="s">
        <v>3340</v>
      </c>
      <c r="M2975">
        <v>62</v>
      </c>
      <c r="N2975">
        <v>1.82</v>
      </c>
      <c r="O2975" t="s">
        <v>211</v>
      </c>
      <c r="P2975">
        <v>100</v>
      </c>
      <c r="R2975" t="s">
        <v>3375</v>
      </c>
      <c r="S2975" t="s">
        <v>4408</v>
      </c>
      <c r="T2975" t="s">
        <v>3337</v>
      </c>
      <c r="V2975" t="s">
        <v>3711</v>
      </c>
    </row>
    <row r="2976" spans="1:22" ht="12.75" customHeight="1" x14ac:dyDescent="0.15">
      <c r="A2976">
        <v>27</v>
      </c>
      <c r="B2976">
        <v>2026</v>
      </c>
      <c r="C2976" s="21">
        <v>46209</v>
      </c>
      <c r="D2976" t="s">
        <v>4406</v>
      </c>
      <c r="E2976" t="s">
        <v>4407</v>
      </c>
      <c r="G2976">
        <v>10</v>
      </c>
      <c r="H2976" t="s">
        <v>3868</v>
      </c>
      <c r="I2976" t="s">
        <v>3869</v>
      </c>
      <c r="J2976" s="1" t="s">
        <v>3696</v>
      </c>
      <c r="K2976" t="s">
        <v>181</v>
      </c>
      <c r="L2976" t="s">
        <v>3340</v>
      </c>
      <c r="M2976">
        <v>53</v>
      </c>
      <c r="N2976">
        <v>1.82</v>
      </c>
      <c r="O2976" t="s">
        <v>211</v>
      </c>
      <c r="P2976">
        <v>100</v>
      </c>
      <c r="R2976" t="s">
        <v>3373</v>
      </c>
      <c r="T2976" t="s">
        <v>3337</v>
      </c>
      <c r="V2976" t="s">
        <v>3711</v>
      </c>
    </row>
    <row r="2977" spans="1:22" ht="12.75" customHeight="1" x14ac:dyDescent="0.15">
      <c r="A2977">
        <v>27</v>
      </c>
      <c r="B2977">
        <v>2026</v>
      </c>
      <c r="C2977" s="21">
        <v>46209</v>
      </c>
      <c r="D2977" t="s">
        <v>4406</v>
      </c>
      <c r="E2977" t="s">
        <v>4407</v>
      </c>
      <c r="G2977">
        <v>10</v>
      </c>
      <c r="H2977" t="s">
        <v>3868</v>
      </c>
      <c r="I2977" t="s">
        <v>3869</v>
      </c>
      <c r="J2977" s="1" t="s">
        <v>3696</v>
      </c>
      <c r="K2977" t="s">
        <v>181</v>
      </c>
      <c r="L2977" t="s">
        <v>3340</v>
      </c>
      <c r="M2977">
        <v>58</v>
      </c>
      <c r="N2977">
        <v>1.82</v>
      </c>
      <c r="O2977" t="s">
        <v>211</v>
      </c>
      <c r="P2977">
        <v>100</v>
      </c>
      <c r="R2977" t="s">
        <v>3343</v>
      </c>
      <c r="T2977" t="s">
        <v>3337</v>
      </c>
      <c r="V2977" t="s">
        <v>3711</v>
      </c>
    </row>
    <row r="2978" spans="1:22" ht="12.75" customHeight="1" x14ac:dyDescent="0.15">
      <c r="A2978">
        <v>27</v>
      </c>
      <c r="B2978">
        <v>2026</v>
      </c>
      <c r="C2978" s="21">
        <v>46209</v>
      </c>
      <c r="D2978" t="s">
        <v>4406</v>
      </c>
      <c r="E2978" t="s">
        <v>4407</v>
      </c>
      <c r="G2978">
        <v>10</v>
      </c>
      <c r="H2978" t="s">
        <v>3868</v>
      </c>
      <c r="I2978" t="s">
        <v>3869</v>
      </c>
      <c r="J2978" s="1" t="s">
        <v>3696</v>
      </c>
      <c r="K2978" t="s">
        <v>181</v>
      </c>
      <c r="L2978" t="s">
        <v>3340</v>
      </c>
      <c r="M2978">
        <v>81</v>
      </c>
      <c r="N2978">
        <v>1.82</v>
      </c>
      <c r="O2978" t="s">
        <v>211</v>
      </c>
      <c r="P2978">
        <v>100</v>
      </c>
      <c r="R2978" t="s">
        <v>3374</v>
      </c>
      <c r="T2978" t="s">
        <v>3337</v>
      </c>
      <c r="V2978" t="s">
        <v>3711</v>
      </c>
    </row>
    <row r="2979" spans="1:22" ht="12.75" customHeight="1" x14ac:dyDescent="0.15">
      <c r="A2979">
        <v>27</v>
      </c>
      <c r="B2979">
        <v>2026</v>
      </c>
      <c r="C2979" s="21">
        <v>46209</v>
      </c>
      <c r="D2979" t="s">
        <v>4406</v>
      </c>
      <c r="E2979" t="s">
        <v>4407</v>
      </c>
      <c r="G2979">
        <v>10</v>
      </c>
      <c r="H2979" t="s">
        <v>3868</v>
      </c>
      <c r="I2979" t="s">
        <v>3869</v>
      </c>
      <c r="J2979" s="1" t="s">
        <v>3696</v>
      </c>
      <c r="K2979" t="s">
        <v>181</v>
      </c>
      <c r="L2979" t="s">
        <v>3340</v>
      </c>
      <c r="M2979">
        <v>45</v>
      </c>
      <c r="N2979">
        <v>1.82</v>
      </c>
      <c r="O2979" t="s">
        <v>211</v>
      </c>
      <c r="P2979">
        <v>100</v>
      </c>
      <c r="R2979" t="s">
        <v>3377</v>
      </c>
      <c r="T2979" t="s">
        <v>3337</v>
      </c>
      <c r="V2979" t="s">
        <v>3711</v>
      </c>
    </row>
    <row r="2980" spans="1:22" ht="12.75" customHeight="1" x14ac:dyDescent="0.15">
      <c r="A2980">
        <v>27</v>
      </c>
      <c r="B2980">
        <v>2026</v>
      </c>
      <c r="C2980" s="21">
        <v>46209</v>
      </c>
      <c r="D2980" t="s">
        <v>107</v>
      </c>
      <c r="E2980" t="s">
        <v>108</v>
      </c>
      <c r="F2980" t="s">
        <v>21</v>
      </c>
      <c r="G2980">
        <v>4.5</v>
      </c>
      <c r="H2980" t="s">
        <v>3391</v>
      </c>
      <c r="I2980" t="s">
        <v>353</v>
      </c>
      <c r="J2980" s="1" t="s">
        <v>253</v>
      </c>
      <c r="K2980" t="s">
        <v>181</v>
      </c>
      <c r="L2980" t="s">
        <v>3333</v>
      </c>
      <c r="M2980">
        <v>2</v>
      </c>
      <c r="N2980">
        <v>0.5</v>
      </c>
      <c r="O2980" t="s">
        <v>3440</v>
      </c>
      <c r="P2980">
        <v>45.25</v>
      </c>
      <c r="Q2980">
        <v>4</v>
      </c>
      <c r="R2980" t="s">
        <v>3424</v>
      </c>
      <c r="T2980" t="s">
        <v>3337</v>
      </c>
      <c r="U2980">
        <v>52</v>
      </c>
      <c r="V2980" t="s">
        <v>4398</v>
      </c>
    </row>
    <row r="2981" spans="1:22" ht="12.75" customHeight="1" x14ac:dyDescent="0.15">
      <c r="A2981">
        <v>27</v>
      </c>
      <c r="B2981">
        <v>2026</v>
      </c>
      <c r="C2981" s="21">
        <v>46209</v>
      </c>
      <c r="D2981" t="s">
        <v>107</v>
      </c>
      <c r="E2981" t="s">
        <v>108</v>
      </c>
      <c r="F2981" t="s">
        <v>21</v>
      </c>
      <c r="G2981">
        <v>4.5</v>
      </c>
      <c r="H2981" t="s">
        <v>3391</v>
      </c>
      <c r="I2981" t="s">
        <v>353</v>
      </c>
      <c r="J2981" s="1" t="s">
        <v>253</v>
      </c>
      <c r="K2981" t="s">
        <v>181</v>
      </c>
      <c r="L2981" t="s">
        <v>3340</v>
      </c>
      <c r="M2981">
        <v>25</v>
      </c>
      <c r="N2981">
        <v>0.65</v>
      </c>
      <c r="O2981" t="s">
        <v>211</v>
      </c>
      <c r="P2981">
        <v>36</v>
      </c>
      <c r="Q2981">
        <v>4</v>
      </c>
      <c r="R2981" t="s">
        <v>3413</v>
      </c>
      <c r="T2981" t="s">
        <v>3337</v>
      </c>
      <c r="U2981">
        <v>52</v>
      </c>
      <c r="V2981" t="s">
        <v>183</v>
      </c>
    </row>
    <row r="2982" spans="1:22" ht="12.75" customHeight="1" x14ac:dyDescent="0.15">
      <c r="A2982">
        <v>27</v>
      </c>
      <c r="B2982">
        <v>2026</v>
      </c>
      <c r="C2982" s="21">
        <v>46209</v>
      </c>
      <c r="D2982" t="s">
        <v>101</v>
      </c>
      <c r="E2982" t="s">
        <v>102</v>
      </c>
      <c r="F2982" t="s">
        <v>75</v>
      </c>
      <c r="G2982">
        <v>7.6</v>
      </c>
      <c r="H2982" t="s">
        <v>4409</v>
      </c>
      <c r="I2982" t="s">
        <v>4410</v>
      </c>
      <c r="J2982" s="1" t="s">
        <v>4411</v>
      </c>
      <c r="K2982" t="s">
        <v>181</v>
      </c>
      <c r="L2982" t="s">
        <v>3333</v>
      </c>
      <c r="M2982">
        <v>6</v>
      </c>
      <c r="N2982">
        <v>0.13</v>
      </c>
      <c r="O2982" t="s">
        <v>3334</v>
      </c>
      <c r="P2982">
        <v>10.199999999999999</v>
      </c>
      <c r="Q2982">
        <v>1</v>
      </c>
      <c r="R2982" t="s">
        <v>3335</v>
      </c>
      <c r="T2982" t="s">
        <v>3337</v>
      </c>
      <c r="U2982">
        <v>69</v>
      </c>
      <c r="V2982" t="s">
        <v>4412</v>
      </c>
    </row>
    <row r="2983" spans="1:22" ht="12.75" customHeight="1" x14ac:dyDescent="0.15">
      <c r="A2983">
        <v>27</v>
      </c>
      <c r="B2983">
        <v>2026</v>
      </c>
      <c r="C2983" s="21">
        <v>46209</v>
      </c>
      <c r="D2983" t="s">
        <v>107</v>
      </c>
      <c r="E2983" t="s">
        <v>108</v>
      </c>
      <c r="F2983" t="s">
        <v>21</v>
      </c>
      <c r="G2983">
        <v>4.5</v>
      </c>
      <c r="H2983" t="s">
        <v>3391</v>
      </c>
      <c r="I2983" t="s">
        <v>353</v>
      </c>
      <c r="J2983" s="1" t="s">
        <v>253</v>
      </c>
      <c r="K2983" t="s">
        <v>181</v>
      </c>
      <c r="L2983" t="s">
        <v>3333</v>
      </c>
      <c r="M2983">
        <v>6</v>
      </c>
      <c r="N2983">
        <v>0.5</v>
      </c>
      <c r="O2983" t="s">
        <v>3334</v>
      </c>
      <c r="P2983">
        <v>40.79</v>
      </c>
      <c r="Q2983">
        <v>4</v>
      </c>
      <c r="R2983" t="s">
        <v>3335</v>
      </c>
      <c r="T2983" t="s">
        <v>3337</v>
      </c>
      <c r="U2983">
        <v>52</v>
      </c>
      <c r="V2983" t="s">
        <v>3870</v>
      </c>
    </row>
    <row r="2984" spans="1:22" ht="12.75" customHeight="1" x14ac:dyDescent="0.15">
      <c r="A2984">
        <v>27</v>
      </c>
      <c r="B2984">
        <v>2026</v>
      </c>
      <c r="C2984" s="21">
        <v>46209</v>
      </c>
      <c r="D2984" t="s">
        <v>101</v>
      </c>
      <c r="E2984" t="s">
        <v>102</v>
      </c>
      <c r="F2984" t="s">
        <v>75</v>
      </c>
      <c r="G2984">
        <v>7.6</v>
      </c>
      <c r="H2984" t="s">
        <v>4409</v>
      </c>
      <c r="I2984" t="s">
        <v>4410</v>
      </c>
      <c r="J2984" s="1" t="s">
        <v>4411</v>
      </c>
      <c r="K2984" t="s">
        <v>181</v>
      </c>
      <c r="L2984" t="s">
        <v>3333</v>
      </c>
      <c r="M2984">
        <v>1</v>
      </c>
      <c r="N2984">
        <v>0.5</v>
      </c>
      <c r="O2984" t="s">
        <v>3358</v>
      </c>
      <c r="P2984">
        <v>35.93</v>
      </c>
      <c r="Q2984">
        <v>4</v>
      </c>
      <c r="R2984" t="s">
        <v>3359</v>
      </c>
      <c r="T2984" t="s">
        <v>3337</v>
      </c>
      <c r="U2984">
        <v>69</v>
      </c>
      <c r="V2984" t="s">
        <v>4239</v>
      </c>
    </row>
    <row r="2985" spans="1:22" ht="12.75" customHeight="1" x14ac:dyDescent="0.15">
      <c r="A2985">
        <v>27</v>
      </c>
      <c r="B2985">
        <v>2026</v>
      </c>
      <c r="C2985" s="21">
        <v>46209</v>
      </c>
      <c r="D2985" t="s">
        <v>107</v>
      </c>
      <c r="E2985" t="s">
        <v>108</v>
      </c>
      <c r="F2985" t="s">
        <v>21</v>
      </c>
      <c r="G2985">
        <v>4.5</v>
      </c>
      <c r="H2985" t="s">
        <v>3391</v>
      </c>
      <c r="I2985" t="s">
        <v>353</v>
      </c>
      <c r="J2985" s="1" t="s">
        <v>253</v>
      </c>
      <c r="K2985" t="s">
        <v>181</v>
      </c>
      <c r="L2985" t="s">
        <v>3333</v>
      </c>
      <c r="M2985">
        <v>1</v>
      </c>
      <c r="N2985">
        <v>0.5</v>
      </c>
      <c r="O2985" t="s">
        <v>3358</v>
      </c>
      <c r="P2985">
        <v>35.93</v>
      </c>
      <c r="Q2985">
        <v>4</v>
      </c>
      <c r="R2985" t="s">
        <v>3359</v>
      </c>
      <c r="T2985" t="s">
        <v>3337</v>
      </c>
      <c r="U2985">
        <v>52</v>
      </c>
      <c r="V2985" t="s">
        <v>3872</v>
      </c>
    </row>
    <row r="2986" spans="1:22" ht="12.75" customHeight="1" x14ac:dyDescent="0.15">
      <c r="A2986">
        <v>27</v>
      </c>
      <c r="B2986">
        <v>2026</v>
      </c>
      <c r="C2986" s="21">
        <v>46209</v>
      </c>
      <c r="D2986" t="s">
        <v>4406</v>
      </c>
      <c r="E2986" t="s">
        <v>4407</v>
      </c>
      <c r="G2986">
        <v>10</v>
      </c>
      <c r="H2986" t="s">
        <v>4413</v>
      </c>
      <c r="I2986" t="s">
        <v>4414</v>
      </c>
      <c r="J2986" s="1" t="s">
        <v>26</v>
      </c>
      <c r="K2986" t="s">
        <v>181</v>
      </c>
      <c r="L2986" t="s">
        <v>3333</v>
      </c>
      <c r="M2986">
        <v>80</v>
      </c>
      <c r="N2986">
        <v>0.63</v>
      </c>
      <c r="O2986" t="s">
        <v>213</v>
      </c>
      <c r="P2986">
        <v>56.25</v>
      </c>
      <c r="Q2986">
        <v>5</v>
      </c>
      <c r="R2986" t="s">
        <v>3560</v>
      </c>
      <c r="S2986" t="s">
        <v>4415</v>
      </c>
      <c r="T2986" t="s">
        <v>3402</v>
      </c>
      <c r="V2986" t="s">
        <v>4008</v>
      </c>
    </row>
    <row r="2987" spans="1:22" ht="12.75" customHeight="1" x14ac:dyDescent="0.15">
      <c r="A2987">
        <v>27</v>
      </c>
      <c r="B2987">
        <v>2026</v>
      </c>
      <c r="C2987" s="21">
        <v>46210</v>
      </c>
      <c r="D2987" t="s">
        <v>107</v>
      </c>
      <c r="E2987" t="s">
        <v>108</v>
      </c>
      <c r="F2987" t="s">
        <v>21</v>
      </c>
      <c r="G2987">
        <v>4.5</v>
      </c>
      <c r="H2987" t="s">
        <v>3391</v>
      </c>
      <c r="I2987" t="s">
        <v>353</v>
      </c>
      <c r="J2987" s="1" t="s">
        <v>253</v>
      </c>
      <c r="K2987" t="s">
        <v>181</v>
      </c>
      <c r="L2987" t="s">
        <v>3333</v>
      </c>
      <c r="M2987">
        <v>1</v>
      </c>
      <c r="N2987">
        <v>1</v>
      </c>
      <c r="O2987" t="s">
        <v>3358</v>
      </c>
      <c r="P2987">
        <v>71.86</v>
      </c>
      <c r="Q2987">
        <v>8</v>
      </c>
      <c r="R2987" t="s">
        <v>3359</v>
      </c>
      <c r="T2987" t="s">
        <v>3337</v>
      </c>
      <c r="U2987">
        <v>53</v>
      </c>
      <c r="V2987" t="s">
        <v>3817</v>
      </c>
    </row>
    <row r="2988" spans="1:22" ht="12.75" customHeight="1" x14ac:dyDescent="0.15">
      <c r="A2988">
        <v>27</v>
      </c>
      <c r="B2988">
        <v>2026</v>
      </c>
      <c r="C2988" s="21">
        <v>46210</v>
      </c>
      <c r="D2988" t="s">
        <v>107</v>
      </c>
      <c r="E2988" t="s">
        <v>108</v>
      </c>
      <c r="F2988" t="s">
        <v>21</v>
      </c>
      <c r="G2988">
        <v>4.5</v>
      </c>
      <c r="H2988" t="s">
        <v>3391</v>
      </c>
      <c r="I2988" t="s">
        <v>353</v>
      </c>
      <c r="J2988" s="1" t="s">
        <v>253</v>
      </c>
      <c r="K2988" t="s">
        <v>181</v>
      </c>
      <c r="L2988" t="s">
        <v>3333</v>
      </c>
      <c r="M2988">
        <v>6</v>
      </c>
      <c r="N2988">
        <v>1</v>
      </c>
      <c r="O2988" t="s">
        <v>3334</v>
      </c>
      <c r="P2988">
        <v>81.58</v>
      </c>
      <c r="Q2988">
        <v>8</v>
      </c>
      <c r="R2988" t="s">
        <v>3335</v>
      </c>
      <c r="T2988" t="s">
        <v>3337</v>
      </c>
      <c r="U2988">
        <v>53</v>
      </c>
      <c r="V2988" t="s">
        <v>3826</v>
      </c>
    </row>
    <row r="2989" spans="1:22" ht="12.75" customHeight="1" x14ac:dyDescent="0.15">
      <c r="A2989">
        <v>27</v>
      </c>
      <c r="B2989">
        <v>2026</v>
      </c>
      <c r="C2989" s="21">
        <v>46210</v>
      </c>
      <c r="D2989" t="s">
        <v>4406</v>
      </c>
      <c r="E2989" t="s">
        <v>4407</v>
      </c>
      <c r="G2989">
        <v>10</v>
      </c>
      <c r="H2989" t="s">
        <v>3868</v>
      </c>
      <c r="I2989" t="s">
        <v>3869</v>
      </c>
      <c r="J2989" s="1" t="s">
        <v>3696</v>
      </c>
      <c r="K2989" t="s">
        <v>181</v>
      </c>
      <c r="L2989" t="s">
        <v>3340</v>
      </c>
      <c r="M2989">
        <v>62</v>
      </c>
      <c r="N2989">
        <v>1.82</v>
      </c>
      <c r="O2989" t="s">
        <v>211</v>
      </c>
      <c r="P2989">
        <v>100</v>
      </c>
      <c r="R2989" t="s">
        <v>3375</v>
      </c>
      <c r="S2989" t="s">
        <v>4408</v>
      </c>
      <c r="T2989" t="s">
        <v>3337</v>
      </c>
      <c r="V2989" t="s">
        <v>3711</v>
      </c>
    </row>
    <row r="2990" spans="1:22" ht="12.75" customHeight="1" x14ac:dyDescent="0.15">
      <c r="A2990">
        <v>27</v>
      </c>
      <c r="B2990">
        <v>2026</v>
      </c>
      <c r="C2990" s="21">
        <v>46210</v>
      </c>
      <c r="D2990" t="s">
        <v>4406</v>
      </c>
      <c r="E2990" t="s">
        <v>4407</v>
      </c>
      <c r="G2990">
        <v>10</v>
      </c>
      <c r="H2990" t="s">
        <v>3868</v>
      </c>
      <c r="I2990" t="s">
        <v>3869</v>
      </c>
      <c r="J2990" s="1" t="s">
        <v>3696</v>
      </c>
      <c r="K2990" t="s">
        <v>181</v>
      </c>
      <c r="L2990" t="s">
        <v>3340</v>
      </c>
      <c r="M2990">
        <v>53</v>
      </c>
      <c r="N2990">
        <v>1.82</v>
      </c>
      <c r="O2990" t="s">
        <v>211</v>
      </c>
      <c r="P2990">
        <v>100</v>
      </c>
      <c r="R2990" t="s">
        <v>3373</v>
      </c>
      <c r="T2990" t="s">
        <v>3337</v>
      </c>
      <c r="V2990" t="s">
        <v>3711</v>
      </c>
    </row>
    <row r="2991" spans="1:22" ht="12.75" customHeight="1" x14ac:dyDescent="0.15">
      <c r="A2991">
        <v>27</v>
      </c>
      <c r="B2991">
        <v>2026</v>
      </c>
      <c r="C2991" s="21">
        <v>46210</v>
      </c>
      <c r="D2991" t="s">
        <v>4406</v>
      </c>
      <c r="E2991" t="s">
        <v>4407</v>
      </c>
      <c r="G2991">
        <v>10</v>
      </c>
      <c r="H2991" t="s">
        <v>3868</v>
      </c>
      <c r="I2991" t="s">
        <v>3869</v>
      </c>
      <c r="J2991" s="1" t="s">
        <v>3696</v>
      </c>
      <c r="K2991" t="s">
        <v>181</v>
      </c>
      <c r="L2991" t="s">
        <v>3340</v>
      </c>
      <c r="M2991">
        <v>58</v>
      </c>
      <c r="N2991">
        <v>1.82</v>
      </c>
      <c r="O2991" t="s">
        <v>211</v>
      </c>
      <c r="P2991">
        <v>100</v>
      </c>
      <c r="R2991" t="s">
        <v>3343</v>
      </c>
      <c r="T2991" t="s">
        <v>3337</v>
      </c>
      <c r="V2991" t="s">
        <v>3711</v>
      </c>
    </row>
    <row r="2992" spans="1:22" ht="12.75" customHeight="1" x14ac:dyDescent="0.15">
      <c r="A2992">
        <v>27</v>
      </c>
      <c r="B2992">
        <v>2026</v>
      </c>
      <c r="C2992" s="21">
        <v>46210</v>
      </c>
      <c r="D2992" t="s">
        <v>4406</v>
      </c>
      <c r="E2992" t="s">
        <v>4407</v>
      </c>
      <c r="G2992">
        <v>10</v>
      </c>
      <c r="H2992" t="s">
        <v>3868</v>
      </c>
      <c r="I2992" t="s">
        <v>3869</v>
      </c>
      <c r="J2992" s="1" t="s">
        <v>3696</v>
      </c>
      <c r="K2992" t="s">
        <v>181</v>
      </c>
      <c r="L2992" t="s">
        <v>3340</v>
      </c>
      <c r="M2992">
        <v>81</v>
      </c>
      <c r="N2992">
        <v>1.82</v>
      </c>
      <c r="O2992" t="s">
        <v>211</v>
      </c>
      <c r="P2992">
        <v>100</v>
      </c>
      <c r="R2992" t="s">
        <v>3374</v>
      </c>
      <c r="T2992" t="s">
        <v>3337</v>
      </c>
      <c r="V2992" t="s">
        <v>3711</v>
      </c>
    </row>
    <row r="2993" spans="1:22" ht="12.75" customHeight="1" x14ac:dyDescent="0.15">
      <c r="A2993">
        <v>27</v>
      </c>
      <c r="B2993">
        <v>2026</v>
      </c>
      <c r="C2993" s="21">
        <v>46210</v>
      </c>
      <c r="D2993" t="s">
        <v>4406</v>
      </c>
      <c r="E2993" t="s">
        <v>4407</v>
      </c>
      <c r="G2993">
        <v>10</v>
      </c>
      <c r="H2993" t="s">
        <v>3868</v>
      </c>
      <c r="I2993" t="s">
        <v>3869</v>
      </c>
      <c r="J2993" s="1" t="s">
        <v>3696</v>
      </c>
      <c r="K2993" t="s">
        <v>181</v>
      </c>
      <c r="L2993" t="s">
        <v>3340</v>
      </c>
      <c r="M2993">
        <v>45</v>
      </c>
      <c r="N2993">
        <v>1.82</v>
      </c>
      <c r="O2993" t="s">
        <v>211</v>
      </c>
      <c r="P2993">
        <v>100</v>
      </c>
      <c r="R2993" t="s">
        <v>3377</v>
      </c>
      <c r="T2993" t="s">
        <v>3337</v>
      </c>
      <c r="V2993" t="s">
        <v>3711</v>
      </c>
    </row>
    <row r="2994" spans="1:22" ht="12.75" customHeight="1" x14ac:dyDescent="0.15">
      <c r="A2994">
        <v>27</v>
      </c>
      <c r="B2994">
        <v>2026</v>
      </c>
      <c r="C2994" s="21">
        <v>46210</v>
      </c>
      <c r="D2994" t="s">
        <v>107</v>
      </c>
      <c r="E2994" t="s">
        <v>108</v>
      </c>
      <c r="F2994" t="s">
        <v>21</v>
      </c>
      <c r="G2994">
        <v>4.5</v>
      </c>
      <c r="H2994" t="s">
        <v>3391</v>
      </c>
      <c r="I2994" t="s">
        <v>353</v>
      </c>
      <c r="J2994" s="1" t="s">
        <v>253</v>
      </c>
      <c r="K2994" t="s">
        <v>181</v>
      </c>
      <c r="L2994" t="s">
        <v>3333</v>
      </c>
      <c r="M2994">
        <v>2</v>
      </c>
      <c r="N2994">
        <v>0.69</v>
      </c>
      <c r="O2994" t="s">
        <v>3440</v>
      </c>
      <c r="P2994">
        <v>62.21</v>
      </c>
      <c r="Q2994">
        <v>5.5</v>
      </c>
      <c r="R2994" t="s">
        <v>3424</v>
      </c>
      <c r="T2994" t="s">
        <v>3337</v>
      </c>
      <c r="U2994">
        <v>53</v>
      </c>
      <c r="V2994" t="s">
        <v>4359</v>
      </c>
    </row>
    <row r="2995" spans="1:22" ht="12.75" customHeight="1" x14ac:dyDescent="0.15">
      <c r="A2995">
        <v>27</v>
      </c>
      <c r="B2995">
        <v>2026</v>
      </c>
      <c r="C2995" s="21">
        <v>46210</v>
      </c>
      <c r="D2995" t="s">
        <v>107</v>
      </c>
      <c r="E2995" t="s">
        <v>108</v>
      </c>
      <c r="F2995" t="s">
        <v>21</v>
      </c>
      <c r="G2995">
        <v>4.5</v>
      </c>
      <c r="H2995" t="s">
        <v>3391</v>
      </c>
      <c r="I2995" t="s">
        <v>353</v>
      </c>
      <c r="J2995" s="1" t="s">
        <v>253</v>
      </c>
      <c r="K2995" t="s">
        <v>181</v>
      </c>
      <c r="L2995" t="s">
        <v>3340</v>
      </c>
      <c r="M2995">
        <v>25</v>
      </c>
      <c r="N2995">
        <v>0.65</v>
      </c>
      <c r="O2995" t="s">
        <v>211</v>
      </c>
      <c r="P2995">
        <v>36</v>
      </c>
      <c r="Q2995">
        <v>4</v>
      </c>
      <c r="R2995" t="s">
        <v>3413</v>
      </c>
      <c r="T2995" t="s">
        <v>3337</v>
      </c>
      <c r="U2995">
        <v>53</v>
      </c>
      <c r="V2995" t="s">
        <v>183</v>
      </c>
    </row>
    <row r="2996" spans="1:22" ht="12.75" customHeight="1" x14ac:dyDescent="0.15">
      <c r="A2996">
        <v>27</v>
      </c>
      <c r="B2996">
        <v>2026</v>
      </c>
      <c r="C2996" s="21">
        <v>46210</v>
      </c>
      <c r="D2996" t="s">
        <v>84</v>
      </c>
      <c r="E2996" t="s">
        <v>85</v>
      </c>
      <c r="F2996" t="s">
        <v>21</v>
      </c>
      <c r="G2996">
        <v>2</v>
      </c>
      <c r="H2996" t="s">
        <v>3803</v>
      </c>
      <c r="I2996" t="s">
        <v>3676</v>
      </c>
      <c r="J2996" s="1" t="s">
        <v>3533</v>
      </c>
      <c r="K2996" t="s">
        <v>181</v>
      </c>
      <c r="L2996" t="s">
        <v>3333</v>
      </c>
      <c r="M2996">
        <v>67</v>
      </c>
      <c r="N2996">
        <v>0.69</v>
      </c>
      <c r="O2996" t="s">
        <v>3334</v>
      </c>
      <c r="P2996">
        <v>56.09</v>
      </c>
      <c r="Q2996">
        <v>5.5</v>
      </c>
      <c r="R2996" t="s">
        <v>3404</v>
      </c>
      <c r="T2996" t="s">
        <v>3402</v>
      </c>
      <c r="U2996">
        <v>78</v>
      </c>
      <c r="V2996" t="s">
        <v>4416</v>
      </c>
    </row>
    <row r="2997" spans="1:22" ht="12.75" customHeight="1" x14ac:dyDescent="0.15">
      <c r="A2997">
        <v>27</v>
      </c>
      <c r="B2997">
        <v>2026</v>
      </c>
      <c r="C2997" s="21">
        <v>46210</v>
      </c>
      <c r="D2997" t="s">
        <v>84</v>
      </c>
      <c r="E2997" t="s">
        <v>85</v>
      </c>
      <c r="F2997" t="s">
        <v>21</v>
      </c>
      <c r="G2997">
        <v>2</v>
      </c>
      <c r="H2997" t="s">
        <v>3803</v>
      </c>
      <c r="I2997" t="s">
        <v>3676</v>
      </c>
      <c r="J2997" s="1" t="s">
        <v>3533</v>
      </c>
      <c r="K2997" t="s">
        <v>181</v>
      </c>
      <c r="L2997" t="s">
        <v>3333</v>
      </c>
      <c r="M2997">
        <v>4</v>
      </c>
      <c r="N2997">
        <v>0.69</v>
      </c>
      <c r="O2997" t="s">
        <v>3334</v>
      </c>
      <c r="P2997">
        <v>56.09</v>
      </c>
      <c r="Q2997">
        <v>5.5</v>
      </c>
      <c r="R2997" t="s">
        <v>3773</v>
      </c>
      <c r="T2997" t="s">
        <v>3402</v>
      </c>
      <c r="U2997">
        <v>78</v>
      </c>
      <c r="V2997" t="s">
        <v>4416</v>
      </c>
    </row>
    <row r="2998" spans="1:22" ht="12.75" customHeight="1" x14ac:dyDescent="0.15">
      <c r="A2998">
        <v>27</v>
      </c>
      <c r="B2998">
        <v>2026</v>
      </c>
      <c r="C2998" s="21">
        <v>46210</v>
      </c>
      <c r="D2998" t="s">
        <v>115</v>
      </c>
      <c r="E2998" t="s">
        <v>116</v>
      </c>
      <c r="F2998" t="s">
        <v>21</v>
      </c>
      <c r="G2998">
        <v>2</v>
      </c>
      <c r="H2998" t="s">
        <v>3653</v>
      </c>
      <c r="I2998" t="s">
        <v>3566</v>
      </c>
      <c r="J2998" s="1" t="s">
        <v>3389</v>
      </c>
      <c r="K2998" t="s">
        <v>181</v>
      </c>
      <c r="L2998" t="s">
        <v>3333</v>
      </c>
      <c r="M2998">
        <v>80</v>
      </c>
      <c r="N2998">
        <v>0.13</v>
      </c>
      <c r="O2998" t="s">
        <v>213</v>
      </c>
      <c r="P2998">
        <v>11.25</v>
      </c>
      <c r="Q2998">
        <v>1</v>
      </c>
      <c r="R2998" t="s">
        <v>3560</v>
      </c>
      <c r="T2998" t="s">
        <v>3402</v>
      </c>
      <c r="U2998">
        <v>47</v>
      </c>
      <c r="V2998" t="s">
        <v>4008</v>
      </c>
    </row>
    <row r="2999" spans="1:22" ht="12.75" customHeight="1" x14ac:dyDescent="0.15">
      <c r="A2999">
        <v>27</v>
      </c>
      <c r="B2999">
        <v>2026</v>
      </c>
      <c r="C2999" s="21">
        <v>46210</v>
      </c>
      <c r="D2999" t="s">
        <v>115</v>
      </c>
      <c r="E2999" t="s">
        <v>116</v>
      </c>
      <c r="F2999" t="s">
        <v>21</v>
      </c>
      <c r="G2999">
        <v>2</v>
      </c>
      <c r="H2999" t="s">
        <v>3878</v>
      </c>
      <c r="I2999" t="s">
        <v>3566</v>
      </c>
      <c r="J2999" s="1" t="s">
        <v>3389</v>
      </c>
      <c r="K2999" t="s">
        <v>2666</v>
      </c>
      <c r="L2999" t="s">
        <v>3587</v>
      </c>
      <c r="P2999">
        <v>8</v>
      </c>
      <c r="T2999" t="s">
        <v>3402</v>
      </c>
      <c r="U2999">
        <v>47</v>
      </c>
      <c r="V2999" t="s">
        <v>4105</v>
      </c>
    </row>
    <row r="3000" spans="1:22" ht="12.75" customHeight="1" x14ac:dyDescent="0.15">
      <c r="A3000">
        <v>27</v>
      </c>
      <c r="B3000">
        <v>2026</v>
      </c>
      <c r="C3000" s="21">
        <v>46210</v>
      </c>
      <c r="D3000" t="s">
        <v>84</v>
      </c>
      <c r="E3000" t="s">
        <v>85</v>
      </c>
      <c r="F3000" t="s">
        <v>21</v>
      </c>
      <c r="G3000">
        <v>2</v>
      </c>
      <c r="H3000" t="s">
        <v>3803</v>
      </c>
      <c r="I3000" t="s">
        <v>3676</v>
      </c>
      <c r="J3000" s="1" t="s">
        <v>3533</v>
      </c>
      <c r="K3000" t="s">
        <v>181</v>
      </c>
      <c r="L3000" t="s">
        <v>3340</v>
      </c>
      <c r="M3000">
        <v>78</v>
      </c>
      <c r="N3000">
        <v>0.16</v>
      </c>
      <c r="O3000" t="s">
        <v>211</v>
      </c>
      <c r="P3000">
        <v>9</v>
      </c>
      <c r="Q3000">
        <v>1</v>
      </c>
      <c r="R3000" t="s">
        <v>3341</v>
      </c>
      <c r="T3000" t="s">
        <v>3402</v>
      </c>
      <c r="U3000">
        <v>78</v>
      </c>
      <c r="V3000" t="s">
        <v>3464</v>
      </c>
    </row>
    <row r="3001" spans="1:22" ht="12.75" customHeight="1" x14ac:dyDescent="0.15">
      <c r="A3001">
        <v>27</v>
      </c>
      <c r="B3001">
        <v>2026</v>
      </c>
      <c r="C3001" s="21">
        <v>46210</v>
      </c>
      <c r="D3001" t="s">
        <v>4406</v>
      </c>
      <c r="E3001" t="s">
        <v>4407</v>
      </c>
      <c r="G3001">
        <v>10</v>
      </c>
      <c r="H3001" t="s">
        <v>4417</v>
      </c>
      <c r="I3001" t="s">
        <v>4418</v>
      </c>
      <c r="J3001" s="1" t="s">
        <v>4383</v>
      </c>
      <c r="K3001" t="s">
        <v>2666</v>
      </c>
      <c r="L3001" t="s">
        <v>3587</v>
      </c>
      <c r="P3001">
        <v>40</v>
      </c>
      <c r="T3001" t="s">
        <v>3402</v>
      </c>
      <c r="V3001" t="s">
        <v>4105</v>
      </c>
    </row>
    <row r="3002" spans="1:22" ht="12.75" customHeight="1" x14ac:dyDescent="0.15">
      <c r="A3002">
        <v>27</v>
      </c>
      <c r="B3002">
        <v>2026</v>
      </c>
      <c r="C3002" s="21">
        <v>46211</v>
      </c>
      <c r="D3002" t="s">
        <v>4406</v>
      </c>
      <c r="E3002" t="s">
        <v>4407</v>
      </c>
      <c r="G3002">
        <v>10</v>
      </c>
      <c r="H3002" t="s">
        <v>3868</v>
      </c>
      <c r="I3002" t="s">
        <v>3869</v>
      </c>
      <c r="J3002" s="1" t="s">
        <v>3696</v>
      </c>
      <c r="K3002" t="s">
        <v>181</v>
      </c>
      <c r="L3002" t="s">
        <v>3340</v>
      </c>
      <c r="M3002">
        <v>62</v>
      </c>
      <c r="N3002">
        <v>1.82</v>
      </c>
      <c r="O3002" t="s">
        <v>211</v>
      </c>
      <c r="P3002">
        <v>100</v>
      </c>
      <c r="R3002" t="s">
        <v>3375</v>
      </c>
      <c r="S3002" t="s">
        <v>4408</v>
      </c>
      <c r="T3002" t="s">
        <v>3337</v>
      </c>
      <c r="V3002" t="s">
        <v>3711</v>
      </c>
    </row>
    <row r="3003" spans="1:22" ht="12.75" customHeight="1" x14ac:dyDescent="0.15">
      <c r="A3003">
        <v>27</v>
      </c>
      <c r="B3003">
        <v>2026</v>
      </c>
      <c r="C3003" s="21">
        <v>46211</v>
      </c>
      <c r="D3003" t="s">
        <v>4406</v>
      </c>
      <c r="E3003" t="s">
        <v>4407</v>
      </c>
      <c r="G3003">
        <v>10</v>
      </c>
      <c r="H3003" t="s">
        <v>3868</v>
      </c>
      <c r="I3003" t="s">
        <v>3869</v>
      </c>
      <c r="J3003" s="1" t="s">
        <v>3696</v>
      </c>
      <c r="K3003" t="s">
        <v>181</v>
      </c>
      <c r="L3003" t="s">
        <v>3340</v>
      </c>
      <c r="M3003">
        <v>53</v>
      </c>
      <c r="N3003">
        <v>1.82</v>
      </c>
      <c r="O3003" t="s">
        <v>211</v>
      </c>
      <c r="P3003">
        <v>100</v>
      </c>
      <c r="R3003" t="s">
        <v>3373</v>
      </c>
      <c r="T3003" t="s">
        <v>3337</v>
      </c>
      <c r="V3003" t="s">
        <v>3711</v>
      </c>
    </row>
    <row r="3004" spans="1:22" ht="12.75" customHeight="1" x14ac:dyDescent="0.15">
      <c r="A3004">
        <v>27</v>
      </c>
      <c r="B3004">
        <v>2026</v>
      </c>
      <c r="C3004" s="21">
        <v>46211</v>
      </c>
      <c r="D3004" t="s">
        <v>4406</v>
      </c>
      <c r="E3004" t="s">
        <v>4407</v>
      </c>
      <c r="G3004">
        <v>10</v>
      </c>
      <c r="H3004" t="s">
        <v>3868</v>
      </c>
      <c r="I3004" t="s">
        <v>3869</v>
      </c>
      <c r="J3004" s="1" t="s">
        <v>3696</v>
      </c>
      <c r="K3004" t="s">
        <v>181</v>
      </c>
      <c r="L3004" t="s">
        <v>3340</v>
      </c>
      <c r="M3004">
        <v>58</v>
      </c>
      <c r="N3004">
        <v>1.82</v>
      </c>
      <c r="O3004" t="s">
        <v>211</v>
      </c>
      <c r="P3004">
        <v>100</v>
      </c>
      <c r="R3004" t="s">
        <v>3343</v>
      </c>
      <c r="T3004" t="s">
        <v>3337</v>
      </c>
      <c r="V3004" t="s">
        <v>3711</v>
      </c>
    </row>
    <row r="3005" spans="1:22" ht="12.75" customHeight="1" x14ac:dyDescent="0.15">
      <c r="A3005">
        <v>27</v>
      </c>
      <c r="B3005">
        <v>2026</v>
      </c>
      <c r="C3005" s="21">
        <v>46211</v>
      </c>
      <c r="D3005" t="s">
        <v>4406</v>
      </c>
      <c r="E3005" t="s">
        <v>4407</v>
      </c>
      <c r="G3005">
        <v>10</v>
      </c>
      <c r="H3005" t="s">
        <v>3868</v>
      </c>
      <c r="I3005" t="s">
        <v>3869</v>
      </c>
      <c r="J3005" s="1" t="s">
        <v>3696</v>
      </c>
      <c r="K3005" t="s">
        <v>181</v>
      </c>
      <c r="L3005" t="s">
        <v>3340</v>
      </c>
      <c r="M3005">
        <v>81</v>
      </c>
      <c r="N3005">
        <v>1.82</v>
      </c>
      <c r="O3005" t="s">
        <v>211</v>
      </c>
      <c r="P3005">
        <v>100</v>
      </c>
      <c r="R3005" t="s">
        <v>3374</v>
      </c>
      <c r="T3005" t="s">
        <v>3337</v>
      </c>
      <c r="V3005" t="s">
        <v>3711</v>
      </c>
    </row>
    <row r="3006" spans="1:22" ht="12.75" customHeight="1" x14ac:dyDescent="0.15">
      <c r="A3006">
        <v>27</v>
      </c>
      <c r="B3006">
        <v>2026</v>
      </c>
      <c r="C3006" s="21">
        <v>46211</v>
      </c>
      <c r="D3006" t="s">
        <v>4406</v>
      </c>
      <c r="E3006" t="s">
        <v>4407</v>
      </c>
      <c r="G3006">
        <v>10</v>
      </c>
      <c r="H3006" t="s">
        <v>3868</v>
      </c>
      <c r="I3006" t="s">
        <v>3869</v>
      </c>
      <c r="J3006" s="1" t="s">
        <v>3696</v>
      </c>
      <c r="K3006" t="s">
        <v>181</v>
      </c>
      <c r="L3006" t="s">
        <v>3340</v>
      </c>
      <c r="M3006">
        <v>45</v>
      </c>
      <c r="N3006">
        <v>1.82</v>
      </c>
      <c r="O3006" t="s">
        <v>211</v>
      </c>
      <c r="P3006">
        <v>100</v>
      </c>
      <c r="R3006" t="s">
        <v>3377</v>
      </c>
      <c r="T3006" t="s">
        <v>3337</v>
      </c>
      <c r="V3006" t="s">
        <v>3711</v>
      </c>
    </row>
    <row r="3007" spans="1:22" ht="12.75" customHeight="1" x14ac:dyDescent="0.15">
      <c r="A3007">
        <v>27</v>
      </c>
      <c r="B3007">
        <v>2026</v>
      </c>
      <c r="C3007" s="21">
        <v>46211</v>
      </c>
      <c r="D3007" t="s">
        <v>107</v>
      </c>
      <c r="E3007" t="s">
        <v>108</v>
      </c>
      <c r="F3007" t="s">
        <v>21</v>
      </c>
      <c r="G3007">
        <v>4.5</v>
      </c>
      <c r="H3007" t="s">
        <v>3391</v>
      </c>
      <c r="I3007" t="s">
        <v>353</v>
      </c>
      <c r="J3007" s="1" t="s">
        <v>253</v>
      </c>
      <c r="K3007" t="s">
        <v>181</v>
      </c>
      <c r="L3007" t="s">
        <v>3333</v>
      </c>
      <c r="M3007">
        <v>1</v>
      </c>
      <c r="N3007">
        <v>1</v>
      </c>
      <c r="O3007" t="s">
        <v>3358</v>
      </c>
      <c r="P3007">
        <v>71.86</v>
      </c>
      <c r="Q3007">
        <v>8</v>
      </c>
      <c r="R3007" t="s">
        <v>3359</v>
      </c>
      <c r="T3007" t="s">
        <v>3337</v>
      </c>
      <c r="U3007">
        <v>54</v>
      </c>
      <c r="V3007" t="s">
        <v>3817</v>
      </c>
    </row>
    <row r="3008" spans="1:22" ht="12.75" customHeight="1" x14ac:dyDescent="0.15">
      <c r="A3008">
        <v>27</v>
      </c>
      <c r="B3008">
        <v>2026</v>
      </c>
      <c r="C3008" s="21">
        <v>46211</v>
      </c>
      <c r="D3008" t="s">
        <v>107</v>
      </c>
      <c r="E3008" t="s">
        <v>108</v>
      </c>
      <c r="F3008" t="s">
        <v>21</v>
      </c>
      <c r="G3008">
        <v>4.5</v>
      </c>
      <c r="H3008" t="s">
        <v>3391</v>
      </c>
      <c r="I3008" t="s">
        <v>353</v>
      </c>
      <c r="J3008" s="1" t="s">
        <v>253</v>
      </c>
      <c r="K3008" t="s">
        <v>181</v>
      </c>
      <c r="L3008" t="s">
        <v>3333</v>
      </c>
      <c r="M3008">
        <v>6</v>
      </c>
      <c r="N3008">
        <v>1</v>
      </c>
      <c r="O3008" t="s">
        <v>3334</v>
      </c>
      <c r="P3008">
        <v>81.58</v>
      </c>
      <c r="Q3008">
        <v>8</v>
      </c>
      <c r="R3008" t="s">
        <v>3335</v>
      </c>
      <c r="T3008" t="s">
        <v>3337</v>
      </c>
      <c r="U3008">
        <v>54</v>
      </c>
      <c r="V3008" t="s">
        <v>3826</v>
      </c>
    </row>
    <row r="3009" spans="1:22" ht="12.75" customHeight="1" x14ac:dyDescent="0.15">
      <c r="A3009">
        <v>27</v>
      </c>
      <c r="B3009">
        <v>2026</v>
      </c>
      <c r="C3009" s="21">
        <v>46211</v>
      </c>
      <c r="D3009" t="s">
        <v>107</v>
      </c>
      <c r="E3009" t="s">
        <v>108</v>
      </c>
      <c r="F3009" t="s">
        <v>21</v>
      </c>
      <c r="G3009">
        <v>4.5</v>
      </c>
      <c r="H3009" t="s">
        <v>3400</v>
      </c>
      <c r="I3009" t="s">
        <v>353</v>
      </c>
      <c r="J3009" s="1" t="s">
        <v>253</v>
      </c>
      <c r="K3009" t="s">
        <v>181</v>
      </c>
      <c r="L3009" t="s">
        <v>3333</v>
      </c>
      <c r="M3009">
        <v>2</v>
      </c>
      <c r="N3009">
        <v>0.81</v>
      </c>
      <c r="O3009" t="s">
        <v>3440</v>
      </c>
      <c r="P3009">
        <v>73.52</v>
      </c>
      <c r="Q3009">
        <v>6.5</v>
      </c>
      <c r="R3009" t="s">
        <v>3424</v>
      </c>
      <c r="T3009" t="s">
        <v>3337</v>
      </c>
      <c r="U3009">
        <v>54</v>
      </c>
      <c r="V3009" t="s">
        <v>4419</v>
      </c>
    </row>
    <row r="3010" spans="1:22" ht="12.75" customHeight="1" x14ac:dyDescent="0.15">
      <c r="A3010">
        <v>27</v>
      </c>
      <c r="B3010">
        <v>2026</v>
      </c>
      <c r="C3010" s="21">
        <v>46211</v>
      </c>
      <c r="D3010" t="s">
        <v>107</v>
      </c>
      <c r="E3010" t="s">
        <v>108</v>
      </c>
      <c r="F3010" t="s">
        <v>21</v>
      </c>
      <c r="G3010">
        <v>4.5</v>
      </c>
      <c r="H3010" t="s">
        <v>3400</v>
      </c>
      <c r="I3010" t="s">
        <v>353</v>
      </c>
      <c r="J3010" s="1" t="s">
        <v>253</v>
      </c>
      <c r="K3010" t="s">
        <v>181</v>
      </c>
      <c r="L3010" t="s">
        <v>3340</v>
      </c>
      <c r="M3010">
        <v>25</v>
      </c>
      <c r="N3010">
        <v>0.82</v>
      </c>
      <c r="O3010" t="s">
        <v>211</v>
      </c>
      <c r="P3010">
        <v>45</v>
      </c>
      <c r="Q3010">
        <v>5</v>
      </c>
      <c r="R3010" t="s">
        <v>3413</v>
      </c>
      <c r="T3010" t="s">
        <v>3337</v>
      </c>
      <c r="U3010">
        <v>54</v>
      </c>
      <c r="V3010" t="s">
        <v>3711</v>
      </c>
    </row>
    <row r="3011" spans="1:22" ht="12.75" customHeight="1" x14ac:dyDescent="0.15">
      <c r="A3011">
        <v>27</v>
      </c>
      <c r="B3011">
        <v>2026</v>
      </c>
      <c r="C3011" s="21">
        <v>46211</v>
      </c>
      <c r="D3011" t="s">
        <v>4406</v>
      </c>
      <c r="E3011" t="s">
        <v>4407</v>
      </c>
      <c r="G3011">
        <v>10</v>
      </c>
      <c r="H3011" t="s">
        <v>4413</v>
      </c>
      <c r="I3011" t="s">
        <v>4414</v>
      </c>
      <c r="J3011" s="1" t="s">
        <v>26</v>
      </c>
      <c r="K3011" t="s">
        <v>181</v>
      </c>
      <c r="L3011" t="s">
        <v>3333</v>
      </c>
      <c r="M3011">
        <v>80</v>
      </c>
      <c r="N3011">
        <v>0.63</v>
      </c>
      <c r="O3011" t="s">
        <v>213</v>
      </c>
      <c r="P3011">
        <v>56.25</v>
      </c>
      <c r="Q3011">
        <v>5</v>
      </c>
      <c r="R3011" t="s">
        <v>3560</v>
      </c>
      <c r="T3011" t="s">
        <v>3402</v>
      </c>
      <c r="V3011" t="s">
        <v>4008</v>
      </c>
    </row>
    <row r="3012" spans="1:22" ht="12.75" customHeight="1" x14ac:dyDescent="0.15">
      <c r="A3012">
        <v>27</v>
      </c>
      <c r="B3012">
        <v>2026</v>
      </c>
      <c r="C3012" s="21">
        <v>46211</v>
      </c>
      <c r="D3012" t="s">
        <v>4406</v>
      </c>
      <c r="E3012" t="s">
        <v>4407</v>
      </c>
      <c r="G3012">
        <v>10</v>
      </c>
      <c r="H3012" t="s">
        <v>4417</v>
      </c>
      <c r="I3012" t="s">
        <v>4418</v>
      </c>
      <c r="J3012" s="1" t="s">
        <v>4383</v>
      </c>
      <c r="K3012" t="s">
        <v>2666</v>
      </c>
      <c r="L3012" t="s">
        <v>3587</v>
      </c>
      <c r="P3012">
        <v>40</v>
      </c>
      <c r="T3012" t="s">
        <v>3402</v>
      </c>
      <c r="V3012" t="s">
        <v>4105</v>
      </c>
    </row>
    <row r="3013" spans="1:22" ht="12.75" customHeight="1" x14ac:dyDescent="0.15">
      <c r="A3013">
        <v>27</v>
      </c>
      <c r="B3013">
        <v>2026</v>
      </c>
      <c r="C3013" s="21">
        <v>46211</v>
      </c>
      <c r="D3013" t="s">
        <v>84</v>
      </c>
      <c r="E3013" t="s">
        <v>85</v>
      </c>
      <c r="F3013" t="s">
        <v>21</v>
      </c>
      <c r="G3013">
        <v>2</v>
      </c>
      <c r="H3013" t="s">
        <v>3803</v>
      </c>
      <c r="I3013" t="s">
        <v>3676</v>
      </c>
      <c r="J3013" s="1" t="s">
        <v>3533</v>
      </c>
      <c r="K3013" t="s">
        <v>181</v>
      </c>
      <c r="L3013" t="s">
        <v>3333</v>
      </c>
      <c r="M3013">
        <v>67</v>
      </c>
      <c r="N3013">
        <v>0.81</v>
      </c>
      <c r="O3013" t="s">
        <v>3334</v>
      </c>
      <c r="P3013">
        <v>66.28</v>
      </c>
      <c r="Q3013">
        <v>6.5</v>
      </c>
      <c r="R3013" t="s">
        <v>3404</v>
      </c>
      <c r="T3013" t="s">
        <v>3402</v>
      </c>
      <c r="U3013">
        <v>79</v>
      </c>
      <c r="V3013" t="s">
        <v>4420</v>
      </c>
    </row>
    <row r="3014" spans="1:22" ht="12.75" customHeight="1" x14ac:dyDescent="0.15">
      <c r="A3014">
        <v>27</v>
      </c>
      <c r="B3014">
        <v>2026</v>
      </c>
      <c r="C3014" s="21">
        <v>46211</v>
      </c>
      <c r="D3014" t="s">
        <v>84</v>
      </c>
      <c r="E3014" t="s">
        <v>85</v>
      </c>
      <c r="F3014" t="s">
        <v>21</v>
      </c>
      <c r="G3014">
        <v>2</v>
      </c>
      <c r="H3014" t="s">
        <v>3803</v>
      </c>
      <c r="I3014" t="s">
        <v>3676</v>
      </c>
      <c r="J3014" s="1" t="s">
        <v>3533</v>
      </c>
      <c r="K3014" t="s">
        <v>181</v>
      </c>
      <c r="L3014" t="s">
        <v>3333</v>
      </c>
      <c r="M3014">
        <v>4</v>
      </c>
      <c r="N3014">
        <v>0.81</v>
      </c>
      <c r="O3014" t="s">
        <v>3334</v>
      </c>
      <c r="P3014">
        <v>66.28</v>
      </c>
      <c r="Q3014">
        <v>6.5</v>
      </c>
      <c r="R3014" t="s">
        <v>3773</v>
      </c>
      <c r="T3014" t="s">
        <v>3402</v>
      </c>
      <c r="U3014">
        <v>79</v>
      </c>
      <c r="V3014" t="s">
        <v>4420</v>
      </c>
    </row>
    <row r="3015" spans="1:22" ht="12.75" customHeight="1" x14ac:dyDescent="0.15">
      <c r="A3015">
        <v>27</v>
      </c>
      <c r="B3015">
        <v>2026</v>
      </c>
      <c r="C3015" s="21">
        <v>46211</v>
      </c>
      <c r="D3015" t="s">
        <v>84</v>
      </c>
      <c r="E3015" t="s">
        <v>85</v>
      </c>
      <c r="F3015" t="s">
        <v>21</v>
      </c>
      <c r="G3015">
        <v>2</v>
      </c>
      <c r="H3015" t="s">
        <v>3803</v>
      </c>
      <c r="I3015" t="s">
        <v>3676</v>
      </c>
      <c r="J3015" s="1" t="s">
        <v>3533</v>
      </c>
      <c r="K3015" t="s">
        <v>181</v>
      </c>
      <c r="L3015" t="s">
        <v>3340</v>
      </c>
      <c r="M3015">
        <v>78</v>
      </c>
      <c r="N3015">
        <v>0.41</v>
      </c>
      <c r="O3015" t="s">
        <v>211</v>
      </c>
      <c r="P3015">
        <v>22.5</v>
      </c>
      <c r="Q3015">
        <v>2.5</v>
      </c>
      <c r="R3015" t="s">
        <v>3341</v>
      </c>
      <c r="T3015" t="s">
        <v>3402</v>
      </c>
      <c r="U3015">
        <v>79</v>
      </c>
      <c r="V3015" t="s">
        <v>3561</v>
      </c>
    </row>
    <row r="3016" spans="1:22" ht="12.75" customHeight="1" x14ac:dyDescent="0.15">
      <c r="A3016">
        <v>27</v>
      </c>
      <c r="B3016">
        <v>2026</v>
      </c>
      <c r="C3016" s="21">
        <v>46212</v>
      </c>
      <c r="D3016" t="s">
        <v>4406</v>
      </c>
      <c r="E3016" t="s">
        <v>4407</v>
      </c>
      <c r="G3016">
        <v>10</v>
      </c>
      <c r="H3016" t="s">
        <v>3868</v>
      </c>
      <c r="I3016" t="s">
        <v>3869</v>
      </c>
      <c r="J3016" s="1" t="s">
        <v>3696</v>
      </c>
      <c r="K3016" t="s">
        <v>181</v>
      </c>
      <c r="L3016" t="s">
        <v>3340</v>
      </c>
      <c r="M3016">
        <v>62</v>
      </c>
      <c r="N3016">
        <v>1.82</v>
      </c>
      <c r="O3016" t="s">
        <v>211</v>
      </c>
      <c r="P3016">
        <v>100</v>
      </c>
      <c r="R3016" t="s">
        <v>3375</v>
      </c>
      <c r="S3016" t="s">
        <v>4408</v>
      </c>
      <c r="T3016" t="s">
        <v>3337</v>
      </c>
      <c r="V3016" t="s">
        <v>3711</v>
      </c>
    </row>
    <row r="3017" spans="1:22" ht="12.75" customHeight="1" x14ac:dyDescent="0.15">
      <c r="A3017">
        <v>27</v>
      </c>
      <c r="B3017">
        <v>2026</v>
      </c>
      <c r="C3017" s="21">
        <v>46212</v>
      </c>
      <c r="D3017" t="s">
        <v>4406</v>
      </c>
      <c r="E3017" t="s">
        <v>4407</v>
      </c>
      <c r="G3017">
        <v>10</v>
      </c>
      <c r="H3017" t="s">
        <v>3868</v>
      </c>
      <c r="I3017" t="s">
        <v>3869</v>
      </c>
      <c r="J3017" s="1" t="s">
        <v>3696</v>
      </c>
      <c r="K3017" t="s">
        <v>181</v>
      </c>
      <c r="L3017" t="s">
        <v>3340</v>
      </c>
      <c r="M3017">
        <v>53</v>
      </c>
      <c r="N3017">
        <v>1.82</v>
      </c>
      <c r="O3017" t="s">
        <v>211</v>
      </c>
      <c r="P3017">
        <v>100</v>
      </c>
      <c r="R3017" t="s">
        <v>3373</v>
      </c>
      <c r="T3017" t="s">
        <v>3337</v>
      </c>
      <c r="V3017" t="s">
        <v>3711</v>
      </c>
    </row>
    <row r="3018" spans="1:22" ht="12.75" customHeight="1" x14ac:dyDescent="0.15">
      <c r="A3018">
        <v>27</v>
      </c>
      <c r="B3018">
        <v>2026</v>
      </c>
      <c r="C3018" s="21">
        <v>46212</v>
      </c>
      <c r="D3018" t="s">
        <v>4406</v>
      </c>
      <c r="E3018" t="s">
        <v>4407</v>
      </c>
      <c r="G3018">
        <v>10</v>
      </c>
      <c r="H3018" t="s">
        <v>3868</v>
      </c>
      <c r="I3018" t="s">
        <v>3869</v>
      </c>
      <c r="J3018" s="1" t="s">
        <v>3696</v>
      </c>
      <c r="K3018" t="s">
        <v>181</v>
      </c>
      <c r="L3018" t="s">
        <v>3340</v>
      </c>
      <c r="M3018">
        <v>58</v>
      </c>
      <c r="N3018">
        <v>1.82</v>
      </c>
      <c r="O3018" t="s">
        <v>211</v>
      </c>
      <c r="P3018">
        <v>100</v>
      </c>
      <c r="R3018" t="s">
        <v>3343</v>
      </c>
      <c r="T3018" t="s">
        <v>3337</v>
      </c>
      <c r="V3018" t="s">
        <v>3711</v>
      </c>
    </row>
    <row r="3019" spans="1:22" ht="12.75" customHeight="1" x14ac:dyDescent="0.15">
      <c r="A3019">
        <v>27</v>
      </c>
      <c r="B3019">
        <v>2026</v>
      </c>
      <c r="C3019" s="21">
        <v>46212</v>
      </c>
      <c r="D3019" t="s">
        <v>4406</v>
      </c>
      <c r="E3019" t="s">
        <v>4407</v>
      </c>
      <c r="G3019">
        <v>10</v>
      </c>
      <c r="H3019" t="s">
        <v>3868</v>
      </c>
      <c r="I3019" t="s">
        <v>3869</v>
      </c>
      <c r="J3019" s="1" t="s">
        <v>3696</v>
      </c>
      <c r="K3019" t="s">
        <v>181</v>
      </c>
      <c r="L3019" t="s">
        <v>3340</v>
      </c>
      <c r="M3019">
        <v>81</v>
      </c>
      <c r="N3019">
        <v>1.82</v>
      </c>
      <c r="O3019" t="s">
        <v>211</v>
      </c>
      <c r="P3019">
        <v>100</v>
      </c>
      <c r="R3019" t="s">
        <v>3374</v>
      </c>
      <c r="T3019" t="s">
        <v>3337</v>
      </c>
      <c r="V3019" t="s">
        <v>3711</v>
      </c>
    </row>
    <row r="3020" spans="1:22" ht="12.75" customHeight="1" x14ac:dyDescent="0.15">
      <c r="A3020">
        <v>27</v>
      </c>
      <c r="B3020">
        <v>2026</v>
      </c>
      <c r="C3020" s="21">
        <v>46212</v>
      </c>
      <c r="D3020" t="s">
        <v>4406</v>
      </c>
      <c r="E3020" t="s">
        <v>4407</v>
      </c>
      <c r="G3020">
        <v>10</v>
      </c>
      <c r="H3020" t="s">
        <v>3868</v>
      </c>
      <c r="I3020" t="s">
        <v>3869</v>
      </c>
      <c r="J3020" s="1" t="s">
        <v>3696</v>
      </c>
      <c r="K3020" t="s">
        <v>181</v>
      </c>
      <c r="L3020" t="s">
        <v>3340</v>
      </c>
      <c r="M3020">
        <v>45</v>
      </c>
      <c r="N3020">
        <v>1.82</v>
      </c>
      <c r="O3020" t="s">
        <v>211</v>
      </c>
      <c r="P3020">
        <v>100</v>
      </c>
      <c r="R3020" t="s">
        <v>3377</v>
      </c>
      <c r="T3020" t="s">
        <v>3337</v>
      </c>
      <c r="V3020" t="s">
        <v>3711</v>
      </c>
    </row>
    <row r="3021" spans="1:22" ht="12.75" customHeight="1" x14ac:dyDescent="0.15">
      <c r="A3021">
        <v>27</v>
      </c>
      <c r="B3021">
        <v>2026</v>
      </c>
      <c r="C3021" s="21">
        <v>46212</v>
      </c>
      <c r="D3021" t="s">
        <v>107</v>
      </c>
      <c r="E3021" t="s">
        <v>108</v>
      </c>
      <c r="F3021" t="s">
        <v>21</v>
      </c>
      <c r="G3021">
        <v>4.5</v>
      </c>
      <c r="H3021" t="s">
        <v>3519</v>
      </c>
      <c r="I3021" t="s">
        <v>214</v>
      </c>
      <c r="J3021" s="1" t="s">
        <v>215</v>
      </c>
      <c r="K3021" t="s">
        <v>181</v>
      </c>
      <c r="L3021" t="s">
        <v>3333</v>
      </c>
      <c r="M3021">
        <v>6</v>
      </c>
      <c r="N3021">
        <v>1</v>
      </c>
      <c r="O3021" t="s">
        <v>3334</v>
      </c>
      <c r="P3021">
        <v>81.58</v>
      </c>
      <c r="Q3021">
        <v>8</v>
      </c>
      <c r="R3021" t="s">
        <v>3335</v>
      </c>
      <c r="T3021" t="s">
        <v>3337</v>
      </c>
      <c r="U3021">
        <v>55</v>
      </c>
      <c r="V3021" t="s">
        <v>3826</v>
      </c>
    </row>
    <row r="3022" spans="1:22" ht="12.75" customHeight="1" x14ac:dyDescent="0.15">
      <c r="A3022">
        <v>27</v>
      </c>
      <c r="B3022">
        <v>2026</v>
      </c>
      <c r="C3022" s="21">
        <v>46212</v>
      </c>
      <c r="D3022" t="s">
        <v>107</v>
      </c>
      <c r="E3022" t="s">
        <v>108</v>
      </c>
      <c r="F3022" t="s">
        <v>21</v>
      </c>
      <c r="G3022">
        <v>4.5</v>
      </c>
      <c r="H3022" t="s">
        <v>3400</v>
      </c>
      <c r="I3022" t="s">
        <v>353</v>
      </c>
      <c r="J3022" s="1" t="s">
        <v>253</v>
      </c>
      <c r="K3022" t="s">
        <v>181</v>
      </c>
      <c r="L3022" t="s">
        <v>3333</v>
      </c>
      <c r="M3022">
        <v>1</v>
      </c>
      <c r="N3022">
        <v>1</v>
      </c>
      <c r="O3022" t="s">
        <v>3358</v>
      </c>
      <c r="P3022">
        <v>71.86</v>
      </c>
      <c r="Q3022">
        <v>8</v>
      </c>
      <c r="R3022" t="s">
        <v>3359</v>
      </c>
      <c r="T3022" t="s">
        <v>3337</v>
      </c>
      <c r="U3022">
        <v>55</v>
      </c>
      <c r="V3022" t="s">
        <v>3817</v>
      </c>
    </row>
    <row r="3023" spans="1:22" ht="12.75" customHeight="1" x14ac:dyDescent="0.15">
      <c r="A3023">
        <v>27</v>
      </c>
      <c r="B3023">
        <v>2026</v>
      </c>
      <c r="C3023" s="21">
        <v>46212</v>
      </c>
      <c r="D3023" t="s">
        <v>107</v>
      </c>
      <c r="E3023" t="s">
        <v>108</v>
      </c>
      <c r="F3023" t="s">
        <v>21</v>
      </c>
      <c r="G3023">
        <v>4.5</v>
      </c>
      <c r="H3023" t="s">
        <v>3400</v>
      </c>
      <c r="I3023" t="s">
        <v>353</v>
      </c>
      <c r="J3023" s="1" t="s">
        <v>253</v>
      </c>
      <c r="K3023" t="s">
        <v>181</v>
      </c>
      <c r="L3023" t="s">
        <v>3333</v>
      </c>
      <c r="M3023">
        <v>2</v>
      </c>
      <c r="N3023">
        <v>0.5</v>
      </c>
      <c r="O3023" t="s">
        <v>3440</v>
      </c>
      <c r="P3023">
        <v>45.25</v>
      </c>
      <c r="Q3023">
        <v>4</v>
      </c>
      <c r="R3023" t="s">
        <v>3424</v>
      </c>
      <c r="T3023" t="s">
        <v>3337</v>
      </c>
      <c r="U3023">
        <v>55</v>
      </c>
      <c r="V3023" t="s">
        <v>4398</v>
      </c>
    </row>
    <row r="3024" spans="1:22" ht="12.75" customHeight="1" x14ac:dyDescent="0.15">
      <c r="A3024">
        <v>27</v>
      </c>
      <c r="B3024">
        <v>2026</v>
      </c>
      <c r="C3024" s="21">
        <v>46212</v>
      </c>
      <c r="D3024" t="s">
        <v>107</v>
      </c>
      <c r="E3024" t="s">
        <v>108</v>
      </c>
      <c r="F3024" t="s">
        <v>21</v>
      </c>
      <c r="G3024">
        <v>4.5</v>
      </c>
      <c r="H3024" t="s">
        <v>3400</v>
      </c>
      <c r="I3024" t="s">
        <v>353</v>
      </c>
      <c r="J3024" s="1" t="s">
        <v>253</v>
      </c>
      <c r="K3024" t="s">
        <v>181</v>
      </c>
      <c r="L3024" t="s">
        <v>3340</v>
      </c>
      <c r="M3024">
        <v>25</v>
      </c>
      <c r="N3024">
        <v>0.65</v>
      </c>
      <c r="O3024" t="s">
        <v>211</v>
      </c>
      <c r="P3024">
        <v>36</v>
      </c>
      <c r="Q3024">
        <v>4</v>
      </c>
      <c r="R3024" t="s">
        <v>3413</v>
      </c>
      <c r="T3024" t="s">
        <v>3337</v>
      </c>
      <c r="U3024">
        <v>55</v>
      </c>
      <c r="V3024" t="s">
        <v>183</v>
      </c>
    </row>
    <row r="3025" spans="1:23" ht="15" customHeight="1" x14ac:dyDescent="0.2">
      <c r="A3025">
        <v>27</v>
      </c>
      <c r="B3025">
        <v>2026</v>
      </c>
      <c r="C3025" s="21">
        <v>46212</v>
      </c>
      <c r="D3025" t="s">
        <v>135</v>
      </c>
      <c r="E3025" s="27" t="s">
        <v>136</v>
      </c>
      <c r="F3025" t="s">
        <v>21</v>
      </c>
      <c r="G3025">
        <v>1</v>
      </c>
      <c r="H3025" t="s">
        <v>3804</v>
      </c>
      <c r="I3025" t="s">
        <v>3805</v>
      </c>
      <c r="J3025" s="1" t="s">
        <v>3660</v>
      </c>
      <c r="K3025" t="s">
        <v>181</v>
      </c>
      <c r="L3025" t="s">
        <v>3340</v>
      </c>
      <c r="M3025">
        <v>86</v>
      </c>
      <c r="N3025">
        <v>1.82</v>
      </c>
      <c r="O3025" t="s">
        <v>211</v>
      </c>
      <c r="P3025">
        <v>100</v>
      </c>
      <c r="R3025" t="s">
        <v>3386</v>
      </c>
      <c r="S3025" t="s">
        <v>4421</v>
      </c>
      <c r="T3025" t="s">
        <v>3402</v>
      </c>
      <c r="U3025">
        <v>13</v>
      </c>
      <c r="V3025" t="s">
        <v>3707</v>
      </c>
    </row>
    <row r="3026" spans="1:23" ht="15" customHeight="1" x14ac:dyDescent="0.2">
      <c r="A3026">
        <v>27</v>
      </c>
      <c r="B3026">
        <v>2026</v>
      </c>
      <c r="C3026" s="21">
        <v>46212</v>
      </c>
      <c r="D3026" t="s">
        <v>135</v>
      </c>
      <c r="E3026" s="27" t="s">
        <v>136</v>
      </c>
      <c r="F3026" t="s">
        <v>21</v>
      </c>
      <c r="G3026">
        <v>1</v>
      </c>
      <c r="H3026" t="s">
        <v>3804</v>
      </c>
      <c r="I3026" t="s">
        <v>3805</v>
      </c>
      <c r="J3026" s="1" t="s">
        <v>3660</v>
      </c>
      <c r="K3026" t="s">
        <v>181</v>
      </c>
      <c r="L3026" t="s">
        <v>3340</v>
      </c>
      <c r="M3026">
        <v>4</v>
      </c>
      <c r="N3026">
        <v>1.82</v>
      </c>
      <c r="O3026" t="s">
        <v>211</v>
      </c>
      <c r="P3026">
        <v>100</v>
      </c>
      <c r="R3026" t="s">
        <v>3773</v>
      </c>
      <c r="T3026" t="s">
        <v>3402</v>
      </c>
      <c r="U3026">
        <v>13</v>
      </c>
      <c r="V3026" t="s">
        <v>3707</v>
      </c>
    </row>
    <row r="3027" spans="1:23" ht="15" customHeight="1" x14ac:dyDescent="0.2">
      <c r="A3027">
        <v>27</v>
      </c>
      <c r="B3027">
        <v>2026</v>
      </c>
      <c r="C3027" s="21">
        <v>46212</v>
      </c>
      <c r="D3027" t="s">
        <v>135</v>
      </c>
      <c r="E3027" s="27" t="s">
        <v>136</v>
      </c>
      <c r="F3027" t="s">
        <v>21</v>
      </c>
      <c r="G3027">
        <v>1</v>
      </c>
      <c r="H3027" t="s">
        <v>3804</v>
      </c>
      <c r="I3027" t="s">
        <v>3805</v>
      </c>
      <c r="J3027" s="1" t="s">
        <v>3660</v>
      </c>
      <c r="K3027" t="s">
        <v>181</v>
      </c>
      <c r="L3027" t="s">
        <v>3340</v>
      </c>
      <c r="M3027">
        <v>78</v>
      </c>
      <c r="N3027">
        <v>1.82</v>
      </c>
      <c r="O3027" t="s">
        <v>211</v>
      </c>
      <c r="P3027">
        <v>100</v>
      </c>
      <c r="R3027" t="s">
        <v>3341</v>
      </c>
      <c r="T3027" t="s">
        <v>3402</v>
      </c>
      <c r="U3027">
        <v>13</v>
      </c>
      <c r="V3027" t="s">
        <v>3707</v>
      </c>
    </row>
    <row r="3028" spans="1:23" ht="12.75" customHeight="1" x14ac:dyDescent="0.15">
      <c r="A3028">
        <v>27</v>
      </c>
      <c r="B3028">
        <v>2026</v>
      </c>
      <c r="C3028" s="21">
        <v>46212</v>
      </c>
      <c r="D3028" t="s">
        <v>84</v>
      </c>
      <c r="E3028" t="s">
        <v>85</v>
      </c>
      <c r="F3028" t="s">
        <v>21</v>
      </c>
      <c r="G3028">
        <v>2</v>
      </c>
      <c r="H3028" t="s">
        <v>3803</v>
      </c>
      <c r="I3028" t="s">
        <v>3676</v>
      </c>
      <c r="J3028" s="1" t="s">
        <v>3533</v>
      </c>
      <c r="K3028" t="s">
        <v>181</v>
      </c>
      <c r="L3028" t="s">
        <v>3340</v>
      </c>
      <c r="M3028">
        <v>78</v>
      </c>
      <c r="N3028">
        <v>0.41</v>
      </c>
      <c r="O3028" t="s">
        <v>211</v>
      </c>
      <c r="P3028">
        <v>22.5</v>
      </c>
      <c r="Q3028">
        <v>2.5</v>
      </c>
      <c r="R3028" t="s">
        <v>3341</v>
      </c>
      <c r="S3028" t="s">
        <v>4422</v>
      </c>
      <c r="T3028" t="s">
        <v>3402</v>
      </c>
      <c r="U3028">
        <v>80</v>
      </c>
      <c r="V3028" t="s">
        <v>3561</v>
      </c>
    </row>
    <row r="3029" spans="1:23" ht="12.75" customHeight="1" x14ac:dyDescent="0.15">
      <c r="A3029">
        <v>27</v>
      </c>
      <c r="B3029">
        <v>2026</v>
      </c>
      <c r="C3029" s="21">
        <v>46212</v>
      </c>
      <c r="D3029" t="s">
        <v>84</v>
      </c>
      <c r="E3029" t="s">
        <v>85</v>
      </c>
      <c r="F3029" t="s">
        <v>21</v>
      </c>
      <c r="G3029">
        <v>2</v>
      </c>
      <c r="H3029" t="s">
        <v>3803</v>
      </c>
      <c r="I3029" t="s">
        <v>3676</v>
      </c>
      <c r="J3029" s="1" t="s">
        <v>3533</v>
      </c>
      <c r="K3029" t="s">
        <v>181</v>
      </c>
      <c r="L3029" t="s">
        <v>3333</v>
      </c>
      <c r="M3029">
        <v>67</v>
      </c>
      <c r="N3029">
        <v>0.69</v>
      </c>
      <c r="O3029" t="s">
        <v>3334</v>
      </c>
      <c r="P3029">
        <v>56.09</v>
      </c>
      <c r="Q3029">
        <v>5.5</v>
      </c>
      <c r="R3029" t="s">
        <v>3404</v>
      </c>
      <c r="T3029" t="s">
        <v>3402</v>
      </c>
      <c r="U3029">
        <v>80</v>
      </c>
      <c r="V3029" t="s">
        <v>4416</v>
      </c>
    </row>
    <row r="3030" spans="1:23" ht="12.75" customHeight="1" x14ac:dyDescent="0.15">
      <c r="A3030">
        <v>27</v>
      </c>
      <c r="B3030">
        <v>2026</v>
      </c>
      <c r="C3030" s="21">
        <v>46212</v>
      </c>
      <c r="D3030" t="s">
        <v>84</v>
      </c>
      <c r="E3030" t="s">
        <v>85</v>
      </c>
      <c r="F3030" t="s">
        <v>21</v>
      </c>
      <c r="G3030">
        <v>2</v>
      </c>
      <c r="H3030" t="s">
        <v>3803</v>
      </c>
      <c r="I3030" t="s">
        <v>3676</v>
      </c>
      <c r="J3030" s="1" t="s">
        <v>3533</v>
      </c>
      <c r="K3030" t="s">
        <v>181</v>
      </c>
      <c r="L3030" t="s">
        <v>3333</v>
      </c>
      <c r="M3030">
        <v>4</v>
      </c>
      <c r="N3030">
        <v>0.69</v>
      </c>
      <c r="O3030" t="s">
        <v>3334</v>
      </c>
      <c r="P3030">
        <v>56.09</v>
      </c>
      <c r="Q3030">
        <v>5.5</v>
      </c>
      <c r="R3030" t="s">
        <v>3773</v>
      </c>
      <c r="T3030" t="s">
        <v>3402</v>
      </c>
      <c r="U3030">
        <v>80</v>
      </c>
      <c r="V3030" t="s">
        <v>4416</v>
      </c>
    </row>
    <row r="3031" spans="1:23" ht="12.75" customHeight="1" x14ac:dyDescent="0.15">
      <c r="A3031">
        <v>27</v>
      </c>
      <c r="B3031">
        <v>2026</v>
      </c>
      <c r="C3031" s="21">
        <v>46212</v>
      </c>
      <c r="E3031" t="s">
        <v>4407</v>
      </c>
      <c r="G3031">
        <v>10</v>
      </c>
      <c r="H3031" t="s">
        <v>4413</v>
      </c>
      <c r="I3031" t="s">
        <v>4414</v>
      </c>
      <c r="J3031" s="1" t="s">
        <v>26</v>
      </c>
      <c r="K3031" t="s">
        <v>181</v>
      </c>
      <c r="L3031" t="s">
        <v>3333</v>
      </c>
      <c r="M3031">
        <v>80</v>
      </c>
      <c r="N3031">
        <v>0.63</v>
      </c>
      <c r="O3031" t="s">
        <v>213</v>
      </c>
      <c r="P3031">
        <v>56.25</v>
      </c>
      <c r="Q3031">
        <v>5</v>
      </c>
      <c r="R3031" t="s">
        <v>3560</v>
      </c>
      <c r="S3031" t="s">
        <v>4423</v>
      </c>
      <c r="T3031" t="s">
        <v>3402</v>
      </c>
      <c r="V3031" t="s">
        <v>4008</v>
      </c>
    </row>
    <row r="3032" spans="1:23" ht="12.75" customHeight="1" x14ac:dyDescent="0.15">
      <c r="A3032">
        <v>27</v>
      </c>
      <c r="B3032">
        <v>2026</v>
      </c>
      <c r="C3032" s="21">
        <v>46212</v>
      </c>
      <c r="E3032" t="s">
        <v>4407</v>
      </c>
      <c r="G3032">
        <v>10</v>
      </c>
      <c r="H3032" t="s">
        <v>4417</v>
      </c>
      <c r="I3032" t="s">
        <v>4418</v>
      </c>
      <c r="J3032" s="1" t="s">
        <v>4383</v>
      </c>
      <c r="K3032" t="s">
        <v>2666</v>
      </c>
      <c r="L3032" t="s">
        <v>3587</v>
      </c>
      <c r="P3032">
        <v>40</v>
      </c>
      <c r="T3032" t="s">
        <v>3402</v>
      </c>
      <c r="V3032" t="s">
        <v>4105</v>
      </c>
    </row>
    <row r="3033" spans="1:23" ht="12.75" customHeight="1" x14ac:dyDescent="0.15">
      <c r="A3033" s="8">
        <v>28</v>
      </c>
      <c r="B3033" s="8">
        <v>2026</v>
      </c>
      <c r="C3033" s="23">
        <v>46213</v>
      </c>
      <c r="D3033" s="8" t="s">
        <v>4406</v>
      </c>
      <c r="E3033" s="8" t="s">
        <v>4407</v>
      </c>
      <c r="F3033" s="8" t="s">
        <v>21</v>
      </c>
      <c r="G3033" s="8">
        <v>10</v>
      </c>
      <c r="H3033" s="8" t="s">
        <v>3868</v>
      </c>
      <c r="I3033" s="8" t="s">
        <v>3869</v>
      </c>
      <c r="J3033" s="8" t="s">
        <v>3696</v>
      </c>
      <c r="K3033" s="8" t="s">
        <v>181</v>
      </c>
      <c r="L3033" s="8" t="s">
        <v>3340</v>
      </c>
      <c r="M3033" s="8">
        <v>62</v>
      </c>
      <c r="N3033" s="8">
        <v>1.82</v>
      </c>
      <c r="O3033" s="8" t="s">
        <v>211</v>
      </c>
      <c r="P3033" s="2">
        <v>100</v>
      </c>
      <c r="Q3033" s="8"/>
      <c r="R3033" s="8" t="s">
        <v>3375</v>
      </c>
      <c r="S3033" s="8" t="s">
        <v>4408</v>
      </c>
      <c r="T3033" s="8" t="s">
        <v>3337</v>
      </c>
      <c r="U3033" s="8"/>
      <c r="V3033" s="26" t="s">
        <v>3711</v>
      </c>
      <c r="W3033" s="8"/>
    </row>
    <row r="3034" spans="1:23" ht="12.75" customHeight="1" x14ac:dyDescent="0.15">
      <c r="A3034" s="8">
        <v>28</v>
      </c>
      <c r="B3034" s="8">
        <v>2026</v>
      </c>
      <c r="C3034" s="23">
        <v>46213</v>
      </c>
      <c r="D3034" s="8" t="s">
        <v>4406</v>
      </c>
      <c r="E3034" s="8" t="s">
        <v>4407</v>
      </c>
      <c r="F3034" s="8" t="s">
        <v>21</v>
      </c>
      <c r="G3034" s="8">
        <v>10</v>
      </c>
      <c r="H3034" s="8" t="s">
        <v>3868</v>
      </c>
      <c r="I3034" s="8" t="s">
        <v>3869</v>
      </c>
      <c r="J3034" s="8" t="s">
        <v>3696</v>
      </c>
      <c r="K3034" s="8" t="s">
        <v>181</v>
      </c>
      <c r="L3034" s="8" t="s">
        <v>3340</v>
      </c>
      <c r="M3034" s="8">
        <v>53</v>
      </c>
      <c r="N3034" s="8">
        <v>1.82</v>
      </c>
      <c r="O3034" s="8" t="s">
        <v>211</v>
      </c>
      <c r="P3034" s="2">
        <v>100</v>
      </c>
      <c r="Q3034" s="8"/>
      <c r="R3034" s="8" t="s">
        <v>3373</v>
      </c>
      <c r="S3034" s="8"/>
      <c r="T3034" s="8" t="s">
        <v>3337</v>
      </c>
      <c r="U3034" s="8"/>
      <c r="V3034" s="26" t="s">
        <v>3711</v>
      </c>
      <c r="W3034" s="8"/>
    </row>
    <row r="3035" spans="1:23" ht="12.75" customHeight="1" x14ac:dyDescent="0.15">
      <c r="A3035" s="8">
        <v>28</v>
      </c>
      <c r="B3035" s="8">
        <v>2026</v>
      </c>
      <c r="C3035" s="23">
        <v>46213</v>
      </c>
      <c r="D3035" s="8" t="s">
        <v>4406</v>
      </c>
      <c r="E3035" s="8" t="s">
        <v>4407</v>
      </c>
      <c r="F3035" s="8" t="s">
        <v>21</v>
      </c>
      <c r="G3035" s="8">
        <v>10</v>
      </c>
      <c r="H3035" s="8" t="s">
        <v>3868</v>
      </c>
      <c r="I3035" s="8" t="s">
        <v>3869</v>
      </c>
      <c r="J3035" s="8" t="s">
        <v>3696</v>
      </c>
      <c r="K3035" s="8" t="s">
        <v>181</v>
      </c>
      <c r="L3035" s="8" t="s">
        <v>3340</v>
      </c>
      <c r="M3035" s="8">
        <v>58</v>
      </c>
      <c r="N3035" s="8">
        <v>1.82</v>
      </c>
      <c r="O3035" s="8" t="s">
        <v>211</v>
      </c>
      <c r="P3035" s="2">
        <v>100</v>
      </c>
      <c r="Q3035" s="8"/>
      <c r="R3035" s="8" t="s">
        <v>3343</v>
      </c>
      <c r="S3035" s="8"/>
      <c r="T3035" s="8" t="s">
        <v>3337</v>
      </c>
      <c r="U3035" s="8"/>
      <c r="V3035" s="26" t="s">
        <v>3711</v>
      </c>
      <c r="W3035" s="8"/>
    </row>
    <row r="3036" spans="1:23" ht="12.75" customHeight="1" x14ac:dyDescent="0.15">
      <c r="A3036" s="8">
        <v>28</v>
      </c>
      <c r="B3036" s="8">
        <v>2026</v>
      </c>
      <c r="C3036" s="23">
        <v>46213</v>
      </c>
      <c r="D3036" s="8" t="s">
        <v>4406</v>
      </c>
      <c r="E3036" s="8" t="s">
        <v>4407</v>
      </c>
      <c r="F3036" s="8" t="s">
        <v>21</v>
      </c>
      <c r="G3036" s="8">
        <v>10</v>
      </c>
      <c r="H3036" s="8" t="s">
        <v>3868</v>
      </c>
      <c r="I3036" s="8" t="s">
        <v>3869</v>
      </c>
      <c r="J3036" s="8" t="s">
        <v>3696</v>
      </c>
      <c r="K3036" s="8" t="s">
        <v>181</v>
      </c>
      <c r="L3036" s="8" t="s">
        <v>3340</v>
      </c>
      <c r="M3036" s="8">
        <v>81</v>
      </c>
      <c r="N3036" s="8">
        <v>1.82</v>
      </c>
      <c r="O3036" s="8" t="s">
        <v>211</v>
      </c>
      <c r="P3036" s="2">
        <v>100</v>
      </c>
      <c r="Q3036" s="8"/>
      <c r="R3036" s="8" t="s">
        <v>3374</v>
      </c>
      <c r="S3036" s="8"/>
      <c r="T3036" s="8" t="s">
        <v>3337</v>
      </c>
      <c r="U3036" s="8"/>
      <c r="V3036" s="26" t="s">
        <v>3711</v>
      </c>
      <c r="W3036" s="8"/>
    </row>
    <row r="3037" spans="1:23" ht="12.75" customHeight="1" x14ac:dyDescent="0.15">
      <c r="A3037" s="8">
        <v>28</v>
      </c>
      <c r="B3037" s="8">
        <v>2026</v>
      </c>
      <c r="C3037" s="23">
        <v>46213</v>
      </c>
      <c r="D3037" s="8" t="s">
        <v>4406</v>
      </c>
      <c r="E3037" s="8" t="s">
        <v>4407</v>
      </c>
      <c r="F3037" s="8" t="s">
        <v>21</v>
      </c>
      <c r="G3037" s="8">
        <v>10</v>
      </c>
      <c r="H3037" s="8" t="s">
        <v>3868</v>
      </c>
      <c r="I3037" s="8" t="s">
        <v>3869</v>
      </c>
      <c r="J3037" s="8" t="s">
        <v>3696</v>
      </c>
      <c r="K3037" s="8" t="s">
        <v>181</v>
      </c>
      <c r="L3037" s="8" t="s">
        <v>3340</v>
      </c>
      <c r="M3037" s="8">
        <v>45</v>
      </c>
      <c r="N3037" s="8">
        <v>1.82</v>
      </c>
      <c r="O3037" s="8" t="s">
        <v>211</v>
      </c>
      <c r="P3037" s="2">
        <v>100</v>
      </c>
      <c r="Q3037" s="8"/>
      <c r="R3037" s="8" t="s">
        <v>3377</v>
      </c>
      <c r="S3037" s="8"/>
      <c r="T3037" s="8" t="s">
        <v>3337</v>
      </c>
      <c r="U3037" s="8"/>
      <c r="V3037" s="26" t="s">
        <v>3711</v>
      </c>
      <c r="W3037" s="8"/>
    </row>
    <row r="3038" spans="1:23" ht="12.75" customHeight="1" x14ac:dyDescent="0.15">
      <c r="A3038" s="8">
        <v>28</v>
      </c>
      <c r="B3038" s="8">
        <v>2026</v>
      </c>
      <c r="C3038" s="23">
        <v>46213</v>
      </c>
      <c r="D3038" s="8" t="s">
        <v>107</v>
      </c>
      <c r="E3038" s="8" t="s">
        <v>108</v>
      </c>
      <c r="F3038" s="8" t="s">
        <v>21</v>
      </c>
      <c r="G3038" s="8">
        <v>4.5</v>
      </c>
      <c r="H3038" s="8" t="s">
        <v>3400</v>
      </c>
      <c r="I3038" s="8" t="s">
        <v>353</v>
      </c>
      <c r="J3038" s="8" t="s">
        <v>253</v>
      </c>
      <c r="K3038" s="8" t="s">
        <v>181</v>
      </c>
      <c r="L3038" s="8" t="s">
        <v>3333</v>
      </c>
      <c r="M3038" s="8">
        <v>2</v>
      </c>
      <c r="N3038" s="8">
        <v>0.19</v>
      </c>
      <c r="O3038" s="8" t="s">
        <v>3440</v>
      </c>
      <c r="P3038" s="2">
        <v>16.97</v>
      </c>
      <c r="Q3038" s="8">
        <v>1.5</v>
      </c>
      <c r="R3038" s="8" t="s">
        <v>3424</v>
      </c>
      <c r="S3038" s="8"/>
      <c r="T3038" s="8" t="s">
        <v>3337</v>
      </c>
      <c r="U3038" s="8">
        <v>56</v>
      </c>
      <c r="V3038" s="26" t="s">
        <v>4424</v>
      </c>
      <c r="W3038" s="8"/>
    </row>
    <row r="3039" spans="1:23" ht="12.75" customHeight="1" x14ac:dyDescent="0.15">
      <c r="A3039" s="8">
        <v>28</v>
      </c>
      <c r="B3039" s="8">
        <v>2026</v>
      </c>
      <c r="C3039" s="23">
        <v>46213</v>
      </c>
      <c r="D3039" s="8" t="s">
        <v>3749</v>
      </c>
      <c r="E3039" s="8" t="s">
        <v>676</v>
      </c>
      <c r="F3039" s="8" t="s">
        <v>676</v>
      </c>
      <c r="G3039" s="8">
        <v>1</v>
      </c>
      <c r="H3039" s="8" t="s">
        <v>4425</v>
      </c>
      <c r="I3039" s="8" t="s">
        <v>3751</v>
      </c>
      <c r="J3039" s="8" t="s">
        <v>676</v>
      </c>
      <c r="K3039" s="8" t="s">
        <v>181</v>
      </c>
      <c r="L3039" s="8" t="s">
        <v>3333</v>
      </c>
      <c r="M3039" s="8">
        <v>2</v>
      </c>
      <c r="N3039" s="8">
        <v>0</v>
      </c>
      <c r="O3039" s="8" t="s">
        <v>3440</v>
      </c>
      <c r="P3039" s="2">
        <v>0</v>
      </c>
      <c r="Q3039" s="8"/>
      <c r="R3039" s="8" t="s">
        <v>3424</v>
      </c>
      <c r="S3039" s="8"/>
      <c r="T3039" s="8" t="s">
        <v>3337</v>
      </c>
      <c r="U3039" s="8">
        <v>190</v>
      </c>
      <c r="V3039" s="26" t="s">
        <v>88</v>
      </c>
      <c r="W3039" s="8"/>
    </row>
    <row r="3040" spans="1:23" ht="12.75" customHeight="1" x14ac:dyDescent="0.15">
      <c r="A3040" s="8">
        <v>28</v>
      </c>
      <c r="B3040" s="8">
        <v>2026</v>
      </c>
      <c r="C3040" s="23">
        <v>46213</v>
      </c>
      <c r="D3040" s="8" t="s">
        <v>107</v>
      </c>
      <c r="E3040" s="8" t="s">
        <v>108</v>
      </c>
      <c r="F3040" s="8" t="s">
        <v>21</v>
      </c>
      <c r="G3040" s="8">
        <v>4.5</v>
      </c>
      <c r="H3040" s="8" t="s">
        <v>3400</v>
      </c>
      <c r="I3040" s="8" t="s">
        <v>353</v>
      </c>
      <c r="J3040" s="8" t="s">
        <v>253</v>
      </c>
      <c r="K3040" s="8" t="s">
        <v>181</v>
      </c>
      <c r="L3040" s="8" t="s">
        <v>3340</v>
      </c>
      <c r="M3040" s="8">
        <v>25</v>
      </c>
      <c r="N3040" s="8">
        <v>0.16</v>
      </c>
      <c r="O3040" s="8" t="s">
        <v>211</v>
      </c>
      <c r="P3040" s="2">
        <v>9</v>
      </c>
      <c r="Q3040" s="8">
        <v>1</v>
      </c>
      <c r="R3040" s="8" t="s">
        <v>3413</v>
      </c>
      <c r="S3040" s="8"/>
      <c r="T3040" s="8" t="s">
        <v>3337</v>
      </c>
      <c r="U3040" s="8">
        <v>56</v>
      </c>
      <c r="V3040" s="26" t="s">
        <v>3801</v>
      </c>
      <c r="W3040" s="8"/>
    </row>
    <row r="3041" spans="1:23" ht="12.75" customHeight="1" x14ac:dyDescent="0.15">
      <c r="A3041" s="8">
        <v>28</v>
      </c>
      <c r="B3041" s="8">
        <v>2026</v>
      </c>
      <c r="C3041" s="23">
        <v>46213</v>
      </c>
      <c r="D3041" s="8" t="s">
        <v>3749</v>
      </c>
      <c r="E3041" s="8" t="s">
        <v>676</v>
      </c>
      <c r="F3041" s="8" t="s">
        <v>676</v>
      </c>
      <c r="G3041" s="8">
        <v>1</v>
      </c>
      <c r="H3041" s="8" t="s">
        <v>4425</v>
      </c>
      <c r="I3041" s="8" t="s">
        <v>3751</v>
      </c>
      <c r="J3041" s="8" t="s">
        <v>676</v>
      </c>
      <c r="K3041" s="8" t="s">
        <v>181</v>
      </c>
      <c r="L3041" s="8" t="s">
        <v>3340</v>
      </c>
      <c r="M3041" s="8">
        <v>25</v>
      </c>
      <c r="N3041" s="8">
        <v>0</v>
      </c>
      <c r="O3041" s="8" t="s">
        <v>211</v>
      </c>
      <c r="P3041" s="8"/>
      <c r="Q3041" s="8"/>
      <c r="R3041" s="8" t="s">
        <v>3413</v>
      </c>
      <c r="S3041" s="8"/>
      <c r="T3041" s="8" t="s">
        <v>3337</v>
      </c>
      <c r="U3041" s="8">
        <v>190</v>
      </c>
      <c r="V3041" s="26" t="s">
        <v>88</v>
      </c>
      <c r="W3041" s="8"/>
    </row>
    <row r="3042" spans="1:23" ht="12.75" customHeight="1" x14ac:dyDescent="0.15">
      <c r="A3042" s="8">
        <v>28</v>
      </c>
      <c r="B3042" s="8">
        <v>2026</v>
      </c>
      <c r="C3042" s="23">
        <v>46213</v>
      </c>
      <c r="D3042" s="8" t="s">
        <v>107</v>
      </c>
      <c r="E3042" s="8" t="s">
        <v>108</v>
      </c>
      <c r="F3042" s="8" t="s">
        <v>21</v>
      </c>
      <c r="G3042" s="8">
        <v>4.5</v>
      </c>
      <c r="H3042" s="8" t="s">
        <v>3391</v>
      </c>
      <c r="I3042" s="8" t="s">
        <v>353</v>
      </c>
      <c r="J3042" s="8" t="s">
        <v>253</v>
      </c>
      <c r="K3042" s="8" t="s">
        <v>181</v>
      </c>
      <c r="L3042" s="8" t="s">
        <v>3333</v>
      </c>
      <c r="M3042" s="8">
        <v>6</v>
      </c>
      <c r="N3042" s="8">
        <v>0.63</v>
      </c>
      <c r="O3042" s="8" t="s">
        <v>3334</v>
      </c>
      <c r="P3042" s="2">
        <v>50.99</v>
      </c>
      <c r="Q3042" s="8">
        <v>5</v>
      </c>
      <c r="R3042" s="8" t="s">
        <v>3335</v>
      </c>
      <c r="S3042" s="8"/>
      <c r="T3042" s="8" t="s">
        <v>3337</v>
      </c>
      <c r="U3042" s="8">
        <v>56</v>
      </c>
      <c r="V3042" s="26" t="s">
        <v>3815</v>
      </c>
      <c r="W3042" s="8"/>
    </row>
    <row r="3043" spans="1:23" ht="12.75" customHeight="1" x14ac:dyDescent="0.15">
      <c r="A3043" s="8">
        <v>28</v>
      </c>
      <c r="B3043" s="8">
        <v>2026</v>
      </c>
      <c r="C3043" s="23">
        <v>46213</v>
      </c>
      <c r="D3043" s="8" t="s">
        <v>107</v>
      </c>
      <c r="E3043" s="8" t="s">
        <v>108</v>
      </c>
      <c r="F3043" s="8" t="s">
        <v>21</v>
      </c>
      <c r="G3043" s="8">
        <v>4.5</v>
      </c>
      <c r="H3043" s="8" t="s">
        <v>3400</v>
      </c>
      <c r="I3043" s="8" t="s">
        <v>353</v>
      </c>
      <c r="J3043" s="8" t="s">
        <v>253</v>
      </c>
      <c r="K3043" s="8" t="s">
        <v>181</v>
      </c>
      <c r="L3043" s="8" t="s">
        <v>3333</v>
      </c>
      <c r="M3043" s="8">
        <v>1</v>
      </c>
      <c r="N3043" s="8">
        <v>0.25</v>
      </c>
      <c r="O3043" s="8" t="s">
        <v>3358</v>
      </c>
      <c r="P3043" s="2">
        <v>17.97</v>
      </c>
      <c r="Q3043" s="8">
        <v>2</v>
      </c>
      <c r="R3043" s="8" t="s">
        <v>3359</v>
      </c>
      <c r="S3043" s="8"/>
      <c r="T3043" s="8" t="s">
        <v>3337</v>
      </c>
      <c r="U3043" s="8">
        <v>56</v>
      </c>
      <c r="V3043" s="26" t="s">
        <v>4426</v>
      </c>
      <c r="W3043" s="8"/>
    </row>
    <row r="3044" spans="1:23" ht="12.75" customHeight="1" x14ac:dyDescent="0.15">
      <c r="A3044" s="8">
        <v>28</v>
      </c>
      <c r="B3044" s="8">
        <v>2026</v>
      </c>
      <c r="C3044" s="23">
        <v>46213</v>
      </c>
      <c r="D3044" s="8" t="s">
        <v>153</v>
      </c>
      <c r="E3044" s="8" t="s">
        <v>154</v>
      </c>
      <c r="F3044" s="8" t="s">
        <v>21</v>
      </c>
      <c r="G3044" s="8">
        <v>12</v>
      </c>
      <c r="H3044" s="8" t="s">
        <v>3868</v>
      </c>
      <c r="I3044" s="8" t="s">
        <v>3869</v>
      </c>
      <c r="J3044" s="8" t="s">
        <v>3696</v>
      </c>
      <c r="K3044" s="8" t="s">
        <v>181</v>
      </c>
      <c r="L3044" s="8" t="s">
        <v>3333</v>
      </c>
      <c r="M3044" s="8">
        <v>6</v>
      </c>
      <c r="N3044" s="8">
        <v>0.38</v>
      </c>
      <c r="O3044" s="8" t="s">
        <v>3334</v>
      </c>
      <c r="P3044" s="2">
        <v>30.59</v>
      </c>
      <c r="Q3044" s="8">
        <v>3</v>
      </c>
      <c r="R3044" s="8" t="s">
        <v>3335</v>
      </c>
      <c r="S3044" s="8"/>
      <c r="T3044" s="8" t="s">
        <v>3337</v>
      </c>
      <c r="U3044" s="8"/>
      <c r="V3044" s="26" t="s">
        <v>4427</v>
      </c>
      <c r="W3044" s="8"/>
    </row>
    <row r="3045" spans="1:23" ht="12.75" customHeight="1" x14ac:dyDescent="0.15">
      <c r="A3045" s="8">
        <v>28</v>
      </c>
      <c r="B3045" s="8">
        <v>2026</v>
      </c>
      <c r="C3045" s="23">
        <v>46213</v>
      </c>
      <c r="D3045" s="8" t="s">
        <v>153</v>
      </c>
      <c r="E3045" s="8" t="s">
        <v>154</v>
      </c>
      <c r="F3045" s="8" t="s">
        <v>21</v>
      </c>
      <c r="G3045" s="8">
        <v>12</v>
      </c>
      <c r="H3045" s="8" t="s">
        <v>3569</v>
      </c>
      <c r="I3045" s="8" t="s">
        <v>3570</v>
      </c>
      <c r="J3045" s="8" t="s">
        <v>26</v>
      </c>
      <c r="K3045" s="8" t="s">
        <v>181</v>
      </c>
      <c r="L3045" s="8" t="s">
        <v>3333</v>
      </c>
      <c r="M3045" s="8">
        <v>1</v>
      </c>
      <c r="N3045" s="8">
        <v>0.63</v>
      </c>
      <c r="O3045" s="8" t="s">
        <v>3358</v>
      </c>
      <c r="P3045" s="2">
        <v>44.91</v>
      </c>
      <c r="Q3045" s="8">
        <v>5</v>
      </c>
      <c r="R3045" s="8" t="s">
        <v>3359</v>
      </c>
      <c r="S3045" s="8"/>
      <c r="T3045" s="8" t="s">
        <v>3337</v>
      </c>
      <c r="U3045" s="8"/>
      <c r="V3045" s="26" t="s">
        <v>3665</v>
      </c>
      <c r="W3045" s="8"/>
    </row>
    <row r="3046" spans="1:23" ht="12.75" customHeight="1" x14ac:dyDescent="0.15">
      <c r="A3046" s="8">
        <v>28</v>
      </c>
      <c r="B3046" s="8">
        <v>2026</v>
      </c>
      <c r="C3046" s="23">
        <v>46213</v>
      </c>
      <c r="D3046" s="8" t="s">
        <v>3749</v>
      </c>
      <c r="E3046" s="8" t="s">
        <v>676</v>
      </c>
      <c r="F3046" s="8" t="s">
        <v>676</v>
      </c>
      <c r="G3046" s="8">
        <v>1</v>
      </c>
      <c r="H3046" s="8" t="s">
        <v>3750</v>
      </c>
      <c r="I3046" s="8" t="s">
        <v>3751</v>
      </c>
      <c r="J3046" s="8" t="s">
        <v>676</v>
      </c>
      <c r="K3046" s="8" t="s">
        <v>181</v>
      </c>
      <c r="L3046" s="8" t="s">
        <v>3333</v>
      </c>
      <c r="M3046" s="8">
        <v>67</v>
      </c>
      <c r="N3046" s="8">
        <v>0.5</v>
      </c>
      <c r="O3046" s="8" t="s">
        <v>3334</v>
      </c>
      <c r="P3046" s="2">
        <v>40.79</v>
      </c>
      <c r="Q3046" s="8">
        <v>4</v>
      </c>
      <c r="R3046" s="8" t="s">
        <v>3404</v>
      </c>
      <c r="S3046" s="8" t="s">
        <v>4428</v>
      </c>
      <c r="T3046" s="8" t="s">
        <v>3402</v>
      </c>
      <c r="U3046" s="8">
        <v>190</v>
      </c>
      <c r="V3046" s="26" t="s">
        <v>3456</v>
      </c>
      <c r="W3046" s="8"/>
    </row>
    <row r="3047" spans="1:23" ht="12.75" customHeight="1" x14ac:dyDescent="0.15">
      <c r="A3047" s="8">
        <v>28</v>
      </c>
      <c r="B3047" s="8">
        <v>2026</v>
      </c>
      <c r="C3047" s="23">
        <v>46213</v>
      </c>
      <c r="D3047" s="8" t="s">
        <v>3749</v>
      </c>
      <c r="E3047" s="8" t="s">
        <v>676</v>
      </c>
      <c r="F3047" s="8" t="s">
        <v>676</v>
      </c>
      <c r="G3047" s="8">
        <v>1</v>
      </c>
      <c r="H3047" s="8" t="s">
        <v>3750</v>
      </c>
      <c r="I3047" s="8" t="s">
        <v>3751</v>
      </c>
      <c r="J3047" s="8" t="s">
        <v>676</v>
      </c>
      <c r="K3047" s="8" t="s">
        <v>181</v>
      </c>
      <c r="L3047" s="8" t="s">
        <v>3333</v>
      </c>
      <c r="M3047" s="8">
        <v>4</v>
      </c>
      <c r="N3047" s="8">
        <v>0.5</v>
      </c>
      <c r="O3047" s="8" t="s">
        <v>3334</v>
      </c>
      <c r="P3047" s="2">
        <v>40.79</v>
      </c>
      <c r="Q3047" s="8">
        <v>4</v>
      </c>
      <c r="R3047" s="8" t="s">
        <v>3773</v>
      </c>
      <c r="S3047" s="8" t="s">
        <v>4429</v>
      </c>
      <c r="T3047" s="8" t="s">
        <v>3402</v>
      </c>
      <c r="U3047" s="8">
        <v>190</v>
      </c>
      <c r="V3047" s="26" t="s">
        <v>3456</v>
      </c>
      <c r="W3047" s="8"/>
    </row>
    <row r="3048" spans="1:23" ht="12.75" customHeight="1" x14ac:dyDescent="0.15">
      <c r="A3048" s="8">
        <v>28</v>
      </c>
      <c r="B3048" s="8">
        <v>2026</v>
      </c>
      <c r="C3048" s="23">
        <v>46213</v>
      </c>
      <c r="D3048" s="8" t="s">
        <v>3749</v>
      </c>
      <c r="E3048" s="8" t="s">
        <v>676</v>
      </c>
      <c r="F3048" s="8" t="s">
        <v>676</v>
      </c>
      <c r="G3048" s="8">
        <v>1</v>
      </c>
      <c r="H3048" s="8" t="s">
        <v>3750</v>
      </c>
      <c r="I3048" s="8" t="s">
        <v>3751</v>
      </c>
      <c r="J3048" s="8" t="s">
        <v>676</v>
      </c>
      <c r="K3048" s="8" t="s">
        <v>181</v>
      </c>
      <c r="L3048" s="8" t="s">
        <v>3340</v>
      </c>
      <c r="M3048" s="8">
        <v>78</v>
      </c>
      <c r="N3048" s="8">
        <v>1.25</v>
      </c>
      <c r="O3048" s="8" t="s">
        <v>211</v>
      </c>
      <c r="P3048" s="2">
        <v>68.72</v>
      </c>
      <c r="Q3048" s="8"/>
      <c r="R3048" s="8" t="s">
        <v>3341</v>
      </c>
      <c r="S3048" s="8" t="s">
        <v>4430</v>
      </c>
      <c r="T3048" s="8" t="s">
        <v>3402</v>
      </c>
      <c r="U3048" s="8">
        <v>190</v>
      </c>
      <c r="V3048" s="26" t="s">
        <v>4431</v>
      </c>
      <c r="W3048" s="8"/>
    </row>
    <row r="3049" spans="1:23" ht="12.75" customHeight="1" x14ac:dyDescent="0.15">
      <c r="A3049" s="8">
        <v>28</v>
      </c>
      <c r="B3049" s="8">
        <v>2026</v>
      </c>
      <c r="C3049" s="23">
        <v>46213</v>
      </c>
      <c r="D3049" s="8" t="s">
        <v>3749</v>
      </c>
      <c r="E3049" s="8" t="s">
        <v>676</v>
      </c>
      <c r="F3049" s="8" t="s">
        <v>676</v>
      </c>
      <c r="G3049" s="8">
        <v>1</v>
      </c>
      <c r="H3049" s="8" t="s">
        <v>3750</v>
      </c>
      <c r="I3049" s="8" t="s">
        <v>3751</v>
      </c>
      <c r="J3049" s="8" t="s">
        <v>676</v>
      </c>
      <c r="K3049" s="8" t="s">
        <v>181</v>
      </c>
      <c r="L3049" s="8" t="s">
        <v>3340</v>
      </c>
      <c r="M3049" s="8">
        <v>67</v>
      </c>
      <c r="N3049" s="8">
        <v>0.72</v>
      </c>
      <c r="O3049" s="8" t="s">
        <v>211</v>
      </c>
      <c r="P3049" s="2">
        <v>39.700000000000003</v>
      </c>
      <c r="Q3049" s="8"/>
      <c r="R3049" s="8" t="s">
        <v>3404</v>
      </c>
      <c r="S3049" s="8" t="s">
        <v>4432</v>
      </c>
      <c r="T3049" s="8" t="s">
        <v>3402</v>
      </c>
      <c r="U3049" s="8">
        <v>190</v>
      </c>
      <c r="V3049" s="26" t="s">
        <v>4433</v>
      </c>
      <c r="W3049" s="8"/>
    </row>
    <row r="3050" spans="1:23" ht="12.75" customHeight="1" x14ac:dyDescent="0.15">
      <c r="A3050" s="8">
        <v>28</v>
      </c>
      <c r="B3050" s="8">
        <v>2026</v>
      </c>
      <c r="C3050" s="23">
        <v>46213</v>
      </c>
      <c r="D3050" s="8" t="s">
        <v>3749</v>
      </c>
      <c r="E3050" s="8" t="s">
        <v>676</v>
      </c>
      <c r="F3050" s="8" t="s">
        <v>676</v>
      </c>
      <c r="G3050" s="8">
        <v>1</v>
      </c>
      <c r="H3050" s="8" t="s">
        <v>3750</v>
      </c>
      <c r="I3050" s="8" t="s">
        <v>3751</v>
      </c>
      <c r="J3050" s="8" t="s">
        <v>676</v>
      </c>
      <c r="K3050" s="8" t="s">
        <v>181</v>
      </c>
      <c r="L3050" s="8" t="s">
        <v>3340</v>
      </c>
      <c r="M3050" s="8">
        <v>4</v>
      </c>
      <c r="N3050" s="8">
        <v>0.51</v>
      </c>
      <c r="O3050" s="8" t="s">
        <v>211</v>
      </c>
      <c r="P3050" s="2">
        <v>27.93</v>
      </c>
      <c r="Q3050" s="8"/>
      <c r="R3050" s="8" t="s">
        <v>3773</v>
      </c>
      <c r="S3050" s="8"/>
      <c r="T3050" s="8" t="s">
        <v>3402</v>
      </c>
      <c r="U3050" s="8">
        <v>190</v>
      </c>
      <c r="V3050" s="26" t="s">
        <v>4434</v>
      </c>
      <c r="W3050" s="8"/>
    </row>
    <row r="3051" spans="1:23" ht="12.75" customHeight="1" x14ac:dyDescent="0.15">
      <c r="A3051" s="8">
        <v>28</v>
      </c>
      <c r="B3051" s="8">
        <v>2026</v>
      </c>
      <c r="C3051" s="23">
        <v>46213</v>
      </c>
      <c r="D3051" s="8" t="s">
        <v>84</v>
      </c>
      <c r="E3051" s="8" t="s">
        <v>85</v>
      </c>
      <c r="F3051" s="8" t="s">
        <v>21</v>
      </c>
      <c r="G3051" s="8">
        <v>2</v>
      </c>
      <c r="H3051" s="8" t="s">
        <v>3803</v>
      </c>
      <c r="I3051" s="8" t="s">
        <v>3676</v>
      </c>
      <c r="J3051" s="8" t="s">
        <v>3533</v>
      </c>
      <c r="K3051" s="8" t="s">
        <v>181</v>
      </c>
      <c r="L3051" s="8" t="s">
        <v>3340</v>
      </c>
      <c r="M3051" s="8">
        <v>78</v>
      </c>
      <c r="N3051" s="8">
        <v>0.65</v>
      </c>
      <c r="O3051" s="8" t="s">
        <v>211</v>
      </c>
      <c r="P3051" s="2">
        <v>36</v>
      </c>
      <c r="Q3051" s="8">
        <v>4</v>
      </c>
      <c r="R3051" s="8" t="s">
        <v>3341</v>
      </c>
      <c r="S3051" s="8"/>
      <c r="T3051" s="8" t="s">
        <v>3402</v>
      </c>
      <c r="U3051" s="8">
        <v>81</v>
      </c>
      <c r="V3051" s="26" t="s">
        <v>260</v>
      </c>
      <c r="W3051" s="8"/>
    </row>
    <row r="3052" spans="1:23" ht="12.75" customHeight="1" x14ac:dyDescent="0.15">
      <c r="A3052" s="8">
        <v>28</v>
      </c>
      <c r="B3052" s="8">
        <v>2026</v>
      </c>
      <c r="C3052" s="23">
        <v>46213</v>
      </c>
      <c r="D3052" s="8" t="s">
        <v>84</v>
      </c>
      <c r="E3052" s="8" t="s">
        <v>85</v>
      </c>
      <c r="F3052" s="8" t="s">
        <v>21</v>
      </c>
      <c r="G3052" s="8">
        <v>2</v>
      </c>
      <c r="H3052" s="8" t="s">
        <v>3803</v>
      </c>
      <c r="I3052" s="8" t="s">
        <v>3676</v>
      </c>
      <c r="J3052" s="8" t="s">
        <v>3533</v>
      </c>
      <c r="K3052" s="8" t="s">
        <v>181</v>
      </c>
      <c r="L3052" s="8" t="s">
        <v>3333</v>
      </c>
      <c r="M3052" s="8">
        <v>67</v>
      </c>
      <c r="N3052" s="8">
        <v>0.5</v>
      </c>
      <c r="O3052" s="8" t="s">
        <v>3334</v>
      </c>
      <c r="P3052" s="2">
        <v>40.79</v>
      </c>
      <c r="Q3052" s="8">
        <v>4</v>
      </c>
      <c r="R3052" s="8" t="s">
        <v>3404</v>
      </c>
      <c r="S3052" s="8"/>
      <c r="T3052" s="8" t="s">
        <v>3402</v>
      </c>
      <c r="U3052" s="8">
        <v>81</v>
      </c>
      <c r="V3052" s="26" t="s">
        <v>3474</v>
      </c>
      <c r="W3052" s="8"/>
    </row>
    <row r="3053" spans="1:23" ht="12.75" customHeight="1" x14ac:dyDescent="0.15">
      <c r="A3053" s="8">
        <v>28</v>
      </c>
      <c r="B3053" s="8">
        <v>2026</v>
      </c>
      <c r="C3053" s="23">
        <v>46213</v>
      </c>
      <c r="D3053" s="8" t="s">
        <v>84</v>
      </c>
      <c r="E3053" s="8" t="s">
        <v>85</v>
      </c>
      <c r="F3053" s="8" t="s">
        <v>21</v>
      </c>
      <c r="G3053" s="8">
        <v>2</v>
      </c>
      <c r="H3053" s="8" t="s">
        <v>3803</v>
      </c>
      <c r="I3053" s="8" t="s">
        <v>3676</v>
      </c>
      <c r="J3053" s="8" t="s">
        <v>3533</v>
      </c>
      <c r="K3053" s="8" t="s">
        <v>181</v>
      </c>
      <c r="L3053" s="8" t="s">
        <v>3333</v>
      </c>
      <c r="M3053" s="8">
        <v>4</v>
      </c>
      <c r="N3053" s="8">
        <v>0.5</v>
      </c>
      <c r="O3053" s="8" t="s">
        <v>3334</v>
      </c>
      <c r="P3053" s="2">
        <v>40.79</v>
      </c>
      <c r="Q3053" s="8">
        <v>4</v>
      </c>
      <c r="R3053" s="8" t="s">
        <v>3773</v>
      </c>
      <c r="S3053" s="8"/>
      <c r="T3053" s="8" t="s">
        <v>3402</v>
      </c>
      <c r="U3053" s="8">
        <v>81</v>
      </c>
      <c r="V3053" s="26" t="s">
        <v>3474</v>
      </c>
      <c r="W3053" s="8"/>
    </row>
    <row r="3054" spans="1:23" ht="15" customHeight="1" x14ac:dyDescent="0.2">
      <c r="A3054" s="8">
        <v>28</v>
      </c>
      <c r="B3054" s="8">
        <v>2026</v>
      </c>
      <c r="C3054" s="23">
        <v>46213</v>
      </c>
      <c r="D3054" s="8" t="s">
        <v>135</v>
      </c>
      <c r="E3054" s="27" t="s">
        <v>136</v>
      </c>
      <c r="F3054" s="8" t="s">
        <v>21</v>
      </c>
      <c r="G3054" s="8">
        <v>0.5</v>
      </c>
      <c r="H3054" s="8" t="s">
        <v>3592</v>
      </c>
      <c r="I3054" s="8" t="s">
        <v>3593</v>
      </c>
      <c r="J3054" s="8" t="s">
        <v>3533</v>
      </c>
      <c r="K3054" s="8" t="s">
        <v>181</v>
      </c>
      <c r="L3054" s="8" t="s">
        <v>3333</v>
      </c>
      <c r="M3054" s="8">
        <v>67</v>
      </c>
      <c r="N3054" s="8">
        <v>0.5</v>
      </c>
      <c r="O3054" s="8" t="s">
        <v>3334</v>
      </c>
      <c r="P3054" s="2">
        <v>40.79</v>
      </c>
      <c r="Q3054" s="8">
        <v>4</v>
      </c>
      <c r="R3054" s="8" t="s">
        <v>3404</v>
      </c>
      <c r="S3054" s="8"/>
      <c r="T3054" s="8" t="s">
        <v>3402</v>
      </c>
      <c r="U3054" s="8">
        <v>14</v>
      </c>
      <c r="V3054" s="26" t="s">
        <v>3334</v>
      </c>
      <c r="W3054" s="8"/>
    </row>
    <row r="3055" spans="1:23" ht="15" customHeight="1" x14ac:dyDescent="0.2">
      <c r="A3055" s="8">
        <v>28</v>
      </c>
      <c r="B3055" s="8">
        <v>2026</v>
      </c>
      <c r="C3055" s="23">
        <v>46213</v>
      </c>
      <c r="D3055" s="8" t="s">
        <v>135</v>
      </c>
      <c r="E3055" s="27" t="s">
        <v>136</v>
      </c>
      <c r="F3055" s="8" t="s">
        <v>21</v>
      </c>
      <c r="G3055" s="8">
        <v>0.5</v>
      </c>
      <c r="H3055" s="8" t="s">
        <v>4241</v>
      </c>
      <c r="I3055" s="8" t="s">
        <v>4242</v>
      </c>
      <c r="J3055" s="8" t="s">
        <v>3668</v>
      </c>
      <c r="K3055" s="8" t="s">
        <v>181</v>
      </c>
      <c r="L3055" s="8" t="s">
        <v>3333</v>
      </c>
      <c r="M3055" s="8">
        <v>4</v>
      </c>
      <c r="N3055" s="8">
        <v>0.5</v>
      </c>
      <c r="O3055" s="8" t="s">
        <v>3334</v>
      </c>
      <c r="P3055" s="2">
        <v>40.79</v>
      </c>
      <c r="Q3055" s="8">
        <v>4</v>
      </c>
      <c r="R3055" s="8" t="s">
        <v>3773</v>
      </c>
      <c r="S3055" s="8"/>
      <c r="T3055" s="8" t="s">
        <v>3402</v>
      </c>
      <c r="U3055" s="8">
        <v>14</v>
      </c>
      <c r="V3055" s="26" t="s">
        <v>3334</v>
      </c>
      <c r="W3055" s="8"/>
    </row>
    <row r="3056" spans="1:23" ht="15" customHeight="1" x14ac:dyDescent="0.2">
      <c r="A3056" s="8">
        <v>28</v>
      </c>
      <c r="B3056" s="8">
        <v>2026</v>
      </c>
      <c r="C3056" s="23">
        <v>46213</v>
      </c>
      <c r="D3056" s="8" t="s">
        <v>135</v>
      </c>
      <c r="E3056" s="27" t="s">
        <v>136</v>
      </c>
      <c r="F3056" s="8" t="s">
        <v>21</v>
      </c>
      <c r="G3056" s="8">
        <v>0.5</v>
      </c>
      <c r="H3056" s="8" t="s">
        <v>4241</v>
      </c>
      <c r="I3056" s="8" t="s">
        <v>4242</v>
      </c>
      <c r="J3056" s="8" t="s">
        <v>3668</v>
      </c>
      <c r="K3056" s="8" t="s">
        <v>181</v>
      </c>
      <c r="L3056" s="8" t="s">
        <v>3333</v>
      </c>
      <c r="M3056" s="8">
        <v>86</v>
      </c>
      <c r="N3056" s="8">
        <v>0.5</v>
      </c>
      <c r="O3056" s="8" t="s">
        <v>3334</v>
      </c>
      <c r="P3056" s="2">
        <v>40.79</v>
      </c>
      <c r="Q3056" s="8">
        <v>4</v>
      </c>
      <c r="R3056" s="8" t="s">
        <v>3386</v>
      </c>
      <c r="S3056" s="8"/>
      <c r="T3056" s="8" t="s">
        <v>3402</v>
      </c>
      <c r="U3056" s="8">
        <v>14</v>
      </c>
      <c r="V3056" s="26" t="s">
        <v>3334</v>
      </c>
      <c r="W3056" s="8"/>
    </row>
    <row r="3057" spans="1:23" ht="15" customHeight="1" x14ac:dyDescent="0.2">
      <c r="A3057" s="8">
        <v>28</v>
      </c>
      <c r="B3057" s="8">
        <v>2026</v>
      </c>
      <c r="C3057" s="23">
        <v>46213</v>
      </c>
      <c r="D3057" s="8" t="s">
        <v>135</v>
      </c>
      <c r="E3057" s="27" t="s">
        <v>136</v>
      </c>
      <c r="F3057" s="8" t="s">
        <v>21</v>
      </c>
      <c r="G3057" s="8">
        <v>0.5</v>
      </c>
      <c r="H3057" s="8" t="s">
        <v>4241</v>
      </c>
      <c r="I3057" s="8" t="s">
        <v>4242</v>
      </c>
      <c r="J3057" s="8" t="s">
        <v>3668</v>
      </c>
      <c r="K3057" s="8" t="s">
        <v>181</v>
      </c>
      <c r="L3057" s="8" t="s">
        <v>3340</v>
      </c>
      <c r="M3057" s="8">
        <v>78</v>
      </c>
      <c r="N3057" s="8">
        <v>0.65</v>
      </c>
      <c r="O3057" s="8" t="s">
        <v>211</v>
      </c>
      <c r="P3057" s="2">
        <v>36</v>
      </c>
      <c r="Q3057" s="8">
        <v>4</v>
      </c>
      <c r="R3057" s="8" t="s">
        <v>3341</v>
      </c>
      <c r="S3057" s="8"/>
      <c r="T3057" s="8" t="s">
        <v>3402</v>
      </c>
      <c r="U3057" s="8">
        <v>14</v>
      </c>
      <c r="V3057" s="26" t="s">
        <v>193</v>
      </c>
      <c r="W3057" s="8"/>
    </row>
    <row r="3058" spans="1:23" ht="12.75" customHeight="1" x14ac:dyDescent="0.15">
      <c r="A3058" s="8">
        <v>28</v>
      </c>
      <c r="B3058" s="8">
        <v>2026</v>
      </c>
      <c r="C3058" s="23">
        <v>46213</v>
      </c>
      <c r="D3058" s="8" t="s">
        <v>437</v>
      </c>
      <c r="E3058" s="8" t="s">
        <v>437</v>
      </c>
      <c r="F3058" s="8" t="s">
        <v>4435</v>
      </c>
      <c r="G3058" s="8">
        <v>1</v>
      </c>
      <c r="H3058" s="8" t="s">
        <v>4302</v>
      </c>
      <c r="I3058" s="8" t="s">
        <v>4303</v>
      </c>
      <c r="J3058" s="8" t="s">
        <v>4304</v>
      </c>
      <c r="K3058" s="8" t="s">
        <v>181</v>
      </c>
      <c r="L3058" s="8" t="s">
        <v>3333</v>
      </c>
      <c r="M3058" s="8">
        <v>7</v>
      </c>
      <c r="N3058" s="8">
        <v>1</v>
      </c>
      <c r="O3058" s="8" t="s">
        <v>4436</v>
      </c>
      <c r="P3058" s="2">
        <v>60.33</v>
      </c>
      <c r="Q3058" s="8">
        <v>8</v>
      </c>
      <c r="R3058" s="8" t="s">
        <v>4437</v>
      </c>
      <c r="S3058" s="8"/>
      <c r="T3058" s="8" t="s">
        <v>3402</v>
      </c>
      <c r="U3058" s="8">
        <v>190</v>
      </c>
      <c r="V3058" s="26" t="s">
        <v>4436</v>
      </c>
      <c r="W3058" s="8"/>
    </row>
    <row r="3059" spans="1:23" ht="12.75" customHeight="1" x14ac:dyDescent="0.15">
      <c r="A3059" s="8">
        <v>28</v>
      </c>
      <c r="B3059" s="8">
        <v>2026</v>
      </c>
      <c r="C3059" s="23">
        <v>46213</v>
      </c>
      <c r="D3059" s="8" t="s">
        <v>3749</v>
      </c>
      <c r="E3059" s="8" t="s">
        <v>676</v>
      </c>
      <c r="F3059" s="8" t="s">
        <v>676</v>
      </c>
      <c r="G3059" s="8">
        <v>1</v>
      </c>
      <c r="H3059" s="8" t="s">
        <v>3750</v>
      </c>
      <c r="I3059" s="8" t="s">
        <v>3751</v>
      </c>
      <c r="J3059" s="8" t="s">
        <v>676</v>
      </c>
      <c r="K3059" s="8" t="s">
        <v>181</v>
      </c>
      <c r="L3059" s="8" t="s">
        <v>3333</v>
      </c>
      <c r="M3059" s="8">
        <v>86</v>
      </c>
      <c r="N3059" s="8">
        <v>0.25</v>
      </c>
      <c r="O3059" s="8" t="s">
        <v>3334</v>
      </c>
      <c r="P3059" s="2">
        <v>20.399999999999999</v>
      </c>
      <c r="Q3059" s="8">
        <v>2</v>
      </c>
      <c r="R3059" s="8" t="s">
        <v>3386</v>
      </c>
      <c r="S3059" s="8"/>
      <c r="T3059" s="8" t="s">
        <v>3402</v>
      </c>
      <c r="U3059" s="8">
        <v>190</v>
      </c>
      <c r="V3059" s="26" t="s">
        <v>3474</v>
      </c>
      <c r="W3059" s="8"/>
    </row>
    <row r="3060" spans="1:23" ht="12.75" customHeight="1" x14ac:dyDescent="0.15">
      <c r="A3060" s="8">
        <v>28</v>
      </c>
      <c r="B3060" s="8">
        <v>2026</v>
      </c>
      <c r="C3060" s="23">
        <v>46213</v>
      </c>
      <c r="D3060" s="8" t="s">
        <v>3749</v>
      </c>
      <c r="E3060" s="8" t="s">
        <v>676</v>
      </c>
      <c r="F3060" s="8" t="s">
        <v>676</v>
      </c>
      <c r="G3060" s="8">
        <v>1</v>
      </c>
      <c r="H3060" s="8" t="s">
        <v>4438</v>
      </c>
      <c r="I3060" s="8" t="s">
        <v>4439</v>
      </c>
      <c r="J3060" s="8" t="s">
        <v>4383</v>
      </c>
      <c r="K3060" s="8" t="s">
        <v>181</v>
      </c>
      <c r="L3060" s="8" t="s">
        <v>3340</v>
      </c>
      <c r="M3060" s="8">
        <v>86</v>
      </c>
      <c r="N3060" s="8">
        <v>1.31</v>
      </c>
      <c r="O3060" s="8" t="s">
        <v>211</v>
      </c>
      <c r="P3060" s="2">
        <v>72</v>
      </c>
      <c r="Q3060" s="8">
        <v>8</v>
      </c>
      <c r="R3060" s="8" t="s">
        <v>3386</v>
      </c>
      <c r="S3060" s="8"/>
      <c r="T3060" s="8" t="s">
        <v>3402</v>
      </c>
      <c r="U3060" s="8">
        <v>190</v>
      </c>
      <c r="V3060" s="26" t="s">
        <v>193</v>
      </c>
    </row>
    <row r="3061" spans="1:23" ht="12.75" customHeight="1" x14ac:dyDescent="0.15">
      <c r="A3061">
        <v>28</v>
      </c>
      <c r="B3061">
        <v>2026</v>
      </c>
      <c r="C3061" s="21">
        <v>46214</v>
      </c>
      <c r="D3061" t="s">
        <v>135</v>
      </c>
      <c r="E3061" t="s">
        <v>136</v>
      </c>
      <c r="F3061" t="s">
        <v>21</v>
      </c>
      <c r="G3061">
        <v>0.5</v>
      </c>
      <c r="H3061" t="s">
        <v>3592</v>
      </c>
      <c r="I3061" t="s">
        <v>3593</v>
      </c>
      <c r="J3061" s="1" t="s">
        <v>3533</v>
      </c>
      <c r="K3061" t="s">
        <v>181</v>
      </c>
      <c r="L3061" t="s">
        <v>3333</v>
      </c>
      <c r="M3061">
        <v>67</v>
      </c>
      <c r="N3061">
        <v>0.5</v>
      </c>
      <c r="O3061" t="s">
        <v>3334</v>
      </c>
      <c r="P3061">
        <v>40.79</v>
      </c>
      <c r="Q3061">
        <v>4</v>
      </c>
      <c r="R3061" t="s">
        <v>3404</v>
      </c>
      <c r="T3061" t="s">
        <v>3402</v>
      </c>
      <c r="U3061">
        <v>15</v>
      </c>
      <c r="V3061" t="s">
        <v>3334</v>
      </c>
    </row>
    <row r="3062" spans="1:23" ht="12.75" customHeight="1" x14ac:dyDescent="0.15">
      <c r="A3062">
        <v>28</v>
      </c>
      <c r="B3062">
        <v>2026</v>
      </c>
      <c r="C3062" s="21">
        <v>46214</v>
      </c>
      <c r="D3062" t="s">
        <v>135</v>
      </c>
      <c r="E3062" t="s">
        <v>136</v>
      </c>
      <c r="F3062" t="s">
        <v>21</v>
      </c>
      <c r="G3062">
        <v>0.5</v>
      </c>
      <c r="H3062" t="s">
        <v>4241</v>
      </c>
      <c r="I3062" t="s">
        <v>4242</v>
      </c>
      <c r="J3062" s="1" t="s">
        <v>3668</v>
      </c>
      <c r="K3062" t="s">
        <v>181</v>
      </c>
      <c r="L3062" t="s">
        <v>3333</v>
      </c>
      <c r="M3062">
        <v>4</v>
      </c>
      <c r="N3062">
        <v>0.5</v>
      </c>
      <c r="O3062" t="s">
        <v>3334</v>
      </c>
      <c r="P3062">
        <v>40.79</v>
      </c>
      <c r="Q3062">
        <v>4</v>
      </c>
      <c r="R3062" t="s">
        <v>3773</v>
      </c>
      <c r="T3062" t="s">
        <v>3402</v>
      </c>
      <c r="U3062">
        <v>15</v>
      </c>
      <c r="V3062" t="s">
        <v>3334</v>
      </c>
    </row>
    <row r="3063" spans="1:23" ht="12.75" customHeight="1" x14ac:dyDescent="0.15">
      <c r="A3063">
        <v>28</v>
      </c>
      <c r="B3063">
        <v>2026</v>
      </c>
      <c r="C3063" s="21">
        <v>46214</v>
      </c>
      <c r="D3063" t="s">
        <v>135</v>
      </c>
      <c r="E3063" t="s">
        <v>136</v>
      </c>
      <c r="F3063" t="s">
        <v>21</v>
      </c>
      <c r="G3063">
        <v>0.5</v>
      </c>
      <c r="H3063" t="s">
        <v>4241</v>
      </c>
      <c r="I3063" t="s">
        <v>4242</v>
      </c>
      <c r="J3063" s="1" t="s">
        <v>3668</v>
      </c>
      <c r="K3063" t="s">
        <v>181</v>
      </c>
      <c r="L3063" t="s">
        <v>3333</v>
      </c>
      <c r="M3063">
        <v>86</v>
      </c>
      <c r="N3063">
        <v>0.5</v>
      </c>
      <c r="O3063" t="s">
        <v>3334</v>
      </c>
      <c r="P3063">
        <v>40.79</v>
      </c>
      <c r="Q3063">
        <v>4</v>
      </c>
      <c r="R3063" t="s">
        <v>3386</v>
      </c>
      <c r="T3063" t="s">
        <v>3402</v>
      </c>
      <c r="U3063">
        <v>15</v>
      </c>
      <c r="V3063" t="s">
        <v>3334</v>
      </c>
    </row>
    <row r="3064" spans="1:23" ht="12.75" customHeight="1" x14ac:dyDescent="0.15">
      <c r="A3064">
        <v>28</v>
      </c>
      <c r="B3064">
        <v>2026</v>
      </c>
      <c r="C3064" s="21">
        <v>46214</v>
      </c>
      <c r="D3064" t="s">
        <v>135</v>
      </c>
      <c r="E3064" t="s">
        <v>136</v>
      </c>
      <c r="F3064" t="s">
        <v>21</v>
      </c>
      <c r="G3064">
        <v>0.5</v>
      </c>
      <c r="H3064" t="s">
        <v>4241</v>
      </c>
      <c r="I3064" t="s">
        <v>4242</v>
      </c>
      <c r="J3064" s="1" t="s">
        <v>3668</v>
      </c>
      <c r="K3064" t="s">
        <v>181</v>
      </c>
      <c r="L3064" t="s">
        <v>3340</v>
      </c>
      <c r="M3064">
        <v>78</v>
      </c>
      <c r="N3064">
        <v>0.65</v>
      </c>
      <c r="O3064" t="s">
        <v>211</v>
      </c>
      <c r="P3064">
        <v>36</v>
      </c>
      <c r="Q3064">
        <v>4</v>
      </c>
      <c r="R3064" t="s">
        <v>3341</v>
      </c>
      <c r="T3064" t="s">
        <v>3402</v>
      </c>
      <c r="U3064">
        <v>15</v>
      </c>
      <c r="V3064" t="s">
        <v>193</v>
      </c>
    </row>
    <row r="3065" spans="1:23" ht="12.75" customHeight="1" x14ac:dyDescent="0.15">
      <c r="A3065">
        <v>28</v>
      </c>
      <c r="B3065">
        <v>2026</v>
      </c>
      <c r="C3065" s="21">
        <v>46214</v>
      </c>
      <c r="D3065" t="s">
        <v>3749</v>
      </c>
      <c r="E3065" t="s">
        <v>676</v>
      </c>
      <c r="F3065" t="s">
        <v>676</v>
      </c>
      <c r="G3065">
        <v>1</v>
      </c>
      <c r="H3065" t="s">
        <v>3750</v>
      </c>
      <c r="I3065" t="s">
        <v>3751</v>
      </c>
      <c r="J3065" s="1" t="s">
        <v>676</v>
      </c>
      <c r="K3065" t="s">
        <v>181</v>
      </c>
      <c r="L3065" t="s">
        <v>3333</v>
      </c>
      <c r="M3065">
        <v>4</v>
      </c>
      <c r="N3065">
        <v>0.5</v>
      </c>
      <c r="O3065" t="s">
        <v>3334</v>
      </c>
      <c r="P3065">
        <v>40.79</v>
      </c>
      <c r="Q3065">
        <v>4</v>
      </c>
      <c r="R3065" t="s">
        <v>3773</v>
      </c>
      <c r="S3065" t="s">
        <v>4440</v>
      </c>
      <c r="T3065" t="s">
        <v>3402</v>
      </c>
      <c r="U3065">
        <v>191</v>
      </c>
      <c r="V3065" t="s">
        <v>3456</v>
      </c>
    </row>
    <row r="3066" spans="1:23" ht="12.75" customHeight="1" x14ac:dyDescent="0.15">
      <c r="A3066">
        <v>28</v>
      </c>
      <c r="B3066">
        <v>2026</v>
      </c>
      <c r="C3066" s="21">
        <v>46214</v>
      </c>
      <c r="D3066" t="s">
        <v>3749</v>
      </c>
      <c r="E3066" t="s">
        <v>676</v>
      </c>
      <c r="F3066" t="s">
        <v>676</v>
      </c>
      <c r="G3066">
        <v>1</v>
      </c>
      <c r="H3066" t="s">
        <v>3750</v>
      </c>
      <c r="I3066" t="s">
        <v>3751</v>
      </c>
      <c r="J3066" s="1" t="s">
        <v>676</v>
      </c>
      <c r="K3066" t="s">
        <v>181</v>
      </c>
      <c r="L3066" t="s">
        <v>3333</v>
      </c>
      <c r="M3066">
        <v>67</v>
      </c>
      <c r="N3066">
        <v>0.5</v>
      </c>
      <c r="O3066" t="s">
        <v>3334</v>
      </c>
      <c r="P3066">
        <v>40.79</v>
      </c>
      <c r="Q3066">
        <v>4</v>
      </c>
      <c r="R3066" t="s">
        <v>3404</v>
      </c>
      <c r="S3066" t="s">
        <v>4441</v>
      </c>
      <c r="T3066" t="s">
        <v>3402</v>
      </c>
      <c r="U3066">
        <v>191</v>
      </c>
      <c r="V3066" t="s">
        <v>3456</v>
      </c>
    </row>
    <row r="3067" spans="1:23" ht="12.75" customHeight="1" x14ac:dyDescent="0.15">
      <c r="A3067">
        <v>28</v>
      </c>
      <c r="B3067">
        <v>2026</v>
      </c>
      <c r="C3067" s="21">
        <v>46214</v>
      </c>
      <c r="D3067" t="s">
        <v>3749</v>
      </c>
      <c r="E3067" t="s">
        <v>676</v>
      </c>
      <c r="F3067" t="s">
        <v>676</v>
      </c>
      <c r="G3067">
        <v>1</v>
      </c>
      <c r="H3067" t="s">
        <v>3750</v>
      </c>
      <c r="I3067" t="s">
        <v>3751</v>
      </c>
      <c r="J3067" s="1" t="s">
        <v>676</v>
      </c>
      <c r="K3067" t="s">
        <v>181</v>
      </c>
      <c r="L3067" t="s">
        <v>3340</v>
      </c>
      <c r="M3067">
        <v>78</v>
      </c>
      <c r="N3067">
        <v>1</v>
      </c>
      <c r="O3067" t="s">
        <v>211</v>
      </c>
      <c r="P3067">
        <v>55</v>
      </c>
      <c r="Q3067">
        <v>4</v>
      </c>
      <c r="R3067" t="s">
        <v>3341</v>
      </c>
      <c r="S3067" t="s">
        <v>4442</v>
      </c>
      <c r="T3067" t="s">
        <v>3402</v>
      </c>
      <c r="U3067">
        <v>191</v>
      </c>
      <c r="V3067" t="s">
        <v>211</v>
      </c>
    </row>
    <row r="3068" spans="1:23" ht="12.75" customHeight="1" x14ac:dyDescent="0.15">
      <c r="A3068">
        <v>28</v>
      </c>
      <c r="B3068">
        <v>2026</v>
      </c>
      <c r="C3068" s="21">
        <v>46214</v>
      </c>
      <c r="D3068" t="s">
        <v>3749</v>
      </c>
      <c r="E3068" t="s">
        <v>676</v>
      </c>
      <c r="F3068" t="s">
        <v>676</v>
      </c>
      <c r="G3068">
        <v>1</v>
      </c>
      <c r="H3068" t="s">
        <v>3750</v>
      </c>
      <c r="I3068" t="s">
        <v>3751</v>
      </c>
      <c r="J3068" s="1" t="s">
        <v>676</v>
      </c>
      <c r="K3068" t="s">
        <v>181</v>
      </c>
      <c r="L3068" t="s">
        <v>3340</v>
      </c>
      <c r="M3068">
        <v>67</v>
      </c>
      <c r="N3068">
        <v>0.38</v>
      </c>
      <c r="O3068" t="s">
        <v>211</v>
      </c>
      <c r="P3068">
        <v>20.71</v>
      </c>
      <c r="R3068" t="s">
        <v>3404</v>
      </c>
      <c r="T3068" t="s">
        <v>3402</v>
      </c>
      <c r="U3068">
        <v>191</v>
      </c>
      <c r="V3068" t="s">
        <v>4443</v>
      </c>
    </row>
    <row r="3069" spans="1:23" ht="12.75" customHeight="1" x14ac:dyDescent="0.15">
      <c r="A3069">
        <v>28</v>
      </c>
      <c r="B3069">
        <v>2026</v>
      </c>
      <c r="C3069" s="21">
        <v>46214</v>
      </c>
      <c r="D3069" t="s">
        <v>3749</v>
      </c>
      <c r="E3069" t="s">
        <v>676</v>
      </c>
      <c r="F3069" t="s">
        <v>676</v>
      </c>
      <c r="G3069">
        <v>1</v>
      </c>
      <c r="H3069" t="s">
        <v>3750</v>
      </c>
      <c r="I3069" t="s">
        <v>3751</v>
      </c>
      <c r="J3069" s="1" t="s">
        <v>676</v>
      </c>
      <c r="K3069" t="s">
        <v>181</v>
      </c>
      <c r="L3069" t="s">
        <v>3340</v>
      </c>
      <c r="M3069">
        <v>4</v>
      </c>
      <c r="N3069">
        <v>0.26</v>
      </c>
      <c r="O3069" t="s">
        <v>211</v>
      </c>
      <c r="P3069">
        <v>14.2</v>
      </c>
      <c r="R3069" t="s">
        <v>3773</v>
      </c>
      <c r="T3069" t="s">
        <v>3402</v>
      </c>
      <c r="U3069">
        <v>191</v>
      </c>
      <c r="V3069" t="s">
        <v>4444</v>
      </c>
    </row>
    <row r="3070" spans="1:23" ht="12.75" customHeight="1" x14ac:dyDescent="0.15">
      <c r="A3070">
        <v>28</v>
      </c>
      <c r="B3070">
        <v>2026</v>
      </c>
      <c r="C3070" s="21">
        <v>46214</v>
      </c>
      <c r="D3070" t="s">
        <v>3749</v>
      </c>
      <c r="E3070" t="s">
        <v>676</v>
      </c>
      <c r="F3070" t="s">
        <v>676</v>
      </c>
      <c r="G3070">
        <v>1</v>
      </c>
      <c r="H3070" t="s">
        <v>4445</v>
      </c>
      <c r="I3070" t="s">
        <v>4446</v>
      </c>
      <c r="J3070" s="1" t="s">
        <v>676</v>
      </c>
      <c r="K3070" t="s">
        <v>181</v>
      </c>
      <c r="L3070" t="s">
        <v>3340</v>
      </c>
      <c r="M3070">
        <v>67</v>
      </c>
      <c r="N3070">
        <v>0.6</v>
      </c>
      <c r="O3070" t="s">
        <v>211</v>
      </c>
      <c r="P3070">
        <v>33</v>
      </c>
      <c r="R3070" t="s">
        <v>3404</v>
      </c>
      <c r="S3070" t="s">
        <v>4447</v>
      </c>
      <c r="T3070" t="s">
        <v>3402</v>
      </c>
      <c r="U3070">
        <v>191</v>
      </c>
      <c r="V3070" t="s">
        <v>383</v>
      </c>
    </row>
    <row r="3071" spans="1:23" ht="12.75" customHeight="1" x14ac:dyDescent="0.15">
      <c r="A3071">
        <v>28</v>
      </c>
      <c r="B3071">
        <v>2026</v>
      </c>
      <c r="C3071" s="21">
        <v>46214</v>
      </c>
      <c r="D3071" t="s">
        <v>3749</v>
      </c>
      <c r="E3071" t="s">
        <v>676</v>
      </c>
      <c r="F3071" t="s">
        <v>676</v>
      </c>
      <c r="G3071">
        <v>1</v>
      </c>
      <c r="H3071" t="s">
        <v>4445</v>
      </c>
      <c r="I3071" t="s">
        <v>4446</v>
      </c>
      <c r="J3071" s="1" t="s">
        <v>676</v>
      </c>
      <c r="K3071" t="s">
        <v>181</v>
      </c>
      <c r="L3071" t="s">
        <v>3340</v>
      </c>
      <c r="M3071">
        <v>4</v>
      </c>
      <c r="N3071">
        <v>0.6</v>
      </c>
      <c r="O3071" t="s">
        <v>211</v>
      </c>
      <c r="P3071">
        <v>33</v>
      </c>
      <c r="R3071" t="s">
        <v>3773</v>
      </c>
      <c r="T3071" t="s">
        <v>3402</v>
      </c>
      <c r="U3071">
        <v>191</v>
      </c>
      <c r="V3071" t="s">
        <v>383</v>
      </c>
    </row>
    <row r="3072" spans="1:23" ht="12.75" customHeight="1" x14ac:dyDescent="0.15">
      <c r="A3072">
        <v>28</v>
      </c>
      <c r="B3072">
        <v>2026</v>
      </c>
      <c r="C3072" s="21">
        <v>46214</v>
      </c>
      <c r="D3072" t="s">
        <v>3749</v>
      </c>
      <c r="E3072" t="s">
        <v>676</v>
      </c>
      <c r="F3072" t="s">
        <v>676</v>
      </c>
      <c r="G3072">
        <v>1</v>
      </c>
      <c r="H3072" t="s">
        <v>4445</v>
      </c>
      <c r="I3072" t="s">
        <v>4446</v>
      </c>
      <c r="J3072" s="1" t="s">
        <v>676</v>
      </c>
      <c r="K3072" t="s">
        <v>181</v>
      </c>
      <c r="L3072" t="s">
        <v>3340</v>
      </c>
      <c r="M3072">
        <v>78</v>
      </c>
      <c r="N3072">
        <v>0.6</v>
      </c>
      <c r="O3072" t="s">
        <v>211</v>
      </c>
      <c r="P3072">
        <v>33</v>
      </c>
      <c r="R3072" t="s">
        <v>3341</v>
      </c>
      <c r="T3072" t="s">
        <v>3402</v>
      </c>
      <c r="U3072">
        <v>191</v>
      </c>
      <c r="V3072" t="s">
        <v>383</v>
      </c>
    </row>
    <row r="3073" spans="1:22" ht="12.75" customHeight="1" x14ac:dyDescent="0.15">
      <c r="A3073">
        <v>28</v>
      </c>
      <c r="B3073">
        <v>2026</v>
      </c>
      <c r="C3073" s="21">
        <v>46214</v>
      </c>
      <c r="D3073" t="s">
        <v>437</v>
      </c>
      <c r="E3073" t="s">
        <v>437</v>
      </c>
      <c r="F3073" t="s">
        <v>4435</v>
      </c>
      <c r="G3073">
        <v>1</v>
      </c>
      <c r="H3073" t="s">
        <v>4302</v>
      </c>
      <c r="I3073" t="s">
        <v>4303</v>
      </c>
      <c r="J3073" s="1" t="s">
        <v>4304</v>
      </c>
      <c r="K3073" t="s">
        <v>181</v>
      </c>
      <c r="L3073" t="s">
        <v>3333</v>
      </c>
      <c r="M3073">
        <v>7</v>
      </c>
      <c r="N3073">
        <v>1</v>
      </c>
      <c r="O3073" t="s">
        <v>4436</v>
      </c>
      <c r="P3073">
        <v>60.33</v>
      </c>
      <c r="Q3073">
        <v>8</v>
      </c>
      <c r="R3073" t="s">
        <v>4437</v>
      </c>
      <c r="T3073" t="s">
        <v>3402</v>
      </c>
      <c r="U3073">
        <v>191</v>
      </c>
      <c r="V3073" t="s">
        <v>4436</v>
      </c>
    </row>
    <row r="3074" spans="1:22" ht="12.75" customHeight="1" x14ac:dyDescent="0.15">
      <c r="A3074">
        <v>28</v>
      </c>
      <c r="B3074">
        <v>2026</v>
      </c>
      <c r="C3074" s="21">
        <v>46214</v>
      </c>
      <c r="D3074" t="s">
        <v>3749</v>
      </c>
      <c r="E3074" t="s">
        <v>676</v>
      </c>
      <c r="F3074" t="s">
        <v>676</v>
      </c>
      <c r="G3074">
        <v>1</v>
      </c>
      <c r="H3074" t="s">
        <v>4438</v>
      </c>
      <c r="I3074" t="s">
        <v>4439</v>
      </c>
      <c r="J3074" s="1" t="s">
        <v>4383</v>
      </c>
      <c r="K3074" t="s">
        <v>181</v>
      </c>
      <c r="L3074" t="s">
        <v>3340</v>
      </c>
      <c r="M3074">
        <v>86</v>
      </c>
      <c r="N3074">
        <v>1.31</v>
      </c>
      <c r="O3074" t="s">
        <v>211</v>
      </c>
      <c r="P3074">
        <v>72</v>
      </c>
      <c r="Q3074">
        <v>8</v>
      </c>
      <c r="R3074" t="s">
        <v>3386</v>
      </c>
      <c r="T3074" t="s">
        <v>3402</v>
      </c>
      <c r="U3074">
        <v>191</v>
      </c>
      <c r="V3074" t="s">
        <v>193</v>
      </c>
    </row>
    <row r="3075" spans="1:22" ht="12.75" customHeight="1" x14ac:dyDescent="0.15">
      <c r="A3075">
        <v>28</v>
      </c>
      <c r="B3075">
        <v>2026</v>
      </c>
      <c r="C3075" s="21">
        <v>46214</v>
      </c>
      <c r="D3075" t="s">
        <v>3749</v>
      </c>
      <c r="E3075" t="s">
        <v>676</v>
      </c>
      <c r="F3075" t="s">
        <v>676</v>
      </c>
      <c r="G3075">
        <v>1</v>
      </c>
      <c r="H3075" t="s">
        <v>3750</v>
      </c>
      <c r="I3075" t="s">
        <v>3751</v>
      </c>
      <c r="J3075" s="1" t="s">
        <v>676</v>
      </c>
      <c r="K3075" t="s">
        <v>181</v>
      </c>
      <c r="L3075" t="s">
        <v>3333</v>
      </c>
      <c r="M3075">
        <v>86</v>
      </c>
      <c r="N3075">
        <v>0.25</v>
      </c>
      <c r="O3075" t="s">
        <v>3334</v>
      </c>
      <c r="P3075">
        <v>20.399999999999999</v>
      </c>
      <c r="Q3075">
        <v>2</v>
      </c>
      <c r="R3075" t="s">
        <v>3386</v>
      </c>
      <c r="T3075" t="s">
        <v>3402</v>
      </c>
      <c r="U3075">
        <v>191</v>
      </c>
      <c r="V3075" t="s">
        <v>3474</v>
      </c>
    </row>
    <row r="3076" spans="1:22" ht="12.75" customHeight="1" x14ac:dyDescent="0.15">
      <c r="A3076">
        <v>28</v>
      </c>
      <c r="B3076">
        <v>2026</v>
      </c>
      <c r="C3076" s="21">
        <v>46215</v>
      </c>
      <c r="D3076" t="s">
        <v>3749</v>
      </c>
      <c r="E3076" t="s">
        <v>676</v>
      </c>
      <c r="F3076" t="s">
        <v>676</v>
      </c>
      <c r="G3076">
        <v>1</v>
      </c>
      <c r="H3076" t="s">
        <v>3750</v>
      </c>
      <c r="I3076" t="s">
        <v>3751</v>
      </c>
      <c r="J3076" s="1" t="s">
        <v>676</v>
      </c>
      <c r="K3076" t="s">
        <v>181</v>
      </c>
      <c r="L3076" t="s">
        <v>3340</v>
      </c>
      <c r="M3076">
        <v>67</v>
      </c>
      <c r="N3076">
        <v>0.97</v>
      </c>
      <c r="O3076" t="s">
        <v>211</v>
      </c>
      <c r="P3076">
        <v>53.2</v>
      </c>
      <c r="R3076" t="s">
        <v>3404</v>
      </c>
      <c r="S3076" t="s">
        <v>4448</v>
      </c>
      <c r="T3076" t="s">
        <v>3402</v>
      </c>
      <c r="U3076">
        <v>192</v>
      </c>
      <c r="V3076" t="s">
        <v>4449</v>
      </c>
    </row>
    <row r="3077" spans="1:22" ht="12.75" customHeight="1" x14ac:dyDescent="0.15">
      <c r="A3077">
        <v>28</v>
      </c>
      <c r="B3077">
        <v>2026</v>
      </c>
      <c r="C3077" s="21">
        <v>46215</v>
      </c>
      <c r="D3077" t="s">
        <v>3749</v>
      </c>
      <c r="E3077" t="s">
        <v>676</v>
      </c>
      <c r="F3077" t="s">
        <v>676</v>
      </c>
      <c r="G3077">
        <v>1</v>
      </c>
      <c r="H3077" t="s">
        <v>3750</v>
      </c>
      <c r="I3077" t="s">
        <v>3751</v>
      </c>
      <c r="J3077" s="1" t="s">
        <v>676</v>
      </c>
      <c r="K3077" t="s">
        <v>181</v>
      </c>
      <c r="L3077" t="s">
        <v>3340</v>
      </c>
      <c r="M3077">
        <v>78</v>
      </c>
      <c r="N3077">
        <v>0.35</v>
      </c>
      <c r="O3077" t="s">
        <v>211</v>
      </c>
      <c r="P3077">
        <v>19.13</v>
      </c>
      <c r="R3077" t="s">
        <v>3341</v>
      </c>
      <c r="S3077" t="s">
        <v>4450</v>
      </c>
      <c r="T3077" t="s">
        <v>3402</v>
      </c>
      <c r="U3077">
        <v>192</v>
      </c>
      <c r="V3077" t="s">
        <v>4451</v>
      </c>
    </row>
    <row r="3078" spans="1:22" ht="12.75" customHeight="1" x14ac:dyDescent="0.15">
      <c r="A3078">
        <v>28</v>
      </c>
      <c r="B3078">
        <v>2026</v>
      </c>
      <c r="C3078" s="21">
        <v>46215</v>
      </c>
      <c r="D3078" t="s">
        <v>3749</v>
      </c>
      <c r="E3078" t="s">
        <v>676</v>
      </c>
      <c r="F3078" t="s">
        <v>676</v>
      </c>
      <c r="G3078">
        <v>1</v>
      </c>
      <c r="H3078" t="s">
        <v>3750</v>
      </c>
      <c r="I3078" t="s">
        <v>3751</v>
      </c>
      <c r="J3078" s="1" t="s">
        <v>676</v>
      </c>
      <c r="K3078" t="s">
        <v>181</v>
      </c>
      <c r="L3078" t="s">
        <v>3340</v>
      </c>
      <c r="M3078">
        <v>4</v>
      </c>
      <c r="N3078">
        <v>0.35</v>
      </c>
      <c r="O3078" t="s">
        <v>211</v>
      </c>
      <c r="P3078">
        <v>19.13</v>
      </c>
      <c r="R3078" t="s">
        <v>3773</v>
      </c>
      <c r="S3078" t="s">
        <v>4452</v>
      </c>
      <c r="T3078" t="s">
        <v>3402</v>
      </c>
      <c r="U3078">
        <v>192</v>
      </c>
      <c r="V3078" t="s">
        <v>4451</v>
      </c>
    </row>
    <row r="3079" spans="1:22" ht="12.75" customHeight="1" x14ac:dyDescent="0.15">
      <c r="A3079">
        <v>28</v>
      </c>
      <c r="B3079">
        <v>2026</v>
      </c>
      <c r="C3079" s="21">
        <v>46215</v>
      </c>
      <c r="D3079" t="s">
        <v>3749</v>
      </c>
      <c r="E3079" t="s">
        <v>676</v>
      </c>
      <c r="F3079" t="s">
        <v>676</v>
      </c>
      <c r="G3079">
        <v>1</v>
      </c>
      <c r="H3079" t="s">
        <v>3750</v>
      </c>
      <c r="I3079" t="s">
        <v>3751</v>
      </c>
      <c r="J3079" s="1" t="s">
        <v>676</v>
      </c>
      <c r="K3079" t="s">
        <v>181</v>
      </c>
      <c r="L3079" t="s">
        <v>3340</v>
      </c>
      <c r="M3079">
        <v>91</v>
      </c>
      <c r="N3079">
        <v>0.35</v>
      </c>
      <c r="O3079" t="s">
        <v>211</v>
      </c>
      <c r="P3079">
        <v>19.13</v>
      </c>
      <c r="R3079" t="s">
        <v>3412</v>
      </c>
      <c r="S3079" t="s">
        <v>4453</v>
      </c>
      <c r="T3079" t="s">
        <v>3402</v>
      </c>
      <c r="U3079">
        <v>192</v>
      </c>
      <c r="V3079" t="s">
        <v>4451</v>
      </c>
    </row>
    <row r="3080" spans="1:22" ht="12.75" customHeight="1" x14ac:dyDescent="0.15">
      <c r="A3080">
        <v>28</v>
      </c>
      <c r="B3080">
        <v>2026</v>
      </c>
      <c r="C3080" s="21">
        <v>46215</v>
      </c>
      <c r="D3080" t="s">
        <v>3749</v>
      </c>
      <c r="E3080" t="s">
        <v>676</v>
      </c>
      <c r="F3080" t="s">
        <v>676</v>
      </c>
      <c r="G3080">
        <v>1</v>
      </c>
      <c r="H3080" t="s">
        <v>4438</v>
      </c>
      <c r="I3080" t="s">
        <v>4439</v>
      </c>
      <c r="J3080" s="1" t="s">
        <v>4383</v>
      </c>
      <c r="K3080" t="s">
        <v>181</v>
      </c>
      <c r="L3080" t="s">
        <v>3340</v>
      </c>
      <c r="M3080">
        <v>86</v>
      </c>
      <c r="N3080">
        <v>1.31</v>
      </c>
      <c r="O3080" t="s">
        <v>211</v>
      </c>
      <c r="P3080">
        <v>72</v>
      </c>
      <c r="Q3080">
        <v>8</v>
      </c>
      <c r="R3080" t="s">
        <v>3386</v>
      </c>
      <c r="T3080" t="s">
        <v>3402</v>
      </c>
      <c r="U3080">
        <v>192</v>
      </c>
      <c r="V3080" t="s">
        <v>193</v>
      </c>
    </row>
    <row r="3081" spans="1:22" ht="12.75" customHeight="1" x14ac:dyDescent="0.15">
      <c r="A3081">
        <v>28</v>
      </c>
      <c r="B3081">
        <v>2026</v>
      </c>
      <c r="C3081" s="21">
        <v>46216</v>
      </c>
      <c r="D3081" t="s">
        <v>3749</v>
      </c>
      <c r="E3081" t="s">
        <v>676</v>
      </c>
      <c r="F3081" t="s">
        <v>676</v>
      </c>
      <c r="G3081">
        <v>1</v>
      </c>
      <c r="H3081" t="s">
        <v>4425</v>
      </c>
      <c r="I3081" t="s">
        <v>3751</v>
      </c>
      <c r="J3081" s="1" t="s">
        <v>676</v>
      </c>
      <c r="K3081" t="s">
        <v>181</v>
      </c>
      <c r="L3081" t="s">
        <v>3340</v>
      </c>
      <c r="M3081">
        <v>62</v>
      </c>
      <c r="N3081">
        <v>1.1499999999999999</v>
      </c>
      <c r="O3081" t="s">
        <v>211</v>
      </c>
      <c r="P3081">
        <v>63</v>
      </c>
      <c r="Q3081">
        <v>7</v>
      </c>
      <c r="R3081" t="s">
        <v>3375</v>
      </c>
      <c r="T3081" t="s">
        <v>3337</v>
      </c>
      <c r="U3081">
        <v>193</v>
      </c>
      <c r="V3081" t="s">
        <v>269</v>
      </c>
    </row>
    <row r="3082" spans="1:22" ht="12.75" customHeight="1" x14ac:dyDescent="0.15">
      <c r="A3082">
        <v>28</v>
      </c>
      <c r="B3082">
        <v>2026</v>
      </c>
      <c r="C3082" s="21">
        <v>46216</v>
      </c>
      <c r="D3082" t="s">
        <v>3749</v>
      </c>
      <c r="E3082" t="s">
        <v>676</v>
      </c>
      <c r="F3082" t="s">
        <v>676</v>
      </c>
      <c r="G3082">
        <v>1</v>
      </c>
      <c r="H3082" t="s">
        <v>4425</v>
      </c>
      <c r="I3082" t="s">
        <v>3751</v>
      </c>
      <c r="J3082" s="1" t="s">
        <v>676</v>
      </c>
      <c r="K3082" t="s">
        <v>181</v>
      </c>
      <c r="L3082" t="s">
        <v>3340</v>
      </c>
      <c r="M3082">
        <v>53</v>
      </c>
      <c r="N3082">
        <v>1.1499999999999999</v>
      </c>
      <c r="O3082" t="s">
        <v>211</v>
      </c>
      <c r="P3082">
        <v>63</v>
      </c>
      <c r="Q3082">
        <v>7</v>
      </c>
      <c r="R3082" t="s">
        <v>3373</v>
      </c>
      <c r="T3082" t="s">
        <v>3337</v>
      </c>
      <c r="U3082">
        <v>193</v>
      </c>
      <c r="V3082" t="s">
        <v>269</v>
      </c>
    </row>
    <row r="3083" spans="1:22" ht="12.75" customHeight="1" x14ac:dyDescent="0.15">
      <c r="A3083">
        <v>28</v>
      </c>
      <c r="B3083">
        <v>2026</v>
      </c>
      <c r="C3083" s="21">
        <v>46216</v>
      </c>
      <c r="D3083" t="s">
        <v>3749</v>
      </c>
      <c r="E3083" t="s">
        <v>676</v>
      </c>
      <c r="F3083" t="s">
        <v>676</v>
      </c>
      <c r="G3083">
        <v>1</v>
      </c>
      <c r="H3083" t="s">
        <v>4425</v>
      </c>
      <c r="I3083" t="s">
        <v>3751</v>
      </c>
      <c r="J3083" s="1" t="s">
        <v>676</v>
      </c>
      <c r="K3083" t="s">
        <v>181</v>
      </c>
      <c r="L3083" t="s">
        <v>3340</v>
      </c>
      <c r="M3083">
        <v>58</v>
      </c>
      <c r="N3083">
        <v>1.1499999999999999</v>
      </c>
      <c r="O3083" t="s">
        <v>211</v>
      </c>
      <c r="P3083">
        <v>63</v>
      </c>
      <c r="Q3083">
        <v>7</v>
      </c>
      <c r="R3083" t="s">
        <v>3343</v>
      </c>
      <c r="T3083" t="s">
        <v>3337</v>
      </c>
      <c r="U3083">
        <v>193</v>
      </c>
      <c r="V3083" t="s">
        <v>269</v>
      </c>
    </row>
    <row r="3084" spans="1:22" ht="12.75" customHeight="1" x14ac:dyDescent="0.15">
      <c r="A3084">
        <v>28</v>
      </c>
      <c r="B3084">
        <v>2026</v>
      </c>
      <c r="C3084" s="21">
        <v>46216</v>
      </c>
      <c r="D3084" t="s">
        <v>3749</v>
      </c>
      <c r="E3084" t="s">
        <v>676</v>
      </c>
      <c r="F3084" t="s">
        <v>676</v>
      </c>
      <c r="G3084">
        <v>1</v>
      </c>
      <c r="H3084" t="s">
        <v>4425</v>
      </c>
      <c r="I3084" t="s">
        <v>3751</v>
      </c>
      <c r="J3084" s="1" t="s">
        <v>676</v>
      </c>
      <c r="K3084" t="s">
        <v>181</v>
      </c>
      <c r="L3084" t="s">
        <v>3340</v>
      </c>
      <c r="M3084">
        <v>81</v>
      </c>
      <c r="N3084">
        <v>1.1499999999999999</v>
      </c>
      <c r="O3084" t="s">
        <v>211</v>
      </c>
      <c r="P3084">
        <v>63</v>
      </c>
      <c r="Q3084">
        <v>7</v>
      </c>
      <c r="R3084" t="s">
        <v>3374</v>
      </c>
      <c r="T3084" t="s">
        <v>3337</v>
      </c>
      <c r="U3084">
        <v>193</v>
      </c>
      <c r="V3084" t="s">
        <v>269</v>
      </c>
    </row>
    <row r="3085" spans="1:22" ht="12.75" customHeight="1" x14ac:dyDescent="0.15">
      <c r="A3085">
        <v>28</v>
      </c>
      <c r="B3085">
        <v>2026</v>
      </c>
      <c r="C3085" s="21">
        <v>46216</v>
      </c>
      <c r="D3085" t="s">
        <v>3749</v>
      </c>
      <c r="E3085" t="s">
        <v>676</v>
      </c>
      <c r="F3085" t="s">
        <v>676</v>
      </c>
      <c r="G3085">
        <v>1</v>
      </c>
      <c r="H3085" t="s">
        <v>4425</v>
      </c>
      <c r="I3085" t="s">
        <v>3751</v>
      </c>
      <c r="J3085" s="1" t="s">
        <v>676</v>
      </c>
      <c r="K3085" t="s">
        <v>181</v>
      </c>
      <c r="L3085" t="s">
        <v>3340</v>
      </c>
      <c r="M3085">
        <v>45</v>
      </c>
      <c r="N3085">
        <v>1.1499999999999999</v>
      </c>
      <c r="O3085" t="s">
        <v>211</v>
      </c>
      <c r="P3085">
        <v>63</v>
      </c>
      <c r="Q3085">
        <v>7</v>
      </c>
      <c r="R3085" t="s">
        <v>3377</v>
      </c>
      <c r="T3085" t="s">
        <v>3337</v>
      </c>
      <c r="U3085">
        <v>193</v>
      </c>
      <c r="V3085" t="s">
        <v>269</v>
      </c>
    </row>
    <row r="3086" spans="1:22" ht="12.75" customHeight="1" x14ac:dyDescent="0.15">
      <c r="A3086">
        <v>28</v>
      </c>
      <c r="B3086">
        <v>2026</v>
      </c>
      <c r="C3086" s="21">
        <v>46216</v>
      </c>
      <c r="D3086" t="s">
        <v>3749</v>
      </c>
      <c r="E3086" t="s">
        <v>676</v>
      </c>
      <c r="F3086" t="s">
        <v>676</v>
      </c>
      <c r="G3086">
        <v>1</v>
      </c>
      <c r="H3086" t="s">
        <v>4454</v>
      </c>
      <c r="I3086" t="s">
        <v>4455</v>
      </c>
      <c r="J3086" s="1" t="s">
        <v>676</v>
      </c>
      <c r="K3086" t="s">
        <v>181</v>
      </c>
      <c r="L3086" t="s">
        <v>3340</v>
      </c>
      <c r="M3086">
        <v>62</v>
      </c>
      <c r="N3086">
        <v>0.16</v>
      </c>
      <c r="O3086" t="s">
        <v>211</v>
      </c>
      <c r="P3086">
        <v>9</v>
      </c>
      <c r="Q3086">
        <v>1</v>
      </c>
      <c r="R3086" t="s">
        <v>3375</v>
      </c>
      <c r="T3086" t="s">
        <v>3337</v>
      </c>
      <c r="U3086">
        <v>193</v>
      </c>
      <c r="V3086" t="s">
        <v>3473</v>
      </c>
    </row>
    <row r="3087" spans="1:22" ht="12.75" customHeight="1" x14ac:dyDescent="0.15">
      <c r="A3087">
        <v>28</v>
      </c>
      <c r="B3087">
        <v>2026</v>
      </c>
      <c r="C3087" s="21">
        <v>46216</v>
      </c>
      <c r="D3087" t="s">
        <v>3749</v>
      </c>
      <c r="E3087" t="s">
        <v>676</v>
      </c>
      <c r="F3087" t="s">
        <v>676</v>
      </c>
      <c r="G3087">
        <v>1</v>
      </c>
      <c r="H3087" t="s">
        <v>4454</v>
      </c>
      <c r="I3087" t="s">
        <v>4455</v>
      </c>
      <c r="J3087" s="1" t="s">
        <v>676</v>
      </c>
      <c r="K3087" t="s">
        <v>181</v>
      </c>
      <c r="L3087" t="s">
        <v>3340</v>
      </c>
      <c r="M3087">
        <v>53</v>
      </c>
      <c r="N3087">
        <v>0.16</v>
      </c>
      <c r="O3087" t="s">
        <v>211</v>
      </c>
      <c r="P3087">
        <v>9</v>
      </c>
      <c r="Q3087">
        <v>1</v>
      </c>
      <c r="R3087" t="s">
        <v>3373</v>
      </c>
      <c r="T3087" t="s">
        <v>3337</v>
      </c>
      <c r="U3087">
        <v>193</v>
      </c>
      <c r="V3087" t="s">
        <v>3473</v>
      </c>
    </row>
    <row r="3088" spans="1:22" ht="12.75" customHeight="1" x14ac:dyDescent="0.15">
      <c r="A3088">
        <v>28</v>
      </c>
      <c r="B3088">
        <v>2026</v>
      </c>
      <c r="C3088" s="21">
        <v>46216</v>
      </c>
      <c r="D3088" t="s">
        <v>3749</v>
      </c>
      <c r="E3088" t="s">
        <v>676</v>
      </c>
      <c r="F3088" t="s">
        <v>676</v>
      </c>
      <c r="G3088">
        <v>1</v>
      </c>
      <c r="H3088" t="s">
        <v>4454</v>
      </c>
      <c r="I3088" t="s">
        <v>4455</v>
      </c>
      <c r="J3088" s="1" t="s">
        <v>676</v>
      </c>
      <c r="K3088" t="s">
        <v>181</v>
      </c>
      <c r="L3088" t="s">
        <v>3340</v>
      </c>
      <c r="M3088">
        <v>58</v>
      </c>
      <c r="N3088">
        <v>0.16</v>
      </c>
      <c r="O3088" t="s">
        <v>211</v>
      </c>
      <c r="P3088">
        <v>9</v>
      </c>
      <c r="Q3088">
        <v>1</v>
      </c>
      <c r="R3088" t="s">
        <v>3343</v>
      </c>
      <c r="T3088" t="s">
        <v>3337</v>
      </c>
      <c r="U3088">
        <v>193</v>
      </c>
      <c r="V3088" t="s">
        <v>3473</v>
      </c>
    </row>
    <row r="3089" spans="1:22" ht="12.75" customHeight="1" x14ac:dyDescent="0.15">
      <c r="A3089">
        <v>28</v>
      </c>
      <c r="B3089">
        <v>2026</v>
      </c>
      <c r="C3089" s="21">
        <v>46216</v>
      </c>
      <c r="D3089" t="s">
        <v>3749</v>
      </c>
      <c r="E3089" t="s">
        <v>676</v>
      </c>
      <c r="F3089" t="s">
        <v>676</v>
      </c>
      <c r="G3089">
        <v>1</v>
      </c>
      <c r="H3089" t="s">
        <v>4454</v>
      </c>
      <c r="I3089" t="s">
        <v>4455</v>
      </c>
      <c r="J3089" s="1" t="s">
        <v>676</v>
      </c>
      <c r="K3089" t="s">
        <v>181</v>
      </c>
      <c r="L3089" t="s">
        <v>3340</v>
      </c>
      <c r="M3089">
        <v>81</v>
      </c>
      <c r="N3089">
        <v>0.16</v>
      </c>
      <c r="O3089" t="s">
        <v>211</v>
      </c>
      <c r="P3089">
        <v>9</v>
      </c>
      <c r="Q3089">
        <v>1</v>
      </c>
      <c r="R3089" t="s">
        <v>3374</v>
      </c>
      <c r="T3089" t="s">
        <v>3337</v>
      </c>
      <c r="U3089">
        <v>193</v>
      </c>
      <c r="V3089" t="s">
        <v>3473</v>
      </c>
    </row>
    <row r="3090" spans="1:22" ht="12.75" customHeight="1" x14ac:dyDescent="0.15">
      <c r="A3090">
        <v>28</v>
      </c>
      <c r="B3090">
        <v>2026</v>
      </c>
      <c r="C3090" s="21">
        <v>46216</v>
      </c>
      <c r="D3090" t="s">
        <v>3749</v>
      </c>
      <c r="E3090" t="s">
        <v>676</v>
      </c>
      <c r="F3090" t="s">
        <v>676</v>
      </c>
      <c r="G3090">
        <v>1</v>
      </c>
      <c r="H3090" t="s">
        <v>4454</v>
      </c>
      <c r="I3090" t="s">
        <v>4455</v>
      </c>
      <c r="J3090" s="1" t="s">
        <v>676</v>
      </c>
      <c r="K3090" t="s">
        <v>181</v>
      </c>
      <c r="L3090" t="s">
        <v>3340</v>
      </c>
      <c r="M3090">
        <v>45</v>
      </c>
      <c r="N3090">
        <v>0.16</v>
      </c>
      <c r="O3090" t="s">
        <v>211</v>
      </c>
      <c r="P3090">
        <v>9</v>
      </c>
      <c r="Q3090">
        <v>1</v>
      </c>
      <c r="R3090" t="s">
        <v>3377</v>
      </c>
      <c r="T3090" t="s">
        <v>3337</v>
      </c>
      <c r="U3090">
        <v>193</v>
      </c>
      <c r="V3090" t="s">
        <v>3473</v>
      </c>
    </row>
    <row r="3091" spans="1:22" ht="12.75" customHeight="1" x14ac:dyDescent="0.15">
      <c r="A3091">
        <v>28</v>
      </c>
      <c r="B3091">
        <v>2026</v>
      </c>
      <c r="C3091" s="21">
        <v>46216</v>
      </c>
      <c r="D3091" t="s">
        <v>107</v>
      </c>
      <c r="E3091" t="s">
        <v>108</v>
      </c>
      <c r="F3091" t="s">
        <v>21</v>
      </c>
      <c r="G3091">
        <v>4.5</v>
      </c>
      <c r="H3091" t="s">
        <v>3400</v>
      </c>
      <c r="I3091" t="s">
        <v>353</v>
      </c>
      <c r="J3091" s="1" t="s">
        <v>253</v>
      </c>
      <c r="K3091" t="s">
        <v>181</v>
      </c>
      <c r="L3091" t="s">
        <v>3333</v>
      </c>
      <c r="M3091">
        <v>2</v>
      </c>
      <c r="N3091">
        <v>0.31</v>
      </c>
      <c r="O3091" t="s">
        <v>3440</v>
      </c>
      <c r="P3091">
        <v>28.28</v>
      </c>
      <c r="Q3091">
        <v>2.5</v>
      </c>
      <c r="R3091" t="s">
        <v>3424</v>
      </c>
      <c r="T3091" t="s">
        <v>3337</v>
      </c>
      <c r="U3091">
        <v>59</v>
      </c>
      <c r="V3091" t="s">
        <v>4456</v>
      </c>
    </row>
    <row r="3092" spans="1:22" ht="12.75" customHeight="1" x14ac:dyDescent="0.15">
      <c r="A3092">
        <v>28</v>
      </c>
      <c r="B3092">
        <v>2026</v>
      </c>
      <c r="C3092" s="21">
        <v>46216</v>
      </c>
      <c r="D3092" t="s">
        <v>107</v>
      </c>
      <c r="E3092" t="s">
        <v>108</v>
      </c>
      <c r="F3092" t="s">
        <v>21</v>
      </c>
      <c r="G3092">
        <v>4.5</v>
      </c>
      <c r="H3092" t="s">
        <v>3400</v>
      </c>
      <c r="I3092" t="s">
        <v>353</v>
      </c>
      <c r="J3092" s="1" t="s">
        <v>253</v>
      </c>
      <c r="K3092" t="s">
        <v>181</v>
      </c>
      <c r="L3092" t="s">
        <v>3340</v>
      </c>
      <c r="M3092">
        <v>25</v>
      </c>
      <c r="N3092">
        <v>0.41</v>
      </c>
      <c r="O3092" t="s">
        <v>211</v>
      </c>
      <c r="P3092">
        <v>22.5</v>
      </c>
      <c r="Q3092">
        <v>2.5</v>
      </c>
      <c r="R3092" t="s">
        <v>3413</v>
      </c>
      <c r="T3092" t="s">
        <v>3337</v>
      </c>
      <c r="U3092">
        <v>59</v>
      </c>
      <c r="V3092" t="s">
        <v>3504</v>
      </c>
    </row>
    <row r="3093" spans="1:22" ht="12.75" customHeight="1" x14ac:dyDescent="0.15">
      <c r="A3093">
        <v>28</v>
      </c>
      <c r="B3093">
        <v>2026</v>
      </c>
      <c r="C3093" s="21">
        <v>46216</v>
      </c>
      <c r="D3093" t="s">
        <v>3749</v>
      </c>
      <c r="E3093" t="s">
        <v>676</v>
      </c>
      <c r="F3093" t="s">
        <v>676</v>
      </c>
      <c r="G3093">
        <v>1</v>
      </c>
      <c r="H3093" t="s">
        <v>4425</v>
      </c>
      <c r="I3093" t="s">
        <v>3751</v>
      </c>
      <c r="J3093" s="1" t="s">
        <v>676</v>
      </c>
      <c r="K3093" t="s">
        <v>181</v>
      </c>
      <c r="L3093" t="s">
        <v>3340</v>
      </c>
      <c r="M3093">
        <v>25</v>
      </c>
      <c r="N3093">
        <v>0</v>
      </c>
      <c r="O3093" t="s">
        <v>211</v>
      </c>
      <c r="R3093" t="s">
        <v>3413</v>
      </c>
      <c r="T3093" t="s">
        <v>3337</v>
      </c>
      <c r="U3093">
        <v>193</v>
      </c>
      <c r="V3093" t="s">
        <v>88</v>
      </c>
    </row>
    <row r="3094" spans="1:22" ht="12.75" customHeight="1" x14ac:dyDescent="0.15">
      <c r="A3094">
        <v>28</v>
      </c>
      <c r="B3094">
        <v>2026</v>
      </c>
      <c r="C3094" s="21">
        <v>46216</v>
      </c>
      <c r="D3094" t="s">
        <v>3749</v>
      </c>
      <c r="E3094" t="s">
        <v>676</v>
      </c>
      <c r="F3094" t="s">
        <v>676</v>
      </c>
      <c r="G3094">
        <v>1</v>
      </c>
      <c r="H3094" t="s">
        <v>4425</v>
      </c>
      <c r="I3094" t="s">
        <v>3751</v>
      </c>
      <c r="J3094" s="1" t="s">
        <v>676</v>
      </c>
      <c r="K3094" t="s">
        <v>181</v>
      </c>
      <c r="L3094" t="s">
        <v>3333</v>
      </c>
      <c r="M3094">
        <v>2</v>
      </c>
      <c r="N3094">
        <v>0</v>
      </c>
      <c r="O3094" t="s">
        <v>3440</v>
      </c>
      <c r="P3094">
        <v>0</v>
      </c>
      <c r="R3094" t="s">
        <v>3424</v>
      </c>
      <c r="T3094" t="s">
        <v>3337</v>
      </c>
      <c r="U3094">
        <v>193</v>
      </c>
      <c r="V3094" t="s">
        <v>88</v>
      </c>
    </row>
    <row r="3095" spans="1:22" ht="12.75" customHeight="1" x14ac:dyDescent="0.15">
      <c r="A3095">
        <v>28</v>
      </c>
      <c r="B3095">
        <v>2026</v>
      </c>
      <c r="C3095" s="21">
        <v>46216</v>
      </c>
      <c r="D3095" t="s">
        <v>3749</v>
      </c>
      <c r="E3095" t="s">
        <v>676</v>
      </c>
      <c r="F3095" t="s">
        <v>676</v>
      </c>
      <c r="G3095">
        <v>1</v>
      </c>
      <c r="H3095" t="s">
        <v>4457</v>
      </c>
      <c r="I3095" t="s">
        <v>4458</v>
      </c>
      <c r="J3095" s="1" t="s">
        <v>676</v>
      </c>
      <c r="K3095" t="s">
        <v>181</v>
      </c>
      <c r="L3095" t="s">
        <v>3333</v>
      </c>
      <c r="M3095">
        <v>67</v>
      </c>
      <c r="N3095">
        <v>0.88</v>
      </c>
      <c r="O3095" t="s">
        <v>3334</v>
      </c>
      <c r="P3095">
        <v>71.38</v>
      </c>
      <c r="Q3095">
        <v>7</v>
      </c>
      <c r="R3095" t="s">
        <v>3404</v>
      </c>
      <c r="T3095" t="s">
        <v>3402</v>
      </c>
      <c r="U3095">
        <v>193</v>
      </c>
      <c r="V3095" t="s">
        <v>3925</v>
      </c>
    </row>
    <row r="3096" spans="1:22" ht="12.75" customHeight="1" x14ac:dyDescent="0.15">
      <c r="A3096">
        <v>28</v>
      </c>
      <c r="B3096">
        <v>2026</v>
      </c>
      <c r="C3096" s="21">
        <v>46216</v>
      </c>
      <c r="D3096" t="s">
        <v>3749</v>
      </c>
      <c r="E3096" t="s">
        <v>676</v>
      </c>
      <c r="F3096" t="s">
        <v>676</v>
      </c>
      <c r="G3096">
        <v>1</v>
      </c>
      <c r="H3096" t="s">
        <v>4457</v>
      </c>
      <c r="I3096" t="s">
        <v>4458</v>
      </c>
      <c r="J3096" s="1" t="s">
        <v>676</v>
      </c>
      <c r="K3096" t="s">
        <v>181</v>
      </c>
      <c r="L3096" t="s">
        <v>3333</v>
      </c>
      <c r="M3096">
        <v>4</v>
      </c>
      <c r="N3096">
        <v>0.88</v>
      </c>
      <c r="O3096" t="s">
        <v>3334</v>
      </c>
      <c r="P3096">
        <v>71.38</v>
      </c>
      <c r="Q3096">
        <v>7</v>
      </c>
      <c r="R3096" t="s">
        <v>3773</v>
      </c>
      <c r="T3096" t="s">
        <v>3402</v>
      </c>
      <c r="U3096">
        <v>193</v>
      </c>
      <c r="V3096" t="s">
        <v>3925</v>
      </c>
    </row>
    <row r="3097" spans="1:22" ht="12.75" customHeight="1" x14ac:dyDescent="0.15">
      <c r="A3097">
        <v>28</v>
      </c>
      <c r="B3097">
        <v>2026</v>
      </c>
      <c r="C3097" s="21">
        <v>46216</v>
      </c>
      <c r="D3097" t="s">
        <v>3749</v>
      </c>
      <c r="E3097" t="s">
        <v>676</v>
      </c>
      <c r="F3097" t="s">
        <v>676</v>
      </c>
      <c r="G3097">
        <v>1</v>
      </c>
      <c r="H3097" t="s">
        <v>4457</v>
      </c>
      <c r="I3097" t="s">
        <v>4458</v>
      </c>
      <c r="J3097" s="1" t="s">
        <v>676</v>
      </c>
      <c r="K3097" t="s">
        <v>181</v>
      </c>
      <c r="L3097" t="s">
        <v>3340</v>
      </c>
      <c r="M3097">
        <v>78</v>
      </c>
      <c r="N3097">
        <v>0.82</v>
      </c>
      <c r="O3097" t="s">
        <v>211</v>
      </c>
      <c r="P3097">
        <v>45</v>
      </c>
      <c r="Q3097">
        <v>5</v>
      </c>
      <c r="R3097" t="s">
        <v>3341</v>
      </c>
      <c r="S3097" t="s">
        <v>4459</v>
      </c>
      <c r="T3097" t="s">
        <v>3402</v>
      </c>
      <c r="U3097">
        <v>193</v>
      </c>
      <c r="V3097" t="s">
        <v>3530</v>
      </c>
    </row>
    <row r="3098" spans="1:22" ht="12.75" customHeight="1" x14ac:dyDescent="0.15">
      <c r="A3098">
        <v>28</v>
      </c>
      <c r="B3098">
        <v>2026</v>
      </c>
      <c r="C3098" s="21">
        <v>46216</v>
      </c>
      <c r="D3098" t="s">
        <v>3749</v>
      </c>
      <c r="E3098" t="s">
        <v>676</v>
      </c>
      <c r="F3098" t="s">
        <v>676</v>
      </c>
      <c r="G3098">
        <v>1</v>
      </c>
      <c r="H3098" t="s">
        <v>3750</v>
      </c>
      <c r="I3098" t="s">
        <v>3751</v>
      </c>
      <c r="J3098" s="1" t="s">
        <v>676</v>
      </c>
      <c r="K3098" t="s">
        <v>181</v>
      </c>
      <c r="L3098" t="s">
        <v>3340</v>
      </c>
      <c r="M3098">
        <v>78</v>
      </c>
      <c r="N3098">
        <v>0</v>
      </c>
      <c r="O3098" t="s">
        <v>211</v>
      </c>
      <c r="P3098">
        <v>0</v>
      </c>
      <c r="R3098" t="s">
        <v>3341</v>
      </c>
      <c r="S3098" t="s">
        <v>4460</v>
      </c>
      <c r="T3098" t="s">
        <v>3402</v>
      </c>
      <c r="U3098">
        <v>193</v>
      </c>
      <c r="V3098" t="s">
        <v>88</v>
      </c>
    </row>
    <row r="3099" spans="1:22" ht="12.75" customHeight="1" x14ac:dyDescent="0.15">
      <c r="A3099">
        <v>28</v>
      </c>
      <c r="B3099">
        <v>2026</v>
      </c>
      <c r="C3099" s="21">
        <v>46216</v>
      </c>
      <c r="D3099" t="s">
        <v>3749</v>
      </c>
      <c r="E3099" t="s">
        <v>676</v>
      </c>
      <c r="F3099" t="s">
        <v>676</v>
      </c>
      <c r="G3099">
        <v>1</v>
      </c>
      <c r="H3099" t="s">
        <v>3750</v>
      </c>
      <c r="I3099" t="s">
        <v>3751</v>
      </c>
      <c r="J3099" s="1" t="s">
        <v>676</v>
      </c>
      <c r="K3099" t="s">
        <v>181</v>
      </c>
      <c r="L3099" t="s">
        <v>3333</v>
      </c>
      <c r="M3099">
        <v>67</v>
      </c>
      <c r="N3099">
        <v>0.13</v>
      </c>
      <c r="O3099" t="s">
        <v>3334</v>
      </c>
      <c r="P3099">
        <v>10.199999999999999</v>
      </c>
      <c r="Q3099">
        <v>1</v>
      </c>
      <c r="R3099" t="s">
        <v>3404</v>
      </c>
      <c r="T3099" t="s">
        <v>3402</v>
      </c>
      <c r="U3099">
        <v>193</v>
      </c>
      <c r="V3099" t="s">
        <v>3472</v>
      </c>
    </row>
    <row r="3100" spans="1:22" ht="12.75" customHeight="1" x14ac:dyDescent="0.15">
      <c r="A3100">
        <v>28</v>
      </c>
      <c r="B3100">
        <v>2026</v>
      </c>
      <c r="C3100" s="21">
        <v>46216</v>
      </c>
      <c r="D3100" t="s">
        <v>3749</v>
      </c>
      <c r="E3100" t="s">
        <v>676</v>
      </c>
      <c r="F3100" t="s">
        <v>676</v>
      </c>
      <c r="G3100">
        <v>1</v>
      </c>
      <c r="H3100" t="s">
        <v>3750</v>
      </c>
      <c r="I3100" t="s">
        <v>3751</v>
      </c>
      <c r="J3100" s="1" t="s">
        <v>676</v>
      </c>
      <c r="K3100" t="s">
        <v>181</v>
      </c>
      <c r="L3100" t="s">
        <v>3340</v>
      </c>
      <c r="M3100">
        <v>67</v>
      </c>
      <c r="N3100">
        <v>0.27</v>
      </c>
      <c r="O3100" t="s">
        <v>211</v>
      </c>
      <c r="P3100">
        <v>14.9</v>
      </c>
      <c r="R3100" t="s">
        <v>3404</v>
      </c>
      <c r="S3100" t="s">
        <v>4461</v>
      </c>
      <c r="T3100" t="s">
        <v>3402</v>
      </c>
      <c r="U3100">
        <v>193</v>
      </c>
      <c r="V3100" t="s">
        <v>4462</v>
      </c>
    </row>
    <row r="3101" spans="1:22" ht="12.75" customHeight="1" x14ac:dyDescent="0.15">
      <c r="A3101">
        <v>28</v>
      </c>
      <c r="B3101">
        <v>2026</v>
      </c>
      <c r="C3101" s="21">
        <v>46216</v>
      </c>
      <c r="D3101" t="s">
        <v>3749</v>
      </c>
      <c r="E3101" t="s">
        <v>676</v>
      </c>
      <c r="F3101" t="s">
        <v>676</v>
      </c>
      <c r="G3101">
        <v>1</v>
      </c>
      <c r="H3101" t="s">
        <v>4445</v>
      </c>
      <c r="I3101" t="s">
        <v>4446</v>
      </c>
      <c r="J3101" s="1" t="s">
        <v>676</v>
      </c>
      <c r="K3101" t="s">
        <v>181</v>
      </c>
      <c r="L3101" t="s">
        <v>3333</v>
      </c>
      <c r="M3101">
        <v>86</v>
      </c>
      <c r="N3101">
        <v>0.75</v>
      </c>
      <c r="O3101" t="s">
        <v>3334</v>
      </c>
      <c r="P3101">
        <v>61.19</v>
      </c>
      <c r="Q3101">
        <v>6</v>
      </c>
      <c r="R3101" t="s">
        <v>3386</v>
      </c>
      <c r="S3101" t="s">
        <v>4463</v>
      </c>
      <c r="T3101" t="s">
        <v>3402</v>
      </c>
      <c r="U3101">
        <v>193</v>
      </c>
      <c r="V3101" t="s">
        <v>3715</v>
      </c>
    </row>
    <row r="3102" spans="1:22" ht="12.75" customHeight="1" x14ac:dyDescent="0.15">
      <c r="A3102">
        <v>28</v>
      </c>
      <c r="B3102">
        <v>2026</v>
      </c>
      <c r="C3102" s="21">
        <v>46216</v>
      </c>
      <c r="E3102" t="s">
        <v>676</v>
      </c>
      <c r="F3102" t="s">
        <v>676</v>
      </c>
      <c r="G3102">
        <v>1</v>
      </c>
      <c r="H3102" t="s">
        <v>4438</v>
      </c>
      <c r="I3102" t="s">
        <v>4439</v>
      </c>
      <c r="J3102" s="1" t="s">
        <v>4383</v>
      </c>
      <c r="K3102" t="s">
        <v>181</v>
      </c>
      <c r="L3102" t="s">
        <v>3340</v>
      </c>
      <c r="M3102">
        <v>86</v>
      </c>
      <c r="N3102">
        <v>1.31</v>
      </c>
      <c r="O3102" t="s">
        <v>211</v>
      </c>
      <c r="P3102">
        <v>72</v>
      </c>
      <c r="Q3102">
        <v>8</v>
      </c>
      <c r="R3102" t="s">
        <v>3386</v>
      </c>
      <c r="T3102" t="s">
        <v>3402</v>
      </c>
      <c r="U3102">
        <v>193</v>
      </c>
      <c r="V3102" t="s">
        <v>193</v>
      </c>
    </row>
    <row r="3103" spans="1:22" ht="12.75" customHeight="1" x14ac:dyDescent="0.15">
      <c r="A3103">
        <v>28</v>
      </c>
      <c r="B3103">
        <v>2026</v>
      </c>
      <c r="C3103" s="21">
        <v>46216</v>
      </c>
      <c r="E3103" t="s">
        <v>676</v>
      </c>
      <c r="F3103" t="s">
        <v>676</v>
      </c>
      <c r="G3103">
        <v>1</v>
      </c>
      <c r="H3103" t="s">
        <v>4464</v>
      </c>
      <c r="I3103" t="s">
        <v>4455</v>
      </c>
      <c r="J3103" s="1" t="s">
        <v>676</v>
      </c>
      <c r="K3103" t="s">
        <v>181</v>
      </c>
      <c r="L3103" t="s">
        <v>3333</v>
      </c>
      <c r="M3103">
        <v>4</v>
      </c>
      <c r="N3103">
        <v>0.13</v>
      </c>
      <c r="O3103" t="s">
        <v>3334</v>
      </c>
      <c r="P3103">
        <v>10.199999999999999</v>
      </c>
      <c r="Q3103">
        <v>1</v>
      </c>
      <c r="R3103" t="s">
        <v>3773</v>
      </c>
      <c r="S3103" t="s">
        <v>4465</v>
      </c>
      <c r="T3103" t="s">
        <v>3402</v>
      </c>
      <c r="U3103">
        <v>193</v>
      </c>
      <c r="V3103" t="s">
        <v>3472</v>
      </c>
    </row>
    <row r="3104" spans="1:22" ht="12.75" customHeight="1" x14ac:dyDescent="0.15">
      <c r="A3104">
        <v>28</v>
      </c>
      <c r="B3104">
        <v>2026</v>
      </c>
      <c r="C3104" s="21">
        <v>46216</v>
      </c>
      <c r="E3104" t="s">
        <v>676</v>
      </c>
      <c r="F3104" t="s">
        <v>676</v>
      </c>
      <c r="G3104">
        <v>1</v>
      </c>
      <c r="H3104" t="s">
        <v>4464</v>
      </c>
      <c r="I3104" t="s">
        <v>4455</v>
      </c>
      <c r="J3104" s="1" t="s">
        <v>676</v>
      </c>
      <c r="K3104" t="s">
        <v>181</v>
      </c>
      <c r="L3104" t="s">
        <v>3340</v>
      </c>
      <c r="M3104">
        <v>4</v>
      </c>
      <c r="N3104">
        <v>0.25</v>
      </c>
      <c r="O3104" t="s">
        <v>211</v>
      </c>
      <c r="P3104">
        <v>13.5</v>
      </c>
      <c r="Q3104">
        <v>1.5</v>
      </c>
      <c r="R3104" t="s">
        <v>3773</v>
      </c>
      <c r="T3104" t="s">
        <v>3402</v>
      </c>
      <c r="U3104">
        <v>193</v>
      </c>
      <c r="V3104" t="s">
        <v>3476</v>
      </c>
    </row>
    <row r="3105" spans="1:22" ht="12.75" customHeight="1" x14ac:dyDescent="0.15">
      <c r="A3105">
        <v>28</v>
      </c>
      <c r="B3105">
        <v>2026</v>
      </c>
      <c r="C3105" s="21">
        <v>46217</v>
      </c>
      <c r="D3105" t="s">
        <v>4406</v>
      </c>
      <c r="E3105" t="s">
        <v>4407</v>
      </c>
      <c r="F3105" t="s">
        <v>21</v>
      </c>
      <c r="G3105">
        <v>10</v>
      </c>
      <c r="H3105" t="s">
        <v>3868</v>
      </c>
      <c r="I3105" t="s">
        <v>3869</v>
      </c>
      <c r="J3105" s="1" t="s">
        <v>3696</v>
      </c>
      <c r="K3105" t="s">
        <v>181</v>
      </c>
      <c r="L3105" t="s">
        <v>3340</v>
      </c>
      <c r="M3105">
        <v>53</v>
      </c>
      <c r="N3105">
        <v>1.82</v>
      </c>
      <c r="O3105" t="s">
        <v>211</v>
      </c>
      <c r="P3105">
        <v>100</v>
      </c>
      <c r="R3105" t="s">
        <v>3373</v>
      </c>
      <c r="T3105" t="s">
        <v>3337</v>
      </c>
      <c r="V3105" t="s">
        <v>3711</v>
      </c>
    </row>
    <row r="3106" spans="1:22" ht="12.75" customHeight="1" x14ac:dyDescent="0.15">
      <c r="A3106">
        <v>28</v>
      </c>
      <c r="B3106">
        <v>2026</v>
      </c>
      <c r="C3106" s="21">
        <v>46217</v>
      </c>
      <c r="D3106" t="s">
        <v>4406</v>
      </c>
      <c r="E3106" t="s">
        <v>4407</v>
      </c>
      <c r="F3106" t="s">
        <v>21</v>
      </c>
      <c r="G3106">
        <v>10</v>
      </c>
      <c r="H3106" t="s">
        <v>3868</v>
      </c>
      <c r="I3106" t="s">
        <v>3869</v>
      </c>
      <c r="J3106" s="1" t="s">
        <v>3696</v>
      </c>
      <c r="K3106" t="s">
        <v>181</v>
      </c>
      <c r="L3106" t="s">
        <v>3340</v>
      </c>
      <c r="M3106">
        <v>58</v>
      </c>
      <c r="N3106">
        <v>1.82</v>
      </c>
      <c r="O3106" t="s">
        <v>211</v>
      </c>
      <c r="P3106">
        <v>100</v>
      </c>
      <c r="R3106" t="s">
        <v>3343</v>
      </c>
      <c r="T3106" t="s">
        <v>3337</v>
      </c>
      <c r="V3106" t="s">
        <v>3711</v>
      </c>
    </row>
    <row r="3107" spans="1:22" ht="12.75" customHeight="1" x14ac:dyDescent="0.15">
      <c r="A3107">
        <v>28</v>
      </c>
      <c r="B3107">
        <v>2026</v>
      </c>
      <c r="C3107" s="21">
        <v>46217</v>
      </c>
      <c r="D3107" t="s">
        <v>4406</v>
      </c>
      <c r="E3107" t="s">
        <v>4407</v>
      </c>
      <c r="F3107" t="s">
        <v>21</v>
      </c>
      <c r="G3107">
        <v>10</v>
      </c>
      <c r="H3107" t="s">
        <v>3868</v>
      </c>
      <c r="I3107" t="s">
        <v>3869</v>
      </c>
      <c r="J3107" s="1" t="s">
        <v>3696</v>
      </c>
      <c r="K3107" t="s">
        <v>181</v>
      </c>
      <c r="L3107" t="s">
        <v>3340</v>
      </c>
      <c r="M3107">
        <v>62</v>
      </c>
      <c r="N3107">
        <v>1.82</v>
      </c>
      <c r="O3107" t="s">
        <v>211</v>
      </c>
      <c r="P3107">
        <v>100</v>
      </c>
      <c r="R3107" t="s">
        <v>3375</v>
      </c>
      <c r="S3107" t="s">
        <v>4408</v>
      </c>
      <c r="T3107" t="s">
        <v>3337</v>
      </c>
      <c r="V3107" t="s">
        <v>3711</v>
      </c>
    </row>
    <row r="3108" spans="1:22" ht="12.75" customHeight="1" x14ac:dyDescent="0.15">
      <c r="A3108">
        <v>28</v>
      </c>
      <c r="B3108">
        <v>2026</v>
      </c>
      <c r="C3108" s="21">
        <v>46217</v>
      </c>
      <c r="D3108" t="s">
        <v>4406</v>
      </c>
      <c r="E3108" t="s">
        <v>4407</v>
      </c>
      <c r="F3108" t="s">
        <v>21</v>
      </c>
      <c r="G3108">
        <v>10</v>
      </c>
      <c r="H3108" t="s">
        <v>3868</v>
      </c>
      <c r="I3108" t="s">
        <v>3869</v>
      </c>
      <c r="J3108" s="1" t="s">
        <v>3696</v>
      </c>
      <c r="K3108" t="s">
        <v>181</v>
      </c>
      <c r="L3108" t="s">
        <v>3340</v>
      </c>
      <c r="M3108">
        <v>81</v>
      </c>
      <c r="N3108">
        <v>1.82</v>
      </c>
      <c r="O3108" t="s">
        <v>211</v>
      </c>
      <c r="P3108">
        <v>100</v>
      </c>
      <c r="R3108" t="s">
        <v>3374</v>
      </c>
      <c r="T3108" t="s">
        <v>3337</v>
      </c>
      <c r="V3108" t="s">
        <v>3711</v>
      </c>
    </row>
    <row r="3109" spans="1:22" ht="12.75" customHeight="1" x14ac:dyDescent="0.15">
      <c r="A3109">
        <v>28</v>
      </c>
      <c r="B3109">
        <v>2026</v>
      </c>
      <c r="C3109" s="21">
        <v>46217</v>
      </c>
      <c r="D3109" t="s">
        <v>4406</v>
      </c>
      <c r="E3109" t="s">
        <v>4407</v>
      </c>
      <c r="F3109" t="s">
        <v>21</v>
      </c>
      <c r="G3109">
        <v>10</v>
      </c>
      <c r="H3109" t="s">
        <v>3868</v>
      </c>
      <c r="I3109" t="s">
        <v>3869</v>
      </c>
      <c r="J3109" s="1" t="s">
        <v>3696</v>
      </c>
      <c r="K3109" t="s">
        <v>181</v>
      </c>
      <c r="L3109" t="s">
        <v>3340</v>
      </c>
      <c r="M3109">
        <v>45</v>
      </c>
      <c r="N3109">
        <v>1.82</v>
      </c>
      <c r="O3109" t="s">
        <v>211</v>
      </c>
      <c r="P3109">
        <v>100</v>
      </c>
      <c r="R3109" t="s">
        <v>3377</v>
      </c>
      <c r="T3109" t="s">
        <v>3337</v>
      </c>
      <c r="V3109" t="s">
        <v>3711</v>
      </c>
    </row>
    <row r="3110" spans="1:22" ht="12.75" customHeight="1" x14ac:dyDescent="0.15">
      <c r="A3110">
        <v>28</v>
      </c>
      <c r="B3110">
        <v>2026</v>
      </c>
      <c r="C3110" s="21">
        <v>46217</v>
      </c>
      <c r="D3110" t="s">
        <v>107</v>
      </c>
      <c r="E3110" t="s">
        <v>108</v>
      </c>
      <c r="F3110" t="s">
        <v>21</v>
      </c>
      <c r="G3110">
        <v>4.5</v>
      </c>
      <c r="H3110" t="s">
        <v>3400</v>
      </c>
      <c r="I3110" t="s">
        <v>353</v>
      </c>
      <c r="J3110" s="1" t="s">
        <v>253</v>
      </c>
      <c r="K3110" t="s">
        <v>181</v>
      </c>
      <c r="L3110" t="s">
        <v>3333</v>
      </c>
      <c r="M3110">
        <v>2</v>
      </c>
      <c r="N3110">
        <v>0.5</v>
      </c>
      <c r="O3110" t="s">
        <v>3440</v>
      </c>
      <c r="P3110">
        <v>45.25</v>
      </c>
      <c r="Q3110">
        <v>4</v>
      </c>
      <c r="R3110" t="s">
        <v>3424</v>
      </c>
      <c r="T3110" t="s">
        <v>3337</v>
      </c>
      <c r="U3110">
        <v>60</v>
      </c>
      <c r="V3110" t="s">
        <v>4398</v>
      </c>
    </row>
    <row r="3111" spans="1:22" ht="12.75" customHeight="1" x14ac:dyDescent="0.15">
      <c r="A3111">
        <v>28</v>
      </c>
      <c r="B3111">
        <v>2026</v>
      </c>
      <c r="C3111" s="21">
        <v>46217</v>
      </c>
      <c r="D3111" t="s">
        <v>3749</v>
      </c>
      <c r="E3111" t="s">
        <v>676</v>
      </c>
      <c r="F3111" t="s">
        <v>676</v>
      </c>
      <c r="G3111">
        <v>1</v>
      </c>
      <c r="H3111" t="s">
        <v>4425</v>
      </c>
      <c r="I3111" t="s">
        <v>3751</v>
      </c>
      <c r="J3111" s="1" t="s">
        <v>676</v>
      </c>
      <c r="K3111" t="s">
        <v>181</v>
      </c>
      <c r="L3111" t="s">
        <v>3340</v>
      </c>
      <c r="M3111">
        <v>2</v>
      </c>
      <c r="N3111">
        <v>0.03</v>
      </c>
      <c r="O3111" t="s">
        <v>211</v>
      </c>
      <c r="P3111">
        <v>1.76</v>
      </c>
      <c r="R3111" t="s">
        <v>3424</v>
      </c>
      <c r="T3111" t="s">
        <v>3337</v>
      </c>
      <c r="U3111">
        <v>194</v>
      </c>
      <c r="V3111" t="s">
        <v>3999</v>
      </c>
    </row>
    <row r="3112" spans="1:22" ht="12.75" customHeight="1" x14ac:dyDescent="0.15">
      <c r="A3112">
        <v>28</v>
      </c>
      <c r="B3112">
        <v>2026</v>
      </c>
      <c r="C3112" s="21">
        <v>46217</v>
      </c>
      <c r="D3112" t="s">
        <v>3749</v>
      </c>
      <c r="E3112" t="s">
        <v>676</v>
      </c>
      <c r="F3112" t="s">
        <v>676</v>
      </c>
      <c r="G3112">
        <v>1</v>
      </c>
      <c r="H3112" t="s">
        <v>4425</v>
      </c>
      <c r="I3112" t="s">
        <v>3751</v>
      </c>
      <c r="J3112" s="1" t="s">
        <v>676</v>
      </c>
      <c r="K3112" t="s">
        <v>181</v>
      </c>
      <c r="L3112" t="s">
        <v>3333</v>
      </c>
      <c r="M3112">
        <v>2</v>
      </c>
      <c r="N3112">
        <v>0.5</v>
      </c>
      <c r="O3112" t="s">
        <v>3440</v>
      </c>
      <c r="P3112">
        <v>45.25</v>
      </c>
      <c r="Q3112">
        <v>4</v>
      </c>
      <c r="R3112" t="s">
        <v>3424</v>
      </c>
      <c r="T3112" t="s">
        <v>3337</v>
      </c>
      <c r="U3112">
        <v>194</v>
      </c>
      <c r="V3112" t="s">
        <v>3976</v>
      </c>
    </row>
    <row r="3113" spans="1:22" ht="12.75" customHeight="1" x14ac:dyDescent="0.15">
      <c r="A3113">
        <v>28</v>
      </c>
      <c r="B3113">
        <v>2026</v>
      </c>
      <c r="C3113" s="21">
        <v>46217</v>
      </c>
      <c r="D3113" t="s">
        <v>107</v>
      </c>
      <c r="E3113" t="s">
        <v>108</v>
      </c>
      <c r="F3113" t="s">
        <v>21</v>
      </c>
      <c r="G3113">
        <v>4.5</v>
      </c>
      <c r="H3113" t="s">
        <v>3400</v>
      </c>
      <c r="I3113" t="s">
        <v>353</v>
      </c>
      <c r="J3113" s="1" t="s">
        <v>253</v>
      </c>
      <c r="K3113" t="s">
        <v>181</v>
      </c>
      <c r="L3113" t="s">
        <v>3340</v>
      </c>
      <c r="M3113">
        <v>25</v>
      </c>
      <c r="N3113">
        <v>0.65</v>
      </c>
      <c r="O3113" t="s">
        <v>211</v>
      </c>
      <c r="P3113">
        <v>36</v>
      </c>
      <c r="Q3113">
        <v>4</v>
      </c>
      <c r="R3113" t="s">
        <v>3413</v>
      </c>
      <c r="S3113">
        <v>51</v>
      </c>
      <c r="T3113" t="s">
        <v>3337</v>
      </c>
      <c r="U3113">
        <v>60</v>
      </c>
      <c r="V3113" t="s">
        <v>183</v>
      </c>
    </row>
    <row r="3114" spans="1:22" ht="12.75" customHeight="1" x14ac:dyDescent="0.15">
      <c r="A3114">
        <v>28</v>
      </c>
      <c r="B3114">
        <v>2026</v>
      </c>
      <c r="C3114" s="21">
        <v>46217</v>
      </c>
      <c r="D3114" t="s">
        <v>3749</v>
      </c>
      <c r="E3114" t="s">
        <v>676</v>
      </c>
      <c r="F3114" t="s">
        <v>676</v>
      </c>
      <c r="G3114">
        <v>1</v>
      </c>
      <c r="H3114" s="1" t="s">
        <v>4425</v>
      </c>
      <c r="I3114" t="s">
        <v>3751</v>
      </c>
      <c r="J3114" s="1" t="s">
        <v>676</v>
      </c>
      <c r="K3114" t="s">
        <v>181</v>
      </c>
      <c r="L3114" t="s">
        <v>3340</v>
      </c>
      <c r="M3114">
        <v>25</v>
      </c>
      <c r="N3114">
        <v>0.85</v>
      </c>
      <c r="O3114" t="s">
        <v>211</v>
      </c>
      <c r="P3114">
        <v>47</v>
      </c>
      <c r="R3114" t="s">
        <v>3413</v>
      </c>
      <c r="T3114" t="s">
        <v>3337</v>
      </c>
      <c r="U3114">
        <v>194</v>
      </c>
      <c r="V3114" t="s">
        <v>4466</v>
      </c>
    </row>
    <row r="3115" spans="1:22" ht="12.75" customHeight="1" x14ac:dyDescent="0.15">
      <c r="A3115">
        <v>28</v>
      </c>
      <c r="B3115">
        <v>2026</v>
      </c>
      <c r="C3115" s="21">
        <v>46217</v>
      </c>
      <c r="D3115" t="s">
        <v>153</v>
      </c>
      <c r="E3115" t="s">
        <v>154</v>
      </c>
      <c r="F3115" t="s">
        <v>21</v>
      </c>
      <c r="G3115">
        <v>8</v>
      </c>
      <c r="H3115" s="1" t="s">
        <v>3339</v>
      </c>
      <c r="I3115" t="s">
        <v>187</v>
      </c>
      <c r="J3115" s="1" t="s">
        <v>188</v>
      </c>
      <c r="K3115" t="s">
        <v>181</v>
      </c>
      <c r="L3115" t="s">
        <v>3333</v>
      </c>
      <c r="M3115">
        <v>6</v>
      </c>
      <c r="N3115">
        <v>1</v>
      </c>
      <c r="O3115" t="s">
        <v>3334</v>
      </c>
      <c r="P3115">
        <v>81.58</v>
      </c>
      <c r="Q3115">
        <v>8</v>
      </c>
      <c r="R3115" t="s">
        <v>3335</v>
      </c>
      <c r="T3115" t="s">
        <v>3337</v>
      </c>
      <c r="V3115" t="s">
        <v>3472</v>
      </c>
    </row>
    <row r="3116" spans="1:22" ht="12.75" customHeight="1" x14ac:dyDescent="0.15">
      <c r="A3116">
        <v>28</v>
      </c>
      <c r="B3116">
        <v>2026</v>
      </c>
      <c r="C3116" s="21">
        <v>46217</v>
      </c>
      <c r="D3116" t="s">
        <v>153</v>
      </c>
      <c r="E3116" t="s">
        <v>154</v>
      </c>
      <c r="F3116" t="s">
        <v>21</v>
      </c>
      <c r="G3116">
        <v>8</v>
      </c>
      <c r="H3116" s="1" t="s">
        <v>3339</v>
      </c>
      <c r="I3116" t="s">
        <v>187</v>
      </c>
      <c r="J3116" s="1" t="s">
        <v>188</v>
      </c>
      <c r="K3116" t="s">
        <v>181</v>
      </c>
      <c r="L3116" t="s">
        <v>3333</v>
      </c>
      <c r="M3116">
        <v>1</v>
      </c>
      <c r="N3116">
        <v>1</v>
      </c>
      <c r="O3116" t="s">
        <v>3358</v>
      </c>
      <c r="P3116">
        <v>71.86</v>
      </c>
      <c r="Q3116">
        <v>8</v>
      </c>
      <c r="R3116" t="s">
        <v>3359</v>
      </c>
      <c r="T3116" t="s">
        <v>3337</v>
      </c>
      <c r="V3116" t="s">
        <v>4467</v>
      </c>
    </row>
    <row r="3117" spans="1:22" ht="12.75" customHeight="1" x14ac:dyDescent="0.15">
      <c r="A3117">
        <v>28</v>
      </c>
      <c r="B3117">
        <v>2026</v>
      </c>
      <c r="C3117" s="21">
        <v>46217</v>
      </c>
      <c r="D3117" t="s">
        <v>107</v>
      </c>
      <c r="E3117" t="s">
        <v>108</v>
      </c>
      <c r="F3117" t="s">
        <v>21</v>
      </c>
      <c r="G3117">
        <v>4.5</v>
      </c>
      <c r="H3117" s="1" t="s">
        <v>3391</v>
      </c>
      <c r="I3117" t="s">
        <v>353</v>
      </c>
      <c r="J3117" s="1" t="s">
        <v>253</v>
      </c>
      <c r="K3117" t="s">
        <v>181</v>
      </c>
      <c r="L3117" t="s">
        <v>3333</v>
      </c>
      <c r="M3117">
        <v>67</v>
      </c>
      <c r="N3117">
        <v>0.5</v>
      </c>
      <c r="O3117" t="s">
        <v>3334</v>
      </c>
      <c r="P3117">
        <v>40.79</v>
      </c>
      <c r="Q3117">
        <v>4</v>
      </c>
      <c r="R3117" t="s">
        <v>3404</v>
      </c>
      <c r="S3117" t="s">
        <v>4468</v>
      </c>
      <c r="T3117" t="s">
        <v>3402</v>
      </c>
      <c r="U3117">
        <v>60</v>
      </c>
      <c r="V3117" t="s">
        <v>3870</v>
      </c>
    </row>
    <row r="3118" spans="1:22" ht="12.75" customHeight="1" x14ac:dyDescent="0.15">
      <c r="A3118">
        <v>28</v>
      </c>
      <c r="B3118">
        <v>2026</v>
      </c>
      <c r="C3118" s="21">
        <v>46217</v>
      </c>
      <c r="D3118" t="s">
        <v>3749</v>
      </c>
      <c r="E3118" t="s">
        <v>676</v>
      </c>
      <c r="F3118" t="s">
        <v>676</v>
      </c>
      <c r="G3118">
        <v>1</v>
      </c>
      <c r="H3118" s="1" t="s">
        <v>3750</v>
      </c>
      <c r="I3118" t="s">
        <v>3751</v>
      </c>
      <c r="J3118" s="1" t="s">
        <v>676</v>
      </c>
      <c r="K3118" t="s">
        <v>181</v>
      </c>
      <c r="L3118" t="s">
        <v>3333</v>
      </c>
      <c r="M3118">
        <v>67</v>
      </c>
      <c r="N3118">
        <v>0.5</v>
      </c>
      <c r="O3118" t="s">
        <v>3334</v>
      </c>
      <c r="P3118">
        <v>40.79</v>
      </c>
      <c r="Q3118">
        <v>4</v>
      </c>
      <c r="R3118" t="s">
        <v>3404</v>
      </c>
      <c r="S3118" t="s">
        <v>4469</v>
      </c>
      <c r="T3118" t="s">
        <v>3402</v>
      </c>
      <c r="U3118">
        <v>194</v>
      </c>
      <c r="V3118" t="s">
        <v>3456</v>
      </c>
    </row>
    <row r="3119" spans="1:22" ht="12.75" customHeight="1" x14ac:dyDescent="0.15">
      <c r="A3119">
        <v>28</v>
      </c>
      <c r="B3119">
        <v>2026</v>
      </c>
      <c r="C3119" s="21">
        <v>46217</v>
      </c>
      <c r="D3119" t="s">
        <v>3749</v>
      </c>
      <c r="E3119" t="s">
        <v>676</v>
      </c>
      <c r="F3119" t="s">
        <v>676</v>
      </c>
      <c r="G3119">
        <v>1</v>
      </c>
      <c r="H3119" s="1" t="s">
        <v>4445</v>
      </c>
      <c r="I3119" t="s">
        <v>4446</v>
      </c>
      <c r="J3119" s="1" t="s">
        <v>676</v>
      </c>
      <c r="K3119" t="s">
        <v>181</v>
      </c>
      <c r="L3119" t="s">
        <v>3333</v>
      </c>
      <c r="M3119">
        <v>4</v>
      </c>
      <c r="N3119">
        <v>0.5</v>
      </c>
      <c r="O3119" t="s">
        <v>3334</v>
      </c>
      <c r="P3119">
        <v>40.79</v>
      </c>
      <c r="Q3119">
        <v>4</v>
      </c>
      <c r="R3119" t="s">
        <v>3773</v>
      </c>
      <c r="S3119" t="s">
        <v>4470</v>
      </c>
      <c r="T3119" t="s">
        <v>3402</v>
      </c>
      <c r="U3119">
        <v>194</v>
      </c>
      <c r="V3119" t="s">
        <v>3456</v>
      </c>
    </row>
    <row r="3120" spans="1:22" ht="12.75" customHeight="1" x14ac:dyDescent="0.15">
      <c r="A3120">
        <v>28</v>
      </c>
      <c r="B3120">
        <v>2026</v>
      </c>
      <c r="C3120" s="21">
        <v>46217</v>
      </c>
      <c r="D3120" t="s">
        <v>3749</v>
      </c>
      <c r="E3120" t="s">
        <v>676</v>
      </c>
      <c r="F3120" t="s">
        <v>676</v>
      </c>
      <c r="G3120">
        <v>1</v>
      </c>
      <c r="H3120" s="1" t="s">
        <v>4445</v>
      </c>
      <c r="I3120" t="s">
        <v>4446</v>
      </c>
      <c r="J3120" s="1" t="s">
        <v>676</v>
      </c>
      <c r="K3120" t="s">
        <v>181</v>
      </c>
      <c r="L3120" t="s">
        <v>3340</v>
      </c>
      <c r="M3120">
        <v>78</v>
      </c>
      <c r="N3120">
        <v>0.82</v>
      </c>
      <c r="O3120" t="s">
        <v>211</v>
      </c>
      <c r="P3120">
        <v>45</v>
      </c>
      <c r="Q3120">
        <v>5</v>
      </c>
      <c r="R3120" t="s">
        <v>3341</v>
      </c>
      <c r="T3120" t="s">
        <v>3402</v>
      </c>
      <c r="U3120">
        <v>194</v>
      </c>
      <c r="V3120" t="s">
        <v>3530</v>
      </c>
    </row>
    <row r="3121" spans="1:22" ht="12.75" customHeight="1" x14ac:dyDescent="0.15">
      <c r="A3121">
        <v>28</v>
      </c>
      <c r="B3121">
        <v>2026</v>
      </c>
      <c r="C3121" s="21">
        <v>46217</v>
      </c>
      <c r="D3121" t="s">
        <v>3749</v>
      </c>
      <c r="E3121" t="s">
        <v>676</v>
      </c>
      <c r="F3121" t="s">
        <v>676</v>
      </c>
      <c r="G3121">
        <v>1</v>
      </c>
      <c r="H3121" s="1" t="s">
        <v>3750</v>
      </c>
      <c r="I3121" t="s">
        <v>3751</v>
      </c>
      <c r="J3121" s="1" t="s">
        <v>676</v>
      </c>
      <c r="K3121" t="s">
        <v>181</v>
      </c>
      <c r="L3121" t="s">
        <v>3340</v>
      </c>
      <c r="M3121">
        <v>67</v>
      </c>
      <c r="N3121">
        <v>0.26</v>
      </c>
      <c r="O3121" t="s">
        <v>211</v>
      </c>
      <c r="P3121">
        <v>14.5</v>
      </c>
      <c r="R3121" t="s">
        <v>3404</v>
      </c>
      <c r="T3121" t="s">
        <v>3402</v>
      </c>
      <c r="U3121">
        <v>194</v>
      </c>
      <c r="V3121" t="s">
        <v>4471</v>
      </c>
    </row>
    <row r="3122" spans="1:22" ht="12.75" customHeight="1" x14ac:dyDescent="0.15">
      <c r="A3122">
        <v>28</v>
      </c>
      <c r="B3122">
        <v>2026</v>
      </c>
      <c r="C3122" s="21">
        <v>46217</v>
      </c>
      <c r="D3122" t="s">
        <v>3749</v>
      </c>
      <c r="E3122" t="s">
        <v>676</v>
      </c>
      <c r="F3122" t="s">
        <v>676</v>
      </c>
      <c r="G3122">
        <v>1</v>
      </c>
      <c r="H3122" s="1" t="s">
        <v>3750</v>
      </c>
      <c r="I3122" t="s">
        <v>3751</v>
      </c>
      <c r="J3122" s="1" t="s">
        <v>676</v>
      </c>
      <c r="K3122" t="s">
        <v>181</v>
      </c>
      <c r="L3122" t="s">
        <v>3333</v>
      </c>
      <c r="M3122">
        <v>4</v>
      </c>
      <c r="N3122">
        <v>0.5</v>
      </c>
      <c r="O3122" t="s">
        <v>3334</v>
      </c>
      <c r="P3122">
        <v>40.79</v>
      </c>
      <c r="Q3122">
        <v>4</v>
      </c>
      <c r="R3122" t="s">
        <v>3773</v>
      </c>
      <c r="T3122" t="s">
        <v>3402</v>
      </c>
      <c r="U3122">
        <v>194</v>
      </c>
      <c r="V3122" t="s">
        <v>3456</v>
      </c>
    </row>
    <row r="3123" spans="1:22" ht="12.75" customHeight="1" x14ac:dyDescent="0.15">
      <c r="A3123">
        <v>28</v>
      </c>
      <c r="B3123">
        <v>2026</v>
      </c>
      <c r="C3123" s="21">
        <v>46217</v>
      </c>
      <c r="D3123" t="s">
        <v>3749</v>
      </c>
      <c r="E3123" t="s">
        <v>676</v>
      </c>
      <c r="F3123" t="s">
        <v>676</v>
      </c>
      <c r="G3123">
        <v>1</v>
      </c>
      <c r="H3123" s="1" t="s">
        <v>3750</v>
      </c>
      <c r="I3123" t="s">
        <v>3751</v>
      </c>
      <c r="J3123" s="1" t="s">
        <v>676</v>
      </c>
      <c r="K3123" t="s">
        <v>181</v>
      </c>
      <c r="L3123" t="s">
        <v>3340</v>
      </c>
      <c r="M3123">
        <v>78</v>
      </c>
      <c r="N3123">
        <v>0.87</v>
      </c>
      <c r="O3123" t="s">
        <v>211</v>
      </c>
      <c r="P3123">
        <v>47.8</v>
      </c>
      <c r="R3123" t="s">
        <v>3341</v>
      </c>
      <c r="T3123" t="s">
        <v>3402</v>
      </c>
      <c r="U3123">
        <v>194</v>
      </c>
      <c r="V3123" t="s">
        <v>4472</v>
      </c>
    </row>
    <row r="3124" spans="1:22" ht="12.75" customHeight="1" x14ac:dyDescent="0.15">
      <c r="A3124">
        <v>28</v>
      </c>
      <c r="B3124">
        <v>2026</v>
      </c>
      <c r="C3124" s="21">
        <v>46217</v>
      </c>
      <c r="E3124" s="8" t="s">
        <v>437</v>
      </c>
      <c r="F3124" t="s">
        <v>4435</v>
      </c>
      <c r="G3124">
        <v>1</v>
      </c>
      <c r="H3124" s="1" t="s">
        <v>4302</v>
      </c>
      <c r="I3124" t="s">
        <v>4303</v>
      </c>
      <c r="J3124" s="1" t="s">
        <v>4304</v>
      </c>
      <c r="K3124" t="s">
        <v>181</v>
      </c>
      <c r="L3124" t="s">
        <v>3333</v>
      </c>
      <c r="M3124">
        <v>7</v>
      </c>
      <c r="N3124">
        <v>1</v>
      </c>
      <c r="O3124" t="s">
        <v>4436</v>
      </c>
      <c r="P3124">
        <v>60.33</v>
      </c>
      <c r="Q3124">
        <v>8</v>
      </c>
      <c r="R3124" t="s">
        <v>4437</v>
      </c>
      <c r="T3124" t="s">
        <v>3402</v>
      </c>
      <c r="U3124">
        <v>194</v>
      </c>
      <c r="V3124" t="s">
        <v>4436</v>
      </c>
    </row>
    <row r="3125" spans="1:22" ht="12.75" customHeight="1" x14ac:dyDescent="0.15">
      <c r="A3125">
        <v>28</v>
      </c>
      <c r="B3125">
        <v>2026</v>
      </c>
      <c r="C3125" s="21">
        <v>46217</v>
      </c>
      <c r="D3125" t="s">
        <v>3749</v>
      </c>
      <c r="E3125" s="8" t="s">
        <v>676</v>
      </c>
      <c r="F3125" t="s">
        <v>676</v>
      </c>
      <c r="G3125">
        <v>1</v>
      </c>
      <c r="H3125" s="1" t="s">
        <v>3750</v>
      </c>
      <c r="I3125" t="s">
        <v>3751</v>
      </c>
      <c r="J3125" s="1" t="s">
        <v>676</v>
      </c>
      <c r="K3125" t="s">
        <v>181</v>
      </c>
      <c r="L3125" t="s">
        <v>3340</v>
      </c>
      <c r="M3125">
        <v>4</v>
      </c>
      <c r="N3125">
        <v>0.13</v>
      </c>
      <c r="O3125" t="s">
        <v>211</v>
      </c>
      <c r="P3125">
        <v>7</v>
      </c>
      <c r="R3125" t="s">
        <v>3773</v>
      </c>
      <c r="T3125" t="s">
        <v>3402</v>
      </c>
      <c r="U3125">
        <v>194</v>
      </c>
      <c r="V3125" t="s">
        <v>4473</v>
      </c>
    </row>
    <row r="3126" spans="1:22" ht="12.75" customHeight="1" x14ac:dyDescent="0.15">
      <c r="A3126">
        <v>28</v>
      </c>
      <c r="B3126">
        <v>2026</v>
      </c>
      <c r="C3126" s="21">
        <v>46217</v>
      </c>
      <c r="D3126" t="s">
        <v>3749</v>
      </c>
      <c r="E3126" t="s">
        <v>676</v>
      </c>
      <c r="F3126" t="s">
        <v>676</v>
      </c>
      <c r="G3126">
        <v>1</v>
      </c>
      <c r="H3126" s="1" t="s">
        <v>4445</v>
      </c>
      <c r="I3126" t="s">
        <v>4446</v>
      </c>
      <c r="J3126" s="1" t="s">
        <v>676</v>
      </c>
      <c r="K3126" t="s">
        <v>181</v>
      </c>
      <c r="L3126" t="s">
        <v>3333</v>
      </c>
      <c r="M3126">
        <v>86</v>
      </c>
      <c r="N3126">
        <v>0.75</v>
      </c>
      <c r="O3126" t="s">
        <v>3334</v>
      </c>
      <c r="P3126">
        <v>61.19</v>
      </c>
      <c r="Q3126">
        <v>6</v>
      </c>
      <c r="R3126" t="s">
        <v>3386</v>
      </c>
      <c r="T3126" t="s">
        <v>3402</v>
      </c>
      <c r="U3126">
        <v>194</v>
      </c>
      <c r="V3126" t="s">
        <v>3715</v>
      </c>
    </row>
    <row r="3127" spans="1:22" ht="12.75" customHeight="1" x14ac:dyDescent="0.15">
      <c r="A3127">
        <v>28</v>
      </c>
      <c r="B3127">
        <v>2026</v>
      </c>
      <c r="C3127" s="21">
        <v>46217</v>
      </c>
      <c r="D3127" t="s">
        <v>3749</v>
      </c>
      <c r="E3127" t="s">
        <v>676</v>
      </c>
      <c r="F3127" t="s">
        <v>676</v>
      </c>
      <c r="G3127">
        <v>1</v>
      </c>
      <c r="H3127" s="1" t="s">
        <v>4438</v>
      </c>
      <c r="I3127" t="s">
        <v>4439</v>
      </c>
      <c r="J3127" s="1" t="s">
        <v>4383</v>
      </c>
      <c r="K3127" t="s">
        <v>181</v>
      </c>
      <c r="L3127" t="s">
        <v>3340</v>
      </c>
      <c r="M3127">
        <v>86</v>
      </c>
      <c r="N3127">
        <v>1.31</v>
      </c>
      <c r="O3127" t="s">
        <v>211</v>
      </c>
      <c r="P3127">
        <v>72</v>
      </c>
      <c r="Q3127">
        <v>8</v>
      </c>
      <c r="R3127" t="s">
        <v>3386</v>
      </c>
      <c r="T3127" t="s">
        <v>3402</v>
      </c>
      <c r="U3127">
        <v>194</v>
      </c>
      <c r="V3127" t="s">
        <v>193</v>
      </c>
    </row>
    <row r="3128" spans="1:22" ht="12.75" customHeight="1" x14ac:dyDescent="0.15">
      <c r="A3128">
        <v>28</v>
      </c>
      <c r="B3128">
        <v>2026</v>
      </c>
      <c r="C3128" s="21">
        <v>46217</v>
      </c>
      <c r="D3128" t="s">
        <v>4406</v>
      </c>
      <c r="E3128" t="s">
        <v>4407</v>
      </c>
      <c r="F3128" t="s">
        <v>21</v>
      </c>
      <c r="G3128">
        <v>10</v>
      </c>
      <c r="H3128" s="1" t="s">
        <v>4417</v>
      </c>
      <c r="I3128" t="s">
        <v>4418</v>
      </c>
      <c r="J3128" s="1" t="s">
        <v>4383</v>
      </c>
      <c r="K3128" t="s">
        <v>2666</v>
      </c>
      <c r="L3128" t="s">
        <v>3587</v>
      </c>
      <c r="P3128">
        <v>82</v>
      </c>
      <c r="T3128" t="s">
        <v>3402</v>
      </c>
      <c r="V3128" t="s">
        <v>4259</v>
      </c>
    </row>
    <row r="3129" spans="1:22" ht="12.75" customHeight="1" x14ac:dyDescent="0.15">
      <c r="A3129">
        <v>28</v>
      </c>
      <c r="B3129">
        <v>2026</v>
      </c>
      <c r="C3129" s="21">
        <v>46217</v>
      </c>
      <c r="D3129" t="s">
        <v>4406</v>
      </c>
      <c r="E3129" t="s">
        <v>4407</v>
      </c>
      <c r="F3129" t="s">
        <v>21</v>
      </c>
      <c r="G3129">
        <v>10</v>
      </c>
      <c r="H3129" s="1" t="s">
        <v>4413</v>
      </c>
      <c r="I3129" t="s">
        <v>4414</v>
      </c>
      <c r="J3129" s="1" t="s">
        <v>26</v>
      </c>
      <c r="K3129" t="s">
        <v>181</v>
      </c>
      <c r="L3129" t="s">
        <v>3340</v>
      </c>
      <c r="M3129">
        <v>21</v>
      </c>
      <c r="N3129">
        <v>2.15</v>
      </c>
      <c r="O3129" t="s">
        <v>211</v>
      </c>
      <c r="P3129">
        <v>118</v>
      </c>
      <c r="R3129" t="s">
        <v>4474</v>
      </c>
      <c r="S3129" t="s">
        <v>4475</v>
      </c>
      <c r="T3129" t="s">
        <v>3402</v>
      </c>
      <c r="V3129" t="s">
        <v>4476</v>
      </c>
    </row>
    <row r="3130" spans="1:22" ht="12.75" customHeight="1" x14ac:dyDescent="0.15">
      <c r="A3130">
        <v>28</v>
      </c>
      <c r="B3130">
        <v>2026</v>
      </c>
      <c r="C3130" s="21">
        <v>46218</v>
      </c>
      <c r="D3130" t="s">
        <v>4406</v>
      </c>
      <c r="E3130" t="s">
        <v>4407</v>
      </c>
      <c r="F3130" t="s">
        <v>21</v>
      </c>
      <c r="G3130">
        <v>10</v>
      </c>
      <c r="H3130" s="1" t="s">
        <v>3868</v>
      </c>
      <c r="I3130" t="s">
        <v>3869</v>
      </c>
      <c r="J3130" s="1" t="s">
        <v>3696</v>
      </c>
      <c r="K3130" t="s">
        <v>181</v>
      </c>
      <c r="L3130" t="s">
        <v>3340</v>
      </c>
      <c r="M3130">
        <v>53</v>
      </c>
      <c r="N3130">
        <v>1.82</v>
      </c>
      <c r="O3130" t="s">
        <v>211</v>
      </c>
      <c r="P3130">
        <v>100</v>
      </c>
      <c r="R3130" t="s">
        <v>3373</v>
      </c>
      <c r="T3130" t="s">
        <v>3337</v>
      </c>
      <c r="V3130" t="s">
        <v>3711</v>
      </c>
    </row>
    <row r="3131" spans="1:22" ht="12.75" customHeight="1" x14ac:dyDescent="0.15">
      <c r="A3131">
        <v>28</v>
      </c>
      <c r="B3131">
        <v>2026</v>
      </c>
      <c r="C3131" s="21">
        <v>46218</v>
      </c>
      <c r="D3131" t="s">
        <v>4406</v>
      </c>
      <c r="E3131" t="s">
        <v>4407</v>
      </c>
      <c r="F3131" t="s">
        <v>21</v>
      </c>
      <c r="G3131">
        <v>10</v>
      </c>
      <c r="H3131" s="1" t="s">
        <v>3868</v>
      </c>
      <c r="I3131" t="s">
        <v>3869</v>
      </c>
      <c r="J3131" s="1" t="s">
        <v>3696</v>
      </c>
      <c r="K3131" t="s">
        <v>181</v>
      </c>
      <c r="L3131" t="s">
        <v>3340</v>
      </c>
      <c r="M3131">
        <v>58</v>
      </c>
      <c r="N3131">
        <v>1.82</v>
      </c>
      <c r="O3131" t="s">
        <v>211</v>
      </c>
      <c r="P3131">
        <v>100</v>
      </c>
      <c r="R3131" t="s">
        <v>3343</v>
      </c>
      <c r="T3131" t="s">
        <v>3337</v>
      </c>
      <c r="V3131" t="s">
        <v>3711</v>
      </c>
    </row>
    <row r="3132" spans="1:22" ht="12.75" customHeight="1" x14ac:dyDescent="0.15">
      <c r="A3132">
        <v>28</v>
      </c>
      <c r="B3132">
        <v>2026</v>
      </c>
      <c r="C3132" s="21">
        <v>46218</v>
      </c>
      <c r="D3132" t="s">
        <v>4406</v>
      </c>
      <c r="E3132" t="s">
        <v>4407</v>
      </c>
      <c r="F3132" t="s">
        <v>21</v>
      </c>
      <c r="G3132">
        <v>10</v>
      </c>
      <c r="H3132" s="1" t="s">
        <v>3868</v>
      </c>
      <c r="I3132" t="s">
        <v>3869</v>
      </c>
      <c r="J3132" s="1" t="s">
        <v>3696</v>
      </c>
      <c r="K3132" t="s">
        <v>181</v>
      </c>
      <c r="L3132" t="s">
        <v>3340</v>
      </c>
      <c r="M3132">
        <v>62</v>
      </c>
      <c r="N3132">
        <v>1.82</v>
      </c>
      <c r="O3132" t="s">
        <v>211</v>
      </c>
      <c r="P3132">
        <v>100</v>
      </c>
      <c r="R3132" t="s">
        <v>3375</v>
      </c>
      <c r="S3132" t="s">
        <v>4408</v>
      </c>
      <c r="T3132" t="s">
        <v>3337</v>
      </c>
      <c r="V3132" t="s">
        <v>3711</v>
      </c>
    </row>
    <row r="3133" spans="1:22" ht="12.75" customHeight="1" x14ac:dyDescent="0.15">
      <c r="A3133">
        <v>28</v>
      </c>
      <c r="B3133">
        <v>2026</v>
      </c>
      <c r="C3133" s="21">
        <v>46218</v>
      </c>
      <c r="D3133" t="s">
        <v>4406</v>
      </c>
      <c r="E3133" t="s">
        <v>4407</v>
      </c>
      <c r="F3133" t="s">
        <v>21</v>
      </c>
      <c r="G3133">
        <v>10</v>
      </c>
      <c r="H3133" s="1" t="s">
        <v>3868</v>
      </c>
      <c r="I3133" t="s">
        <v>3869</v>
      </c>
      <c r="J3133" s="1" t="s">
        <v>3696</v>
      </c>
      <c r="K3133" t="s">
        <v>181</v>
      </c>
      <c r="L3133" t="s">
        <v>3340</v>
      </c>
      <c r="M3133">
        <v>81</v>
      </c>
      <c r="N3133">
        <v>1.82</v>
      </c>
      <c r="O3133" t="s">
        <v>211</v>
      </c>
      <c r="P3133">
        <v>100</v>
      </c>
      <c r="R3133" t="s">
        <v>3374</v>
      </c>
      <c r="T3133" t="s">
        <v>3337</v>
      </c>
      <c r="V3133" t="s">
        <v>3711</v>
      </c>
    </row>
    <row r="3134" spans="1:22" ht="12.75" customHeight="1" x14ac:dyDescent="0.15">
      <c r="A3134">
        <v>28</v>
      </c>
      <c r="B3134">
        <v>2026</v>
      </c>
      <c r="C3134" s="21">
        <v>46218</v>
      </c>
      <c r="D3134" t="s">
        <v>4406</v>
      </c>
      <c r="E3134" t="s">
        <v>4407</v>
      </c>
      <c r="F3134" t="s">
        <v>21</v>
      </c>
      <c r="G3134">
        <v>10</v>
      </c>
      <c r="H3134" s="1" t="s">
        <v>3868</v>
      </c>
      <c r="I3134" t="s">
        <v>3869</v>
      </c>
      <c r="J3134" s="1" t="s">
        <v>3696</v>
      </c>
      <c r="K3134" t="s">
        <v>181</v>
      </c>
      <c r="L3134" t="s">
        <v>3340</v>
      </c>
      <c r="M3134">
        <v>45</v>
      </c>
      <c r="N3134">
        <v>1.82</v>
      </c>
      <c r="O3134" t="s">
        <v>211</v>
      </c>
      <c r="P3134">
        <v>100</v>
      </c>
      <c r="R3134" t="s">
        <v>3377</v>
      </c>
      <c r="T3134" t="s">
        <v>3337</v>
      </c>
      <c r="V3134" t="s">
        <v>3711</v>
      </c>
    </row>
    <row r="3135" spans="1:22" ht="12.75" customHeight="1" x14ac:dyDescent="0.15">
      <c r="A3135">
        <v>28</v>
      </c>
      <c r="B3135">
        <v>2026</v>
      </c>
      <c r="C3135" s="21">
        <v>46218</v>
      </c>
      <c r="D3135" t="s">
        <v>107</v>
      </c>
      <c r="E3135" t="s">
        <v>108</v>
      </c>
      <c r="F3135" t="s">
        <v>21</v>
      </c>
      <c r="G3135">
        <v>4.5</v>
      </c>
      <c r="H3135" s="1" t="s">
        <v>3400</v>
      </c>
      <c r="I3135" t="s">
        <v>353</v>
      </c>
      <c r="J3135" s="1" t="s">
        <v>253</v>
      </c>
      <c r="K3135" t="s">
        <v>181</v>
      </c>
      <c r="L3135" t="s">
        <v>3333</v>
      </c>
      <c r="M3135">
        <v>2</v>
      </c>
      <c r="N3135">
        <v>0.5</v>
      </c>
      <c r="O3135" t="s">
        <v>3440</v>
      </c>
      <c r="P3135">
        <v>45.25</v>
      </c>
      <c r="Q3135">
        <v>4</v>
      </c>
      <c r="R3135" t="s">
        <v>3424</v>
      </c>
      <c r="T3135" t="s">
        <v>3337</v>
      </c>
      <c r="U3135">
        <v>61</v>
      </c>
      <c r="V3135" t="s">
        <v>4398</v>
      </c>
    </row>
    <row r="3136" spans="1:22" ht="12.75" customHeight="1" x14ac:dyDescent="0.15">
      <c r="A3136">
        <v>28</v>
      </c>
      <c r="B3136">
        <v>2026</v>
      </c>
      <c r="C3136" s="21">
        <v>46218</v>
      </c>
      <c r="D3136" t="s">
        <v>3749</v>
      </c>
      <c r="E3136" t="s">
        <v>676</v>
      </c>
      <c r="F3136" t="s">
        <v>676</v>
      </c>
      <c r="G3136">
        <v>1</v>
      </c>
      <c r="H3136" s="1" t="s">
        <v>4425</v>
      </c>
      <c r="I3136" t="s">
        <v>3751</v>
      </c>
      <c r="J3136" s="1" t="s">
        <v>676</v>
      </c>
      <c r="K3136" t="s">
        <v>181</v>
      </c>
      <c r="L3136" t="s">
        <v>3333</v>
      </c>
      <c r="M3136">
        <v>2</v>
      </c>
      <c r="N3136">
        <v>0.5</v>
      </c>
      <c r="O3136" t="s">
        <v>3440</v>
      </c>
      <c r="P3136">
        <v>45.25</v>
      </c>
      <c r="Q3136">
        <v>4</v>
      </c>
      <c r="R3136" t="s">
        <v>3424</v>
      </c>
      <c r="T3136" t="s">
        <v>3337</v>
      </c>
      <c r="U3136">
        <v>195</v>
      </c>
      <c r="V3136" t="s">
        <v>3976</v>
      </c>
    </row>
    <row r="3137" spans="1:22" ht="12.75" customHeight="1" x14ac:dyDescent="0.15">
      <c r="A3137">
        <v>28</v>
      </c>
      <c r="B3137">
        <v>2026</v>
      </c>
      <c r="C3137" s="21">
        <v>46218</v>
      </c>
      <c r="D3137" t="s">
        <v>3749</v>
      </c>
      <c r="E3137" t="s">
        <v>676</v>
      </c>
      <c r="F3137" t="s">
        <v>676</v>
      </c>
      <c r="G3137">
        <v>1</v>
      </c>
      <c r="H3137" s="1" t="s">
        <v>4425</v>
      </c>
      <c r="I3137" t="s">
        <v>3751</v>
      </c>
      <c r="J3137" s="1" t="s">
        <v>676</v>
      </c>
      <c r="K3137" t="s">
        <v>181</v>
      </c>
      <c r="L3137" t="s">
        <v>3340</v>
      </c>
      <c r="M3137">
        <v>2</v>
      </c>
      <c r="N3137">
        <v>0.18</v>
      </c>
      <c r="O3137" t="s">
        <v>211</v>
      </c>
      <c r="P3137">
        <v>9.76</v>
      </c>
      <c r="R3137" t="s">
        <v>3424</v>
      </c>
      <c r="T3137" t="s">
        <v>3337</v>
      </c>
      <c r="U3137">
        <v>195</v>
      </c>
      <c r="V3137" t="s">
        <v>3779</v>
      </c>
    </row>
    <row r="3138" spans="1:22" ht="12.75" customHeight="1" x14ac:dyDescent="0.15">
      <c r="A3138">
        <v>28</v>
      </c>
      <c r="B3138">
        <v>2026</v>
      </c>
      <c r="C3138" s="21">
        <v>46218</v>
      </c>
      <c r="D3138" t="s">
        <v>107</v>
      </c>
      <c r="E3138" t="s">
        <v>108</v>
      </c>
      <c r="F3138" t="s">
        <v>21</v>
      </c>
      <c r="G3138">
        <v>4.5</v>
      </c>
      <c r="H3138" s="1" t="s">
        <v>3400</v>
      </c>
      <c r="I3138" t="s">
        <v>353</v>
      </c>
      <c r="J3138" s="1" t="s">
        <v>253</v>
      </c>
      <c r="K3138" t="s">
        <v>181</v>
      </c>
      <c r="L3138" t="s">
        <v>3340</v>
      </c>
      <c r="M3138">
        <v>25</v>
      </c>
      <c r="N3138">
        <v>0.65</v>
      </c>
      <c r="O3138" t="s">
        <v>211</v>
      </c>
      <c r="P3138">
        <v>36</v>
      </c>
      <c r="Q3138">
        <v>4</v>
      </c>
      <c r="R3138" t="s">
        <v>3413</v>
      </c>
      <c r="T3138" t="s">
        <v>3337</v>
      </c>
      <c r="U3138">
        <v>61</v>
      </c>
      <c r="V3138" t="s">
        <v>183</v>
      </c>
    </row>
    <row r="3139" spans="1:22" ht="12.75" customHeight="1" x14ac:dyDescent="0.15">
      <c r="A3139">
        <v>28</v>
      </c>
      <c r="B3139">
        <v>2026</v>
      </c>
      <c r="C3139" s="21">
        <v>46218</v>
      </c>
      <c r="D3139" t="s">
        <v>3749</v>
      </c>
      <c r="E3139" t="s">
        <v>676</v>
      </c>
      <c r="F3139" t="s">
        <v>676</v>
      </c>
      <c r="G3139">
        <v>1</v>
      </c>
      <c r="H3139" s="1" t="s">
        <v>4425</v>
      </c>
      <c r="I3139" t="s">
        <v>3751</v>
      </c>
      <c r="J3139" s="1" t="s">
        <v>676</v>
      </c>
      <c r="K3139" t="s">
        <v>181</v>
      </c>
      <c r="L3139" t="s">
        <v>3340</v>
      </c>
      <c r="M3139">
        <v>25</v>
      </c>
      <c r="N3139">
        <v>0.49</v>
      </c>
      <c r="O3139" t="s">
        <v>211</v>
      </c>
      <c r="P3139">
        <v>27</v>
      </c>
      <c r="R3139" t="s">
        <v>3413</v>
      </c>
      <c r="T3139" t="s">
        <v>3337</v>
      </c>
      <c r="U3139">
        <v>195</v>
      </c>
      <c r="V3139" t="s">
        <v>273</v>
      </c>
    </row>
    <row r="3140" spans="1:22" ht="12.75" customHeight="1" x14ac:dyDescent="0.15">
      <c r="A3140">
        <v>28</v>
      </c>
      <c r="B3140">
        <v>2026</v>
      </c>
      <c r="C3140" s="21">
        <v>46218</v>
      </c>
      <c r="D3140" t="s">
        <v>153</v>
      </c>
      <c r="E3140" t="s">
        <v>154</v>
      </c>
      <c r="F3140" t="s">
        <v>21</v>
      </c>
      <c r="G3140">
        <v>8</v>
      </c>
      <c r="H3140" s="1" t="s">
        <v>3339</v>
      </c>
      <c r="I3140" t="s">
        <v>187</v>
      </c>
      <c r="J3140" s="1" t="s">
        <v>188</v>
      </c>
      <c r="K3140" t="s">
        <v>181</v>
      </c>
      <c r="L3140" t="s">
        <v>3333</v>
      </c>
      <c r="M3140">
        <v>6</v>
      </c>
      <c r="N3140">
        <v>1</v>
      </c>
      <c r="O3140" t="s">
        <v>3334</v>
      </c>
      <c r="P3140">
        <v>81.58</v>
      </c>
      <c r="Q3140">
        <v>8</v>
      </c>
      <c r="R3140" t="s">
        <v>3335</v>
      </c>
      <c r="T3140" t="s">
        <v>3337</v>
      </c>
      <c r="V3140" t="s">
        <v>3472</v>
      </c>
    </row>
    <row r="3141" spans="1:22" ht="12.75" customHeight="1" x14ac:dyDescent="0.15">
      <c r="A3141">
        <v>28</v>
      </c>
      <c r="B3141">
        <v>2026</v>
      </c>
      <c r="C3141" s="21">
        <v>46218</v>
      </c>
      <c r="D3141" t="s">
        <v>153</v>
      </c>
      <c r="E3141" t="s">
        <v>154</v>
      </c>
      <c r="F3141" t="s">
        <v>21</v>
      </c>
      <c r="G3141">
        <v>8</v>
      </c>
      <c r="H3141" s="1" t="s">
        <v>3339</v>
      </c>
      <c r="I3141" t="s">
        <v>187</v>
      </c>
      <c r="J3141" s="1" t="s">
        <v>188</v>
      </c>
      <c r="K3141" t="s">
        <v>181</v>
      </c>
      <c r="L3141" t="s">
        <v>3333</v>
      </c>
      <c r="M3141">
        <v>1</v>
      </c>
      <c r="N3141">
        <v>1</v>
      </c>
      <c r="O3141" t="s">
        <v>3358</v>
      </c>
      <c r="P3141">
        <v>71.86</v>
      </c>
      <c r="Q3141">
        <v>8</v>
      </c>
      <c r="R3141" t="s">
        <v>3359</v>
      </c>
      <c r="T3141" t="s">
        <v>3337</v>
      </c>
      <c r="V3141" t="s">
        <v>4467</v>
      </c>
    </row>
    <row r="3142" spans="1:22" ht="12.75" customHeight="1" x14ac:dyDescent="0.15">
      <c r="A3142">
        <v>28</v>
      </c>
      <c r="B3142">
        <v>2026</v>
      </c>
      <c r="C3142" s="21">
        <v>46218</v>
      </c>
      <c r="D3142" t="s">
        <v>135</v>
      </c>
      <c r="E3142" t="s">
        <v>136</v>
      </c>
      <c r="F3142" t="s">
        <v>21</v>
      </c>
      <c r="G3142">
        <v>0.5</v>
      </c>
      <c r="H3142" s="1" t="s">
        <v>4477</v>
      </c>
      <c r="I3142" t="s">
        <v>4478</v>
      </c>
      <c r="J3142" s="1" t="s">
        <v>215</v>
      </c>
      <c r="K3142" t="s">
        <v>181</v>
      </c>
      <c r="L3142" t="s">
        <v>3333</v>
      </c>
      <c r="M3142">
        <v>67</v>
      </c>
      <c r="N3142">
        <v>0.13</v>
      </c>
      <c r="O3142" t="s">
        <v>3334</v>
      </c>
      <c r="P3142">
        <v>10.199999999999999</v>
      </c>
      <c r="Q3142">
        <v>1</v>
      </c>
      <c r="R3142" t="s">
        <v>3404</v>
      </c>
      <c r="T3142" t="s">
        <v>3402</v>
      </c>
      <c r="U3142">
        <v>19</v>
      </c>
      <c r="V3142" t="s">
        <v>3474</v>
      </c>
    </row>
    <row r="3143" spans="1:22" ht="12.75" customHeight="1" x14ac:dyDescent="0.15">
      <c r="A3143">
        <v>28</v>
      </c>
      <c r="B3143">
        <v>2026</v>
      </c>
      <c r="C3143" s="21">
        <v>46218</v>
      </c>
      <c r="D3143" t="s">
        <v>139</v>
      </c>
      <c r="E3143" t="s">
        <v>140</v>
      </c>
      <c r="F3143" t="s">
        <v>75</v>
      </c>
      <c r="G3143">
        <v>0.8</v>
      </c>
      <c r="H3143" s="1" t="s">
        <v>4479</v>
      </c>
      <c r="I3143" t="s">
        <v>4478</v>
      </c>
      <c r="J3143" s="1" t="s">
        <v>215</v>
      </c>
      <c r="K3143" t="s">
        <v>181</v>
      </c>
      <c r="L3143" t="s">
        <v>3333</v>
      </c>
      <c r="M3143">
        <v>67</v>
      </c>
      <c r="N3143">
        <v>0.13</v>
      </c>
      <c r="O3143" t="s">
        <v>3334</v>
      </c>
      <c r="P3143">
        <v>10.199999999999999</v>
      </c>
      <c r="Q3143">
        <v>1</v>
      </c>
      <c r="R3143" t="s">
        <v>3404</v>
      </c>
      <c r="T3143" t="s">
        <v>3402</v>
      </c>
      <c r="U3143">
        <v>50</v>
      </c>
      <c r="V3143" t="s">
        <v>3581</v>
      </c>
    </row>
    <row r="3144" spans="1:22" ht="12.75" customHeight="1" x14ac:dyDescent="0.15">
      <c r="A3144">
        <v>28</v>
      </c>
      <c r="B3144">
        <v>2026</v>
      </c>
      <c r="C3144" s="21">
        <v>46218</v>
      </c>
      <c r="D3144" t="s">
        <v>141</v>
      </c>
      <c r="E3144" t="s">
        <v>142</v>
      </c>
      <c r="F3144" t="s">
        <v>75</v>
      </c>
      <c r="G3144">
        <v>1</v>
      </c>
      <c r="H3144" s="1" t="s">
        <v>4479</v>
      </c>
      <c r="I3144" t="s">
        <v>4478</v>
      </c>
      <c r="J3144" s="1" t="s">
        <v>215</v>
      </c>
      <c r="K3144" t="s">
        <v>181</v>
      </c>
      <c r="L3144" t="s">
        <v>3333</v>
      </c>
      <c r="M3144">
        <v>67</v>
      </c>
      <c r="N3144">
        <v>0.25</v>
      </c>
      <c r="O3144" t="s">
        <v>3334</v>
      </c>
      <c r="P3144">
        <v>20.399999999999999</v>
      </c>
      <c r="Q3144">
        <v>2</v>
      </c>
      <c r="R3144" t="s">
        <v>3404</v>
      </c>
      <c r="T3144" t="s">
        <v>3402</v>
      </c>
      <c r="U3144">
        <v>22</v>
      </c>
      <c r="V3144" t="s">
        <v>3474</v>
      </c>
    </row>
    <row r="3145" spans="1:22" ht="12.75" customHeight="1" x14ac:dyDescent="0.15">
      <c r="A3145">
        <v>28</v>
      </c>
      <c r="B3145">
        <v>2026</v>
      </c>
      <c r="C3145" s="21">
        <v>46218</v>
      </c>
      <c r="D3145" t="s">
        <v>135</v>
      </c>
      <c r="E3145" t="s">
        <v>136</v>
      </c>
      <c r="F3145" t="s">
        <v>21</v>
      </c>
      <c r="G3145">
        <v>0.5</v>
      </c>
      <c r="H3145" s="1" t="s">
        <v>4479</v>
      </c>
      <c r="I3145" t="s">
        <v>4478</v>
      </c>
      <c r="J3145" s="1" t="s">
        <v>215</v>
      </c>
      <c r="K3145" t="s">
        <v>181</v>
      </c>
      <c r="L3145" t="s">
        <v>3333</v>
      </c>
      <c r="M3145">
        <v>4</v>
      </c>
      <c r="N3145">
        <v>0.13</v>
      </c>
      <c r="O3145" t="s">
        <v>3334</v>
      </c>
      <c r="P3145">
        <v>10.199999999999999</v>
      </c>
      <c r="Q3145">
        <v>1</v>
      </c>
      <c r="R3145" t="s">
        <v>3773</v>
      </c>
      <c r="T3145" t="s">
        <v>3402</v>
      </c>
      <c r="U3145">
        <v>19</v>
      </c>
      <c r="V3145" t="s">
        <v>3474</v>
      </c>
    </row>
    <row r="3146" spans="1:22" ht="12.75" customHeight="1" x14ac:dyDescent="0.15">
      <c r="A3146">
        <v>28</v>
      </c>
      <c r="B3146">
        <v>2026</v>
      </c>
      <c r="C3146" s="21">
        <v>46218</v>
      </c>
      <c r="D3146" t="s">
        <v>135</v>
      </c>
      <c r="E3146" t="s">
        <v>136</v>
      </c>
      <c r="F3146" t="s">
        <v>21</v>
      </c>
      <c r="G3146">
        <v>0.5</v>
      </c>
      <c r="H3146" s="1" t="s">
        <v>4479</v>
      </c>
      <c r="I3146" t="s">
        <v>4478</v>
      </c>
      <c r="J3146" s="1" t="s">
        <v>215</v>
      </c>
      <c r="K3146" t="s">
        <v>181</v>
      </c>
      <c r="L3146" t="s">
        <v>3340</v>
      </c>
      <c r="M3146">
        <v>78</v>
      </c>
      <c r="N3146">
        <v>0.16</v>
      </c>
      <c r="O3146" t="s">
        <v>211</v>
      </c>
      <c r="P3146">
        <v>9</v>
      </c>
      <c r="Q3146">
        <v>1</v>
      </c>
      <c r="R3146" t="s">
        <v>3341</v>
      </c>
      <c r="T3146" t="s">
        <v>3402</v>
      </c>
      <c r="U3146">
        <v>19</v>
      </c>
      <c r="V3146" t="s">
        <v>260</v>
      </c>
    </row>
    <row r="3147" spans="1:22" ht="12.75" customHeight="1" x14ac:dyDescent="0.15">
      <c r="A3147">
        <v>28</v>
      </c>
      <c r="B3147">
        <v>2026</v>
      </c>
      <c r="C3147" s="21">
        <v>46218</v>
      </c>
      <c r="D3147" t="s">
        <v>3749</v>
      </c>
      <c r="E3147" t="s">
        <v>676</v>
      </c>
      <c r="F3147" t="s">
        <v>676</v>
      </c>
      <c r="G3147">
        <v>1</v>
      </c>
      <c r="H3147" s="1" t="s">
        <v>3750</v>
      </c>
      <c r="I3147" t="s">
        <v>3751</v>
      </c>
      <c r="J3147" s="1" t="s">
        <v>676</v>
      </c>
      <c r="K3147" t="s">
        <v>181</v>
      </c>
      <c r="L3147" t="s">
        <v>3333</v>
      </c>
      <c r="M3147">
        <v>67</v>
      </c>
      <c r="N3147">
        <v>0.5</v>
      </c>
      <c r="O3147" t="s">
        <v>3334</v>
      </c>
      <c r="P3147">
        <v>40.79</v>
      </c>
      <c r="Q3147">
        <v>4</v>
      </c>
      <c r="R3147" t="s">
        <v>3404</v>
      </c>
      <c r="S3147" t="s">
        <v>4480</v>
      </c>
      <c r="T3147" t="s">
        <v>3402</v>
      </c>
      <c r="U3147">
        <v>195</v>
      </c>
      <c r="V3147" t="s">
        <v>3456</v>
      </c>
    </row>
    <row r="3148" spans="1:22" ht="12.75" customHeight="1" x14ac:dyDescent="0.15">
      <c r="A3148">
        <v>28</v>
      </c>
      <c r="B3148">
        <v>2026</v>
      </c>
      <c r="C3148" s="21">
        <v>46218</v>
      </c>
      <c r="D3148" t="s">
        <v>3749</v>
      </c>
      <c r="E3148" t="s">
        <v>676</v>
      </c>
      <c r="F3148" t="s">
        <v>676</v>
      </c>
      <c r="G3148">
        <v>1</v>
      </c>
      <c r="H3148" s="1" t="s">
        <v>3750</v>
      </c>
      <c r="I3148" t="s">
        <v>3751</v>
      </c>
      <c r="J3148" s="1" t="s">
        <v>676</v>
      </c>
      <c r="K3148" t="s">
        <v>181</v>
      </c>
      <c r="L3148" t="s">
        <v>3333</v>
      </c>
      <c r="M3148">
        <v>4</v>
      </c>
      <c r="N3148">
        <v>0.5</v>
      </c>
      <c r="O3148" t="s">
        <v>3334</v>
      </c>
      <c r="P3148">
        <v>40.79</v>
      </c>
      <c r="Q3148">
        <v>4</v>
      </c>
      <c r="R3148" t="s">
        <v>3773</v>
      </c>
      <c r="S3148" t="s">
        <v>4481</v>
      </c>
      <c r="T3148" t="s">
        <v>3402</v>
      </c>
      <c r="U3148">
        <v>195</v>
      </c>
      <c r="V3148" t="s">
        <v>3456</v>
      </c>
    </row>
    <row r="3149" spans="1:22" ht="12.75" customHeight="1" x14ac:dyDescent="0.15">
      <c r="A3149">
        <v>28</v>
      </c>
      <c r="B3149">
        <v>2026</v>
      </c>
      <c r="C3149" s="21">
        <v>46218</v>
      </c>
      <c r="D3149" t="s">
        <v>3749</v>
      </c>
      <c r="E3149" s="8" t="s">
        <v>676</v>
      </c>
      <c r="F3149" t="s">
        <v>676</v>
      </c>
      <c r="G3149">
        <v>1</v>
      </c>
      <c r="H3149" s="1" t="s">
        <v>3750</v>
      </c>
      <c r="I3149" t="s">
        <v>3751</v>
      </c>
      <c r="J3149" s="1" t="s">
        <v>676</v>
      </c>
      <c r="K3149" t="s">
        <v>181</v>
      </c>
      <c r="L3149" t="s">
        <v>3340</v>
      </c>
      <c r="M3149">
        <v>78</v>
      </c>
      <c r="N3149">
        <v>1</v>
      </c>
      <c r="O3149" t="s">
        <v>211</v>
      </c>
      <c r="P3149">
        <v>55</v>
      </c>
      <c r="R3149" t="s">
        <v>3341</v>
      </c>
      <c r="S3149" t="s">
        <v>4482</v>
      </c>
      <c r="T3149" t="s">
        <v>3402</v>
      </c>
      <c r="U3149">
        <v>195</v>
      </c>
      <c r="V3149" t="s">
        <v>211</v>
      </c>
    </row>
    <row r="3150" spans="1:22" ht="12.75" customHeight="1" x14ac:dyDescent="0.15">
      <c r="A3150">
        <v>28</v>
      </c>
      <c r="B3150">
        <v>2026</v>
      </c>
      <c r="C3150" s="21">
        <v>46218</v>
      </c>
      <c r="D3150" t="s">
        <v>3749</v>
      </c>
      <c r="E3150" s="8" t="s">
        <v>676</v>
      </c>
      <c r="F3150" t="s">
        <v>676</v>
      </c>
      <c r="G3150">
        <v>1</v>
      </c>
      <c r="H3150" s="1" t="s">
        <v>4445</v>
      </c>
      <c r="I3150" t="s">
        <v>4446</v>
      </c>
      <c r="J3150" s="1" t="s">
        <v>676</v>
      </c>
      <c r="K3150" t="s">
        <v>181</v>
      </c>
      <c r="L3150" t="s">
        <v>3340</v>
      </c>
      <c r="M3150">
        <v>78</v>
      </c>
      <c r="N3150">
        <v>0.49</v>
      </c>
      <c r="O3150" t="s">
        <v>211</v>
      </c>
      <c r="P3150">
        <v>27</v>
      </c>
      <c r="Q3150">
        <v>3</v>
      </c>
      <c r="R3150" t="s">
        <v>3341</v>
      </c>
      <c r="S3150" t="s">
        <v>4483</v>
      </c>
      <c r="T3150" t="s">
        <v>3402</v>
      </c>
      <c r="U3150">
        <v>195</v>
      </c>
      <c r="V3150" t="s">
        <v>273</v>
      </c>
    </row>
    <row r="3151" spans="1:22" ht="12.75" customHeight="1" x14ac:dyDescent="0.15">
      <c r="A3151">
        <v>28</v>
      </c>
      <c r="B3151">
        <v>2026</v>
      </c>
      <c r="C3151" s="21">
        <v>46218</v>
      </c>
      <c r="D3151" t="s">
        <v>3749</v>
      </c>
      <c r="E3151" t="s">
        <v>676</v>
      </c>
      <c r="F3151" t="s">
        <v>676</v>
      </c>
      <c r="G3151">
        <v>1</v>
      </c>
      <c r="H3151" s="1" t="s">
        <v>4445</v>
      </c>
      <c r="I3151" t="s">
        <v>4446</v>
      </c>
      <c r="J3151" s="1" t="s">
        <v>676</v>
      </c>
      <c r="K3151" t="s">
        <v>181</v>
      </c>
      <c r="L3151" t="s">
        <v>3333</v>
      </c>
      <c r="M3151">
        <v>4</v>
      </c>
      <c r="N3151">
        <v>0.38</v>
      </c>
      <c r="O3151" t="s">
        <v>3334</v>
      </c>
      <c r="P3151">
        <v>30.59</v>
      </c>
      <c r="Q3151">
        <v>3</v>
      </c>
      <c r="R3151" t="s">
        <v>3773</v>
      </c>
      <c r="S3151" t="s">
        <v>4484</v>
      </c>
      <c r="T3151" t="s">
        <v>3402</v>
      </c>
      <c r="U3151">
        <v>195</v>
      </c>
      <c r="V3151" t="s">
        <v>3491</v>
      </c>
    </row>
    <row r="3152" spans="1:22" ht="12.75" customHeight="1" x14ac:dyDescent="0.15">
      <c r="A3152">
        <v>28</v>
      </c>
      <c r="B3152">
        <v>2026</v>
      </c>
      <c r="C3152" s="21">
        <v>46218</v>
      </c>
      <c r="D3152" t="s">
        <v>3749</v>
      </c>
      <c r="E3152" t="s">
        <v>676</v>
      </c>
      <c r="F3152" t="s">
        <v>676</v>
      </c>
      <c r="G3152">
        <v>1</v>
      </c>
      <c r="H3152" s="1" t="s">
        <v>3750</v>
      </c>
      <c r="I3152" t="s">
        <v>3751</v>
      </c>
      <c r="J3152" s="1" t="s">
        <v>676</v>
      </c>
      <c r="K3152" t="s">
        <v>181</v>
      </c>
      <c r="L3152" t="s">
        <v>3340</v>
      </c>
      <c r="M3152">
        <v>4</v>
      </c>
      <c r="N3152">
        <v>0.26</v>
      </c>
      <c r="O3152" t="s">
        <v>211</v>
      </c>
      <c r="P3152">
        <v>14.2</v>
      </c>
      <c r="R3152" t="s">
        <v>3773</v>
      </c>
      <c r="T3152" t="s">
        <v>3402</v>
      </c>
      <c r="U3152">
        <v>195</v>
      </c>
      <c r="V3152" t="s">
        <v>4444</v>
      </c>
    </row>
    <row r="3153" spans="1:22" ht="12.75" customHeight="1" x14ac:dyDescent="0.15">
      <c r="A3153">
        <v>28</v>
      </c>
      <c r="B3153">
        <v>2026</v>
      </c>
      <c r="C3153" s="21">
        <v>46218</v>
      </c>
      <c r="D3153" t="s">
        <v>3749</v>
      </c>
      <c r="E3153" t="s">
        <v>676</v>
      </c>
      <c r="F3153" t="s">
        <v>676</v>
      </c>
      <c r="G3153">
        <v>1</v>
      </c>
      <c r="H3153" s="1" t="s">
        <v>3750</v>
      </c>
      <c r="I3153" t="s">
        <v>3751</v>
      </c>
      <c r="J3153" s="1" t="s">
        <v>676</v>
      </c>
      <c r="K3153" t="s">
        <v>181</v>
      </c>
      <c r="L3153" t="s">
        <v>3340</v>
      </c>
      <c r="M3153">
        <v>67</v>
      </c>
      <c r="N3153">
        <v>0.4</v>
      </c>
      <c r="O3153" t="s">
        <v>211</v>
      </c>
      <c r="P3153">
        <v>22.2</v>
      </c>
      <c r="R3153" t="s">
        <v>3404</v>
      </c>
      <c r="T3153" t="s">
        <v>3402</v>
      </c>
      <c r="U3153">
        <v>195</v>
      </c>
      <c r="V3153" t="s">
        <v>4485</v>
      </c>
    </row>
    <row r="3154" spans="1:22" ht="12.75" customHeight="1" x14ac:dyDescent="0.15">
      <c r="A3154">
        <v>28</v>
      </c>
      <c r="B3154">
        <v>2026</v>
      </c>
      <c r="C3154" s="21">
        <v>46218</v>
      </c>
      <c r="D3154" t="s">
        <v>137</v>
      </c>
      <c r="E3154" t="s">
        <v>138</v>
      </c>
      <c r="F3154" t="s">
        <v>75</v>
      </c>
      <c r="G3154">
        <v>1</v>
      </c>
      <c r="H3154" s="1" t="s">
        <v>3592</v>
      </c>
      <c r="I3154" t="s">
        <v>3593</v>
      </c>
      <c r="J3154" s="1" t="s">
        <v>3533</v>
      </c>
      <c r="K3154" t="s">
        <v>181</v>
      </c>
      <c r="L3154" t="s">
        <v>3340</v>
      </c>
      <c r="M3154">
        <v>67</v>
      </c>
      <c r="N3154">
        <v>0.45</v>
      </c>
      <c r="O3154" t="s">
        <v>211</v>
      </c>
      <c r="P3154">
        <v>25</v>
      </c>
      <c r="R3154" t="s">
        <v>3404</v>
      </c>
      <c r="T3154" t="s">
        <v>3402</v>
      </c>
      <c r="U3154">
        <v>-2</v>
      </c>
      <c r="V3154" t="s">
        <v>3608</v>
      </c>
    </row>
    <row r="3155" spans="1:22" ht="12.75" customHeight="1" x14ac:dyDescent="0.15">
      <c r="A3155">
        <v>28</v>
      </c>
      <c r="B3155">
        <v>2026</v>
      </c>
      <c r="C3155" s="21">
        <v>46218</v>
      </c>
      <c r="D3155" t="s">
        <v>137</v>
      </c>
      <c r="E3155" t="s">
        <v>138</v>
      </c>
      <c r="F3155" t="s">
        <v>75</v>
      </c>
      <c r="G3155">
        <v>1</v>
      </c>
      <c r="H3155" s="1" t="s">
        <v>3592</v>
      </c>
      <c r="I3155" t="s">
        <v>3593</v>
      </c>
      <c r="J3155" s="1" t="s">
        <v>3533</v>
      </c>
      <c r="K3155" t="s">
        <v>181</v>
      </c>
      <c r="L3155" t="s">
        <v>3340</v>
      </c>
      <c r="M3155">
        <v>4</v>
      </c>
      <c r="N3155">
        <v>0.45</v>
      </c>
      <c r="O3155" t="s">
        <v>211</v>
      </c>
      <c r="P3155">
        <v>25</v>
      </c>
      <c r="R3155" t="s">
        <v>3773</v>
      </c>
      <c r="T3155" t="s">
        <v>3402</v>
      </c>
      <c r="U3155">
        <v>-2</v>
      </c>
      <c r="V3155" t="s">
        <v>3608</v>
      </c>
    </row>
    <row r="3156" spans="1:22" ht="12.75" customHeight="1" x14ac:dyDescent="0.15">
      <c r="A3156">
        <v>28</v>
      </c>
      <c r="B3156">
        <v>2026</v>
      </c>
      <c r="C3156" s="21">
        <v>46218</v>
      </c>
      <c r="D3156" t="s">
        <v>101</v>
      </c>
      <c r="E3156" t="s">
        <v>102</v>
      </c>
      <c r="F3156" t="s">
        <v>75</v>
      </c>
      <c r="G3156">
        <v>7.6</v>
      </c>
      <c r="H3156" s="1" t="s">
        <v>4378</v>
      </c>
      <c r="I3156" t="s">
        <v>4379</v>
      </c>
      <c r="J3156" s="1" t="s">
        <v>215</v>
      </c>
      <c r="K3156" t="s">
        <v>181</v>
      </c>
      <c r="L3156" t="s">
        <v>3340</v>
      </c>
      <c r="M3156">
        <v>78</v>
      </c>
      <c r="N3156">
        <v>0.45</v>
      </c>
      <c r="O3156" t="s">
        <v>211</v>
      </c>
      <c r="P3156">
        <v>25</v>
      </c>
      <c r="R3156" t="s">
        <v>3341</v>
      </c>
      <c r="T3156" t="s">
        <v>3402</v>
      </c>
      <c r="U3156">
        <v>78</v>
      </c>
      <c r="V3156" t="s">
        <v>4184</v>
      </c>
    </row>
    <row r="3157" spans="1:22" ht="12.75" customHeight="1" x14ac:dyDescent="0.15">
      <c r="A3157">
        <v>28</v>
      </c>
      <c r="B3157">
        <v>2026</v>
      </c>
      <c r="C3157" s="21">
        <v>46218</v>
      </c>
      <c r="D3157" t="s">
        <v>437</v>
      </c>
      <c r="E3157" t="s">
        <v>437</v>
      </c>
      <c r="F3157" t="s">
        <v>4435</v>
      </c>
      <c r="G3157">
        <v>1</v>
      </c>
      <c r="H3157" s="1" t="s">
        <v>4302</v>
      </c>
      <c r="I3157" t="s">
        <v>4303</v>
      </c>
      <c r="J3157" s="1" t="s">
        <v>4304</v>
      </c>
      <c r="K3157" t="s">
        <v>181</v>
      </c>
      <c r="L3157" t="s">
        <v>3333</v>
      </c>
      <c r="M3157">
        <v>7</v>
      </c>
      <c r="N3157">
        <v>1</v>
      </c>
      <c r="O3157" t="s">
        <v>4436</v>
      </c>
      <c r="P3157">
        <v>60.33</v>
      </c>
      <c r="Q3157">
        <v>8</v>
      </c>
      <c r="R3157" t="s">
        <v>4437</v>
      </c>
      <c r="T3157" t="s">
        <v>3402</v>
      </c>
      <c r="U3157">
        <v>195</v>
      </c>
      <c r="V3157" t="s">
        <v>4436</v>
      </c>
    </row>
    <row r="3158" spans="1:22" ht="12.75" customHeight="1" x14ac:dyDescent="0.15">
      <c r="A3158">
        <v>28</v>
      </c>
      <c r="B3158">
        <v>2026</v>
      </c>
      <c r="C3158" s="21">
        <v>46218</v>
      </c>
      <c r="D3158" t="s">
        <v>3749</v>
      </c>
      <c r="E3158" t="s">
        <v>676</v>
      </c>
      <c r="F3158" t="s">
        <v>676</v>
      </c>
      <c r="G3158">
        <v>1</v>
      </c>
      <c r="H3158" s="1" t="s">
        <v>4445</v>
      </c>
      <c r="I3158" t="s">
        <v>4446</v>
      </c>
      <c r="J3158" s="1" t="s">
        <v>676</v>
      </c>
      <c r="K3158" t="s">
        <v>181</v>
      </c>
      <c r="L3158" t="s">
        <v>3333</v>
      </c>
      <c r="M3158">
        <v>86</v>
      </c>
      <c r="N3158">
        <v>0.75</v>
      </c>
      <c r="O3158" t="s">
        <v>3334</v>
      </c>
      <c r="P3158">
        <v>61.19</v>
      </c>
      <c r="Q3158">
        <v>6</v>
      </c>
      <c r="R3158" t="s">
        <v>3386</v>
      </c>
      <c r="T3158" t="s">
        <v>3402</v>
      </c>
      <c r="U3158">
        <v>195</v>
      </c>
      <c r="V3158" t="s">
        <v>3715</v>
      </c>
    </row>
    <row r="3159" spans="1:22" ht="12.75" customHeight="1" x14ac:dyDescent="0.15">
      <c r="A3159">
        <v>28</v>
      </c>
      <c r="B3159">
        <v>2026</v>
      </c>
      <c r="C3159" s="21">
        <v>46218</v>
      </c>
      <c r="D3159" t="s">
        <v>3749</v>
      </c>
      <c r="E3159" t="s">
        <v>676</v>
      </c>
      <c r="F3159" t="s">
        <v>676</v>
      </c>
      <c r="G3159">
        <v>1</v>
      </c>
      <c r="H3159" s="1" t="s">
        <v>4438</v>
      </c>
      <c r="I3159" t="s">
        <v>4439</v>
      </c>
      <c r="J3159" s="1" t="s">
        <v>4383</v>
      </c>
      <c r="K3159" t="s">
        <v>181</v>
      </c>
      <c r="L3159" t="s">
        <v>3340</v>
      </c>
      <c r="M3159">
        <v>86</v>
      </c>
      <c r="N3159">
        <v>1.31</v>
      </c>
      <c r="O3159" t="s">
        <v>211</v>
      </c>
      <c r="P3159">
        <v>72</v>
      </c>
      <c r="Q3159">
        <v>8</v>
      </c>
      <c r="R3159" t="s">
        <v>3386</v>
      </c>
      <c r="T3159" t="s">
        <v>3402</v>
      </c>
      <c r="U3159">
        <v>195</v>
      </c>
      <c r="V3159" t="s">
        <v>193</v>
      </c>
    </row>
    <row r="3160" spans="1:22" ht="12.75" customHeight="1" x14ac:dyDescent="0.15">
      <c r="A3160">
        <v>28</v>
      </c>
      <c r="B3160">
        <v>2026</v>
      </c>
      <c r="C3160" s="21">
        <v>46218</v>
      </c>
      <c r="D3160" t="s">
        <v>101</v>
      </c>
      <c r="E3160" t="s">
        <v>102</v>
      </c>
      <c r="F3160" t="s">
        <v>75</v>
      </c>
      <c r="G3160">
        <v>7.6</v>
      </c>
      <c r="H3160" s="1" t="s">
        <v>4381</v>
      </c>
      <c r="I3160" t="s">
        <v>4382</v>
      </c>
      <c r="J3160" s="1" t="s">
        <v>4383</v>
      </c>
      <c r="K3160" t="s">
        <v>2666</v>
      </c>
      <c r="L3160" t="s">
        <v>3587</v>
      </c>
      <c r="P3160">
        <v>40</v>
      </c>
      <c r="T3160" t="s">
        <v>3402</v>
      </c>
      <c r="U3160">
        <v>78</v>
      </c>
      <c r="V3160" t="s">
        <v>3489</v>
      </c>
    </row>
    <row r="3161" spans="1:22" ht="12.75" customHeight="1" x14ac:dyDescent="0.15">
      <c r="A3161">
        <v>28</v>
      </c>
      <c r="B3161">
        <v>2026</v>
      </c>
      <c r="C3161" s="21">
        <v>46218</v>
      </c>
      <c r="D3161" t="s">
        <v>101</v>
      </c>
      <c r="E3161" t="s">
        <v>102</v>
      </c>
      <c r="F3161" t="s">
        <v>75</v>
      </c>
      <c r="G3161">
        <v>7.6</v>
      </c>
      <c r="H3161" s="1" t="s">
        <v>4378</v>
      </c>
      <c r="I3161" t="s">
        <v>4379</v>
      </c>
      <c r="J3161" s="1" t="s">
        <v>215</v>
      </c>
      <c r="K3161" t="s">
        <v>181</v>
      </c>
      <c r="L3161" t="s">
        <v>3333</v>
      </c>
      <c r="M3161">
        <v>80</v>
      </c>
      <c r="N3161">
        <v>0.63</v>
      </c>
      <c r="O3161" t="s">
        <v>213</v>
      </c>
      <c r="P3161">
        <v>56.25</v>
      </c>
      <c r="Q3161">
        <v>5</v>
      </c>
      <c r="R3161" t="s">
        <v>3560</v>
      </c>
      <c r="T3161" t="s">
        <v>3402</v>
      </c>
      <c r="U3161">
        <v>78</v>
      </c>
      <c r="V3161" t="s">
        <v>4254</v>
      </c>
    </row>
    <row r="3162" spans="1:22" ht="12.75" customHeight="1" x14ac:dyDescent="0.15">
      <c r="A3162">
        <v>28</v>
      </c>
      <c r="B3162">
        <v>2026</v>
      </c>
      <c r="C3162" s="21">
        <v>46218</v>
      </c>
      <c r="D3162" t="s">
        <v>135</v>
      </c>
      <c r="E3162" t="s">
        <v>136</v>
      </c>
      <c r="F3162" t="s">
        <v>21</v>
      </c>
      <c r="G3162">
        <v>0.5</v>
      </c>
      <c r="H3162" s="1" t="s">
        <v>3653</v>
      </c>
      <c r="I3162" t="s">
        <v>3566</v>
      </c>
      <c r="J3162" s="1" t="s">
        <v>3389</v>
      </c>
      <c r="K3162" t="s">
        <v>181</v>
      </c>
      <c r="L3162" t="s">
        <v>3340</v>
      </c>
      <c r="M3162">
        <v>21</v>
      </c>
      <c r="N3162">
        <v>2.15</v>
      </c>
      <c r="O3162" t="s">
        <v>211</v>
      </c>
      <c r="P3162">
        <v>118</v>
      </c>
      <c r="R3162" t="s">
        <v>4474</v>
      </c>
      <c r="T3162" t="s">
        <v>3402</v>
      </c>
      <c r="U3162">
        <v>19</v>
      </c>
      <c r="V3162" t="s">
        <v>4486</v>
      </c>
    </row>
    <row r="3163" spans="1:22" ht="12.75" customHeight="1" x14ac:dyDescent="0.15">
      <c r="A3163">
        <v>28</v>
      </c>
      <c r="B3163">
        <v>2026</v>
      </c>
      <c r="C3163" s="21">
        <v>46218</v>
      </c>
      <c r="D3163" t="s">
        <v>135</v>
      </c>
      <c r="E3163" t="s">
        <v>136</v>
      </c>
      <c r="F3163" t="s">
        <v>21</v>
      </c>
      <c r="G3163">
        <v>0.5</v>
      </c>
      <c r="H3163" s="1" t="s">
        <v>3878</v>
      </c>
      <c r="I3163" t="s">
        <v>3566</v>
      </c>
      <c r="J3163" s="1" t="s">
        <v>3389</v>
      </c>
      <c r="K3163" t="s">
        <v>2666</v>
      </c>
      <c r="L3163" t="s">
        <v>3587</v>
      </c>
      <c r="P3163">
        <v>64</v>
      </c>
      <c r="T3163" t="s">
        <v>3402</v>
      </c>
      <c r="U3163">
        <v>19</v>
      </c>
      <c r="V3163" t="s">
        <v>4487</v>
      </c>
    </row>
    <row r="3164" spans="1:22" ht="12.75" customHeight="1" x14ac:dyDescent="0.15">
      <c r="A3164">
        <v>28</v>
      </c>
      <c r="B3164">
        <v>2026</v>
      </c>
      <c r="C3164" s="21">
        <v>46219</v>
      </c>
      <c r="D3164" t="s">
        <v>153</v>
      </c>
      <c r="E3164" t="s">
        <v>154</v>
      </c>
      <c r="F3164" t="s">
        <v>21</v>
      </c>
      <c r="G3164">
        <v>8</v>
      </c>
      <c r="H3164" s="1" t="s">
        <v>3796</v>
      </c>
      <c r="I3164" t="s">
        <v>3667</v>
      </c>
      <c r="J3164" s="1" t="s">
        <v>3668</v>
      </c>
      <c r="K3164" t="s">
        <v>181</v>
      </c>
      <c r="L3164" t="s">
        <v>3340</v>
      </c>
      <c r="M3164">
        <v>53</v>
      </c>
      <c r="N3164">
        <v>0.82</v>
      </c>
      <c r="O3164" t="s">
        <v>211</v>
      </c>
      <c r="P3164">
        <v>45</v>
      </c>
      <c r="Q3164">
        <v>5</v>
      </c>
      <c r="R3164" t="s">
        <v>3373</v>
      </c>
      <c r="T3164" t="s">
        <v>3337</v>
      </c>
      <c r="V3164" t="s">
        <v>4008</v>
      </c>
    </row>
    <row r="3165" spans="1:22" ht="12.75" customHeight="1" x14ac:dyDescent="0.15">
      <c r="A3165">
        <v>28</v>
      </c>
      <c r="B3165">
        <v>2026</v>
      </c>
      <c r="C3165" s="21">
        <v>46219</v>
      </c>
      <c r="D3165" t="s">
        <v>153</v>
      </c>
      <c r="E3165" t="s">
        <v>154</v>
      </c>
      <c r="F3165" t="s">
        <v>21</v>
      </c>
      <c r="G3165">
        <v>8</v>
      </c>
      <c r="H3165" s="1" t="s">
        <v>3796</v>
      </c>
      <c r="I3165" t="s">
        <v>3667</v>
      </c>
      <c r="J3165" s="1" t="s">
        <v>3668</v>
      </c>
      <c r="K3165" t="s">
        <v>181</v>
      </c>
      <c r="L3165" t="s">
        <v>3340</v>
      </c>
      <c r="M3165">
        <v>58</v>
      </c>
      <c r="N3165">
        <v>0.82</v>
      </c>
      <c r="O3165" t="s">
        <v>211</v>
      </c>
      <c r="P3165">
        <v>45</v>
      </c>
      <c r="Q3165">
        <v>5</v>
      </c>
      <c r="R3165" t="s">
        <v>3343</v>
      </c>
      <c r="T3165" t="s">
        <v>3337</v>
      </c>
      <c r="V3165" t="s">
        <v>4008</v>
      </c>
    </row>
    <row r="3166" spans="1:22" ht="12.75" customHeight="1" x14ac:dyDescent="0.15">
      <c r="A3166">
        <v>28</v>
      </c>
      <c r="B3166">
        <v>2026</v>
      </c>
      <c r="C3166" s="21">
        <v>46219</v>
      </c>
      <c r="D3166" t="s">
        <v>153</v>
      </c>
      <c r="E3166" t="s">
        <v>154</v>
      </c>
      <c r="F3166" t="s">
        <v>21</v>
      </c>
      <c r="G3166">
        <v>8</v>
      </c>
      <c r="H3166" s="1" t="s">
        <v>3796</v>
      </c>
      <c r="I3166" t="s">
        <v>3667</v>
      </c>
      <c r="J3166" s="1" t="s">
        <v>3668</v>
      </c>
      <c r="K3166" t="s">
        <v>181</v>
      </c>
      <c r="L3166" t="s">
        <v>3340</v>
      </c>
      <c r="M3166">
        <v>62</v>
      </c>
      <c r="N3166">
        <v>0.82</v>
      </c>
      <c r="O3166" t="s">
        <v>211</v>
      </c>
      <c r="P3166">
        <v>45</v>
      </c>
      <c r="Q3166">
        <v>5</v>
      </c>
      <c r="R3166" t="s">
        <v>3375</v>
      </c>
      <c r="T3166" t="s">
        <v>3337</v>
      </c>
      <c r="V3166" t="s">
        <v>4008</v>
      </c>
    </row>
    <row r="3167" spans="1:22" ht="12.75" customHeight="1" x14ac:dyDescent="0.15">
      <c r="A3167">
        <v>28</v>
      </c>
      <c r="B3167">
        <v>2026</v>
      </c>
      <c r="C3167" s="21">
        <v>46219</v>
      </c>
      <c r="D3167" t="s">
        <v>80</v>
      </c>
      <c r="E3167" t="s">
        <v>81</v>
      </c>
      <c r="F3167" t="s">
        <v>21</v>
      </c>
      <c r="G3167">
        <v>2.2999999999999998</v>
      </c>
      <c r="H3167" s="1" t="s">
        <v>3339</v>
      </c>
      <c r="I3167" t="s">
        <v>187</v>
      </c>
      <c r="J3167" s="1" t="s">
        <v>188</v>
      </c>
      <c r="K3167" t="s">
        <v>181</v>
      </c>
      <c r="L3167" t="s">
        <v>3340</v>
      </c>
      <c r="M3167">
        <v>81</v>
      </c>
      <c r="N3167">
        <v>0.49</v>
      </c>
      <c r="O3167" t="s">
        <v>211</v>
      </c>
      <c r="P3167">
        <v>27</v>
      </c>
      <c r="Q3167">
        <v>3</v>
      </c>
      <c r="R3167" t="s">
        <v>3374</v>
      </c>
      <c r="T3167" t="s">
        <v>3337</v>
      </c>
      <c r="U3167">
        <v>105</v>
      </c>
      <c r="V3167" t="s">
        <v>4488</v>
      </c>
    </row>
    <row r="3168" spans="1:22" ht="12.75" customHeight="1" x14ac:dyDescent="0.15">
      <c r="A3168">
        <v>28</v>
      </c>
      <c r="B3168">
        <v>2026</v>
      </c>
      <c r="C3168" s="21">
        <v>46219</v>
      </c>
      <c r="D3168" t="s">
        <v>153</v>
      </c>
      <c r="E3168" t="s">
        <v>154</v>
      </c>
      <c r="F3168" t="s">
        <v>21</v>
      </c>
      <c r="G3168">
        <v>8</v>
      </c>
      <c r="H3168" s="1" t="s">
        <v>3796</v>
      </c>
      <c r="I3168" t="s">
        <v>3667</v>
      </c>
      <c r="J3168" s="1" t="s">
        <v>3668</v>
      </c>
      <c r="K3168" t="s">
        <v>181</v>
      </c>
      <c r="L3168" t="s">
        <v>3340</v>
      </c>
      <c r="M3168">
        <v>45</v>
      </c>
      <c r="N3168">
        <v>0.82</v>
      </c>
      <c r="O3168" t="s">
        <v>211</v>
      </c>
      <c r="P3168">
        <v>45</v>
      </c>
      <c r="Q3168">
        <v>5</v>
      </c>
      <c r="R3168" t="s">
        <v>3377</v>
      </c>
      <c r="T3168" t="s">
        <v>3337</v>
      </c>
      <c r="V3168" t="s">
        <v>4008</v>
      </c>
    </row>
    <row r="3169" spans="1:22" ht="12.75" customHeight="1" x14ac:dyDescent="0.15">
      <c r="A3169">
        <v>28</v>
      </c>
      <c r="B3169">
        <v>2026</v>
      </c>
      <c r="C3169" s="21">
        <v>46219</v>
      </c>
      <c r="D3169" t="s">
        <v>68</v>
      </c>
      <c r="E3169" t="s">
        <v>69</v>
      </c>
      <c r="F3169" t="s">
        <v>21</v>
      </c>
      <c r="G3169">
        <v>1</v>
      </c>
      <c r="H3169" s="1" t="s">
        <v>3408</v>
      </c>
      <c r="I3169" t="s">
        <v>366</v>
      </c>
      <c r="J3169" s="1" t="s">
        <v>215</v>
      </c>
      <c r="K3169" t="s">
        <v>181</v>
      </c>
      <c r="L3169" t="s">
        <v>3340</v>
      </c>
      <c r="M3169">
        <v>53</v>
      </c>
      <c r="N3169">
        <v>0.38</v>
      </c>
      <c r="O3169" t="s">
        <v>211</v>
      </c>
      <c r="P3169">
        <v>21</v>
      </c>
      <c r="R3169" t="s">
        <v>3373</v>
      </c>
      <c r="S3169" t="s">
        <v>4489</v>
      </c>
      <c r="T3169" t="s">
        <v>3337</v>
      </c>
      <c r="U3169">
        <v>105</v>
      </c>
      <c r="V3169" t="s">
        <v>3678</v>
      </c>
    </row>
    <row r="3170" spans="1:22" ht="12.75" customHeight="1" x14ac:dyDescent="0.15">
      <c r="A3170">
        <v>28</v>
      </c>
      <c r="B3170">
        <v>2026</v>
      </c>
      <c r="C3170" s="21">
        <v>46219</v>
      </c>
      <c r="D3170" t="s">
        <v>68</v>
      </c>
      <c r="E3170" t="s">
        <v>69</v>
      </c>
      <c r="F3170" t="s">
        <v>21</v>
      </c>
      <c r="G3170">
        <v>1</v>
      </c>
      <c r="H3170" s="1" t="s">
        <v>3408</v>
      </c>
      <c r="I3170" t="s">
        <v>366</v>
      </c>
      <c r="J3170" s="1" t="s">
        <v>215</v>
      </c>
      <c r="K3170" t="s">
        <v>181</v>
      </c>
      <c r="L3170" t="s">
        <v>3340</v>
      </c>
      <c r="M3170">
        <v>58</v>
      </c>
      <c r="N3170">
        <v>0.38</v>
      </c>
      <c r="O3170" t="s">
        <v>211</v>
      </c>
      <c r="P3170">
        <v>21</v>
      </c>
      <c r="R3170" t="s">
        <v>3343</v>
      </c>
      <c r="T3170" t="s">
        <v>3337</v>
      </c>
      <c r="U3170">
        <v>105</v>
      </c>
      <c r="V3170" t="s">
        <v>3678</v>
      </c>
    </row>
    <row r="3171" spans="1:22" ht="12.75" customHeight="1" x14ac:dyDescent="0.15">
      <c r="A3171">
        <v>28</v>
      </c>
      <c r="B3171">
        <v>2026</v>
      </c>
      <c r="C3171" s="21">
        <v>46219</v>
      </c>
      <c r="D3171" t="s">
        <v>68</v>
      </c>
      <c r="E3171" t="s">
        <v>69</v>
      </c>
      <c r="F3171" t="s">
        <v>21</v>
      </c>
      <c r="G3171">
        <v>1</v>
      </c>
      <c r="H3171" s="1" t="s">
        <v>3408</v>
      </c>
      <c r="I3171" t="s">
        <v>366</v>
      </c>
      <c r="J3171" s="1" t="s">
        <v>215</v>
      </c>
      <c r="K3171" t="s">
        <v>181</v>
      </c>
      <c r="L3171" t="s">
        <v>3340</v>
      </c>
      <c r="M3171">
        <v>62</v>
      </c>
      <c r="N3171">
        <v>0.38</v>
      </c>
      <c r="O3171" t="s">
        <v>211</v>
      </c>
      <c r="P3171">
        <v>21</v>
      </c>
      <c r="R3171" t="s">
        <v>3375</v>
      </c>
      <c r="T3171" t="s">
        <v>3337</v>
      </c>
      <c r="U3171">
        <v>105</v>
      </c>
      <c r="V3171" t="s">
        <v>3678</v>
      </c>
    </row>
    <row r="3172" spans="1:22" ht="12.75" customHeight="1" x14ac:dyDescent="0.15">
      <c r="A3172">
        <v>28</v>
      </c>
      <c r="B3172">
        <v>2026</v>
      </c>
      <c r="C3172" s="21">
        <v>46219</v>
      </c>
      <c r="D3172" t="s">
        <v>153</v>
      </c>
      <c r="E3172" t="s">
        <v>154</v>
      </c>
      <c r="F3172" t="s">
        <v>21</v>
      </c>
      <c r="G3172">
        <v>8</v>
      </c>
      <c r="H3172" s="1" t="s">
        <v>4490</v>
      </c>
      <c r="I3172" t="s">
        <v>3655</v>
      </c>
      <c r="J3172" s="1" t="s">
        <v>3389</v>
      </c>
      <c r="K3172" t="s">
        <v>181</v>
      </c>
      <c r="L3172" t="s">
        <v>3340</v>
      </c>
      <c r="M3172">
        <v>81</v>
      </c>
      <c r="N3172">
        <v>0.33</v>
      </c>
      <c r="O3172" t="s">
        <v>211</v>
      </c>
      <c r="P3172">
        <v>18</v>
      </c>
      <c r="Q3172">
        <v>2</v>
      </c>
      <c r="R3172" t="s">
        <v>3374</v>
      </c>
      <c r="T3172" t="s">
        <v>3337</v>
      </c>
      <c r="V3172" t="s">
        <v>3534</v>
      </c>
    </row>
    <row r="3173" spans="1:22" ht="12.75" customHeight="1" x14ac:dyDescent="0.15">
      <c r="A3173">
        <v>28</v>
      </c>
      <c r="B3173">
        <v>2026</v>
      </c>
      <c r="C3173" s="21">
        <v>46219</v>
      </c>
      <c r="D3173" t="s">
        <v>68</v>
      </c>
      <c r="E3173" s="8" t="s">
        <v>69</v>
      </c>
      <c r="F3173" t="s">
        <v>21</v>
      </c>
      <c r="G3173">
        <v>1</v>
      </c>
      <c r="H3173" s="1" t="s">
        <v>3408</v>
      </c>
      <c r="I3173" t="s">
        <v>366</v>
      </c>
      <c r="J3173" s="1" t="s">
        <v>215</v>
      </c>
      <c r="K3173" t="s">
        <v>181</v>
      </c>
      <c r="L3173" t="s">
        <v>3340</v>
      </c>
      <c r="M3173">
        <v>81</v>
      </c>
      <c r="N3173">
        <v>0.38</v>
      </c>
      <c r="O3173" t="s">
        <v>211</v>
      </c>
      <c r="P3173">
        <v>21</v>
      </c>
      <c r="R3173" t="s">
        <v>3374</v>
      </c>
      <c r="T3173" t="s">
        <v>3337</v>
      </c>
      <c r="U3173">
        <v>105</v>
      </c>
      <c r="V3173" t="s">
        <v>3678</v>
      </c>
    </row>
    <row r="3174" spans="1:22" ht="12.75" customHeight="1" x14ac:dyDescent="0.15">
      <c r="A3174">
        <v>28</v>
      </c>
      <c r="B3174">
        <v>2026</v>
      </c>
      <c r="C3174" s="21">
        <v>46219</v>
      </c>
      <c r="D3174" t="s">
        <v>68</v>
      </c>
      <c r="E3174" s="8" t="s">
        <v>69</v>
      </c>
      <c r="F3174" t="s">
        <v>21</v>
      </c>
      <c r="G3174">
        <v>1</v>
      </c>
      <c r="H3174" s="1" t="s">
        <v>3408</v>
      </c>
      <c r="I3174" t="s">
        <v>366</v>
      </c>
      <c r="J3174" s="1" t="s">
        <v>215</v>
      </c>
      <c r="K3174" t="s">
        <v>181</v>
      </c>
      <c r="L3174" t="s">
        <v>3340</v>
      </c>
      <c r="M3174">
        <v>45</v>
      </c>
      <c r="N3174">
        <v>0.38</v>
      </c>
      <c r="O3174" t="s">
        <v>211</v>
      </c>
      <c r="P3174">
        <v>21</v>
      </c>
      <c r="R3174" t="s">
        <v>3377</v>
      </c>
      <c r="T3174" t="s">
        <v>3337</v>
      </c>
      <c r="U3174">
        <v>105</v>
      </c>
      <c r="V3174" t="s">
        <v>3678</v>
      </c>
    </row>
    <row r="3175" spans="1:22" ht="12.75" customHeight="1" x14ac:dyDescent="0.15">
      <c r="A3175">
        <v>28</v>
      </c>
      <c r="B3175">
        <v>2026</v>
      </c>
      <c r="C3175" s="21">
        <v>46219</v>
      </c>
      <c r="D3175" t="s">
        <v>91</v>
      </c>
      <c r="E3175" s="8" t="s">
        <v>92</v>
      </c>
      <c r="F3175" t="s">
        <v>21</v>
      </c>
      <c r="G3175">
        <v>1.3</v>
      </c>
      <c r="H3175" s="1" t="s">
        <v>3408</v>
      </c>
      <c r="I3175" t="s">
        <v>366</v>
      </c>
      <c r="J3175" s="1" t="s">
        <v>215</v>
      </c>
      <c r="K3175" t="s">
        <v>181</v>
      </c>
      <c r="L3175" t="s">
        <v>3340</v>
      </c>
      <c r="M3175">
        <v>53</v>
      </c>
      <c r="N3175">
        <v>0.38</v>
      </c>
      <c r="O3175" t="s">
        <v>211</v>
      </c>
      <c r="P3175">
        <v>21</v>
      </c>
      <c r="R3175" t="s">
        <v>3373</v>
      </c>
      <c r="S3175" t="s">
        <v>4491</v>
      </c>
      <c r="T3175" t="s">
        <v>3337</v>
      </c>
      <c r="U3175">
        <v>89</v>
      </c>
      <c r="V3175" t="s">
        <v>4492</v>
      </c>
    </row>
    <row r="3176" spans="1:22" ht="12.75" customHeight="1" x14ac:dyDescent="0.15">
      <c r="A3176">
        <v>28</v>
      </c>
      <c r="B3176">
        <v>2026</v>
      </c>
      <c r="C3176" s="21">
        <v>46219</v>
      </c>
      <c r="D3176" t="s">
        <v>91</v>
      </c>
      <c r="E3176" s="8" t="s">
        <v>92</v>
      </c>
      <c r="F3176" t="s">
        <v>21</v>
      </c>
      <c r="G3176">
        <v>1.3</v>
      </c>
      <c r="H3176" s="1" t="s">
        <v>3408</v>
      </c>
      <c r="I3176" t="s">
        <v>366</v>
      </c>
      <c r="J3176" s="1" t="s">
        <v>215</v>
      </c>
      <c r="K3176" t="s">
        <v>181</v>
      </c>
      <c r="L3176" t="s">
        <v>3340</v>
      </c>
      <c r="M3176">
        <v>58</v>
      </c>
      <c r="N3176">
        <v>0.38</v>
      </c>
      <c r="O3176" t="s">
        <v>211</v>
      </c>
      <c r="P3176">
        <v>21</v>
      </c>
      <c r="R3176" t="s">
        <v>3343</v>
      </c>
      <c r="T3176" t="s">
        <v>3337</v>
      </c>
      <c r="U3176">
        <v>89</v>
      </c>
      <c r="V3176" t="s">
        <v>4492</v>
      </c>
    </row>
    <row r="3177" spans="1:22" ht="12.75" customHeight="1" x14ac:dyDescent="0.15">
      <c r="A3177">
        <v>28</v>
      </c>
      <c r="B3177">
        <v>2026</v>
      </c>
      <c r="C3177" s="21">
        <v>46219</v>
      </c>
      <c r="D3177" t="s">
        <v>91</v>
      </c>
      <c r="E3177" s="8" t="s">
        <v>92</v>
      </c>
      <c r="F3177" t="s">
        <v>21</v>
      </c>
      <c r="G3177">
        <v>1.3</v>
      </c>
      <c r="H3177" s="1" t="s">
        <v>3408</v>
      </c>
      <c r="I3177" t="s">
        <v>366</v>
      </c>
      <c r="J3177" s="1" t="s">
        <v>215</v>
      </c>
      <c r="K3177" t="s">
        <v>181</v>
      </c>
      <c r="L3177" t="s">
        <v>3340</v>
      </c>
      <c r="M3177">
        <v>62</v>
      </c>
      <c r="N3177">
        <v>0.38</v>
      </c>
      <c r="O3177" t="s">
        <v>211</v>
      </c>
      <c r="P3177">
        <v>21</v>
      </c>
      <c r="R3177" t="s">
        <v>3375</v>
      </c>
      <c r="T3177" t="s">
        <v>3337</v>
      </c>
      <c r="U3177">
        <v>89</v>
      </c>
      <c r="V3177" t="s">
        <v>4492</v>
      </c>
    </row>
    <row r="3178" spans="1:22" ht="12.75" customHeight="1" x14ac:dyDescent="0.15">
      <c r="A3178">
        <v>28</v>
      </c>
      <c r="B3178">
        <v>2026</v>
      </c>
      <c r="C3178" s="21">
        <v>46219</v>
      </c>
      <c r="D3178" t="s">
        <v>91</v>
      </c>
      <c r="E3178" t="s">
        <v>92</v>
      </c>
      <c r="F3178" t="s">
        <v>21</v>
      </c>
      <c r="G3178">
        <v>1.3</v>
      </c>
      <c r="H3178" s="1" t="s">
        <v>3408</v>
      </c>
      <c r="I3178" t="s">
        <v>366</v>
      </c>
      <c r="J3178" s="1" t="s">
        <v>215</v>
      </c>
      <c r="K3178" t="s">
        <v>181</v>
      </c>
      <c r="L3178" t="s">
        <v>3340</v>
      </c>
      <c r="M3178">
        <v>81</v>
      </c>
      <c r="N3178">
        <v>0.38</v>
      </c>
      <c r="O3178" t="s">
        <v>211</v>
      </c>
      <c r="P3178">
        <v>21</v>
      </c>
      <c r="R3178" t="s">
        <v>3374</v>
      </c>
      <c r="T3178" t="s">
        <v>3337</v>
      </c>
      <c r="U3178">
        <v>89</v>
      </c>
      <c r="V3178" t="s">
        <v>4492</v>
      </c>
    </row>
    <row r="3179" spans="1:22" ht="12.75" customHeight="1" x14ac:dyDescent="0.15">
      <c r="A3179">
        <v>28</v>
      </c>
      <c r="B3179">
        <v>2026</v>
      </c>
      <c r="C3179" s="21">
        <v>46219</v>
      </c>
      <c r="D3179" t="s">
        <v>91</v>
      </c>
      <c r="E3179" t="s">
        <v>92</v>
      </c>
      <c r="F3179" t="s">
        <v>21</v>
      </c>
      <c r="G3179">
        <v>1.3</v>
      </c>
      <c r="H3179" s="1" t="s">
        <v>3408</v>
      </c>
      <c r="I3179" t="s">
        <v>366</v>
      </c>
      <c r="J3179" s="1" t="s">
        <v>215</v>
      </c>
      <c r="K3179" t="s">
        <v>181</v>
      </c>
      <c r="L3179" t="s">
        <v>3340</v>
      </c>
      <c r="M3179">
        <v>45</v>
      </c>
      <c r="N3179">
        <v>0.38</v>
      </c>
      <c r="O3179" t="s">
        <v>211</v>
      </c>
      <c r="P3179">
        <v>21</v>
      </c>
      <c r="R3179" t="s">
        <v>3377</v>
      </c>
      <c r="T3179" t="s">
        <v>3337</v>
      </c>
      <c r="U3179">
        <v>89</v>
      </c>
      <c r="V3179" t="s">
        <v>4492</v>
      </c>
    </row>
    <row r="3180" spans="1:22" ht="12.75" customHeight="1" x14ac:dyDescent="0.15">
      <c r="A3180">
        <v>28</v>
      </c>
      <c r="B3180">
        <v>2026</v>
      </c>
      <c r="C3180" s="21">
        <v>46219</v>
      </c>
      <c r="D3180" t="s">
        <v>135</v>
      </c>
      <c r="E3180" t="s">
        <v>136</v>
      </c>
      <c r="F3180" t="s">
        <v>21</v>
      </c>
      <c r="G3180">
        <v>0.5</v>
      </c>
      <c r="H3180" s="1" t="s">
        <v>3495</v>
      </c>
      <c r="I3180" t="s">
        <v>29</v>
      </c>
      <c r="J3180" s="1" t="s">
        <v>30</v>
      </c>
      <c r="K3180" t="s">
        <v>181</v>
      </c>
      <c r="L3180" t="s">
        <v>3333</v>
      </c>
      <c r="M3180">
        <v>2</v>
      </c>
      <c r="N3180">
        <v>0.63</v>
      </c>
      <c r="O3180" t="s">
        <v>3440</v>
      </c>
      <c r="P3180">
        <v>56.56</v>
      </c>
      <c r="Q3180">
        <v>5</v>
      </c>
      <c r="R3180" t="s">
        <v>3424</v>
      </c>
      <c r="T3180" t="s">
        <v>3337</v>
      </c>
      <c r="U3180">
        <v>20</v>
      </c>
      <c r="V3180" t="s">
        <v>4313</v>
      </c>
    </row>
    <row r="3181" spans="1:22" ht="12.75" customHeight="1" x14ac:dyDescent="0.15">
      <c r="A3181">
        <v>28</v>
      </c>
      <c r="B3181">
        <v>2026</v>
      </c>
      <c r="C3181" s="21">
        <v>46219</v>
      </c>
      <c r="D3181" t="s">
        <v>3749</v>
      </c>
      <c r="E3181" t="s">
        <v>676</v>
      </c>
      <c r="F3181" t="s">
        <v>676</v>
      </c>
      <c r="G3181">
        <v>1</v>
      </c>
      <c r="H3181" s="1" t="s">
        <v>4425</v>
      </c>
      <c r="I3181" t="s">
        <v>3751</v>
      </c>
      <c r="J3181" s="1" t="s">
        <v>676</v>
      </c>
      <c r="K3181" t="s">
        <v>181</v>
      </c>
      <c r="L3181" t="s">
        <v>3333</v>
      </c>
      <c r="M3181">
        <v>2</v>
      </c>
      <c r="N3181">
        <v>0.13</v>
      </c>
      <c r="O3181" t="s">
        <v>3440</v>
      </c>
      <c r="P3181">
        <v>11.31</v>
      </c>
      <c r="Q3181">
        <v>1</v>
      </c>
      <c r="R3181" t="s">
        <v>3424</v>
      </c>
      <c r="T3181" t="s">
        <v>3337</v>
      </c>
      <c r="U3181">
        <v>196</v>
      </c>
      <c r="V3181" t="s">
        <v>3775</v>
      </c>
    </row>
    <row r="3182" spans="1:22" ht="12.75" customHeight="1" x14ac:dyDescent="0.15">
      <c r="A3182">
        <v>28</v>
      </c>
      <c r="B3182">
        <v>2026</v>
      </c>
      <c r="C3182" s="21">
        <v>46219</v>
      </c>
      <c r="D3182" t="s">
        <v>3749</v>
      </c>
      <c r="E3182" t="s">
        <v>676</v>
      </c>
      <c r="F3182" t="s">
        <v>676</v>
      </c>
      <c r="G3182">
        <v>1</v>
      </c>
      <c r="H3182" s="1" t="s">
        <v>4425</v>
      </c>
      <c r="I3182" t="s">
        <v>3751</v>
      </c>
      <c r="J3182" s="1" t="s">
        <v>676</v>
      </c>
      <c r="K3182" t="s">
        <v>181</v>
      </c>
      <c r="L3182" t="s">
        <v>3340</v>
      </c>
      <c r="M3182">
        <v>2</v>
      </c>
      <c r="N3182">
        <v>0.36</v>
      </c>
      <c r="O3182" t="s">
        <v>211</v>
      </c>
      <c r="P3182">
        <v>20</v>
      </c>
      <c r="R3182" t="s">
        <v>3424</v>
      </c>
      <c r="T3182" t="s">
        <v>3337</v>
      </c>
      <c r="U3182">
        <v>196</v>
      </c>
      <c r="V3182" t="s">
        <v>257</v>
      </c>
    </row>
    <row r="3183" spans="1:22" ht="12.75" customHeight="1" x14ac:dyDescent="0.15">
      <c r="A3183">
        <v>28</v>
      </c>
      <c r="B3183">
        <v>2026</v>
      </c>
      <c r="C3183" s="21">
        <v>46219</v>
      </c>
      <c r="D3183" t="s">
        <v>68</v>
      </c>
      <c r="E3183" t="s">
        <v>69</v>
      </c>
      <c r="F3183" t="s">
        <v>21</v>
      </c>
      <c r="G3183">
        <v>1</v>
      </c>
      <c r="H3183" s="1" t="s">
        <v>4301</v>
      </c>
      <c r="I3183" t="s">
        <v>3487</v>
      </c>
      <c r="J3183" s="1" t="s">
        <v>215</v>
      </c>
      <c r="K3183" t="s">
        <v>181</v>
      </c>
      <c r="L3183" t="s">
        <v>3333</v>
      </c>
      <c r="M3183">
        <v>2</v>
      </c>
      <c r="N3183">
        <v>0.13</v>
      </c>
      <c r="O3183" t="s">
        <v>3440</v>
      </c>
      <c r="P3183">
        <v>11.31</v>
      </c>
      <c r="Q3183">
        <v>1</v>
      </c>
      <c r="R3183" t="s">
        <v>3424</v>
      </c>
      <c r="T3183" t="s">
        <v>3337</v>
      </c>
      <c r="U3183">
        <v>105</v>
      </c>
      <c r="V3183" t="s">
        <v>3775</v>
      </c>
    </row>
    <row r="3184" spans="1:22" ht="12.75" customHeight="1" x14ac:dyDescent="0.15">
      <c r="A3184">
        <v>28</v>
      </c>
      <c r="B3184">
        <v>2026</v>
      </c>
      <c r="C3184" s="21">
        <v>46219</v>
      </c>
      <c r="D3184" t="s">
        <v>91</v>
      </c>
      <c r="E3184" t="s">
        <v>92</v>
      </c>
      <c r="F3184" t="s">
        <v>21</v>
      </c>
      <c r="G3184">
        <v>1.3</v>
      </c>
      <c r="H3184" s="1" t="s">
        <v>4301</v>
      </c>
      <c r="I3184" t="s">
        <v>3487</v>
      </c>
      <c r="J3184" s="1" t="s">
        <v>215</v>
      </c>
      <c r="K3184" t="s">
        <v>181</v>
      </c>
      <c r="L3184" t="s">
        <v>3333</v>
      </c>
      <c r="M3184">
        <v>2</v>
      </c>
      <c r="N3184">
        <v>0.13</v>
      </c>
      <c r="O3184" t="s">
        <v>3440</v>
      </c>
      <c r="P3184">
        <v>11.31</v>
      </c>
      <c r="Q3184">
        <v>1</v>
      </c>
      <c r="R3184" t="s">
        <v>3424</v>
      </c>
      <c r="T3184" t="s">
        <v>3337</v>
      </c>
      <c r="U3184">
        <v>89</v>
      </c>
      <c r="V3184" t="s">
        <v>3824</v>
      </c>
    </row>
    <row r="3185" spans="1:22" ht="12.75" customHeight="1" x14ac:dyDescent="0.15">
      <c r="A3185">
        <v>28</v>
      </c>
      <c r="B3185">
        <v>2026</v>
      </c>
      <c r="C3185" s="21">
        <v>46219</v>
      </c>
      <c r="D3185" t="s">
        <v>135</v>
      </c>
      <c r="E3185" t="s">
        <v>136</v>
      </c>
      <c r="F3185" t="s">
        <v>21</v>
      </c>
      <c r="G3185">
        <v>0.5</v>
      </c>
      <c r="H3185" s="1" t="s">
        <v>3495</v>
      </c>
      <c r="I3185" t="s">
        <v>29</v>
      </c>
      <c r="J3185" s="1" t="s">
        <v>30</v>
      </c>
      <c r="K3185" t="s">
        <v>181</v>
      </c>
      <c r="L3185" t="s">
        <v>3340</v>
      </c>
      <c r="M3185">
        <v>25</v>
      </c>
      <c r="N3185">
        <v>0.82</v>
      </c>
      <c r="O3185" t="s">
        <v>211</v>
      </c>
      <c r="P3185">
        <v>45</v>
      </c>
      <c r="Q3185">
        <v>5</v>
      </c>
      <c r="R3185" t="s">
        <v>3413</v>
      </c>
      <c r="T3185" t="s">
        <v>3337</v>
      </c>
      <c r="U3185">
        <v>20</v>
      </c>
      <c r="V3185" t="s">
        <v>213</v>
      </c>
    </row>
    <row r="3186" spans="1:22" ht="12.75" customHeight="1" x14ac:dyDescent="0.15">
      <c r="A3186">
        <v>28</v>
      </c>
      <c r="B3186">
        <v>2026</v>
      </c>
      <c r="C3186" s="21">
        <v>46219</v>
      </c>
      <c r="D3186" t="s">
        <v>153</v>
      </c>
      <c r="E3186" t="s">
        <v>154</v>
      </c>
      <c r="F3186" t="s">
        <v>21</v>
      </c>
      <c r="G3186">
        <v>8</v>
      </c>
      <c r="H3186" s="1" t="s">
        <v>3796</v>
      </c>
      <c r="I3186" t="s">
        <v>3667</v>
      </c>
      <c r="J3186" s="1" t="s">
        <v>3668</v>
      </c>
      <c r="K3186" t="s">
        <v>181</v>
      </c>
      <c r="L3186" t="s">
        <v>3333</v>
      </c>
      <c r="M3186">
        <v>6</v>
      </c>
      <c r="N3186">
        <v>1</v>
      </c>
      <c r="O3186" t="s">
        <v>3334</v>
      </c>
      <c r="P3186">
        <v>81.58</v>
      </c>
      <c r="Q3186">
        <v>8</v>
      </c>
      <c r="R3186" t="s">
        <v>3335</v>
      </c>
      <c r="T3186" t="s">
        <v>3337</v>
      </c>
      <c r="V3186" t="s">
        <v>3472</v>
      </c>
    </row>
    <row r="3187" spans="1:22" ht="12.75" customHeight="1" x14ac:dyDescent="0.15">
      <c r="A3187">
        <v>28</v>
      </c>
      <c r="B3187">
        <v>2026</v>
      </c>
      <c r="C3187" s="21">
        <v>46219</v>
      </c>
      <c r="D3187" t="s">
        <v>153</v>
      </c>
      <c r="E3187" t="s">
        <v>154</v>
      </c>
      <c r="F3187" t="s">
        <v>21</v>
      </c>
      <c r="G3187">
        <v>8</v>
      </c>
      <c r="H3187" s="1" t="s">
        <v>3796</v>
      </c>
      <c r="I3187" t="s">
        <v>3667</v>
      </c>
      <c r="J3187" s="1" t="s">
        <v>3668</v>
      </c>
      <c r="K3187" t="s">
        <v>181</v>
      </c>
      <c r="L3187" t="s">
        <v>3333</v>
      </c>
      <c r="M3187">
        <v>1</v>
      </c>
      <c r="N3187">
        <v>1</v>
      </c>
      <c r="O3187" t="s">
        <v>3358</v>
      </c>
      <c r="P3187">
        <v>71.86</v>
      </c>
      <c r="Q3187">
        <v>8</v>
      </c>
      <c r="R3187" t="s">
        <v>3359</v>
      </c>
      <c r="T3187" t="s">
        <v>3337</v>
      </c>
      <c r="V3187" t="s">
        <v>4467</v>
      </c>
    </row>
    <row r="3188" spans="1:22" ht="12.75" customHeight="1" x14ac:dyDescent="0.15">
      <c r="A3188">
        <v>28</v>
      </c>
      <c r="B3188">
        <v>2026</v>
      </c>
      <c r="C3188" s="21">
        <v>46219</v>
      </c>
      <c r="D3188" t="s">
        <v>135</v>
      </c>
      <c r="E3188" t="s">
        <v>136</v>
      </c>
      <c r="F3188" t="s">
        <v>21</v>
      </c>
      <c r="G3188">
        <v>0.5</v>
      </c>
      <c r="H3188" s="1" t="s">
        <v>3495</v>
      </c>
      <c r="I3188" t="s">
        <v>29</v>
      </c>
      <c r="J3188" s="1" t="s">
        <v>30</v>
      </c>
      <c r="K3188" t="s">
        <v>181</v>
      </c>
      <c r="L3188" t="s">
        <v>3333</v>
      </c>
      <c r="M3188">
        <v>67</v>
      </c>
      <c r="N3188">
        <v>0.63</v>
      </c>
      <c r="O3188" t="s">
        <v>3334</v>
      </c>
      <c r="P3188">
        <v>50.99</v>
      </c>
      <c r="Q3188">
        <v>5</v>
      </c>
      <c r="R3188" t="s">
        <v>3404</v>
      </c>
      <c r="T3188" t="s">
        <v>3402</v>
      </c>
      <c r="U3188">
        <v>20</v>
      </c>
      <c r="V3188" t="s">
        <v>4095</v>
      </c>
    </row>
    <row r="3189" spans="1:22" ht="12.75" customHeight="1" x14ac:dyDescent="0.15">
      <c r="A3189">
        <v>28</v>
      </c>
      <c r="B3189">
        <v>2026</v>
      </c>
      <c r="C3189" s="21">
        <v>46219</v>
      </c>
      <c r="D3189" t="s">
        <v>135</v>
      </c>
      <c r="E3189" t="s">
        <v>136</v>
      </c>
      <c r="F3189" t="s">
        <v>21</v>
      </c>
      <c r="G3189">
        <v>0.5</v>
      </c>
      <c r="H3189" s="1" t="s">
        <v>3495</v>
      </c>
      <c r="I3189" t="s">
        <v>29</v>
      </c>
      <c r="J3189" s="1" t="s">
        <v>30</v>
      </c>
      <c r="K3189" t="s">
        <v>181</v>
      </c>
      <c r="L3189" t="s">
        <v>3333</v>
      </c>
      <c r="M3189">
        <v>4</v>
      </c>
      <c r="N3189">
        <v>0.19</v>
      </c>
      <c r="O3189" t="s">
        <v>3334</v>
      </c>
      <c r="P3189">
        <v>15.3</v>
      </c>
      <c r="Q3189">
        <v>1.5</v>
      </c>
      <c r="R3189" t="s">
        <v>3773</v>
      </c>
      <c r="T3189" t="s">
        <v>3402</v>
      </c>
      <c r="U3189">
        <v>20</v>
      </c>
      <c r="V3189" t="s">
        <v>3491</v>
      </c>
    </row>
    <row r="3190" spans="1:22" ht="12.75" customHeight="1" x14ac:dyDescent="0.15">
      <c r="A3190">
        <v>28</v>
      </c>
      <c r="B3190">
        <v>2026</v>
      </c>
      <c r="C3190" s="21">
        <v>46219</v>
      </c>
      <c r="D3190" t="s">
        <v>135</v>
      </c>
      <c r="E3190" t="s">
        <v>136</v>
      </c>
      <c r="F3190" t="s">
        <v>21</v>
      </c>
      <c r="G3190">
        <v>0.5</v>
      </c>
      <c r="H3190" s="1" t="s">
        <v>3495</v>
      </c>
      <c r="I3190" t="s">
        <v>29</v>
      </c>
      <c r="J3190" s="1" t="s">
        <v>30</v>
      </c>
      <c r="K3190" t="s">
        <v>181</v>
      </c>
      <c r="L3190" t="s">
        <v>3340</v>
      </c>
      <c r="M3190">
        <v>78</v>
      </c>
      <c r="N3190">
        <v>0.25</v>
      </c>
      <c r="O3190" t="s">
        <v>211</v>
      </c>
      <c r="P3190">
        <v>13.5</v>
      </c>
      <c r="Q3190">
        <v>1.5</v>
      </c>
      <c r="R3190" t="s">
        <v>3341</v>
      </c>
      <c r="T3190" t="s">
        <v>3402</v>
      </c>
      <c r="U3190">
        <v>20</v>
      </c>
      <c r="V3190" t="s">
        <v>273</v>
      </c>
    </row>
    <row r="3191" spans="1:22" ht="12.75" customHeight="1" x14ac:dyDescent="0.15">
      <c r="A3191">
        <v>28</v>
      </c>
      <c r="B3191">
        <v>2026</v>
      </c>
      <c r="C3191" s="21">
        <v>46219</v>
      </c>
      <c r="D3191" t="s">
        <v>3749</v>
      </c>
      <c r="E3191" t="s">
        <v>676</v>
      </c>
      <c r="F3191" t="s">
        <v>676</v>
      </c>
      <c r="G3191">
        <v>1</v>
      </c>
      <c r="H3191" s="1" t="s">
        <v>4445</v>
      </c>
      <c r="I3191" t="s">
        <v>4446</v>
      </c>
      <c r="J3191" s="1" t="s">
        <v>676</v>
      </c>
      <c r="K3191" t="s">
        <v>181</v>
      </c>
      <c r="L3191" t="s">
        <v>3333</v>
      </c>
      <c r="M3191">
        <v>4</v>
      </c>
      <c r="N3191">
        <v>0.5</v>
      </c>
      <c r="O3191" t="s">
        <v>3334</v>
      </c>
      <c r="P3191">
        <v>40.79</v>
      </c>
      <c r="Q3191">
        <v>4</v>
      </c>
      <c r="R3191" t="s">
        <v>3773</v>
      </c>
      <c r="T3191" t="s">
        <v>3402</v>
      </c>
      <c r="U3191">
        <v>196</v>
      </c>
      <c r="V3191" t="s">
        <v>3456</v>
      </c>
    </row>
    <row r="3192" spans="1:22" ht="12.75" customHeight="1" x14ac:dyDescent="0.15">
      <c r="A3192">
        <v>28</v>
      </c>
      <c r="B3192">
        <v>2026</v>
      </c>
      <c r="C3192" s="21">
        <v>46219</v>
      </c>
      <c r="D3192" t="s">
        <v>3749</v>
      </c>
      <c r="E3192" t="s">
        <v>676</v>
      </c>
      <c r="F3192" t="s">
        <v>676</v>
      </c>
      <c r="G3192">
        <v>1</v>
      </c>
      <c r="H3192" s="1" t="s">
        <v>4445</v>
      </c>
      <c r="I3192" t="s">
        <v>4446</v>
      </c>
      <c r="J3192" s="1" t="s">
        <v>676</v>
      </c>
      <c r="K3192" t="s">
        <v>181</v>
      </c>
      <c r="L3192" t="s">
        <v>3340</v>
      </c>
      <c r="M3192">
        <v>78</v>
      </c>
      <c r="N3192">
        <v>0.65</v>
      </c>
      <c r="O3192" t="s">
        <v>211</v>
      </c>
      <c r="P3192">
        <v>36</v>
      </c>
      <c r="Q3192">
        <v>4</v>
      </c>
      <c r="R3192" t="s">
        <v>3341</v>
      </c>
      <c r="T3192" t="s">
        <v>3402</v>
      </c>
      <c r="U3192">
        <v>196</v>
      </c>
      <c r="V3192" t="s">
        <v>3507</v>
      </c>
    </row>
    <row r="3193" spans="1:22" ht="12.75" customHeight="1" x14ac:dyDescent="0.15">
      <c r="A3193">
        <v>28</v>
      </c>
      <c r="B3193">
        <v>2026</v>
      </c>
      <c r="C3193" s="21">
        <v>46219</v>
      </c>
      <c r="D3193" t="s">
        <v>3749</v>
      </c>
      <c r="E3193" t="s">
        <v>676</v>
      </c>
      <c r="F3193" t="s">
        <v>676</v>
      </c>
      <c r="G3193">
        <v>1</v>
      </c>
      <c r="H3193" s="1" t="s">
        <v>4445</v>
      </c>
      <c r="I3193" t="s">
        <v>4446</v>
      </c>
      <c r="J3193" s="1" t="s">
        <v>676</v>
      </c>
      <c r="K3193" t="s">
        <v>181</v>
      </c>
      <c r="L3193" t="s">
        <v>3333</v>
      </c>
      <c r="M3193">
        <v>86</v>
      </c>
      <c r="N3193">
        <v>0.75</v>
      </c>
      <c r="O3193" t="s">
        <v>3334</v>
      </c>
      <c r="P3193">
        <v>61.19</v>
      </c>
      <c r="Q3193">
        <v>6</v>
      </c>
      <c r="R3193" t="s">
        <v>3386</v>
      </c>
      <c r="T3193" t="s">
        <v>3402</v>
      </c>
      <c r="U3193">
        <v>196</v>
      </c>
      <c r="V3193" t="s">
        <v>3715</v>
      </c>
    </row>
    <row r="3194" spans="1:22" ht="12.75" customHeight="1" x14ac:dyDescent="0.15">
      <c r="A3194">
        <v>28</v>
      </c>
      <c r="B3194">
        <v>2026</v>
      </c>
      <c r="C3194" s="21">
        <v>46219</v>
      </c>
      <c r="D3194" t="s">
        <v>3749</v>
      </c>
      <c r="E3194" s="8" t="s">
        <v>676</v>
      </c>
      <c r="F3194" t="s">
        <v>676</v>
      </c>
      <c r="G3194">
        <v>1</v>
      </c>
      <c r="H3194" s="1" t="s">
        <v>3750</v>
      </c>
      <c r="I3194" t="s">
        <v>3751</v>
      </c>
      <c r="J3194" s="1" t="s">
        <v>676</v>
      </c>
      <c r="K3194" t="s">
        <v>181</v>
      </c>
      <c r="L3194" t="s">
        <v>3333</v>
      </c>
      <c r="M3194">
        <v>67</v>
      </c>
      <c r="N3194">
        <v>0.38</v>
      </c>
      <c r="O3194" t="s">
        <v>3334</v>
      </c>
      <c r="P3194">
        <v>30.59</v>
      </c>
      <c r="Q3194">
        <v>3</v>
      </c>
      <c r="R3194" t="s">
        <v>3404</v>
      </c>
      <c r="S3194" t="s">
        <v>4493</v>
      </c>
      <c r="T3194" t="s">
        <v>3402</v>
      </c>
      <c r="U3194">
        <v>196</v>
      </c>
      <c r="V3194" t="s">
        <v>3491</v>
      </c>
    </row>
    <row r="3195" spans="1:22" ht="12.75" customHeight="1" x14ac:dyDescent="0.15">
      <c r="A3195">
        <v>28</v>
      </c>
      <c r="B3195">
        <v>2026</v>
      </c>
      <c r="C3195" s="21">
        <v>46219</v>
      </c>
      <c r="D3195" t="s">
        <v>3749</v>
      </c>
      <c r="E3195" s="8" t="s">
        <v>676</v>
      </c>
      <c r="F3195" t="s">
        <v>676</v>
      </c>
      <c r="G3195">
        <v>1</v>
      </c>
      <c r="H3195" s="1" t="s">
        <v>3750</v>
      </c>
      <c r="I3195" t="s">
        <v>3751</v>
      </c>
      <c r="J3195" s="1" t="s">
        <v>676</v>
      </c>
      <c r="K3195" t="s">
        <v>181</v>
      </c>
      <c r="L3195" t="s">
        <v>3333</v>
      </c>
      <c r="M3195">
        <v>4</v>
      </c>
      <c r="N3195">
        <v>0.31</v>
      </c>
      <c r="O3195" t="s">
        <v>3334</v>
      </c>
      <c r="P3195">
        <v>25.49</v>
      </c>
      <c r="Q3195">
        <v>2.5</v>
      </c>
      <c r="R3195" t="s">
        <v>3773</v>
      </c>
      <c r="S3195" t="s">
        <v>4494</v>
      </c>
      <c r="T3195" t="s">
        <v>3402</v>
      </c>
      <c r="U3195">
        <v>196</v>
      </c>
      <c r="V3195" t="s">
        <v>3500</v>
      </c>
    </row>
    <row r="3196" spans="1:22" ht="12.75" customHeight="1" x14ac:dyDescent="0.15">
      <c r="A3196">
        <v>28</v>
      </c>
      <c r="B3196">
        <v>2026</v>
      </c>
      <c r="C3196" s="21">
        <v>46219</v>
      </c>
      <c r="D3196" t="s">
        <v>3749</v>
      </c>
      <c r="E3196" s="8" t="s">
        <v>676</v>
      </c>
      <c r="F3196" t="s">
        <v>676</v>
      </c>
      <c r="G3196">
        <v>1</v>
      </c>
      <c r="H3196" s="1" t="s">
        <v>3750</v>
      </c>
      <c r="I3196" t="s">
        <v>3751</v>
      </c>
      <c r="J3196" s="1" t="s">
        <v>676</v>
      </c>
      <c r="K3196" t="s">
        <v>181</v>
      </c>
      <c r="L3196" t="s">
        <v>3340</v>
      </c>
      <c r="M3196">
        <v>78</v>
      </c>
      <c r="N3196">
        <v>1.35</v>
      </c>
      <c r="O3196" t="s">
        <v>211</v>
      </c>
      <c r="P3196">
        <v>74</v>
      </c>
      <c r="R3196" t="s">
        <v>3341</v>
      </c>
      <c r="S3196" t="s">
        <v>4495</v>
      </c>
      <c r="T3196" t="s">
        <v>3402</v>
      </c>
      <c r="U3196">
        <v>196</v>
      </c>
      <c r="V3196" t="s">
        <v>4496</v>
      </c>
    </row>
    <row r="3197" spans="1:22" ht="12.75" customHeight="1" x14ac:dyDescent="0.15">
      <c r="A3197">
        <v>28</v>
      </c>
      <c r="B3197">
        <v>2026</v>
      </c>
      <c r="C3197" s="21">
        <v>46219</v>
      </c>
      <c r="D3197" t="s">
        <v>3749</v>
      </c>
      <c r="E3197" s="8" t="s">
        <v>676</v>
      </c>
      <c r="F3197" t="s">
        <v>676</v>
      </c>
      <c r="G3197">
        <v>1</v>
      </c>
      <c r="H3197" s="1" t="s">
        <v>3750</v>
      </c>
      <c r="I3197" t="s">
        <v>3751</v>
      </c>
      <c r="J3197" s="1" t="s">
        <v>676</v>
      </c>
      <c r="K3197" t="s">
        <v>181</v>
      </c>
      <c r="L3197" t="s">
        <v>3340</v>
      </c>
      <c r="M3197">
        <v>67</v>
      </c>
      <c r="N3197">
        <v>0.93</v>
      </c>
      <c r="O3197" t="s">
        <v>211</v>
      </c>
      <c r="P3197">
        <v>51</v>
      </c>
      <c r="R3197" t="s">
        <v>3404</v>
      </c>
      <c r="S3197" t="s">
        <v>4497</v>
      </c>
      <c r="T3197" t="s">
        <v>3402</v>
      </c>
      <c r="U3197">
        <v>196</v>
      </c>
      <c r="V3197" t="s">
        <v>4498</v>
      </c>
    </row>
    <row r="3198" spans="1:22" ht="12.75" customHeight="1" x14ac:dyDescent="0.15">
      <c r="A3198">
        <v>28</v>
      </c>
      <c r="B3198">
        <v>2026</v>
      </c>
      <c r="C3198" s="21">
        <v>46219</v>
      </c>
      <c r="D3198" t="s">
        <v>3749</v>
      </c>
      <c r="E3198" t="s">
        <v>676</v>
      </c>
      <c r="F3198" t="s">
        <v>676</v>
      </c>
      <c r="G3198">
        <v>1</v>
      </c>
      <c r="H3198" s="1" t="s">
        <v>3750</v>
      </c>
      <c r="I3198" t="s">
        <v>3751</v>
      </c>
      <c r="J3198" s="1" t="s">
        <v>676</v>
      </c>
      <c r="K3198" t="s">
        <v>181</v>
      </c>
      <c r="L3198" t="s">
        <v>3340</v>
      </c>
      <c r="M3198">
        <v>4</v>
      </c>
      <c r="N3198">
        <v>0.79</v>
      </c>
      <c r="O3198" t="s">
        <v>211</v>
      </c>
      <c r="P3198">
        <v>43.4</v>
      </c>
      <c r="R3198" t="s">
        <v>3773</v>
      </c>
      <c r="T3198" t="s">
        <v>3402</v>
      </c>
      <c r="U3198">
        <v>196</v>
      </c>
      <c r="V3198" t="s">
        <v>4499</v>
      </c>
    </row>
    <row r="3199" spans="1:22" ht="12.75" customHeight="1" x14ac:dyDescent="0.15">
      <c r="A3199">
        <v>28</v>
      </c>
      <c r="B3199">
        <v>2026</v>
      </c>
      <c r="C3199" s="21">
        <v>46219</v>
      </c>
      <c r="D3199" t="s">
        <v>3749</v>
      </c>
      <c r="E3199" t="s">
        <v>676</v>
      </c>
      <c r="F3199" t="s">
        <v>676</v>
      </c>
      <c r="G3199">
        <v>1</v>
      </c>
      <c r="H3199" s="1" t="s">
        <v>4438</v>
      </c>
      <c r="I3199" t="s">
        <v>4439</v>
      </c>
      <c r="J3199" s="1" t="s">
        <v>4383</v>
      </c>
      <c r="K3199" t="s">
        <v>181</v>
      </c>
      <c r="L3199" t="s">
        <v>3340</v>
      </c>
      <c r="M3199">
        <v>86</v>
      </c>
      <c r="N3199">
        <v>1.31</v>
      </c>
      <c r="O3199" t="s">
        <v>211</v>
      </c>
      <c r="P3199">
        <v>72</v>
      </c>
      <c r="Q3199">
        <v>8</v>
      </c>
      <c r="R3199" t="s">
        <v>3386</v>
      </c>
      <c r="T3199" t="s">
        <v>3402</v>
      </c>
      <c r="U3199">
        <v>196</v>
      </c>
      <c r="V3199" t="s">
        <v>193</v>
      </c>
    </row>
    <row r="3200" spans="1:22" ht="12.75" customHeight="1" x14ac:dyDescent="0.15">
      <c r="A3200">
        <v>28</v>
      </c>
      <c r="B3200">
        <v>2026</v>
      </c>
      <c r="C3200" s="21">
        <v>46219</v>
      </c>
      <c r="D3200" t="s">
        <v>80</v>
      </c>
      <c r="E3200" t="s">
        <v>81</v>
      </c>
      <c r="F3200" t="s">
        <v>21</v>
      </c>
      <c r="G3200">
        <v>2.2999999999999998</v>
      </c>
      <c r="H3200" s="1" t="s">
        <v>4378</v>
      </c>
      <c r="I3200" t="s">
        <v>4379</v>
      </c>
      <c r="J3200" s="1" t="s">
        <v>215</v>
      </c>
      <c r="K3200" t="s">
        <v>181</v>
      </c>
      <c r="L3200" t="s">
        <v>3333</v>
      </c>
      <c r="M3200">
        <v>11</v>
      </c>
      <c r="N3200">
        <v>0.25</v>
      </c>
      <c r="O3200" t="s">
        <v>213</v>
      </c>
      <c r="P3200">
        <v>22.5</v>
      </c>
      <c r="Q3200">
        <v>2</v>
      </c>
      <c r="R3200" t="s">
        <v>3564</v>
      </c>
      <c r="T3200" t="s">
        <v>3402</v>
      </c>
      <c r="U3200">
        <v>105</v>
      </c>
      <c r="V3200" t="s">
        <v>3738</v>
      </c>
    </row>
    <row r="3201" spans="1:22" ht="12.75" customHeight="1" x14ac:dyDescent="0.15">
      <c r="A3201">
        <v>28</v>
      </c>
      <c r="B3201">
        <v>2026</v>
      </c>
      <c r="C3201" s="21">
        <v>46219</v>
      </c>
      <c r="D3201" t="s">
        <v>80</v>
      </c>
      <c r="E3201" t="s">
        <v>81</v>
      </c>
      <c r="F3201" t="s">
        <v>21</v>
      </c>
      <c r="G3201">
        <v>2.2999999999999998</v>
      </c>
      <c r="H3201" s="1" t="s">
        <v>4381</v>
      </c>
      <c r="I3201" t="s">
        <v>4382</v>
      </c>
      <c r="J3201" s="1" t="s">
        <v>4383</v>
      </c>
      <c r="K3201" t="s">
        <v>2666</v>
      </c>
      <c r="L3201" t="s">
        <v>3587</v>
      </c>
      <c r="P3201">
        <v>16</v>
      </c>
      <c r="T3201" t="s">
        <v>3402</v>
      </c>
      <c r="U3201">
        <v>105</v>
      </c>
      <c r="V3201" t="s">
        <v>4500</v>
      </c>
    </row>
    <row r="3202" spans="1:22" ht="12.75" customHeight="1" x14ac:dyDescent="0.15">
      <c r="A3202">
        <v>29</v>
      </c>
      <c r="B3202">
        <v>2026</v>
      </c>
      <c r="C3202" s="21">
        <v>46220</v>
      </c>
      <c r="D3202" t="s">
        <v>153</v>
      </c>
      <c r="E3202" t="s">
        <v>154</v>
      </c>
      <c r="F3202" t="s">
        <v>21</v>
      </c>
      <c r="G3202">
        <v>8</v>
      </c>
      <c r="H3202" s="1" t="s">
        <v>3454</v>
      </c>
      <c r="I3202" t="s">
        <v>212</v>
      </c>
      <c r="J3202" s="1" t="s">
        <v>188</v>
      </c>
      <c r="K3202" t="s">
        <v>181</v>
      </c>
      <c r="L3202" t="s">
        <v>3340</v>
      </c>
      <c r="M3202">
        <v>58</v>
      </c>
      <c r="N3202">
        <v>1.31</v>
      </c>
      <c r="O3202" t="s">
        <v>211</v>
      </c>
      <c r="P3202">
        <v>72</v>
      </c>
      <c r="Q3202">
        <v>8</v>
      </c>
      <c r="R3202" t="s">
        <v>3343</v>
      </c>
      <c r="T3202" t="s">
        <v>3337</v>
      </c>
      <c r="V3202" t="s">
        <v>3473</v>
      </c>
    </row>
    <row r="3203" spans="1:22" ht="12.75" customHeight="1" x14ac:dyDescent="0.15">
      <c r="A3203">
        <v>29</v>
      </c>
      <c r="B3203">
        <v>2026</v>
      </c>
      <c r="C3203" s="21">
        <v>46220</v>
      </c>
      <c r="D3203" t="s">
        <v>3749</v>
      </c>
      <c r="E3203" t="s">
        <v>676</v>
      </c>
      <c r="F3203" t="s">
        <v>676</v>
      </c>
      <c r="G3203">
        <v>1</v>
      </c>
      <c r="H3203" s="1" t="s">
        <v>4425</v>
      </c>
      <c r="I3203" t="s">
        <v>3751</v>
      </c>
      <c r="J3203" s="1" t="s">
        <v>676</v>
      </c>
      <c r="K3203" t="s">
        <v>181</v>
      </c>
      <c r="L3203" t="s">
        <v>3340</v>
      </c>
      <c r="M3203">
        <v>53</v>
      </c>
      <c r="N3203">
        <v>1.67</v>
      </c>
      <c r="O3203" t="s">
        <v>211</v>
      </c>
      <c r="P3203">
        <v>92</v>
      </c>
      <c r="R3203" t="s">
        <v>3373</v>
      </c>
      <c r="T3203" t="s">
        <v>3337</v>
      </c>
      <c r="U3203">
        <v>197</v>
      </c>
      <c r="V3203" t="s">
        <v>4501</v>
      </c>
    </row>
    <row r="3204" spans="1:22" ht="12.75" customHeight="1" x14ac:dyDescent="0.15">
      <c r="A3204">
        <v>29</v>
      </c>
      <c r="B3204">
        <v>2026</v>
      </c>
      <c r="C3204" s="21">
        <v>46220</v>
      </c>
      <c r="D3204" t="s">
        <v>3749</v>
      </c>
      <c r="E3204" t="s">
        <v>676</v>
      </c>
      <c r="F3204" t="s">
        <v>676</v>
      </c>
      <c r="G3204">
        <v>1</v>
      </c>
      <c r="H3204" s="1" t="s">
        <v>4425</v>
      </c>
      <c r="I3204" t="s">
        <v>3751</v>
      </c>
      <c r="J3204" s="1" t="s">
        <v>676</v>
      </c>
      <c r="K3204" t="s">
        <v>181</v>
      </c>
      <c r="L3204" t="s">
        <v>3340</v>
      </c>
      <c r="M3204">
        <v>45</v>
      </c>
      <c r="N3204">
        <v>1.67</v>
      </c>
      <c r="O3204" t="s">
        <v>211</v>
      </c>
      <c r="P3204">
        <v>92</v>
      </c>
      <c r="R3204" t="s">
        <v>3377</v>
      </c>
      <c r="T3204" t="s">
        <v>3337</v>
      </c>
      <c r="U3204">
        <v>197</v>
      </c>
      <c r="V3204" t="s">
        <v>4501</v>
      </c>
    </row>
    <row r="3205" spans="1:22" ht="12.75" customHeight="1" x14ac:dyDescent="0.15">
      <c r="A3205">
        <v>29</v>
      </c>
      <c r="B3205">
        <v>2026</v>
      </c>
      <c r="C3205" s="21">
        <v>46220</v>
      </c>
      <c r="D3205" t="s">
        <v>3749</v>
      </c>
      <c r="E3205" t="s">
        <v>676</v>
      </c>
      <c r="F3205" t="s">
        <v>676</v>
      </c>
      <c r="G3205">
        <v>1</v>
      </c>
      <c r="H3205" s="1" t="s">
        <v>4454</v>
      </c>
      <c r="I3205" t="s">
        <v>4455</v>
      </c>
      <c r="J3205" s="1" t="s">
        <v>676</v>
      </c>
      <c r="K3205" t="s">
        <v>181</v>
      </c>
      <c r="L3205" t="s">
        <v>3340</v>
      </c>
      <c r="M3205">
        <v>53</v>
      </c>
      <c r="N3205">
        <v>0.41</v>
      </c>
      <c r="O3205" t="s">
        <v>211</v>
      </c>
      <c r="P3205">
        <v>22.5</v>
      </c>
      <c r="Q3205">
        <v>2.5</v>
      </c>
      <c r="R3205" t="s">
        <v>3373</v>
      </c>
      <c r="T3205" t="s">
        <v>3337</v>
      </c>
      <c r="U3205">
        <v>197</v>
      </c>
      <c r="V3205" t="s">
        <v>3523</v>
      </c>
    </row>
    <row r="3206" spans="1:22" ht="12.75" customHeight="1" x14ac:dyDescent="0.15">
      <c r="A3206">
        <v>29</v>
      </c>
      <c r="B3206">
        <v>2026</v>
      </c>
      <c r="C3206" s="21">
        <v>46220</v>
      </c>
      <c r="D3206" t="s">
        <v>3749</v>
      </c>
      <c r="E3206" t="s">
        <v>676</v>
      </c>
      <c r="F3206" t="s">
        <v>676</v>
      </c>
      <c r="G3206">
        <v>1</v>
      </c>
      <c r="H3206" s="1" t="s">
        <v>4454</v>
      </c>
      <c r="I3206" t="s">
        <v>4455</v>
      </c>
      <c r="J3206" s="1" t="s">
        <v>676</v>
      </c>
      <c r="K3206" t="s">
        <v>181</v>
      </c>
      <c r="L3206" t="s">
        <v>3340</v>
      </c>
      <c r="M3206">
        <v>45</v>
      </c>
      <c r="N3206">
        <v>0.41</v>
      </c>
      <c r="O3206" t="s">
        <v>211</v>
      </c>
      <c r="P3206">
        <v>22.5</v>
      </c>
      <c r="Q3206">
        <v>2.5</v>
      </c>
      <c r="R3206" t="s">
        <v>3377</v>
      </c>
      <c r="T3206" t="s">
        <v>3337</v>
      </c>
      <c r="U3206">
        <v>197</v>
      </c>
      <c r="V3206" t="s">
        <v>3523</v>
      </c>
    </row>
    <row r="3207" spans="1:22" ht="12.75" customHeight="1" x14ac:dyDescent="0.15">
      <c r="A3207">
        <v>29</v>
      </c>
      <c r="B3207">
        <v>2026</v>
      </c>
      <c r="C3207" s="21">
        <v>46220</v>
      </c>
      <c r="D3207" t="s">
        <v>115</v>
      </c>
      <c r="E3207" t="s">
        <v>116</v>
      </c>
      <c r="F3207" t="s">
        <v>21</v>
      </c>
      <c r="G3207">
        <v>2</v>
      </c>
      <c r="H3207" s="1" t="s">
        <v>4502</v>
      </c>
      <c r="I3207" t="s">
        <v>4379</v>
      </c>
      <c r="J3207" s="1" t="s">
        <v>215</v>
      </c>
      <c r="K3207" t="s">
        <v>181</v>
      </c>
      <c r="L3207" t="s">
        <v>3340</v>
      </c>
      <c r="M3207">
        <v>81</v>
      </c>
      <c r="N3207">
        <v>0.49</v>
      </c>
      <c r="O3207" t="s">
        <v>211</v>
      </c>
      <c r="P3207">
        <v>27</v>
      </c>
      <c r="Q3207">
        <v>3</v>
      </c>
      <c r="R3207" t="s">
        <v>3374</v>
      </c>
      <c r="T3207" t="s">
        <v>3337</v>
      </c>
      <c r="U3207">
        <v>57</v>
      </c>
      <c r="V3207" t="s">
        <v>3476</v>
      </c>
    </row>
    <row r="3208" spans="1:22" ht="12.75" customHeight="1" x14ac:dyDescent="0.15">
      <c r="A3208">
        <v>29</v>
      </c>
      <c r="B3208">
        <v>2026</v>
      </c>
      <c r="C3208" s="21">
        <v>46220</v>
      </c>
      <c r="D3208" t="s">
        <v>73</v>
      </c>
      <c r="E3208" t="s">
        <v>74</v>
      </c>
      <c r="F3208" t="s">
        <v>75</v>
      </c>
      <c r="G3208">
        <v>2.2999999999999998</v>
      </c>
      <c r="H3208" s="1" t="s">
        <v>4502</v>
      </c>
      <c r="I3208" t="s">
        <v>4379</v>
      </c>
      <c r="J3208" s="1" t="s">
        <v>215</v>
      </c>
      <c r="K3208" t="s">
        <v>181</v>
      </c>
      <c r="L3208" t="s">
        <v>3340</v>
      </c>
      <c r="M3208">
        <v>81</v>
      </c>
      <c r="N3208">
        <v>0.49</v>
      </c>
      <c r="O3208" t="s">
        <v>211</v>
      </c>
      <c r="P3208">
        <v>27</v>
      </c>
      <c r="Q3208">
        <v>3</v>
      </c>
      <c r="R3208" t="s">
        <v>3374</v>
      </c>
      <c r="T3208" t="s">
        <v>3337</v>
      </c>
      <c r="U3208">
        <v>90</v>
      </c>
      <c r="V3208" t="s">
        <v>4488</v>
      </c>
    </row>
    <row r="3209" spans="1:22" ht="12.75" customHeight="1" x14ac:dyDescent="0.15">
      <c r="A3209">
        <v>29</v>
      </c>
      <c r="B3209">
        <v>2026</v>
      </c>
      <c r="C3209" s="21">
        <v>46220</v>
      </c>
      <c r="D3209" t="s">
        <v>84</v>
      </c>
      <c r="E3209" t="s">
        <v>85</v>
      </c>
      <c r="F3209" t="s">
        <v>21</v>
      </c>
      <c r="G3209">
        <v>2</v>
      </c>
      <c r="H3209" s="1" t="s">
        <v>4502</v>
      </c>
      <c r="I3209" t="s">
        <v>4379</v>
      </c>
      <c r="J3209" s="1" t="s">
        <v>215</v>
      </c>
      <c r="K3209" t="s">
        <v>181</v>
      </c>
      <c r="L3209" t="s">
        <v>3340</v>
      </c>
      <c r="M3209">
        <v>81</v>
      </c>
      <c r="N3209">
        <v>0.49</v>
      </c>
      <c r="O3209" t="s">
        <v>211</v>
      </c>
      <c r="P3209">
        <v>27</v>
      </c>
      <c r="Q3209">
        <v>3</v>
      </c>
      <c r="R3209" t="s">
        <v>3374</v>
      </c>
      <c r="T3209" t="s">
        <v>3337</v>
      </c>
      <c r="U3209">
        <v>88</v>
      </c>
      <c r="V3209" t="s">
        <v>3476</v>
      </c>
    </row>
    <row r="3210" spans="1:22" ht="12.75" customHeight="1" x14ac:dyDescent="0.15">
      <c r="A3210">
        <v>29</v>
      </c>
      <c r="B3210">
        <v>2026</v>
      </c>
      <c r="C3210" s="21">
        <v>46220</v>
      </c>
      <c r="D3210" t="s">
        <v>135</v>
      </c>
      <c r="E3210" t="s">
        <v>136</v>
      </c>
      <c r="F3210" t="s">
        <v>21</v>
      </c>
      <c r="G3210">
        <v>0.5</v>
      </c>
      <c r="H3210" s="1" t="s">
        <v>3400</v>
      </c>
      <c r="I3210" t="s">
        <v>353</v>
      </c>
      <c r="J3210" s="1" t="s">
        <v>253</v>
      </c>
      <c r="K3210" t="s">
        <v>181</v>
      </c>
      <c r="L3210" t="s">
        <v>3340</v>
      </c>
      <c r="M3210">
        <v>81</v>
      </c>
      <c r="N3210">
        <v>0.08</v>
      </c>
      <c r="O3210" t="s">
        <v>211</v>
      </c>
      <c r="P3210">
        <v>4.5</v>
      </c>
      <c r="Q3210">
        <v>0.5</v>
      </c>
      <c r="R3210" t="s">
        <v>3374</v>
      </c>
      <c r="T3210" t="s">
        <v>3337</v>
      </c>
      <c r="U3210">
        <v>21</v>
      </c>
      <c r="V3210" t="s">
        <v>3473</v>
      </c>
    </row>
    <row r="3211" spans="1:22" ht="12.75" customHeight="1" x14ac:dyDescent="0.15">
      <c r="A3211">
        <v>29</v>
      </c>
      <c r="B3211">
        <v>2026</v>
      </c>
      <c r="C3211" s="21">
        <v>46220</v>
      </c>
      <c r="D3211" t="s">
        <v>139</v>
      </c>
      <c r="E3211" t="s">
        <v>140</v>
      </c>
      <c r="F3211" t="s">
        <v>75</v>
      </c>
      <c r="G3211">
        <v>0.8</v>
      </c>
      <c r="H3211" s="1" t="s">
        <v>3552</v>
      </c>
      <c r="I3211" t="s">
        <v>3553</v>
      </c>
      <c r="J3211" s="1" t="s">
        <v>3533</v>
      </c>
      <c r="K3211" t="s">
        <v>181</v>
      </c>
      <c r="L3211" t="s">
        <v>3340</v>
      </c>
      <c r="M3211">
        <v>62</v>
      </c>
      <c r="N3211">
        <v>1.31</v>
      </c>
      <c r="O3211" t="s">
        <v>211</v>
      </c>
      <c r="P3211">
        <v>72</v>
      </c>
      <c r="Q3211">
        <v>8</v>
      </c>
      <c r="R3211" t="s">
        <v>3375</v>
      </c>
      <c r="T3211" t="s">
        <v>3337</v>
      </c>
      <c r="U3211">
        <v>52</v>
      </c>
      <c r="V3211" t="s">
        <v>213</v>
      </c>
    </row>
    <row r="3212" spans="1:22" ht="12.75" customHeight="1" x14ac:dyDescent="0.15">
      <c r="A3212">
        <v>29</v>
      </c>
      <c r="B3212">
        <v>2026</v>
      </c>
      <c r="C3212" s="21">
        <v>46220</v>
      </c>
      <c r="D3212" t="s">
        <v>135</v>
      </c>
      <c r="E3212" s="8" t="s">
        <v>136</v>
      </c>
      <c r="F3212" t="s">
        <v>21</v>
      </c>
      <c r="G3212">
        <v>0.5</v>
      </c>
      <c r="H3212" t="s">
        <v>4503</v>
      </c>
      <c r="I3212" t="s">
        <v>4504</v>
      </c>
      <c r="J3212" s="1" t="s">
        <v>188</v>
      </c>
      <c r="K3212" t="s">
        <v>181</v>
      </c>
      <c r="L3212" t="s">
        <v>3333</v>
      </c>
      <c r="M3212">
        <v>2</v>
      </c>
      <c r="N3212">
        <v>0.13</v>
      </c>
      <c r="O3212" t="s">
        <v>3440</v>
      </c>
      <c r="P3212">
        <v>11.31</v>
      </c>
      <c r="Q3212">
        <v>1</v>
      </c>
      <c r="R3212" t="s">
        <v>3424</v>
      </c>
      <c r="T3212" t="s">
        <v>3337</v>
      </c>
      <c r="U3212">
        <v>21</v>
      </c>
      <c r="V3212" t="s">
        <v>3630</v>
      </c>
    </row>
    <row r="3213" spans="1:22" ht="12.75" customHeight="1" x14ac:dyDescent="0.15">
      <c r="A3213">
        <v>29</v>
      </c>
      <c r="B3213">
        <v>2026</v>
      </c>
      <c r="C3213" s="21">
        <v>46220</v>
      </c>
      <c r="D3213" t="s">
        <v>135</v>
      </c>
      <c r="E3213" t="s">
        <v>136</v>
      </c>
      <c r="F3213" t="s">
        <v>21</v>
      </c>
      <c r="G3213">
        <v>0.5</v>
      </c>
      <c r="H3213" t="s">
        <v>3400</v>
      </c>
      <c r="I3213" t="s">
        <v>353</v>
      </c>
      <c r="J3213" s="1" t="s">
        <v>253</v>
      </c>
      <c r="K3213" t="s">
        <v>181</v>
      </c>
      <c r="L3213" t="s">
        <v>3333</v>
      </c>
      <c r="M3213">
        <v>2</v>
      </c>
      <c r="N3213">
        <v>0.38</v>
      </c>
      <c r="O3213" t="s">
        <v>3440</v>
      </c>
      <c r="P3213">
        <v>33.93</v>
      </c>
      <c r="Q3213">
        <v>3</v>
      </c>
      <c r="R3213" t="s">
        <v>3424</v>
      </c>
      <c r="T3213" t="s">
        <v>3337</v>
      </c>
      <c r="U3213">
        <v>21</v>
      </c>
      <c r="V3213" t="s">
        <v>3716</v>
      </c>
    </row>
    <row r="3214" spans="1:22" ht="12.75" customHeight="1" x14ac:dyDescent="0.15">
      <c r="A3214">
        <v>29</v>
      </c>
      <c r="B3214">
        <v>2026</v>
      </c>
      <c r="C3214" s="21">
        <v>46220</v>
      </c>
      <c r="D3214" t="s">
        <v>101</v>
      </c>
      <c r="E3214" t="s">
        <v>102</v>
      </c>
      <c r="F3214" t="s">
        <v>75</v>
      </c>
      <c r="G3214">
        <v>7.6</v>
      </c>
      <c r="H3214" t="s">
        <v>3400</v>
      </c>
      <c r="I3214" t="s">
        <v>353</v>
      </c>
      <c r="J3214" s="1" t="s">
        <v>253</v>
      </c>
      <c r="K3214" t="s">
        <v>181</v>
      </c>
      <c r="L3214" t="s">
        <v>3333</v>
      </c>
      <c r="M3214">
        <v>2</v>
      </c>
      <c r="N3214">
        <v>0.5</v>
      </c>
      <c r="O3214" t="s">
        <v>3440</v>
      </c>
      <c r="P3214">
        <v>45.25</v>
      </c>
      <c r="Q3214">
        <v>4</v>
      </c>
      <c r="R3214" t="s">
        <v>3424</v>
      </c>
      <c r="T3214" t="s">
        <v>3337</v>
      </c>
      <c r="U3214">
        <v>80</v>
      </c>
      <c r="V3214" t="s">
        <v>3996</v>
      </c>
    </row>
    <row r="3215" spans="1:22" ht="12.75" customHeight="1" x14ac:dyDescent="0.15">
      <c r="A3215">
        <v>29</v>
      </c>
      <c r="B3215">
        <v>2026</v>
      </c>
      <c r="C3215" s="21">
        <v>46220</v>
      </c>
      <c r="D3215" t="s">
        <v>135</v>
      </c>
      <c r="E3215" t="s">
        <v>136</v>
      </c>
      <c r="F3215" t="s">
        <v>21</v>
      </c>
      <c r="G3215">
        <v>0.5</v>
      </c>
      <c r="H3215" t="s">
        <v>4503</v>
      </c>
      <c r="I3215" t="s">
        <v>4504</v>
      </c>
      <c r="J3215" s="1" t="s">
        <v>188</v>
      </c>
      <c r="K3215" t="s">
        <v>181</v>
      </c>
      <c r="L3215" t="s">
        <v>3340</v>
      </c>
      <c r="M3215">
        <v>25</v>
      </c>
      <c r="N3215">
        <v>0.16</v>
      </c>
      <c r="O3215" t="s">
        <v>211</v>
      </c>
      <c r="P3215">
        <v>9</v>
      </c>
      <c r="Q3215">
        <v>1</v>
      </c>
      <c r="R3215" t="s">
        <v>3413</v>
      </c>
      <c r="T3215" t="s">
        <v>3337</v>
      </c>
      <c r="U3215">
        <v>21</v>
      </c>
      <c r="V3215" t="s">
        <v>260</v>
      </c>
    </row>
    <row r="3216" spans="1:22" ht="12.75" customHeight="1" x14ac:dyDescent="0.15">
      <c r="A3216">
        <v>29</v>
      </c>
      <c r="B3216">
        <v>2026</v>
      </c>
      <c r="C3216" s="21">
        <v>46220</v>
      </c>
      <c r="D3216" t="s">
        <v>135</v>
      </c>
      <c r="E3216" t="s">
        <v>136</v>
      </c>
      <c r="F3216" t="s">
        <v>21</v>
      </c>
      <c r="G3216">
        <v>0.5</v>
      </c>
      <c r="H3216" t="s">
        <v>3400</v>
      </c>
      <c r="I3216" t="s">
        <v>353</v>
      </c>
      <c r="J3216" s="1" t="s">
        <v>253</v>
      </c>
      <c r="K3216" t="s">
        <v>181</v>
      </c>
      <c r="L3216" t="s">
        <v>3340</v>
      </c>
      <c r="M3216">
        <v>25</v>
      </c>
      <c r="N3216">
        <v>0.49</v>
      </c>
      <c r="O3216" t="s">
        <v>211</v>
      </c>
      <c r="P3216">
        <v>27</v>
      </c>
      <c r="Q3216">
        <v>3</v>
      </c>
      <c r="R3216" t="s">
        <v>3413</v>
      </c>
      <c r="T3216" t="s">
        <v>3337</v>
      </c>
      <c r="U3216">
        <v>21</v>
      </c>
      <c r="V3216" t="s">
        <v>3926</v>
      </c>
    </row>
    <row r="3217" spans="1:22" ht="12.75" customHeight="1" x14ac:dyDescent="0.15">
      <c r="A3217">
        <v>29</v>
      </c>
      <c r="B3217">
        <v>2026</v>
      </c>
      <c r="C3217" s="21">
        <v>46220</v>
      </c>
      <c r="D3217" t="s">
        <v>101</v>
      </c>
      <c r="E3217" t="s">
        <v>102</v>
      </c>
      <c r="F3217" t="s">
        <v>75</v>
      </c>
      <c r="G3217">
        <v>7.6</v>
      </c>
      <c r="H3217" t="s">
        <v>3400</v>
      </c>
      <c r="I3217" t="s">
        <v>353</v>
      </c>
      <c r="J3217" s="1" t="s">
        <v>253</v>
      </c>
      <c r="K3217" t="s">
        <v>181</v>
      </c>
      <c r="L3217" t="s">
        <v>3340</v>
      </c>
      <c r="M3217">
        <v>25</v>
      </c>
      <c r="N3217">
        <v>0.35</v>
      </c>
      <c r="O3217" t="s">
        <v>211</v>
      </c>
      <c r="P3217">
        <v>19</v>
      </c>
      <c r="Q3217">
        <v>2</v>
      </c>
      <c r="R3217" t="s">
        <v>3413</v>
      </c>
      <c r="T3217" t="s">
        <v>3337</v>
      </c>
      <c r="U3217">
        <v>80</v>
      </c>
      <c r="V3217" t="s">
        <v>4326</v>
      </c>
    </row>
    <row r="3218" spans="1:22" ht="12.75" customHeight="1" x14ac:dyDescent="0.15">
      <c r="A3218">
        <v>29</v>
      </c>
      <c r="B3218">
        <v>2026</v>
      </c>
      <c r="C3218" s="21">
        <v>46220</v>
      </c>
      <c r="D3218" t="s">
        <v>135</v>
      </c>
      <c r="E3218" t="s">
        <v>136</v>
      </c>
      <c r="F3218" t="s">
        <v>21</v>
      </c>
      <c r="G3218">
        <v>0.5</v>
      </c>
      <c r="H3218" t="s">
        <v>4503</v>
      </c>
      <c r="I3218" t="s">
        <v>4504</v>
      </c>
      <c r="J3218" s="1" t="s">
        <v>188</v>
      </c>
      <c r="K3218" t="s">
        <v>181</v>
      </c>
      <c r="L3218" t="s">
        <v>23</v>
      </c>
      <c r="M3218">
        <v>176</v>
      </c>
      <c r="P3218">
        <v>18</v>
      </c>
      <c r="Q3218">
        <v>1</v>
      </c>
      <c r="R3218" t="s">
        <v>4361</v>
      </c>
      <c r="S3218" t="s">
        <v>4505</v>
      </c>
      <c r="T3218" t="s">
        <v>3337</v>
      </c>
      <c r="U3218">
        <v>21</v>
      </c>
      <c r="V3218" t="s">
        <v>3507</v>
      </c>
    </row>
    <row r="3219" spans="1:22" ht="12.75" customHeight="1" x14ac:dyDescent="0.15">
      <c r="A3219">
        <v>29</v>
      </c>
      <c r="B3219">
        <v>2026</v>
      </c>
      <c r="C3219" s="21">
        <v>46220</v>
      </c>
      <c r="D3219" t="s">
        <v>135</v>
      </c>
      <c r="E3219" t="s">
        <v>136</v>
      </c>
      <c r="F3219" t="s">
        <v>21</v>
      </c>
      <c r="G3219">
        <v>0.5</v>
      </c>
      <c r="H3219" t="s">
        <v>3400</v>
      </c>
      <c r="I3219" t="s">
        <v>353</v>
      </c>
      <c r="J3219" s="1" t="s">
        <v>253</v>
      </c>
      <c r="K3219" t="s">
        <v>181</v>
      </c>
      <c r="L3219" t="s">
        <v>23</v>
      </c>
      <c r="M3219">
        <v>176</v>
      </c>
      <c r="P3219">
        <v>54</v>
      </c>
      <c r="Q3219">
        <v>3</v>
      </c>
      <c r="R3219" t="s">
        <v>4361</v>
      </c>
      <c r="S3219" t="s">
        <v>4505</v>
      </c>
      <c r="T3219" t="s">
        <v>3337</v>
      </c>
      <c r="U3219">
        <v>21</v>
      </c>
      <c r="V3219" t="s">
        <v>4506</v>
      </c>
    </row>
    <row r="3220" spans="1:22" ht="12.75" customHeight="1" x14ac:dyDescent="0.15">
      <c r="A3220">
        <v>29</v>
      </c>
      <c r="B3220">
        <v>2026</v>
      </c>
      <c r="C3220" s="21">
        <v>46220</v>
      </c>
      <c r="D3220" t="s">
        <v>101</v>
      </c>
      <c r="E3220" t="s">
        <v>102</v>
      </c>
      <c r="F3220" t="s">
        <v>75</v>
      </c>
      <c r="G3220">
        <v>7.6</v>
      </c>
      <c r="H3220" t="s">
        <v>3400</v>
      </c>
      <c r="I3220" t="s">
        <v>353</v>
      </c>
      <c r="J3220" s="1" t="s">
        <v>253</v>
      </c>
      <c r="K3220" t="s">
        <v>181</v>
      </c>
      <c r="L3220" t="s">
        <v>23</v>
      </c>
      <c r="M3220">
        <v>176</v>
      </c>
      <c r="P3220">
        <v>38</v>
      </c>
      <c r="Q3220">
        <v>2</v>
      </c>
      <c r="R3220" t="s">
        <v>4361</v>
      </c>
      <c r="S3220" t="s">
        <v>4505</v>
      </c>
      <c r="T3220" t="s">
        <v>3337</v>
      </c>
      <c r="U3220">
        <v>80</v>
      </c>
      <c r="V3220" t="s">
        <v>3504</v>
      </c>
    </row>
    <row r="3221" spans="1:22" ht="12.75" customHeight="1" x14ac:dyDescent="0.15">
      <c r="A3221">
        <v>29</v>
      </c>
      <c r="B3221">
        <v>2026</v>
      </c>
      <c r="C3221" s="21">
        <v>46220</v>
      </c>
      <c r="D3221" t="s">
        <v>153</v>
      </c>
      <c r="E3221" t="s">
        <v>154</v>
      </c>
      <c r="F3221" t="s">
        <v>21</v>
      </c>
      <c r="G3221">
        <v>8</v>
      </c>
      <c r="H3221" t="s">
        <v>3454</v>
      </c>
      <c r="I3221" t="s">
        <v>212</v>
      </c>
      <c r="J3221" s="1" t="s">
        <v>188</v>
      </c>
      <c r="K3221" t="s">
        <v>181</v>
      </c>
      <c r="L3221" t="s">
        <v>3333</v>
      </c>
      <c r="M3221">
        <v>6</v>
      </c>
      <c r="N3221">
        <v>1</v>
      </c>
      <c r="O3221" t="s">
        <v>3334</v>
      </c>
      <c r="P3221">
        <v>81.58</v>
      </c>
      <c r="Q3221">
        <v>8</v>
      </c>
      <c r="R3221" t="s">
        <v>3335</v>
      </c>
      <c r="T3221" t="s">
        <v>3337</v>
      </c>
      <c r="V3221" t="s">
        <v>3472</v>
      </c>
    </row>
    <row r="3222" spans="1:22" ht="12.75" customHeight="1" x14ac:dyDescent="0.15">
      <c r="A3222">
        <v>29</v>
      </c>
      <c r="B3222">
        <v>2026</v>
      </c>
      <c r="C3222" s="21">
        <v>46220</v>
      </c>
      <c r="D3222" t="s">
        <v>153</v>
      </c>
      <c r="E3222" t="s">
        <v>154</v>
      </c>
      <c r="F3222" t="s">
        <v>21</v>
      </c>
      <c r="G3222">
        <v>8</v>
      </c>
      <c r="H3222" t="s">
        <v>3454</v>
      </c>
      <c r="I3222" t="s">
        <v>212</v>
      </c>
      <c r="J3222" s="1" t="s">
        <v>188</v>
      </c>
      <c r="K3222" t="s">
        <v>181</v>
      </c>
      <c r="L3222" t="s">
        <v>3340</v>
      </c>
      <c r="M3222">
        <v>6</v>
      </c>
      <c r="N3222">
        <v>0.65</v>
      </c>
      <c r="O3222" t="s">
        <v>211</v>
      </c>
      <c r="P3222">
        <v>36</v>
      </c>
      <c r="Q3222">
        <v>4</v>
      </c>
      <c r="R3222" t="s">
        <v>3335</v>
      </c>
      <c r="T3222" t="s">
        <v>3337</v>
      </c>
      <c r="V3222" t="s">
        <v>3464</v>
      </c>
    </row>
    <row r="3223" spans="1:22" ht="12.75" customHeight="1" x14ac:dyDescent="0.15">
      <c r="A3223">
        <v>29</v>
      </c>
      <c r="B3223">
        <v>2026</v>
      </c>
      <c r="C3223" s="21">
        <v>46220</v>
      </c>
      <c r="D3223" t="s">
        <v>153</v>
      </c>
      <c r="E3223" t="s">
        <v>154</v>
      </c>
      <c r="F3223" t="s">
        <v>21</v>
      </c>
      <c r="G3223">
        <v>8</v>
      </c>
      <c r="H3223" t="s">
        <v>3454</v>
      </c>
      <c r="I3223" t="s">
        <v>212</v>
      </c>
      <c r="J3223" s="1" t="s">
        <v>188</v>
      </c>
      <c r="K3223" t="s">
        <v>181</v>
      </c>
      <c r="L3223" t="s">
        <v>3333</v>
      </c>
      <c r="M3223">
        <v>1</v>
      </c>
      <c r="N3223">
        <v>1</v>
      </c>
      <c r="O3223" t="s">
        <v>3358</v>
      </c>
      <c r="P3223">
        <v>71.86</v>
      </c>
      <c r="Q3223">
        <v>8</v>
      </c>
      <c r="R3223" t="s">
        <v>3359</v>
      </c>
      <c r="T3223" t="s">
        <v>3337</v>
      </c>
      <c r="V3223" t="s">
        <v>4467</v>
      </c>
    </row>
    <row r="3224" spans="1:22" ht="12.75" customHeight="1" x14ac:dyDescent="0.15">
      <c r="A3224">
        <v>29</v>
      </c>
      <c r="B3224">
        <v>2026</v>
      </c>
      <c r="C3224" s="21">
        <v>46220</v>
      </c>
      <c r="D3224" t="s">
        <v>3749</v>
      </c>
      <c r="E3224" t="s">
        <v>676</v>
      </c>
      <c r="F3224" t="s">
        <v>676</v>
      </c>
      <c r="G3224">
        <v>1</v>
      </c>
      <c r="H3224" t="s">
        <v>3750</v>
      </c>
      <c r="I3224" t="s">
        <v>3751</v>
      </c>
      <c r="J3224" s="1" t="s">
        <v>676</v>
      </c>
      <c r="K3224" t="s">
        <v>181</v>
      </c>
      <c r="L3224" t="s">
        <v>3333</v>
      </c>
      <c r="M3224">
        <v>67</v>
      </c>
      <c r="N3224">
        <v>0.88</v>
      </c>
      <c r="O3224" t="s">
        <v>3334</v>
      </c>
      <c r="P3224">
        <v>71.38</v>
      </c>
      <c r="Q3224">
        <v>7</v>
      </c>
      <c r="R3224" t="s">
        <v>3404</v>
      </c>
      <c r="S3224" t="s">
        <v>4507</v>
      </c>
      <c r="T3224" t="s">
        <v>3402</v>
      </c>
      <c r="U3224">
        <v>197</v>
      </c>
      <c r="V3224" t="s">
        <v>3925</v>
      </c>
    </row>
    <row r="3225" spans="1:22" ht="12.75" customHeight="1" x14ac:dyDescent="0.15">
      <c r="A3225">
        <v>29</v>
      </c>
      <c r="B3225">
        <v>2026</v>
      </c>
      <c r="C3225" s="21">
        <v>46220</v>
      </c>
      <c r="D3225" t="s">
        <v>3749</v>
      </c>
      <c r="E3225" t="s">
        <v>676</v>
      </c>
      <c r="F3225" t="s">
        <v>676</v>
      </c>
      <c r="G3225">
        <v>1</v>
      </c>
      <c r="H3225" t="s">
        <v>3750</v>
      </c>
      <c r="I3225" t="s">
        <v>3751</v>
      </c>
      <c r="J3225" s="1" t="s">
        <v>676</v>
      </c>
      <c r="K3225" t="s">
        <v>181</v>
      </c>
      <c r="L3225" t="s">
        <v>3340</v>
      </c>
      <c r="M3225">
        <v>78</v>
      </c>
      <c r="N3225">
        <v>1.96</v>
      </c>
      <c r="O3225" t="s">
        <v>211</v>
      </c>
      <c r="P3225">
        <v>108</v>
      </c>
      <c r="R3225" t="s">
        <v>3341</v>
      </c>
      <c r="S3225" t="s">
        <v>4508</v>
      </c>
      <c r="T3225" t="s">
        <v>3402</v>
      </c>
      <c r="U3225">
        <v>197</v>
      </c>
      <c r="V3225" t="s">
        <v>4506</v>
      </c>
    </row>
    <row r="3226" spans="1:22" ht="12.75" customHeight="1" x14ac:dyDescent="0.15">
      <c r="A3226">
        <v>29</v>
      </c>
      <c r="B3226">
        <v>2026</v>
      </c>
      <c r="C3226" s="21">
        <v>46220</v>
      </c>
      <c r="D3226" t="s">
        <v>3749</v>
      </c>
      <c r="E3226" t="s">
        <v>676</v>
      </c>
      <c r="F3226" t="s">
        <v>676</v>
      </c>
      <c r="G3226">
        <v>1</v>
      </c>
      <c r="H3226" t="s">
        <v>3750</v>
      </c>
      <c r="I3226" t="s">
        <v>3751</v>
      </c>
      <c r="J3226" s="1" t="s">
        <v>676</v>
      </c>
      <c r="K3226" t="s">
        <v>181</v>
      </c>
      <c r="L3226" t="s">
        <v>3340</v>
      </c>
      <c r="M3226">
        <v>67</v>
      </c>
      <c r="N3226">
        <v>0.87</v>
      </c>
      <c r="O3226" t="s">
        <v>211</v>
      </c>
      <c r="P3226">
        <v>48</v>
      </c>
      <c r="R3226" t="s">
        <v>3404</v>
      </c>
      <c r="S3226" t="s">
        <v>4509</v>
      </c>
      <c r="T3226" t="s">
        <v>3402</v>
      </c>
      <c r="U3226">
        <v>197</v>
      </c>
      <c r="V3226" t="s">
        <v>3662</v>
      </c>
    </row>
    <row r="3227" spans="1:22" ht="12.75" customHeight="1" x14ac:dyDescent="0.15">
      <c r="A3227">
        <v>29</v>
      </c>
      <c r="B3227">
        <v>2026</v>
      </c>
      <c r="C3227" s="21">
        <v>46220</v>
      </c>
      <c r="D3227" t="s">
        <v>3749</v>
      </c>
      <c r="E3227" t="s">
        <v>676</v>
      </c>
      <c r="F3227" t="s">
        <v>676</v>
      </c>
      <c r="G3227">
        <v>1</v>
      </c>
      <c r="H3227" t="s">
        <v>4464</v>
      </c>
      <c r="I3227" t="s">
        <v>4455</v>
      </c>
      <c r="J3227" s="1" t="s">
        <v>676</v>
      </c>
      <c r="K3227" t="s">
        <v>181</v>
      </c>
      <c r="L3227" t="s">
        <v>3333</v>
      </c>
      <c r="M3227">
        <v>67</v>
      </c>
      <c r="N3227">
        <v>0.13</v>
      </c>
      <c r="O3227" t="s">
        <v>3334</v>
      </c>
      <c r="P3227">
        <v>10.199999999999999</v>
      </c>
      <c r="Q3227">
        <v>1</v>
      </c>
      <c r="R3227" t="s">
        <v>3404</v>
      </c>
      <c r="S3227" t="s">
        <v>4510</v>
      </c>
      <c r="T3227" t="s">
        <v>3402</v>
      </c>
      <c r="U3227">
        <v>197</v>
      </c>
      <c r="V3227" t="s">
        <v>3472</v>
      </c>
    </row>
    <row r="3228" spans="1:22" ht="12.75" customHeight="1" x14ac:dyDescent="0.15">
      <c r="A3228">
        <v>29</v>
      </c>
      <c r="B3228">
        <v>2026</v>
      </c>
      <c r="C3228" s="21">
        <v>46220</v>
      </c>
      <c r="D3228" t="s">
        <v>3749</v>
      </c>
      <c r="E3228" t="s">
        <v>676</v>
      </c>
      <c r="F3228" t="s">
        <v>676</v>
      </c>
      <c r="G3228">
        <v>1</v>
      </c>
      <c r="H3228" t="s">
        <v>4464</v>
      </c>
      <c r="I3228" t="s">
        <v>4455</v>
      </c>
      <c r="J3228" s="1" t="s">
        <v>676</v>
      </c>
      <c r="K3228" t="s">
        <v>181</v>
      </c>
      <c r="L3228" t="s">
        <v>3340</v>
      </c>
      <c r="M3228">
        <v>67</v>
      </c>
      <c r="N3228">
        <v>0.25</v>
      </c>
      <c r="O3228" t="s">
        <v>211</v>
      </c>
      <c r="P3228">
        <v>13.5</v>
      </c>
      <c r="Q3228">
        <v>1.5</v>
      </c>
      <c r="R3228" t="s">
        <v>3404</v>
      </c>
      <c r="S3228" t="s">
        <v>4511</v>
      </c>
      <c r="T3228" t="s">
        <v>3402</v>
      </c>
      <c r="U3228">
        <v>197</v>
      </c>
      <c r="V3228" t="s">
        <v>3476</v>
      </c>
    </row>
    <row r="3229" spans="1:22" ht="12.75" customHeight="1" x14ac:dyDescent="0.15">
      <c r="A3229">
        <v>29</v>
      </c>
      <c r="B3229">
        <v>2026</v>
      </c>
      <c r="C3229" s="21">
        <v>46220</v>
      </c>
      <c r="D3229" t="s">
        <v>3749</v>
      </c>
      <c r="E3229" t="s">
        <v>676</v>
      </c>
      <c r="F3229" t="s">
        <v>676</v>
      </c>
      <c r="G3229">
        <v>1</v>
      </c>
      <c r="H3229" t="s">
        <v>4464</v>
      </c>
      <c r="I3229" t="s">
        <v>4455</v>
      </c>
      <c r="J3229" s="1" t="s">
        <v>676</v>
      </c>
      <c r="K3229" t="s">
        <v>181</v>
      </c>
      <c r="L3229" t="s">
        <v>3340</v>
      </c>
      <c r="M3229">
        <v>78</v>
      </c>
      <c r="N3229">
        <v>0.41</v>
      </c>
      <c r="O3229" t="s">
        <v>211</v>
      </c>
      <c r="P3229">
        <v>22.5</v>
      </c>
      <c r="Q3229">
        <v>2.5</v>
      </c>
      <c r="R3229" t="s">
        <v>3341</v>
      </c>
      <c r="T3229" t="s">
        <v>3402</v>
      </c>
      <c r="U3229">
        <v>197</v>
      </c>
      <c r="V3229" t="s">
        <v>3523</v>
      </c>
    </row>
    <row r="3230" spans="1:22" ht="12.75" customHeight="1" x14ac:dyDescent="0.15">
      <c r="A3230">
        <v>29</v>
      </c>
      <c r="B3230">
        <v>2026</v>
      </c>
      <c r="C3230" s="21">
        <v>46220</v>
      </c>
      <c r="D3230" t="s">
        <v>3749</v>
      </c>
      <c r="E3230" t="s">
        <v>676</v>
      </c>
      <c r="F3230" t="s">
        <v>676</v>
      </c>
      <c r="G3230">
        <v>1</v>
      </c>
      <c r="H3230" t="s">
        <v>4445</v>
      </c>
      <c r="I3230" t="s">
        <v>4446</v>
      </c>
      <c r="J3230" s="1" t="s">
        <v>676</v>
      </c>
      <c r="K3230" t="s">
        <v>181</v>
      </c>
      <c r="L3230" t="s">
        <v>3340</v>
      </c>
      <c r="M3230">
        <v>86</v>
      </c>
      <c r="N3230">
        <v>0.25</v>
      </c>
      <c r="O3230" t="s">
        <v>211</v>
      </c>
      <c r="P3230">
        <v>13.5</v>
      </c>
      <c r="Q3230">
        <v>1.5</v>
      </c>
      <c r="R3230" t="s">
        <v>3386</v>
      </c>
      <c r="T3230" t="s">
        <v>3402</v>
      </c>
      <c r="U3230">
        <v>197</v>
      </c>
      <c r="V3230" t="s">
        <v>3476</v>
      </c>
    </row>
    <row r="3231" spans="1:22" ht="12.75" customHeight="1" x14ac:dyDescent="0.15">
      <c r="A3231">
        <v>29</v>
      </c>
      <c r="B3231">
        <v>2026</v>
      </c>
      <c r="C3231" s="21">
        <v>46220</v>
      </c>
      <c r="D3231" t="s">
        <v>3749</v>
      </c>
      <c r="E3231" s="8" t="s">
        <v>676</v>
      </c>
      <c r="F3231" t="s">
        <v>676</v>
      </c>
      <c r="G3231">
        <v>1</v>
      </c>
      <c r="H3231" t="s">
        <v>4438</v>
      </c>
      <c r="I3231" t="s">
        <v>4439</v>
      </c>
      <c r="J3231" s="1" t="s">
        <v>4383</v>
      </c>
      <c r="K3231" t="s">
        <v>181</v>
      </c>
      <c r="L3231" t="s">
        <v>3333</v>
      </c>
      <c r="M3231">
        <v>86</v>
      </c>
      <c r="N3231">
        <v>1</v>
      </c>
      <c r="O3231" t="s">
        <v>3334</v>
      </c>
      <c r="P3231">
        <v>81.58</v>
      </c>
      <c r="Q3231">
        <v>8</v>
      </c>
      <c r="R3231" t="s">
        <v>3386</v>
      </c>
      <c r="T3231" t="s">
        <v>3402</v>
      </c>
      <c r="U3231">
        <v>197</v>
      </c>
      <c r="V3231" t="s">
        <v>3334</v>
      </c>
    </row>
    <row r="3232" spans="1:22" ht="12.75" customHeight="1" x14ac:dyDescent="0.15">
      <c r="A3232">
        <v>29</v>
      </c>
      <c r="B3232">
        <v>2026</v>
      </c>
      <c r="C3232" s="21">
        <v>46220</v>
      </c>
      <c r="D3232" t="s">
        <v>139</v>
      </c>
      <c r="E3232" s="8" t="s">
        <v>140</v>
      </c>
      <c r="F3232" t="s">
        <v>75</v>
      </c>
      <c r="G3232">
        <v>0.8</v>
      </c>
      <c r="H3232" t="s">
        <v>3803</v>
      </c>
      <c r="I3232" t="s">
        <v>3676</v>
      </c>
      <c r="J3232" s="1" t="s">
        <v>3533</v>
      </c>
      <c r="K3232" t="s">
        <v>181</v>
      </c>
      <c r="L3232" t="s">
        <v>3333</v>
      </c>
      <c r="M3232">
        <v>4</v>
      </c>
      <c r="N3232">
        <v>1</v>
      </c>
      <c r="O3232" t="s">
        <v>3334</v>
      </c>
      <c r="P3232">
        <v>81.58</v>
      </c>
      <c r="Q3232">
        <v>8</v>
      </c>
      <c r="R3232" t="s">
        <v>3773</v>
      </c>
      <c r="S3232" t="s">
        <v>4512</v>
      </c>
      <c r="T3232" t="s">
        <v>3402</v>
      </c>
      <c r="U3232">
        <v>52</v>
      </c>
      <c r="V3232" t="s">
        <v>4095</v>
      </c>
    </row>
    <row r="3233" spans="1:22" ht="12.75" customHeight="1" x14ac:dyDescent="0.15">
      <c r="A3233">
        <v>29</v>
      </c>
      <c r="B3233">
        <v>2026</v>
      </c>
      <c r="C3233" s="21">
        <v>46220</v>
      </c>
      <c r="D3233" t="s">
        <v>135</v>
      </c>
      <c r="E3233" s="8" t="s">
        <v>136</v>
      </c>
      <c r="F3233" t="s">
        <v>21</v>
      </c>
      <c r="G3233">
        <v>0.5</v>
      </c>
      <c r="H3233" t="s">
        <v>3845</v>
      </c>
      <c r="I3233" t="s">
        <v>380</v>
      </c>
      <c r="J3233" s="1" t="s">
        <v>3533</v>
      </c>
      <c r="K3233" t="s">
        <v>181</v>
      </c>
      <c r="L3233" t="s">
        <v>3340</v>
      </c>
      <c r="M3233">
        <v>4</v>
      </c>
      <c r="N3233">
        <v>0.33</v>
      </c>
      <c r="O3233" t="s">
        <v>211</v>
      </c>
      <c r="P3233">
        <v>18</v>
      </c>
      <c r="Q3233">
        <v>2</v>
      </c>
      <c r="R3233" t="s">
        <v>3773</v>
      </c>
      <c r="T3233" t="s">
        <v>3402</v>
      </c>
      <c r="U3233">
        <v>21</v>
      </c>
      <c r="V3233" t="s">
        <v>3507</v>
      </c>
    </row>
    <row r="3234" spans="1:22" ht="12.75" customHeight="1" x14ac:dyDescent="0.15">
      <c r="A3234">
        <v>29</v>
      </c>
      <c r="B3234">
        <v>2026</v>
      </c>
      <c r="C3234" s="21">
        <v>46221</v>
      </c>
      <c r="D3234" t="s">
        <v>122</v>
      </c>
      <c r="E3234" t="s">
        <v>123</v>
      </c>
      <c r="F3234" t="s">
        <v>75</v>
      </c>
      <c r="G3234">
        <v>4.5</v>
      </c>
      <c r="H3234" t="s">
        <v>3514</v>
      </c>
      <c r="I3234" t="s">
        <v>366</v>
      </c>
      <c r="J3234" s="1" t="s">
        <v>215</v>
      </c>
      <c r="K3234" t="s">
        <v>181</v>
      </c>
      <c r="L3234" t="s">
        <v>3340</v>
      </c>
      <c r="M3234">
        <v>53</v>
      </c>
      <c r="N3234">
        <v>0.67</v>
      </c>
      <c r="O3234" t="s">
        <v>211</v>
      </c>
      <c r="P3234">
        <v>36.799999999999997</v>
      </c>
      <c r="Q3234">
        <v>5</v>
      </c>
      <c r="R3234" t="s">
        <v>3373</v>
      </c>
      <c r="S3234" t="s">
        <v>4513</v>
      </c>
      <c r="T3234" t="s">
        <v>3337</v>
      </c>
      <c r="V3234" t="s">
        <v>4514</v>
      </c>
    </row>
    <row r="3235" spans="1:22" ht="12.75" customHeight="1" x14ac:dyDescent="0.15">
      <c r="A3235">
        <v>29</v>
      </c>
      <c r="B3235">
        <v>2026</v>
      </c>
      <c r="C3235" s="21">
        <v>46221</v>
      </c>
      <c r="D3235" t="s">
        <v>122</v>
      </c>
      <c r="E3235" t="s">
        <v>123</v>
      </c>
      <c r="F3235" t="s">
        <v>75</v>
      </c>
      <c r="G3235">
        <v>4.5</v>
      </c>
      <c r="H3235" t="s">
        <v>3514</v>
      </c>
      <c r="I3235" t="s">
        <v>366</v>
      </c>
      <c r="J3235" s="1" t="s">
        <v>215</v>
      </c>
      <c r="K3235" t="s">
        <v>181</v>
      </c>
      <c r="L3235" t="s">
        <v>3340</v>
      </c>
      <c r="M3235">
        <v>58</v>
      </c>
      <c r="N3235">
        <v>0.67</v>
      </c>
      <c r="O3235" t="s">
        <v>211</v>
      </c>
      <c r="P3235">
        <v>36.799999999999997</v>
      </c>
      <c r="Q3235">
        <v>5</v>
      </c>
      <c r="R3235" t="s">
        <v>3343</v>
      </c>
      <c r="T3235" t="s">
        <v>3337</v>
      </c>
      <c r="V3235" t="s">
        <v>4514</v>
      </c>
    </row>
    <row r="3236" spans="1:22" ht="12.75" customHeight="1" x14ac:dyDescent="0.15">
      <c r="A3236">
        <v>29</v>
      </c>
      <c r="B3236">
        <v>2026</v>
      </c>
      <c r="C3236" s="21">
        <v>46221</v>
      </c>
      <c r="D3236" t="s">
        <v>122</v>
      </c>
      <c r="E3236" t="s">
        <v>123</v>
      </c>
      <c r="F3236" t="s">
        <v>75</v>
      </c>
      <c r="G3236">
        <v>4.5</v>
      </c>
      <c r="H3236" t="s">
        <v>3514</v>
      </c>
      <c r="I3236" t="s">
        <v>366</v>
      </c>
      <c r="J3236" s="1" t="s">
        <v>215</v>
      </c>
      <c r="K3236" t="s">
        <v>181</v>
      </c>
      <c r="L3236" t="s">
        <v>3340</v>
      </c>
      <c r="M3236">
        <v>62</v>
      </c>
      <c r="N3236">
        <v>0.67</v>
      </c>
      <c r="O3236" t="s">
        <v>211</v>
      </c>
      <c r="P3236">
        <v>36.799999999999997</v>
      </c>
      <c r="Q3236">
        <v>5</v>
      </c>
      <c r="R3236" t="s">
        <v>3375</v>
      </c>
      <c r="T3236" t="s">
        <v>3337</v>
      </c>
      <c r="V3236" t="s">
        <v>4514</v>
      </c>
    </row>
    <row r="3237" spans="1:22" ht="12.75" customHeight="1" x14ac:dyDescent="0.15">
      <c r="A3237">
        <v>29</v>
      </c>
      <c r="B3237">
        <v>2026</v>
      </c>
      <c r="C3237" s="21">
        <v>46221</v>
      </c>
      <c r="D3237" t="s">
        <v>122</v>
      </c>
      <c r="E3237" t="s">
        <v>123</v>
      </c>
      <c r="F3237" t="s">
        <v>75</v>
      </c>
      <c r="G3237">
        <v>4.5</v>
      </c>
      <c r="H3237" t="s">
        <v>3514</v>
      </c>
      <c r="I3237" t="s">
        <v>366</v>
      </c>
      <c r="J3237" s="1" t="s">
        <v>215</v>
      </c>
      <c r="K3237" t="s">
        <v>181</v>
      </c>
      <c r="L3237" t="s">
        <v>3340</v>
      </c>
      <c r="M3237">
        <v>81</v>
      </c>
      <c r="N3237">
        <v>0.67</v>
      </c>
      <c r="O3237" t="s">
        <v>211</v>
      </c>
      <c r="P3237">
        <v>36.799999999999997</v>
      </c>
      <c r="Q3237">
        <v>5</v>
      </c>
      <c r="R3237" t="s">
        <v>3374</v>
      </c>
      <c r="T3237" t="s">
        <v>3337</v>
      </c>
      <c r="V3237" t="s">
        <v>4514</v>
      </c>
    </row>
    <row r="3238" spans="1:22" ht="12.75" customHeight="1" x14ac:dyDescent="0.15">
      <c r="A3238">
        <v>29</v>
      </c>
      <c r="B3238">
        <v>2026</v>
      </c>
      <c r="C3238" s="21">
        <v>46221</v>
      </c>
      <c r="D3238" t="s">
        <v>122</v>
      </c>
      <c r="E3238" t="s">
        <v>123</v>
      </c>
      <c r="F3238" t="s">
        <v>75</v>
      </c>
      <c r="G3238">
        <v>4.5</v>
      </c>
      <c r="H3238" t="s">
        <v>3514</v>
      </c>
      <c r="I3238" t="s">
        <v>366</v>
      </c>
      <c r="J3238" s="1" t="s">
        <v>215</v>
      </c>
      <c r="K3238" t="s">
        <v>181</v>
      </c>
      <c r="L3238" t="s">
        <v>3340</v>
      </c>
      <c r="M3238">
        <v>45</v>
      </c>
      <c r="N3238">
        <v>0.67</v>
      </c>
      <c r="O3238" t="s">
        <v>211</v>
      </c>
      <c r="P3238">
        <v>36.799999999999997</v>
      </c>
      <c r="Q3238">
        <v>5</v>
      </c>
      <c r="R3238" t="s">
        <v>3377</v>
      </c>
      <c r="T3238" t="s">
        <v>3337</v>
      </c>
      <c r="V3238" t="s">
        <v>4514</v>
      </c>
    </row>
    <row r="3239" spans="1:22" ht="12.75" customHeight="1" x14ac:dyDescent="0.15">
      <c r="A3239">
        <v>29</v>
      </c>
      <c r="B3239">
        <v>2026</v>
      </c>
      <c r="C3239" s="21">
        <v>46221</v>
      </c>
      <c r="D3239" t="s">
        <v>3749</v>
      </c>
      <c r="E3239" t="s">
        <v>676</v>
      </c>
      <c r="F3239" t="s">
        <v>676</v>
      </c>
      <c r="G3239">
        <v>1</v>
      </c>
      <c r="H3239" t="s">
        <v>4457</v>
      </c>
      <c r="I3239" t="s">
        <v>4458</v>
      </c>
      <c r="J3239" s="1" t="s">
        <v>676</v>
      </c>
      <c r="K3239" t="s">
        <v>181</v>
      </c>
      <c r="L3239" t="s">
        <v>3340</v>
      </c>
      <c r="M3239">
        <v>81</v>
      </c>
      <c r="N3239">
        <v>0.35</v>
      </c>
      <c r="O3239" t="s">
        <v>211</v>
      </c>
      <c r="P3239">
        <v>19.100000000000001</v>
      </c>
      <c r="R3239" t="s">
        <v>3374</v>
      </c>
      <c r="S3239" t="s">
        <v>4515</v>
      </c>
      <c r="T3239" t="s">
        <v>3337</v>
      </c>
      <c r="U3239">
        <v>198</v>
      </c>
      <c r="V3239" t="s">
        <v>4516</v>
      </c>
    </row>
    <row r="3240" spans="1:22" ht="12.75" customHeight="1" x14ac:dyDescent="0.15">
      <c r="A3240">
        <v>29</v>
      </c>
      <c r="B3240">
        <v>2026</v>
      </c>
      <c r="C3240" s="21">
        <v>46221</v>
      </c>
      <c r="D3240" t="s">
        <v>101</v>
      </c>
      <c r="E3240" t="s">
        <v>102</v>
      </c>
      <c r="F3240" t="s">
        <v>75</v>
      </c>
      <c r="G3240">
        <v>7.6</v>
      </c>
      <c r="H3240" t="s">
        <v>3400</v>
      </c>
      <c r="I3240" t="s">
        <v>353</v>
      </c>
      <c r="J3240" s="1" t="s">
        <v>253</v>
      </c>
      <c r="K3240" t="s">
        <v>181</v>
      </c>
      <c r="L3240" t="s">
        <v>3333</v>
      </c>
      <c r="M3240">
        <v>2</v>
      </c>
      <c r="N3240">
        <v>1</v>
      </c>
      <c r="O3240" t="s">
        <v>3440</v>
      </c>
      <c r="P3240">
        <v>90.49</v>
      </c>
      <c r="Q3240">
        <v>8</v>
      </c>
      <c r="R3240" t="s">
        <v>3424</v>
      </c>
      <c r="T3240" t="s">
        <v>3337</v>
      </c>
      <c r="U3240">
        <v>81</v>
      </c>
      <c r="V3240" t="s">
        <v>3982</v>
      </c>
    </row>
    <row r="3241" spans="1:22" ht="12.75" customHeight="1" x14ac:dyDescent="0.15">
      <c r="A3241">
        <v>29</v>
      </c>
      <c r="B3241">
        <v>2026</v>
      </c>
      <c r="C3241" s="21">
        <v>46221</v>
      </c>
      <c r="D3241" t="s">
        <v>101</v>
      </c>
      <c r="E3241" t="s">
        <v>102</v>
      </c>
      <c r="F3241" t="s">
        <v>75</v>
      </c>
      <c r="G3241">
        <v>7.6</v>
      </c>
      <c r="H3241" t="s">
        <v>3400</v>
      </c>
      <c r="I3241" t="s">
        <v>353</v>
      </c>
      <c r="J3241" s="1" t="s">
        <v>253</v>
      </c>
      <c r="K3241" t="s">
        <v>181</v>
      </c>
      <c r="L3241" t="s">
        <v>3340</v>
      </c>
      <c r="M3241">
        <v>25</v>
      </c>
      <c r="N3241">
        <v>0.82</v>
      </c>
      <c r="O3241" t="s">
        <v>211</v>
      </c>
      <c r="P3241">
        <v>45</v>
      </c>
      <c r="Q3241">
        <v>5</v>
      </c>
      <c r="R3241" t="s">
        <v>3413</v>
      </c>
      <c r="T3241" t="s">
        <v>3337</v>
      </c>
      <c r="U3241">
        <v>81</v>
      </c>
      <c r="V3241" t="s">
        <v>3348</v>
      </c>
    </row>
    <row r="3242" spans="1:22" ht="12.75" customHeight="1" x14ac:dyDescent="0.15">
      <c r="A3242">
        <v>29</v>
      </c>
      <c r="B3242">
        <v>2026</v>
      </c>
      <c r="C3242" s="21">
        <v>46221</v>
      </c>
      <c r="D3242" t="s">
        <v>101</v>
      </c>
      <c r="E3242" t="s">
        <v>102</v>
      </c>
      <c r="F3242" t="s">
        <v>75</v>
      </c>
      <c r="G3242">
        <v>7.6</v>
      </c>
      <c r="H3242" t="s">
        <v>3400</v>
      </c>
      <c r="I3242" t="s">
        <v>353</v>
      </c>
      <c r="J3242" s="1" t="s">
        <v>253</v>
      </c>
      <c r="K3242" t="s">
        <v>181</v>
      </c>
      <c r="L3242" t="s">
        <v>23</v>
      </c>
      <c r="M3242">
        <v>176</v>
      </c>
      <c r="P3242">
        <v>440</v>
      </c>
      <c r="R3242" t="s">
        <v>4361</v>
      </c>
      <c r="S3242" t="s">
        <v>4517</v>
      </c>
      <c r="T3242" t="s">
        <v>3337</v>
      </c>
      <c r="U3242">
        <v>81</v>
      </c>
      <c r="V3242" t="s">
        <v>4057</v>
      </c>
    </row>
    <row r="3243" spans="1:22" ht="12.75" customHeight="1" x14ac:dyDescent="0.15">
      <c r="A3243">
        <v>29</v>
      </c>
      <c r="B3243">
        <v>2026</v>
      </c>
      <c r="C3243" s="21">
        <v>46221</v>
      </c>
      <c r="D3243" t="s">
        <v>153</v>
      </c>
      <c r="E3243" t="s">
        <v>154</v>
      </c>
      <c r="F3243" t="s">
        <v>21</v>
      </c>
      <c r="G3243">
        <v>8</v>
      </c>
      <c r="H3243" t="s">
        <v>3454</v>
      </c>
      <c r="I3243" t="s">
        <v>212</v>
      </c>
      <c r="J3243" s="1" t="s">
        <v>188</v>
      </c>
      <c r="K3243" t="s">
        <v>181</v>
      </c>
      <c r="L3243" t="s">
        <v>3333</v>
      </c>
      <c r="M3243">
        <v>6</v>
      </c>
      <c r="N3243">
        <v>1</v>
      </c>
      <c r="O3243" t="s">
        <v>3334</v>
      </c>
      <c r="P3243">
        <v>81.58</v>
      </c>
      <c r="Q3243">
        <v>8</v>
      </c>
      <c r="R3243" t="s">
        <v>3335</v>
      </c>
      <c r="T3243" t="s">
        <v>3337</v>
      </c>
      <c r="V3243" t="s">
        <v>3472</v>
      </c>
    </row>
    <row r="3244" spans="1:22" ht="12.75" customHeight="1" x14ac:dyDescent="0.15">
      <c r="A3244">
        <v>29</v>
      </c>
      <c r="B3244">
        <v>2026</v>
      </c>
      <c r="C3244" s="21">
        <v>46221</v>
      </c>
      <c r="D3244" t="s">
        <v>153</v>
      </c>
      <c r="E3244" t="s">
        <v>154</v>
      </c>
      <c r="F3244" t="s">
        <v>21</v>
      </c>
      <c r="G3244">
        <v>8</v>
      </c>
      <c r="H3244" t="s">
        <v>3454</v>
      </c>
      <c r="I3244" t="s">
        <v>212</v>
      </c>
      <c r="J3244" s="1" t="s">
        <v>188</v>
      </c>
      <c r="K3244" t="s">
        <v>181</v>
      </c>
      <c r="L3244" t="s">
        <v>3333</v>
      </c>
      <c r="M3244">
        <v>1</v>
      </c>
      <c r="N3244">
        <v>1</v>
      </c>
      <c r="O3244" t="s">
        <v>3358</v>
      </c>
      <c r="P3244">
        <v>71.86</v>
      </c>
      <c r="Q3244">
        <v>8</v>
      </c>
      <c r="R3244" t="s">
        <v>3359</v>
      </c>
      <c r="T3244" t="s">
        <v>3337</v>
      </c>
      <c r="V3244" t="s">
        <v>4467</v>
      </c>
    </row>
    <row r="3245" spans="1:22" ht="12.75" customHeight="1" x14ac:dyDescent="0.15">
      <c r="A3245">
        <v>29</v>
      </c>
      <c r="B3245">
        <v>2026</v>
      </c>
      <c r="C3245" s="21">
        <v>46221</v>
      </c>
      <c r="D3245" t="s">
        <v>135</v>
      </c>
      <c r="E3245" t="s">
        <v>136</v>
      </c>
      <c r="F3245" t="s">
        <v>21</v>
      </c>
      <c r="G3245">
        <v>0.5</v>
      </c>
      <c r="H3245" t="s">
        <v>3803</v>
      </c>
      <c r="I3245" t="s">
        <v>3676</v>
      </c>
      <c r="J3245" s="1" t="s">
        <v>3533</v>
      </c>
      <c r="K3245" t="s">
        <v>181</v>
      </c>
      <c r="L3245" t="s">
        <v>3340</v>
      </c>
      <c r="M3245">
        <v>81</v>
      </c>
      <c r="N3245">
        <v>0.38</v>
      </c>
      <c r="O3245" t="s">
        <v>211</v>
      </c>
      <c r="P3245">
        <v>21</v>
      </c>
      <c r="Q3245">
        <v>2</v>
      </c>
      <c r="R3245" t="s">
        <v>3374</v>
      </c>
      <c r="S3245" t="s">
        <v>4518</v>
      </c>
      <c r="T3245" t="s">
        <v>3337</v>
      </c>
      <c r="U3245">
        <v>22</v>
      </c>
      <c r="V3245" t="s">
        <v>251</v>
      </c>
    </row>
    <row r="3246" spans="1:22" ht="12.75" customHeight="1" x14ac:dyDescent="0.15">
      <c r="A3246">
        <v>29</v>
      </c>
      <c r="B3246">
        <v>2026</v>
      </c>
      <c r="C3246" s="21">
        <v>46221</v>
      </c>
      <c r="D3246" t="s">
        <v>437</v>
      </c>
      <c r="E3246" t="s">
        <v>437</v>
      </c>
      <c r="F3246" t="s">
        <v>4435</v>
      </c>
      <c r="G3246">
        <v>1</v>
      </c>
      <c r="H3246" t="s">
        <v>4519</v>
      </c>
      <c r="I3246" t="s">
        <v>4520</v>
      </c>
      <c r="J3246" s="1" t="s">
        <v>4383</v>
      </c>
      <c r="K3246" t="s">
        <v>181</v>
      </c>
      <c r="L3246" t="s">
        <v>3333</v>
      </c>
      <c r="M3246">
        <v>67</v>
      </c>
      <c r="N3246">
        <v>0.63</v>
      </c>
      <c r="O3246" t="s">
        <v>3334</v>
      </c>
      <c r="P3246">
        <v>50.99</v>
      </c>
      <c r="Q3246">
        <v>5</v>
      </c>
      <c r="R3246" t="s">
        <v>3404</v>
      </c>
      <c r="T3246" t="s">
        <v>3402</v>
      </c>
      <c r="U3246">
        <v>198</v>
      </c>
      <c r="V3246" t="s">
        <v>3574</v>
      </c>
    </row>
    <row r="3247" spans="1:22" ht="12.75" customHeight="1" x14ac:dyDescent="0.15">
      <c r="A3247">
        <v>29</v>
      </c>
      <c r="B3247">
        <v>2026</v>
      </c>
      <c r="C3247" s="21">
        <v>46221</v>
      </c>
      <c r="D3247" t="s">
        <v>3749</v>
      </c>
      <c r="E3247" t="s">
        <v>676</v>
      </c>
      <c r="F3247" t="s">
        <v>676</v>
      </c>
      <c r="G3247">
        <v>1</v>
      </c>
      <c r="H3247" t="s">
        <v>3750</v>
      </c>
      <c r="I3247" t="s">
        <v>3751</v>
      </c>
      <c r="J3247" s="1" t="s">
        <v>676</v>
      </c>
      <c r="K3247" t="s">
        <v>181</v>
      </c>
      <c r="L3247" t="s">
        <v>3333</v>
      </c>
      <c r="M3247">
        <v>67</v>
      </c>
      <c r="N3247">
        <v>0.38</v>
      </c>
      <c r="O3247" t="s">
        <v>3334</v>
      </c>
      <c r="P3247">
        <v>30.59</v>
      </c>
      <c r="Q3247">
        <v>3</v>
      </c>
      <c r="R3247" t="s">
        <v>3404</v>
      </c>
      <c r="S3247" t="s">
        <v>4521</v>
      </c>
      <c r="T3247" t="s">
        <v>3402</v>
      </c>
      <c r="U3247">
        <v>198</v>
      </c>
      <c r="V3247" t="s">
        <v>3491</v>
      </c>
    </row>
    <row r="3248" spans="1:22" ht="12.75" customHeight="1" x14ac:dyDescent="0.15">
      <c r="A3248">
        <v>29</v>
      </c>
      <c r="B3248">
        <v>2026</v>
      </c>
      <c r="C3248" s="21">
        <v>46221</v>
      </c>
      <c r="D3248" t="s">
        <v>3749</v>
      </c>
      <c r="E3248" t="s">
        <v>676</v>
      </c>
      <c r="F3248" t="s">
        <v>676</v>
      </c>
      <c r="G3248">
        <v>1</v>
      </c>
      <c r="H3248" t="s">
        <v>3750</v>
      </c>
      <c r="I3248" t="s">
        <v>3751</v>
      </c>
      <c r="J3248" s="1" t="s">
        <v>676</v>
      </c>
      <c r="K3248" t="s">
        <v>181</v>
      </c>
      <c r="L3248" t="s">
        <v>3340</v>
      </c>
      <c r="M3248">
        <v>78</v>
      </c>
      <c r="N3248">
        <v>1.68</v>
      </c>
      <c r="O3248" t="s">
        <v>211</v>
      </c>
      <c r="P3248">
        <v>92.5</v>
      </c>
      <c r="R3248" t="s">
        <v>3341</v>
      </c>
      <c r="S3248" t="s">
        <v>4522</v>
      </c>
      <c r="T3248" t="s">
        <v>3402</v>
      </c>
      <c r="U3248">
        <v>198</v>
      </c>
      <c r="V3248" t="s">
        <v>4523</v>
      </c>
    </row>
    <row r="3249" spans="1:22" ht="12.75" customHeight="1" x14ac:dyDescent="0.15">
      <c r="A3249">
        <v>29</v>
      </c>
      <c r="B3249">
        <v>2026</v>
      </c>
      <c r="C3249" s="21">
        <v>46221</v>
      </c>
      <c r="D3249" t="s">
        <v>3749</v>
      </c>
      <c r="E3249" t="s">
        <v>676</v>
      </c>
      <c r="F3249" t="s">
        <v>676</v>
      </c>
      <c r="G3249">
        <v>1</v>
      </c>
      <c r="H3249" t="s">
        <v>3750</v>
      </c>
      <c r="I3249" t="s">
        <v>3751</v>
      </c>
      <c r="J3249" s="1" t="s">
        <v>676</v>
      </c>
      <c r="K3249" t="s">
        <v>181</v>
      </c>
      <c r="L3249" t="s">
        <v>3340</v>
      </c>
      <c r="M3249">
        <v>67</v>
      </c>
      <c r="N3249">
        <v>1.53</v>
      </c>
      <c r="O3249" t="s">
        <v>211</v>
      </c>
      <c r="P3249">
        <v>84</v>
      </c>
      <c r="R3249" t="s">
        <v>3404</v>
      </c>
      <c r="S3249" t="s">
        <v>4524</v>
      </c>
      <c r="T3249" t="s">
        <v>3402</v>
      </c>
      <c r="U3249">
        <v>198</v>
      </c>
      <c r="V3249" t="s">
        <v>4525</v>
      </c>
    </row>
    <row r="3250" spans="1:22" ht="12.75" customHeight="1" x14ac:dyDescent="0.15">
      <c r="A3250">
        <v>29</v>
      </c>
      <c r="B3250">
        <v>2026</v>
      </c>
      <c r="C3250" s="21">
        <v>46221</v>
      </c>
      <c r="D3250" t="s">
        <v>139</v>
      </c>
      <c r="E3250" t="s">
        <v>140</v>
      </c>
      <c r="F3250" t="s">
        <v>75</v>
      </c>
      <c r="G3250">
        <v>0.8</v>
      </c>
      <c r="H3250" t="s">
        <v>3803</v>
      </c>
      <c r="I3250" t="s">
        <v>3676</v>
      </c>
      <c r="J3250" s="1" t="s">
        <v>3533</v>
      </c>
      <c r="K3250" t="s">
        <v>181</v>
      </c>
      <c r="L3250" t="s">
        <v>3333</v>
      </c>
      <c r="M3250">
        <v>4</v>
      </c>
      <c r="N3250">
        <v>0.38</v>
      </c>
      <c r="O3250" t="s">
        <v>3334</v>
      </c>
      <c r="P3250">
        <v>30.59</v>
      </c>
      <c r="Q3250">
        <v>3</v>
      </c>
      <c r="R3250" t="s">
        <v>3773</v>
      </c>
      <c r="T3250" t="s">
        <v>3402</v>
      </c>
      <c r="U3250">
        <v>53</v>
      </c>
      <c r="V3250" t="s">
        <v>4526</v>
      </c>
    </row>
    <row r="3251" spans="1:22" ht="12.75" customHeight="1" x14ac:dyDescent="0.15">
      <c r="A3251">
        <v>29</v>
      </c>
      <c r="B3251">
        <v>2026</v>
      </c>
      <c r="C3251" s="21">
        <v>46221</v>
      </c>
      <c r="D3251" t="s">
        <v>139</v>
      </c>
      <c r="E3251" t="s">
        <v>140</v>
      </c>
      <c r="F3251" t="s">
        <v>75</v>
      </c>
      <c r="G3251">
        <v>0.8</v>
      </c>
      <c r="H3251" t="s">
        <v>3803</v>
      </c>
      <c r="I3251" t="s">
        <v>3676</v>
      </c>
      <c r="J3251" s="1" t="s">
        <v>3533</v>
      </c>
      <c r="K3251" t="s">
        <v>181</v>
      </c>
      <c r="L3251" t="s">
        <v>3340</v>
      </c>
      <c r="M3251">
        <v>4</v>
      </c>
      <c r="N3251">
        <v>0.16</v>
      </c>
      <c r="O3251" t="s">
        <v>211</v>
      </c>
      <c r="P3251">
        <v>9</v>
      </c>
      <c r="Q3251">
        <v>1</v>
      </c>
      <c r="R3251" t="s">
        <v>3773</v>
      </c>
      <c r="T3251" t="s">
        <v>3402</v>
      </c>
      <c r="U3251">
        <v>53</v>
      </c>
      <c r="V3251" t="s">
        <v>3561</v>
      </c>
    </row>
    <row r="3252" spans="1:22" ht="12.75" customHeight="1" x14ac:dyDescent="0.15">
      <c r="A3252">
        <v>29</v>
      </c>
      <c r="B3252">
        <v>2026</v>
      </c>
      <c r="C3252" s="21">
        <v>46221</v>
      </c>
      <c r="D3252" t="s">
        <v>135</v>
      </c>
      <c r="E3252" t="s">
        <v>136</v>
      </c>
      <c r="F3252" t="s">
        <v>21</v>
      </c>
      <c r="G3252">
        <v>0.5</v>
      </c>
      <c r="H3252" t="s">
        <v>3845</v>
      </c>
      <c r="I3252" t="s">
        <v>380</v>
      </c>
      <c r="J3252" s="1" t="s">
        <v>3533</v>
      </c>
      <c r="K3252" t="s">
        <v>181</v>
      </c>
      <c r="L3252" t="s">
        <v>3333</v>
      </c>
      <c r="M3252">
        <v>4</v>
      </c>
      <c r="N3252">
        <v>0.13</v>
      </c>
      <c r="O3252" t="s">
        <v>3334</v>
      </c>
      <c r="P3252">
        <v>10.199999999999999</v>
      </c>
      <c r="Q3252">
        <v>1</v>
      </c>
      <c r="R3252" t="s">
        <v>3773</v>
      </c>
      <c r="T3252" t="s">
        <v>3402</v>
      </c>
      <c r="U3252">
        <v>22</v>
      </c>
      <c r="V3252" t="s">
        <v>3474</v>
      </c>
    </row>
    <row r="3253" spans="1:22" ht="12.75" customHeight="1" x14ac:dyDescent="0.15">
      <c r="A3253">
        <v>29</v>
      </c>
      <c r="B3253">
        <v>2026</v>
      </c>
      <c r="C3253" s="21">
        <v>46221</v>
      </c>
      <c r="D3253" t="s">
        <v>84</v>
      </c>
      <c r="E3253" s="8" t="s">
        <v>85</v>
      </c>
      <c r="F3253" t="s">
        <v>21</v>
      </c>
      <c r="G3253">
        <v>2</v>
      </c>
      <c r="H3253" t="s">
        <v>4378</v>
      </c>
      <c r="I3253" t="s">
        <v>4379</v>
      </c>
      <c r="J3253" s="1" t="s">
        <v>215</v>
      </c>
      <c r="K3253" t="s">
        <v>181</v>
      </c>
      <c r="L3253" t="s">
        <v>3333</v>
      </c>
      <c r="M3253">
        <v>4</v>
      </c>
      <c r="N3253">
        <v>0.19</v>
      </c>
      <c r="O3253" t="s">
        <v>3334</v>
      </c>
      <c r="P3253">
        <v>15.3</v>
      </c>
      <c r="Q3253">
        <v>1.5</v>
      </c>
      <c r="R3253" t="s">
        <v>3773</v>
      </c>
      <c r="T3253" t="s">
        <v>3402</v>
      </c>
      <c r="U3253">
        <v>89</v>
      </c>
      <c r="V3253" t="s">
        <v>3650</v>
      </c>
    </row>
    <row r="3254" spans="1:22" ht="12.75" customHeight="1" x14ac:dyDescent="0.15">
      <c r="A3254">
        <v>29</v>
      </c>
      <c r="B3254">
        <v>2026</v>
      </c>
      <c r="C3254" s="21">
        <v>46221</v>
      </c>
      <c r="D3254" t="s">
        <v>96</v>
      </c>
      <c r="E3254" s="8" t="s">
        <v>97</v>
      </c>
      <c r="F3254" t="s">
        <v>21</v>
      </c>
      <c r="G3254">
        <v>4.5</v>
      </c>
      <c r="H3254" t="s">
        <v>4378</v>
      </c>
      <c r="I3254" t="s">
        <v>4379</v>
      </c>
      <c r="J3254" s="1" t="s">
        <v>215</v>
      </c>
      <c r="K3254" t="s">
        <v>181</v>
      </c>
      <c r="L3254" t="s">
        <v>3333</v>
      </c>
      <c r="M3254">
        <v>4</v>
      </c>
      <c r="N3254">
        <v>0.19</v>
      </c>
      <c r="O3254" t="s">
        <v>3334</v>
      </c>
      <c r="P3254">
        <v>15.3</v>
      </c>
      <c r="Q3254">
        <v>1.5</v>
      </c>
      <c r="R3254" t="s">
        <v>3773</v>
      </c>
      <c r="T3254" t="s">
        <v>3402</v>
      </c>
      <c r="U3254">
        <v>78</v>
      </c>
      <c r="V3254" t="s">
        <v>4527</v>
      </c>
    </row>
    <row r="3255" spans="1:22" ht="12.75" customHeight="1" x14ac:dyDescent="0.15">
      <c r="A3255">
        <v>29</v>
      </c>
      <c r="B3255">
        <v>2026</v>
      </c>
      <c r="C3255" s="21">
        <v>46221</v>
      </c>
      <c r="D3255" t="s">
        <v>437</v>
      </c>
      <c r="E3255" t="s">
        <v>437</v>
      </c>
      <c r="F3255" t="s">
        <v>4435</v>
      </c>
      <c r="G3255">
        <v>1</v>
      </c>
      <c r="H3255" t="s">
        <v>4302</v>
      </c>
      <c r="I3255" t="s">
        <v>4303</v>
      </c>
      <c r="J3255" s="1" t="s">
        <v>4304</v>
      </c>
      <c r="K3255" t="s">
        <v>181</v>
      </c>
      <c r="L3255" t="s">
        <v>3333</v>
      </c>
      <c r="M3255">
        <v>7</v>
      </c>
      <c r="N3255">
        <v>1</v>
      </c>
      <c r="O3255" t="s">
        <v>4436</v>
      </c>
      <c r="P3255">
        <v>60.33</v>
      </c>
      <c r="Q3255">
        <v>8</v>
      </c>
      <c r="R3255" t="s">
        <v>4437</v>
      </c>
      <c r="T3255" t="s">
        <v>3402</v>
      </c>
      <c r="U3255">
        <v>198</v>
      </c>
      <c r="V3255" t="s">
        <v>4436</v>
      </c>
    </row>
    <row r="3256" spans="1:22" ht="12.75" customHeight="1" x14ac:dyDescent="0.15">
      <c r="A3256">
        <v>29</v>
      </c>
      <c r="B3256">
        <v>2026</v>
      </c>
      <c r="C3256" s="21">
        <v>46221</v>
      </c>
      <c r="D3256" t="s">
        <v>437</v>
      </c>
      <c r="E3256" t="s">
        <v>437</v>
      </c>
      <c r="F3256" t="s">
        <v>4435</v>
      </c>
      <c r="G3256">
        <v>1</v>
      </c>
      <c r="H3256" t="s">
        <v>4528</v>
      </c>
      <c r="I3256" t="s">
        <v>4529</v>
      </c>
      <c r="J3256" s="1" t="s">
        <v>4383</v>
      </c>
      <c r="K3256" t="s">
        <v>181</v>
      </c>
      <c r="L3256" t="s">
        <v>3333</v>
      </c>
      <c r="M3256">
        <v>4</v>
      </c>
      <c r="N3256">
        <v>0.13</v>
      </c>
      <c r="O3256" t="s">
        <v>3334</v>
      </c>
      <c r="P3256">
        <v>10.199999999999999</v>
      </c>
      <c r="Q3256">
        <v>1</v>
      </c>
      <c r="R3256" t="s">
        <v>3773</v>
      </c>
      <c r="T3256" t="s">
        <v>3402</v>
      </c>
      <c r="U3256">
        <v>198</v>
      </c>
      <c r="V3256" t="s">
        <v>3472</v>
      </c>
    </row>
    <row r="3257" spans="1:22" ht="12.75" customHeight="1" x14ac:dyDescent="0.15">
      <c r="A3257">
        <v>29</v>
      </c>
      <c r="B3257">
        <v>2026</v>
      </c>
      <c r="C3257" s="21">
        <v>46221</v>
      </c>
      <c r="D3257" t="s">
        <v>96</v>
      </c>
      <c r="E3257" t="s">
        <v>97</v>
      </c>
      <c r="F3257" t="s">
        <v>21</v>
      </c>
      <c r="G3257">
        <v>4.5</v>
      </c>
      <c r="H3257" t="s">
        <v>4378</v>
      </c>
      <c r="I3257" t="s">
        <v>4379</v>
      </c>
      <c r="J3257" s="1" t="s">
        <v>215</v>
      </c>
      <c r="K3257" t="s">
        <v>181</v>
      </c>
      <c r="L3257" t="s">
        <v>3333</v>
      </c>
      <c r="M3257">
        <v>11</v>
      </c>
      <c r="N3257">
        <v>0.5</v>
      </c>
      <c r="O3257" t="s">
        <v>213</v>
      </c>
      <c r="P3257">
        <v>45</v>
      </c>
      <c r="Q3257">
        <v>4</v>
      </c>
      <c r="R3257" t="s">
        <v>3564</v>
      </c>
      <c r="T3257" t="s">
        <v>3402</v>
      </c>
      <c r="U3257">
        <v>78</v>
      </c>
      <c r="V3257" t="s">
        <v>3711</v>
      </c>
    </row>
    <row r="3258" spans="1:22" ht="12.75" customHeight="1" x14ac:dyDescent="0.15">
      <c r="A3258">
        <v>29</v>
      </c>
      <c r="B3258">
        <v>2026</v>
      </c>
      <c r="C3258" s="21">
        <v>46221</v>
      </c>
      <c r="D3258" t="s">
        <v>96</v>
      </c>
      <c r="E3258" t="s">
        <v>97</v>
      </c>
      <c r="F3258" t="s">
        <v>21</v>
      </c>
      <c r="G3258">
        <v>4.5</v>
      </c>
      <c r="H3258" t="s">
        <v>4381</v>
      </c>
      <c r="I3258" t="s">
        <v>4382</v>
      </c>
      <c r="J3258" s="1" t="s">
        <v>4383</v>
      </c>
      <c r="K3258" t="s">
        <v>2666</v>
      </c>
      <c r="L3258" t="s">
        <v>3587</v>
      </c>
      <c r="P3258">
        <v>32</v>
      </c>
      <c r="T3258" t="s">
        <v>3402</v>
      </c>
      <c r="U3258">
        <v>78</v>
      </c>
      <c r="V3258" t="s">
        <v>3405</v>
      </c>
    </row>
    <row r="3259" spans="1:22" ht="12.75" customHeight="1" x14ac:dyDescent="0.15">
      <c r="A3259">
        <v>29</v>
      </c>
      <c r="B3259">
        <v>2026</v>
      </c>
      <c r="C3259" s="21">
        <v>46221</v>
      </c>
      <c r="D3259" t="s">
        <v>84</v>
      </c>
      <c r="E3259" t="s">
        <v>85</v>
      </c>
      <c r="F3259" t="s">
        <v>21</v>
      </c>
      <c r="G3259">
        <v>2</v>
      </c>
      <c r="H3259" t="s">
        <v>4378</v>
      </c>
      <c r="I3259" t="s">
        <v>4379</v>
      </c>
      <c r="J3259" s="1" t="s">
        <v>215</v>
      </c>
      <c r="K3259" t="s">
        <v>181</v>
      </c>
      <c r="L3259" t="s">
        <v>3333</v>
      </c>
      <c r="M3259">
        <v>11</v>
      </c>
      <c r="N3259">
        <v>0.25</v>
      </c>
      <c r="O3259" t="s">
        <v>213</v>
      </c>
      <c r="P3259">
        <v>22.5</v>
      </c>
      <c r="Q3259">
        <v>2</v>
      </c>
      <c r="R3259" t="s">
        <v>3564</v>
      </c>
      <c r="T3259" t="s">
        <v>3402</v>
      </c>
      <c r="U3259">
        <v>89</v>
      </c>
      <c r="V3259" t="s">
        <v>3561</v>
      </c>
    </row>
    <row r="3260" spans="1:22" ht="12.75" customHeight="1" x14ac:dyDescent="0.15">
      <c r="A3260">
        <v>29</v>
      </c>
      <c r="B3260">
        <v>2026</v>
      </c>
      <c r="C3260" s="21">
        <v>46221</v>
      </c>
      <c r="D3260" t="s">
        <v>84</v>
      </c>
      <c r="E3260" t="s">
        <v>85</v>
      </c>
      <c r="F3260" t="s">
        <v>21</v>
      </c>
      <c r="G3260">
        <v>2</v>
      </c>
      <c r="H3260" t="s">
        <v>4381</v>
      </c>
      <c r="I3260" t="s">
        <v>4382</v>
      </c>
      <c r="J3260" s="1" t="s">
        <v>4383</v>
      </c>
      <c r="K3260" t="s">
        <v>2666</v>
      </c>
      <c r="L3260" t="s">
        <v>3587</v>
      </c>
      <c r="P3260">
        <v>16</v>
      </c>
      <c r="T3260" t="s">
        <v>3402</v>
      </c>
      <c r="U3260">
        <v>89</v>
      </c>
      <c r="V3260" t="s">
        <v>183</v>
      </c>
    </row>
    <row r="3261" spans="1:22" ht="12.75" customHeight="1" x14ac:dyDescent="0.15">
      <c r="A3261">
        <v>29</v>
      </c>
      <c r="B3261">
        <v>2026</v>
      </c>
      <c r="C3261" s="21">
        <v>46221</v>
      </c>
      <c r="D3261" t="s">
        <v>3749</v>
      </c>
      <c r="E3261" t="s">
        <v>676</v>
      </c>
      <c r="F3261" t="s">
        <v>676</v>
      </c>
      <c r="G3261">
        <v>1</v>
      </c>
      <c r="H3261" t="s">
        <v>4445</v>
      </c>
      <c r="I3261" t="s">
        <v>4446</v>
      </c>
      <c r="J3261" s="1" t="s">
        <v>676</v>
      </c>
      <c r="K3261" t="s">
        <v>181</v>
      </c>
      <c r="L3261" t="s">
        <v>3340</v>
      </c>
      <c r="M3261">
        <v>86</v>
      </c>
      <c r="N3261">
        <v>0.65</v>
      </c>
      <c r="O3261" t="s">
        <v>211</v>
      </c>
      <c r="P3261">
        <v>36</v>
      </c>
      <c r="Q3261">
        <v>4</v>
      </c>
      <c r="R3261" t="s">
        <v>3386</v>
      </c>
      <c r="T3261" t="s">
        <v>3402</v>
      </c>
      <c r="U3261">
        <v>198</v>
      </c>
      <c r="V3261" t="s">
        <v>3507</v>
      </c>
    </row>
    <row r="3262" spans="1:22" ht="12.75" customHeight="1" x14ac:dyDescent="0.15">
      <c r="A3262">
        <v>29</v>
      </c>
      <c r="B3262">
        <v>2026</v>
      </c>
      <c r="C3262" s="21">
        <v>46221</v>
      </c>
      <c r="D3262" t="s">
        <v>3749</v>
      </c>
      <c r="E3262" t="s">
        <v>676</v>
      </c>
      <c r="F3262" t="s">
        <v>676</v>
      </c>
      <c r="G3262">
        <v>1</v>
      </c>
      <c r="H3262" t="s">
        <v>4438</v>
      </c>
      <c r="I3262" t="s">
        <v>4439</v>
      </c>
      <c r="J3262" s="1" t="s">
        <v>4383</v>
      </c>
      <c r="K3262" t="s">
        <v>181</v>
      </c>
      <c r="L3262" t="s">
        <v>3333</v>
      </c>
      <c r="M3262">
        <v>86</v>
      </c>
      <c r="N3262">
        <v>1</v>
      </c>
      <c r="O3262" t="s">
        <v>3334</v>
      </c>
      <c r="P3262">
        <v>81.58</v>
      </c>
      <c r="Q3262">
        <v>8</v>
      </c>
      <c r="R3262" t="s">
        <v>3386</v>
      </c>
      <c r="T3262" t="s">
        <v>3402</v>
      </c>
      <c r="U3262">
        <v>198</v>
      </c>
      <c r="V3262" t="s">
        <v>3334</v>
      </c>
    </row>
    <row r="3263" spans="1:22" ht="12.75" customHeight="1" x14ac:dyDescent="0.15">
      <c r="A3263">
        <v>29</v>
      </c>
      <c r="B3263">
        <v>2026</v>
      </c>
      <c r="C3263" s="21">
        <v>46222</v>
      </c>
      <c r="D3263" t="s">
        <v>3749</v>
      </c>
      <c r="E3263" t="s">
        <v>676</v>
      </c>
      <c r="F3263" t="s">
        <v>676</v>
      </c>
      <c r="G3263">
        <v>1</v>
      </c>
      <c r="H3263" t="s">
        <v>3750</v>
      </c>
      <c r="I3263" t="s">
        <v>3751</v>
      </c>
      <c r="J3263" s="1" t="s">
        <v>676</v>
      </c>
      <c r="K3263" t="s">
        <v>181</v>
      </c>
      <c r="L3263" t="s">
        <v>3340</v>
      </c>
      <c r="M3263">
        <v>67</v>
      </c>
      <c r="N3263">
        <v>1.71</v>
      </c>
      <c r="O3263" t="s">
        <v>211</v>
      </c>
      <c r="P3263">
        <v>94</v>
      </c>
      <c r="R3263" t="s">
        <v>3404</v>
      </c>
      <c r="S3263" t="s">
        <v>4530</v>
      </c>
      <c r="T3263" t="s">
        <v>3402</v>
      </c>
      <c r="U3263">
        <v>199</v>
      </c>
      <c r="V3263" t="s">
        <v>4531</v>
      </c>
    </row>
    <row r="3264" spans="1:22" ht="12.75" customHeight="1" x14ac:dyDescent="0.15">
      <c r="A3264">
        <v>29</v>
      </c>
      <c r="B3264">
        <v>2026</v>
      </c>
      <c r="C3264" s="21">
        <v>46222</v>
      </c>
      <c r="D3264" t="s">
        <v>3749</v>
      </c>
      <c r="E3264" t="s">
        <v>676</v>
      </c>
      <c r="F3264" t="s">
        <v>676</v>
      </c>
      <c r="G3264">
        <v>1</v>
      </c>
      <c r="H3264" t="s">
        <v>4438</v>
      </c>
      <c r="I3264" t="s">
        <v>4439</v>
      </c>
      <c r="J3264" s="1" t="s">
        <v>4383</v>
      </c>
      <c r="K3264" t="s">
        <v>181</v>
      </c>
      <c r="L3264" t="s">
        <v>3340</v>
      </c>
      <c r="M3264">
        <v>86</v>
      </c>
      <c r="N3264">
        <v>0.98</v>
      </c>
      <c r="O3264" t="s">
        <v>211</v>
      </c>
      <c r="P3264">
        <v>54</v>
      </c>
      <c r="Q3264">
        <v>6</v>
      </c>
      <c r="R3264" t="s">
        <v>3386</v>
      </c>
      <c r="S3264" t="s">
        <v>4532</v>
      </c>
      <c r="T3264" t="s">
        <v>3402</v>
      </c>
      <c r="U3264">
        <v>199</v>
      </c>
      <c r="V3264" t="s">
        <v>3926</v>
      </c>
    </row>
    <row r="3265" spans="1:22" ht="12.75" customHeight="1" x14ac:dyDescent="0.15">
      <c r="A3265">
        <v>29</v>
      </c>
      <c r="B3265">
        <v>2026</v>
      </c>
      <c r="C3265" s="21">
        <v>46222</v>
      </c>
      <c r="D3265" t="s">
        <v>3749</v>
      </c>
      <c r="E3265" t="s">
        <v>676</v>
      </c>
      <c r="F3265" t="s">
        <v>676</v>
      </c>
      <c r="G3265">
        <v>1</v>
      </c>
      <c r="H3265" t="s">
        <v>4445</v>
      </c>
      <c r="I3265" t="s">
        <v>4446</v>
      </c>
      <c r="J3265" s="1" t="s">
        <v>676</v>
      </c>
      <c r="K3265" t="s">
        <v>181</v>
      </c>
      <c r="L3265" t="s">
        <v>3340</v>
      </c>
      <c r="M3265">
        <v>86</v>
      </c>
      <c r="N3265">
        <v>0.16</v>
      </c>
      <c r="O3265" t="s">
        <v>211</v>
      </c>
      <c r="P3265">
        <v>9</v>
      </c>
      <c r="Q3265">
        <v>1</v>
      </c>
      <c r="R3265" t="s">
        <v>3386</v>
      </c>
      <c r="T3265" t="s">
        <v>3402</v>
      </c>
      <c r="U3265">
        <v>199</v>
      </c>
      <c r="V3265" t="s">
        <v>3473</v>
      </c>
    </row>
    <row r="3266" spans="1:22" ht="12.75" customHeight="1" x14ac:dyDescent="0.15">
      <c r="A3266">
        <v>29</v>
      </c>
      <c r="B3266">
        <v>2026</v>
      </c>
      <c r="C3266" s="21">
        <v>46222</v>
      </c>
      <c r="D3266" t="s">
        <v>135</v>
      </c>
      <c r="E3266" t="s">
        <v>136</v>
      </c>
      <c r="F3266" t="s">
        <v>21</v>
      </c>
      <c r="G3266">
        <v>0.5</v>
      </c>
      <c r="H3266" t="s">
        <v>3804</v>
      </c>
      <c r="I3266" t="s">
        <v>3805</v>
      </c>
      <c r="J3266" s="1" t="s">
        <v>3660</v>
      </c>
      <c r="K3266" t="s">
        <v>181</v>
      </c>
      <c r="L3266" t="s">
        <v>3340</v>
      </c>
      <c r="M3266">
        <v>4</v>
      </c>
      <c r="N3266">
        <v>0</v>
      </c>
      <c r="O3266" t="s">
        <v>211</v>
      </c>
      <c r="P3266">
        <v>0</v>
      </c>
      <c r="R3266" t="s">
        <v>3773</v>
      </c>
      <c r="T3266" t="s">
        <v>3402</v>
      </c>
      <c r="U3266">
        <v>23</v>
      </c>
      <c r="V3266" t="s">
        <v>88</v>
      </c>
    </row>
    <row r="3267" spans="1:22" ht="12.75" customHeight="1" x14ac:dyDescent="0.15">
      <c r="A3267">
        <v>29</v>
      </c>
      <c r="B3267">
        <v>2026</v>
      </c>
      <c r="C3267" s="21">
        <v>46222</v>
      </c>
      <c r="D3267" t="s">
        <v>135</v>
      </c>
      <c r="E3267" t="s">
        <v>136</v>
      </c>
      <c r="F3267" t="s">
        <v>21</v>
      </c>
      <c r="G3267">
        <v>0.5</v>
      </c>
      <c r="H3267" t="s">
        <v>3804</v>
      </c>
      <c r="I3267" t="s">
        <v>3805</v>
      </c>
      <c r="J3267" s="1" t="s">
        <v>3660</v>
      </c>
      <c r="K3267" t="s">
        <v>181</v>
      </c>
      <c r="L3267" t="s">
        <v>3340</v>
      </c>
      <c r="M3267">
        <v>78</v>
      </c>
      <c r="N3267">
        <v>0</v>
      </c>
      <c r="O3267" t="s">
        <v>211</v>
      </c>
      <c r="P3267">
        <v>0</v>
      </c>
      <c r="R3267" t="s">
        <v>3341</v>
      </c>
      <c r="T3267" t="s">
        <v>3402</v>
      </c>
      <c r="U3267">
        <v>23</v>
      </c>
      <c r="V3267" t="s">
        <v>88</v>
      </c>
    </row>
    <row r="3268" spans="1:22" ht="12.75" customHeight="1" x14ac:dyDescent="0.15">
      <c r="A3268">
        <v>29</v>
      </c>
      <c r="B3268">
        <v>2026</v>
      </c>
      <c r="C3268" s="21">
        <v>46223</v>
      </c>
      <c r="D3268" t="s">
        <v>19</v>
      </c>
      <c r="E3268" t="s">
        <v>20</v>
      </c>
      <c r="F3268" t="s">
        <v>21</v>
      </c>
      <c r="G3268">
        <v>3.8</v>
      </c>
      <c r="H3268" t="s">
        <v>3694</v>
      </c>
      <c r="I3268" t="s">
        <v>3695</v>
      </c>
      <c r="J3268" s="1" t="s">
        <v>3696</v>
      </c>
      <c r="K3268" t="s">
        <v>181</v>
      </c>
      <c r="L3268" t="s">
        <v>23</v>
      </c>
      <c r="M3268">
        <v>176</v>
      </c>
      <c r="P3268">
        <v>440</v>
      </c>
      <c r="R3268" t="s">
        <v>4361</v>
      </c>
      <c r="S3268" t="s">
        <v>4533</v>
      </c>
      <c r="T3268" t="s">
        <v>3337</v>
      </c>
      <c r="U3268">
        <v>223</v>
      </c>
      <c r="V3268" t="s">
        <v>4534</v>
      </c>
    </row>
    <row r="3269" spans="1:22" ht="12.75" customHeight="1" x14ac:dyDescent="0.15">
      <c r="A3269">
        <v>29</v>
      </c>
      <c r="B3269">
        <v>2026</v>
      </c>
      <c r="C3269" s="21">
        <v>46223</v>
      </c>
      <c r="D3269" t="s">
        <v>19</v>
      </c>
      <c r="E3269" t="s">
        <v>20</v>
      </c>
      <c r="F3269" t="s">
        <v>21</v>
      </c>
      <c r="G3269">
        <v>3.8</v>
      </c>
      <c r="H3269" t="s">
        <v>3694</v>
      </c>
      <c r="I3269" t="s">
        <v>3695</v>
      </c>
      <c r="J3269" s="1" t="s">
        <v>3696</v>
      </c>
      <c r="K3269" t="s">
        <v>181</v>
      </c>
      <c r="L3269" t="s">
        <v>3333</v>
      </c>
      <c r="M3269">
        <v>2</v>
      </c>
      <c r="N3269">
        <v>0.75</v>
      </c>
      <c r="O3269" t="s">
        <v>3440</v>
      </c>
      <c r="P3269">
        <v>67.87</v>
      </c>
      <c r="Q3269">
        <v>6</v>
      </c>
      <c r="R3269" t="s">
        <v>3424</v>
      </c>
      <c r="T3269" t="s">
        <v>3337</v>
      </c>
      <c r="U3269">
        <v>223</v>
      </c>
      <c r="V3269" t="s">
        <v>4535</v>
      </c>
    </row>
    <row r="3270" spans="1:22" ht="12.75" customHeight="1" x14ac:dyDescent="0.15">
      <c r="A3270">
        <v>29</v>
      </c>
      <c r="B3270">
        <v>2026</v>
      </c>
      <c r="C3270" s="21">
        <v>46223</v>
      </c>
      <c r="D3270" t="s">
        <v>153</v>
      </c>
      <c r="E3270" t="s">
        <v>154</v>
      </c>
      <c r="F3270" t="s">
        <v>21</v>
      </c>
      <c r="G3270">
        <v>8</v>
      </c>
      <c r="H3270" t="s">
        <v>3486</v>
      </c>
      <c r="I3270" t="s">
        <v>3487</v>
      </c>
      <c r="J3270" s="1" t="s">
        <v>215</v>
      </c>
      <c r="K3270" t="s">
        <v>181</v>
      </c>
      <c r="L3270" t="s">
        <v>3333</v>
      </c>
      <c r="M3270">
        <v>2</v>
      </c>
      <c r="N3270">
        <v>0.25</v>
      </c>
      <c r="O3270" t="s">
        <v>3440</v>
      </c>
      <c r="P3270">
        <v>22.62</v>
      </c>
      <c r="Q3270">
        <v>2</v>
      </c>
      <c r="R3270" t="s">
        <v>3424</v>
      </c>
      <c r="T3270" t="s">
        <v>3337</v>
      </c>
      <c r="V3270" t="s">
        <v>4536</v>
      </c>
    </row>
    <row r="3271" spans="1:22" ht="12.75" customHeight="1" x14ac:dyDescent="0.15">
      <c r="A3271">
        <v>29</v>
      </c>
      <c r="B3271">
        <v>2026</v>
      </c>
      <c r="C3271" s="21">
        <v>46223</v>
      </c>
      <c r="D3271" t="s">
        <v>19</v>
      </c>
      <c r="E3271" t="s">
        <v>20</v>
      </c>
      <c r="F3271" t="s">
        <v>21</v>
      </c>
      <c r="G3271">
        <v>3.8</v>
      </c>
      <c r="H3271" t="s">
        <v>3694</v>
      </c>
      <c r="I3271" t="s">
        <v>3695</v>
      </c>
      <c r="J3271" s="1" t="s">
        <v>3696</v>
      </c>
      <c r="K3271" t="s">
        <v>181</v>
      </c>
      <c r="L3271" t="s">
        <v>3340</v>
      </c>
      <c r="M3271">
        <v>53</v>
      </c>
      <c r="N3271">
        <v>0.7</v>
      </c>
      <c r="O3271" t="s">
        <v>211</v>
      </c>
      <c r="P3271">
        <v>38.700000000000003</v>
      </c>
      <c r="Q3271">
        <v>4.3</v>
      </c>
      <c r="R3271" t="s">
        <v>3373</v>
      </c>
      <c r="T3271" t="s">
        <v>3337</v>
      </c>
      <c r="U3271">
        <v>223</v>
      </c>
      <c r="V3271" t="s">
        <v>4537</v>
      </c>
    </row>
    <row r="3272" spans="1:22" ht="12.75" customHeight="1" x14ac:dyDescent="0.15">
      <c r="A3272">
        <v>29</v>
      </c>
      <c r="B3272">
        <v>2026</v>
      </c>
      <c r="C3272" s="21">
        <v>46223</v>
      </c>
      <c r="D3272" t="s">
        <v>19</v>
      </c>
      <c r="E3272" t="s">
        <v>20</v>
      </c>
      <c r="F3272" t="s">
        <v>21</v>
      </c>
      <c r="G3272">
        <v>3.8</v>
      </c>
      <c r="H3272" t="s">
        <v>3694</v>
      </c>
      <c r="I3272" t="s">
        <v>3695</v>
      </c>
      <c r="J3272" s="1" t="s">
        <v>3696</v>
      </c>
      <c r="K3272" t="s">
        <v>181</v>
      </c>
      <c r="L3272" t="s">
        <v>3340</v>
      </c>
      <c r="M3272">
        <v>58</v>
      </c>
      <c r="N3272">
        <v>0.7</v>
      </c>
      <c r="O3272" t="s">
        <v>211</v>
      </c>
      <c r="P3272">
        <v>38.700000000000003</v>
      </c>
      <c r="Q3272">
        <v>4.3</v>
      </c>
      <c r="R3272" t="s">
        <v>3343</v>
      </c>
      <c r="T3272" t="s">
        <v>3337</v>
      </c>
      <c r="U3272">
        <v>223</v>
      </c>
      <c r="V3272" t="s">
        <v>4537</v>
      </c>
    </row>
    <row r="3273" spans="1:22" ht="12.75" customHeight="1" x14ac:dyDescent="0.15">
      <c r="A3273">
        <v>29</v>
      </c>
      <c r="B3273">
        <v>2026</v>
      </c>
      <c r="C3273" s="21">
        <v>46223</v>
      </c>
      <c r="D3273" t="s">
        <v>19</v>
      </c>
      <c r="E3273" t="s">
        <v>20</v>
      </c>
      <c r="F3273" t="s">
        <v>21</v>
      </c>
      <c r="G3273">
        <v>3.8</v>
      </c>
      <c r="H3273" t="s">
        <v>3694</v>
      </c>
      <c r="I3273" t="s">
        <v>3695</v>
      </c>
      <c r="J3273" s="1" t="s">
        <v>3696</v>
      </c>
      <c r="K3273" t="s">
        <v>181</v>
      </c>
      <c r="L3273" t="s">
        <v>3340</v>
      </c>
      <c r="M3273">
        <v>81</v>
      </c>
      <c r="N3273">
        <v>0.7</v>
      </c>
      <c r="O3273" t="s">
        <v>211</v>
      </c>
      <c r="P3273">
        <v>38.700000000000003</v>
      </c>
      <c r="Q3273">
        <v>4.3</v>
      </c>
      <c r="R3273" t="s">
        <v>3374</v>
      </c>
      <c r="T3273" t="s">
        <v>3337</v>
      </c>
      <c r="U3273">
        <v>223</v>
      </c>
      <c r="V3273" t="s">
        <v>4537</v>
      </c>
    </row>
    <row r="3274" spans="1:22" ht="12.75" customHeight="1" x14ac:dyDescent="0.15">
      <c r="A3274">
        <v>29</v>
      </c>
      <c r="B3274">
        <v>2026</v>
      </c>
      <c r="C3274" s="21">
        <v>46223</v>
      </c>
      <c r="D3274" t="s">
        <v>19</v>
      </c>
      <c r="E3274" t="s">
        <v>20</v>
      </c>
      <c r="F3274" t="s">
        <v>21</v>
      </c>
      <c r="G3274">
        <v>3.8</v>
      </c>
      <c r="H3274" t="s">
        <v>3694</v>
      </c>
      <c r="I3274" t="s">
        <v>3695</v>
      </c>
      <c r="J3274" s="1" t="s">
        <v>3696</v>
      </c>
      <c r="K3274" t="s">
        <v>181</v>
      </c>
      <c r="L3274" t="s">
        <v>3340</v>
      </c>
      <c r="M3274">
        <v>45</v>
      </c>
      <c r="N3274">
        <v>0.7</v>
      </c>
      <c r="O3274" t="s">
        <v>211</v>
      </c>
      <c r="P3274">
        <v>38.700000000000003</v>
      </c>
      <c r="Q3274">
        <v>4.3</v>
      </c>
      <c r="R3274" t="s">
        <v>3377</v>
      </c>
      <c r="T3274" t="s">
        <v>3337</v>
      </c>
      <c r="U3274">
        <v>223</v>
      </c>
      <c r="V3274" t="s">
        <v>4537</v>
      </c>
    </row>
    <row r="3275" spans="1:22" ht="12.75" customHeight="1" x14ac:dyDescent="0.15">
      <c r="A3275">
        <v>29</v>
      </c>
      <c r="B3275">
        <v>2026</v>
      </c>
      <c r="C3275" s="21">
        <v>46223</v>
      </c>
      <c r="D3275" t="s">
        <v>3749</v>
      </c>
      <c r="E3275" t="s">
        <v>676</v>
      </c>
      <c r="F3275" t="s">
        <v>676</v>
      </c>
      <c r="G3275">
        <v>1</v>
      </c>
      <c r="H3275" t="s">
        <v>4425</v>
      </c>
      <c r="I3275" t="s">
        <v>3751</v>
      </c>
      <c r="J3275" s="1" t="s">
        <v>676</v>
      </c>
      <c r="K3275" t="s">
        <v>181</v>
      </c>
      <c r="L3275" t="s">
        <v>3340</v>
      </c>
      <c r="M3275">
        <v>53</v>
      </c>
      <c r="N3275">
        <v>0.31</v>
      </c>
      <c r="O3275" t="s">
        <v>211</v>
      </c>
      <c r="P3275">
        <v>17.3</v>
      </c>
      <c r="R3275" t="s">
        <v>3373</v>
      </c>
      <c r="T3275" t="s">
        <v>3337</v>
      </c>
      <c r="U3275">
        <v>200</v>
      </c>
      <c r="V3275" t="s">
        <v>4538</v>
      </c>
    </row>
    <row r="3276" spans="1:22" ht="12.75" customHeight="1" x14ac:dyDescent="0.15">
      <c r="A3276">
        <v>29</v>
      </c>
      <c r="B3276">
        <v>2026</v>
      </c>
      <c r="C3276" s="21">
        <v>46223</v>
      </c>
      <c r="D3276" t="s">
        <v>3749</v>
      </c>
      <c r="E3276" t="s">
        <v>676</v>
      </c>
      <c r="F3276" t="s">
        <v>676</v>
      </c>
      <c r="G3276">
        <v>1</v>
      </c>
      <c r="H3276" t="s">
        <v>4425</v>
      </c>
      <c r="I3276" t="s">
        <v>3751</v>
      </c>
      <c r="J3276" s="1" t="s">
        <v>676</v>
      </c>
      <c r="K3276" t="s">
        <v>181</v>
      </c>
      <c r="L3276" t="s">
        <v>3340</v>
      </c>
      <c r="M3276">
        <v>58</v>
      </c>
      <c r="N3276">
        <v>0.31</v>
      </c>
      <c r="O3276" t="s">
        <v>211</v>
      </c>
      <c r="P3276">
        <v>17.3</v>
      </c>
      <c r="R3276" t="s">
        <v>3343</v>
      </c>
      <c r="T3276" t="s">
        <v>3337</v>
      </c>
      <c r="U3276">
        <v>200</v>
      </c>
      <c r="V3276" t="s">
        <v>4538</v>
      </c>
    </row>
    <row r="3277" spans="1:22" ht="12.75" customHeight="1" x14ac:dyDescent="0.15">
      <c r="A3277">
        <v>29</v>
      </c>
      <c r="B3277">
        <v>2026</v>
      </c>
      <c r="C3277" s="21">
        <v>46223</v>
      </c>
      <c r="D3277" t="s">
        <v>3749</v>
      </c>
      <c r="E3277" t="s">
        <v>676</v>
      </c>
      <c r="F3277" t="s">
        <v>676</v>
      </c>
      <c r="G3277">
        <v>1</v>
      </c>
      <c r="H3277" t="s">
        <v>4425</v>
      </c>
      <c r="I3277" t="s">
        <v>3751</v>
      </c>
      <c r="J3277" s="1" t="s">
        <v>676</v>
      </c>
      <c r="K3277" t="s">
        <v>181</v>
      </c>
      <c r="L3277" t="s">
        <v>3340</v>
      </c>
      <c r="M3277">
        <v>81</v>
      </c>
      <c r="N3277">
        <v>0.31</v>
      </c>
      <c r="O3277" t="s">
        <v>211</v>
      </c>
      <c r="P3277">
        <v>17.3</v>
      </c>
      <c r="R3277" t="s">
        <v>3374</v>
      </c>
      <c r="T3277" t="s">
        <v>3337</v>
      </c>
      <c r="U3277">
        <v>200</v>
      </c>
      <c r="V3277" t="s">
        <v>4538</v>
      </c>
    </row>
    <row r="3278" spans="1:22" ht="12.75" customHeight="1" x14ac:dyDescent="0.15">
      <c r="A3278">
        <v>29</v>
      </c>
      <c r="B3278">
        <v>2026</v>
      </c>
      <c r="C3278" s="21">
        <v>46223</v>
      </c>
      <c r="D3278" t="s">
        <v>3749</v>
      </c>
      <c r="E3278" t="s">
        <v>676</v>
      </c>
      <c r="F3278" t="s">
        <v>676</v>
      </c>
      <c r="G3278">
        <v>1</v>
      </c>
      <c r="H3278" t="s">
        <v>4425</v>
      </c>
      <c r="I3278" t="s">
        <v>3751</v>
      </c>
      <c r="J3278" s="1" t="s">
        <v>676</v>
      </c>
      <c r="K3278" t="s">
        <v>181</v>
      </c>
      <c r="L3278" t="s">
        <v>3340</v>
      </c>
      <c r="M3278">
        <v>45</v>
      </c>
      <c r="N3278">
        <v>0.31</v>
      </c>
      <c r="O3278" t="s">
        <v>211</v>
      </c>
      <c r="P3278">
        <v>17.3</v>
      </c>
      <c r="R3278" t="s">
        <v>3377</v>
      </c>
      <c r="T3278" t="s">
        <v>3337</v>
      </c>
      <c r="U3278">
        <v>200</v>
      </c>
      <c r="V3278" t="s">
        <v>4538</v>
      </c>
    </row>
    <row r="3279" spans="1:22" ht="12.75" customHeight="1" x14ac:dyDescent="0.15">
      <c r="A3279">
        <v>29</v>
      </c>
      <c r="B3279">
        <v>2026</v>
      </c>
      <c r="C3279" s="21">
        <v>46223</v>
      </c>
      <c r="D3279" t="s">
        <v>153</v>
      </c>
      <c r="E3279" t="s">
        <v>154</v>
      </c>
      <c r="F3279" t="s">
        <v>21</v>
      </c>
      <c r="G3279">
        <v>8</v>
      </c>
      <c r="H3279" t="s">
        <v>3378</v>
      </c>
      <c r="I3279" t="s">
        <v>214</v>
      </c>
      <c r="J3279" s="1" t="s">
        <v>215</v>
      </c>
      <c r="K3279" t="s">
        <v>181</v>
      </c>
      <c r="L3279" t="s">
        <v>3340</v>
      </c>
      <c r="M3279">
        <v>53</v>
      </c>
      <c r="N3279">
        <v>0.36</v>
      </c>
      <c r="O3279" t="s">
        <v>211</v>
      </c>
      <c r="P3279">
        <v>20</v>
      </c>
      <c r="R3279" t="s">
        <v>3373</v>
      </c>
      <c r="S3279" t="s">
        <v>4539</v>
      </c>
      <c r="T3279" t="s">
        <v>3337</v>
      </c>
      <c r="V3279" t="s">
        <v>4326</v>
      </c>
    </row>
    <row r="3280" spans="1:22" ht="12.75" customHeight="1" x14ac:dyDescent="0.15">
      <c r="A3280">
        <v>29</v>
      </c>
      <c r="B3280">
        <v>2026</v>
      </c>
      <c r="C3280" s="21">
        <v>46223</v>
      </c>
      <c r="D3280" t="s">
        <v>153</v>
      </c>
      <c r="E3280" s="8" t="s">
        <v>154</v>
      </c>
      <c r="F3280" t="s">
        <v>21</v>
      </c>
      <c r="G3280">
        <v>8</v>
      </c>
      <c r="H3280" t="s">
        <v>3378</v>
      </c>
      <c r="I3280" t="s">
        <v>214</v>
      </c>
      <c r="J3280" s="1" t="s">
        <v>215</v>
      </c>
      <c r="K3280" t="s">
        <v>181</v>
      </c>
      <c r="L3280" t="s">
        <v>3340</v>
      </c>
      <c r="M3280">
        <v>58</v>
      </c>
      <c r="N3280">
        <v>0.36</v>
      </c>
      <c r="O3280" t="s">
        <v>211</v>
      </c>
      <c r="P3280">
        <v>20</v>
      </c>
      <c r="R3280" t="s">
        <v>3343</v>
      </c>
      <c r="T3280" t="s">
        <v>3337</v>
      </c>
      <c r="V3280" t="s">
        <v>4326</v>
      </c>
    </row>
    <row r="3281" spans="1:22" ht="12.75" customHeight="1" x14ac:dyDescent="0.15">
      <c r="A3281">
        <v>29</v>
      </c>
      <c r="B3281">
        <v>2026</v>
      </c>
      <c r="C3281" s="21">
        <v>46223</v>
      </c>
      <c r="D3281" t="s">
        <v>153</v>
      </c>
      <c r="E3281" t="s">
        <v>154</v>
      </c>
      <c r="F3281" t="s">
        <v>21</v>
      </c>
      <c r="G3281">
        <v>8</v>
      </c>
      <c r="H3281" t="s">
        <v>3378</v>
      </c>
      <c r="I3281" t="s">
        <v>214</v>
      </c>
      <c r="J3281" s="1" t="s">
        <v>215</v>
      </c>
      <c r="K3281" t="s">
        <v>181</v>
      </c>
      <c r="L3281" t="s">
        <v>3340</v>
      </c>
      <c r="M3281">
        <v>81</v>
      </c>
      <c r="N3281">
        <v>0.36</v>
      </c>
      <c r="O3281" t="s">
        <v>211</v>
      </c>
      <c r="P3281">
        <v>20</v>
      </c>
      <c r="R3281" t="s">
        <v>3374</v>
      </c>
      <c r="T3281" t="s">
        <v>3337</v>
      </c>
      <c r="V3281" t="s">
        <v>4326</v>
      </c>
    </row>
    <row r="3282" spans="1:22" ht="12.75" customHeight="1" x14ac:dyDescent="0.15">
      <c r="A3282">
        <v>29</v>
      </c>
      <c r="B3282">
        <v>2026</v>
      </c>
      <c r="C3282" s="21">
        <v>46223</v>
      </c>
      <c r="D3282" t="s">
        <v>153</v>
      </c>
      <c r="E3282" t="s">
        <v>154</v>
      </c>
      <c r="F3282" t="s">
        <v>21</v>
      </c>
      <c r="G3282">
        <v>8</v>
      </c>
      <c r="H3282" t="s">
        <v>3378</v>
      </c>
      <c r="I3282" t="s">
        <v>214</v>
      </c>
      <c r="J3282" s="1" t="s">
        <v>215</v>
      </c>
      <c r="K3282" t="s">
        <v>181</v>
      </c>
      <c r="L3282" t="s">
        <v>3340</v>
      </c>
      <c r="M3282">
        <v>45</v>
      </c>
      <c r="N3282">
        <v>0.36</v>
      </c>
      <c r="O3282" t="s">
        <v>211</v>
      </c>
      <c r="P3282">
        <v>20</v>
      </c>
      <c r="R3282" t="s">
        <v>3377</v>
      </c>
      <c r="T3282" t="s">
        <v>3337</v>
      </c>
      <c r="V3282" t="s">
        <v>4326</v>
      </c>
    </row>
    <row r="3283" spans="1:22" ht="12.75" customHeight="1" x14ac:dyDescent="0.15">
      <c r="A3283">
        <v>29</v>
      </c>
      <c r="B3283">
        <v>2026</v>
      </c>
      <c r="C3283" s="21">
        <v>46223</v>
      </c>
      <c r="D3283" t="s">
        <v>153</v>
      </c>
      <c r="E3283" t="s">
        <v>154</v>
      </c>
      <c r="F3283" t="s">
        <v>21</v>
      </c>
      <c r="G3283">
        <v>8</v>
      </c>
      <c r="H3283" t="s">
        <v>3454</v>
      </c>
      <c r="I3283" t="s">
        <v>212</v>
      </c>
      <c r="J3283" s="1" t="s">
        <v>188</v>
      </c>
      <c r="K3283" t="s">
        <v>181</v>
      </c>
      <c r="L3283" t="s">
        <v>3333</v>
      </c>
      <c r="M3283">
        <v>6</v>
      </c>
      <c r="N3283">
        <v>1</v>
      </c>
      <c r="O3283" t="s">
        <v>3334</v>
      </c>
      <c r="P3283">
        <v>81.58</v>
      </c>
      <c r="Q3283">
        <v>8</v>
      </c>
      <c r="R3283" t="s">
        <v>3335</v>
      </c>
      <c r="T3283" t="s">
        <v>3337</v>
      </c>
      <c r="V3283" t="s">
        <v>3472</v>
      </c>
    </row>
    <row r="3284" spans="1:22" ht="12.75" customHeight="1" x14ac:dyDescent="0.15">
      <c r="A3284">
        <v>29</v>
      </c>
      <c r="B3284">
        <v>2026</v>
      </c>
      <c r="C3284" s="21">
        <v>46223</v>
      </c>
      <c r="D3284" t="s">
        <v>153</v>
      </c>
      <c r="E3284" t="s">
        <v>154</v>
      </c>
      <c r="F3284" t="s">
        <v>21</v>
      </c>
      <c r="G3284">
        <v>8</v>
      </c>
      <c r="H3284" t="s">
        <v>3454</v>
      </c>
      <c r="I3284" t="s">
        <v>212</v>
      </c>
      <c r="J3284" s="1" t="s">
        <v>188</v>
      </c>
      <c r="K3284" t="s">
        <v>181</v>
      </c>
      <c r="L3284" t="s">
        <v>3333</v>
      </c>
      <c r="M3284">
        <v>1</v>
      </c>
      <c r="N3284">
        <v>1</v>
      </c>
      <c r="O3284" t="s">
        <v>3358</v>
      </c>
      <c r="P3284">
        <v>71.86</v>
      </c>
      <c r="Q3284">
        <v>8</v>
      </c>
      <c r="R3284" t="s">
        <v>3359</v>
      </c>
      <c r="T3284" t="s">
        <v>3337</v>
      </c>
      <c r="V3284" t="s">
        <v>4467</v>
      </c>
    </row>
    <row r="3285" spans="1:22" ht="12.75" customHeight="1" x14ac:dyDescent="0.15">
      <c r="A3285">
        <v>29</v>
      </c>
      <c r="B3285">
        <v>2026</v>
      </c>
      <c r="C3285" s="21">
        <v>46223</v>
      </c>
      <c r="D3285" t="s">
        <v>19</v>
      </c>
      <c r="E3285" t="s">
        <v>20</v>
      </c>
      <c r="F3285" t="s">
        <v>21</v>
      </c>
      <c r="G3285">
        <v>3.8</v>
      </c>
      <c r="H3285" t="s">
        <v>4250</v>
      </c>
      <c r="I3285" t="s">
        <v>4540</v>
      </c>
      <c r="J3285" s="1" t="s">
        <v>307</v>
      </c>
      <c r="K3285" t="s">
        <v>181</v>
      </c>
      <c r="L3285" t="s">
        <v>3333</v>
      </c>
      <c r="M3285">
        <v>4</v>
      </c>
      <c r="N3285">
        <v>0.56000000000000005</v>
      </c>
      <c r="O3285" t="s">
        <v>3334</v>
      </c>
      <c r="P3285">
        <v>45.89</v>
      </c>
      <c r="Q3285">
        <v>4.5</v>
      </c>
      <c r="R3285" t="s">
        <v>3773</v>
      </c>
      <c r="T3285" t="s">
        <v>3402</v>
      </c>
      <c r="U3285">
        <v>223</v>
      </c>
      <c r="V3285" t="s">
        <v>4541</v>
      </c>
    </row>
    <row r="3286" spans="1:22" ht="12.75" customHeight="1" x14ac:dyDescent="0.15">
      <c r="A3286">
        <v>29</v>
      </c>
      <c r="B3286">
        <v>2026</v>
      </c>
      <c r="C3286" s="21">
        <v>46223</v>
      </c>
      <c r="D3286" t="s">
        <v>3749</v>
      </c>
      <c r="E3286" t="s">
        <v>676</v>
      </c>
      <c r="F3286" t="s">
        <v>676</v>
      </c>
      <c r="G3286">
        <v>1</v>
      </c>
      <c r="H3286" t="s">
        <v>3750</v>
      </c>
      <c r="I3286" t="s">
        <v>3751</v>
      </c>
      <c r="J3286" s="1" t="s">
        <v>676</v>
      </c>
      <c r="K3286" t="s">
        <v>181</v>
      </c>
      <c r="L3286" t="s">
        <v>3333</v>
      </c>
      <c r="M3286">
        <v>67</v>
      </c>
      <c r="N3286">
        <v>0.44</v>
      </c>
      <c r="O3286" t="s">
        <v>3334</v>
      </c>
      <c r="P3286">
        <v>35.69</v>
      </c>
      <c r="Q3286">
        <v>3.5</v>
      </c>
      <c r="R3286" t="s">
        <v>3404</v>
      </c>
      <c r="S3286" t="s">
        <v>4542</v>
      </c>
      <c r="T3286" t="s">
        <v>3402</v>
      </c>
      <c r="U3286">
        <v>200</v>
      </c>
      <c r="V3286" t="s">
        <v>3469</v>
      </c>
    </row>
    <row r="3287" spans="1:22" ht="12.75" customHeight="1" x14ac:dyDescent="0.15">
      <c r="A3287">
        <v>29</v>
      </c>
      <c r="B3287">
        <v>2026</v>
      </c>
      <c r="C3287" s="21">
        <v>46223</v>
      </c>
      <c r="D3287" t="s">
        <v>19</v>
      </c>
      <c r="E3287" t="s">
        <v>20</v>
      </c>
      <c r="F3287" t="s">
        <v>21</v>
      </c>
      <c r="G3287">
        <v>3.8</v>
      </c>
      <c r="H3287" t="s">
        <v>4250</v>
      </c>
      <c r="I3287" t="s">
        <v>4540</v>
      </c>
      <c r="J3287" s="1" t="s">
        <v>307</v>
      </c>
      <c r="K3287" t="s">
        <v>181</v>
      </c>
      <c r="L3287" t="s">
        <v>3340</v>
      </c>
      <c r="M3287">
        <v>78</v>
      </c>
      <c r="N3287">
        <v>0.74</v>
      </c>
      <c r="O3287" t="s">
        <v>211</v>
      </c>
      <c r="P3287">
        <v>40.5</v>
      </c>
      <c r="Q3287">
        <v>4.5</v>
      </c>
      <c r="R3287" t="s">
        <v>3341</v>
      </c>
      <c r="S3287" t="s">
        <v>4543</v>
      </c>
      <c r="T3287" t="s">
        <v>3402</v>
      </c>
      <c r="U3287">
        <v>223</v>
      </c>
      <c r="V3287" t="s">
        <v>3433</v>
      </c>
    </row>
    <row r="3288" spans="1:22" ht="12.75" customHeight="1" x14ac:dyDescent="0.15">
      <c r="A3288">
        <v>29</v>
      </c>
      <c r="B3288">
        <v>2026</v>
      </c>
      <c r="C3288" s="21">
        <v>46223</v>
      </c>
      <c r="D3288" t="s">
        <v>19</v>
      </c>
      <c r="E3288" t="s">
        <v>20</v>
      </c>
      <c r="F3288" t="s">
        <v>21</v>
      </c>
      <c r="G3288">
        <v>3.8</v>
      </c>
      <c r="H3288" t="s">
        <v>4250</v>
      </c>
      <c r="I3288" t="s">
        <v>4540</v>
      </c>
      <c r="J3288" s="1" t="s">
        <v>307</v>
      </c>
      <c r="K3288" t="s">
        <v>181</v>
      </c>
      <c r="L3288" t="s">
        <v>3333</v>
      </c>
      <c r="M3288">
        <v>67</v>
      </c>
      <c r="N3288">
        <v>0.56000000000000005</v>
      </c>
      <c r="O3288" t="s">
        <v>3334</v>
      </c>
      <c r="P3288">
        <v>45.89</v>
      </c>
      <c r="Q3288">
        <v>4.5</v>
      </c>
      <c r="R3288" t="s">
        <v>3404</v>
      </c>
      <c r="S3288" t="s">
        <v>4494</v>
      </c>
      <c r="T3288" t="s">
        <v>3402</v>
      </c>
      <c r="U3288">
        <v>223</v>
      </c>
      <c r="V3288" t="s">
        <v>4541</v>
      </c>
    </row>
    <row r="3289" spans="1:22" ht="12.75" customHeight="1" x14ac:dyDescent="0.15">
      <c r="A3289">
        <v>29</v>
      </c>
      <c r="B3289">
        <v>2026</v>
      </c>
      <c r="C3289" s="21">
        <v>46223</v>
      </c>
      <c r="D3289" t="s">
        <v>3749</v>
      </c>
      <c r="E3289" s="8" t="s">
        <v>676</v>
      </c>
      <c r="F3289" t="s">
        <v>676</v>
      </c>
      <c r="G3289">
        <v>1</v>
      </c>
      <c r="H3289" t="s">
        <v>3750</v>
      </c>
      <c r="I3289" t="s">
        <v>3751</v>
      </c>
      <c r="J3289" s="1" t="s">
        <v>676</v>
      </c>
      <c r="K3289" t="s">
        <v>181</v>
      </c>
      <c r="L3289" t="s">
        <v>3333</v>
      </c>
      <c r="M3289">
        <v>4</v>
      </c>
      <c r="N3289">
        <v>0.44</v>
      </c>
      <c r="O3289" t="s">
        <v>3334</v>
      </c>
      <c r="P3289">
        <v>35.69</v>
      </c>
      <c r="Q3289">
        <v>3.5</v>
      </c>
      <c r="R3289" t="s">
        <v>3773</v>
      </c>
      <c r="S3289" t="s">
        <v>4544</v>
      </c>
      <c r="T3289" t="s">
        <v>3402</v>
      </c>
      <c r="U3289">
        <v>200</v>
      </c>
      <c r="V3289" t="s">
        <v>3469</v>
      </c>
    </row>
    <row r="3290" spans="1:22" ht="12.75" customHeight="1" x14ac:dyDescent="0.15">
      <c r="A3290">
        <v>29</v>
      </c>
      <c r="B3290">
        <v>2026</v>
      </c>
      <c r="C3290" s="21">
        <v>46223</v>
      </c>
      <c r="D3290" t="s">
        <v>3749</v>
      </c>
      <c r="E3290" s="8" t="s">
        <v>676</v>
      </c>
      <c r="F3290" t="s">
        <v>676</v>
      </c>
      <c r="G3290">
        <v>1</v>
      </c>
      <c r="H3290" t="s">
        <v>3750</v>
      </c>
      <c r="I3290" t="s">
        <v>3751</v>
      </c>
      <c r="J3290" s="1" t="s">
        <v>676</v>
      </c>
      <c r="K3290" t="s">
        <v>181</v>
      </c>
      <c r="L3290" t="s">
        <v>3340</v>
      </c>
      <c r="M3290">
        <v>78</v>
      </c>
      <c r="N3290">
        <v>1.42</v>
      </c>
      <c r="O3290" t="s">
        <v>211</v>
      </c>
      <c r="P3290">
        <v>78.2</v>
      </c>
      <c r="R3290" t="s">
        <v>3341</v>
      </c>
      <c r="T3290" t="s">
        <v>3402</v>
      </c>
      <c r="U3290">
        <v>200</v>
      </c>
      <c r="V3290" t="s">
        <v>4545</v>
      </c>
    </row>
    <row r="3291" spans="1:22" ht="12.75" customHeight="1" x14ac:dyDescent="0.15">
      <c r="A3291">
        <v>29</v>
      </c>
      <c r="B3291">
        <v>2026</v>
      </c>
      <c r="C3291" s="21">
        <v>46223</v>
      </c>
      <c r="D3291" t="s">
        <v>3749</v>
      </c>
      <c r="E3291" s="8" t="s">
        <v>676</v>
      </c>
      <c r="F3291" t="s">
        <v>676</v>
      </c>
      <c r="G3291">
        <v>1</v>
      </c>
      <c r="H3291" t="s">
        <v>3750</v>
      </c>
      <c r="I3291" t="s">
        <v>3751</v>
      </c>
      <c r="J3291" s="1" t="s">
        <v>676</v>
      </c>
      <c r="K3291" t="s">
        <v>181</v>
      </c>
      <c r="L3291" t="s">
        <v>3340</v>
      </c>
      <c r="M3291">
        <v>4</v>
      </c>
      <c r="N3291">
        <v>0.77</v>
      </c>
      <c r="O3291" t="s">
        <v>211</v>
      </c>
      <c r="P3291">
        <v>42.51</v>
      </c>
      <c r="R3291" t="s">
        <v>3773</v>
      </c>
      <c r="S3291" t="s">
        <v>4546</v>
      </c>
      <c r="T3291" t="s">
        <v>3402</v>
      </c>
      <c r="U3291">
        <v>200</v>
      </c>
      <c r="V3291" t="s">
        <v>4547</v>
      </c>
    </row>
    <row r="3292" spans="1:22" ht="12.75" customHeight="1" x14ac:dyDescent="0.15">
      <c r="A3292">
        <v>29</v>
      </c>
      <c r="B3292">
        <v>2026</v>
      </c>
      <c r="C3292" s="21">
        <v>46223</v>
      </c>
      <c r="D3292" t="s">
        <v>3749</v>
      </c>
      <c r="E3292" s="8" t="s">
        <v>676</v>
      </c>
      <c r="F3292" t="s">
        <v>676</v>
      </c>
      <c r="G3292">
        <v>1</v>
      </c>
      <c r="H3292" t="s">
        <v>3750</v>
      </c>
      <c r="I3292" t="s">
        <v>3751</v>
      </c>
      <c r="J3292" s="1" t="s">
        <v>676</v>
      </c>
      <c r="K3292" t="s">
        <v>181</v>
      </c>
      <c r="L3292" t="s">
        <v>3340</v>
      </c>
      <c r="M3292">
        <v>67</v>
      </c>
      <c r="N3292">
        <v>0.77</v>
      </c>
      <c r="O3292" t="s">
        <v>211</v>
      </c>
      <c r="P3292">
        <v>49.7</v>
      </c>
      <c r="R3292" t="s">
        <v>3404</v>
      </c>
      <c r="T3292" t="s">
        <v>3402</v>
      </c>
      <c r="U3292">
        <v>200</v>
      </c>
      <c r="V3292" t="s">
        <v>4548</v>
      </c>
    </row>
    <row r="3293" spans="1:22" ht="12.75" customHeight="1" x14ac:dyDescent="0.15">
      <c r="A3293">
        <v>29</v>
      </c>
      <c r="B3293">
        <v>2026</v>
      </c>
      <c r="C3293" s="21">
        <v>46223</v>
      </c>
      <c r="D3293" t="s">
        <v>437</v>
      </c>
      <c r="E3293" s="8" t="s">
        <v>437</v>
      </c>
      <c r="F3293" t="s">
        <v>4435</v>
      </c>
      <c r="G3293">
        <v>1</v>
      </c>
      <c r="H3293" t="s">
        <v>4302</v>
      </c>
      <c r="I3293" t="s">
        <v>4303</v>
      </c>
      <c r="J3293" s="1" t="s">
        <v>4304</v>
      </c>
      <c r="K3293" t="s">
        <v>181</v>
      </c>
      <c r="L3293" t="s">
        <v>3333</v>
      </c>
      <c r="M3293">
        <v>7</v>
      </c>
      <c r="N3293">
        <v>1</v>
      </c>
      <c r="O3293" t="s">
        <v>4436</v>
      </c>
      <c r="P3293">
        <v>60.33</v>
      </c>
      <c r="Q3293">
        <v>8</v>
      </c>
      <c r="R3293" t="s">
        <v>4437</v>
      </c>
      <c r="T3293" t="s">
        <v>3402</v>
      </c>
      <c r="U3293">
        <v>200</v>
      </c>
      <c r="V3293" t="s">
        <v>4436</v>
      </c>
    </row>
    <row r="3294" spans="1:22" ht="12.75" customHeight="1" x14ac:dyDescent="0.15">
      <c r="A3294">
        <v>29</v>
      </c>
      <c r="B3294">
        <v>2026</v>
      </c>
      <c r="C3294" s="21">
        <v>46223</v>
      </c>
      <c r="D3294" t="s">
        <v>3749</v>
      </c>
      <c r="E3294" s="8" t="s">
        <v>676</v>
      </c>
      <c r="F3294" t="s">
        <v>676</v>
      </c>
      <c r="G3294">
        <v>1</v>
      </c>
      <c r="H3294" t="s">
        <v>4445</v>
      </c>
      <c r="I3294" t="s">
        <v>4446</v>
      </c>
      <c r="J3294" s="1" t="s">
        <v>676</v>
      </c>
      <c r="K3294" t="s">
        <v>181</v>
      </c>
      <c r="L3294" t="s">
        <v>3340</v>
      </c>
      <c r="M3294">
        <v>86</v>
      </c>
      <c r="N3294">
        <v>0.16</v>
      </c>
      <c r="O3294" t="s">
        <v>211</v>
      </c>
      <c r="P3294">
        <v>9</v>
      </c>
      <c r="Q3294">
        <v>1</v>
      </c>
      <c r="R3294" t="s">
        <v>3386</v>
      </c>
      <c r="T3294" t="s">
        <v>3402</v>
      </c>
      <c r="U3294">
        <v>200</v>
      </c>
      <c r="V3294" t="s">
        <v>3473</v>
      </c>
    </row>
    <row r="3295" spans="1:22" ht="12.75" customHeight="1" x14ac:dyDescent="0.15">
      <c r="A3295">
        <v>29</v>
      </c>
      <c r="B3295">
        <v>2026</v>
      </c>
      <c r="C3295" s="21">
        <v>46223</v>
      </c>
      <c r="D3295" t="s">
        <v>3749</v>
      </c>
      <c r="E3295" t="s">
        <v>676</v>
      </c>
      <c r="F3295" t="s">
        <v>676</v>
      </c>
      <c r="G3295">
        <v>1</v>
      </c>
      <c r="H3295" t="s">
        <v>4438</v>
      </c>
      <c r="I3295" t="s">
        <v>4439</v>
      </c>
      <c r="J3295" s="1" t="s">
        <v>4383</v>
      </c>
      <c r="K3295" t="s">
        <v>181</v>
      </c>
      <c r="L3295" t="s">
        <v>3333</v>
      </c>
      <c r="M3295">
        <v>86</v>
      </c>
      <c r="N3295">
        <v>1</v>
      </c>
      <c r="O3295" t="s">
        <v>3334</v>
      </c>
      <c r="P3295">
        <v>81.58</v>
      </c>
      <c r="Q3295">
        <v>8</v>
      </c>
      <c r="R3295" t="s">
        <v>3386</v>
      </c>
      <c r="T3295" t="s">
        <v>3402</v>
      </c>
      <c r="U3295">
        <v>200</v>
      </c>
      <c r="V3295" t="s">
        <v>3334</v>
      </c>
    </row>
    <row r="3296" spans="1:22" ht="12.75" customHeight="1" x14ac:dyDescent="0.15">
      <c r="A3296">
        <v>29</v>
      </c>
      <c r="B3296">
        <v>2026</v>
      </c>
      <c r="C3296" s="21">
        <v>46223</v>
      </c>
      <c r="D3296" t="s">
        <v>53</v>
      </c>
      <c r="E3296" t="s">
        <v>54</v>
      </c>
      <c r="F3296" t="s">
        <v>21</v>
      </c>
      <c r="G3296">
        <v>2</v>
      </c>
      <c r="H3296" t="s">
        <v>4378</v>
      </c>
      <c r="I3296" t="s">
        <v>4379</v>
      </c>
      <c r="J3296" s="1" t="s">
        <v>215</v>
      </c>
      <c r="K3296" t="s">
        <v>181</v>
      </c>
      <c r="L3296" t="s">
        <v>3333</v>
      </c>
      <c r="M3296">
        <v>80</v>
      </c>
      <c r="N3296">
        <v>0.19</v>
      </c>
      <c r="O3296" t="s">
        <v>213</v>
      </c>
      <c r="P3296">
        <v>16.88</v>
      </c>
      <c r="Q3296">
        <v>1.5</v>
      </c>
      <c r="R3296" t="s">
        <v>3560</v>
      </c>
      <c r="T3296" t="s">
        <v>3402</v>
      </c>
      <c r="U3296">
        <v>137</v>
      </c>
      <c r="V3296" t="s">
        <v>4549</v>
      </c>
    </row>
    <row r="3297" spans="1:22" ht="12.75" customHeight="1" x14ac:dyDescent="0.15">
      <c r="A3297">
        <v>29</v>
      </c>
      <c r="B3297">
        <v>2026</v>
      </c>
      <c r="C3297" s="21">
        <v>46223</v>
      </c>
      <c r="D3297" t="s">
        <v>53</v>
      </c>
      <c r="E3297" t="s">
        <v>54</v>
      </c>
      <c r="F3297" t="s">
        <v>21</v>
      </c>
      <c r="G3297">
        <v>2</v>
      </c>
      <c r="H3297" t="s">
        <v>4381</v>
      </c>
      <c r="I3297" t="s">
        <v>4382</v>
      </c>
      <c r="J3297" s="1" t="s">
        <v>4383</v>
      </c>
      <c r="K3297" t="s">
        <v>2666</v>
      </c>
      <c r="L3297" t="s">
        <v>3587</v>
      </c>
      <c r="P3297">
        <v>12</v>
      </c>
      <c r="T3297" t="s">
        <v>3402</v>
      </c>
      <c r="U3297">
        <v>137</v>
      </c>
      <c r="V3297" t="s">
        <v>4204</v>
      </c>
    </row>
    <row r="3298" spans="1:22" ht="12.75" customHeight="1" x14ac:dyDescent="0.15">
      <c r="A3298">
        <v>29</v>
      </c>
      <c r="B3298">
        <v>2026</v>
      </c>
      <c r="C3298" s="21">
        <v>46223</v>
      </c>
      <c r="D3298" t="s">
        <v>53</v>
      </c>
      <c r="E3298" t="s">
        <v>54</v>
      </c>
      <c r="F3298" t="s">
        <v>21</v>
      </c>
      <c r="G3298">
        <v>2</v>
      </c>
      <c r="H3298" t="s">
        <v>4378</v>
      </c>
      <c r="I3298" t="s">
        <v>4379</v>
      </c>
      <c r="J3298" s="1" t="s">
        <v>215</v>
      </c>
      <c r="K3298" t="s">
        <v>181</v>
      </c>
      <c r="L3298" t="s">
        <v>3333</v>
      </c>
      <c r="M3298">
        <v>11</v>
      </c>
      <c r="N3298">
        <v>0.19</v>
      </c>
      <c r="O3298" t="s">
        <v>213</v>
      </c>
      <c r="P3298">
        <v>16.88</v>
      </c>
      <c r="Q3298">
        <v>1.5</v>
      </c>
      <c r="R3298" t="s">
        <v>3564</v>
      </c>
      <c r="T3298" t="s">
        <v>3402</v>
      </c>
      <c r="U3298">
        <v>137</v>
      </c>
      <c r="V3298" t="s">
        <v>4549</v>
      </c>
    </row>
    <row r="3299" spans="1:22" ht="12.75" customHeight="1" x14ac:dyDescent="0.15">
      <c r="A3299">
        <v>29</v>
      </c>
      <c r="B3299">
        <v>2026</v>
      </c>
      <c r="C3299" s="21">
        <v>46223</v>
      </c>
      <c r="D3299" t="s">
        <v>137</v>
      </c>
      <c r="E3299" t="s">
        <v>138</v>
      </c>
      <c r="F3299" t="s">
        <v>75</v>
      </c>
      <c r="G3299">
        <v>1</v>
      </c>
      <c r="H3299" t="s">
        <v>3567</v>
      </c>
      <c r="I3299" t="s">
        <v>321</v>
      </c>
      <c r="J3299" s="1" t="s">
        <v>26</v>
      </c>
      <c r="K3299" t="s">
        <v>181</v>
      </c>
      <c r="L3299" t="s">
        <v>3333</v>
      </c>
      <c r="M3299">
        <v>80</v>
      </c>
      <c r="N3299">
        <v>0.63</v>
      </c>
      <c r="O3299" t="s">
        <v>213</v>
      </c>
      <c r="P3299">
        <v>56.25</v>
      </c>
      <c r="Q3299">
        <v>5</v>
      </c>
      <c r="R3299" t="s">
        <v>3560</v>
      </c>
      <c r="T3299" t="s">
        <v>3402</v>
      </c>
      <c r="U3299">
        <v>3</v>
      </c>
      <c r="V3299" t="s">
        <v>4244</v>
      </c>
    </row>
    <row r="3300" spans="1:22" ht="12.75" customHeight="1" x14ac:dyDescent="0.15">
      <c r="A3300">
        <v>29</v>
      </c>
      <c r="B3300">
        <v>2026</v>
      </c>
      <c r="C3300" s="21">
        <v>46223</v>
      </c>
      <c r="D3300" t="s">
        <v>137</v>
      </c>
      <c r="E3300" t="s">
        <v>138</v>
      </c>
      <c r="F3300" t="s">
        <v>75</v>
      </c>
      <c r="G3300">
        <v>1</v>
      </c>
      <c r="H3300" t="s">
        <v>4013</v>
      </c>
      <c r="I3300" t="s">
        <v>321</v>
      </c>
      <c r="J3300" s="1" t="s">
        <v>26</v>
      </c>
      <c r="K3300" t="s">
        <v>2666</v>
      </c>
      <c r="L3300" t="s">
        <v>3587</v>
      </c>
      <c r="P3300">
        <v>40</v>
      </c>
      <c r="T3300" t="s">
        <v>3402</v>
      </c>
      <c r="U3300">
        <v>3</v>
      </c>
      <c r="V3300" t="s">
        <v>229</v>
      </c>
    </row>
    <row r="3301" spans="1:22" ht="12.75" customHeight="1" x14ac:dyDescent="0.15">
      <c r="A3301">
        <v>29</v>
      </c>
      <c r="B3301">
        <v>2026</v>
      </c>
      <c r="C3301" s="21">
        <v>46224</v>
      </c>
      <c r="D3301" t="s">
        <v>19</v>
      </c>
      <c r="E3301" t="s">
        <v>20</v>
      </c>
      <c r="F3301" t="s">
        <v>21</v>
      </c>
      <c r="G3301">
        <v>3.8</v>
      </c>
      <c r="H3301" t="s">
        <v>3694</v>
      </c>
      <c r="I3301" t="s">
        <v>3695</v>
      </c>
      <c r="J3301" s="1" t="s">
        <v>3696</v>
      </c>
      <c r="K3301" t="s">
        <v>181</v>
      </c>
      <c r="L3301" t="s">
        <v>3340</v>
      </c>
      <c r="M3301">
        <v>53</v>
      </c>
      <c r="N3301">
        <v>0.98</v>
      </c>
      <c r="O3301" t="s">
        <v>211</v>
      </c>
      <c r="P3301">
        <v>54</v>
      </c>
      <c r="Q3301">
        <v>6</v>
      </c>
      <c r="R3301" t="s">
        <v>3373</v>
      </c>
      <c r="S3301" t="s">
        <v>4539</v>
      </c>
      <c r="T3301" t="s">
        <v>3337</v>
      </c>
      <c r="U3301">
        <v>224</v>
      </c>
      <c r="V3301" t="s">
        <v>3411</v>
      </c>
    </row>
    <row r="3302" spans="1:22" ht="12.75" customHeight="1" x14ac:dyDescent="0.15">
      <c r="A3302">
        <v>29</v>
      </c>
      <c r="B3302">
        <v>2026</v>
      </c>
      <c r="C3302" s="21">
        <v>46224</v>
      </c>
      <c r="D3302" t="s">
        <v>19</v>
      </c>
      <c r="E3302" t="s">
        <v>20</v>
      </c>
      <c r="F3302" t="s">
        <v>21</v>
      </c>
      <c r="G3302">
        <v>3.8</v>
      </c>
      <c r="H3302" t="s">
        <v>3694</v>
      </c>
      <c r="I3302" t="s">
        <v>3695</v>
      </c>
      <c r="J3302" s="1" t="s">
        <v>3696</v>
      </c>
      <c r="K3302" t="s">
        <v>181</v>
      </c>
      <c r="L3302" t="s">
        <v>3340</v>
      </c>
      <c r="M3302">
        <v>58</v>
      </c>
      <c r="N3302">
        <v>0.98</v>
      </c>
      <c r="O3302" t="s">
        <v>211</v>
      </c>
      <c r="P3302">
        <v>54</v>
      </c>
      <c r="Q3302">
        <v>6</v>
      </c>
      <c r="R3302" t="s">
        <v>3343</v>
      </c>
      <c r="T3302" t="s">
        <v>3337</v>
      </c>
      <c r="U3302">
        <v>224</v>
      </c>
      <c r="V3302" t="s">
        <v>3411</v>
      </c>
    </row>
    <row r="3303" spans="1:22" ht="12.75" customHeight="1" x14ac:dyDescent="0.15">
      <c r="A3303">
        <v>29</v>
      </c>
      <c r="B3303">
        <v>2026</v>
      </c>
      <c r="C3303" s="21">
        <v>46224</v>
      </c>
      <c r="D3303" t="s">
        <v>19</v>
      </c>
      <c r="E3303" t="s">
        <v>20</v>
      </c>
      <c r="F3303" t="s">
        <v>21</v>
      </c>
      <c r="G3303">
        <v>3.8</v>
      </c>
      <c r="H3303" t="s">
        <v>3694</v>
      </c>
      <c r="I3303" t="s">
        <v>3695</v>
      </c>
      <c r="J3303" s="1" t="s">
        <v>3696</v>
      </c>
      <c r="K3303" t="s">
        <v>181</v>
      </c>
      <c r="L3303" t="s">
        <v>3340</v>
      </c>
      <c r="M3303">
        <v>81</v>
      </c>
      <c r="N3303">
        <v>0.25</v>
      </c>
      <c r="O3303" t="s">
        <v>211</v>
      </c>
      <c r="P3303">
        <v>13.5</v>
      </c>
      <c r="Q3303">
        <v>1.5</v>
      </c>
      <c r="R3303" t="s">
        <v>3374</v>
      </c>
      <c r="T3303" t="s">
        <v>3337</v>
      </c>
      <c r="U3303">
        <v>224</v>
      </c>
      <c r="V3303" t="s">
        <v>3422</v>
      </c>
    </row>
    <row r="3304" spans="1:22" ht="12.75" customHeight="1" x14ac:dyDescent="0.15">
      <c r="A3304">
        <v>29</v>
      </c>
      <c r="B3304">
        <v>2026</v>
      </c>
      <c r="C3304" s="21">
        <v>46224</v>
      </c>
      <c r="D3304" t="s">
        <v>19</v>
      </c>
      <c r="E3304" t="s">
        <v>20</v>
      </c>
      <c r="F3304" t="s">
        <v>21</v>
      </c>
      <c r="G3304">
        <v>3.8</v>
      </c>
      <c r="H3304" t="s">
        <v>3694</v>
      </c>
      <c r="I3304" t="s">
        <v>3695</v>
      </c>
      <c r="J3304" s="1" t="s">
        <v>3696</v>
      </c>
      <c r="K3304" t="s">
        <v>181</v>
      </c>
      <c r="L3304" t="s">
        <v>3340</v>
      </c>
      <c r="M3304">
        <v>45</v>
      </c>
      <c r="N3304">
        <v>0.98</v>
      </c>
      <c r="O3304" t="s">
        <v>211</v>
      </c>
      <c r="P3304">
        <v>54</v>
      </c>
      <c r="Q3304">
        <v>6</v>
      </c>
      <c r="R3304" t="s">
        <v>3377</v>
      </c>
      <c r="T3304" t="s">
        <v>3337</v>
      </c>
      <c r="U3304">
        <v>224</v>
      </c>
      <c r="V3304" t="s">
        <v>3411</v>
      </c>
    </row>
    <row r="3305" spans="1:22" ht="12.75" customHeight="1" x14ac:dyDescent="0.15">
      <c r="A3305">
        <v>29</v>
      </c>
      <c r="B3305">
        <v>2026</v>
      </c>
      <c r="C3305" s="21">
        <v>46224</v>
      </c>
      <c r="D3305" t="s">
        <v>19</v>
      </c>
      <c r="E3305" t="s">
        <v>20</v>
      </c>
      <c r="F3305" t="s">
        <v>21</v>
      </c>
      <c r="G3305">
        <v>3.8</v>
      </c>
      <c r="H3305" t="s">
        <v>3694</v>
      </c>
      <c r="I3305" t="s">
        <v>3695</v>
      </c>
      <c r="J3305" s="1" t="s">
        <v>3696</v>
      </c>
      <c r="K3305" t="s">
        <v>181</v>
      </c>
      <c r="L3305" t="s">
        <v>3340</v>
      </c>
      <c r="M3305">
        <v>62</v>
      </c>
      <c r="N3305">
        <v>0.98</v>
      </c>
      <c r="O3305" t="s">
        <v>211</v>
      </c>
      <c r="P3305">
        <v>54</v>
      </c>
      <c r="Q3305">
        <v>6</v>
      </c>
      <c r="R3305" t="s">
        <v>3375</v>
      </c>
      <c r="T3305" t="s">
        <v>3337</v>
      </c>
      <c r="U3305">
        <v>224</v>
      </c>
      <c r="V3305" t="s">
        <v>3411</v>
      </c>
    </row>
    <row r="3306" spans="1:22" ht="12.75" customHeight="1" x14ac:dyDescent="0.15">
      <c r="A3306">
        <v>29</v>
      </c>
      <c r="B3306">
        <v>2026</v>
      </c>
      <c r="C3306" s="21">
        <v>46224</v>
      </c>
      <c r="D3306" t="s">
        <v>153</v>
      </c>
      <c r="E3306" t="s">
        <v>154</v>
      </c>
      <c r="F3306" t="s">
        <v>21</v>
      </c>
      <c r="G3306">
        <v>8</v>
      </c>
      <c r="H3306" t="s">
        <v>3378</v>
      </c>
      <c r="I3306" t="s">
        <v>214</v>
      </c>
      <c r="J3306" s="1" t="s">
        <v>215</v>
      </c>
      <c r="K3306" t="s">
        <v>181</v>
      </c>
      <c r="L3306" t="s">
        <v>3340</v>
      </c>
      <c r="M3306">
        <v>53</v>
      </c>
      <c r="N3306">
        <v>0.36</v>
      </c>
      <c r="O3306" t="s">
        <v>211</v>
      </c>
      <c r="P3306">
        <v>20</v>
      </c>
      <c r="R3306" t="s">
        <v>3373</v>
      </c>
      <c r="S3306" t="s">
        <v>4539</v>
      </c>
      <c r="T3306" t="s">
        <v>3337</v>
      </c>
      <c r="V3306" t="s">
        <v>4326</v>
      </c>
    </row>
    <row r="3307" spans="1:22" ht="12.75" customHeight="1" x14ac:dyDescent="0.15">
      <c r="A3307">
        <v>29</v>
      </c>
      <c r="B3307">
        <v>2026</v>
      </c>
      <c r="C3307" s="21">
        <v>46224</v>
      </c>
      <c r="D3307" t="s">
        <v>153</v>
      </c>
      <c r="E3307" t="s">
        <v>154</v>
      </c>
      <c r="F3307" t="s">
        <v>21</v>
      </c>
      <c r="G3307">
        <v>8</v>
      </c>
      <c r="H3307" t="s">
        <v>3378</v>
      </c>
      <c r="I3307" t="s">
        <v>214</v>
      </c>
      <c r="J3307" s="1" t="s">
        <v>215</v>
      </c>
      <c r="K3307" t="s">
        <v>181</v>
      </c>
      <c r="L3307" t="s">
        <v>3340</v>
      </c>
      <c r="M3307">
        <v>58</v>
      </c>
      <c r="N3307">
        <v>0.36</v>
      </c>
      <c r="O3307" t="s">
        <v>211</v>
      </c>
      <c r="P3307">
        <v>20</v>
      </c>
      <c r="R3307" t="s">
        <v>3343</v>
      </c>
      <c r="T3307" t="s">
        <v>3337</v>
      </c>
      <c r="V3307" t="s">
        <v>4326</v>
      </c>
    </row>
    <row r="3308" spans="1:22" ht="12.75" customHeight="1" x14ac:dyDescent="0.15">
      <c r="A3308">
        <v>29</v>
      </c>
      <c r="B3308">
        <v>2026</v>
      </c>
      <c r="C3308" s="21">
        <v>46224</v>
      </c>
      <c r="D3308" t="s">
        <v>153</v>
      </c>
      <c r="E3308" t="s">
        <v>154</v>
      </c>
      <c r="F3308" t="s">
        <v>21</v>
      </c>
      <c r="G3308">
        <v>8</v>
      </c>
      <c r="H3308" t="s">
        <v>3378</v>
      </c>
      <c r="I3308" t="s">
        <v>214</v>
      </c>
      <c r="J3308" s="1" t="s">
        <v>215</v>
      </c>
      <c r="K3308" t="s">
        <v>181</v>
      </c>
      <c r="L3308" t="s">
        <v>3340</v>
      </c>
      <c r="M3308">
        <v>62</v>
      </c>
      <c r="N3308">
        <v>0.36</v>
      </c>
      <c r="O3308" t="s">
        <v>211</v>
      </c>
      <c r="P3308">
        <v>20</v>
      </c>
      <c r="R3308" t="s">
        <v>3375</v>
      </c>
      <c r="T3308" t="s">
        <v>3337</v>
      </c>
      <c r="V3308" t="s">
        <v>4326</v>
      </c>
    </row>
    <row r="3309" spans="1:22" ht="12.75" customHeight="1" x14ac:dyDescent="0.15">
      <c r="A3309">
        <v>29</v>
      </c>
      <c r="B3309">
        <v>2026</v>
      </c>
      <c r="C3309" s="21">
        <v>46224</v>
      </c>
      <c r="D3309" t="s">
        <v>153</v>
      </c>
      <c r="E3309" t="s">
        <v>154</v>
      </c>
      <c r="F3309" t="s">
        <v>21</v>
      </c>
      <c r="G3309">
        <v>8</v>
      </c>
      <c r="H3309" t="s">
        <v>3378</v>
      </c>
      <c r="I3309" t="s">
        <v>214</v>
      </c>
      <c r="J3309" s="1" t="s">
        <v>215</v>
      </c>
      <c r="K3309" t="s">
        <v>181</v>
      </c>
      <c r="L3309" t="s">
        <v>3340</v>
      </c>
      <c r="M3309">
        <v>45</v>
      </c>
      <c r="N3309">
        <v>0.36</v>
      </c>
      <c r="O3309" t="s">
        <v>211</v>
      </c>
      <c r="P3309">
        <v>20</v>
      </c>
      <c r="R3309" t="s">
        <v>3377</v>
      </c>
      <c r="T3309" t="s">
        <v>3337</v>
      </c>
      <c r="V3309" t="s">
        <v>4326</v>
      </c>
    </row>
    <row r="3310" spans="1:22" ht="12.75" customHeight="1" x14ac:dyDescent="0.15">
      <c r="A3310">
        <v>29</v>
      </c>
      <c r="B3310">
        <v>2026</v>
      </c>
      <c r="C3310" s="21">
        <v>46224</v>
      </c>
      <c r="D3310" t="s">
        <v>60</v>
      </c>
      <c r="E3310" t="s">
        <v>61</v>
      </c>
      <c r="F3310" t="s">
        <v>21</v>
      </c>
      <c r="G3310">
        <v>1.6</v>
      </c>
      <c r="H3310" t="s">
        <v>4502</v>
      </c>
      <c r="I3310" t="s">
        <v>4379</v>
      </c>
      <c r="J3310" s="1" t="s">
        <v>215</v>
      </c>
      <c r="K3310" t="s">
        <v>181</v>
      </c>
      <c r="L3310" t="s">
        <v>3340</v>
      </c>
      <c r="M3310">
        <v>81</v>
      </c>
      <c r="N3310">
        <v>0.74</v>
      </c>
      <c r="O3310" t="s">
        <v>211</v>
      </c>
      <c r="P3310">
        <v>40.5</v>
      </c>
      <c r="Q3310">
        <v>4.5</v>
      </c>
      <c r="R3310" t="s">
        <v>3374</v>
      </c>
      <c r="T3310" t="s">
        <v>3337</v>
      </c>
      <c r="U3310">
        <v>116</v>
      </c>
      <c r="V3310" t="s">
        <v>4550</v>
      </c>
    </row>
    <row r="3311" spans="1:22" ht="12.75" customHeight="1" x14ac:dyDescent="0.15">
      <c r="A3311">
        <v>29</v>
      </c>
      <c r="B3311">
        <v>2026</v>
      </c>
      <c r="C3311" s="21">
        <v>46224</v>
      </c>
      <c r="D3311" t="s">
        <v>101</v>
      </c>
      <c r="E3311" t="s">
        <v>102</v>
      </c>
      <c r="F3311" t="s">
        <v>75</v>
      </c>
      <c r="G3311">
        <v>7.6</v>
      </c>
      <c r="H3311" t="s">
        <v>4502</v>
      </c>
      <c r="I3311" t="s">
        <v>4379</v>
      </c>
      <c r="J3311" s="1" t="s">
        <v>215</v>
      </c>
      <c r="K3311" t="s">
        <v>181</v>
      </c>
      <c r="L3311" t="s">
        <v>3340</v>
      </c>
      <c r="M3311">
        <v>81</v>
      </c>
      <c r="N3311">
        <v>0.65</v>
      </c>
      <c r="O3311" t="s">
        <v>211</v>
      </c>
      <c r="P3311">
        <v>36</v>
      </c>
      <c r="Q3311">
        <v>4</v>
      </c>
      <c r="R3311" t="s">
        <v>3374</v>
      </c>
      <c r="T3311" t="s">
        <v>3337</v>
      </c>
      <c r="U3311">
        <v>84</v>
      </c>
      <c r="V3311" t="s">
        <v>3414</v>
      </c>
    </row>
    <row r="3312" spans="1:22" ht="12.75" customHeight="1" x14ac:dyDescent="0.15">
      <c r="A3312">
        <v>29</v>
      </c>
      <c r="B3312">
        <v>2026</v>
      </c>
      <c r="C3312" s="21">
        <v>46224</v>
      </c>
      <c r="D3312" t="s">
        <v>19</v>
      </c>
      <c r="E3312" t="s">
        <v>20</v>
      </c>
      <c r="F3312" t="s">
        <v>21</v>
      </c>
      <c r="G3312">
        <v>3.8</v>
      </c>
      <c r="H3312" t="s">
        <v>3694</v>
      </c>
      <c r="I3312" t="s">
        <v>3695</v>
      </c>
      <c r="J3312" s="1" t="s">
        <v>3696</v>
      </c>
      <c r="K3312" t="s">
        <v>181</v>
      </c>
      <c r="L3312" t="s">
        <v>3340</v>
      </c>
      <c r="M3312">
        <v>25</v>
      </c>
      <c r="N3312">
        <v>1</v>
      </c>
      <c r="O3312" t="s">
        <v>211</v>
      </c>
      <c r="P3312">
        <v>55</v>
      </c>
      <c r="R3312" t="s">
        <v>3413</v>
      </c>
      <c r="T3312" t="s">
        <v>3337</v>
      </c>
      <c r="U3312">
        <v>224</v>
      </c>
      <c r="V3312" t="s">
        <v>3362</v>
      </c>
    </row>
    <row r="3313" spans="1:22" ht="12.75" customHeight="1" x14ac:dyDescent="0.15">
      <c r="A3313">
        <v>29</v>
      </c>
      <c r="B3313">
        <v>2026</v>
      </c>
      <c r="C3313" s="21">
        <v>46224</v>
      </c>
      <c r="D3313" t="s">
        <v>19</v>
      </c>
      <c r="E3313" t="s">
        <v>20</v>
      </c>
      <c r="F3313" t="s">
        <v>21</v>
      </c>
      <c r="G3313">
        <v>3.8</v>
      </c>
      <c r="H3313" t="s">
        <v>3694</v>
      </c>
      <c r="I3313" t="s">
        <v>3695</v>
      </c>
      <c r="J3313" s="1" t="s">
        <v>3696</v>
      </c>
      <c r="K3313" t="s">
        <v>181</v>
      </c>
      <c r="L3313" t="s">
        <v>3333</v>
      </c>
      <c r="M3313">
        <v>2</v>
      </c>
      <c r="N3313">
        <v>0.75</v>
      </c>
      <c r="O3313" t="s">
        <v>3440</v>
      </c>
      <c r="P3313">
        <v>67.87</v>
      </c>
      <c r="Q3313">
        <v>6</v>
      </c>
      <c r="R3313" t="s">
        <v>3424</v>
      </c>
      <c r="T3313" t="s">
        <v>3337</v>
      </c>
      <c r="U3313">
        <v>224</v>
      </c>
      <c r="V3313" t="s">
        <v>4535</v>
      </c>
    </row>
    <row r="3314" spans="1:22" ht="12.75" customHeight="1" x14ac:dyDescent="0.15">
      <c r="A3314">
        <v>29</v>
      </c>
      <c r="B3314">
        <v>2026</v>
      </c>
      <c r="C3314" s="21">
        <v>46224</v>
      </c>
      <c r="D3314" t="s">
        <v>153</v>
      </c>
      <c r="E3314" t="s">
        <v>154</v>
      </c>
      <c r="F3314" t="s">
        <v>21</v>
      </c>
      <c r="G3314">
        <v>8</v>
      </c>
      <c r="H3314" t="s">
        <v>3486</v>
      </c>
      <c r="I3314" t="s">
        <v>3487</v>
      </c>
      <c r="J3314" s="1" t="s">
        <v>215</v>
      </c>
      <c r="K3314" t="s">
        <v>181</v>
      </c>
      <c r="L3314" t="s">
        <v>3333</v>
      </c>
      <c r="M3314">
        <v>2</v>
      </c>
      <c r="N3314">
        <v>0.25</v>
      </c>
      <c r="O3314" t="s">
        <v>3440</v>
      </c>
      <c r="P3314">
        <v>22.62</v>
      </c>
      <c r="Q3314">
        <v>2</v>
      </c>
      <c r="R3314" t="s">
        <v>3424</v>
      </c>
      <c r="T3314" t="s">
        <v>3337</v>
      </c>
      <c r="V3314" t="s">
        <v>4536</v>
      </c>
    </row>
    <row r="3315" spans="1:22" ht="12.75" customHeight="1" x14ac:dyDescent="0.15">
      <c r="A3315">
        <v>29</v>
      </c>
      <c r="B3315">
        <v>2026</v>
      </c>
      <c r="C3315" s="21">
        <v>46224</v>
      </c>
      <c r="D3315" t="s">
        <v>19</v>
      </c>
      <c r="E3315" t="s">
        <v>20</v>
      </c>
      <c r="F3315" t="s">
        <v>21</v>
      </c>
      <c r="G3315">
        <v>3.8</v>
      </c>
      <c r="H3315" t="s">
        <v>3694</v>
      </c>
      <c r="I3315" t="s">
        <v>3695</v>
      </c>
      <c r="J3315" s="1" t="s">
        <v>3696</v>
      </c>
      <c r="K3315" t="s">
        <v>181</v>
      </c>
      <c r="L3315" t="s">
        <v>23</v>
      </c>
      <c r="M3315">
        <v>176</v>
      </c>
      <c r="P3315">
        <v>495</v>
      </c>
      <c r="R3315" t="s">
        <v>4361</v>
      </c>
      <c r="S3315" t="s">
        <v>4551</v>
      </c>
      <c r="T3315" t="s">
        <v>3337</v>
      </c>
      <c r="U3315">
        <v>224</v>
      </c>
      <c r="V3315" t="s">
        <v>4552</v>
      </c>
    </row>
    <row r="3316" spans="1:22" ht="12.75" customHeight="1" x14ac:dyDescent="0.15">
      <c r="A3316">
        <v>29</v>
      </c>
      <c r="B3316">
        <v>2026</v>
      </c>
      <c r="C3316" s="21">
        <v>46224</v>
      </c>
      <c r="D3316" t="s">
        <v>153</v>
      </c>
      <c r="E3316" t="s">
        <v>154</v>
      </c>
      <c r="F3316" t="s">
        <v>21</v>
      </c>
      <c r="G3316">
        <v>8</v>
      </c>
      <c r="H3316" t="s">
        <v>3454</v>
      </c>
      <c r="I3316" t="s">
        <v>212</v>
      </c>
      <c r="J3316" s="1" t="s">
        <v>188</v>
      </c>
      <c r="K3316" t="s">
        <v>181</v>
      </c>
      <c r="L3316" t="s">
        <v>3333</v>
      </c>
      <c r="M3316">
        <v>6</v>
      </c>
      <c r="N3316">
        <v>1</v>
      </c>
      <c r="O3316" t="s">
        <v>3334</v>
      </c>
      <c r="P3316">
        <v>81.58</v>
      </c>
      <c r="Q3316">
        <v>8</v>
      </c>
      <c r="R3316" t="s">
        <v>3335</v>
      </c>
      <c r="T3316" t="s">
        <v>3337</v>
      </c>
      <c r="V3316" t="s">
        <v>3472</v>
      </c>
    </row>
    <row r="3317" spans="1:22" ht="12.75" customHeight="1" x14ac:dyDescent="0.15">
      <c r="A3317">
        <v>29</v>
      </c>
      <c r="B3317">
        <v>2026</v>
      </c>
      <c r="C3317" s="21">
        <v>46224</v>
      </c>
      <c r="D3317" t="s">
        <v>153</v>
      </c>
      <c r="E3317" t="s">
        <v>154</v>
      </c>
      <c r="F3317" t="s">
        <v>21</v>
      </c>
      <c r="G3317">
        <v>8</v>
      </c>
      <c r="H3317" t="s">
        <v>3454</v>
      </c>
      <c r="I3317" t="s">
        <v>212</v>
      </c>
      <c r="J3317" s="1" t="s">
        <v>188</v>
      </c>
      <c r="K3317" t="s">
        <v>181</v>
      </c>
      <c r="L3317" t="s">
        <v>3333</v>
      </c>
      <c r="M3317">
        <v>1</v>
      </c>
      <c r="N3317">
        <v>1</v>
      </c>
      <c r="O3317" t="s">
        <v>3358</v>
      </c>
      <c r="P3317">
        <v>71.86</v>
      </c>
      <c r="Q3317">
        <v>8</v>
      </c>
      <c r="R3317" t="s">
        <v>3359</v>
      </c>
      <c r="T3317" t="s">
        <v>3337</v>
      </c>
      <c r="V3317" t="s">
        <v>4467</v>
      </c>
    </row>
    <row r="3318" spans="1:22" ht="12.75" customHeight="1" x14ac:dyDescent="0.15">
      <c r="A3318">
        <v>29</v>
      </c>
      <c r="B3318">
        <v>2026</v>
      </c>
      <c r="C3318" s="21">
        <v>46224</v>
      </c>
      <c r="D3318" t="s">
        <v>60</v>
      </c>
      <c r="E3318" t="s">
        <v>61</v>
      </c>
      <c r="F3318" t="s">
        <v>21</v>
      </c>
      <c r="G3318">
        <v>1.6</v>
      </c>
      <c r="H3318" t="s">
        <v>4378</v>
      </c>
      <c r="I3318" t="s">
        <v>4379</v>
      </c>
      <c r="J3318" s="1" t="s">
        <v>215</v>
      </c>
      <c r="K3318" t="s">
        <v>181</v>
      </c>
      <c r="L3318" t="s">
        <v>3333</v>
      </c>
      <c r="M3318">
        <v>80</v>
      </c>
      <c r="N3318">
        <v>0.38</v>
      </c>
      <c r="O3318" t="s">
        <v>213</v>
      </c>
      <c r="P3318">
        <v>33.75</v>
      </c>
      <c r="Q3318">
        <v>3</v>
      </c>
      <c r="R3318" t="s">
        <v>3560</v>
      </c>
      <c r="T3318" t="s">
        <v>3402</v>
      </c>
      <c r="U3318">
        <v>116</v>
      </c>
      <c r="V3318" t="s">
        <v>3798</v>
      </c>
    </row>
    <row r="3319" spans="1:22" ht="12.75" customHeight="1" x14ac:dyDescent="0.15">
      <c r="A3319">
        <v>29</v>
      </c>
      <c r="B3319">
        <v>2026</v>
      </c>
      <c r="C3319" s="21">
        <v>46224</v>
      </c>
      <c r="D3319" t="s">
        <v>60</v>
      </c>
      <c r="E3319" s="8" t="s">
        <v>61</v>
      </c>
      <c r="F3319" t="s">
        <v>21</v>
      </c>
      <c r="G3319">
        <v>1.6</v>
      </c>
      <c r="H3319" t="s">
        <v>4381</v>
      </c>
      <c r="I3319" t="s">
        <v>4382</v>
      </c>
      <c r="J3319" s="1" t="s">
        <v>4383</v>
      </c>
      <c r="K3319" t="s">
        <v>2666</v>
      </c>
      <c r="L3319" t="s">
        <v>3587</v>
      </c>
      <c r="P3319">
        <v>24</v>
      </c>
      <c r="T3319" t="s">
        <v>3402</v>
      </c>
      <c r="U3319">
        <v>116</v>
      </c>
      <c r="V3319" t="s">
        <v>3915</v>
      </c>
    </row>
    <row r="3320" spans="1:22" ht="12.75" customHeight="1" x14ac:dyDescent="0.15">
      <c r="A3320">
        <v>29</v>
      </c>
      <c r="B3320">
        <v>2026</v>
      </c>
      <c r="C3320" s="21">
        <v>46224</v>
      </c>
      <c r="D3320" t="s">
        <v>137</v>
      </c>
      <c r="E3320" s="8" t="s">
        <v>138</v>
      </c>
      <c r="F3320" t="s">
        <v>75</v>
      </c>
      <c r="G3320">
        <v>1</v>
      </c>
      <c r="H3320" t="s">
        <v>3672</v>
      </c>
      <c r="I3320" t="s">
        <v>3673</v>
      </c>
      <c r="J3320" s="1" t="s">
        <v>26</v>
      </c>
      <c r="K3320" t="s">
        <v>181</v>
      </c>
      <c r="L3320" t="s">
        <v>3333</v>
      </c>
      <c r="M3320">
        <v>11</v>
      </c>
      <c r="N3320">
        <v>0.5</v>
      </c>
      <c r="O3320" t="s">
        <v>213</v>
      </c>
      <c r="P3320">
        <v>45</v>
      </c>
      <c r="Q3320">
        <v>4</v>
      </c>
      <c r="R3320" t="s">
        <v>3564</v>
      </c>
      <c r="T3320" t="s">
        <v>3402</v>
      </c>
      <c r="U3320">
        <v>4</v>
      </c>
      <c r="V3320" t="s">
        <v>3530</v>
      </c>
    </row>
    <row r="3321" spans="1:22" ht="12.75" customHeight="1" x14ac:dyDescent="0.15">
      <c r="A3321">
        <v>29</v>
      </c>
      <c r="B3321">
        <v>2026</v>
      </c>
      <c r="C3321" s="21">
        <v>46224</v>
      </c>
      <c r="D3321" t="s">
        <v>137</v>
      </c>
      <c r="E3321" s="8" t="s">
        <v>138</v>
      </c>
      <c r="F3321" t="s">
        <v>75</v>
      </c>
      <c r="G3321">
        <v>1</v>
      </c>
      <c r="H3321" t="s">
        <v>3947</v>
      </c>
      <c r="I3321" t="s">
        <v>3673</v>
      </c>
      <c r="J3321" s="1" t="s">
        <v>26</v>
      </c>
      <c r="K3321" t="s">
        <v>2666</v>
      </c>
      <c r="L3321" t="s">
        <v>3587</v>
      </c>
      <c r="P3321">
        <v>32</v>
      </c>
      <c r="T3321" t="s">
        <v>3402</v>
      </c>
      <c r="U3321">
        <v>4</v>
      </c>
      <c r="V3321" t="s">
        <v>3496</v>
      </c>
    </row>
    <row r="3322" spans="1:22" ht="12.75" customHeight="1" x14ac:dyDescent="0.15">
      <c r="A3322">
        <v>29</v>
      </c>
      <c r="B3322">
        <v>2026</v>
      </c>
      <c r="C3322" s="21">
        <v>46224</v>
      </c>
      <c r="D3322" t="s">
        <v>437</v>
      </c>
      <c r="E3322" s="8" t="s">
        <v>437</v>
      </c>
      <c r="F3322" t="s">
        <v>4435</v>
      </c>
      <c r="G3322">
        <v>1</v>
      </c>
      <c r="H3322" t="s">
        <v>4553</v>
      </c>
      <c r="I3322" t="s">
        <v>4554</v>
      </c>
      <c r="J3322" s="1" t="s">
        <v>3660</v>
      </c>
      <c r="K3322" t="s">
        <v>181</v>
      </c>
      <c r="L3322" t="s">
        <v>3333</v>
      </c>
      <c r="M3322">
        <v>7</v>
      </c>
      <c r="N3322">
        <v>1</v>
      </c>
      <c r="O3322" t="s">
        <v>4436</v>
      </c>
      <c r="P3322">
        <v>60.33</v>
      </c>
      <c r="Q3322">
        <v>8</v>
      </c>
      <c r="R3322" t="s">
        <v>4437</v>
      </c>
      <c r="T3322" t="s">
        <v>3402</v>
      </c>
      <c r="U3322">
        <v>201</v>
      </c>
      <c r="V3322" t="s">
        <v>4436</v>
      </c>
    </row>
    <row r="3323" spans="1:22" ht="12.75" customHeight="1" x14ac:dyDescent="0.15">
      <c r="A3323">
        <v>29</v>
      </c>
      <c r="B3323">
        <v>2026</v>
      </c>
      <c r="C3323" s="21">
        <v>46224</v>
      </c>
      <c r="D3323" t="s">
        <v>139</v>
      </c>
      <c r="E3323" t="s">
        <v>140</v>
      </c>
      <c r="F3323" t="s">
        <v>75</v>
      </c>
      <c r="G3323">
        <v>0.8</v>
      </c>
      <c r="H3323" t="s">
        <v>3845</v>
      </c>
      <c r="I3323" t="s">
        <v>380</v>
      </c>
      <c r="J3323" s="1" t="s">
        <v>3533</v>
      </c>
      <c r="K3323" t="s">
        <v>181</v>
      </c>
      <c r="L3323" t="s">
        <v>3333</v>
      </c>
      <c r="M3323">
        <v>4</v>
      </c>
      <c r="N3323">
        <v>0.31</v>
      </c>
      <c r="O3323" t="s">
        <v>3334</v>
      </c>
      <c r="P3323">
        <v>25.49</v>
      </c>
      <c r="Q3323">
        <v>2.5</v>
      </c>
      <c r="R3323" t="s">
        <v>3773</v>
      </c>
      <c r="T3323" t="s">
        <v>3402</v>
      </c>
      <c r="U3323">
        <v>56</v>
      </c>
      <c r="V3323" t="s">
        <v>4345</v>
      </c>
    </row>
    <row r="3324" spans="1:22" ht="12.75" customHeight="1" x14ac:dyDescent="0.15">
      <c r="A3324">
        <v>29</v>
      </c>
      <c r="B3324">
        <v>2026</v>
      </c>
      <c r="C3324" s="21">
        <v>46224</v>
      </c>
      <c r="D3324" t="s">
        <v>91</v>
      </c>
      <c r="E3324" t="s">
        <v>92</v>
      </c>
      <c r="F3324" t="s">
        <v>21</v>
      </c>
      <c r="G3324">
        <v>1.3</v>
      </c>
      <c r="H3324" t="s">
        <v>3845</v>
      </c>
      <c r="I3324" t="s">
        <v>380</v>
      </c>
      <c r="J3324" s="1" t="s">
        <v>3533</v>
      </c>
      <c r="K3324" t="s">
        <v>181</v>
      </c>
      <c r="L3324" t="s">
        <v>3340</v>
      </c>
      <c r="M3324">
        <v>4</v>
      </c>
      <c r="N3324">
        <v>0.33</v>
      </c>
      <c r="O3324" t="s">
        <v>211</v>
      </c>
      <c r="P3324">
        <v>18</v>
      </c>
      <c r="Q3324">
        <v>2</v>
      </c>
      <c r="R3324" t="s">
        <v>3773</v>
      </c>
      <c r="T3324" t="s">
        <v>3402</v>
      </c>
      <c r="U3324">
        <v>94</v>
      </c>
      <c r="V3324" t="s">
        <v>4555</v>
      </c>
    </row>
    <row r="3325" spans="1:22" ht="12.75" customHeight="1" x14ac:dyDescent="0.15">
      <c r="A3325">
        <v>29</v>
      </c>
      <c r="B3325">
        <v>2026</v>
      </c>
      <c r="C3325" s="21">
        <v>46224</v>
      </c>
      <c r="D3325" t="s">
        <v>3749</v>
      </c>
      <c r="E3325" t="s">
        <v>676</v>
      </c>
      <c r="F3325" t="s">
        <v>676</v>
      </c>
      <c r="G3325">
        <v>1</v>
      </c>
      <c r="H3325" t="s">
        <v>3750</v>
      </c>
      <c r="I3325" t="s">
        <v>3751</v>
      </c>
      <c r="J3325" s="1" t="s">
        <v>676</v>
      </c>
      <c r="K3325" t="s">
        <v>181</v>
      </c>
      <c r="L3325" t="s">
        <v>3333</v>
      </c>
      <c r="M3325">
        <v>67</v>
      </c>
      <c r="N3325">
        <v>0.75</v>
      </c>
      <c r="O3325" t="s">
        <v>3334</v>
      </c>
      <c r="P3325">
        <v>61.19</v>
      </c>
      <c r="Q3325">
        <v>6</v>
      </c>
      <c r="R3325" t="s">
        <v>3404</v>
      </c>
      <c r="S3325" t="s">
        <v>4556</v>
      </c>
      <c r="T3325" t="s">
        <v>3402</v>
      </c>
      <c r="U3325">
        <v>201</v>
      </c>
      <c r="V3325" t="s">
        <v>3715</v>
      </c>
    </row>
    <row r="3326" spans="1:22" ht="12.75" customHeight="1" x14ac:dyDescent="0.15">
      <c r="A3326">
        <v>29</v>
      </c>
      <c r="B3326">
        <v>2026</v>
      </c>
      <c r="C3326" s="21">
        <v>46224</v>
      </c>
      <c r="D3326" t="s">
        <v>3749</v>
      </c>
      <c r="E3326" t="s">
        <v>676</v>
      </c>
      <c r="F3326" t="s">
        <v>676</v>
      </c>
      <c r="G3326">
        <v>1</v>
      </c>
      <c r="H3326" t="s">
        <v>3750</v>
      </c>
      <c r="I3326" t="s">
        <v>3751</v>
      </c>
      <c r="J3326" s="1" t="s">
        <v>676</v>
      </c>
      <c r="K3326" t="s">
        <v>181</v>
      </c>
      <c r="L3326" t="s">
        <v>3333</v>
      </c>
      <c r="M3326">
        <v>4</v>
      </c>
      <c r="N3326">
        <v>0.69</v>
      </c>
      <c r="O3326" t="s">
        <v>3334</v>
      </c>
      <c r="P3326">
        <v>56.09</v>
      </c>
      <c r="Q3326">
        <v>5.5</v>
      </c>
      <c r="R3326" t="s">
        <v>3773</v>
      </c>
      <c r="S3326" t="s">
        <v>4557</v>
      </c>
      <c r="T3326" t="s">
        <v>3402</v>
      </c>
      <c r="U3326">
        <v>201</v>
      </c>
      <c r="V3326" t="s">
        <v>4558</v>
      </c>
    </row>
    <row r="3327" spans="1:22" ht="12.75" customHeight="1" x14ac:dyDescent="0.15">
      <c r="A3327">
        <v>29</v>
      </c>
      <c r="B3327">
        <v>2026</v>
      </c>
      <c r="C3327" s="21">
        <v>46224</v>
      </c>
      <c r="D3327" t="s">
        <v>3749</v>
      </c>
      <c r="E3327" s="8" t="s">
        <v>676</v>
      </c>
      <c r="F3327" t="s">
        <v>676</v>
      </c>
      <c r="G3327">
        <v>1</v>
      </c>
      <c r="H3327" t="s">
        <v>3750</v>
      </c>
      <c r="I3327" t="s">
        <v>3751</v>
      </c>
      <c r="J3327" s="1" t="s">
        <v>676</v>
      </c>
      <c r="K3327" t="s">
        <v>181</v>
      </c>
      <c r="L3327" t="s">
        <v>3340</v>
      </c>
      <c r="M3327">
        <v>78</v>
      </c>
      <c r="N3327">
        <v>1.82</v>
      </c>
      <c r="O3327" t="s">
        <v>211</v>
      </c>
      <c r="P3327">
        <v>100</v>
      </c>
      <c r="R3327" t="s">
        <v>3341</v>
      </c>
      <c r="T3327" t="s">
        <v>3402</v>
      </c>
      <c r="U3327">
        <v>201</v>
      </c>
      <c r="V3327" t="s">
        <v>3707</v>
      </c>
    </row>
    <row r="3328" spans="1:22" ht="12.75" customHeight="1" x14ac:dyDescent="0.15">
      <c r="A3328">
        <v>29</v>
      </c>
      <c r="B3328">
        <v>2026</v>
      </c>
      <c r="C3328" s="21">
        <v>46224</v>
      </c>
      <c r="D3328" t="s">
        <v>3749</v>
      </c>
      <c r="E3328" t="s">
        <v>676</v>
      </c>
      <c r="F3328" t="s">
        <v>676</v>
      </c>
      <c r="G3328">
        <v>1</v>
      </c>
      <c r="H3328" t="s">
        <v>3750</v>
      </c>
      <c r="I3328" t="s">
        <v>3751</v>
      </c>
      <c r="J3328" s="1" t="s">
        <v>676</v>
      </c>
      <c r="K3328" t="s">
        <v>181</v>
      </c>
      <c r="L3328" t="s">
        <v>3340</v>
      </c>
      <c r="M3328">
        <v>67</v>
      </c>
      <c r="N3328">
        <v>0.83</v>
      </c>
      <c r="O3328" t="s">
        <v>211</v>
      </c>
      <c r="P3328">
        <v>45.5</v>
      </c>
      <c r="R3328" t="s">
        <v>3404</v>
      </c>
      <c r="T3328" t="s">
        <v>3402</v>
      </c>
      <c r="U3328">
        <v>201</v>
      </c>
      <c r="V3328" t="s">
        <v>4559</v>
      </c>
    </row>
    <row r="3329" spans="1:22" ht="12.75" customHeight="1" x14ac:dyDescent="0.15">
      <c r="A3329">
        <v>29</v>
      </c>
      <c r="B3329">
        <v>2026</v>
      </c>
      <c r="C3329" s="21">
        <v>46224</v>
      </c>
      <c r="D3329" t="s">
        <v>3749</v>
      </c>
      <c r="E3329" s="8" t="s">
        <v>676</v>
      </c>
      <c r="F3329" t="s">
        <v>676</v>
      </c>
      <c r="G3329">
        <v>1</v>
      </c>
      <c r="H3329" t="s">
        <v>3750</v>
      </c>
      <c r="I3329" t="s">
        <v>3751</v>
      </c>
      <c r="J3329" s="1" t="s">
        <v>676</v>
      </c>
      <c r="K3329" t="s">
        <v>181</v>
      </c>
      <c r="L3329" t="s">
        <v>3340</v>
      </c>
      <c r="M3329">
        <v>4</v>
      </c>
      <c r="N3329">
        <v>0.8</v>
      </c>
      <c r="O3329" t="s">
        <v>211</v>
      </c>
      <c r="P3329">
        <v>44</v>
      </c>
      <c r="R3329" t="s">
        <v>3773</v>
      </c>
      <c r="S3329" t="s">
        <v>4560</v>
      </c>
      <c r="T3329" t="s">
        <v>3402</v>
      </c>
      <c r="U3329">
        <v>201</v>
      </c>
      <c r="V3329" t="s">
        <v>4561</v>
      </c>
    </row>
    <row r="3330" spans="1:22" ht="12.75" customHeight="1" x14ac:dyDescent="0.15">
      <c r="A3330">
        <v>29</v>
      </c>
      <c r="B3330">
        <v>2026</v>
      </c>
      <c r="C3330" s="21">
        <v>46224</v>
      </c>
      <c r="D3330" t="s">
        <v>3749</v>
      </c>
      <c r="E3330" s="8" t="s">
        <v>676</v>
      </c>
      <c r="F3330" t="s">
        <v>676</v>
      </c>
      <c r="G3330">
        <v>1</v>
      </c>
      <c r="H3330" t="s">
        <v>4519</v>
      </c>
      <c r="I3330" t="s">
        <v>4520</v>
      </c>
      <c r="J3330" s="1" t="s">
        <v>4383</v>
      </c>
      <c r="K3330" t="s">
        <v>181</v>
      </c>
      <c r="L3330" t="s">
        <v>3333</v>
      </c>
      <c r="M3330">
        <v>67</v>
      </c>
      <c r="N3330">
        <v>0.25</v>
      </c>
      <c r="O3330" t="s">
        <v>3334</v>
      </c>
      <c r="P3330">
        <v>20.399999999999999</v>
      </c>
      <c r="Q3330">
        <v>2</v>
      </c>
      <c r="R3330" t="s">
        <v>3404</v>
      </c>
      <c r="T3330" t="s">
        <v>3402</v>
      </c>
      <c r="U3330">
        <v>201</v>
      </c>
      <c r="V3330" t="s">
        <v>3474</v>
      </c>
    </row>
    <row r="3331" spans="1:22" ht="12.75" customHeight="1" x14ac:dyDescent="0.15">
      <c r="A3331">
        <v>29</v>
      </c>
      <c r="B3331">
        <v>2026</v>
      </c>
      <c r="C3331" s="21">
        <v>46224</v>
      </c>
      <c r="D3331" t="s">
        <v>3749</v>
      </c>
      <c r="E3331" t="s">
        <v>676</v>
      </c>
      <c r="F3331" t="s">
        <v>676</v>
      </c>
      <c r="G3331">
        <v>1</v>
      </c>
      <c r="H3331" t="s">
        <v>4438</v>
      </c>
      <c r="I3331" t="s">
        <v>4439</v>
      </c>
      <c r="J3331" s="1" t="s">
        <v>4383</v>
      </c>
      <c r="K3331" t="s">
        <v>181</v>
      </c>
      <c r="L3331" t="s">
        <v>3333</v>
      </c>
      <c r="M3331">
        <v>86</v>
      </c>
      <c r="N3331">
        <v>1</v>
      </c>
      <c r="O3331" t="s">
        <v>3334</v>
      </c>
      <c r="P3331">
        <v>81.58</v>
      </c>
      <c r="Q3331">
        <v>8</v>
      </c>
      <c r="R3331" t="s">
        <v>3386</v>
      </c>
      <c r="T3331" t="s">
        <v>3402</v>
      </c>
      <c r="U3331">
        <v>201</v>
      </c>
      <c r="V3331" t="s">
        <v>3334</v>
      </c>
    </row>
    <row r="3332" spans="1:22" ht="12.75" customHeight="1" x14ac:dyDescent="0.15">
      <c r="A3332">
        <v>29</v>
      </c>
      <c r="B3332">
        <v>2026</v>
      </c>
      <c r="C3332" s="21">
        <v>46224</v>
      </c>
      <c r="D3332" t="s">
        <v>3749</v>
      </c>
      <c r="E3332" t="s">
        <v>676</v>
      </c>
      <c r="F3332" t="s">
        <v>676</v>
      </c>
      <c r="G3332">
        <v>1</v>
      </c>
      <c r="H3332" t="s">
        <v>4445</v>
      </c>
      <c r="I3332" t="s">
        <v>4446</v>
      </c>
      <c r="J3332" s="1" t="s">
        <v>676</v>
      </c>
      <c r="K3332" t="s">
        <v>181</v>
      </c>
      <c r="L3332" t="s">
        <v>3340</v>
      </c>
      <c r="M3332">
        <v>86</v>
      </c>
      <c r="N3332">
        <v>0.16</v>
      </c>
      <c r="O3332" t="s">
        <v>211</v>
      </c>
      <c r="P3332">
        <v>9</v>
      </c>
      <c r="Q3332">
        <v>1</v>
      </c>
      <c r="R3332" t="s">
        <v>3386</v>
      </c>
      <c r="T3332" t="s">
        <v>3402</v>
      </c>
      <c r="U3332">
        <v>201</v>
      </c>
      <c r="V3332" t="s">
        <v>3473</v>
      </c>
    </row>
    <row r="3333" spans="1:22" ht="12.75" customHeight="1" x14ac:dyDescent="0.15">
      <c r="A3333">
        <v>29</v>
      </c>
      <c r="B3333">
        <v>2026</v>
      </c>
      <c r="C3333" s="21">
        <v>46225</v>
      </c>
      <c r="D3333" t="s">
        <v>153</v>
      </c>
      <c r="E3333" t="s">
        <v>154</v>
      </c>
      <c r="F3333" t="s">
        <v>21</v>
      </c>
      <c r="G3333">
        <v>8</v>
      </c>
      <c r="H3333" t="s">
        <v>3378</v>
      </c>
      <c r="I3333" t="s">
        <v>214</v>
      </c>
      <c r="J3333" s="1" t="s">
        <v>215</v>
      </c>
      <c r="K3333" t="s">
        <v>181</v>
      </c>
      <c r="L3333" t="s">
        <v>3340</v>
      </c>
      <c r="M3333">
        <v>53</v>
      </c>
      <c r="N3333">
        <v>1.27</v>
      </c>
      <c r="O3333" t="s">
        <v>211</v>
      </c>
      <c r="P3333">
        <v>70</v>
      </c>
      <c r="R3333" t="s">
        <v>3373</v>
      </c>
      <c r="S3333" t="s">
        <v>4562</v>
      </c>
      <c r="T3333" t="s">
        <v>3337</v>
      </c>
      <c r="V3333" t="s">
        <v>4274</v>
      </c>
    </row>
    <row r="3334" spans="1:22" ht="12.75" customHeight="1" x14ac:dyDescent="0.15">
      <c r="A3334">
        <v>29</v>
      </c>
      <c r="B3334">
        <v>2026</v>
      </c>
      <c r="C3334" s="21">
        <v>46225</v>
      </c>
      <c r="D3334" t="s">
        <v>153</v>
      </c>
      <c r="E3334" t="s">
        <v>154</v>
      </c>
      <c r="F3334" t="s">
        <v>21</v>
      </c>
      <c r="G3334">
        <v>8</v>
      </c>
      <c r="H3334" t="s">
        <v>3378</v>
      </c>
      <c r="I3334" t="s">
        <v>214</v>
      </c>
      <c r="J3334" s="1" t="s">
        <v>215</v>
      </c>
      <c r="K3334" t="s">
        <v>181</v>
      </c>
      <c r="L3334" t="s">
        <v>3340</v>
      </c>
      <c r="M3334">
        <v>58</v>
      </c>
      <c r="N3334">
        <v>1.27</v>
      </c>
      <c r="O3334" t="s">
        <v>211</v>
      </c>
      <c r="P3334">
        <v>70</v>
      </c>
      <c r="R3334" t="s">
        <v>3343</v>
      </c>
      <c r="T3334" t="s">
        <v>3337</v>
      </c>
      <c r="V3334" t="s">
        <v>4274</v>
      </c>
    </row>
    <row r="3335" spans="1:22" ht="12.75" customHeight="1" x14ac:dyDescent="0.15">
      <c r="A3335">
        <v>29</v>
      </c>
      <c r="B3335">
        <v>2026</v>
      </c>
      <c r="C3335" s="21">
        <v>46225</v>
      </c>
      <c r="D3335" t="s">
        <v>153</v>
      </c>
      <c r="E3335" t="s">
        <v>154</v>
      </c>
      <c r="F3335" t="s">
        <v>21</v>
      </c>
      <c r="G3335">
        <v>8</v>
      </c>
      <c r="H3335" t="s">
        <v>3378</v>
      </c>
      <c r="I3335" t="s">
        <v>214</v>
      </c>
      <c r="J3335" s="1" t="s">
        <v>215</v>
      </c>
      <c r="K3335" t="s">
        <v>181</v>
      </c>
      <c r="L3335" t="s">
        <v>3340</v>
      </c>
      <c r="M3335">
        <v>62</v>
      </c>
      <c r="N3335">
        <v>1.27</v>
      </c>
      <c r="O3335" t="s">
        <v>211</v>
      </c>
      <c r="P3335">
        <v>70</v>
      </c>
      <c r="R3335" t="s">
        <v>3375</v>
      </c>
      <c r="T3335" t="s">
        <v>3337</v>
      </c>
      <c r="V3335" t="s">
        <v>4274</v>
      </c>
    </row>
    <row r="3336" spans="1:22" ht="12.75" customHeight="1" x14ac:dyDescent="0.15">
      <c r="A3336">
        <v>29</v>
      </c>
      <c r="B3336">
        <v>2026</v>
      </c>
      <c r="C3336" s="21">
        <v>46225</v>
      </c>
      <c r="D3336" t="s">
        <v>153</v>
      </c>
      <c r="E3336" t="s">
        <v>154</v>
      </c>
      <c r="F3336" t="s">
        <v>21</v>
      </c>
      <c r="G3336">
        <v>8</v>
      </c>
      <c r="H3336" t="s">
        <v>3378</v>
      </c>
      <c r="I3336" t="s">
        <v>214</v>
      </c>
      <c r="J3336" s="1" t="s">
        <v>215</v>
      </c>
      <c r="K3336" t="s">
        <v>181</v>
      </c>
      <c r="L3336" t="s">
        <v>3340</v>
      </c>
      <c r="M3336">
        <v>45</v>
      </c>
      <c r="N3336">
        <v>1.27</v>
      </c>
      <c r="O3336" t="s">
        <v>211</v>
      </c>
      <c r="P3336">
        <v>70</v>
      </c>
      <c r="R3336" t="s">
        <v>3377</v>
      </c>
      <c r="T3336" t="s">
        <v>3337</v>
      </c>
      <c r="V3336" t="s">
        <v>4274</v>
      </c>
    </row>
    <row r="3337" spans="1:22" ht="12.75" customHeight="1" x14ac:dyDescent="0.15">
      <c r="A3337">
        <v>29</v>
      </c>
      <c r="B3337">
        <v>2026</v>
      </c>
      <c r="C3337" s="21">
        <v>46225</v>
      </c>
      <c r="D3337" t="s">
        <v>101</v>
      </c>
      <c r="E3337" t="s">
        <v>102</v>
      </c>
      <c r="F3337" t="s">
        <v>75</v>
      </c>
      <c r="G3337">
        <v>7.6</v>
      </c>
      <c r="H3337" t="s">
        <v>4502</v>
      </c>
      <c r="I3337" t="s">
        <v>4379</v>
      </c>
      <c r="J3337" s="1" t="s">
        <v>215</v>
      </c>
      <c r="K3337" t="s">
        <v>181</v>
      </c>
      <c r="L3337" t="s">
        <v>3340</v>
      </c>
      <c r="M3337">
        <v>81</v>
      </c>
      <c r="N3337">
        <v>0.49</v>
      </c>
      <c r="O3337" t="s">
        <v>211</v>
      </c>
      <c r="P3337">
        <v>27</v>
      </c>
      <c r="Q3337">
        <v>3</v>
      </c>
      <c r="R3337" t="s">
        <v>3374</v>
      </c>
      <c r="T3337" t="s">
        <v>3337</v>
      </c>
      <c r="U3337">
        <v>85</v>
      </c>
      <c r="V3337" t="s">
        <v>3422</v>
      </c>
    </row>
    <row r="3338" spans="1:22" ht="12.75" customHeight="1" x14ac:dyDescent="0.15">
      <c r="A3338">
        <v>29</v>
      </c>
      <c r="B3338">
        <v>2026</v>
      </c>
      <c r="C3338" s="21">
        <v>46225</v>
      </c>
      <c r="D3338" t="s">
        <v>143</v>
      </c>
      <c r="E3338" t="s">
        <v>144</v>
      </c>
      <c r="F3338" t="s">
        <v>21</v>
      </c>
      <c r="G3338">
        <v>1.8</v>
      </c>
      <c r="H3338" t="s">
        <v>4502</v>
      </c>
      <c r="I3338" t="s">
        <v>4379</v>
      </c>
      <c r="J3338" s="1" t="s">
        <v>215</v>
      </c>
      <c r="K3338" t="s">
        <v>181</v>
      </c>
      <c r="L3338" t="s">
        <v>3340</v>
      </c>
      <c r="M3338">
        <v>81</v>
      </c>
      <c r="N3338">
        <v>0.49</v>
      </c>
      <c r="O3338" t="s">
        <v>211</v>
      </c>
      <c r="P3338">
        <v>27</v>
      </c>
      <c r="Q3338">
        <v>3</v>
      </c>
      <c r="R3338" t="s">
        <v>3374</v>
      </c>
      <c r="T3338" t="s">
        <v>3337</v>
      </c>
      <c r="V3338" t="s">
        <v>3915</v>
      </c>
    </row>
    <row r="3339" spans="1:22" ht="12.75" customHeight="1" x14ac:dyDescent="0.15">
      <c r="A3339">
        <v>29</v>
      </c>
      <c r="B3339">
        <v>2026</v>
      </c>
      <c r="C3339" s="21">
        <v>46225</v>
      </c>
      <c r="D3339" t="s">
        <v>3749</v>
      </c>
      <c r="E3339" t="s">
        <v>676</v>
      </c>
      <c r="F3339" t="s">
        <v>676</v>
      </c>
      <c r="G3339">
        <v>1</v>
      </c>
      <c r="H3339" t="s">
        <v>4563</v>
      </c>
      <c r="I3339" t="s">
        <v>4446</v>
      </c>
      <c r="J3339" s="1" t="s">
        <v>676</v>
      </c>
      <c r="K3339" t="s">
        <v>181</v>
      </c>
      <c r="L3339" t="s">
        <v>3340</v>
      </c>
      <c r="M3339">
        <v>81</v>
      </c>
      <c r="N3339">
        <v>0.43</v>
      </c>
      <c r="O3339" t="s">
        <v>211</v>
      </c>
      <c r="P3339">
        <v>23.6</v>
      </c>
      <c r="R3339" t="s">
        <v>3374</v>
      </c>
      <c r="T3339" t="s">
        <v>3337</v>
      </c>
      <c r="U3339">
        <v>202</v>
      </c>
      <c r="V3339" t="s">
        <v>4564</v>
      </c>
    </row>
    <row r="3340" spans="1:22" ht="12.75" customHeight="1" x14ac:dyDescent="0.15">
      <c r="A3340">
        <v>29</v>
      </c>
      <c r="B3340">
        <v>2026</v>
      </c>
      <c r="C3340" s="21">
        <v>46225</v>
      </c>
      <c r="D3340" t="s">
        <v>19</v>
      </c>
      <c r="E3340" t="s">
        <v>20</v>
      </c>
      <c r="F3340" t="s">
        <v>21</v>
      </c>
      <c r="G3340">
        <v>3.8</v>
      </c>
      <c r="H3340" t="s">
        <v>3694</v>
      </c>
      <c r="I3340" t="s">
        <v>3695</v>
      </c>
      <c r="J3340" s="1" t="s">
        <v>3696</v>
      </c>
      <c r="K3340" t="s">
        <v>181</v>
      </c>
      <c r="L3340" t="s">
        <v>23</v>
      </c>
      <c r="M3340">
        <v>176</v>
      </c>
      <c r="P3340">
        <v>162</v>
      </c>
      <c r="Q3340">
        <v>2</v>
      </c>
      <c r="R3340" t="s">
        <v>4361</v>
      </c>
      <c r="S3340" t="s">
        <v>4565</v>
      </c>
      <c r="T3340" t="s">
        <v>3337</v>
      </c>
      <c r="U3340">
        <v>225</v>
      </c>
      <c r="V3340" t="s">
        <v>4566</v>
      </c>
    </row>
    <row r="3341" spans="1:22" ht="12.75" customHeight="1" x14ac:dyDescent="0.15">
      <c r="A3341">
        <v>29</v>
      </c>
      <c r="B3341">
        <v>2026</v>
      </c>
      <c r="C3341" s="21">
        <v>46225</v>
      </c>
      <c r="D3341" t="s">
        <v>19</v>
      </c>
      <c r="E3341" t="s">
        <v>20</v>
      </c>
      <c r="F3341" t="s">
        <v>21</v>
      </c>
      <c r="G3341">
        <v>3.8</v>
      </c>
      <c r="H3341" t="s">
        <v>3694</v>
      </c>
      <c r="I3341" t="s">
        <v>3695</v>
      </c>
      <c r="J3341" s="1" t="s">
        <v>3696</v>
      </c>
      <c r="K3341" t="s">
        <v>181</v>
      </c>
      <c r="L3341" t="s">
        <v>3340</v>
      </c>
      <c r="M3341">
        <v>25</v>
      </c>
      <c r="N3341">
        <v>0.33</v>
      </c>
      <c r="O3341" t="s">
        <v>211</v>
      </c>
      <c r="P3341">
        <v>18</v>
      </c>
      <c r="Q3341">
        <v>2</v>
      </c>
      <c r="R3341" t="s">
        <v>3413</v>
      </c>
      <c r="S3341" t="s">
        <v>4565</v>
      </c>
      <c r="T3341" t="s">
        <v>3337</v>
      </c>
      <c r="U3341">
        <v>225</v>
      </c>
      <c r="V3341" t="s">
        <v>3414</v>
      </c>
    </row>
    <row r="3342" spans="1:22" ht="12.75" customHeight="1" x14ac:dyDescent="0.15">
      <c r="A3342">
        <v>29</v>
      </c>
      <c r="B3342">
        <v>2026</v>
      </c>
      <c r="C3342" s="21">
        <v>46225</v>
      </c>
      <c r="D3342" t="s">
        <v>19</v>
      </c>
      <c r="E3342" t="s">
        <v>20</v>
      </c>
      <c r="F3342" t="s">
        <v>21</v>
      </c>
      <c r="G3342">
        <v>3.8</v>
      </c>
      <c r="H3342" t="s">
        <v>3694</v>
      </c>
      <c r="I3342" t="s">
        <v>3695</v>
      </c>
      <c r="J3342" s="1" t="s">
        <v>3696</v>
      </c>
      <c r="K3342" t="s">
        <v>181</v>
      </c>
      <c r="L3342" t="s">
        <v>3333</v>
      </c>
      <c r="M3342">
        <v>2</v>
      </c>
      <c r="N3342">
        <v>0.25</v>
      </c>
      <c r="O3342" t="s">
        <v>3440</v>
      </c>
      <c r="P3342">
        <v>22.62</v>
      </c>
      <c r="Q3342">
        <v>2</v>
      </c>
      <c r="R3342" t="s">
        <v>3424</v>
      </c>
      <c r="S3342" t="s">
        <v>4565</v>
      </c>
      <c r="T3342" t="s">
        <v>3337</v>
      </c>
      <c r="U3342">
        <v>225</v>
      </c>
      <c r="V3342" t="s">
        <v>3996</v>
      </c>
    </row>
    <row r="3343" spans="1:22" ht="12.75" customHeight="1" x14ac:dyDescent="0.15">
      <c r="A3343">
        <v>29</v>
      </c>
      <c r="B3343">
        <v>2026</v>
      </c>
      <c r="C3343" s="21">
        <v>46225</v>
      </c>
      <c r="D3343" t="s">
        <v>101</v>
      </c>
      <c r="E3343" t="s">
        <v>102</v>
      </c>
      <c r="F3343" t="s">
        <v>75</v>
      </c>
      <c r="G3343">
        <v>7.6</v>
      </c>
      <c r="H3343" t="s">
        <v>3400</v>
      </c>
      <c r="I3343" t="s">
        <v>353</v>
      </c>
      <c r="J3343" s="1" t="s">
        <v>253</v>
      </c>
      <c r="K3343" t="s">
        <v>181</v>
      </c>
      <c r="L3343" t="s">
        <v>23</v>
      </c>
      <c r="M3343">
        <v>176</v>
      </c>
      <c r="P3343">
        <v>333</v>
      </c>
      <c r="Q3343">
        <v>4</v>
      </c>
      <c r="R3343" t="s">
        <v>4361</v>
      </c>
      <c r="S3343" t="s">
        <v>4565</v>
      </c>
      <c r="T3343" t="s">
        <v>3337</v>
      </c>
      <c r="U3343">
        <v>85</v>
      </c>
      <c r="V3343" t="s">
        <v>4567</v>
      </c>
    </row>
    <row r="3344" spans="1:22" ht="12.75" customHeight="1" x14ac:dyDescent="0.15">
      <c r="A3344">
        <v>29</v>
      </c>
      <c r="B3344">
        <v>2026</v>
      </c>
      <c r="C3344" s="21">
        <v>46225</v>
      </c>
      <c r="D3344" t="s">
        <v>101</v>
      </c>
      <c r="E3344" t="s">
        <v>102</v>
      </c>
      <c r="F3344" t="s">
        <v>75</v>
      </c>
      <c r="G3344">
        <v>7.6</v>
      </c>
      <c r="H3344" t="s">
        <v>3400</v>
      </c>
      <c r="I3344" t="s">
        <v>353</v>
      </c>
      <c r="J3344" s="1" t="s">
        <v>253</v>
      </c>
      <c r="K3344" t="s">
        <v>181</v>
      </c>
      <c r="L3344" t="s">
        <v>3340</v>
      </c>
      <c r="M3344">
        <v>25</v>
      </c>
      <c r="N3344">
        <v>0.67</v>
      </c>
      <c r="O3344" t="s">
        <v>211</v>
      </c>
      <c r="P3344">
        <v>37</v>
      </c>
      <c r="Q3344">
        <v>4</v>
      </c>
      <c r="R3344" t="s">
        <v>3413</v>
      </c>
      <c r="S3344" t="s">
        <v>4565</v>
      </c>
      <c r="T3344" t="s">
        <v>3337</v>
      </c>
      <c r="U3344">
        <v>85</v>
      </c>
      <c r="V3344" t="s">
        <v>4568</v>
      </c>
    </row>
    <row r="3345" spans="1:22" ht="12.75" customHeight="1" x14ac:dyDescent="0.15">
      <c r="A3345">
        <v>29</v>
      </c>
      <c r="B3345">
        <v>2026</v>
      </c>
      <c r="C3345" s="21">
        <v>46225</v>
      </c>
      <c r="D3345" t="s">
        <v>101</v>
      </c>
      <c r="E3345" t="s">
        <v>102</v>
      </c>
      <c r="F3345" t="s">
        <v>75</v>
      </c>
      <c r="G3345">
        <v>7.6</v>
      </c>
      <c r="H3345" t="s">
        <v>3400</v>
      </c>
      <c r="I3345" t="s">
        <v>353</v>
      </c>
      <c r="J3345" s="1" t="s">
        <v>253</v>
      </c>
      <c r="K3345" t="s">
        <v>181</v>
      </c>
      <c r="L3345" t="s">
        <v>3333</v>
      </c>
      <c r="M3345">
        <v>2</v>
      </c>
      <c r="N3345">
        <v>0.5</v>
      </c>
      <c r="O3345" t="s">
        <v>3440</v>
      </c>
      <c r="P3345">
        <v>45.25</v>
      </c>
      <c r="Q3345">
        <v>4</v>
      </c>
      <c r="R3345" t="s">
        <v>3424</v>
      </c>
      <c r="S3345" t="s">
        <v>4565</v>
      </c>
      <c r="T3345" t="s">
        <v>3337</v>
      </c>
      <c r="U3345">
        <v>85</v>
      </c>
      <c r="V3345" t="s">
        <v>3996</v>
      </c>
    </row>
    <row r="3346" spans="1:22" ht="12.75" customHeight="1" x14ac:dyDescent="0.15">
      <c r="A3346">
        <v>29</v>
      </c>
      <c r="B3346">
        <v>2026</v>
      </c>
      <c r="C3346" s="21">
        <v>46225</v>
      </c>
      <c r="D3346" t="s">
        <v>153</v>
      </c>
      <c r="E3346" s="8" t="s">
        <v>154</v>
      </c>
      <c r="F3346" t="s">
        <v>21</v>
      </c>
      <c r="G3346">
        <v>8</v>
      </c>
      <c r="H3346" t="s">
        <v>3486</v>
      </c>
      <c r="I3346" t="s">
        <v>3487</v>
      </c>
      <c r="J3346" s="1" t="s">
        <v>215</v>
      </c>
      <c r="K3346" t="s">
        <v>181</v>
      </c>
      <c r="L3346" t="s">
        <v>3333</v>
      </c>
      <c r="M3346">
        <v>2</v>
      </c>
      <c r="N3346">
        <v>0.25</v>
      </c>
      <c r="O3346" t="s">
        <v>3440</v>
      </c>
      <c r="P3346">
        <v>22.62</v>
      </c>
      <c r="Q3346">
        <v>2</v>
      </c>
      <c r="R3346" t="s">
        <v>3424</v>
      </c>
      <c r="T3346" t="s">
        <v>3337</v>
      </c>
      <c r="V3346" t="s">
        <v>4536</v>
      </c>
    </row>
    <row r="3347" spans="1:22" ht="12.75" customHeight="1" x14ac:dyDescent="0.15">
      <c r="A3347">
        <v>29</v>
      </c>
      <c r="B3347">
        <v>2026</v>
      </c>
      <c r="C3347" s="21">
        <v>46225</v>
      </c>
      <c r="D3347" t="s">
        <v>153</v>
      </c>
      <c r="E3347" s="8" t="s">
        <v>154</v>
      </c>
      <c r="F3347" t="s">
        <v>21</v>
      </c>
      <c r="G3347">
        <v>8</v>
      </c>
      <c r="H3347" t="s">
        <v>3339</v>
      </c>
      <c r="I3347" t="s">
        <v>187</v>
      </c>
      <c r="J3347" s="1" t="s">
        <v>188</v>
      </c>
      <c r="K3347" t="s">
        <v>181</v>
      </c>
      <c r="L3347" t="s">
        <v>3333</v>
      </c>
      <c r="M3347">
        <v>6</v>
      </c>
      <c r="N3347">
        <v>1</v>
      </c>
      <c r="O3347" t="s">
        <v>3334</v>
      </c>
      <c r="P3347">
        <v>81.58</v>
      </c>
      <c r="Q3347">
        <v>8</v>
      </c>
      <c r="R3347" t="s">
        <v>3335</v>
      </c>
      <c r="T3347" t="s">
        <v>3337</v>
      </c>
      <c r="V3347" t="s">
        <v>3472</v>
      </c>
    </row>
    <row r="3348" spans="1:22" ht="12.75" customHeight="1" x14ac:dyDescent="0.15">
      <c r="A3348">
        <v>29</v>
      </c>
      <c r="B3348">
        <v>2026</v>
      </c>
      <c r="C3348" s="21">
        <v>46225</v>
      </c>
      <c r="D3348" t="s">
        <v>153</v>
      </c>
      <c r="E3348" s="8" t="s">
        <v>154</v>
      </c>
      <c r="F3348" t="s">
        <v>21</v>
      </c>
      <c r="G3348">
        <v>8</v>
      </c>
      <c r="H3348" t="s">
        <v>3339</v>
      </c>
      <c r="I3348" t="s">
        <v>187</v>
      </c>
      <c r="J3348" s="1" t="s">
        <v>188</v>
      </c>
      <c r="K3348" t="s">
        <v>181</v>
      </c>
      <c r="L3348" t="s">
        <v>3333</v>
      </c>
      <c r="M3348">
        <v>1</v>
      </c>
      <c r="N3348">
        <v>1</v>
      </c>
      <c r="O3348" t="s">
        <v>3358</v>
      </c>
      <c r="P3348">
        <v>71.86</v>
      </c>
      <c r="Q3348">
        <v>8</v>
      </c>
      <c r="R3348" t="s">
        <v>3359</v>
      </c>
      <c r="T3348" t="s">
        <v>3337</v>
      </c>
      <c r="V3348" t="s">
        <v>4467</v>
      </c>
    </row>
    <row r="3349" spans="1:22" ht="12.75" customHeight="1" x14ac:dyDescent="0.15">
      <c r="A3349">
        <v>29</v>
      </c>
      <c r="B3349">
        <v>2026</v>
      </c>
      <c r="C3349" s="21">
        <v>46225</v>
      </c>
      <c r="D3349" t="s">
        <v>3749</v>
      </c>
      <c r="E3349" s="8" t="s">
        <v>676</v>
      </c>
      <c r="F3349" t="s">
        <v>676</v>
      </c>
      <c r="G3349">
        <v>1</v>
      </c>
      <c r="H3349" t="s">
        <v>4464</v>
      </c>
      <c r="I3349" t="s">
        <v>4455</v>
      </c>
      <c r="J3349" s="1" t="s">
        <v>676</v>
      </c>
      <c r="K3349" t="s">
        <v>181</v>
      </c>
      <c r="L3349" t="s">
        <v>3340</v>
      </c>
      <c r="M3349">
        <v>53</v>
      </c>
      <c r="N3349">
        <v>0.49</v>
      </c>
      <c r="O3349" t="s">
        <v>211</v>
      </c>
      <c r="P3349">
        <v>27</v>
      </c>
      <c r="R3349" t="s">
        <v>3373</v>
      </c>
      <c r="S3349" t="s">
        <v>4569</v>
      </c>
      <c r="T3349" t="s">
        <v>3337</v>
      </c>
      <c r="U3349">
        <v>202</v>
      </c>
      <c r="V3349" t="s">
        <v>273</v>
      </c>
    </row>
    <row r="3350" spans="1:22" ht="12.75" customHeight="1" x14ac:dyDescent="0.15">
      <c r="A3350">
        <v>29</v>
      </c>
      <c r="B3350">
        <v>2026</v>
      </c>
      <c r="C3350" s="21">
        <v>46225</v>
      </c>
      <c r="D3350" t="s">
        <v>3749</v>
      </c>
      <c r="E3350" t="s">
        <v>676</v>
      </c>
      <c r="F3350" t="s">
        <v>676</v>
      </c>
      <c r="G3350">
        <v>1</v>
      </c>
      <c r="H3350" t="s">
        <v>4464</v>
      </c>
      <c r="I3350" t="s">
        <v>4455</v>
      </c>
      <c r="J3350" s="1" t="s">
        <v>676</v>
      </c>
      <c r="K3350" t="s">
        <v>181</v>
      </c>
      <c r="L3350" t="s">
        <v>3340</v>
      </c>
      <c r="M3350">
        <v>58</v>
      </c>
      <c r="N3350">
        <v>0.49</v>
      </c>
      <c r="O3350" t="s">
        <v>211</v>
      </c>
      <c r="P3350">
        <v>27</v>
      </c>
      <c r="R3350" t="s">
        <v>3343</v>
      </c>
      <c r="T3350" t="s">
        <v>3337</v>
      </c>
      <c r="U3350">
        <v>202</v>
      </c>
      <c r="V3350" t="s">
        <v>273</v>
      </c>
    </row>
    <row r="3351" spans="1:22" ht="12.75" customHeight="1" x14ac:dyDescent="0.15">
      <c r="A3351">
        <v>29</v>
      </c>
      <c r="B3351">
        <v>2026</v>
      </c>
      <c r="C3351" s="21">
        <v>46225</v>
      </c>
      <c r="D3351" t="s">
        <v>3749</v>
      </c>
      <c r="E3351" t="s">
        <v>676</v>
      </c>
      <c r="F3351" t="s">
        <v>676</v>
      </c>
      <c r="G3351">
        <v>1</v>
      </c>
      <c r="H3351" t="s">
        <v>4464</v>
      </c>
      <c r="I3351" t="s">
        <v>4455</v>
      </c>
      <c r="J3351" s="1" t="s">
        <v>676</v>
      </c>
      <c r="K3351" t="s">
        <v>181</v>
      </c>
      <c r="L3351" t="s">
        <v>3340</v>
      </c>
      <c r="M3351">
        <v>81</v>
      </c>
      <c r="N3351">
        <v>0.49</v>
      </c>
      <c r="O3351" t="s">
        <v>211</v>
      </c>
      <c r="P3351">
        <v>27</v>
      </c>
      <c r="R3351" t="s">
        <v>3374</v>
      </c>
      <c r="T3351" t="s">
        <v>3337</v>
      </c>
      <c r="U3351">
        <v>202</v>
      </c>
      <c r="V3351" t="s">
        <v>273</v>
      </c>
    </row>
    <row r="3352" spans="1:22" ht="12.75" customHeight="1" x14ac:dyDescent="0.15">
      <c r="A3352">
        <v>29</v>
      </c>
      <c r="B3352">
        <v>2026</v>
      </c>
      <c r="C3352" s="21">
        <v>46225</v>
      </c>
      <c r="D3352" t="s">
        <v>3749</v>
      </c>
      <c r="E3352" t="s">
        <v>676</v>
      </c>
      <c r="F3352" t="s">
        <v>676</v>
      </c>
      <c r="G3352">
        <v>1</v>
      </c>
      <c r="H3352" t="s">
        <v>4464</v>
      </c>
      <c r="I3352" t="s">
        <v>4455</v>
      </c>
      <c r="J3352" s="1" t="s">
        <v>676</v>
      </c>
      <c r="K3352" t="s">
        <v>181</v>
      </c>
      <c r="L3352" t="s">
        <v>3340</v>
      </c>
      <c r="M3352">
        <v>45</v>
      </c>
      <c r="N3352">
        <v>0.49</v>
      </c>
      <c r="O3352" t="s">
        <v>211</v>
      </c>
      <c r="P3352">
        <v>27</v>
      </c>
      <c r="R3352" t="s">
        <v>3377</v>
      </c>
      <c r="T3352" t="s">
        <v>3337</v>
      </c>
      <c r="U3352">
        <v>202</v>
      </c>
      <c r="V3352" t="s">
        <v>273</v>
      </c>
    </row>
    <row r="3353" spans="1:22" ht="12.75" customHeight="1" x14ac:dyDescent="0.15">
      <c r="A3353">
        <v>29</v>
      </c>
      <c r="B3353">
        <v>2026</v>
      </c>
      <c r="C3353" s="21">
        <v>46225</v>
      </c>
      <c r="D3353" t="s">
        <v>3749</v>
      </c>
      <c r="E3353" t="s">
        <v>676</v>
      </c>
      <c r="F3353" t="s">
        <v>676</v>
      </c>
      <c r="G3353">
        <v>1</v>
      </c>
      <c r="H3353" t="s">
        <v>4464</v>
      </c>
      <c r="I3353" t="s">
        <v>4455</v>
      </c>
      <c r="J3353" s="1" t="s">
        <v>676</v>
      </c>
      <c r="K3353" t="s">
        <v>181</v>
      </c>
      <c r="L3353" t="s">
        <v>3340</v>
      </c>
      <c r="M3353">
        <v>62</v>
      </c>
      <c r="N3353">
        <v>0.49</v>
      </c>
      <c r="O3353" t="s">
        <v>211</v>
      </c>
      <c r="P3353">
        <v>27</v>
      </c>
      <c r="R3353" t="s">
        <v>3375</v>
      </c>
      <c r="T3353" t="s">
        <v>3337</v>
      </c>
      <c r="U3353">
        <v>202</v>
      </c>
      <c r="V3353" t="s">
        <v>273</v>
      </c>
    </row>
    <row r="3354" spans="1:22" ht="12.75" customHeight="1" x14ac:dyDescent="0.15">
      <c r="A3354">
        <v>29</v>
      </c>
      <c r="B3354">
        <v>2026</v>
      </c>
      <c r="C3354" s="21">
        <v>46225</v>
      </c>
      <c r="D3354" t="s">
        <v>153</v>
      </c>
      <c r="E3354" t="s">
        <v>154</v>
      </c>
      <c r="F3354" t="s">
        <v>21</v>
      </c>
      <c r="G3354">
        <v>8</v>
      </c>
      <c r="H3354" t="s">
        <v>4490</v>
      </c>
      <c r="I3354" t="s">
        <v>3655</v>
      </c>
      <c r="J3354" s="1" t="s">
        <v>3389</v>
      </c>
      <c r="K3354" t="s">
        <v>181</v>
      </c>
      <c r="L3354" t="s">
        <v>3340</v>
      </c>
      <c r="M3354">
        <v>81</v>
      </c>
      <c r="N3354">
        <v>0.33</v>
      </c>
      <c r="O3354" t="s">
        <v>211</v>
      </c>
      <c r="P3354">
        <v>18</v>
      </c>
      <c r="Q3354">
        <v>2</v>
      </c>
      <c r="R3354" t="s">
        <v>3374</v>
      </c>
      <c r="S3354" t="s">
        <v>4570</v>
      </c>
      <c r="T3354" t="s">
        <v>3337</v>
      </c>
      <c r="V3354" t="s">
        <v>3534</v>
      </c>
    </row>
    <row r="3355" spans="1:22" ht="12.75" customHeight="1" x14ac:dyDescent="0.15">
      <c r="A3355">
        <v>29</v>
      </c>
      <c r="B3355">
        <v>2026</v>
      </c>
      <c r="C3355" s="21">
        <v>46225</v>
      </c>
      <c r="D3355" t="s">
        <v>135</v>
      </c>
      <c r="E3355" t="s">
        <v>136</v>
      </c>
      <c r="F3355" t="s">
        <v>21</v>
      </c>
      <c r="G3355">
        <v>0.5</v>
      </c>
      <c r="H3355" t="s">
        <v>4479</v>
      </c>
      <c r="I3355" t="s">
        <v>4478</v>
      </c>
      <c r="J3355" s="1" t="s">
        <v>215</v>
      </c>
      <c r="K3355" t="s">
        <v>181</v>
      </c>
      <c r="L3355" t="s">
        <v>3333</v>
      </c>
      <c r="M3355">
        <v>67</v>
      </c>
      <c r="N3355">
        <v>0.25</v>
      </c>
      <c r="O3355" t="s">
        <v>3334</v>
      </c>
      <c r="P3355">
        <v>20.399999999999999</v>
      </c>
      <c r="Q3355">
        <v>2</v>
      </c>
      <c r="R3355" t="s">
        <v>3404</v>
      </c>
      <c r="T3355" t="s">
        <v>3402</v>
      </c>
      <c r="U3355">
        <v>26</v>
      </c>
      <c r="V3355" t="s">
        <v>3456</v>
      </c>
    </row>
    <row r="3356" spans="1:22" ht="12.75" customHeight="1" x14ac:dyDescent="0.15">
      <c r="A3356">
        <v>29</v>
      </c>
      <c r="B3356">
        <v>2026</v>
      </c>
      <c r="C3356" s="21">
        <v>46225</v>
      </c>
      <c r="D3356" t="s">
        <v>135</v>
      </c>
      <c r="E3356" t="s">
        <v>136</v>
      </c>
      <c r="F3356" t="s">
        <v>21</v>
      </c>
      <c r="G3356">
        <v>0.5</v>
      </c>
      <c r="H3356" t="s">
        <v>4479</v>
      </c>
      <c r="I3356" t="s">
        <v>4478</v>
      </c>
      <c r="J3356" s="1" t="s">
        <v>215</v>
      </c>
      <c r="K3356" t="s">
        <v>181</v>
      </c>
      <c r="L3356" t="s">
        <v>3340</v>
      </c>
      <c r="M3356">
        <v>78</v>
      </c>
      <c r="N3356">
        <v>0.33</v>
      </c>
      <c r="O3356" t="s">
        <v>211</v>
      </c>
      <c r="P3356">
        <v>18</v>
      </c>
      <c r="Q3356">
        <v>2</v>
      </c>
      <c r="R3356" t="s">
        <v>3341</v>
      </c>
      <c r="T3356" t="s">
        <v>3402</v>
      </c>
      <c r="U3356">
        <v>26</v>
      </c>
      <c r="V3356" t="s">
        <v>3507</v>
      </c>
    </row>
    <row r="3357" spans="1:22" ht="12.75" customHeight="1" x14ac:dyDescent="0.15">
      <c r="A3357">
        <v>29</v>
      </c>
      <c r="B3357">
        <v>2026</v>
      </c>
      <c r="C3357" s="21">
        <v>46225</v>
      </c>
      <c r="D3357" t="s">
        <v>139</v>
      </c>
      <c r="E3357" t="s">
        <v>140</v>
      </c>
      <c r="F3357" t="s">
        <v>75</v>
      </c>
      <c r="G3357">
        <v>0.8</v>
      </c>
      <c r="H3357" t="s">
        <v>4479</v>
      </c>
      <c r="I3357" t="s">
        <v>4478</v>
      </c>
      <c r="J3357" s="1" t="s">
        <v>215</v>
      </c>
      <c r="K3357" t="s">
        <v>181</v>
      </c>
      <c r="L3357" t="s">
        <v>3333</v>
      </c>
      <c r="M3357">
        <v>67</v>
      </c>
      <c r="N3357">
        <v>0.25</v>
      </c>
      <c r="O3357" t="s">
        <v>3334</v>
      </c>
      <c r="P3357">
        <v>20.399999999999999</v>
      </c>
      <c r="Q3357">
        <v>2</v>
      </c>
      <c r="R3357" t="s">
        <v>3404</v>
      </c>
      <c r="T3357" t="s">
        <v>3402</v>
      </c>
      <c r="U3357">
        <v>57</v>
      </c>
      <c r="V3357" t="s">
        <v>3500</v>
      </c>
    </row>
    <row r="3358" spans="1:22" ht="12.75" customHeight="1" x14ac:dyDescent="0.15">
      <c r="A3358">
        <v>29</v>
      </c>
      <c r="B3358">
        <v>2026</v>
      </c>
      <c r="C3358" s="21">
        <v>46225</v>
      </c>
      <c r="D3358" t="s">
        <v>139</v>
      </c>
      <c r="E3358" t="s">
        <v>140</v>
      </c>
      <c r="F3358" t="s">
        <v>75</v>
      </c>
      <c r="G3358">
        <v>0.8</v>
      </c>
      <c r="H3358" t="s">
        <v>4479</v>
      </c>
      <c r="I3358" t="s">
        <v>4478</v>
      </c>
      <c r="J3358" s="1" t="s">
        <v>215</v>
      </c>
      <c r="K3358" t="s">
        <v>181</v>
      </c>
      <c r="L3358" t="s">
        <v>3340</v>
      </c>
      <c r="M3358">
        <v>78</v>
      </c>
      <c r="N3358">
        <v>0.33</v>
      </c>
      <c r="O3358" t="s">
        <v>211</v>
      </c>
      <c r="P3358">
        <v>18</v>
      </c>
      <c r="Q3358">
        <v>2</v>
      </c>
      <c r="R3358" t="s">
        <v>3341</v>
      </c>
      <c r="T3358" t="s">
        <v>3402</v>
      </c>
      <c r="U3358">
        <v>57</v>
      </c>
      <c r="V3358" t="s">
        <v>3523</v>
      </c>
    </row>
    <row r="3359" spans="1:22" ht="12.75" customHeight="1" x14ac:dyDescent="0.15">
      <c r="A3359">
        <v>29</v>
      </c>
      <c r="B3359">
        <v>2026</v>
      </c>
      <c r="C3359" s="21">
        <v>46225</v>
      </c>
      <c r="D3359" t="s">
        <v>3749</v>
      </c>
      <c r="E3359" s="8" t="s">
        <v>676</v>
      </c>
      <c r="F3359" t="s">
        <v>676</v>
      </c>
      <c r="G3359">
        <v>1</v>
      </c>
      <c r="H3359" t="s">
        <v>3750</v>
      </c>
      <c r="I3359" t="s">
        <v>3751</v>
      </c>
      <c r="J3359" s="1" t="s">
        <v>676</v>
      </c>
      <c r="K3359" t="s">
        <v>181</v>
      </c>
      <c r="L3359" t="s">
        <v>3333</v>
      </c>
      <c r="M3359">
        <v>67</v>
      </c>
      <c r="N3359">
        <v>0.5</v>
      </c>
      <c r="O3359" t="s">
        <v>3334</v>
      </c>
      <c r="P3359">
        <v>40.79</v>
      </c>
      <c r="Q3359">
        <v>4</v>
      </c>
      <c r="R3359" t="s">
        <v>3404</v>
      </c>
      <c r="S3359" t="s">
        <v>4571</v>
      </c>
      <c r="T3359" t="s">
        <v>3402</v>
      </c>
      <c r="U3359">
        <v>202</v>
      </c>
      <c r="V3359" t="s">
        <v>3456</v>
      </c>
    </row>
    <row r="3360" spans="1:22" ht="12.75" customHeight="1" x14ac:dyDescent="0.15">
      <c r="A3360">
        <v>29</v>
      </c>
      <c r="B3360">
        <v>2026</v>
      </c>
      <c r="C3360" s="21">
        <v>46225</v>
      </c>
      <c r="D3360" t="s">
        <v>3749</v>
      </c>
      <c r="E3360" s="8" t="s">
        <v>676</v>
      </c>
      <c r="F3360" t="s">
        <v>676</v>
      </c>
      <c r="G3360">
        <v>1</v>
      </c>
      <c r="H3360" t="s">
        <v>3750</v>
      </c>
      <c r="I3360" t="s">
        <v>3751</v>
      </c>
      <c r="J3360" s="1" t="s">
        <v>676</v>
      </c>
      <c r="K3360" t="s">
        <v>181</v>
      </c>
      <c r="L3360" t="s">
        <v>3340</v>
      </c>
      <c r="M3360">
        <v>67</v>
      </c>
      <c r="N3360">
        <v>1.58</v>
      </c>
      <c r="O3360" t="s">
        <v>211</v>
      </c>
      <c r="P3360">
        <v>87</v>
      </c>
      <c r="R3360" t="s">
        <v>3404</v>
      </c>
      <c r="S3360" t="s">
        <v>4572</v>
      </c>
      <c r="T3360" t="s">
        <v>3402</v>
      </c>
      <c r="U3360">
        <v>202</v>
      </c>
      <c r="V3360" t="s">
        <v>4573</v>
      </c>
    </row>
    <row r="3361" spans="1:22" ht="12.75" customHeight="1" x14ac:dyDescent="0.15">
      <c r="A3361">
        <v>29</v>
      </c>
      <c r="B3361">
        <v>2026</v>
      </c>
      <c r="C3361" s="21">
        <v>46225</v>
      </c>
      <c r="D3361" t="s">
        <v>3749</v>
      </c>
      <c r="E3361" s="8" t="s">
        <v>676</v>
      </c>
      <c r="F3361" t="s">
        <v>676</v>
      </c>
      <c r="G3361">
        <v>1</v>
      </c>
      <c r="H3361" t="s">
        <v>3750</v>
      </c>
      <c r="I3361" t="s">
        <v>3751</v>
      </c>
      <c r="J3361" s="1" t="s">
        <v>676</v>
      </c>
      <c r="K3361" t="s">
        <v>181</v>
      </c>
      <c r="L3361" t="s">
        <v>3340</v>
      </c>
      <c r="M3361">
        <v>78</v>
      </c>
      <c r="N3361">
        <v>1.49</v>
      </c>
      <c r="O3361" t="s">
        <v>211</v>
      </c>
      <c r="P3361">
        <v>82</v>
      </c>
      <c r="R3361" t="s">
        <v>3341</v>
      </c>
      <c r="S3361" t="s">
        <v>4574</v>
      </c>
      <c r="T3361" t="s">
        <v>3402</v>
      </c>
      <c r="U3361">
        <v>202</v>
      </c>
      <c r="V3361" t="s">
        <v>4575</v>
      </c>
    </row>
    <row r="3362" spans="1:22" ht="12.75" customHeight="1" x14ac:dyDescent="0.15">
      <c r="A3362">
        <v>29</v>
      </c>
      <c r="B3362">
        <v>2026</v>
      </c>
      <c r="C3362" s="21">
        <v>46225</v>
      </c>
      <c r="D3362" t="s">
        <v>3749</v>
      </c>
      <c r="E3362" t="s">
        <v>676</v>
      </c>
      <c r="F3362" t="s">
        <v>676</v>
      </c>
      <c r="G3362">
        <v>1</v>
      </c>
      <c r="H3362" t="s">
        <v>4445</v>
      </c>
      <c r="I3362" t="s">
        <v>4446</v>
      </c>
      <c r="J3362" s="1" t="s">
        <v>676</v>
      </c>
      <c r="K3362" t="s">
        <v>181</v>
      </c>
      <c r="L3362" t="s">
        <v>3340</v>
      </c>
      <c r="M3362">
        <v>78</v>
      </c>
      <c r="N3362">
        <v>0.49</v>
      </c>
      <c r="O3362" t="s">
        <v>211</v>
      </c>
      <c r="P3362">
        <v>27</v>
      </c>
      <c r="Q3362">
        <v>3</v>
      </c>
      <c r="R3362" t="s">
        <v>3341</v>
      </c>
      <c r="S3362" t="s">
        <v>4576</v>
      </c>
      <c r="T3362" t="s">
        <v>3402</v>
      </c>
      <c r="U3362">
        <v>202</v>
      </c>
      <c r="V3362" t="s">
        <v>273</v>
      </c>
    </row>
    <row r="3363" spans="1:22" ht="12.75" customHeight="1" x14ac:dyDescent="0.15">
      <c r="A3363">
        <v>29</v>
      </c>
      <c r="B3363">
        <v>2026</v>
      </c>
      <c r="C3363" s="21">
        <v>46225</v>
      </c>
      <c r="D3363" t="s">
        <v>3749</v>
      </c>
      <c r="E3363" t="s">
        <v>676</v>
      </c>
      <c r="F3363" t="s">
        <v>676</v>
      </c>
      <c r="G3363">
        <v>1</v>
      </c>
      <c r="H3363" t="s">
        <v>4445</v>
      </c>
      <c r="I3363" t="s">
        <v>4446</v>
      </c>
      <c r="J3363" s="1" t="s">
        <v>676</v>
      </c>
      <c r="K3363" t="s">
        <v>181</v>
      </c>
      <c r="L3363" t="s">
        <v>3340</v>
      </c>
      <c r="M3363">
        <v>86</v>
      </c>
      <c r="N3363">
        <v>0.49</v>
      </c>
      <c r="O3363" t="s">
        <v>211</v>
      </c>
      <c r="P3363">
        <v>27</v>
      </c>
      <c r="Q3363">
        <v>3</v>
      </c>
      <c r="R3363" t="s">
        <v>3386</v>
      </c>
      <c r="S3363" t="s">
        <v>4577</v>
      </c>
      <c r="T3363" t="s">
        <v>3402</v>
      </c>
      <c r="U3363">
        <v>202</v>
      </c>
      <c r="V3363" t="s">
        <v>273</v>
      </c>
    </row>
    <row r="3364" spans="1:22" ht="12.75" customHeight="1" x14ac:dyDescent="0.15">
      <c r="A3364">
        <v>29</v>
      </c>
      <c r="B3364">
        <v>2026</v>
      </c>
      <c r="C3364" s="21">
        <v>46225</v>
      </c>
      <c r="D3364" t="s">
        <v>3749</v>
      </c>
      <c r="E3364" t="s">
        <v>676</v>
      </c>
      <c r="F3364" t="s">
        <v>676</v>
      </c>
      <c r="G3364">
        <v>1</v>
      </c>
      <c r="H3364" t="s">
        <v>4438</v>
      </c>
      <c r="I3364" t="s">
        <v>4439</v>
      </c>
      <c r="J3364" s="1" t="s">
        <v>4383</v>
      </c>
      <c r="K3364" t="s">
        <v>181</v>
      </c>
      <c r="L3364" t="s">
        <v>3333</v>
      </c>
      <c r="M3364">
        <v>86</v>
      </c>
      <c r="N3364">
        <v>1</v>
      </c>
      <c r="O3364" t="s">
        <v>3334</v>
      </c>
      <c r="P3364">
        <v>81.58</v>
      </c>
      <c r="Q3364">
        <v>8</v>
      </c>
      <c r="R3364" t="s">
        <v>3386</v>
      </c>
      <c r="S3364" t="s">
        <v>4578</v>
      </c>
      <c r="T3364" t="s">
        <v>3402</v>
      </c>
      <c r="U3364">
        <v>202</v>
      </c>
      <c r="V3364" t="s">
        <v>3334</v>
      </c>
    </row>
    <row r="3365" spans="1:22" ht="12.75" customHeight="1" x14ac:dyDescent="0.15">
      <c r="A3365">
        <v>29</v>
      </c>
      <c r="B3365">
        <v>2026</v>
      </c>
      <c r="C3365" s="21">
        <v>46225</v>
      </c>
      <c r="D3365" t="s">
        <v>68</v>
      </c>
      <c r="E3365" t="s">
        <v>69</v>
      </c>
      <c r="F3365" t="s">
        <v>21</v>
      </c>
      <c r="G3365">
        <v>1</v>
      </c>
      <c r="H3365" t="s">
        <v>3845</v>
      </c>
      <c r="I3365" t="s">
        <v>380</v>
      </c>
      <c r="J3365" s="1" t="s">
        <v>3533</v>
      </c>
      <c r="K3365" t="s">
        <v>181</v>
      </c>
      <c r="L3365" t="s">
        <v>3340</v>
      </c>
      <c r="M3365">
        <v>4</v>
      </c>
      <c r="N3365">
        <v>0.33</v>
      </c>
      <c r="O3365" t="s">
        <v>211</v>
      </c>
      <c r="P3365">
        <v>18</v>
      </c>
      <c r="Q3365">
        <v>2</v>
      </c>
      <c r="R3365" t="s">
        <v>3773</v>
      </c>
      <c r="S3365" t="s">
        <v>4579</v>
      </c>
      <c r="T3365" t="s">
        <v>3402</v>
      </c>
      <c r="U3365">
        <v>111</v>
      </c>
      <c r="V3365" t="s">
        <v>260</v>
      </c>
    </row>
    <row r="3366" spans="1:22" ht="12.75" customHeight="1" x14ac:dyDescent="0.15">
      <c r="A3366">
        <v>29</v>
      </c>
      <c r="B3366">
        <v>2026</v>
      </c>
      <c r="C3366" s="21">
        <v>46225</v>
      </c>
      <c r="D3366" t="s">
        <v>19</v>
      </c>
      <c r="E3366" t="s">
        <v>20</v>
      </c>
      <c r="F3366" t="s">
        <v>21</v>
      </c>
      <c r="G3366">
        <v>3.8</v>
      </c>
      <c r="H3366" t="s">
        <v>3945</v>
      </c>
      <c r="I3366" t="s">
        <v>3686</v>
      </c>
      <c r="J3366" s="1" t="s">
        <v>3437</v>
      </c>
      <c r="K3366" t="s">
        <v>181</v>
      </c>
      <c r="L3366" t="s">
        <v>3340</v>
      </c>
      <c r="M3366">
        <v>4</v>
      </c>
      <c r="N3366">
        <v>0.25</v>
      </c>
      <c r="O3366" t="s">
        <v>211</v>
      </c>
      <c r="P3366">
        <v>13.5</v>
      </c>
      <c r="Q3366">
        <v>1.5</v>
      </c>
      <c r="R3366" t="s">
        <v>3773</v>
      </c>
      <c r="T3366" t="s">
        <v>3402</v>
      </c>
      <c r="U3366">
        <v>225</v>
      </c>
      <c r="V3366" t="s">
        <v>3422</v>
      </c>
    </row>
    <row r="3367" spans="1:22" ht="12.75" customHeight="1" x14ac:dyDescent="0.15">
      <c r="A3367">
        <v>29</v>
      </c>
      <c r="B3367">
        <v>2026</v>
      </c>
      <c r="C3367" s="21">
        <v>46225</v>
      </c>
      <c r="D3367" t="s">
        <v>19</v>
      </c>
      <c r="E3367" s="8" t="s">
        <v>20</v>
      </c>
      <c r="F3367" t="s">
        <v>21</v>
      </c>
      <c r="G3367">
        <v>3.8</v>
      </c>
      <c r="H3367" t="s">
        <v>3945</v>
      </c>
      <c r="I3367" t="s">
        <v>3686</v>
      </c>
      <c r="J3367" s="1" t="s">
        <v>3437</v>
      </c>
      <c r="K3367" t="s">
        <v>181</v>
      </c>
      <c r="L3367" t="s">
        <v>3333</v>
      </c>
      <c r="M3367">
        <v>4</v>
      </c>
      <c r="N3367">
        <v>1</v>
      </c>
      <c r="O3367" t="s">
        <v>3334</v>
      </c>
      <c r="P3367">
        <v>81.58</v>
      </c>
      <c r="Q3367">
        <v>8</v>
      </c>
      <c r="R3367" t="s">
        <v>3773</v>
      </c>
      <c r="T3367" t="s">
        <v>3402</v>
      </c>
      <c r="U3367">
        <v>225</v>
      </c>
      <c r="V3367" t="s">
        <v>3797</v>
      </c>
    </row>
    <row r="3368" spans="1:22" ht="12.75" customHeight="1" x14ac:dyDescent="0.15">
      <c r="A3368">
        <v>29</v>
      </c>
      <c r="B3368">
        <v>2026</v>
      </c>
      <c r="C3368" s="21">
        <v>46225</v>
      </c>
      <c r="D3368" t="s">
        <v>437</v>
      </c>
      <c r="E3368" t="s">
        <v>437</v>
      </c>
      <c r="F3368" t="s">
        <v>4435</v>
      </c>
      <c r="G3368">
        <v>1</v>
      </c>
      <c r="H3368" t="s">
        <v>4302</v>
      </c>
      <c r="I3368" t="s">
        <v>4303</v>
      </c>
      <c r="J3368" s="1" t="s">
        <v>4304</v>
      </c>
      <c r="K3368" t="s">
        <v>181</v>
      </c>
      <c r="L3368" t="s">
        <v>3333</v>
      </c>
      <c r="M3368">
        <v>7</v>
      </c>
      <c r="N3368">
        <v>1</v>
      </c>
      <c r="O3368" t="s">
        <v>4436</v>
      </c>
      <c r="P3368">
        <v>60.33</v>
      </c>
      <c r="Q3368">
        <v>8</v>
      </c>
      <c r="R3368" t="s">
        <v>4437</v>
      </c>
      <c r="T3368" t="s">
        <v>3402</v>
      </c>
      <c r="U3368">
        <v>202</v>
      </c>
      <c r="V3368" t="s">
        <v>4436</v>
      </c>
    </row>
    <row r="3369" spans="1:22" ht="12.75" customHeight="1" x14ac:dyDescent="0.15">
      <c r="A3369">
        <v>29</v>
      </c>
      <c r="B3369">
        <v>2026</v>
      </c>
      <c r="C3369" s="21">
        <v>46226</v>
      </c>
      <c r="D3369" t="s">
        <v>4406</v>
      </c>
      <c r="E3369" t="s">
        <v>4407</v>
      </c>
      <c r="F3369" t="s">
        <v>21</v>
      </c>
      <c r="G3369">
        <v>10</v>
      </c>
      <c r="H3369" t="s">
        <v>3868</v>
      </c>
      <c r="I3369" t="s">
        <v>3869</v>
      </c>
      <c r="J3369" s="1" t="s">
        <v>3696</v>
      </c>
      <c r="K3369" t="s">
        <v>181</v>
      </c>
      <c r="L3369" t="s">
        <v>3340</v>
      </c>
      <c r="M3369">
        <v>53</v>
      </c>
      <c r="N3369">
        <v>1.82</v>
      </c>
      <c r="O3369" t="s">
        <v>211</v>
      </c>
      <c r="P3369">
        <v>100</v>
      </c>
      <c r="R3369" t="s">
        <v>3373</v>
      </c>
      <c r="T3369" t="s">
        <v>3337</v>
      </c>
      <c r="V3369" t="s">
        <v>3711</v>
      </c>
    </row>
    <row r="3370" spans="1:22" ht="12.75" customHeight="1" x14ac:dyDescent="0.15">
      <c r="A3370">
        <v>29</v>
      </c>
      <c r="B3370">
        <v>2026</v>
      </c>
      <c r="C3370" s="21">
        <v>46226</v>
      </c>
      <c r="D3370" t="s">
        <v>4406</v>
      </c>
      <c r="E3370" t="s">
        <v>4407</v>
      </c>
      <c r="F3370" t="s">
        <v>21</v>
      </c>
      <c r="G3370">
        <v>10</v>
      </c>
      <c r="H3370" t="s">
        <v>3868</v>
      </c>
      <c r="I3370" t="s">
        <v>3869</v>
      </c>
      <c r="J3370" s="1" t="s">
        <v>3696</v>
      </c>
      <c r="K3370" t="s">
        <v>181</v>
      </c>
      <c r="L3370" t="s">
        <v>3340</v>
      </c>
      <c r="M3370">
        <v>58</v>
      </c>
      <c r="N3370">
        <v>1.82</v>
      </c>
      <c r="O3370" t="s">
        <v>211</v>
      </c>
      <c r="P3370">
        <v>100</v>
      </c>
      <c r="R3370" t="s">
        <v>3343</v>
      </c>
      <c r="T3370" t="s">
        <v>3337</v>
      </c>
      <c r="V3370" t="s">
        <v>3711</v>
      </c>
    </row>
    <row r="3371" spans="1:22" ht="12.75" customHeight="1" x14ac:dyDescent="0.15">
      <c r="A3371">
        <v>29</v>
      </c>
      <c r="B3371">
        <v>2026</v>
      </c>
      <c r="C3371" s="21">
        <v>46226</v>
      </c>
      <c r="D3371" t="s">
        <v>4406</v>
      </c>
      <c r="E3371" t="s">
        <v>4407</v>
      </c>
      <c r="F3371" t="s">
        <v>21</v>
      </c>
      <c r="G3371">
        <v>10</v>
      </c>
      <c r="H3371" t="s">
        <v>3868</v>
      </c>
      <c r="I3371" t="s">
        <v>3869</v>
      </c>
      <c r="J3371" s="1" t="s">
        <v>3696</v>
      </c>
      <c r="K3371" t="s">
        <v>181</v>
      </c>
      <c r="L3371" t="s">
        <v>3340</v>
      </c>
      <c r="M3371">
        <v>62</v>
      </c>
      <c r="N3371">
        <v>1.82</v>
      </c>
      <c r="O3371" t="s">
        <v>211</v>
      </c>
      <c r="P3371">
        <v>100</v>
      </c>
      <c r="R3371" t="s">
        <v>3375</v>
      </c>
      <c r="S3371" t="s">
        <v>4408</v>
      </c>
      <c r="T3371" t="s">
        <v>3337</v>
      </c>
      <c r="V3371" t="s">
        <v>3711</v>
      </c>
    </row>
    <row r="3372" spans="1:22" ht="12.75" customHeight="1" x14ac:dyDescent="0.15">
      <c r="A3372">
        <v>29</v>
      </c>
      <c r="B3372">
        <v>2026</v>
      </c>
      <c r="C3372" s="21">
        <v>46226</v>
      </c>
      <c r="D3372" t="s">
        <v>4406</v>
      </c>
      <c r="E3372" t="s">
        <v>4407</v>
      </c>
      <c r="F3372" t="s">
        <v>21</v>
      </c>
      <c r="G3372">
        <v>10</v>
      </c>
      <c r="H3372" t="s">
        <v>3868</v>
      </c>
      <c r="I3372" t="s">
        <v>3869</v>
      </c>
      <c r="J3372" s="1" t="s">
        <v>3696</v>
      </c>
      <c r="K3372" t="s">
        <v>181</v>
      </c>
      <c r="L3372" t="s">
        <v>3340</v>
      </c>
      <c r="M3372">
        <v>81</v>
      </c>
      <c r="N3372">
        <v>1.82</v>
      </c>
      <c r="O3372" t="s">
        <v>211</v>
      </c>
      <c r="P3372">
        <v>100</v>
      </c>
      <c r="R3372" t="s">
        <v>3374</v>
      </c>
      <c r="T3372" t="s">
        <v>3337</v>
      </c>
      <c r="V3372" t="s">
        <v>3711</v>
      </c>
    </row>
    <row r="3373" spans="1:22" ht="12.75" customHeight="1" x14ac:dyDescent="0.15">
      <c r="A3373">
        <v>29</v>
      </c>
      <c r="B3373">
        <v>2026</v>
      </c>
      <c r="C3373" s="21">
        <v>46226</v>
      </c>
      <c r="D3373" t="s">
        <v>4406</v>
      </c>
      <c r="E3373" t="s">
        <v>4407</v>
      </c>
      <c r="F3373" t="s">
        <v>21</v>
      </c>
      <c r="G3373">
        <v>10</v>
      </c>
      <c r="H3373" t="s">
        <v>3868</v>
      </c>
      <c r="I3373" t="s">
        <v>3869</v>
      </c>
      <c r="J3373" s="1" t="s">
        <v>3696</v>
      </c>
      <c r="K3373" t="s">
        <v>181</v>
      </c>
      <c r="L3373" t="s">
        <v>3340</v>
      </c>
      <c r="M3373">
        <v>45</v>
      </c>
      <c r="N3373">
        <v>1.82</v>
      </c>
      <c r="O3373" t="s">
        <v>211</v>
      </c>
      <c r="P3373">
        <v>100</v>
      </c>
      <c r="R3373" t="s">
        <v>3377</v>
      </c>
      <c r="T3373" t="s">
        <v>3337</v>
      </c>
      <c r="V3373" t="s">
        <v>3711</v>
      </c>
    </row>
    <row r="3374" spans="1:22" ht="12.75" customHeight="1" x14ac:dyDescent="0.15">
      <c r="A3374">
        <v>29</v>
      </c>
      <c r="B3374">
        <v>2026</v>
      </c>
      <c r="C3374" s="21">
        <v>46226</v>
      </c>
      <c r="D3374" t="s">
        <v>101</v>
      </c>
      <c r="E3374" t="s">
        <v>102</v>
      </c>
      <c r="F3374" t="s">
        <v>75</v>
      </c>
      <c r="G3374">
        <v>7.6</v>
      </c>
      <c r="H3374" t="s">
        <v>3400</v>
      </c>
      <c r="I3374" t="s">
        <v>353</v>
      </c>
      <c r="J3374" s="1" t="s">
        <v>253</v>
      </c>
      <c r="K3374" t="s">
        <v>181</v>
      </c>
      <c r="L3374" t="s">
        <v>23</v>
      </c>
      <c r="M3374">
        <v>176</v>
      </c>
      <c r="P3374">
        <v>330</v>
      </c>
      <c r="Q3374">
        <v>6</v>
      </c>
      <c r="R3374" t="s">
        <v>4361</v>
      </c>
      <c r="S3374" t="s">
        <v>4580</v>
      </c>
      <c r="T3374" t="s">
        <v>3337</v>
      </c>
      <c r="U3374">
        <v>86</v>
      </c>
      <c r="V3374" t="s">
        <v>4581</v>
      </c>
    </row>
    <row r="3375" spans="1:22" ht="12.75" customHeight="1" x14ac:dyDescent="0.15">
      <c r="A3375">
        <v>29</v>
      </c>
      <c r="B3375">
        <v>2026</v>
      </c>
      <c r="C3375" s="21">
        <v>46226</v>
      </c>
      <c r="D3375" t="s">
        <v>3749</v>
      </c>
      <c r="E3375" t="s">
        <v>676</v>
      </c>
      <c r="F3375" t="s">
        <v>676</v>
      </c>
      <c r="G3375">
        <v>1</v>
      </c>
      <c r="H3375" t="s">
        <v>4457</v>
      </c>
      <c r="I3375" t="s">
        <v>4458</v>
      </c>
      <c r="J3375" s="1" t="s">
        <v>676</v>
      </c>
      <c r="K3375" t="s">
        <v>181</v>
      </c>
      <c r="L3375" t="s">
        <v>3340</v>
      </c>
      <c r="M3375">
        <v>58</v>
      </c>
      <c r="N3375">
        <v>1.27</v>
      </c>
      <c r="O3375" t="s">
        <v>211</v>
      </c>
      <c r="P3375">
        <v>70</v>
      </c>
      <c r="R3375" t="s">
        <v>3343</v>
      </c>
      <c r="S3375" t="s">
        <v>4582</v>
      </c>
      <c r="T3375" t="s">
        <v>3337</v>
      </c>
      <c r="V3375" t="s">
        <v>4473</v>
      </c>
    </row>
    <row r="3376" spans="1:22" ht="12.75" customHeight="1" x14ac:dyDescent="0.15">
      <c r="A3376">
        <v>29</v>
      </c>
      <c r="B3376">
        <v>2026</v>
      </c>
      <c r="C3376" s="21">
        <v>46226</v>
      </c>
      <c r="D3376" t="s">
        <v>3749</v>
      </c>
      <c r="E3376" t="s">
        <v>676</v>
      </c>
      <c r="F3376" t="s">
        <v>676</v>
      </c>
      <c r="G3376">
        <v>1</v>
      </c>
      <c r="H3376" t="s">
        <v>3750</v>
      </c>
      <c r="I3376" t="s">
        <v>3751</v>
      </c>
      <c r="J3376" s="1" t="s">
        <v>676</v>
      </c>
      <c r="K3376" t="s">
        <v>181</v>
      </c>
      <c r="L3376" t="s">
        <v>3340</v>
      </c>
      <c r="M3376">
        <v>67</v>
      </c>
      <c r="N3376">
        <v>1.58</v>
      </c>
      <c r="O3376" t="s">
        <v>211</v>
      </c>
      <c r="P3376">
        <v>87</v>
      </c>
      <c r="R3376" t="s">
        <v>3404</v>
      </c>
      <c r="S3376" t="s">
        <v>4583</v>
      </c>
      <c r="T3376" t="s">
        <v>3402</v>
      </c>
      <c r="U3376">
        <v>203</v>
      </c>
      <c r="V3376" t="s">
        <v>4573</v>
      </c>
    </row>
    <row r="3377" spans="1:22" ht="12.75" customHeight="1" x14ac:dyDescent="0.15">
      <c r="A3377">
        <v>29</v>
      </c>
      <c r="B3377">
        <v>2026</v>
      </c>
      <c r="C3377" s="21">
        <v>46226</v>
      </c>
      <c r="D3377" t="s">
        <v>3749</v>
      </c>
      <c r="E3377" t="s">
        <v>676</v>
      </c>
      <c r="F3377" t="s">
        <v>676</v>
      </c>
      <c r="G3377">
        <v>1</v>
      </c>
      <c r="H3377" t="s">
        <v>3750</v>
      </c>
      <c r="I3377" t="s">
        <v>3751</v>
      </c>
      <c r="J3377" s="1" t="s">
        <v>676</v>
      </c>
      <c r="K3377" t="s">
        <v>181</v>
      </c>
      <c r="L3377" t="s">
        <v>3340</v>
      </c>
      <c r="M3377">
        <v>78</v>
      </c>
      <c r="N3377">
        <v>1.45</v>
      </c>
      <c r="O3377" t="s">
        <v>211</v>
      </c>
      <c r="P3377">
        <v>80</v>
      </c>
      <c r="R3377" t="s">
        <v>3341</v>
      </c>
      <c r="S3377" t="s">
        <v>4584</v>
      </c>
      <c r="T3377" t="s">
        <v>3402</v>
      </c>
      <c r="U3377">
        <v>203</v>
      </c>
      <c r="V3377" t="s">
        <v>216</v>
      </c>
    </row>
    <row r="3378" spans="1:22" ht="12.75" customHeight="1" x14ac:dyDescent="0.15">
      <c r="A3378">
        <v>29</v>
      </c>
      <c r="B3378">
        <v>2026</v>
      </c>
      <c r="C3378" s="21">
        <v>46226</v>
      </c>
      <c r="D3378" t="s">
        <v>3749</v>
      </c>
      <c r="E3378" t="s">
        <v>676</v>
      </c>
      <c r="F3378" t="s">
        <v>676</v>
      </c>
      <c r="G3378">
        <v>1</v>
      </c>
      <c r="H3378" t="s">
        <v>3750</v>
      </c>
      <c r="I3378" t="s">
        <v>3751</v>
      </c>
      <c r="J3378" s="1" t="s">
        <v>676</v>
      </c>
      <c r="K3378" t="s">
        <v>181</v>
      </c>
      <c r="L3378" t="s">
        <v>3340</v>
      </c>
      <c r="M3378">
        <v>4</v>
      </c>
      <c r="N3378">
        <v>1.45</v>
      </c>
      <c r="O3378" t="s">
        <v>211</v>
      </c>
      <c r="P3378">
        <v>80</v>
      </c>
      <c r="R3378" t="s">
        <v>3773</v>
      </c>
      <c r="S3378" t="s">
        <v>4585</v>
      </c>
      <c r="T3378" t="s">
        <v>3402</v>
      </c>
      <c r="U3378">
        <v>203</v>
      </c>
      <c r="V3378" t="s">
        <v>216</v>
      </c>
    </row>
    <row r="3379" spans="1:22" ht="12.75" customHeight="1" x14ac:dyDescent="0.15">
      <c r="A3379">
        <v>29</v>
      </c>
      <c r="B3379">
        <v>2026</v>
      </c>
      <c r="C3379" s="21">
        <v>46226</v>
      </c>
      <c r="D3379" t="s">
        <v>3749</v>
      </c>
      <c r="E3379" t="s">
        <v>676</v>
      </c>
      <c r="F3379" t="s">
        <v>676</v>
      </c>
      <c r="G3379">
        <v>1</v>
      </c>
      <c r="H3379" t="s">
        <v>4586</v>
      </c>
      <c r="I3379" t="s">
        <v>4587</v>
      </c>
      <c r="J3379" s="1" t="s">
        <v>676</v>
      </c>
      <c r="K3379" t="s">
        <v>181</v>
      </c>
      <c r="L3379" t="s">
        <v>3340</v>
      </c>
      <c r="M3379">
        <v>86</v>
      </c>
      <c r="N3379">
        <v>0.33</v>
      </c>
      <c r="O3379" t="s">
        <v>211</v>
      </c>
      <c r="P3379">
        <v>18</v>
      </c>
      <c r="Q3379">
        <v>2</v>
      </c>
      <c r="R3379" t="s">
        <v>3386</v>
      </c>
      <c r="T3379" t="s">
        <v>3402</v>
      </c>
      <c r="U3379">
        <v>203</v>
      </c>
      <c r="V3379" t="s">
        <v>260</v>
      </c>
    </row>
    <row r="3380" spans="1:22" ht="12.75" customHeight="1" x14ac:dyDescent="0.15">
      <c r="A3380">
        <v>29</v>
      </c>
      <c r="B3380">
        <v>2026</v>
      </c>
      <c r="C3380" s="21">
        <v>46226</v>
      </c>
      <c r="D3380" t="s">
        <v>3749</v>
      </c>
      <c r="E3380" t="s">
        <v>676</v>
      </c>
      <c r="F3380" t="s">
        <v>676</v>
      </c>
      <c r="G3380">
        <v>1</v>
      </c>
      <c r="H3380" t="s">
        <v>4438</v>
      </c>
      <c r="I3380" t="s">
        <v>4439</v>
      </c>
      <c r="J3380" s="1" t="s">
        <v>4383</v>
      </c>
      <c r="K3380" t="s">
        <v>181</v>
      </c>
      <c r="L3380" t="s">
        <v>3340</v>
      </c>
      <c r="M3380">
        <v>86</v>
      </c>
      <c r="N3380">
        <v>0.98</v>
      </c>
      <c r="O3380" t="s">
        <v>211</v>
      </c>
      <c r="P3380">
        <v>54</v>
      </c>
      <c r="Q3380">
        <v>6</v>
      </c>
      <c r="R3380" t="s">
        <v>3386</v>
      </c>
      <c r="T3380" t="s">
        <v>3402</v>
      </c>
      <c r="U3380">
        <v>203</v>
      </c>
      <c r="V3380" t="s">
        <v>3926</v>
      </c>
    </row>
    <row r="3381" spans="1:22" ht="12.75" customHeight="1" x14ac:dyDescent="0.15">
      <c r="A3381">
        <v>29</v>
      </c>
      <c r="B3381">
        <v>2026</v>
      </c>
      <c r="C3381" s="21">
        <v>46226</v>
      </c>
      <c r="D3381" t="s">
        <v>135</v>
      </c>
      <c r="E3381" t="s">
        <v>136</v>
      </c>
      <c r="F3381" t="s">
        <v>21</v>
      </c>
      <c r="G3381">
        <v>0.5</v>
      </c>
      <c r="H3381" t="s">
        <v>3804</v>
      </c>
      <c r="I3381" t="s">
        <v>3805</v>
      </c>
      <c r="J3381" s="1" t="s">
        <v>3660</v>
      </c>
      <c r="K3381" t="s">
        <v>181</v>
      </c>
      <c r="L3381" t="s">
        <v>3340</v>
      </c>
      <c r="M3381">
        <v>4</v>
      </c>
      <c r="N3381">
        <v>1.27</v>
      </c>
      <c r="O3381" t="s">
        <v>211</v>
      </c>
      <c r="P3381">
        <v>70</v>
      </c>
      <c r="R3381" t="s">
        <v>3773</v>
      </c>
      <c r="S3381" t="s">
        <v>4588</v>
      </c>
      <c r="T3381" t="s">
        <v>3402</v>
      </c>
      <c r="U3381">
        <v>27</v>
      </c>
      <c r="V3381" t="s">
        <v>4589</v>
      </c>
    </row>
    <row r="3382" spans="1:22" ht="12.75" customHeight="1" x14ac:dyDescent="0.15">
      <c r="A3382">
        <v>29</v>
      </c>
      <c r="B3382">
        <v>2026</v>
      </c>
      <c r="C3382" s="21">
        <v>46226</v>
      </c>
      <c r="D3382" t="s">
        <v>135</v>
      </c>
      <c r="E3382" t="s">
        <v>136</v>
      </c>
      <c r="F3382" t="s">
        <v>21</v>
      </c>
      <c r="G3382">
        <v>0.5</v>
      </c>
      <c r="H3382" t="s">
        <v>3804</v>
      </c>
      <c r="I3382" t="s">
        <v>3805</v>
      </c>
      <c r="J3382" s="1" t="s">
        <v>3660</v>
      </c>
      <c r="K3382" t="s">
        <v>181</v>
      </c>
      <c r="L3382" t="s">
        <v>3340</v>
      </c>
      <c r="M3382">
        <v>78</v>
      </c>
      <c r="N3382">
        <v>1.27</v>
      </c>
      <c r="O3382" t="s">
        <v>211</v>
      </c>
      <c r="P3382">
        <v>70</v>
      </c>
      <c r="R3382" t="s">
        <v>3341</v>
      </c>
      <c r="S3382" t="s">
        <v>4588</v>
      </c>
      <c r="T3382" t="s">
        <v>3402</v>
      </c>
      <c r="U3382">
        <v>27</v>
      </c>
      <c r="V3382" t="s">
        <v>4589</v>
      </c>
    </row>
    <row r="3383" spans="1:22" ht="12.75" customHeight="1" x14ac:dyDescent="0.15">
      <c r="A3383">
        <v>30</v>
      </c>
      <c r="B3383">
        <v>2026</v>
      </c>
      <c r="C3383" s="21">
        <v>46227</v>
      </c>
      <c r="D3383" t="s">
        <v>135</v>
      </c>
      <c r="E3383" t="s">
        <v>136</v>
      </c>
      <c r="F3383" t="s">
        <v>21</v>
      </c>
      <c r="G3383">
        <v>0.5</v>
      </c>
      <c r="H3383" t="s">
        <v>3408</v>
      </c>
      <c r="I3383" t="s">
        <v>366</v>
      </c>
      <c r="J3383" s="1" t="s">
        <v>215</v>
      </c>
      <c r="K3383" t="s">
        <v>181</v>
      </c>
      <c r="L3383" t="s">
        <v>3340</v>
      </c>
      <c r="M3383">
        <v>53</v>
      </c>
      <c r="N3383">
        <v>0.25</v>
      </c>
      <c r="O3383" t="s">
        <v>211</v>
      </c>
      <c r="P3383">
        <v>14</v>
      </c>
      <c r="R3383" t="s">
        <v>3373</v>
      </c>
      <c r="S3383" t="s">
        <v>4590</v>
      </c>
      <c r="T3383" t="s">
        <v>3337</v>
      </c>
      <c r="U3383">
        <v>28</v>
      </c>
      <c r="V3383" t="s">
        <v>3825</v>
      </c>
    </row>
    <row r="3384" spans="1:22" ht="12.75" customHeight="1" x14ac:dyDescent="0.15">
      <c r="A3384">
        <v>30</v>
      </c>
      <c r="B3384">
        <v>2026</v>
      </c>
      <c r="C3384" s="21">
        <v>46227</v>
      </c>
      <c r="D3384" t="s">
        <v>135</v>
      </c>
      <c r="E3384" t="s">
        <v>136</v>
      </c>
      <c r="F3384" t="s">
        <v>21</v>
      </c>
      <c r="G3384">
        <v>0.5</v>
      </c>
      <c r="H3384" t="s">
        <v>3408</v>
      </c>
      <c r="I3384" t="s">
        <v>366</v>
      </c>
      <c r="J3384" s="1" t="s">
        <v>215</v>
      </c>
      <c r="K3384" t="s">
        <v>181</v>
      </c>
      <c r="L3384" t="s">
        <v>3340</v>
      </c>
      <c r="M3384">
        <v>58</v>
      </c>
      <c r="N3384">
        <v>0.25</v>
      </c>
      <c r="O3384" t="s">
        <v>211</v>
      </c>
      <c r="P3384">
        <v>14</v>
      </c>
      <c r="R3384" t="s">
        <v>3343</v>
      </c>
      <c r="T3384" t="s">
        <v>3337</v>
      </c>
      <c r="U3384">
        <v>28</v>
      </c>
      <c r="V3384" t="s">
        <v>3825</v>
      </c>
    </row>
    <row r="3385" spans="1:22" ht="12.75" customHeight="1" x14ac:dyDescent="0.15">
      <c r="A3385">
        <v>30</v>
      </c>
      <c r="B3385">
        <v>2026</v>
      </c>
      <c r="C3385" s="21">
        <v>46227</v>
      </c>
      <c r="D3385" t="s">
        <v>135</v>
      </c>
      <c r="E3385" t="s">
        <v>136</v>
      </c>
      <c r="F3385" t="s">
        <v>21</v>
      </c>
      <c r="G3385">
        <v>0.5</v>
      </c>
      <c r="H3385" t="s">
        <v>3408</v>
      </c>
      <c r="I3385" t="s">
        <v>366</v>
      </c>
      <c r="J3385" s="1" t="s">
        <v>215</v>
      </c>
      <c r="K3385" t="s">
        <v>181</v>
      </c>
      <c r="L3385" t="s">
        <v>3340</v>
      </c>
      <c r="M3385">
        <v>62</v>
      </c>
      <c r="N3385">
        <v>0.25</v>
      </c>
      <c r="O3385" t="s">
        <v>211</v>
      </c>
      <c r="P3385">
        <v>14</v>
      </c>
      <c r="R3385" t="s">
        <v>3375</v>
      </c>
      <c r="T3385" t="s">
        <v>3337</v>
      </c>
      <c r="U3385">
        <v>28</v>
      </c>
      <c r="V3385" t="s">
        <v>3825</v>
      </c>
    </row>
    <row r="3386" spans="1:22" ht="12.75" customHeight="1" x14ac:dyDescent="0.15">
      <c r="A3386">
        <v>30</v>
      </c>
      <c r="B3386">
        <v>2026</v>
      </c>
      <c r="C3386" s="21">
        <v>46227</v>
      </c>
      <c r="D3386" t="s">
        <v>135</v>
      </c>
      <c r="E3386" t="s">
        <v>136</v>
      </c>
      <c r="F3386" t="s">
        <v>21</v>
      </c>
      <c r="G3386">
        <v>0.5</v>
      </c>
      <c r="H3386" t="s">
        <v>3408</v>
      </c>
      <c r="I3386" t="s">
        <v>366</v>
      </c>
      <c r="J3386" s="1" t="s">
        <v>215</v>
      </c>
      <c r="K3386" t="s">
        <v>181</v>
      </c>
      <c r="L3386" t="s">
        <v>3340</v>
      </c>
      <c r="M3386">
        <v>81</v>
      </c>
      <c r="N3386">
        <v>0.25</v>
      </c>
      <c r="O3386" t="s">
        <v>211</v>
      </c>
      <c r="P3386">
        <v>14</v>
      </c>
      <c r="R3386" t="s">
        <v>3374</v>
      </c>
      <c r="T3386" t="s">
        <v>3337</v>
      </c>
      <c r="U3386">
        <v>28</v>
      </c>
      <c r="V3386" t="s">
        <v>3825</v>
      </c>
    </row>
    <row r="3387" spans="1:22" ht="12.75" customHeight="1" x14ac:dyDescent="0.15">
      <c r="A3387">
        <v>30</v>
      </c>
      <c r="B3387">
        <v>2026</v>
      </c>
      <c r="C3387" s="21">
        <v>46227</v>
      </c>
      <c r="D3387" t="s">
        <v>135</v>
      </c>
      <c r="E3387" t="s">
        <v>136</v>
      </c>
      <c r="F3387" t="s">
        <v>21</v>
      </c>
      <c r="G3387">
        <v>0.5</v>
      </c>
      <c r="H3387" t="s">
        <v>3408</v>
      </c>
      <c r="I3387" t="s">
        <v>366</v>
      </c>
      <c r="J3387" s="1" t="s">
        <v>215</v>
      </c>
      <c r="K3387" t="s">
        <v>181</v>
      </c>
      <c r="L3387" t="s">
        <v>3340</v>
      </c>
      <c r="M3387">
        <v>45</v>
      </c>
      <c r="N3387">
        <v>0.25</v>
      </c>
      <c r="O3387" t="s">
        <v>211</v>
      </c>
      <c r="P3387">
        <v>14</v>
      </c>
      <c r="R3387" t="s">
        <v>3377</v>
      </c>
      <c r="T3387" t="s">
        <v>3337</v>
      </c>
      <c r="U3387">
        <v>28</v>
      </c>
      <c r="V3387" t="s">
        <v>3825</v>
      </c>
    </row>
    <row r="3388" spans="1:22" ht="12.75" customHeight="1" x14ac:dyDescent="0.15">
      <c r="A3388">
        <v>30</v>
      </c>
      <c r="B3388">
        <v>2026</v>
      </c>
      <c r="C3388" s="21">
        <v>46227</v>
      </c>
      <c r="D3388" t="s">
        <v>89</v>
      </c>
      <c r="E3388" t="s">
        <v>90</v>
      </c>
      <c r="F3388" t="s">
        <v>21</v>
      </c>
      <c r="G3388">
        <v>1</v>
      </c>
      <c r="H3388" t="s">
        <v>3408</v>
      </c>
      <c r="I3388" t="s">
        <v>366</v>
      </c>
      <c r="J3388" s="1" t="s">
        <v>215</v>
      </c>
      <c r="K3388" t="s">
        <v>181</v>
      </c>
      <c r="L3388" t="s">
        <v>3340</v>
      </c>
      <c r="M3388">
        <v>53</v>
      </c>
      <c r="N3388">
        <v>0.38</v>
      </c>
      <c r="O3388" t="s">
        <v>211</v>
      </c>
      <c r="P3388">
        <v>21</v>
      </c>
      <c r="R3388" t="s">
        <v>3373</v>
      </c>
      <c r="S3388" t="s">
        <v>4591</v>
      </c>
      <c r="T3388" t="s">
        <v>3337</v>
      </c>
      <c r="U3388">
        <v>100</v>
      </c>
      <c r="V3388" t="s">
        <v>3678</v>
      </c>
    </row>
    <row r="3389" spans="1:22" ht="12.75" customHeight="1" x14ac:dyDescent="0.15">
      <c r="A3389">
        <v>30</v>
      </c>
      <c r="B3389">
        <v>2026</v>
      </c>
      <c r="C3389" s="21">
        <v>46227</v>
      </c>
      <c r="D3389" t="s">
        <v>89</v>
      </c>
      <c r="E3389" t="s">
        <v>90</v>
      </c>
      <c r="F3389" t="s">
        <v>21</v>
      </c>
      <c r="G3389">
        <v>1</v>
      </c>
      <c r="H3389" t="s">
        <v>3408</v>
      </c>
      <c r="I3389" t="s">
        <v>366</v>
      </c>
      <c r="J3389" s="1" t="s">
        <v>215</v>
      </c>
      <c r="K3389" t="s">
        <v>181</v>
      </c>
      <c r="L3389" t="s">
        <v>3340</v>
      </c>
      <c r="M3389">
        <v>58</v>
      </c>
      <c r="N3389">
        <v>0.38</v>
      </c>
      <c r="O3389" t="s">
        <v>211</v>
      </c>
      <c r="P3389">
        <v>21</v>
      </c>
      <c r="R3389" t="s">
        <v>3343</v>
      </c>
      <c r="T3389" t="s">
        <v>3337</v>
      </c>
      <c r="U3389">
        <v>100</v>
      </c>
      <c r="V3389" t="s">
        <v>3678</v>
      </c>
    </row>
    <row r="3390" spans="1:22" ht="12.75" customHeight="1" x14ac:dyDescent="0.15">
      <c r="A3390">
        <v>30</v>
      </c>
      <c r="B3390">
        <v>2026</v>
      </c>
      <c r="C3390" s="21">
        <v>46227</v>
      </c>
      <c r="D3390" t="s">
        <v>89</v>
      </c>
      <c r="E3390" t="s">
        <v>90</v>
      </c>
      <c r="F3390" t="s">
        <v>21</v>
      </c>
      <c r="G3390">
        <v>1</v>
      </c>
      <c r="H3390" t="s">
        <v>3408</v>
      </c>
      <c r="I3390" t="s">
        <v>366</v>
      </c>
      <c r="J3390" s="1" t="s">
        <v>215</v>
      </c>
      <c r="K3390" t="s">
        <v>181</v>
      </c>
      <c r="L3390" t="s">
        <v>3340</v>
      </c>
      <c r="M3390">
        <v>62</v>
      </c>
      <c r="N3390">
        <v>0.38</v>
      </c>
      <c r="O3390" t="s">
        <v>211</v>
      </c>
      <c r="P3390">
        <v>21</v>
      </c>
      <c r="R3390" t="s">
        <v>3375</v>
      </c>
      <c r="T3390" t="s">
        <v>3337</v>
      </c>
      <c r="U3390">
        <v>100</v>
      </c>
      <c r="V3390" t="s">
        <v>3678</v>
      </c>
    </row>
    <row r="3391" spans="1:22" ht="12.75" customHeight="1" x14ac:dyDescent="0.15">
      <c r="A3391">
        <v>30</v>
      </c>
      <c r="B3391">
        <v>2026</v>
      </c>
      <c r="C3391" s="21">
        <v>46227</v>
      </c>
      <c r="D3391" t="s">
        <v>89</v>
      </c>
      <c r="E3391" t="s">
        <v>90</v>
      </c>
      <c r="F3391" t="s">
        <v>21</v>
      </c>
      <c r="G3391">
        <v>1</v>
      </c>
      <c r="H3391" t="s">
        <v>3408</v>
      </c>
      <c r="I3391" t="s">
        <v>366</v>
      </c>
      <c r="J3391" s="1" t="s">
        <v>215</v>
      </c>
      <c r="K3391" t="s">
        <v>181</v>
      </c>
      <c r="L3391" t="s">
        <v>3340</v>
      </c>
      <c r="M3391">
        <v>81</v>
      </c>
      <c r="N3391">
        <v>0.38</v>
      </c>
      <c r="O3391" t="s">
        <v>211</v>
      </c>
      <c r="P3391">
        <v>21</v>
      </c>
      <c r="R3391" t="s">
        <v>3374</v>
      </c>
      <c r="T3391" t="s">
        <v>3337</v>
      </c>
      <c r="U3391">
        <v>100</v>
      </c>
      <c r="V3391" t="s">
        <v>3678</v>
      </c>
    </row>
    <row r="3392" spans="1:22" ht="12.75" customHeight="1" x14ac:dyDescent="0.15">
      <c r="A3392">
        <v>30</v>
      </c>
      <c r="B3392">
        <v>2026</v>
      </c>
      <c r="C3392" s="21">
        <v>46227</v>
      </c>
      <c r="D3392" t="s">
        <v>89</v>
      </c>
      <c r="E3392" t="s">
        <v>90</v>
      </c>
      <c r="F3392" t="s">
        <v>21</v>
      </c>
      <c r="G3392">
        <v>1</v>
      </c>
      <c r="H3392" t="s">
        <v>3408</v>
      </c>
      <c r="I3392" t="s">
        <v>366</v>
      </c>
      <c r="J3392" s="1" t="s">
        <v>215</v>
      </c>
      <c r="K3392" t="s">
        <v>181</v>
      </c>
      <c r="L3392" t="s">
        <v>3340</v>
      </c>
      <c r="M3392">
        <v>45</v>
      </c>
      <c r="N3392">
        <v>0.38</v>
      </c>
      <c r="O3392" t="s">
        <v>211</v>
      </c>
      <c r="P3392">
        <v>21</v>
      </c>
      <c r="R3392" t="s">
        <v>3377</v>
      </c>
      <c r="T3392" t="s">
        <v>3337</v>
      </c>
      <c r="U3392">
        <v>100</v>
      </c>
      <c r="V3392" t="s">
        <v>3678</v>
      </c>
    </row>
    <row r="3393" spans="1:22" ht="12.75" customHeight="1" x14ac:dyDescent="0.15">
      <c r="A3393">
        <v>30</v>
      </c>
      <c r="B3393">
        <v>2026</v>
      </c>
      <c r="C3393" s="21">
        <v>46227</v>
      </c>
      <c r="D3393" t="s">
        <v>139</v>
      </c>
      <c r="E3393" t="s">
        <v>140</v>
      </c>
      <c r="F3393" t="s">
        <v>75</v>
      </c>
      <c r="G3393">
        <v>0.8</v>
      </c>
      <c r="H3393" t="s">
        <v>3408</v>
      </c>
      <c r="I3393" t="s">
        <v>366</v>
      </c>
      <c r="J3393" s="1" t="s">
        <v>215</v>
      </c>
      <c r="K3393" t="s">
        <v>181</v>
      </c>
      <c r="L3393" t="s">
        <v>3340</v>
      </c>
      <c r="M3393">
        <v>53</v>
      </c>
      <c r="N3393">
        <v>0.25</v>
      </c>
      <c r="O3393" t="s">
        <v>211</v>
      </c>
      <c r="P3393">
        <v>14</v>
      </c>
      <c r="R3393" t="s">
        <v>3373</v>
      </c>
      <c r="S3393" t="s">
        <v>4592</v>
      </c>
      <c r="T3393" t="s">
        <v>3337</v>
      </c>
      <c r="U3393">
        <v>59</v>
      </c>
      <c r="V3393" t="s">
        <v>4126</v>
      </c>
    </row>
    <row r="3394" spans="1:22" ht="12.75" customHeight="1" x14ac:dyDescent="0.15">
      <c r="A3394">
        <v>30</v>
      </c>
      <c r="B3394">
        <v>2026</v>
      </c>
      <c r="C3394" s="21">
        <v>46227</v>
      </c>
      <c r="D3394" t="s">
        <v>139</v>
      </c>
      <c r="E3394" t="s">
        <v>140</v>
      </c>
      <c r="F3394" t="s">
        <v>75</v>
      </c>
      <c r="G3394">
        <v>0.8</v>
      </c>
      <c r="H3394" t="s">
        <v>3408</v>
      </c>
      <c r="I3394" t="s">
        <v>366</v>
      </c>
      <c r="J3394" s="1" t="s">
        <v>215</v>
      </c>
      <c r="K3394" t="s">
        <v>181</v>
      </c>
      <c r="L3394" t="s">
        <v>3340</v>
      </c>
      <c r="M3394">
        <v>58</v>
      </c>
      <c r="N3394">
        <v>0.25</v>
      </c>
      <c r="O3394" t="s">
        <v>211</v>
      </c>
      <c r="P3394">
        <v>14</v>
      </c>
      <c r="R3394" t="s">
        <v>3343</v>
      </c>
      <c r="T3394" t="s">
        <v>3337</v>
      </c>
      <c r="U3394">
        <v>59</v>
      </c>
      <c r="V3394" t="s">
        <v>4126</v>
      </c>
    </row>
    <row r="3395" spans="1:22" ht="12.75" customHeight="1" x14ac:dyDescent="0.15">
      <c r="A3395">
        <v>30</v>
      </c>
      <c r="B3395">
        <v>2026</v>
      </c>
      <c r="C3395" s="21">
        <v>46227</v>
      </c>
      <c r="D3395" t="s">
        <v>139</v>
      </c>
      <c r="E3395" t="s">
        <v>140</v>
      </c>
      <c r="F3395" t="s">
        <v>75</v>
      </c>
      <c r="G3395">
        <v>0.8</v>
      </c>
      <c r="H3395" t="s">
        <v>3408</v>
      </c>
      <c r="I3395" t="s">
        <v>366</v>
      </c>
      <c r="J3395" s="1" t="s">
        <v>215</v>
      </c>
      <c r="K3395" t="s">
        <v>181</v>
      </c>
      <c r="L3395" t="s">
        <v>3340</v>
      </c>
      <c r="M3395">
        <v>62</v>
      </c>
      <c r="N3395">
        <v>0.25</v>
      </c>
      <c r="O3395" t="s">
        <v>211</v>
      </c>
      <c r="P3395">
        <v>14</v>
      </c>
      <c r="R3395" t="s">
        <v>3375</v>
      </c>
      <c r="T3395" t="s">
        <v>3337</v>
      </c>
      <c r="U3395">
        <v>59</v>
      </c>
      <c r="V3395" t="s">
        <v>4126</v>
      </c>
    </row>
    <row r="3396" spans="1:22" ht="12.75" customHeight="1" x14ac:dyDescent="0.15">
      <c r="A3396">
        <v>30</v>
      </c>
      <c r="B3396">
        <v>2026</v>
      </c>
      <c r="C3396" s="21">
        <v>46227</v>
      </c>
      <c r="D3396" t="s">
        <v>139</v>
      </c>
      <c r="E3396" s="8" t="s">
        <v>140</v>
      </c>
      <c r="F3396" t="s">
        <v>75</v>
      </c>
      <c r="G3396">
        <v>0.8</v>
      </c>
      <c r="H3396" t="s">
        <v>3408</v>
      </c>
      <c r="I3396" t="s">
        <v>366</v>
      </c>
      <c r="J3396" s="1" t="s">
        <v>215</v>
      </c>
      <c r="K3396" t="s">
        <v>181</v>
      </c>
      <c r="L3396" t="s">
        <v>3340</v>
      </c>
      <c r="M3396">
        <v>81</v>
      </c>
      <c r="N3396">
        <v>0.25</v>
      </c>
      <c r="O3396" t="s">
        <v>211</v>
      </c>
      <c r="P3396">
        <v>14</v>
      </c>
      <c r="R3396" t="s">
        <v>3374</v>
      </c>
      <c r="T3396" t="s">
        <v>3337</v>
      </c>
      <c r="U3396">
        <v>59</v>
      </c>
      <c r="V3396" t="s">
        <v>4126</v>
      </c>
    </row>
    <row r="3397" spans="1:22" ht="12.75" customHeight="1" x14ac:dyDescent="0.15">
      <c r="A3397">
        <v>30</v>
      </c>
      <c r="B3397">
        <v>2026</v>
      </c>
      <c r="C3397" s="21">
        <v>46227</v>
      </c>
      <c r="D3397" t="s">
        <v>139</v>
      </c>
      <c r="E3397" t="s">
        <v>140</v>
      </c>
      <c r="F3397" t="s">
        <v>75</v>
      </c>
      <c r="G3397">
        <v>0.8</v>
      </c>
      <c r="H3397" t="s">
        <v>3408</v>
      </c>
      <c r="I3397" t="s">
        <v>366</v>
      </c>
      <c r="J3397" s="1" t="s">
        <v>215</v>
      </c>
      <c r="K3397" t="s">
        <v>181</v>
      </c>
      <c r="L3397" t="s">
        <v>3340</v>
      </c>
      <c r="M3397">
        <v>45</v>
      </c>
      <c r="N3397">
        <v>0.25</v>
      </c>
      <c r="O3397" t="s">
        <v>211</v>
      </c>
      <c r="P3397">
        <v>14</v>
      </c>
      <c r="R3397" t="s">
        <v>3377</v>
      </c>
      <c r="T3397" t="s">
        <v>3337</v>
      </c>
      <c r="U3397">
        <v>59</v>
      </c>
      <c r="V3397" t="s">
        <v>4126</v>
      </c>
    </row>
    <row r="3398" spans="1:22" ht="12.75" customHeight="1" x14ac:dyDescent="0.15">
      <c r="A3398">
        <v>30</v>
      </c>
      <c r="B3398">
        <v>2026</v>
      </c>
      <c r="C3398" s="21">
        <v>46227</v>
      </c>
      <c r="D3398" t="s">
        <v>101</v>
      </c>
      <c r="E3398" t="s">
        <v>102</v>
      </c>
      <c r="F3398" t="s">
        <v>75</v>
      </c>
      <c r="G3398">
        <v>7.6</v>
      </c>
      <c r="H3398" t="s">
        <v>3400</v>
      </c>
      <c r="I3398" t="s">
        <v>353</v>
      </c>
      <c r="J3398" s="1" t="s">
        <v>253</v>
      </c>
      <c r="K3398" t="s">
        <v>181</v>
      </c>
      <c r="L3398" t="s">
        <v>3333</v>
      </c>
      <c r="M3398">
        <v>2</v>
      </c>
      <c r="N3398">
        <v>0.75</v>
      </c>
      <c r="O3398" t="s">
        <v>3440</v>
      </c>
      <c r="P3398">
        <v>67.87</v>
      </c>
      <c r="Q3398">
        <v>6</v>
      </c>
      <c r="R3398" t="s">
        <v>3424</v>
      </c>
      <c r="T3398" t="s">
        <v>3337</v>
      </c>
      <c r="U3398">
        <v>87</v>
      </c>
      <c r="V3398" t="s">
        <v>4257</v>
      </c>
    </row>
    <row r="3399" spans="1:22" ht="12.75" customHeight="1" x14ac:dyDescent="0.15">
      <c r="A3399">
        <v>30</v>
      </c>
      <c r="B3399">
        <v>2026</v>
      </c>
      <c r="C3399" s="21">
        <v>46227</v>
      </c>
      <c r="D3399" t="s">
        <v>101</v>
      </c>
      <c r="E3399" t="s">
        <v>102</v>
      </c>
      <c r="F3399" t="s">
        <v>75</v>
      </c>
      <c r="G3399">
        <v>7.6</v>
      </c>
      <c r="H3399" t="s">
        <v>3400</v>
      </c>
      <c r="I3399" t="s">
        <v>353</v>
      </c>
      <c r="J3399" s="1" t="s">
        <v>253</v>
      </c>
      <c r="K3399" t="s">
        <v>181</v>
      </c>
      <c r="L3399" t="s">
        <v>23</v>
      </c>
      <c r="M3399">
        <v>176</v>
      </c>
      <c r="P3399">
        <v>385</v>
      </c>
      <c r="R3399" t="s">
        <v>4361</v>
      </c>
      <c r="S3399" t="s">
        <v>4593</v>
      </c>
      <c r="T3399" t="s">
        <v>3337</v>
      </c>
      <c r="U3399">
        <v>87</v>
      </c>
      <c r="V3399" t="s">
        <v>4042</v>
      </c>
    </row>
    <row r="3400" spans="1:22" ht="12.75" customHeight="1" x14ac:dyDescent="0.15">
      <c r="A3400">
        <v>30</v>
      </c>
      <c r="B3400">
        <v>2026</v>
      </c>
      <c r="C3400" s="21">
        <v>46227</v>
      </c>
      <c r="D3400" t="s">
        <v>101</v>
      </c>
      <c r="E3400" s="8" t="s">
        <v>102</v>
      </c>
      <c r="F3400" t="s">
        <v>75</v>
      </c>
      <c r="G3400">
        <v>7.6</v>
      </c>
      <c r="H3400" t="s">
        <v>3400</v>
      </c>
      <c r="I3400" t="s">
        <v>353</v>
      </c>
      <c r="J3400" s="1" t="s">
        <v>253</v>
      </c>
      <c r="K3400" t="s">
        <v>181</v>
      </c>
      <c r="L3400" t="s">
        <v>3340</v>
      </c>
      <c r="M3400">
        <v>25</v>
      </c>
      <c r="N3400">
        <v>1</v>
      </c>
      <c r="O3400" t="s">
        <v>211</v>
      </c>
      <c r="P3400">
        <v>55</v>
      </c>
      <c r="R3400" t="s">
        <v>3413</v>
      </c>
      <c r="T3400" t="s">
        <v>3337</v>
      </c>
      <c r="U3400">
        <v>87</v>
      </c>
      <c r="V3400" t="s">
        <v>4088</v>
      </c>
    </row>
    <row r="3401" spans="1:22" ht="12.75" customHeight="1" x14ac:dyDescent="0.15">
      <c r="A3401">
        <v>30</v>
      </c>
      <c r="B3401">
        <v>2026</v>
      </c>
      <c r="C3401" s="21">
        <v>46227</v>
      </c>
      <c r="D3401" t="s">
        <v>153</v>
      </c>
      <c r="E3401" t="s">
        <v>154</v>
      </c>
      <c r="F3401" t="s">
        <v>21</v>
      </c>
      <c r="G3401">
        <v>8</v>
      </c>
      <c r="H3401" t="s">
        <v>3378</v>
      </c>
      <c r="I3401" t="s">
        <v>214</v>
      </c>
      <c r="J3401" s="1" t="s">
        <v>215</v>
      </c>
      <c r="K3401" t="s">
        <v>181</v>
      </c>
      <c r="L3401" t="s">
        <v>3340</v>
      </c>
      <c r="M3401">
        <v>58</v>
      </c>
      <c r="N3401">
        <v>0.73</v>
      </c>
      <c r="O3401" t="s">
        <v>211</v>
      </c>
      <c r="P3401">
        <v>40</v>
      </c>
      <c r="R3401" t="s">
        <v>3343</v>
      </c>
      <c r="S3401" t="s">
        <v>4594</v>
      </c>
      <c r="T3401" t="s">
        <v>3337</v>
      </c>
      <c r="V3401" t="s">
        <v>3504</v>
      </c>
    </row>
    <row r="3402" spans="1:22" ht="12.75" customHeight="1" x14ac:dyDescent="0.15">
      <c r="A3402">
        <v>30</v>
      </c>
      <c r="B3402">
        <v>2026</v>
      </c>
      <c r="C3402" s="21">
        <v>46227</v>
      </c>
      <c r="D3402" t="s">
        <v>153</v>
      </c>
      <c r="E3402" t="s">
        <v>154</v>
      </c>
      <c r="F3402" t="s">
        <v>21</v>
      </c>
      <c r="G3402">
        <v>8</v>
      </c>
      <c r="H3402" t="s">
        <v>3378</v>
      </c>
      <c r="I3402" t="s">
        <v>214</v>
      </c>
      <c r="J3402" s="1" t="s">
        <v>215</v>
      </c>
      <c r="K3402" t="s">
        <v>181</v>
      </c>
      <c r="L3402" t="s">
        <v>3340</v>
      </c>
      <c r="M3402">
        <v>62</v>
      </c>
      <c r="N3402">
        <v>0.73</v>
      </c>
      <c r="O3402" t="s">
        <v>211</v>
      </c>
      <c r="P3402">
        <v>40</v>
      </c>
      <c r="R3402" t="s">
        <v>3375</v>
      </c>
      <c r="T3402" t="s">
        <v>3337</v>
      </c>
      <c r="V3402" t="s">
        <v>3504</v>
      </c>
    </row>
    <row r="3403" spans="1:22" ht="12.75" customHeight="1" x14ac:dyDescent="0.15">
      <c r="A3403">
        <v>30</v>
      </c>
      <c r="B3403">
        <v>2026</v>
      </c>
      <c r="C3403" s="21">
        <v>46227</v>
      </c>
      <c r="D3403" t="s">
        <v>153</v>
      </c>
      <c r="E3403" s="8" t="s">
        <v>154</v>
      </c>
      <c r="F3403" t="s">
        <v>21</v>
      </c>
      <c r="G3403">
        <v>8</v>
      </c>
      <c r="H3403" t="s">
        <v>3378</v>
      </c>
      <c r="I3403" t="s">
        <v>214</v>
      </c>
      <c r="J3403" s="1" t="s">
        <v>215</v>
      </c>
      <c r="K3403" t="s">
        <v>181</v>
      </c>
      <c r="L3403" t="s">
        <v>3340</v>
      </c>
      <c r="M3403">
        <v>81</v>
      </c>
      <c r="N3403">
        <v>0.73</v>
      </c>
      <c r="O3403" t="s">
        <v>211</v>
      </c>
      <c r="P3403">
        <v>40</v>
      </c>
      <c r="R3403" t="s">
        <v>3374</v>
      </c>
      <c r="T3403" t="s">
        <v>3337</v>
      </c>
      <c r="V3403" t="s">
        <v>3504</v>
      </c>
    </row>
    <row r="3404" spans="1:22" ht="12.75" customHeight="1" x14ac:dyDescent="0.15">
      <c r="A3404">
        <v>30</v>
      </c>
      <c r="B3404">
        <v>2026</v>
      </c>
      <c r="C3404" s="21">
        <v>46227</v>
      </c>
      <c r="D3404" t="s">
        <v>153</v>
      </c>
      <c r="E3404" s="8" t="s">
        <v>154</v>
      </c>
      <c r="F3404" t="s">
        <v>21</v>
      </c>
      <c r="G3404">
        <v>8</v>
      </c>
      <c r="H3404" t="s">
        <v>3378</v>
      </c>
      <c r="I3404" t="s">
        <v>214</v>
      </c>
      <c r="J3404" s="1" t="s">
        <v>215</v>
      </c>
      <c r="K3404" t="s">
        <v>181</v>
      </c>
      <c r="L3404" t="s">
        <v>3340</v>
      </c>
      <c r="M3404">
        <v>45</v>
      </c>
      <c r="N3404">
        <v>0.73</v>
      </c>
      <c r="O3404" t="s">
        <v>211</v>
      </c>
      <c r="P3404">
        <v>40</v>
      </c>
      <c r="R3404" t="s">
        <v>3377</v>
      </c>
      <c r="T3404" t="s">
        <v>3337</v>
      </c>
      <c r="V3404" t="s">
        <v>3504</v>
      </c>
    </row>
    <row r="3405" spans="1:22" ht="12.75" customHeight="1" x14ac:dyDescent="0.15">
      <c r="A3405">
        <v>30</v>
      </c>
      <c r="B3405">
        <v>2026</v>
      </c>
      <c r="C3405" s="21">
        <v>46227</v>
      </c>
      <c r="D3405" t="s">
        <v>153</v>
      </c>
      <c r="E3405" t="s">
        <v>154</v>
      </c>
      <c r="F3405" t="s">
        <v>21</v>
      </c>
      <c r="G3405">
        <v>8</v>
      </c>
      <c r="H3405" t="s">
        <v>3378</v>
      </c>
      <c r="I3405" t="s">
        <v>214</v>
      </c>
      <c r="J3405" s="1" t="s">
        <v>215</v>
      </c>
      <c r="K3405" t="s">
        <v>181</v>
      </c>
      <c r="L3405" t="s">
        <v>3340</v>
      </c>
      <c r="M3405">
        <v>53</v>
      </c>
      <c r="N3405">
        <v>0.73</v>
      </c>
      <c r="O3405" t="s">
        <v>211</v>
      </c>
      <c r="P3405">
        <v>40</v>
      </c>
      <c r="R3405" t="s">
        <v>3373</v>
      </c>
      <c r="T3405" t="s">
        <v>3337</v>
      </c>
      <c r="V3405" t="s">
        <v>3504</v>
      </c>
    </row>
    <row r="3406" spans="1:22" ht="12.75" customHeight="1" x14ac:dyDescent="0.15">
      <c r="A3406">
        <v>30</v>
      </c>
      <c r="B3406">
        <v>2026</v>
      </c>
      <c r="C3406" s="21">
        <v>46227</v>
      </c>
      <c r="D3406" t="s">
        <v>153</v>
      </c>
      <c r="E3406" t="s">
        <v>154</v>
      </c>
      <c r="F3406" t="s">
        <v>21</v>
      </c>
      <c r="G3406">
        <v>8</v>
      </c>
      <c r="H3406" t="s">
        <v>3486</v>
      </c>
      <c r="I3406" t="s">
        <v>3487</v>
      </c>
      <c r="J3406" s="1" t="s">
        <v>215</v>
      </c>
      <c r="K3406" t="s">
        <v>181</v>
      </c>
      <c r="L3406" t="s">
        <v>3333</v>
      </c>
      <c r="M3406">
        <v>2</v>
      </c>
      <c r="N3406">
        <v>0.25</v>
      </c>
      <c r="O3406" t="s">
        <v>3440</v>
      </c>
      <c r="P3406">
        <v>22.62</v>
      </c>
      <c r="Q3406">
        <v>2</v>
      </c>
      <c r="R3406" t="s">
        <v>3424</v>
      </c>
      <c r="T3406" t="s">
        <v>3337</v>
      </c>
      <c r="V3406" t="s">
        <v>4536</v>
      </c>
    </row>
    <row r="3407" spans="1:22" ht="12.75" customHeight="1" x14ac:dyDescent="0.15">
      <c r="A3407">
        <v>30</v>
      </c>
      <c r="B3407">
        <v>2026</v>
      </c>
      <c r="C3407" s="21">
        <v>46227</v>
      </c>
      <c r="D3407" t="s">
        <v>153</v>
      </c>
      <c r="E3407" t="s">
        <v>154</v>
      </c>
      <c r="F3407" t="s">
        <v>21</v>
      </c>
      <c r="G3407">
        <v>8</v>
      </c>
      <c r="H3407" t="s">
        <v>3486</v>
      </c>
      <c r="I3407" t="s">
        <v>3487</v>
      </c>
      <c r="J3407" s="1" t="s">
        <v>215</v>
      </c>
      <c r="K3407" t="s">
        <v>181</v>
      </c>
      <c r="L3407" t="s">
        <v>3340</v>
      </c>
      <c r="M3407">
        <v>2</v>
      </c>
      <c r="N3407">
        <v>0.16</v>
      </c>
      <c r="O3407" t="s">
        <v>211</v>
      </c>
      <c r="P3407">
        <v>9</v>
      </c>
      <c r="Q3407">
        <v>1</v>
      </c>
      <c r="R3407" t="s">
        <v>3424</v>
      </c>
      <c r="T3407" t="s">
        <v>3337</v>
      </c>
      <c r="V3407" t="s">
        <v>4595</v>
      </c>
    </row>
    <row r="3408" spans="1:22" ht="12.75" customHeight="1" x14ac:dyDescent="0.15">
      <c r="A3408">
        <v>30</v>
      </c>
      <c r="B3408">
        <v>2026</v>
      </c>
      <c r="C3408" s="21">
        <v>46227</v>
      </c>
      <c r="D3408" t="s">
        <v>153</v>
      </c>
      <c r="E3408" t="s">
        <v>154</v>
      </c>
      <c r="F3408" t="s">
        <v>21</v>
      </c>
      <c r="G3408">
        <v>8</v>
      </c>
      <c r="H3408" t="s">
        <v>3339</v>
      </c>
      <c r="I3408" t="s">
        <v>187</v>
      </c>
      <c r="J3408" s="1" t="s">
        <v>188</v>
      </c>
      <c r="K3408" t="s">
        <v>181</v>
      </c>
      <c r="L3408" t="s">
        <v>3333</v>
      </c>
      <c r="M3408">
        <v>1</v>
      </c>
      <c r="N3408">
        <v>1</v>
      </c>
      <c r="O3408" t="s">
        <v>3358</v>
      </c>
      <c r="P3408">
        <v>71.86</v>
      </c>
      <c r="Q3408">
        <v>8</v>
      </c>
      <c r="R3408" t="s">
        <v>3359</v>
      </c>
      <c r="T3408" t="s">
        <v>3337</v>
      </c>
      <c r="V3408" t="s">
        <v>4467</v>
      </c>
    </row>
    <row r="3409" spans="1:22" ht="12.75" customHeight="1" x14ac:dyDescent="0.15">
      <c r="A3409">
        <v>30</v>
      </c>
      <c r="B3409">
        <v>2026</v>
      </c>
      <c r="C3409" s="21">
        <v>46227</v>
      </c>
      <c r="D3409" t="s">
        <v>153</v>
      </c>
      <c r="E3409" t="s">
        <v>154</v>
      </c>
      <c r="F3409" t="s">
        <v>21</v>
      </c>
      <c r="G3409">
        <v>8</v>
      </c>
      <c r="H3409" t="s">
        <v>3346</v>
      </c>
      <c r="I3409" t="s">
        <v>212</v>
      </c>
      <c r="J3409" s="1" t="s">
        <v>188</v>
      </c>
      <c r="K3409" t="s">
        <v>181</v>
      </c>
      <c r="L3409" t="s">
        <v>3333</v>
      </c>
      <c r="M3409">
        <v>6</v>
      </c>
      <c r="N3409">
        <v>1</v>
      </c>
      <c r="O3409" t="s">
        <v>3334</v>
      </c>
      <c r="P3409">
        <v>81.58</v>
      </c>
      <c r="Q3409">
        <v>8</v>
      </c>
      <c r="R3409" t="s">
        <v>3335</v>
      </c>
      <c r="T3409" t="s">
        <v>3337</v>
      </c>
      <c r="V3409" t="s">
        <v>3472</v>
      </c>
    </row>
    <row r="3410" spans="1:22" ht="12.75" customHeight="1" x14ac:dyDescent="0.15">
      <c r="A3410">
        <v>30</v>
      </c>
      <c r="B3410">
        <v>2026</v>
      </c>
      <c r="C3410" s="21">
        <v>46227</v>
      </c>
      <c r="D3410" t="s">
        <v>437</v>
      </c>
      <c r="E3410" t="s">
        <v>437</v>
      </c>
      <c r="F3410" t="s">
        <v>4435</v>
      </c>
      <c r="G3410">
        <v>1</v>
      </c>
      <c r="H3410" t="s">
        <v>4596</v>
      </c>
      <c r="I3410" t="s">
        <v>4597</v>
      </c>
      <c r="J3410" s="1" t="s">
        <v>215</v>
      </c>
      <c r="K3410" t="s">
        <v>181</v>
      </c>
      <c r="L3410" t="s">
        <v>3340</v>
      </c>
      <c r="M3410">
        <v>72</v>
      </c>
      <c r="N3410">
        <v>1.82</v>
      </c>
      <c r="O3410" t="s">
        <v>211</v>
      </c>
      <c r="P3410">
        <v>100</v>
      </c>
      <c r="R3410" t="s">
        <v>3488</v>
      </c>
      <c r="S3410" t="s">
        <v>4598</v>
      </c>
      <c r="T3410" t="s">
        <v>3337</v>
      </c>
      <c r="U3410">
        <v>204</v>
      </c>
      <c r="V3410" t="s">
        <v>3707</v>
      </c>
    </row>
    <row r="3411" spans="1:22" ht="12.75" customHeight="1" x14ac:dyDescent="0.15">
      <c r="A3411">
        <v>30</v>
      </c>
      <c r="B3411">
        <v>2026</v>
      </c>
      <c r="C3411" s="21">
        <v>46227</v>
      </c>
      <c r="D3411" t="s">
        <v>153</v>
      </c>
      <c r="E3411" t="s">
        <v>154</v>
      </c>
      <c r="F3411" t="s">
        <v>21</v>
      </c>
      <c r="G3411">
        <v>8</v>
      </c>
      <c r="H3411" t="s">
        <v>3672</v>
      </c>
      <c r="I3411" t="s">
        <v>3673</v>
      </c>
      <c r="J3411" s="1" t="s">
        <v>26</v>
      </c>
      <c r="K3411" t="s">
        <v>181</v>
      </c>
      <c r="L3411" t="s">
        <v>3333</v>
      </c>
      <c r="M3411">
        <v>80</v>
      </c>
      <c r="N3411">
        <v>0.5</v>
      </c>
      <c r="O3411" t="s">
        <v>213</v>
      </c>
      <c r="P3411">
        <v>45</v>
      </c>
      <c r="Q3411">
        <v>4</v>
      </c>
      <c r="R3411" t="s">
        <v>3560</v>
      </c>
      <c r="S3411" t="s">
        <v>4599</v>
      </c>
      <c r="T3411" t="s">
        <v>3402</v>
      </c>
      <c r="V3411" t="s">
        <v>4008</v>
      </c>
    </row>
    <row r="3412" spans="1:22" ht="12.75" customHeight="1" x14ac:dyDescent="0.15">
      <c r="A3412">
        <v>30</v>
      </c>
      <c r="B3412">
        <v>2026</v>
      </c>
      <c r="C3412" s="21">
        <v>46227</v>
      </c>
      <c r="D3412" t="s">
        <v>3749</v>
      </c>
      <c r="E3412" t="s">
        <v>676</v>
      </c>
      <c r="F3412" t="s">
        <v>676</v>
      </c>
      <c r="G3412">
        <v>1</v>
      </c>
      <c r="H3412" t="s">
        <v>3750</v>
      </c>
      <c r="I3412" t="s">
        <v>3751</v>
      </c>
      <c r="J3412" s="1" t="s">
        <v>676</v>
      </c>
      <c r="K3412" t="s">
        <v>181</v>
      </c>
      <c r="L3412" t="s">
        <v>3333</v>
      </c>
      <c r="M3412">
        <v>67</v>
      </c>
      <c r="N3412">
        <v>0.63</v>
      </c>
      <c r="O3412" t="s">
        <v>3334</v>
      </c>
      <c r="P3412">
        <v>50.99</v>
      </c>
      <c r="Q3412">
        <v>5</v>
      </c>
      <c r="R3412" t="s">
        <v>3404</v>
      </c>
      <c r="S3412" t="s">
        <v>4600</v>
      </c>
      <c r="T3412" t="s">
        <v>3402</v>
      </c>
      <c r="U3412">
        <v>204</v>
      </c>
      <c r="V3412" t="s">
        <v>3574</v>
      </c>
    </row>
    <row r="3413" spans="1:22" ht="12.75" customHeight="1" x14ac:dyDescent="0.15">
      <c r="A3413">
        <v>30</v>
      </c>
      <c r="B3413">
        <v>2026</v>
      </c>
      <c r="C3413" s="21">
        <v>46227</v>
      </c>
      <c r="D3413" t="s">
        <v>3749</v>
      </c>
      <c r="E3413" t="s">
        <v>676</v>
      </c>
      <c r="F3413" t="s">
        <v>676</v>
      </c>
      <c r="G3413">
        <v>1</v>
      </c>
      <c r="H3413" t="s">
        <v>3750</v>
      </c>
      <c r="I3413" t="s">
        <v>3751</v>
      </c>
      <c r="J3413" s="1" t="s">
        <v>676</v>
      </c>
      <c r="K3413" t="s">
        <v>181</v>
      </c>
      <c r="L3413" t="s">
        <v>3333</v>
      </c>
      <c r="M3413">
        <v>4</v>
      </c>
      <c r="N3413">
        <v>0.5</v>
      </c>
      <c r="O3413" t="s">
        <v>3334</v>
      </c>
      <c r="P3413">
        <v>40.79</v>
      </c>
      <c r="Q3413">
        <v>4</v>
      </c>
      <c r="R3413" t="s">
        <v>3773</v>
      </c>
      <c r="S3413" t="s">
        <v>4601</v>
      </c>
      <c r="T3413" t="s">
        <v>3402</v>
      </c>
      <c r="U3413">
        <v>204</v>
      </c>
      <c r="V3413" t="s">
        <v>3456</v>
      </c>
    </row>
    <row r="3414" spans="1:22" ht="12.75" customHeight="1" x14ac:dyDescent="0.15">
      <c r="A3414">
        <v>30</v>
      </c>
      <c r="B3414">
        <v>2026</v>
      </c>
      <c r="C3414" s="21">
        <v>46227</v>
      </c>
      <c r="D3414" t="s">
        <v>3749</v>
      </c>
      <c r="E3414" t="s">
        <v>676</v>
      </c>
      <c r="F3414" t="s">
        <v>676</v>
      </c>
      <c r="G3414">
        <v>1</v>
      </c>
      <c r="H3414" t="s">
        <v>3750</v>
      </c>
      <c r="I3414" t="s">
        <v>3751</v>
      </c>
      <c r="J3414" s="1" t="s">
        <v>676</v>
      </c>
      <c r="K3414" t="s">
        <v>181</v>
      </c>
      <c r="L3414" t="s">
        <v>3340</v>
      </c>
      <c r="M3414">
        <v>78</v>
      </c>
      <c r="N3414">
        <v>1</v>
      </c>
      <c r="O3414" t="s">
        <v>211</v>
      </c>
      <c r="P3414">
        <v>55</v>
      </c>
      <c r="R3414" t="s">
        <v>3341</v>
      </c>
      <c r="S3414" t="s">
        <v>4602</v>
      </c>
      <c r="T3414" t="s">
        <v>3402</v>
      </c>
      <c r="U3414">
        <v>204</v>
      </c>
      <c r="V3414" t="s">
        <v>211</v>
      </c>
    </row>
    <row r="3415" spans="1:22" ht="12.75" customHeight="1" x14ac:dyDescent="0.15">
      <c r="A3415">
        <v>30</v>
      </c>
      <c r="B3415">
        <v>2026</v>
      </c>
      <c r="C3415" s="21">
        <v>46227</v>
      </c>
      <c r="D3415" t="s">
        <v>153</v>
      </c>
      <c r="E3415" s="8" t="s">
        <v>154</v>
      </c>
      <c r="F3415" t="s">
        <v>21</v>
      </c>
      <c r="G3415">
        <v>8</v>
      </c>
      <c r="H3415" t="s">
        <v>4603</v>
      </c>
      <c r="I3415" t="s">
        <v>4504</v>
      </c>
      <c r="J3415" s="1" t="s">
        <v>188</v>
      </c>
      <c r="K3415" t="s">
        <v>181</v>
      </c>
      <c r="L3415" t="s">
        <v>3340</v>
      </c>
      <c r="M3415">
        <v>78</v>
      </c>
      <c r="N3415">
        <v>0.65</v>
      </c>
      <c r="O3415" t="s">
        <v>211</v>
      </c>
      <c r="P3415">
        <v>36</v>
      </c>
      <c r="Q3415">
        <v>4</v>
      </c>
      <c r="R3415" t="s">
        <v>3341</v>
      </c>
      <c r="T3415" t="s">
        <v>3402</v>
      </c>
      <c r="V3415" t="s">
        <v>3464</v>
      </c>
    </row>
    <row r="3416" spans="1:22" ht="12.75" customHeight="1" x14ac:dyDescent="0.15">
      <c r="A3416">
        <v>30</v>
      </c>
      <c r="B3416">
        <v>2026</v>
      </c>
      <c r="C3416" s="21">
        <v>46227</v>
      </c>
      <c r="D3416" t="s">
        <v>3749</v>
      </c>
      <c r="E3416" s="8" t="s">
        <v>676</v>
      </c>
      <c r="F3416" t="s">
        <v>676</v>
      </c>
      <c r="G3416">
        <v>1</v>
      </c>
      <c r="H3416" t="s">
        <v>3750</v>
      </c>
      <c r="I3416" t="s">
        <v>3751</v>
      </c>
      <c r="J3416" s="1" t="s">
        <v>676</v>
      </c>
      <c r="K3416" t="s">
        <v>181</v>
      </c>
      <c r="L3416" t="s">
        <v>3340</v>
      </c>
      <c r="M3416">
        <v>67</v>
      </c>
      <c r="N3416">
        <v>0.65</v>
      </c>
      <c r="O3416" t="s">
        <v>211</v>
      </c>
      <c r="P3416">
        <v>35.5</v>
      </c>
      <c r="R3416" t="s">
        <v>3404</v>
      </c>
      <c r="T3416" t="s">
        <v>3402</v>
      </c>
      <c r="U3416">
        <v>204</v>
      </c>
      <c r="V3416" t="s">
        <v>4604</v>
      </c>
    </row>
    <row r="3417" spans="1:22" ht="12.75" customHeight="1" x14ac:dyDescent="0.15">
      <c r="A3417">
        <v>30</v>
      </c>
      <c r="B3417">
        <v>2026</v>
      </c>
      <c r="C3417" s="21">
        <v>46227</v>
      </c>
      <c r="D3417" t="s">
        <v>3749</v>
      </c>
      <c r="E3417" s="8" t="s">
        <v>676</v>
      </c>
      <c r="F3417" t="s">
        <v>676</v>
      </c>
      <c r="G3417">
        <v>1</v>
      </c>
      <c r="H3417" t="s">
        <v>3750</v>
      </c>
      <c r="I3417" t="s">
        <v>3751</v>
      </c>
      <c r="J3417" s="1" t="s">
        <v>676</v>
      </c>
      <c r="K3417" t="s">
        <v>181</v>
      </c>
      <c r="L3417" t="s">
        <v>3340</v>
      </c>
      <c r="M3417">
        <v>4</v>
      </c>
      <c r="N3417">
        <v>0.25</v>
      </c>
      <c r="O3417" t="s">
        <v>211</v>
      </c>
      <c r="P3417">
        <v>14</v>
      </c>
      <c r="R3417" t="s">
        <v>3773</v>
      </c>
      <c r="T3417" t="s">
        <v>3402</v>
      </c>
      <c r="U3417">
        <v>204</v>
      </c>
      <c r="V3417" t="s">
        <v>4605</v>
      </c>
    </row>
    <row r="3418" spans="1:22" ht="12.75" customHeight="1" x14ac:dyDescent="0.15">
      <c r="A3418">
        <v>30</v>
      </c>
      <c r="B3418">
        <v>2026</v>
      </c>
      <c r="C3418" s="21">
        <v>46227</v>
      </c>
      <c r="D3418" t="s">
        <v>153</v>
      </c>
      <c r="E3418" s="8" t="s">
        <v>154</v>
      </c>
      <c r="F3418" t="s">
        <v>21</v>
      </c>
      <c r="G3418">
        <v>8</v>
      </c>
      <c r="H3418" t="s">
        <v>3852</v>
      </c>
      <c r="I3418" t="s">
        <v>3467</v>
      </c>
      <c r="J3418" s="1" t="s">
        <v>3468</v>
      </c>
      <c r="K3418" t="s">
        <v>181</v>
      </c>
      <c r="L3418" t="s">
        <v>3333</v>
      </c>
      <c r="M3418">
        <v>67</v>
      </c>
      <c r="N3418">
        <v>0.38</v>
      </c>
      <c r="O3418" t="s">
        <v>3334</v>
      </c>
      <c r="P3418">
        <v>30.59</v>
      </c>
      <c r="Q3418">
        <v>3</v>
      </c>
      <c r="R3418" t="s">
        <v>3404</v>
      </c>
      <c r="T3418" t="s">
        <v>3402</v>
      </c>
      <c r="V3418" t="s">
        <v>3639</v>
      </c>
    </row>
    <row r="3419" spans="1:22" ht="12.75" customHeight="1" x14ac:dyDescent="0.15">
      <c r="A3419">
        <v>30</v>
      </c>
      <c r="B3419">
        <v>2026</v>
      </c>
      <c r="C3419" s="21">
        <v>46227</v>
      </c>
      <c r="D3419" t="s">
        <v>153</v>
      </c>
      <c r="E3419" t="s">
        <v>154</v>
      </c>
      <c r="F3419" t="s">
        <v>21</v>
      </c>
      <c r="G3419">
        <v>8</v>
      </c>
      <c r="H3419" t="s">
        <v>4603</v>
      </c>
      <c r="I3419" t="s">
        <v>4504</v>
      </c>
      <c r="J3419" s="1" t="s">
        <v>188</v>
      </c>
      <c r="K3419" t="s">
        <v>181</v>
      </c>
      <c r="L3419" t="s">
        <v>3333</v>
      </c>
      <c r="M3419">
        <v>4</v>
      </c>
      <c r="N3419">
        <v>0.5</v>
      </c>
      <c r="O3419" t="s">
        <v>3334</v>
      </c>
      <c r="P3419">
        <v>40.79</v>
      </c>
      <c r="Q3419">
        <v>4</v>
      </c>
      <c r="R3419" t="s">
        <v>3773</v>
      </c>
      <c r="T3419" t="s">
        <v>3402</v>
      </c>
      <c r="V3419" t="s">
        <v>3463</v>
      </c>
    </row>
    <row r="3420" spans="1:22" ht="12.75" customHeight="1" x14ac:dyDescent="0.15">
      <c r="A3420">
        <v>30</v>
      </c>
      <c r="B3420">
        <v>2026</v>
      </c>
      <c r="C3420" s="21">
        <v>46227</v>
      </c>
      <c r="D3420" t="s">
        <v>3749</v>
      </c>
      <c r="E3420" t="s">
        <v>676</v>
      </c>
      <c r="F3420" t="s">
        <v>676</v>
      </c>
      <c r="G3420">
        <v>1</v>
      </c>
      <c r="H3420" t="s">
        <v>4586</v>
      </c>
      <c r="I3420" t="s">
        <v>4587</v>
      </c>
      <c r="J3420" s="1" t="s">
        <v>676</v>
      </c>
      <c r="K3420" t="s">
        <v>181</v>
      </c>
      <c r="L3420" t="s">
        <v>3340</v>
      </c>
      <c r="M3420">
        <v>86</v>
      </c>
      <c r="N3420">
        <v>0.25</v>
      </c>
      <c r="O3420" t="s">
        <v>211</v>
      </c>
      <c r="P3420">
        <v>13.5</v>
      </c>
      <c r="Q3420">
        <v>1.5</v>
      </c>
      <c r="R3420" t="s">
        <v>3386</v>
      </c>
      <c r="T3420" t="s">
        <v>3402</v>
      </c>
      <c r="U3420">
        <v>204</v>
      </c>
      <c r="V3420" t="s">
        <v>3476</v>
      </c>
    </row>
    <row r="3421" spans="1:22" ht="12.75" customHeight="1" x14ac:dyDescent="0.15">
      <c r="A3421">
        <v>30</v>
      </c>
      <c r="B3421">
        <v>2026</v>
      </c>
      <c r="C3421" s="21">
        <v>46227</v>
      </c>
      <c r="D3421" t="s">
        <v>3749</v>
      </c>
      <c r="E3421" t="s">
        <v>676</v>
      </c>
      <c r="F3421" t="s">
        <v>676</v>
      </c>
      <c r="G3421">
        <v>1</v>
      </c>
      <c r="H3421" t="s">
        <v>4438</v>
      </c>
      <c r="I3421" t="s">
        <v>4439</v>
      </c>
      <c r="J3421" s="1" t="s">
        <v>4383</v>
      </c>
      <c r="K3421" t="s">
        <v>181</v>
      </c>
      <c r="L3421" t="s">
        <v>3333</v>
      </c>
      <c r="M3421">
        <v>86</v>
      </c>
      <c r="N3421">
        <v>1</v>
      </c>
      <c r="O3421" t="s">
        <v>3334</v>
      </c>
      <c r="P3421">
        <v>81.58</v>
      </c>
      <c r="Q3421">
        <v>8</v>
      </c>
      <c r="R3421" t="s">
        <v>3386</v>
      </c>
      <c r="T3421" t="s">
        <v>3402</v>
      </c>
      <c r="U3421">
        <v>204</v>
      </c>
      <c r="V3421" t="s">
        <v>3334</v>
      </c>
    </row>
    <row r="3422" spans="1:22" ht="12.75" customHeight="1" x14ac:dyDescent="0.15">
      <c r="A3422">
        <v>30</v>
      </c>
      <c r="B3422">
        <v>2026</v>
      </c>
      <c r="C3422" s="21">
        <v>46227</v>
      </c>
      <c r="D3422" t="s">
        <v>437</v>
      </c>
      <c r="E3422" t="s">
        <v>437</v>
      </c>
      <c r="F3422" t="s">
        <v>4435</v>
      </c>
      <c r="G3422">
        <v>1</v>
      </c>
      <c r="H3422" t="s">
        <v>4302</v>
      </c>
      <c r="I3422" t="s">
        <v>4303</v>
      </c>
      <c r="J3422" s="1" t="s">
        <v>4304</v>
      </c>
      <c r="K3422" t="s">
        <v>181</v>
      </c>
      <c r="L3422" t="s">
        <v>3333</v>
      </c>
      <c r="M3422">
        <v>7</v>
      </c>
      <c r="N3422">
        <v>1</v>
      </c>
      <c r="O3422" t="s">
        <v>4436</v>
      </c>
      <c r="P3422">
        <v>60.33</v>
      </c>
      <c r="Q3422">
        <v>8</v>
      </c>
      <c r="R3422" t="s">
        <v>4437</v>
      </c>
      <c r="T3422" t="s">
        <v>3402</v>
      </c>
      <c r="U3422">
        <v>204</v>
      </c>
      <c r="V3422" t="s">
        <v>4436</v>
      </c>
    </row>
    <row r="3423" spans="1:22" ht="12.75" customHeight="1" x14ac:dyDescent="0.15">
      <c r="A3423">
        <v>30</v>
      </c>
      <c r="B3423">
        <v>2026</v>
      </c>
      <c r="C3423" s="21">
        <v>46228</v>
      </c>
      <c r="D3423" t="s">
        <v>153</v>
      </c>
      <c r="E3423" t="s">
        <v>154</v>
      </c>
      <c r="F3423" t="s">
        <v>21</v>
      </c>
      <c r="G3423">
        <v>8</v>
      </c>
      <c r="H3423" t="s">
        <v>3378</v>
      </c>
      <c r="I3423" t="s">
        <v>214</v>
      </c>
      <c r="J3423" s="1" t="s">
        <v>215</v>
      </c>
      <c r="K3423" t="s">
        <v>181</v>
      </c>
      <c r="L3423" t="s">
        <v>3340</v>
      </c>
      <c r="M3423">
        <v>58</v>
      </c>
      <c r="N3423">
        <v>0.55000000000000004</v>
      </c>
      <c r="O3423" t="s">
        <v>211</v>
      </c>
      <c r="P3423">
        <v>30</v>
      </c>
      <c r="R3423" t="s">
        <v>3343</v>
      </c>
      <c r="S3423" t="s">
        <v>4606</v>
      </c>
      <c r="T3423" t="s">
        <v>3337</v>
      </c>
      <c r="V3423" t="s">
        <v>4607</v>
      </c>
    </row>
    <row r="3424" spans="1:22" ht="12.75" customHeight="1" x14ac:dyDescent="0.15">
      <c r="A3424">
        <v>30</v>
      </c>
      <c r="B3424">
        <v>2026</v>
      </c>
      <c r="C3424" s="21">
        <v>46228</v>
      </c>
      <c r="D3424" t="s">
        <v>153</v>
      </c>
      <c r="E3424" t="s">
        <v>154</v>
      </c>
      <c r="F3424" t="s">
        <v>21</v>
      </c>
      <c r="G3424">
        <v>8</v>
      </c>
      <c r="H3424" t="s">
        <v>3378</v>
      </c>
      <c r="I3424" t="s">
        <v>214</v>
      </c>
      <c r="J3424" s="1" t="s">
        <v>215</v>
      </c>
      <c r="K3424" t="s">
        <v>181</v>
      </c>
      <c r="L3424" t="s">
        <v>3340</v>
      </c>
      <c r="M3424">
        <v>81</v>
      </c>
      <c r="N3424">
        <v>0.55000000000000004</v>
      </c>
      <c r="O3424" t="s">
        <v>211</v>
      </c>
      <c r="P3424">
        <v>30</v>
      </c>
      <c r="R3424" t="s">
        <v>3374</v>
      </c>
      <c r="T3424" t="s">
        <v>3337</v>
      </c>
      <c r="V3424" t="s">
        <v>4607</v>
      </c>
    </row>
    <row r="3425" spans="1:22" ht="12.75" customHeight="1" x14ac:dyDescent="0.15">
      <c r="A3425">
        <v>30</v>
      </c>
      <c r="B3425">
        <v>2026</v>
      </c>
      <c r="C3425" s="21">
        <v>46228</v>
      </c>
      <c r="D3425" t="s">
        <v>153</v>
      </c>
      <c r="E3425" t="s">
        <v>154</v>
      </c>
      <c r="F3425" t="s">
        <v>21</v>
      </c>
      <c r="G3425">
        <v>8</v>
      </c>
      <c r="H3425" t="s">
        <v>3378</v>
      </c>
      <c r="I3425" t="s">
        <v>214</v>
      </c>
      <c r="J3425" s="1" t="s">
        <v>215</v>
      </c>
      <c r="K3425" t="s">
        <v>181</v>
      </c>
      <c r="L3425" t="s">
        <v>3340</v>
      </c>
      <c r="M3425">
        <v>45</v>
      </c>
      <c r="N3425">
        <v>0.55000000000000004</v>
      </c>
      <c r="O3425" t="s">
        <v>211</v>
      </c>
      <c r="P3425">
        <v>30</v>
      </c>
      <c r="R3425" t="s">
        <v>3377</v>
      </c>
      <c r="T3425" t="s">
        <v>3337</v>
      </c>
      <c r="V3425" t="s">
        <v>4607</v>
      </c>
    </row>
    <row r="3426" spans="1:22" ht="12.75" customHeight="1" x14ac:dyDescent="0.15">
      <c r="A3426">
        <v>30</v>
      </c>
      <c r="B3426">
        <v>2026</v>
      </c>
      <c r="C3426" s="21">
        <v>46228</v>
      </c>
      <c r="D3426" t="s">
        <v>153</v>
      </c>
      <c r="E3426" t="s">
        <v>154</v>
      </c>
      <c r="F3426" t="s">
        <v>21</v>
      </c>
      <c r="G3426">
        <v>8</v>
      </c>
      <c r="H3426" t="s">
        <v>3378</v>
      </c>
      <c r="I3426" t="s">
        <v>214</v>
      </c>
      <c r="J3426" s="1" t="s">
        <v>215</v>
      </c>
      <c r="K3426" t="s">
        <v>181</v>
      </c>
      <c r="L3426" t="s">
        <v>3340</v>
      </c>
      <c r="M3426">
        <v>53</v>
      </c>
      <c r="N3426">
        <v>0.55000000000000004</v>
      </c>
      <c r="O3426" t="s">
        <v>211</v>
      </c>
      <c r="P3426">
        <v>30</v>
      </c>
      <c r="R3426" t="s">
        <v>3373</v>
      </c>
      <c r="T3426" t="s">
        <v>3337</v>
      </c>
      <c r="V3426" t="s">
        <v>4607</v>
      </c>
    </row>
    <row r="3427" spans="1:22" ht="12.75" customHeight="1" x14ac:dyDescent="0.15">
      <c r="A3427">
        <v>30</v>
      </c>
      <c r="B3427">
        <v>2026</v>
      </c>
      <c r="C3427" s="21">
        <v>46228</v>
      </c>
      <c r="D3427" t="s">
        <v>91</v>
      </c>
      <c r="E3427" t="s">
        <v>92</v>
      </c>
      <c r="F3427" t="s">
        <v>21</v>
      </c>
      <c r="G3427">
        <v>1.3</v>
      </c>
      <c r="H3427" t="s">
        <v>3378</v>
      </c>
      <c r="I3427" t="s">
        <v>214</v>
      </c>
      <c r="J3427" s="1" t="s">
        <v>215</v>
      </c>
      <c r="K3427" t="s">
        <v>181</v>
      </c>
      <c r="L3427" t="s">
        <v>3340</v>
      </c>
      <c r="M3427">
        <v>58</v>
      </c>
      <c r="N3427">
        <v>0.36</v>
      </c>
      <c r="O3427" t="s">
        <v>211</v>
      </c>
      <c r="P3427">
        <v>20</v>
      </c>
      <c r="R3427" t="s">
        <v>3343</v>
      </c>
      <c r="S3427" t="s">
        <v>4608</v>
      </c>
      <c r="T3427" t="s">
        <v>3337</v>
      </c>
      <c r="U3427">
        <v>98</v>
      </c>
      <c r="V3427" t="s">
        <v>4223</v>
      </c>
    </row>
    <row r="3428" spans="1:22" ht="12.75" customHeight="1" x14ac:dyDescent="0.15">
      <c r="A3428">
        <v>30</v>
      </c>
      <c r="B3428">
        <v>2026</v>
      </c>
      <c r="C3428" s="21">
        <v>46228</v>
      </c>
      <c r="D3428" t="s">
        <v>91</v>
      </c>
      <c r="E3428" t="s">
        <v>92</v>
      </c>
      <c r="F3428" t="s">
        <v>21</v>
      </c>
      <c r="G3428">
        <v>1.3</v>
      </c>
      <c r="H3428" t="s">
        <v>3378</v>
      </c>
      <c r="I3428" t="s">
        <v>214</v>
      </c>
      <c r="J3428" s="1" t="s">
        <v>215</v>
      </c>
      <c r="K3428" t="s">
        <v>181</v>
      </c>
      <c r="L3428" t="s">
        <v>3340</v>
      </c>
      <c r="M3428">
        <v>81</v>
      </c>
      <c r="N3428">
        <v>0.36</v>
      </c>
      <c r="O3428" t="s">
        <v>211</v>
      </c>
      <c r="P3428">
        <v>20</v>
      </c>
      <c r="R3428" t="s">
        <v>3374</v>
      </c>
      <c r="T3428" t="s">
        <v>3337</v>
      </c>
      <c r="U3428">
        <v>98</v>
      </c>
      <c r="V3428" t="s">
        <v>4223</v>
      </c>
    </row>
    <row r="3429" spans="1:22" ht="12.75" customHeight="1" x14ac:dyDescent="0.15">
      <c r="A3429">
        <v>30</v>
      </c>
      <c r="B3429">
        <v>2026</v>
      </c>
      <c r="C3429" s="21">
        <v>46228</v>
      </c>
      <c r="D3429" t="s">
        <v>91</v>
      </c>
      <c r="E3429" t="s">
        <v>92</v>
      </c>
      <c r="F3429" t="s">
        <v>21</v>
      </c>
      <c r="G3429">
        <v>1.3</v>
      </c>
      <c r="H3429" t="s">
        <v>3378</v>
      </c>
      <c r="I3429" t="s">
        <v>214</v>
      </c>
      <c r="J3429" s="1" t="s">
        <v>215</v>
      </c>
      <c r="K3429" t="s">
        <v>181</v>
      </c>
      <c r="L3429" t="s">
        <v>3340</v>
      </c>
      <c r="M3429">
        <v>45</v>
      </c>
      <c r="N3429">
        <v>0.36</v>
      </c>
      <c r="O3429" t="s">
        <v>211</v>
      </c>
      <c r="P3429">
        <v>20</v>
      </c>
      <c r="R3429" t="s">
        <v>3377</v>
      </c>
      <c r="T3429" t="s">
        <v>3337</v>
      </c>
      <c r="U3429">
        <v>98</v>
      </c>
      <c r="V3429" t="s">
        <v>4223</v>
      </c>
    </row>
    <row r="3430" spans="1:22" ht="12.75" customHeight="1" x14ac:dyDescent="0.15">
      <c r="A3430">
        <v>30</v>
      </c>
      <c r="B3430">
        <v>2026</v>
      </c>
      <c r="C3430" s="21">
        <v>46228</v>
      </c>
      <c r="D3430" t="s">
        <v>91</v>
      </c>
      <c r="E3430" t="s">
        <v>92</v>
      </c>
      <c r="F3430" t="s">
        <v>21</v>
      </c>
      <c r="G3430">
        <v>1.3</v>
      </c>
      <c r="H3430" t="s">
        <v>3378</v>
      </c>
      <c r="I3430" t="s">
        <v>214</v>
      </c>
      <c r="J3430" s="1" t="s">
        <v>215</v>
      </c>
      <c r="K3430" t="s">
        <v>181</v>
      </c>
      <c r="L3430" t="s">
        <v>3340</v>
      </c>
      <c r="M3430">
        <v>53</v>
      </c>
      <c r="N3430">
        <v>0.36</v>
      </c>
      <c r="O3430" t="s">
        <v>211</v>
      </c>
      <c r="P3430">
        <v>20</v>
      </c>
      <c r="R3430" t="s">
        <v>3373</v>
      </c>
      <c r="T3430" t="s">
        <v>3337</v>
      </c>
      <c r="U3430">
        <v>98</v>
      </c>
      <c r="V3430" t="s">
        <v>4223</v>
      </c>
    </row>
    <row r="3431" spans="1:22" ht="12.75" customHeight="1" x14ac:dyDescent="0.15">
      <c r="A3431">
        <v>30</v>
      </c>
      <c r="B3431">
        <v>2026</v>
      </c>
      <c r="C3431" s="21">
        <v>46228</v>
      </c>
      <c r="D3431" t="s">
        <v>141</v>
      </c>
      <c r="E3431" t="s">
        <v>142</v>
      </c>
      <c r="F3431" t="s">
        <v>75</v>
      </c>
      <c r="G3431">
        <v>1</v>
      </c>
      <c r="H3431" t="s">
        <v>3378</v>
      </c>
      <c r="I3431" t="s">
        <v>214</v>
      </c>
      <c r="J3431" s="1" t="s">
        <v>215</v>
      </c>
      <c r="K3431" t="s">
        <v>181</v>
      </c>
      <c r="L3431" t="s">
        <v>3340</v>
      </c>
      <c r="M3431">
        <v>58</v>
      </c>
      <c r="N3431">
        <v>0.18</v>
      </c>
      <c r="O3431" t="s">
        <v>211</v>
      </c>
      <c r="P3431">
        <v>10</v>
      </c>
      <c r="R3431" t="s">
        <v>3343</v>
      </c>
      <c r="S3431" t="s">
        <v>4609</v>
      </c>
      <c r="T3431" t="s">
        <v>3337</v>
      </c>
      <c r="U3431">
        <v>32</v>
      </c>
      <c r="V3431" t="s">
        <v>3711</v>
      </c>
    </row>
    <row r="3432" spans="1:22" ht="12.75" customHeight="1" x14ac:dyDescent="0.15">
      <c r="A3432">
        <v>30</v>
      </c>
      <c r="B3432">
        <v>2026</v>
      </c>
      <c r="C3432" s="21">
        <v>46228</v>
      </c>
      <c r="D3432" t="s">
        <v>141</v>
      </c>
      <c r="E3432" t="s">
        <v>142</v>
      </c>
      <c r="F3432" t="s">
        <v>75</v>
      </c>
      <c r="G3432">
        <v>1</v>
      </c>
      <c r="H3432" t="s">
        <v>3378</v>
      </c>
      <c r="I3432" t="s">
        <v>214</v>
      </c>
      <c r="J3432" s="1" t="s">
        <v>215</v>
      </c>
      <c r="K3432" t="s">
        <v>181</v>
      </c>
      <c r="L3432" t="s">
        <v>3340</v>
      </c>
      <c r="M3432">
        <v>81</v>
      </c>
      <c r="N3432">
        <v>0.18</v>
      </c>
      <c r="O3432" t="s">
        <v>211</v>
      </c>
      <c r="P3432">
        <v>10</v>
      </c>
      <c r="R3432" t="s">
        <v>3374</v>
      </c>
      <c r="T3432" t="s">
        <v>3337</v>
      </c>
      <c r="U3432">
        <v>32</v>
      </c>
      <c r="V3432" t="s">
        <v>3711</v>
      </c>
    </row>
    <row r="3433" spans="1:22" ht="12.75" customHeight="1" x14ac:dyDescent="0.15">
      <c r="A3433">
        <v>30</v>
      </c>
      <c r="B3433">
        <v>2026</v>
      </c>
      <c r="C3433" s="21">
        <v>46228</v>
      </c>
      <c r="D3433" t="s">
        <v>141</v>
      </c>
      <c r="E3433" t="s">
        <v>142</v>
      </c>
      <c r="F3433" t="s">
        <v>75</v>
      </c>
      <c r="G3433">
        <v>1</v>
      </c>
      <c r="H3433" t="s">
        <v>3378</v>
      </c>
      <c r="I3433" t="s">
        <v>214</v>
      </c>
      <c r="J3433" s="1" t="s">
        <v>215</v>
      </c>
      <c r="K3433" t="s">
        <v>181</v>
      </c>
      <c r="L3433" t="s">
        <v>3340</v>
      </c>
      <c r="M3433">
        <v>45</v>
      </c>
      <c r="N3433">
        <v>0.18</v>
      </c>
      <c r="O3433" t="s">
        <v>211</v>
      </c>
      <c r="P3433">
        <v>10</v>
      </c>
      <c r="R3433" t="s">
        <v>3377</v>
      </c>
      <c r="T3433" t="s">
        <v>3337</v>
      </c>
      <c r="U3433">
        <v>32</v>
      </c>
      <c r="V3433" t="s">
        <v>3711</v>
      </c>
    </row>
    <row r="3434" spans="1:22" ht="12.75" customHeight="1" x14ac:dyDescent="0.15">
      <c r="A3434">
        <v>30</v>
      </c>
      <c r="B3434">
        <v>2026</v>
      </c>
      <c r="C3434" s="21">
        <v>46228</v>
      </c>
      <c r="D3434" t="s">
        <v>141</v>
      </c>
      <c r="E3434" t="s">
        <v>142</v>
      </c>
      <c r="F3434" t="s">
        <v>75</v>
      </c>
      <c r="G3434">
        <v>1</v>
      </c>
      <c r="H3434" t="s">
        <v>3378</v>
      </c>
      <c r="I3434" t="s">
        <v>214</v>
      </c>
      <c r="J3434" s="1" t="s">
        <v>215</v>
      </c>
      <c r="K3434" t="s">
        <v>181</v>
      </c>
      <c r="L3434" t="s">
        <v>3340</v>
      </c>
      <c r="M3434">
        <v>53</v>
      </c>
      <c r="N3434">
        <v>0.18</v>
      </c>
      <c r="O3434" t="s">
        <v>211</v>
      </c>
      <c r="P3434">
        <v>10</v>
      </c>
      <c r="R3434" t="s">
        <v>3373</v>
      </c>
      <c r="T3434" t="s">
        <v>3337</v>
      </c>
      <c r="U3434">
        <v>32</v>
      </c>
      <c r="V3434" t="s">
        <v>3711</v>
      </c>
    </row>
    <row r="3435" spans="1:22" ht="12.75" customHeight="1" x14ac:dyDescent="0.15">
      <c r="A3435">
        <v>30</v>
      </c>
      <c r="B3435">
        <v>2026</v>
      </c>
      <c r="C3435" s="21">
        <v>46228</v>
      </c>
      <c r="D3435" t="s">
        <v>101</v>
      </c>
      <c r="E3435" t="s">
        <v>102</v>
      </c>
      <c r="F3435" t="s">
        <v>75</v>
      </c>
      <c r="G3435">
        <v>7.6</v>
      </c>
      <c r="H3435" t="s">
        <v>3400</v>
      </c>
      <c r="I3435" t="s">
        <v>353</v>
      </c>
      <c r="J3435" s="1" t="s">
        <v>253</v>
      </c>
      <c r="K3435" t="s">
        <v>181</v>
      </c>
      <c r="L3435" t="s">
        <v>3333</v>
      </c>
      <c r="M3435">
        <v>2</v>
      </c>
      <c r="N3435">
        <v>0.75</v>
      </c>
      <c r="O3435" t="s">
        <v>3440</v>
      </c>
      <c r="P3435">
        <v>67.87</v>
      </c>
      <c r="Q3435">
        <v>6</v>
      </c>
      <c r="R3435" t="s">
        <v>3424</v>
      </c>
      <c r="T3435" t="s">
        <v>3337</v>
      </c>
      <c r="U3435">
        <v>88</v>
      </c>
      <c r="V3435" t="s">
        <v>4257</v>
      </c>
    </row>
    <row r="3436" spans="1:22" ht="12.75" customHeight="1" x14ac:dyDescent="0.15">
      <c r="A3436">
        <v>30</v>
      </c>
      <c r="B3436">
        <v>2026</v>
      </c>
      <c r="C3436" s="21">
        <v>46228</v>
      </c>
      <c r="D3436" t="s">
        <v>101</v>
      </c>
      <c r="E3436" t="s">
        <v>102</v>
      </c>
      <c r="F3436" t="s">
        <v>75</v>
      </c>
      <c r="G3436">
        <v>7.6</v>
      </c>
      <c r="H3436" t="s">
        <v>3400</v>
      </c>
      <c r="I3436" t="s">
        <v>353</v>
      </c>
      <c r="J3436" s="1" t="s">
        <v>253</v>
      </c>
      <c r="K3436" t="s">
        <v>181</v>
      </c>
      <c r="L3436" t="s">
        <v>23</v>
      </c>
      <c r="M3436">
        <v>176</v>
      </c>
      <c r="P3436">
        <v>385</v>
      </c>
      <c r="R3436" t="s">
        <v>4361</v>
      </c>
      <c r="S3436" t="s">
        <v>4593</v>
      </c>
      <c r="T3436" t="s">
        <v>3337</v>
      </c>
      <c r="U3436">
        <v>88</v>
      </c>
      <c r="V3436" t="s">
        <v>4042</v>
      </c>
    </row>
    <row r="3437" spans="1:22" ht="12.75" customHeight="1" x14ac:dyDescent="0.15">
      <c r="A3437">
        <v>30</v>
      </c>
      <c r="B3437">
        <v>2026</v>
      </c>
      <c r="C3437" s="21">
        <v>46228</v>
      </c>
      <c r="D3437" t="s">
        <v>101</v>
      </c>
      <c r="E3437" t="s">
        <v>102</v>
      </c>
      <c r="F3437" t="s">
        <v>75</v>
      </c>
      <c r="G3437">
        <v>7.6</v>
      </c>
      <c r="H3437" t="s">
        <v>3400</v>
      </c>
      <c r="I3437" t="s">
        <v>353</v>
      </c>
      <c r="J3437" s="1" t="s">
        <v>253</v>
      </c>
      <c r="K3437" t="s">
        <v>181</v>
      </c>
      <c r="L3437" t="s">
        <v>3340</v>
      </c>
      <c r="M3437">
        <v>25</v>
      </c>
      <c r="N3437">
        <v>1</v>
      </c>
      <c r="O3437" t="s">
        <v>211</v>
      </c>
      <c r="P3437">
        <v>55</v>
      </c>
      <c r="R3437" t="s">
        <v>3413</v>
      </c>
      <c r="T3437" t="s">
        <v>3337</v>
      </c>
      <c r="U3437">
        <v>88</v>
      </c>
      <c r="V3437" t="s">
        <v>4088</v>
      </c>
    </row>
    <row r="3438" spans="1:22" ht="12.75" customHeight="1" x14ac:dyDescent="0.15">
      <c r="A3438">
        <v>30</v>
      </c>
      <c r="B3438">
        <v>2026</v>
      </c>
      <c r="C3438" s="21">
        <v>46228</v>
      </c>
      <c r="D3438" t="s">
        <v>91</v>
      </c>
      <c r="E3438" t="s">
        <v>92</v>
      </c>
      <c r="F3438" t="s">
        <v>21</v>
      </c>
      <c r="G3438">
        <v>1.3</v>
      </c>
      <c r="H3438" t="s">
        <v>3486</v>
      </c>
      <c r="I3438" t="s">
        <v>3487</v>
      </c>
      <c r="J3438" s="1" t="s">
        <v>215</v>
      </c>
      <c r="K3438" t="s">
        <v>181</v>
      </c>
      <c r="L3438" t="s">
        <v>3333</v>
      </c>
      <c r="M3438">
        <v>2</v>
      </c>
      <c r="N3438">
        <v>0.25</v>
      </c>
      <c r="O3438" t="s">
        <v>3440</v>
      </c>
      <c r="P3438">
        <v>22.62</v>
      </c>
      <c r="Q3438">
        <v>2</v>
      </c>
      <c r="R3438" t="s">
        <v>3424</v>
      </c>
      <c r="T3438" t="s">
        <v>3337</v>
      </c>
      <c r="U3438">
        <v>98</v>
      </c>
      <c r="V3438" t="s">
        <v>4610</v>
      </c>
    </row>
    <row r="3439" spans="1:22" ht="12.75" customHeight="1" x14ac:dyDescent="0.15">
      <c r="A3439">
        <v>30</v>
      </c>
      <c r="B3439">
        <v>2026</v>
      </c>
      <c r="C3439" s="21">
        <v>46228</v>
      </c>
      <c r="D3439" t="s">
        <v>141</v>
      </c>
      <c r="E3439" t="s">
        <v>142</v>
      </c>
      <c r="F3439" t="s">
        <v>75</v>
      </c>
      <c r="G3439">
        <v>1</v>
      </c>
      <c r="H3439" t="s">
        <v>3486</v>
      </c>
      <c r="I3439" t="s">
        <v>3487</v>
      </c>
      <c r="J3439" s="1" t="s">
        <v>215</v>
      </c>
      <c r="K3439" t="s">
        <v>181</v>
      </c>
      <c r="L3439" t="s">
        <v>3340</v>
      </c>
      <c r="M3439">
        <v>2</v>
      </c>
      <c r="N3439">
        <v>0.16</v>
      </c>
      <c r="O3439" t="s">
        <v>211</v>
      </c>
      <c r="P3439">
        <v>9</v>
      </c>
      <c r="Q3439">
        <v>1</v>
      </c>
      <c r="R3439" t="s">
        <v>3424</v>
      </c>
      <c r="T3439" t="s">
        <v>3337</v>
      </c>
      <c r="U3439">
        <v>32</v>
      </c>
      <c r="V3439" t="s">
        <v>3473</v>
      </c>
    </row>
    <row r="3440" spans="1:22" ht="12.75" customHeight="1" x14ac:dyDescent="0.15">
      <c r="A3440">
        <v>30</v>
      </c>
      <c r="B3440">
        <v>2026</v>
      </c>
      <c r="C3440" s="21">
        <v>46228</v>
      </c>
      <c r="D3440" t="s">
        <v>73</v>
      </c>
      <c r="E3440" t="s">
        <v>74</v>
      </c>
      <c r="F3440" t="s">
        <v>75</v>
      </c>
      <c r="G3440">
        <v>2.2999999999999998</v>
      </c>
      <c r="H3440" t="s">
        <v>3346</v>
      </c>
      <c r="I3440" t="s">
        <v>212</v>
      </c>
      <c r="J3440" s="1" t="s">
        <v>188</v>
      </c>
      <c r="K3440" t="s">
        <v>181</v>
      </c>
      <c r="L3440" t="s">
        <v>3333</v>
      </c>
      <c r="M3440">
        <v>1</v>
      </c>
      <c r="N3440">
        <v>1</v>
      </c>
      <c r="O3440" t="s">
        <v>3358</v>
      </c>
      <c r="P3440">
        <v>71.86</v>
      </c>
      <c r="Q3440">
        <v>8</v>
      </c>
      <c r="R3440" t="s">
        <v>3359</v>
      </c>
      <c r="T3440" t="s">
        <v>3337</v>
      </c>
      <c r="U3440">
        <v>98</v>
      </c>
      <c r="V3440" t="s">
        <v>3611</v>
      </c>
    </row>
    <row r="3441" spans="1:22" ht="12.75" customHeight="1" x14ac:dyDescent="0.15">
      <c r="A3441">
        <v>30</v>
      </c>
      <c r="B3441">
        <v>2026</v>
      </c>
      <c r="C3441" s="21">
        <v>46228</v>
      </c>
      <c r="D3441" t="s">
        <v>153</v>
      </c>
      <c r="E3441" t="s">
        <v>154</v>
      </c>
      <c r="F3441" t="s">
        <v>21</v>
      </c>
      <c r="G3441">
        <v>8</v>
      </c>
      <c r="H3441" t="s">
        <v>3346</v>
      </c>
      <c r="I3441" t="s">
        <v>212</v>
      </c>
      <c r="J3441" s="1" t="s">
        <v>188</v>
      </c>
      <c r="K3441" t="s">
        <v>181</v>
      </c>
      <c r="L3441" t="s">
        <v>3333</v>
      </c>
      <c r="M3441">
        <v>6</v>
      </c>
      <c r="N3441">
        <v>1</v>
      </c>
      <c r="O3441" t="s">
        <v>3334</v>
      </c>
      <c r="P3441">
        <v>81.58</v>
      </c>
      <c r="Q3441">
        <v>8</v>
      </c>
      <c r="R3441" t="s">
        <v>3335</v>
      </c>
      <c r="T3441" t="s">
        <v>3337</v>
      </c>
      <c r="V3441" t="s">
        <v>3472</v>
      </c>
    </row>
    <row r="3442" spans="1:22" ht="12.75" customHeight="1" x14ac:dyDescent="0.15">
      <c r="A3442">
        <v>30</v>
      </c>
      <c r="B3442">
        <v>2026</v>
      </c>
      <c r="C3442" s="21">
        <v>46228</v>
      </c>
      <c r="D3442" t="s">
        <v>3749</v>
      </c>
      <c r="E3442" t="s">
        <v>676</v>
      </c>
      <c r="F3442" t="s">
        <v>676</v>
      </c>
      <c r="G3442">
        <v>1</v>
      </c>
      <c r="H3442" t="s">
        <v>4425</v>
      </c>
      <c r="I3442" t="s">
        <v>3751</v>
      </c>
      <c r="J3442" s="1" t="s">
        <v>676</v>
      </c>
      <c r="K3442" t="s">
        <v>181</v>
      </c>
      <c r="L3442" t="s">
        <v>3333</v>
      </c>
      <c r="M3442">
        <v>4</v>
      </c>
      <c r="N3442">
        <v>0.63</v>
      </c>
      <c r="O3442" t="s">
        <v>3334</v>
      </c>
      <c r="P3442">
        <v>50.99</v>
      </c>
      <c r="Q3442">
        <v>5</v>
      </c>
      <c r="R3442" t="s">
        <v>3773</v>
      </c>
      <c r="S3442" t="s">
        <v>4611</v>
      </c>
      <c r="T3442" t="s">
        <v>3402</v>
      </c>
      <c r="U3442">
        <v>205</v>
      </c>
      <c r="V3442" t="s">
        <v>3574</v>
      </c>
    </row>
    <row r="3443" spans="1:22" ht="12.75" customHeight="1" x14ac:dyDescent="0.15">
      <c r="A3443">
        <v>30</v>
      </c>
      <c r="B3443">
        <v>2026</v>
      </c>
      <c r="C3443" s="21">
        <v>46228</v>
      </c>
      <c r="D3443" t="s">
        <v>3749</v>
      </c>
      <c r="E3443" t="s">
        <v>676</v>
      </c>
      <c r="F3443" t="s">
        <v>676</v>
      </c>
      <c r="G3443">
        <v>1</v>
      </c>
      <c r="H3443" t="s">
        <v>4425</v>
      </c>
      <c r="I3443" t="s">
        <v>3751</v>
      </c>
      <c r="J3443" s="1" t="s">
        <v>676</v>
      </c>
      <c r="K3443" t="s">
        <v>181</v>
      </c>
      <c r="L3443" t="s">
        <v>3333</v>
      </c>
      <c r="M3443">
        <v>67</v>
      </c>
      <c r="N3443">
        <v>0.63</v>
      </c>
      <c r="O3443" t="s">
        <v>3334</v>
      </c>
      <c r="P3443">
        <v>50.99</v>
      </c>
      <c r="Q3443">
        <v>5</v>
      </c>
      <c r="R3443" t="s">
        <v>3404</v>
      </c>
      <c r="S3443" t="s">
        <v>4612</v>
      </c>
      <c r="T3443" t="s">
        <v>3402</v>
      </c>
      <c r="U3443">
        <v>205</v>
      </c>
      <c r="V3443" t="s">
        <v>3574</v>
      </c>
    </row>
    <row r="3444" spans="1:22" ht="12.75" customHeight="1" x14ac:dyDescent="0.15">
      <c r="A3444">
        <v>30</v>
      </c>
      <c r="B3444">
        <v>2026</v>
      </c>
      <c r="C3444" s="21">
        <v>46228</v>
      </c>
      <c r="D3444" t="s">
        <v>3749</v>
      </c>
      <c r="E3444" t="s">
        <v>676</v>
      </c>
      <c r="F3444" t="s">
        <v>676</v>
      </c>
      <c r="G3444">
        <v>1</v>
      </c>
      <c r="H3444" t="s">
        <v>4425</v>
      </c>
      <c r="I3444" t="s">
        <v>3751</v>
      </c>
      <c r="J3444" s="1" t="s">
        <v>676</v>
      </c>
      <c r="K3444" t="s">
        <v>181</v>
      </c>
      <c r="L3444" t="s">
        <v>3340</v>
      </c>
      <c r="M3444">
        <v>78</v>
      </c>
      <c r="N3444">
        <v>1.36</v>
      </c>
      <c r="O3444" t="s">
        <v>211</v>
      </c>
      <c r="P3444">
        <v>75</v>
      </c>
      <c r="R3444" t="s">
        <v>3341</v>
      </c>
      <c r="S3444" t="s">
        <v>4613</v>
      </c>
      <c r="T3444" t="s">
        <v>3402</v>
      </c>
      <c r="U3444">
        <v>205</v>
      </c>
      <c r="V3444" t="s">
        <v>3568</v>
      </c>
    </row>
    <row r="3445" spans="1:22" ht="12.75" customHeight="1" x14ac:dyDescent="0.15">
      <c r="A3445">
        <v>30</v>
      </c>
      <c r="B3445">
        <v>2026</v>
      </c>
      <c r="C3445" s="21">
        <v>46228</v>
      </c>
      <c r="D3445" t="s">
        <v>3749</v>
      </c>
      <c r="E3445" s="8" t="s">
        <v>676</v>
      </c>
      <c r="F3445" t="s">
        <v>676</v>
      </c>
      <c r="G3445">
        <v>1</v>
      </c>
      <c r="H3445" t="s">
        <v>4425</v>
      </c>
      <c r="I3445" t="s">
        <v>3751</v>
      </c>
      <c r="J3445" s="1" t="s">
        <v>676</v>
      </c>
      <c r="K3445" t="s">
        <v>181</v>
      </c>
      <c r="L3445" t="s">
        <v>3340</v>
      </c>
      <c r="M3445">
        <v>67</v>
      </c>
      <c r="N3445">
        <v>1.93</v>
      </c>
      <c r="O3445" t="s">
        <v>211</v>
      </c>
      <c r="P3445">
        <v>106</v>
      </c>
      <c r="R3445" t="s">
        <v>3404</v>
      </c>
      <c r="S3445" t="s">
        <v>4614</v>
      </c>
      <c r="T3445" t="s">
        <v>3402</v>
      </c>
      <c r="U3445">
        <v>205</v>
      </c>
      <c r="V3445" t="s">
        <v>4615</v>
      </c>
    </row>
    <row r="3446" spans="1:22" ht="12.75" customHeight="1" x14ac:dyDescent="0.15">
      <c r="A3446">
        <v>30</v>
      </c>
      <c r="B3446">
        <v>2026</v>
      </c>
      <c r="C3446" s="21">
        <v>46228</v>
      </c>
      <c r="D3446" t="s">
        <v>3749</v>
      </c>
      <c r="E3446" s="8" t="s">
        <v>676</v>
      </c>
      <c r="F3446" t="s">
        <v>676</v>
      </c>
      <c r="G3446">
        <v>1</v>
      </c>
      <c r="H3446" t="s">
        <v>4425</v>
      </c>
      <c r="I3446" t="s">
        <v>3751</v>
      </c>
      <c r="J3446" s="1" t="s">
        <v>676</v>
      </c>
      <c r="K3446" t="s">
        <v>181</v>
      </c>
      <c r="L3446" t="s">
        <v>3340</v>
      </c>
      <c r="M3446">
        <v>4</v>
      </c>
      <c r="N3446">
        <v>0.44</v>
      </c>
      <c r="O3446" t="s">
        <v>211</v>
      </c>
      <c r="P3446">
        <v>24</v>
      </c>
      <c r="R3446" t="s">
        <v>3773</v>
      </c>
      <c r="T3446" t="s">
        <v>3402</v>
      </c>
      <c r="U3446">
        <v>205</v>
      </c>
      <c r="V3446" t="s">
        <v>4616</v>
      </c>
    </row>
    <row r="3447" spans="1:22" ht="12.75" customHeight="1" x14ac:dyDescent="0.15">
      <c r="A3447">
        <v>30</v>
      </c>
      <c r="B3447">
        <v>2026</v>
      </c>
      <c r="C3447" s="21">
        <v>46228</v>
      </c>
      <c r="D3447" t="s">
        <v>3749</v>
      </c>
      <c r="E3447" t="s">
        <v>676</v>
      </c>
      <c r="F3447" t="s">
        <v>676</v>
      </c>
      <c r="G3447">
        <v>1</v>
      </c>
      <c r="H3447" t="s">
        <v>4563</v>
      </c>
      <c r="I3447" t="s">
        <v>4446</v>
      </c>
      <c r="J3447" s="1" t="s">
        <v>676</v>
      </c>
      <c r="K3447" t="s">
        <v>181</v>
      </c>
      <c r="L3447" t="s">
        <v>3340</v>
      </c>
      <c r="M3447">
        <v>86</v>
      </c>
      <c r="N3447">
        <v>0.25</v>
      </c>
      <c r="O3447" t="s">
        <v>211</v>
      </c>
      <c r="P3447">
        <v>13.5</v>
      </c>
      <c r="Q3447">
        <v>1.5</v>
      </c>
      <c r="R3447" t="s">
        <v>3386</v>
      </c>
      <c r="T3447" t="s">
        <v>3402</v>
      </c>
      <c r="U3447">
        <v>205</v>
      </c>
      <c r="V3447" t="s">
        <v>3476</v>
      </c>
    </row>
    <row r="3448" spans="1:22" ht="12.75" customHeight="1" x14ac:dyDescent="0.15">
      <c r="A3448">
        <v>30</v>
      </c>
      <c r="B3448">
        <v>2026</v>
      </c>
      <c r="C3448" s="21">
        <v>46228</v>
      </c>
      <c r="D3448" t="s">
        <v>3749</v>
      </c>
      <c r="E3448" t="s">
        <v>676</v>
      </c>
      <c r="F3448" t="s">
        <v>676</v>
      </c>
      <c r="G3448">
        <v>1</v>
      </c>
      <c r="H3448" t="s">
        <v>4617</v>
      </c>
      <c r="I3448" t="s">
        <v>4439</v>
      </c>
      <c r="J3448" s="1" t="s">
        <v>4383</v>
      </c>
      <c r="K3448" t="s">
        <v>181</v>
      </c>
      <c r="L3448" t="s">
        <v>3333</v>
      </c>
      <c r="M3448">
        <v>86</v>
      </c>
      <c r="N3448">
        <v>1</v>
      </c>
      <c r="O3448" t="s">
        <v>3334</v>
      </c>
      <c r="P3448">
        <v>81.58</v>
      </c>
      <c r="Q3448">
        <v>8</v>
      </c>
      <c r="R3448" t="s">
        <v>3386</v>
      </c>
      <c r="T3448" t="s">
        <v>3402</v>
      </c>
      <c r="U3448">
        <v>205</v>
      </c>
      <c r="V3448" t="s">
        <v>3334</v>
      </c>
    </row>
    <row r="3449" spans="1:22" ht="12.75" customHeight="1" x14ac:dyDescent="0.15">
      <c r="A3449">
        <v>30</v>
      </c>
      <c r="B3449">
        <v>2026</v>
      </c>
      <c r="C3449" s="21">
        <v>46228</v>
      </c>
      <c r="D3449" t="s">
        <v>153</v>
      </c>
      <c r="E3449" t="s">
        <v>154</v>
      </c>
      <c r="F3449" t="s">
        <v>21</v>
      </c>
      <c r="G3449">
        <v>8</v>
      </c>
      <c r="H3449" t="s">
        <v>3466</v>
      </c>
      <c r="I3449" t="s">
        <v>3467</v>
      </c>
      <c r="J3449" s="1" t="s">
        <v>3468</v>
      </c>
      <c r="K3449" t="s">
        <v>181</v>
      </c>
      <c r="L3449" t="s">
        <v>3333</v>
      </c>
      <c r="M3449">
        <v>4</v>
      </c>
      <c r="N3449">
        <v>0.38</v>
      </c>
      <c r="O3449" t="s">
        <v>3334</v>
      </c>
      <c r="P3449">
        <v>30.59</v>
      </c>
      <c r="Q3449">
        <v>3</v>
      </c>
      <c r="R3449" t="s">
        <v>3773</v>
      </c>
      <c r="S3449" t="s">
        <v>4618</v>
      </c>
      <c r="T3449" t="s">
        <v>3402</v>
      </c>
      <c r="V3449" t="s">
        <v>3639</v>
      </c>
    </row>
    <row r="3450" spans="1:22" ht="12.75" customHeight="1" x14ac:dyDescent="0.15">
      <c r="A3450">
        <v>30</v>
      </c>
      <c r="B3450">
        <v>2026</v>
      </c>
      <c r="C3450" s="21">
        <v>46228</v>
      </c>
      <c r="D3450" t="s">
        <v>153</v>
      </c>
      <c r="E3450" t="s">
        <v>154</v>
      </c>
      <c r="F3450" t="s">
        <v>21</v>
      </c>
      <c r="G3450">
        <v>8</v>
      </c>
      <c r="H3450" t="s">
        <v>3466</v>
      </c>
      <c r="I3450" t="s">
        <v>3467</v>
      </c>
      <c r="J3450" s="1" t="s">
        <v>3468</v>
      </c>
      <c r="K3450" t="s">
        <v>181</v>
      </c>
      <c r="L3450" t="s">
        <v>3333</v>
      </c>
      <c r="M3450">
        <v>67</v>
      </c>
      <c r="N3450">
        <v>0.38</v>
      </c>
      <c r="O3450" t="s">
        <v>3334</v>
      </c>
      <c r="P3450">
        <v>30.59</v>
      </c>
      <c r="Q3450">
        <v>3</v>
      </c>
      <c r="R3450" t="s">
        <v>3404</v>
      </c>
      <c r="S3450" t="s">
        <v>4618</v>
      </c>
      <c r="T3450" t="s">
        <v>3402</v>
      </c>
      <c r="V3450" t="s">
        <v>3639</v>
      </c>
    </row>
    <row r="3451" spans="1:22" ht="12.75" customHeight="1" x14ac:dyDescent="0.15">
      <c r="A3451">
        <v>30</v>
      </c>
      <c r="B3451">
        <v>2026</v>
      </c>
      <c r="C3451" s="21">
        <v>46228</v>
      </c>
      <c r="D3451" t="s">
        <v>153</v>
      </c>
      <c r="E3451" t="s">
        <v>154</v>
      </c>
      <c r="F3451" t="s">
        <v>21</v>
      </c>
      <c r="G3451">
        <v>8</v>
      </c>
      <c r="H3451" t="s">
        <v>3466</v>
      </c>
      <c r="I3451" t="s">
        <v>3467</v>
      </c>
      <c r="J3451" s="1" t="s">
        <v>3468</v>
      </c>
      <c r="K3451" t="s">
        <v>181</v>
      </c>
      <c r="L3451" t="s">
        <v>3340</v>
      </c>
      <c r="M3451">
        <v>78</v>
      </c>
      <c r="N3451">
        <v>0.49</v>
      </c>
      <c r="O3451" t="s">
        <v>211</v>
      </c>
      <c r="P3451">
        <v>27</v>
      </c>
      <c r="Q3451">
        <v>3</v>
      </c>
      <c r="R3451" t="s">
        <v>3341</v>
      </c>
      <c r="S3451" t="s">
        <v>4618</v>
      </c>
      <c r="T3451" t="s">
        <v>3402</v>
      </c>
      <c r="V3451" t="s">
        <v>4619</v>
      </c>
    </row>
    <row r="3452" spans="1:22" ht="12.75" customHeight="1" x14ac:dyDescent="0.15">
      <c r="A3452">
        <v>30</v>
      </c>
      <c r="B3452">
        <v>2026</v>
      </c>
      <c r="C3452" s="21">
        <v>46228</v>
      </c>
      <c r="D3452" t="s">
        <v>153</v>
      </c>
      <c r="E3452" t="s">
        <v>154</v>
      </c>
      <c r="F3452" t="s">
        <v>21</v>
      </c>
      <c r="G3452">
        <v>8</v>
      </c>
      <c r="H3452" t="s">
        <v>3466</v>
      </c>
      <c r="I3452" t="s">
        <v>3467</v>
      </c>
      <c r="J3452" s="1" t="s">
        <v>3468</v>
      </c>
      <c r="K3452" t="s">
        <v>181</v>
      </c>
      <c r="L3452" t="s">
        <v>3340</v>
      </c>
      <c r="M3452">
        <v>67</v>
      </c>
      <c r="N3452">
        <v>0.49</v>
      </c>
      <c r="O3452" t="s">
        <v>211</v>
      </c>
      <c r="P3452">
        <v>27</v>
      </c>
      <c r="Q3452">
        <v>3</v>
      </c>
      <c r="R3452" t="s">
        <v>3404</v>
      </c>
      <c r="S3452" t="s">
        <v>4620</v>
      </c>
      <c r="T3452" t="s">
        <v>3402</v>
      </c>
      <c r="V3452" t="s">
        <v>4619</v>
      </c>
    </row>
    <row r="3453" spans="1:22" ht="12.75" customHeight="1" x14ac:dyDescent="0.15">
      <c r="A3453">
        <v>30</v>
      </c>
      <c r="B3453">
        <v>2026</v>
      </c>
      <c r="C3453" s="21">
        <v>46228</v>
      </c>
      <c r="D3453" t="s">
        <v>437</v>
      </c>
      <c r="E3453" t="s">
        <v>437</v>
      </c>
      <c r="F3453" t="s">
        <v>4435</v>
      </c>
      <c r="G3453">
        <v>1</v>
      </c>
      <c r="H3453" t="s">
        <v>4621</v>
      </c>
      <c r="I3453" t="s">
        <v>4303</v>
      </c>
      <c r="J3453" s="1" t="s">
        <v>4304</v>
      </c>
      <c r="K3453" t="s">
        <v>181</v>
      </c>
      <c r="L3453" t="s">
        <v>3333</v>
      </c>
      <c r="M3453">
        <v>7</v>
      </c>
      <c r="N3453">
        <v>1</v>
      </c>
      <c r="O3453" t="s">
        <v>4436</v>
      </c>
      <c r="P3453">
        <v>60.33</v>
      </c>
      <c r="Q3453">
        <v>8</v>
      </c>
      <c r="R3453" t="s">
        <v>4437</v>
      </c>
      <c r="T3453" t="s">
        <v>3402</v>
      </c>
      <c r="U3453">
        <v>205</v>
      </c>
      <c r="V3453" t="s">
        <v>4436</v>
      </c>
    </row>
    <row r="3454" spans="1:22" ht="12.75" customHeight="1" x14ac:dyDescent="0.15">
      <c r="A3454">
        <v>30</v>
      </c>
      <c r="B3454">
        <v>2026</v>
      </c>
      <c r="C3454" s="21">
        <v>46228</v>
      </c>
      <c r="D3454" t="s">
        <v>91</v>
      </c>
      <c r="E3454" t="s">
        <v>92</v>
      </c>
      <c r="F3454" t="s">
        <v>21</v>
      </c>
      <c r="G3454">
        <v>1.3</v>
      </c>
      <c r="H3454" t="s">
        <v>3845</v>
      </c>
      <c r="I3454" t="s">
        <v>380</v>
      </c>
      <c r="J3454" s="1" t="s">
        <v>3533</v>
      </c>
      <c r="K3454" t="s">
        <v>181</v>
      </c>
      <c r="L3454" t="s">
        <v>3340</v>
      </c>
      <c r="M3454">
        <v>4</v>
      </c>
      <c r="N3454">
        <v>0.41</v>
      </c>
      <c r="O3454" t="s">
        <v>211</v>
      </c>
      <c r="P3454">
        <v>22.5</v>
      </c>
      <c r="Q3454">
        <v>2.5</v>
      </c>
      <c r="R3454" t="s">
        <v>3773</v>
      </c>
      <c r="T3454" t="s">
        <v>3402</v>
      </c>
      <c r="U3454">
        <v>98</v>
      </c>
      <c r="V3454" t="s">
        <v>4622</v>
      </c>
    </row>
    <row r="3455" spans="1:22" ht="12.75" customHeight="1" x14ac:dyDescent="0.15">
      <c r="A3455">
        <v>30</v>
      </c>
      <c r="B3455">
        <v>2026</v>
      </c>
      <c r="C3455" s="21">
        <v>46228</v>
      </c>
      <c r="D3455" t="s">
        <v>91</v>
      </c>
      <c r="E3455" t="s">
        <v>92</v>
      </c>
      <c r="F3455" t="s">
        <v>21</v>
      </c>
      <c r="G3455">
        <v>1.3</v>
      </c>
      <c r="H3455" t="s">
        <v>3845</v>
      </c>
      <c r="I3455" t="s">
        <v>380</v>
      </c>
      <c r="J3455" s="1" t="s">
        <v>3533</v>
      </c>
      <c r="K3455" t="s">
        <v>181</v>
      </c>
      <c r="L3455" t="s">
        <v>3340</v>
      </c>
      <c r="M3455">
        <v>78</v>
      </c>
      <c r="N3455">
        <v>0.41</v>
      </c>
      <c r="O3455" t="s">
        <v>211</v>
      </c>
      <c r="P3455">
        <v>22.5</v>
      </c>
      <c r="Q3455">
        <v>2.5</v>
      </c>
      <c r="R3455" t="s">
        <v>3341</v>
      </c>
      <c r="T3455" t="s">
        <v>3402</v>
      </c>
      <c r="U3455">
        <v>98</v>
      </c>
      <c r="V3455" t="s">
        <v>4622</v>
      </c>
    </row>
    <row r="3456" spans="1:22" ht="12.75" customHeight="1" x14ac:dyDescent="0.15">
      <c r="A3456">
        <v>30</v>
      </c>
      <c r="B3456">
        <v>2026</v>
      </c>
      <c r="C3456" s="21">
        <v>46228</v>
      </c>
      <c r="D3456" t="s">
        <v>437</v>
      </c>
      <c r="E3456" t="s">
        <v>437</v>
      </c>
      <c r="F3456" t="s">
        <v>4435</v>
      </c>
      <c r="G3456">
        <v>1</v>
      </c>
      <c r="H3456" t="s">
        <v>4623</v>
      </c>
      <c r="I3456" s="8" t="s">
        <v>4624</v>
      </c>
      <c r="J3456" s="1" t="s">
        <v>4383</v>
      </c>
      <c r="K3456" t="s">
        <v>181</v>
      </c>
      <c r="L3456" t="s">
        <v>3340</v>
      </c>
      <c r="M3456">
        <v>67</v>
      </c>
      <c r="N3456">
        <v>0.33</v>
      </c>
      <c r="O3456" t="s">
        <v>211</v>
      </c>
      <c r="P3456">
        <v>18</v>
      </c>
      <c r="Q3456">
        <v>2</v>
      </c>
      <c r="R3456" t="s">
        <v>3404</v>
      </c>
      <c r="S3456" t="s">
        <v>4625</v>
      </c>
      <c r="T3456" t="s">
        <v>3402</v>
      </c>
      <c r="U3456">
        <v>205</v>
      </c>
      <c r="V3456" t="s">
        <v>260</v>
      </c>
    </row>
    <row r="3457" spans="1:22" ht="12.75" customHeight="1" x14ac:dyDescent="0.15">
      <c r="A3457">
        <v>30</v>
      </c>
      <c r="B3457">
        <v>2026</v>
      </c>
      <c r="C3457" s="21">
        <v>46229</v>
      </c>
      <c r="D3457" t="s">
        <v>3749</v>
      </c>
      <c r="E3457" t="s">
        <v>676</v>
      </c>
      <c r="F3457" t="s">
        <v>676</v>
      </c>
      <c r="G3457">
        <v>1</v>
      </c>
      <c r="H3457" t="s">
        <v>3945</v>
      </c>
      <c r="I3457" t="s">
        <v>3686</v>
      </c>
      <c r="J3457" s="1" t="s">
        <v>3437</v>
      </c>
      <c r="K3457" t="s">
        <v>181</v>
      </c>
      <c r="L3457" t="s">
        <v>3340</v>
      </c>
      <c r="M3457">
        <v>4</v>
      </c>
      <c r="N3457">
        <v>1.31</v>
      </c>
      <c r="O3457" t="s">
        <v>211</v>
      </c>
      <c r="P3457">
        <v>72</v>
      </c>
      <c r="Q3457">
        <v>8</v>
      </c>
      <c r="R3457" t="s">
        <v>3773</v>
      </c>
      <c r="T3457" t="s">
        <v>3402</v>
      </c>
      <c r="U3457">
        <v>206</v>
      </c>
      <c r="V3457" t="s">
        <v>193</v>
      </c>
    </row>
    <row r="3458" spans="1:22" ht="12.75" customHeight="1" x14ac:dyDescent="0.15">
      <c r="A3458">
        <v>30</v>
      </c>
      <c r="B3458">
        <v>2026</v>
      </c>
      <c r="C3458" s="21">
        <v>46230</v>
      </c>
      <c r="D3458" t="s">
        <v>141</v>
      </c>
      <c r="E3458" t="s">
        <v>142</v>
      </c>
      <c r="F3458" t="s">
        <v>75</v>
      </c>
      <c r="G3458">
        <v>1</v>
      </c>
      <c r="H3458" t="s">
        <v>3391</v>
      </c>
      <c r="I3458" t="s">
        <v>353</v>
      </c>
      <c r="J3458" s="1" t="s">
        <v>253</v>
      </c>
      <c r="K3458" t="s">
        <v>181</v>
      </c>
      <c r="L3458" t="s">
        <v>3340</v>
      </c>
      <c r="M3458">
        <v>58</v>
      </c>
      <c r="N3458">
        <v>0.65</v>
      </c>
      <c r="O3458" t="s">
        <v>211</v>
      </c>
      <c r="P3458">
        <v>36</v>
      </c>
      <c r="Q3458">
        <v>4</v>
      </c>
      <c r="R3458" t="s">
        <v>3343</v>
      </c>
      <c r="T3458" t="s">
        <v>3337</v>
      </c>
      <c r="U3458">
        <v>34</v>
      </c>
      <c r="V3458" t="s">
        <v>3507</v>
      </c>
    </row>
    <row r="3459" spans="1:22" ht="12.75" customHeight="1" x14ac:dyDescent="0.15">
      <c r="A3459">
        <v>30</v>
      </c>
      <c r="B3459">
        <v>2026</v>
      </c>
      <c r="C3459" s="21">
        <v>46230</v>
      </c>
      <c r="D3459" t="s">
        <v>141</v>
      </c>
      <c r="E3459" t="s">
        <v>142</v>
      </c>
      <c r="F3459" t="s">
        <v>75</v>
      </c>
      <c r="G3459">
        <v>1</v>
      </c>
      <c r="H3459" t="s">
        <v>3391</v>
      </c>
      <c r="I3459" t="s">
        <v>353</v>
      </c>
      <c r="J3459" s="1" t="s">
        <v>253</v>
      </c>
      <c r="K3459" t="s">
        <v>181</v>
      </c>
      <c r="L3459" t="s">
        <v>3340</v>
      </c>
      <c r="M3459">
        <v>62</v>
      </c>
      <c r="N3459">
        <v>0.65</v>
      </c>
      <c r="O3459" t="s">
        <v>211</v>
      </c>
      <c r="P3459">
        <v>36</v>
      </c>
      <c r="Q3459">
        <v>4</v>
      </c>
      <c r="R3459" t="s">
        <v>3375</v>
      </c>
      <c r="T3459" t="s">
        <v>3337</v>
      </c>
      <c r="U3459">
        <v>34</v>
      </c>
      <c r="V3459" t="s">
        <v>3507</v>
      </c>
    </row>
    <row r="3460" spans="1:22" ht="12.75" customHeight="1" x14ac:dyDescent="0.15">
      <c r="A3460">
        <v>30</v>
      </c>
      <c r="B3460">
        <v>2026</v>
      </c>
      <c r="C3460" s="21">
        <v>46230</v>
      </c>
      <c r="D3460" t="s">
        <v>141</v>
      </c>
      <c r="E3460" t="s">
        <v>142</v>
      </c>
      <c r="F3460" t="s">
        <v>75</v>
      </c>
      <c r="G3460">
        <v>1</v>
      </c>
      <c r="H3460" t="s">
        <v>3391</v>
      </c>
      <c r="I3460" t="s">
        <v>353</v>
      </c>
      <c r="J3460" s="1" t="s">
        <v>253</v>
      </c>
      <c r="K3460" t="s">
        <v>181</v>
      </c>
      <c r="L3460" t="s">
        <v>3340</v>
      </c>
      <c r="M3460">
        <v>45</v>
      </c>
      <c r="N3460">
        <v>0.65</v>
      </c>
      <c r="O3460" t="s">
        <v>211</v>
      </c>
      <c r="P3460">
        <v>36</v>
      </c>
      <c r="Q3460">
        <v>4</v>
      </c>
      <c r="R3460" t="s">
        <v>3377</v>
      </c>
      <c r="T3460" t="s">
        <v>3337</v>
      </c>
      <c r="U3460">
        <v>34</v>
      </c>
      <c r="V3460" t="s">
        <v>3507</v>
      </c>
    </row>
    <row r="3461" spans="1:22" ht="12.75" customHeight="1" x14ac:dyDescent="0.15">
      <c r="A3461">
        <v>30</v>
      </c>
      <c r="B3461">
        <v>2026</v>
      </c>
      <c r="C3461" s="21">
        <v>46230</v>
      </c>
      <c r="D3461" t="s">
        <v>141</v>
      </c>
      <c r="E3461" t="s">
        <v>142</v>
      </c>
      <c r="F3461" t="s">
        <v>75</v>
      </c>
      <c r="G3461">
        <v>1</v>
      </c>
      <c r="H3461" t="s">
        <v>3391</v>
      </c>
      <c r="I3461" t="s">
        <v>353</v>
      </c>
      <c r="J3461" s="1" t="s">
        <v>253</v>
      </c>
      <c r="K3461" t="s">
        <v>181</v>
      </c>
      <c r="L3461" t="s">
        <v>3340</v>
      </c>
      <c r="M3461">
        <v>53</v>
      </c>
      <c r="N3461">
        <v>0.65</v>
      </c>
      <c r="O3461" t="s">
        <v>211</v>
      </c>
      <c r="P3461">
        <v>36</v>
      </c>
      <c r="Q3461">
        <v>4</v>
      </c>
      <c r="R3461" t="s">
        <v>3373</v>
      </c>
      <c r="T3461" t="s">
        <v>3337</v>
      </c>
      <c r="U3461">
        <v>34</v>
      </c>
      <c r="V3461" t="s">
        <v>3507</v>
      </c>
    </row>
    <row r="3462" spans="1:22" ht="12.75" customHeight="1" x14ac:dyDescent="0.15">
      <c r="A3462">
        <v>30</v>
      </c>
      <c r="B3462">
        <v>2026</v>
      </c>
      <c r="C3462" s="21">
        <v>46230</v>
      </c>
      <c r="D3462" t="s">
        <v>53</v>
      </c>
      <c r="E3462" t="s">
        <v>54</v>
      </c>
      <c r="F3462" t="s">
        <v>21</v>
      </c>
      <c r="G3462">
        <v>2</v>
      </c>
      <c r="H3462" t="s">
        <v>3391</v>
      </c>
      <c r="I3462" t="s">
        <v>353</v>
      </c>
      <c r="J3462" s="1" t="s">
        <v>253</v>
      </c>
      <c r="K3462" t="s">
        <v>181</v>
      </c>
      <c r="L3462" t="s">
        <v>3340</v>
      </c>
      <c r="M3462">
        <v>58</v>
      </c>
      <c r="N3462">
        <v>0.25</v>
      </c>
      <c r="O3462" t="s">
        <v>211</v>
      </c>
      <c r="P3462">
        <v>13.5</v>
      </c>
      <c r="Q3462">
        <v>1.5</v>
      </c>
      <c r="R3462" t="s">
        <v>3343</v>
      </c>
      <c r="T3462" t="s">
        <v>3337</v>
      </c>
      <c r="U3462">
        <v>144</v>
      </c>
      <c r="V3462" t="s">
        <v>3818</v>
      </c>
    </row>
    <row r="3463" spans="1:22" ht="12.75" customHeight="1" x14ac:dyDescent="0.15">
      <c r="A3463">
        <v>30</v>
      </c>
      <c r="B3463">
        <v>2026</v>
      </c>
      <c r="C3463" s="21">
        <v>46230</v>
      </c>
      <c r="D3463" t="s">
        <v>53</v>
      </c>
      <c r="E3463" t="s">
        <v>54</v>
      </c>
      <c r="F3463" t="s">
        <v>21</v>
      </c>
      <c r="G3463">
        <v>2</v>
      </c>
      <c r="H3463" t="s">
        <v>3391</v>
      </c>
      <c r="I3463" t="s">
        <v>353</v>
      </c>
      <c r="J3463" s="1" t="s">
        <v>253</v>
      </c>
      <c r="K3463" t="s">
        <v>181</v>
      </c>
      <c r="L3463" t="s">
        <v>3340</v>
      </c>
      <c r="M3463">
        <v>62</v>
      </c>
      <c r="N3463">
        <v>0.25</v>
      </c>
      <c r="O3463" t="s">
        <v>211</v>
      </c>
      <c r="P3463">
        <v>13.5</v>
      </c>
      <c r="Q3463">
        <v>1.5</v>
      </c>
      <c r="R3463" t="s">
        <v>3375</v>
      </c>
      <c r="T3463" t="s">
        <v>3337</v>
      </c>
      <c r="U3463">
        <v>144</v>
      </c>
      <c r="V3463" t="s">
        <v>3818</v>
      </c>
    </row>
    <row r="3464" spans="1:22" ht="12.75" customHeight="1" x14ac:dyDescent="0.15">
      <c r="A3464">
        <v>30</v>
      </c>
      <c r="B3464">
        <v>2026</v>
      </c>
      <c r="C3464" s="21">
        <v>46230</v>
      </c>
      <c r="D3464" t="s">
        <v>53</v>
      </c>
      <c r="E3464" t="s">
        <v>54</v>
      </c>
      <c r="F3464" t="s">
        <v>21</v>
      </c>
      <c r="G3464">
        <v>2</v>
      </c>
      <c r="H3464" t="s">
        <v>3391</v>
      </c>
      <c r="I3464" t="s">
        <v>353</v>
      </c>
      <c r="J3464" s="1" t="s">
        <v>253</v>
      </c>
      <c r="K3464" t="s">
        <v>181</v>
      </c>
      <c r="L3464" t="s">
        <v>3340</v>
      </c>
      <c r="M3464">
        <v>45</v>
      </c>
      <c r="N3464">
        <v>0.25</v>
      </c>
      <c r="O3464" t="s">
        <v>211</v>
      </c>
      <c r="P3464">
        <v>13.5</v>
      </c>
      <c r="Q3464">
        <v>1.5</v>
      </c>
      <c r="R3464" t="s">
        <v>3377</v>
      </c>
      <c r="T3464" t="s">
        <v>3337</v>
      </c>
      <c r="U3464">
        <v>144</v>
      </c>
      <c r="V3464" t="s">
        <v>3818</v>
      </c>
    </row>
    <row r="3465" spans="1:22" ht="12.75" customHeight="1" x14ac:dyDescent="0.15">
      <c r="A3465">
        <v>30</v>
      </c>
      <c r="B3465">
        <v>2026</v>
      </c>
      <c r="C3465" s="21">
        <v>46230</v>
      </c>
      <c r="D3465" t="s">
        <v>53</v>
      </c>
      <c r="E3465" s="8" t="s">
        <v>54</v>
      </c>
      <c r="F3465" t="s">
        <v>21</v>
      </c>
      <c r="G3465">
        <v>2</v>
      </c>
      <c r="H3465" t="s">
        <v>3391</v>
      </c>
      <c r="I3465" t="s">
        <v>353</v>
      </c>
      <c r="J3465" s="1" t="s">
        <v>253</v>
      </c>
      <c r="K3465" t="s">
        <v>181</v>
      </c>
      <c r="L3465" t="s">
        <v>3340</v>
      </c>
      <c r="M3465">
        <v>53</v>
      </c>
      <c r="N3465">
        <v>0.25</v>
      </c>
      <c r="O3465" t="s">
        <v>211</v>
      </c>
      <c r="P3465">
        <v>13.5</v>
      </c>
      <c r="Q3465">
        <v>1.5</v>
      </c>
      <c r="R3465" t="s">
        <v>3373</v>
      </c>
      <c r="T3465" t="s">
        <v>3337</v>
      </c>
      <c r="U3465">
        <v>144</v>
      </c>
      <c r="V3465" t="s">
        <v>3818</v>
      </c>
    </row>
    <row r="3466" spans="1:22" ht="12.75" customHeight="1" x14ac:dyDescent="0.15">
      <c r="A3466">
        <v>30</v>
      </c>
      <c r="B3466">
        <v>2026</v>
      </c>
      <c r="C3466" s="21">
        <v>46230</v>
      </c>
      <c r="D3466" t="s">
        <v>107</v>
      </c>
      <c r="E3466" s="8" t="s">
        <v>108</v>
      </c>
      <c r="F3466" t="s">
        <v>21</v>
      </c>
      <c r="G3466">
        <v>4.5</v>
      </c>
      <c r="H3466" t="s">
        <v>4502</v>
      </c>
      <c r="I3466" t="s">
        <v>4379</v>
      </c>
      <c r="J3466" s="1" t="s">
        <v>215</v>
      </c>
      <c r="K3466" t="s">
        <v>181</v>
      </c>
      <c r="L3466" t="s">
        <v>3340</v>
      </c>
      <c r="M3466">
        <v>81</v>
      </c>
      <c r="N3466">
        <v>0.82</v>
      </c>
      <c r="O3466" t="s">
        <v>211</v>
      </c>
      <c r="P3466">
        <v>45</v>
      </c>
      <c r="Q3466">
        <v>5</v>
      </c>
      <c r="R3466" t="s">
        <v>3374</v>
      </c>
      <c r="T3466" t="s">
        <v>3337</v>
      </c>
      <c r="U3466">
        <v>73</v>
      </c>
      <c r="V3466" t="s">
        <v>3711</v>
      </c>
    </row>
    <row r="3467" spans="1:22" ht="12.75" customHeight="1" x14ac:dyDescent="0.15">
      <c r="A3467">
        <v>30</v>
      </c>
      <c r="B3467">
        <v>2026</v>
      </c>
      <c r="C3467" s="21">
        <v>46230</v>
      </c>
      <c r="D3467" t="s">
        <v>3749</v>
      </c>
      <c r="E3467" s="8" t="s">
        <v>676</v>
      </c>
      <c r="F3467" t="s">
        <v>676</v>
      </c>
      <c r="G3467">
        <v>1</v>
      </c>
      <c r="H3467" t="s">
        <v>3750</v>
      </c>
      <c r="I3467" t="s">
        <v>3751</v>
      </c>
      <c r="J3467" s="1" t="s">
        <v>676</v>
      </c>
      <c r="K3467" t="s">
        <v>181</v>
      </c>
      <c r="L3467" t="s">
        <v>3340</v>
      </c>
      <c r="M3467">
        <v>81</v>
      </c>
      <c r="N3467">
        <v>0.7</v>
      </c>
      <c r="O3467" t="s">
        <v>211</v>
      </c>
      <c r="P3467">
        <v>38.6</v>
      </c>
      <c r="R3467" t="s">
        <v>3374</v>
      </c>
      <c r="T3467" t="s">
        <v>3337</v>
      </c>
      <c r="U3467">
        <v>207</v>
      </c>
      <c r="V3467" t="s">
        <v>4626</v>
      </c>
    </row>
    <row r="3468" spans="1:22" ht="12.75" customHeight="1" x14ac:dyDescent="0.15">
      <c r="A3468">
        <v>30</v>
      </c>
      <c r="B3468">
        <v>2026</v>
      </c>
      <c r="C3468" s="21">
        <v>46230</v>
      </c>
      <c r="D3468" t="s">
        <v>3749</v>
      </c>
      <c r="E3468" s="8" t="s">
        <v>676</v>
      </c>
      <c r="F3468" t="s">
        <v>676</v>
      </c>
      <c r="G3468">
        <v>1</v>
      </c>
      <c r="H3468" t="s">
        <v>3750</v>
      </c>
      <c r="I3468" t="s">
        <v>3751</v>
      </c>
      <c r="J3468" s="1" t="s">
        <v>676</v>
      </c>
      <c r="K3468" t="s">
        <v>181</v>
      </c>
      <c r="L3468" t="s">
        <v>3340</v>
      </c>
      <c r="M3468">
        <v>58</v>
      </c>
      <c r="N3468">
        <v>0.7</v>
      </c>
      <c r="O3468" t="s">
        <v>211</v>
      </c>
      <c r="P3468">
        <v>38.6</v>
      </c>
      <c r="R3468" t="s">
        <v>3343</v>
      </c>
      <c r="T3468" t="s">
        <v>3337</v>
      </c>
      <c r="U3468">
        <v>207</v>
      </c>
      <c r="V3468" t="s">
        <v>4626</v>
      </c>
    </row>
    <row r="3469" spans="1:22" ht="12.75" customHeight="1" x14ac:dyDescent="0.15">
      <c r="A3469">
        <v>30</v>
      </c>
      <c r="B3469">
        <v>2026</v>
      </c>
      <c r="C3469" s="21">
        <v>46230</v>
      </c>
      <c r="D3469" t="s">
        <v>3749</v>
      </c>
      <c r="E3469" s="8" t="s">
        <v>676</v>
      </c>
      <c r="F3469" t="s">
        <v>676</v>
      </c>
      <c r="G3469">
        <v>1</v>
      </c>
      <c r="H3469" t="s">
        <v>3750</v>
      </c>
      <c r="I3469" t="s">
        <v>3751</v>
      </c>
      <c r="J3469" s="1" t="s">
        <v>676</v>
      </c>
      <c r="K3469" t="s">
        <v>181</v>
      </c>
      <c r="L3469" t="s">
        <v>3340</v>
      </c>
      <c r="M3469">
        <v>53</v>
      </c>
      <c r="N3469">
        <v>0.48</v>
      </c>
      <c r="O3469" t="s">
        <v>211</v>
      </c>
      <c r="P3469">
        <v>26.6</v>
      </c>
      <c r="R3469" t="s">
        <v>3373</v>
      </c>
      <c r="T3469" t="s">
        <v>3337</v>
      </c>
      <c r="U3469">
        <v>207</v>
      </c>
      <c r="V3469" t="s">
        <v>3900</v>
      </c>
    </row>
    <row r="3470" spans="1:22" ht="12.75" customHeight="1" x14ac:dyDescent="0.15">
      <c r="A3470">
        <v>30</v>
      </c>
      <c r="B3470">
        <v>2026</v>
      </c>
      <c r="C3470" s="21">
        <v>46230</v>
      </c>
      <c r="D3470" t="s">
        <v>3749</v>
      </c>
      <c r="E3470" t="s">
        <v>676</v>
      </c>
      <c r="F3470" t="s">
        <v>676</v>
      </c>
      <c r="G3470">
        <v>1</v>
      </c>
      <c r="H3470" t="s">
        <v>3750</v>
      </c>
      <c r="I3470" t="s">
        <v>3751</v>
      </c>
      <c r="J3470" s="1" t="s">
        <v>676</v>
      </c>
      <c r="K3470" t="s">
        <v>181</v>
      </c>
      <c r="L3470" t="s">
        <v>3340</v>
      </c>
      <c r="M3470">
        <v>62</v>
      </c>
      <c r="N3470">
        <v>0.23</v>
      </c>
      <c r="O3470" t="s">
        <v>211</v>
      </c>
      <c r="P3470">
        <v>12.6</v>
      </c>
      <c r="R3470" t="s">
        <v>3375</v>
      </c>
      <c r="T3470" t="s">
        <v>3337</v>
      </c>
      <c r="U3470">
        <v>207</v>
      </c>
      <c r="V3470" t="s">
        <v>4627</v>
      </c>
    </row>
    <row r="3471" spans="1:22" ht="12.75" customHeight="1" x14ac:dyDescent="0.15">
      <c r="A3471">
        <v>30</v>
      </c>
      <c r="B3471">
        <v>2026</v>
      </c>
      <c r="C3471" s="21">
        <v>46230</v>
      </c>
      <c r="D3471" t="s">
        <v>141</v>
      </c>
      <c r="E3471" t="s">
        <v>142</v>
      </c>
      <c r="F3471" t="s">
        <v>75</v>
      </c>
      <c r="G3471">
        <v>1</v>
      </c>
      <c r="H3471" t="s">
        <v>3400</v>
      </c>
      <c r="I3471" t="s">
        <v>353</v>
      </c>
      <c r="J3471" s="1" t="s">
        <v>253</v>
      </c>
      <c r="K3471" t="s">
        <v>181</v>
      </c>
      <c r="L3471" t="s">
        <v>3333</v>
      </c>
      <c r="M3471">
        <v>2</v>
      </c>
      <c r="N3471">
        <v>0.5</v>
      </c>
      <c r="O3471" t="s">
        <v>3440</v>
      </c>
      <c r="P3471">
        <v>45.25</v>
      </c>
      <c r="Q3471">
        <v>4</v>
      </c>
      <c r="R3471" t="s">
        <v>3424</v>
      </c>
      <c r="T3471" t="s">
        <v>3337</v>
      </c>
      <c r="U3471">
        <v>34</v>
      </c>
      <c r="V3471" t="s">
        <v>3976</v>
      </c>
    </row>
    <row r="3472" spans="1:22" ht="12.75" customHeight="1" x14ac:dyDescent="0.15">
      <c r="A3472">
        <v>30</v>
      </c>
      <c r="B3472">
        <v>2026</v>
      </c>
      <c r="C3472" s="21">
        <v>46230</v>
      </c>
      <c r="D3472" t="s">
        <v>141</v>
      </c>
      <c r="E3472" t="s">
        <v>142</v>
      </c>
      <c r="F3472" t="s">
        <v>75</v>
      </c>
      <c r="G3472">
        <v>1</v>
      </c>
      <c r="H3472" t="s">
        <v>3400</v>
      </c>
      <c r="I3472" t="s">
        <v>353</v>
      </c>
      <c r="J3472" s="1" t="s">
        <v>253</v>
      </c>
      <c r="K3472" t="s">
        <v>181</v>
      </c>
      <c r="L3472" t="s">
        <v>23</v>
      </c>
      <c r="M3472">
        <v>176</v>
      </c>
      <c r="P3472">
        <v>256.60000000000002</v>
      </c>
      <c r="R3472" t="s">
        <v>4361</v>
      </c>
      <c r="S3472" t="s">
        <v>4628</v>
      </c>
      <c r="T3472" t="s">
        <v>3337</v>
      </c>
      <c r="U3472">
        <v>34</v>
      </c>
      <c r="V3472" t="s">
        <v>4629</v>
      </c>
    </row>
    <row r="3473" spans="1:22" ht="12.75" customHeight="1" x14ac:dyDescent="0.15">
      <c r="A3473">
        <v>30</v>
      </c>
      <c r="B3473">
        <v>2026</v>
      </c>
      <c r="C3473" s="21">
        <v>46230</v>
      </c>
      <c r="D3473" t="s">
        <v>141</v>
      </c>
      <c r="E3473" t="s">
        <v>142</v>
      </c>
      <c r="F3473" t="s">
        <v>75</v>
      </c>
      <c r="G3473">
        <v>1</v>
      </c>
      <c r="H3473" t="s">
        <v>3400</v>
      </c>
      <c r="I3473" t="s">
        <v>353</v>
      </c>
      <c r="J3473" s="1" t="s">
        <v>253</v>
      </c>
      <c r="K3473" t="s">
        <v>181</v>
      </c>
      <c r="L3473" t="s">
        <v>3340</v>
      </c>
      <c r="M3473">
        <v>25</v>
      </c>
      <c r="N3473">
        <v>0.65</v>
      </c>
      <c r="O3473" t="s">
        <v>211</v>
      </c>
      <c r="P3473">
        <v>36</v>
      </c>
      <c r="Q3473">
        <v>4</v>
      </c>
      <c r="R3473" t="s">
        <v>3413</v>
      </c>
      <c r="T3473" t="s">
        <v>3337</v>
      </c>
      <c r="U3473">
        <v>34</v>
      </c>
      <c r="V3473" t="s">
        <v>3507</v>
      </c>
    </row>
    <row r="3474" spans="1:22" ht="12.75" customHeight="1" x14ac:dyDescent="0.15">
      <c r="A3474">
        <v>30</v>
      </c>
      <c r="B3474">
        <v>2026</v>
      </c>
      <c r="C3474" s="21">
        <v>46230</v>
      </c>
      <c r="D3474" t="s">
        <v>53</v>
      </c>
      <c r="E3474" t="s">
        <v>54</v>
      </c>
      <c r="F3474" t="s">
        <v>21</v>
      </c>
      <c r="G3474">
        <v>2</v>
      </c>
      <c r="H3474" t="s">
        <v>3400</v>
      </c>
      <c r="I3474" t="s">
        <v>353</v>
      </c>
      <c r="J3474" s="1" t="s">
        <v>253</v>
      </c>
      <c r="K3474" t="s">
        <v>181</v>
      </c>
      <c r="L3474" t="s">
        <v>3333</v>
      </c>
      <c r="M3474">
        <v>2</v>
      </c>
      <c r="N3474">
        <v>0.25</v>
      </c>
      <c r="O3474" t="s">
        <v>3440</v>
      </c>
      <c r="P3474">
        <v>22.62</v>
      </c>
      <c r="Q3474">
        <v>2</v>
      </c>
      <c r="R3474" t="s">
        <v>3424</v>
      </c>
      <c r="T3474" t="s">
        <v>3337</v>
      </c>
      <c r="U3474">
        <v>144</v>
      </c>
      <c r="V3474" t="s">
        <v>3775</v>
      </c>
    </row>
    <row r="3475" spans="1:22" ht="12.75" customHeight="1" x14ac:dyDescent="0.15">
      <c r="A3475">
        <v>30</v>
      </c>
      <c r="B3475">
        <v>2026</v>
      </c>
      <c r="C3475" s="21">
        <v>46230</v>
      </c>
      <c r="D3475" t="s">
        <v>53</v>
      </c>
      <c r="E3475" t="s">
        <v>54</v>
      </c>
      <c r="F3475" t="s">
        <v>21</v>
      </c>
      <c r="G3475">
        <v>2</v>
      </c>
      <c r="H3475" t="s">
        <v>3400</v>
      </c>
      <c r="I3475" t="s">
        <v>353</v>
      </c>
      <c r="J3475" s="1" t="s">
        <v>253</v>
      </c>
      <c r="K3475" t="s">
        <v>181</v>
      </c>
      <c r="L3475" t="s">
        <v>23</v>
      </c>
      <c r="M3475">
        <v>176</v>
      </c>
      <c r="P3475">
        <v>128.4</v>
      </c>
      <c r="R3475" t="s">
        <v>4361</v>
      </c>
      <c r="S3475" t="s">
        <v>4630</v>
      </c>
      <c r="T3475" t="s">
        <v>3337</v>
      </c>
      <c r="U3475">
        <v>144</v>
      </c>
      <c r="V3475" t="s">
        <v>4631</v>
      </c>
    </row>
    <row r="3476" spans="1:22" ht="12.75" customHeight="1" x14ac:dyDescent="0.15">
      <c r="A3476">
        <v>30</v>
      </c>
      <c r="B3476">
        <v>2026</v>
      </c>
      <c r="C3476" s="21">
        <v>46230</v>
      </c>
      <c r="D3476" t="s">
        <v>53</v>
      </c>
      <c r="E3476" t="s">
        <v>54</v>
      </c>
      <c r="F3476" t="s">
        <v>21</v>
      </c>
      <c r="G3476">
        <v>2</v>
      </c>
      <c r="H3476" t="s">
        <v>3400</v>
      </c>
      <c r="I3476" t="s">
        <v>353</v>
      </c>
      <c r="J3476" s="1" t="s">
        <v>253</v>
      </c>
      <c r="K3476" t="s">
        <v>181</v>
      </c>
      <c r="L3476" t="s">
        <v>3340</v>
      </c>
      <c r="M3476">
        <v>25</v>
      </c>
      <c r="N3476">
        <v>0.35</v>
      </c>
      <c r="O3476" t="s">
        <v>211</v>
      </c>
      <c r="P3476">
        <v>19</v>
      </c>
      <c r="Q3476">
        <v>2</v>
      </c>
      <c r="R3476" t="s">
        <v>3413</v>
      </c>
      <c r="T3476" t="s">
        <v>3337</v>
      </c>
      <c r="U3476">
        <v>144</v>
      </c>
      <c r="V3476" t="s">
        <v>4632</v>
      </c>
    </row>
    <row r="3477" spans="1:22" ht="12.75" customHeight="1" x14ac:dyDescent="0.15">
      <c r="A3477">
        <v>30</v>
      </c>
      <c r="B3477">
        <v>2026</v>
      </c>
      <c r="C3477" s="21">
        <v>46230</v>
      </c>
      <c r="D3477" t="s">
        <v>3749</v>
      </c>
      <c r="E3477" t="s">
        <v>676</v>
      </c>
      <c r="F3477" t="s">
        <v>676</v>
      </c>
      <c r="G3477">
        <v>1</v>
      </c>
      <c r="H3477" t="s">
        <v>3750</v>
      </c>
      <c r="I3477" t="s">
        <v>3751</v>
      </c>
      <c r="J3477" s="1" t="s">
        <v>676</v>
      </c>
      <c r="K3477" t="s">
        <v>181</v>
      </c>
      <c r="L3477" t="s">
        <v>3333</v>
      </c>
      <c r="M3477">
        <v>2</v>
      </c>
      <c r="N3477">
        <v>0.25</v>
      </c>
      <c r="O3477" t="s">
        <v>3440</v>
      </c>
      <c r="P3477">
        <v>22.62</v>
      </c>
      <c r="Q3477">
        <v>2</v>
      </c>
      <c r="R3477" t="s">
        <v>3424</v>
      </c>
      <c r="T3477" t="s">
        <v>3337</v>
      </c>
      <c r="U3477">
        <v>207</v>
      </c>
      <c r="V3477" t="s">
        <v>3630</v>
      </c>
    </row>
    <row r="3478" spans="1:22" ht="12.75" customHeight="1" x14ac:dyDescent="0.15">
      <c r="A3478">
        <v>30</v>
      </c>
      <c r="B3478">
        <v>2026</v>
      </c>
      <c r="C3478" s="21">
        <v>46230</v>
      </c>
      <c r="D3478" t="s">
        <v>3749</v>
      </c>
      <c r="E3478" t="s">
        <v>676</v>
      </c>
      <c r="F3478" t="s">
        <v>676</v>
      </c>
      <c r="G3478">
        <v>1</v>
      </c>
      <c r="H3478" t="s">
        <v>3750</v>
      </c>
      <c r="I3478" t="s">
        <v>3751</v>
      </c>
      <c r="J3478" s="1" t="s">
        <v>676</v>
      </c>
      <c r="K3478" t="s">
        <v>181</v>
      </c>
      <c r="L3478" t="s">
        <v>3340</v>
      </c>
      <c r="M3478">
        <v>2</v>
      </c>
      <c r="N3478">
        <v>7.0000000000000007E-2</v>
      </c>
      <c r="O3478" t="s">
        <v>211</v>
      </c>
      <c r="P3478">
        <v>3.98</v>
      </c>
      <c r="R3478" t="s">
        <v>3424</v>
      </c>
      <c r="T3478" t="s">
        <v>3337</v>
      </c>
      <c r="U3478">
        <v>207</v>
      </c>
      <c r="V3478" t="s">
        <v>3546</v>
      </c>
    </row>
    <row r="3479" spans="1:22" ht="12.75" customHeight="1" x14ac:dyDescent="0.15">
      <c r="A3479">
        <v>30</v>
      </c>
      <c r="B3479">
        <v>2026</v>
      </c>
      <c r="C3479" s="21">
        <v>46230</v>
      </c>
      <c r="D3479" t="s">
        <v>437</v>
      </c>
      <c r="E3479" t="s">
        <v>437</v>
      </c>
      <c r="F3479" t="s">
        <v>4435</v>
      </c>
      <c r="G3479">
        <v>2.2999999999999998</v>
      </c>
      <c r="H3479" t="s">
        <v>4623</v>
      </c>
      <c r="I3479" s="8" t="s">
        <v>4624</v>
      </c>
      <c r="J3479" s="1" t="s">
        <v>4383</v>
      </c>
      <c r="K3479" t="s">
        <v>181</v>
      </c>
      <c r="L3479" t="s">
        <v>3333</v>
      </c>
      <c r="M3479">
        <v>1</v>
      </c>
      <c r="N3479">
        <v>1</v>
      </c>
      <c r="O3479" t="s">
        <v>3358</v>
      </c>
      <c r="P3479">
        <v>71.86</v>
      </c>
      <c r="Q3479">
        <v>8</v>
      </c>
      <c r="R3479" t="s">
        <v>3359</v>
      </c>
      <c r="T3479" t="s">
        <v>3337</v>
      </c>
      <c r="U3479">
        <v>100</v>
      </c>
      <c r="V3479" t="s">
        <v>3611</v>
      </c>
    </row>
    <row r="3480" spans="1:22" ht="12.75" customHeight="1" x14ac:dyDescent="0.15">
      <c r="A3480">
        <v>30</v>
      </c>
      <c r="B3480">
        <v>2026</v>
      </c>
      <c r="C3480" s="21">
        <v>46230</v>
      </c>
      <c r="D3480" t="s">
        <v>153</v>
      </c>
      <c r="E3480" t="s">
        <v>154</v>
      </c>
      <c r="F3480" t="s">
        <v>21</v>
      </c>
      <c r="G3480">
        <v>8</v>
      </c>
      <c r="H3480" t="s">
        <v>3346</v>
      </c>
      <c r="I3480" t="s">
        <v>212</v>
      </c>
      <c r="J3480" s="1" t="s">
        <v>188</v>
      </c>
      <c r="K3480" t="s">
        <v>181</v>
      </c>
      <c r="L3480" t="s">
        <v>3333</v>
      </c>
      <c r="M3480">
        <v>6</v>
      </c>
      <c r="N3480">
        <v>1</v>
      </c>
      <c r="O3480" t="s">
        <v>3334</v>
      </c>
      <c r="P3480">
        <v>81.58</v>
      </c>
      <c r="Q3480">
        <v>8</v>
      </c>
      <c r="R3480" t="s">
        <v>3335</v>
      </c>
      <c r="T3480" t="s">
        <v>3337</v>
      </c>
      <c r="V3480" t="s">
        <v>3472</v>
      </c>
    </row>
    <row r="3481" spans="1:22" ht="12.75" customHeight="1" x14ac:dyDescent="0.15">
      <c r="A3481">
        <v>30</v>
      </c>
      <c r="B3481">
        <v>2026</v>
      </c>
      <c r="C3481" s="21">
        <v>46230</v>
      </c>
      <c r="D3481" t="s">
        <v>153</v>
      </c>
      <c r="E3481" t="s">
        <v>154</v>
      </c>
      <c r="F3481" t="s">
        <v>21</v>
      </c>
      <c r="G3481">
        <v>8</v>
      </c>
      <c r="H3481" t="s">
        <v>3346</v>
      </c>
      <c r="I3481" t="s">
        <v>212</v>
      </c>
      <c r="J3481" s="1" t="s">
        <v>188</v>
      </c>
      <c r="K3481" t="s">
        <v>181</v>
      </c>
      <c r="L3481" t="s">
        <v>3340</v>
      </c>
      <c r="M3481">
        <v>6</v>
      </c>
      <c r="N3481">
        <v>1.45</v>
      </c>
      <c r="O3481" t="s">
        <v>211</v>
      </c>
      <c r="P3481">
        <v>80</v>
      </c>
      <c r="R3481" t="s">
        <v>3335</v>
      </c>
      <c r="S3481" t="s">
        <v>4633</v>
      </c>
      <c r="T3481" t="s">
        <v>3337</v>
      </c>
      <c r="V3481" t="s">
        <v>3711</v>
      </c>
    </row>
    <row r="3482" spans="1:22" ht="12.75" customHeight="1" x14ac:dyDescent="0.15">
      <c r="A3482">
        <v>30</v>
      </c>
      <c r="B3482">
        <v>2026</v>
      </c>
      <c r="C3482" s="21">
        <v>46230</v>
      </c>
      <c r="D3482" t="s">
        <v>96</v>
      </c>
      <c r="E3482" t="s">
        <v>97</v>
      </c>
      <c r="F3482" t="s">
        <v>21</v>
      </c>
      <c r="G3482">
        <v>4.5</v>
      </c>
      <c r="H3482" t="s">
        <v>3803</v>
      </c>
      <c r="I3482" t="s">
        <v>3676</v>
      </c>
      <c r="J3482" s="1" t="s">
        <v>3533</v>
      </c>
      <c r="K3482" t="s">
        <v>181</v>
      </c>
      <c r="L3482" t="s">
        <v>3333</v>
      </c>
      <c r="M3482">
        <v>67</v>
      </c>
      <c r="N3482">
        <v>0.5</v>
      </c>
      <c r="O3482" t="s">
        <v>3334</v>
      </c>
      <c r="P3482">
        <v>40.79</v>
      </c>
      <c r="Q3482">
        <v>4</v>
      </c>
      <c r="R3482" t="s">
        <v>3404</v>
      </c>
      <c r="T3482" t="s">
        <v>3402</v>
      </c>
      <c r="U3482">
        <v>87</v>
      </c>
      <c r="V3482" t="s">
        <v>3870</v>
      </c>
    </row>
    <row r="3483" spans="1:22" ht="12.75" customHeight="1" x14ac:dyDescent="0.15">
      <c r="A3483">
        <v>30</v>
      </c>
      <c r="B3483">
        <v>2026</v>
      </c>
      <c r="C3483" s="21">
        <v>46230</v>
      </c>
      <c r="D3483" t="s">
        <v>96</v>
      </c>
      <c r="E3483" t="s">
        <v>97</v>
      </c>
      <c r="F3483" t="s">
        <v>21</v>
      </c>
      <c r="G3483">
        <v>4.5</v>
      </c>
      <c r="H3483" t="s">
        <v>3803</v>
      </c>
      <c r="I3483" t="s">
        <v>3676</v>
      </c>
      <c r="J3483" s="1" t="s">
        <v>3533</v>
      </c>
      <c r="K3483" t="s">
        <v>181</v>
      </c>
      <c r="L3483" t="s">
        <v>3333</v>
      </c>
      <c r="M3483">
        <v>4</v>
      </c>
      <c r="N3483">
        <v>0.38</v>
      </c>
      <c r="O3483" t="s">
        <v>3334</v>
      </c>
      <c r="P3483">
        <v>30.59</v>
      </c>
      <c r="Q3483">
        <v>3</v>
      </c>
      <c r="R3483" t="s">
        <v>3773</v>
      </c>
      <c r="T3483" t="s">
        <v>3402</v>
      </c>
      <c r="U3483">
        <v>87</v>
      </c>
      <c r="V3483" t="s">
        <v>3816</v>
      </c>
    </row>
    <row r="3484" spans="1:22" ht="12.75" customHeight="1" x14ac:dyDescent="0.15">
      <c r="A3484">
        <v>30</v>
      </c>
      <c r="B3484">
        <v>2026</v>
      </c>
      <c r="C3484" s="21">
        <v>46230</v>
      </c>
      <c r="D3484" t="s">
        <v>96</v>
      </c>
      <c r="E3484" s="8" t="s">
        <v>97</v>
      </c>
      <c r="F3484" t="s">
        <v>21</v>
      </c>
      <c r="G3484">
        <v>4.5</v>
      </c>
      <c r="H3484" t="s">
        <v>3803</v>
      </c>
      <c r="I3484" t="s">
        <v>3676</v>
      </c>
      <c r="J3484" s="1" t="s">
        <v>3533</v>
      </c>
      <c r="K3484" t="s">
        <v>181</v>
      </c>
      <c r="L3484" t="s">
        <v>3340</v>
      </c>
      <c r="M3484">
        <v>78</v>
      </c>
      <c r="N3484">
        <v>0.65</v>
      </c>
      <c r="O3484" t="s">
        <v>211</v>
      </c>
      <c r="P3484">
        <v>36</v>
      </c>
      <c r="Q3484">
        <v>4</v>
      </c>
      <c r="R3484" t="s">
        <v>3341</v>
      </c>
      <c r="T3484" t="s">
        <v>3402</v>
      </c>
      <c r="U3484">
        <v>87</v>
      </c>
      <c r="V3484" t="s">
        <v>183</v>
      </c>
    </row>
    <row r="3485" spans="1:22" ht="12.75" customHeight="1" x14ac:dyDescent="0.15">
      <c r="A3485">
        <v>30</v>
      </c>
      <c r="B3485">
        <v>2026</v>
      </c>
      <c r="C3485" s="21">
        <v>46230</v>
      </c>
      <c r="D3485" t="s">
        <v>19</v>
      </c>
      <c r="E3485" t="s">
        <v>20</v>
      </c>
      <c r="F3485" t="s">
        <v>21</v>
      </c>
      <c r="G3485">
        <v>3.8</v>
      </c>
      <c r="H3485" t="s">
        <v>3945</v>
      </c>
      <c r="I3485" t="s">
        <v>3686</v>
      </c>
      <c r="J3485" s="1" t="s">
        <v>3437</v>
      </c>
      <c r="K3485" t="s">
        <v>181</v>
      </c>
      <c r="L3485" t="s">
        <v>3333</v>
      </c>
      <c r="M3485">
        <v>4</v>
      </c>
      <c r="N3485">
        <v>0.13</v>
      </c>
      <c r="O3485" t="s">
        <v>3334</v>
      </c>
      <c r="P3485">
        <v>10.199999999999999</v>
      </c>
      <c r="Q3485">
        <v>1</v>
      </c>
      <c r="R3485" t="s">
        <v>3773</v>
      </c>
      <c r="T3485" t="s">
        <v>3402</v>
      </c>
      <c r="U3485">
        <v>230</v>
      </c>
      <c r="V3485" t="s">
        <v>3441</v>
      </c>
    </row>
    <row r="3486" spans="1:22" ht="12.75" customHeight="1" x14ac:dyDescent="0.15">
      <c r="A3486">
        <v>30</v>
      </c>
      <c r="B3486">
        <v>2026</v>
      </c>
      <c r="C3486" s="21">
        <v>46230</v>
      </c>
      <c r="D3486" t="s">
        <v>68</v>
      </c>
      <c r="E3486" t="s">
        <v>69</v>
      </c>
      <c r="F3486" t="s">
        <v>21</v>
      </c>
      <c r="G3486">
        <v>1</v>
      </c>
      <c r="H3486" t="s">
        <v>3803</v>
      </c>
      <c r="I3486" t="s">
        <v>3676</v>
      </c>
      <c r="J3486" s="1" t="s">
        <v>3533</v>
      </c>
      <c r="K3486" t="s">
        <v>181</v>
      </c>
      <c r="L3486" t="s">
        <v>3333</v>
      </c>
      <c r="M3486">
        <v>67</v>
      </c>
      <c r="N3486">
        <v>0.19</v>
      </c>
      <c r="O3486" t="s">
        <v>3334</v>
      </c>
      <c r="P3486">
        <v>15.3</v>
      </c>
      <c r="Q3486">
        <v>1.5</v>
      </c>
      <c r="R3486" t="s">
        <v>3404</v>
      </c>
      <c r="T3486" t="s">
        <v>3402</v>
      </c>
      <c r="U3486">
        <v>116</v>
      </c>
      <c r="V3486" t="s">
        <v>3475</v>
      </c>
    </row>
    <row r="3487" spans="1:22" ht="12.75" customHeight="1" x14ac:dyDescent="0.15">
      <c r="A3487">
        <v>30</v>
      </c>
      <c r="B3487">
        <v>2026</v>
      </c>
      <c r="C3487" s="21">
        <v>46230</v>
      </c>
      <c r="D3487" t="s">
        <v>68</v>
      </c>
      <c r="E3487" t="s">
        <v>69</v>
      </c>
      <c r="F3487" t="s">
        <v>21</v>
      </c>
      <c r="G3487">
        <v>1</v>
      </c>
      <c r="H3487" t="s">
        <v>3803</v>
      </c>
      <c r="I3487" t="s">
        <v>3676</v>
      </c>
      <c r="J3487" s="1" t="s">
        <v>3533</v>
      </c>
      <c r="K3487" t="s">
        <v>181</v>
      </c>
      <c r="L3487" t="s">
        <v>3333</v>
      </c>
      <c r="M3487">
        <v>4</v>
      </c>
      <c r="N3487">
        <v>0.19</v>
      </c>
      <c r="O3487" t="s">
        <v>3334</v>
      </c>
      <c r="P3487">
        <v>15.3</v>
      </c>
      <c r="Q3487">
        <v>1.5</v>
      </c>
      <c r="R3487" t="s">
        <v>3773</v>
      </c>
      <c r="T3487" t="s">
        <v>3402</v>
      </c>
      <c r="U3487">
        <v>116</v>
      </c>
      <c r="V3487" t="s">
        <v>3475</v>
      </c>
    </row>
    <row r="3488" spans="1:22" ht="12.75" customHeight="1" x14ac:dyDescent="0.15">
      <c r="A3488">
        <v>30</v>
      </c>
      <c r="B3488">
        <v>2026</v>
      </c>
      <c r="C3488" s="21">
        <v>46230</v>
      </c>
      <c r="D3488" t="s">
        <v>68</v>
      </c>
      <c r="E3488" t="s">
        <v>69</v>
      </c>
      <c r="F3488" t="s">
        <v>21</v>
      </c>
      <c r="G3488">
        <v>1</v>
      </c>
      <c r="H3488" t="s">
        <v>3803</v>
      </c>
      <c r="I3488" t="s">
        <v>3676</v>
      </c>
      <c r="J3488" s="1" t="s">
        <v>3533</v>
      </c>
      <c r="K3488" t="s">
        <v>181</v>
      </c>
      <c r="L3488" t="s">
        <v>3340</v>
      </c>
      <c r="M3488">
        <v>78</v>
      </c>
      <c r="N3488">
        <v>0.25</v>
      </c>
      <c r="O3488" t="s">
        <v>211</v>
      </c>
      <c r="P3488">
        <v>13.5</v>
      </c>
      <c r="Q3488">
        <v>1.5</v>
      </c>
      <c r="R3488" t="s">
        <v>3341</v>
      </c>
      <c r="T3488" t="s">
        <v>3402</v>
      </c>
      <c r="U3488">
        <v>116</v>
      </c>
      <c r="V3488" t="s">
        <v>3476</v>
      </c>
    </row>
    <row r="3489" spans="1:22" ht="12.75" customHeight="1" x14ac:dyDescent="0.15">
      <c r="A3489">
        <v>30</v>
      </c>
      <c r="B3489">
        <v>2026</v>
      </c>
      <c r="C3489" s="21">
        <v>46230</v>
      </c>
      <c r="D3489" t="s">
        <v>3749</v>
      </c>
      <c r="E3489" t="s">
        <v>676</v>
      </c>
      <c r="F3489" t="s">
        <v>676</v>
      </c>
      <c r="G3489">
        <v>1</v>
      </c>
      <c r="H3489" t="s">
        <v>3750</v>
      </c>
      <c r="I3489" t="s">
        <v>3751</v>
      </c>
      <c r="J3489" s="1" t="s">
        <v>676</v>
      </c>
      <c r="K3489" t="s">
        <v>181</v>
      </c>
      <c r="L3489" t="s">
        <v>3333</v>
      </c>
      <c r="M3489">
        <v>67</v>
      </c>
      <c r="N3489">
        <v>0.31</v>
      </c>
      <c r="O3489" t="s">
        <v>3334</v>
      </c>
      <c r="P3489">
        <v>25.49</v>
      </c>
      <c r="Q3489">
        <v>2.5</v>
      </c>
      <c r="R3489" t="s">
        <v>3404</v>
      </c>
      <c r="S3489" t="s">
        <v>4634</v>
      </c>
      <c r="T3489" t="s">
        <v>3402</v>
      </c>
      <c r="U3489">
        <v>207</v>
      </c>
      <c r="V3489" t="s">
        <v>3500</v>
      </c>
    </row>
    <row r="3490" spans="1:22" ht="12.75" customHeight="1" x14ac:dyDescent="0.15">
      <c r="A3490">
        <v>30</v>
      </c>
      <c r="B3490">
        <v>2026</v>
      </c>
      <c r="C3490" s="21">
        <v>46230</v>
      </c>
      <c r="D3490" t="s">
        <v>3749</v>
      </c>
      <c r="E3490" t="s">
        <v>676</v>
      </c>
      <c r="F3490" t="s">
        <v>676</v>
      </c>
      <c r="G3490">
        <v>1</v>
      </c>
      <c r="H3490" t="s">
        <v>3750</v>
      </c>
      <c r="I3490" t="s">
        <v>3751</v>
      </c>
      <c r="J3490" s="1" t="s">
        <v>676</v>
      </c>
      <c r="K3490" t="s">
        <v>181</v>
      </c>
      <c r="L3490" t="s">
        <v>3333</v>
      </c>
      <c r="M3490">
        <v>4</v>
      </c>
      <c r="N3490">
        <v>0.31</v>
      </c>
      <c r="O3490" t="s">
        <v>3334</v>
      </c>
      <c r="P3490">
        <v>25.49</v>
      </c>
      <c r="Q3490">
        <v>2.5</v>
      </c>
      <c r="R3490" t="s">
        <v>3773</v>
      </c>
      <c r="S3490" t="s">
        <v>4635</v>
      </c>
      <c r="T3490" t="s">
        <v>3402</v>
      </c>
      <c r="U3490">
        <v>207</v>
      </c>
      <c r="V3490" t="s">
        <v>3500</v>
      </c>
    </row>
    <row r="3491" spans="1:22" ht="12.75" customHeight="1" x14ac:dyDescent="0.15">
      <c r="A3491">
        <v>30</v>
      </c>
      <c r="B3491">
        <v>2026</v>
      </c>
      <c r="C3491" s="21">
        <v>46230</v>
      </c>
      <c r="D3491" t="s">
        <v>3749</v>
      </c>
      <c r="E3491" s="8" t="s">
        <v>676</v>
      </c>
      <c r="F3491" t="s">
        <v>676</v>
      </c>
      <c r="G3491">
        <v>1</v>
      </c>
      <c r="H3491" t="s">
        <v>3750</v>
      </c>
      <c r="I3491" t="s">
        <v>3751</v>
      </c>
      <c r="J3491" s="1" t="s">
        <v>676</v>
      </c>
      <c r="K3491" t="s">
        <v>181</v>
      </c>
      <c r="L3491" t="s">
        <v>3340</v>
      </c>
      <c r="M3491">
        <v>78</v>
      </c>
      <c r="N3491">
        <v>0.7</v>
      </c>
      <c r="O3491" t="s">
        <v>211</v>
      </c>
      <c r="P3491">
        <v>38.6</v>
      </c>
      <c r="R3491" t="s">
        <v>3341</v>
      </c>
      <c r="S3491" t="s">
        <v>4636</v>
      </c>
      <c r="T3491" t="s">
        <v>3402</v>
      </c>
      <c r="U3491">
        <v>207</v>
      </c>
      <c r="V3491" t="s">
        <v>4626</v>
      </c>
    </row>
    <row r="3492" spans="1:22" ht="12.75" customHeight="1" x14ac:dyDescent="0.15">
      <c r="A3492">
        <v>30</v>
      </c>
      <c r="B3492">
        <v>2026</v>
      </c>
      <c r="C3492" s="21">
        <v>46230</v>
      </c>
      <c r="D3492" t="s">
        <v>3749</v>
      </c>
      <c r="E3492" t="s">
        <v>676</v>
      </c>
      <c r="F3492" t="s">
        <v>676</v>
      </c>
      <c r="G3492">
        <v>1</v>
      </c>
      <c r="H3492" t="s">
        <v>3750</v>
      </c>
      <c r="I3492" t="s">
        <v>3751</v>
      </c>
      <c r="J3492" s="1" t="s">
        <v>676</v>
      </c>
      <c r="K3492" t="s">
        <v>181</v>
      </c>
      <c r="L3492" t="s">
        <v>3340</v>
      </c>
      <c r="M3492">
        <v>67</v>
      </c>
      <c r="N3492">
        <v>0.35</v>
      </c>
      <c r="O3492" t="s">
        <v>211</v>
      </c>
      <c r="P3492">
        <v>19</v>
      </c>
      <c r="R3492" t="s">
        <v>3404</v>
      </c>
      <c r="S3492" t="s">
        <v>4637</v>
      </c>
      <c r="T3492" t="s">
        <v>3402</v>
      </c>
      <c r="U3492">
        <v>207</v>
      </c>
      <c r="V3492" t="s">
        <v>4638</v>
      </c>
    </row>
    <row r="3493" spans="1:22" ht="12.75" customHeight="1" x14ac:dyDescent="0.15">
      <c r="A3493">
        <v>30</v>
      </c>
      <c r="B3493">
        <v>2026</v>
      </c>
      <c r="C3493" s="21">
        <v>46230</v>
      </c>
      <c r="D3493" t="s">
        <v>3749</v>
      </c>
      <c r="E3493" t="s">
        <v>676</v>
      </c>
      <c r="F3493" t="s">
        <v>676</v>
      </c>
      <c r="G3493">
        <v>1</v>
      </c>
      <c r="H3493" t="s">
        <v>3750</v>
      </c>
      <c r="I3493" t="s">
        <v>3751</v>
      </c>
      <c r="J3493" s="1" t="s">
        <v>676</v>
      </c>
      <c r="K3493" t="s">
        <v>181</v>
      </c>
      <c r="L3493" t="s">
        <v>3340</v>
      </c>
      <c r="M3493">
        <v>4</v>
      </c>
      <c r="N3493">
        <v>0.24</v>
      </c>
      <c r="O3493" t="s">
        <v>211</v>
      </c>
      <c r="P3493">
        <v>13</v>
      </c>
      <c r="R3493" t="s">
        <v>3773</v>
      </c>
      <c r="T3493" t="s">
        <v>3402</v>
      </c>
      <c r="U3493">
        <v>207</v>
      </c>
      <c r="V3493" t="s">
        <v>4639</v>
      </c>
    </row>
    <row r="3494" spans="1:22" ht="12.75" customHeight="1" x14ac:dyDescent="0.15">
      <c r="A3494">
        <v>30</v>
      </c>
      <c r="B3494">
        <v>2026</v>
      </c>
      <c r="C3494" s="21">
        <v>46230</v>
      </c>
      <c r="D3494" t="s">
        <v>107</v>
      </c>
      <c r="E3494" t="s">
        <v>108</v>
      </c>
      <c r="F3494" t="s">
        <v>21</v>
      </c>
      <c r="G3494">
        <v>4.5</v>
      </c>
      <c r="H3494" t="s">
        <v>4378</v>
      </c>
      <c r="I3494" t="s">
        <v>4379</v>
      </c>
      <c r="J3494" s="1" t="s">
        <v>215</v>
      </c>
      <c r="K3494" t="s">
        <v>181</v>
      </c>
      <c r="L3494" t="s">
        <v>3333</v>
      </c>
      <c r="M3494">
        <v>80</v>
      </c>
      <c r="N3494">
        <v>0.63</v>
      </c>
      <c r="O3494" t="s">
        <v>213</v>
      </c>
      <c r="P3494">
        <v>56.25</v>
      </c>
      <c r="Q3494">
        <v>5</v>
      </c>
      <c r="R3494" t="s">
        <v>3560</v>
      </c>
      <c r="T3494" t="s">
        <v>3402</v>
      </c>
      <c r="U3494">
        <v>73</v>
      </c>
      <c r="V3494" t="s">
        <v>3610</v>
      </c>
    </row>
    <row r="3495" spans="1:22" ht="12.75" customHeight="1" x14ac:dyDescent="0.15">
      <c r="A3495">
        <v>30</v>
      </c>
      <c r="B3495">
        <v>2026</v>
      </c>
      <c r="C3495" s="21">
        <v>46230</v>
      </c>
      <c r="D3495" t="s">
        <v>107</v>
      </c>
      <c r="E3495" t="s">
        <v>108</v>
      </c>
      <c r="F3495" t="s">
        <v>21</v>
      </c>
      <c r="G3495">
        <v>4.5</v>
      </c>
      <c r="H3495" t="s">
        <v>4381</v>
      </c>
      <c r="I3495" t="s">
        <v>4382</v>
      </c>
      <c r="J3495" s="1" t="s">
        <v>4383</v>
      </c>
      <c r="K3495" t="s">
        <v>2666</v>
      </c>
      <c r="L3495" t="s">
        <v>3587</v>
      </c>
      <c r="P3495">
        <v>41</v>
      </c>
      <c r="T3495" t="s">
        <v>3402</v>
      </c>
      <c r="U3495">
        <v>73</v>
      </c>
      <c r="V3495" t="s">
        <v>4640</v>
      </c>
    </row>
    <row r="3496" spans="1:22" ht="12.75" customHeight="1" x14ac:dyDescent="0.15">
      <c r="A3496">
        <v>30</v>
      </c>
      <c r="B3496">
        <v>2026</v>
      </c>
      <c r="C3496" s="21">
        <v>46230</v>
      </c>
      <c r="D3496" t="s">
        <v>437</v>
      </c>
      <c r="E3496" t="s">
        <v>437</v>
      </c>
      <c r="F3496" t="s">
        <v>4435</v>
      </c>
      <c r="G3496">
        <v>1</v>
      </c>
      <c r="H3496" t="s">
        <v>4302</v>
      </c>
      <c r="I3496" t="s">
        <v>4303</v>
      </c>
      <c r="J3496" s="1" t="s">
        <v>4304</v>
      </c>
      <c r="K3496" t="s">
        <v>181</v>
      </c>
      <c r="L3496" t="s">
        <v>3333</v>
      </c>
      <c r="M3496">
        <v>7</v>
      </c>
      <c r="N3496">
        <v>1</v>
      </c>
      <c r="O3496" t="s">
        <v>4436</v>
      </c>
      <c r="P3496">
        <v>60.33</v>
      </c>
      <c r="Q3496">
        <v>8</v>
      </c>
      <c r="R3496" t="s">
        <v>4437</v>
      </c>
      <c r="T3496" t="s">
        <v>3402</v>
      </c>
      <c r="U3496">
        <v>207</v>
      </c>
      <c r="V3496" t="s">
        <v>4436</v>
      </c>
    </row>
    <row r="3497" spans="1:22" ht="12.75" customHeight="1" x14ac:dyDescent="0.15">
      <c r="A3497">
        <v>30</v>
      </c>
      <c r="B3497">
        <v>2026</v>
      </c>
      <c r="C3497" s="21">
        <v>46230</v>
      </c>
      <c r="D3497" t="s">
        <v>96</v>
      </c>
      <c r="E3497" t="s">
        <v>97</v>
      </c>
      <c r="F3497" t="s">
        <v>21</v>
      </c>
      <c r="G3497">
        <v>4.5</v>
      </c>
      <c r="H3497" t="s">
        <v>4337</v>
      </c>
      <c r="I3497" t="s">
        <v>3913</v>
      </c>
      <c r="J3497" s="1" t="s">
        <v>3533</v>
      </c>
      <c r="K3497" t="s">
        <v>181</v>
      </c>
      <c r="L3497" t="s">
        <v>3340</v>
      </c>
      <c r="M3497">
        <v>86</v>
      </c>
      <c r="N3497">
        <v>0.49</v>
      </c>
      <c r="O3497" t="s">
        <v>211</v>
      </c>
      <c r="P3497">
        <v>27</v>
      </c>
      <c r="Q3497">
        <v>3</v>
      </c>
      <c r="R3497" t="s">
        <v>3386</v>
      </c>
      <c r="S3497" t="s">
        <v>4641</v>
      </c>
      <c r="T3497" t="s">
        <v>3402</v>
      </c>
      <c r="U3497">
        <v>87</v>
      </c>
      <c r="V3497" t="s">
        <v>4204</v>
      </c>
    </row>
    <row r="3498" spans="1:22" ht="12.75" customHeight="1" x14ac:dyDescent="0.15">
      <c r="A3498">
        <v>30</v>
      </c>
      <c r="B3498">
        <v>2026</v>
      </c>
      <c r="C3498" s="21">
        <v>46230</v>
      </c>
      <c r="D3498" t="s">
        <v>3749</v>
      </c>
      <c r="E3498" t="s">
        <v>676</v>
      </c>
      <c r="F3498" t="s">
        <v>676</v>
      </c>
      <c r="G3498">
        <v>1</v>
      </c>
      <c r="H3498" t="s">
        <v>4438</v>
      </c>
      <c r="I3498" t="s">
        <v>4439</v>
      </c>
      <c r="J3498" s="1" t="s">
        <v>4383</v>
      </c>
      <c r="K3498" t="s">
        <v>181</v>
      </c>
      <c r="L3498" t="s">
        <v>3333</v>
      </c>
      <c r="M3498">
        <v>86</v>
      </c>
      <c r="N3498">
        <v>1</v>
      </c>
      <c r="O3498" t="s">
        <v>3334</v>
      </c>
      <c r="P3498">
        <v>81.58</v>
      </c>
      <c r="Q3498">
        <v>8</v>
      </c>
      <c r="R3498" t="s">
        <v>3386</v>
      </c>
      <c r="T3498" t="s">
        <v>3402</v>
      </c>
      <c r="U3498">
        <v>207</v>
      </c>
      <c r="V3498" t="s">
        <v>3334</v>
      </c>
    </row>
    <row r="3499" spans="1:22" ht="12.75" customHeight="1" x14ac:dyDescent="0.15">
      <c r="A3499">
        <v>30</v>
      </c>
      <c r="B3499">
        <v>2026</v>
      </c>
      <c r="C3499" s="21">
        <v>46231</v>
      </c>
      <c r="D3499" t="s">
        <v>153</v>
      </c>
      <c r="E3499" t="s">
        <v>154</v>
      </c>
      <c r="F3499" t="s">
        <v>21</v>
      </c>
      <c r="G3499">
        <v>8</v>
      </c>
      <c r="H3499" t="s">
        <v>3519</v>
      </c>
      <c r="I3499" t="s">
        <v>214</v>
      </c>
      <c r="J3499" s="1" t="s">
        <v>215</v>
      </c>
      <c r="K3499" t="s">
        <v>181</v>
      </c>
      <c r="L3499" t="s">
        <v>3340</v>
      </c>
      <c r="M3499">
        <v>81</v>
      </c>
      <c r="N3499">
        <v>0.73</v>
      </c>
      <c r="O3499" t="s">
        <v>211</v>
      </c>
      <c r="P3499">
        <v>40</v>
      </c>
      <c r="R3499" t="s">
        <v>3374</v>
      </c>
      <c r="S3499" t="s">
        <v>4642</v>
      </c>
      <c r="T3499" t="s">
        <v>3337</v>
      </c>
      <c r="V3499" t="s">
        <v>3504</v>
      </c>
    </row>
    <row r="3500" spans="1:22" ht="12.75" customHeight="1" x14ac:dyDescent="0.15">
      <c r="A3500">
        <v>30</v>
      </c>
      <c r="B3500">
        <v>2026</v>
      </c>
      <c r="C3500" s="21">
        <v>46231</v>
      </c>
      <c r="D3500" t="s">
        <v>153</v>
      </c>
      <c r="E3500" t="s">
        <v>154</v>
      </c>
      <c r="F3500" t="s">
        <v>21</v>
      </c>
      <c r="G3500">
        <v>8</v>
      </c>
      <c r="H3500" t="s">
        <v>3519</v>
      </c>
      <c r="I3500" t="s">
        <v>214</v>
      </c>
      <c r="J3500" s="1" t="s">
        <v>215</v>
      </c>
      <c r="K3500" t="s">
        <v>181</v>
      </c>
      <c r="L3500" t="s">
        <v>3340</v>
      </c>
      <c r="M3500">
        <v>58</v>
      </c>
      <c r="N3500">
        <v>0.73</v>
      </c>
      <c r="O3500" t="s">
        <v>211</v>
      </c>
      <c r="P3500">
        <v>40</v>
      </c>
      <c r="R3500" t="s">
        <v>3343</v>
      </c>
      <c r="T3500" t="s">
        <v>3337</v>
      </c>
      <c r="V3500" t="s">
        <v>3504</v>
      </c>
    </row>
    <row r="3501" spans="1:22" ht="12.75" customHeight="1" x14ac:dyDescent="0.15">
      <c r="A3501">
        <v>30</v>
      </c>
      <c r="B3501">
        <v>2026</v>
      </c>
      <c r="C3501" s="21">
        <v>46231</v>
      </c>
      <c r="D3501" t="s">
        <v>153</v>
      </c>
      <c r="E3501" t="s">
        <v>154</v>
      </c>
      <c r="F3501" t="s">
        <v>21</v>
      </c>
      <c r="G3501">
        <v>8</v>
      </c>
      <c r="H3501" t="s">
        <v>3519</v>
      </c>
      <c r="I3501" t="s">
        <v>214</v>
      </c>
      <c r="J3501" s="1" t="s">
        <v>215</v>
      </c>
      <c r="K3501" t="s">
        <v>181</v>
      </c>
      <c r="L3501" t="s">
        <v>3340</v>
      </c>
      <c r="M3501">
        <v>53</v>
      </c>
      <c r="N3501">
        <v>0.73</v>
      </c>
      <c r="O3501" t="s">
        <v>211</v>
      </c>
      <c r="P3501">
        <v>40</v>
      </c>
      <c r="R3501" t="s">
        <v>3373</v>
      </c>
      <c r="T3501" t="s">
        <v>3337</v>
      </c>
      <c r="V3501" t="s">
        <v>3504</v>
      </c>
    </row>
    <row r="3502" spans="1:22" ht="12.75" customHeight="1" x14ac:dyDescent="0.15">
      <c r="A3502">
        <v>30</v>
      </c>
      <c r="B3502">
        <v>2026</v>
      </c>
      <c r="C3502" s="21">
        <v>46231</v>
      </c>
      <c r="D3502" t="s">
        <v>153</v>
      </c>
      <c r="E3502" t="s">
        <v>154</v>
      </c>
      <c r="F3502" t="s">
        <v>21</v>
      </c>
      <c r="G3502">
        <v>8</v>
      </c>
      <c r="H3502" t="s">
        <v>3519</v>
      </c>
      <c r="I3502" t="s">
        <v>214</v>
      </c>
      <c r="J3502" s="1" t="s">
        <v>215</v>
      </c>
      <c r="K3502" t="s">
        <v>181</v>
      </c>
      <c r="L3502" t="s">
        <v>3340</v>
      </c>
      <c r="M3502">
        <v>62</v>
      </c>
      <c r="N3502">
        <v>0.73</v>
      </c>
      <c r="O3502" t="s">
        <v>211</v>
      </c>
      <c r="P3502">
        <v>40</v>
      </c>
      <c r="R3502" t="s">
        <v>3375</v>
      </c>
      <c r="T3502" t="s">
        <v>3337</v>
      </c>
      <c r="V3502" t="s">
        <v>3504</v>
      </c>
    </row>
    <row r="3503" spans="1:22" ht="12.75" customHeight="1" x14ac:dyDescent="0.15">
      <c r="A3503">
        <v>30</v>
      </c>
      <c r="B3503">
        <v>2026</v>
      </c>
      <c r="C3503" s="21">
        <v>46231</v>
      </c>
      <c r="D3503" t="s">
        <v>153</v>
      </c>
      <c r="E3503" t="s">
        <v>154</v>
      </c>
      <c r="F3503" t="s">
        <v>21</v>
      </c>
      <c r="G3503">
        <v>8</v>
      </c>
      <c r="H3503" t="s">
        <v>3346</v>
      </c>
      <c r="I3503" t="s">
        <v>212</v>
      </c>
      <c r="J3503" s="1" t="s">
        <v>188</v>
      </c>
      <c r="K3503" t="s">
        <v>181</v>
      </c>
      <c r="L3503" t="s">
        <v>3340</v>
      </c>
      <c r="M3503">
        <v>6</v>
      </c>
      <c r="N3503">
        <v>1.45</v>
      </c>
      <c r="O3503" t="s">
        <v>211</v>
      </c>
      <c r="P3503">
        <v>80</v>
      </c>
      <c r="R3503" t="s">
        <v>3335</v>
      </c>
      <c r="T3503" t="s">
        <v>3337</v>
      </c>
      <c r="V3503" t="s">
        <v>3711</v>
      </c>
    </row>
    <row r="3504" spans="1:22" ht="12.75" customHeight="1" x14ac:dyDescent="0.15">
      <c r="A3504">
        <v>30</v>
      </c>
      <c r="B3504">
        <v>2026</v>
      </c>
      <c r="C3504" s="21">
        <v>46231</v>
      </c>
      <c r="D3504" t="s">
        <v>141</v>
      </c>
      <c r="E3504" t="s">
        <v>142</v>
      </c>
      <c r="F3504" t="s">
        <v>75</v>
      </c>
      <c r="G3504">
        <v>1</v>
      </c>
      <c r="H3504" t="s">
        <v>4135</v>
      </c>
      <c r="I3504" t="s">
        <v>4136</v>
      </c>
      <c r="J3504" s="1" t="s">
        <v>3533</v>
      </c>
      <c r="K3504" t="s">
        <v>181</v>
      </c>
      <c r="L3504" t="s">
        <v>3340</v>
      </c>
      <c r="M3504">
        <v>67</v>
      </c>
      <c r="N3504">
        <v>0.45</v>
      </c>
      <c r="O3504" t="s">
        <v>211</v>
      </c>
      <c r="P3504">
        <v>25</v>
      </c>
      <c r="R3504" t="s">
        <v>3404</v>
      </c>
      <c r="T3504" t="s">
        <v>3402</v>
      </c>
      <c r="U3504">
        <v>35</v>
      </c>
      <c r="V3504" t="s">
        <v>3608</v>
      </c>
    </row>
    <row r="3505" spans="1:22" ht="12.75" customHeight="1" x14ac:dyDescent="0.15">
      <c r="A3505">
        <v>30</v>
      </c>
      <c r="B3505">
        <v>2026</v>
      </c>
      <c r="C3505" s="21">
        <v>46231</v>
      </c>
      <c r="D3505" t="s">
        <v>141</v>
      </c>
      <c r="E3505" t="s">
        <v>142</v>
      </c>
      <c r="F3505" t="s">
        <v>75</v>
      </c>
      <c r="G3505">
        <v>1</v>
      </c>
      <c r="H3505" t="s">
        <v>4135</v>
      </c>
      <c r="I3505" t="s">
        <v>4136</v>
      </c>
      <c r="J3505" s="1" t="s">
        <v>3533</v>
      </c>
      <c r="K3505" t="s">
        <v>181</v>
      </c>
      <c r="L3505" t="s">
        <v>3340</v>
      </c>
      <c r="M3505">
        <v>4</v>
      </c>
      <c r="N3505">
        <v>0.23</v>
      </c>
      <c r="O3505" t="s">
        <v>211</v>
      </c>
      <c r="P3505">
        <v>12.5</v>
      </c>
      <c r="R3505" t="s">
        <v>3773</v>
      </c>
      <c r="T3505" t="s">
        <v>3402</v>
      </c>
      <c r="U3505">
        <v>35</v>
      </c>
      <c r="V3505" t="s">
        <v>3610</v>
      </c>
    </row>
    <row r="3506" spans="1:22" ht="12.75" customHeight="1" x14ac:dyDescent="0.15">
      <c r="A3506">
        <v>30</v>
      </c>
      <c r="B3506">
        <v>2026</v>
      </c>
      <c r="C3506" s="21">
        <v>46231</v>
      </c>
      <c r="D3506" t="s">
        <v>141</v>
      </c>
      <c r="E3506" s="8" t="s">
        <v>142</v>
      </c>
      <c r="F3506" t="s">
        <v>75</v>
      </c>
      <c r="G3506">
        <v>1</v>
      </c>
      <c r="H3506" t="s">
        <v>4135</v>
      </c>
      <c r="I3506" t="s">
        <v>4136</v>
      </c>
      <c r="J3506" s="1" t="s">
        <v>3533</v>
      </c>
      <c r="K3506" t="s">
        <v>181</v>
      </c>
      <c r="L3506" t="s">
        <v>3340</v>
      </c>
      <c r="M3506">
        <v>78</v>
      </c>
      <c r="N3506">
        <v>0.23</v>
      </c>
      <c r="O3506" t="s">
        <v>211</v>
      </c>
      <c r="P3506">
        <v>12.5</v>
      </c>
      <c r="R3506" t="s">
        <v>3341</v>
      </c>
      <c r="T3506" t="s">
        <v>3402</v>
      </c>
      <c r="U3506">
        <v>35</v>
      </c>
      <c r="V3506" t="s">
        <v>3610</v>
      </c>
    </row>
    <row r="3507" spans="1:22" ht="12.75" customHeight="1" x14ac:dyDescent="0.15">
      <c r="A3507">
        <v>30</v>
      </c>
      <c r="B3507">
        <v>2026</v>
      </c>
      <c r="C3507" s="21">
        <v>46231</v>
      </c>
      <c r="D3507" t="s">
        <v>139</v>
      </c>
      <c r="E3507" t="s">
        <v>140</v>
      </c>
      <c r="F3507" t="s">
        <v>75</v>
      </c>
      <c r="G3507">
        <v>0.8</v>
      </c>
      <c r="H3507" t="s">
        <v>4206</v>
      </c>
      <c r="I3507" t="s">
        <v>4207</v>
      </c>
      <c r="J3507" s="1" t="s">
        <v>3668</v>
      </c>
      <c r="K3507" t="s">
        <v>181</v>
      </c>
      <c r="L3507" t="s">
        <v>3340</v>
      </c>
      <c r="M3507">
        <v>4</v>
      </c>
      <c r="N3507">
        <v>0.91</v>
      </c>
      <c r="O3507" t="s">
        <v>211</v>
      </c>
      <c r="P3507">
        <v>50</v>
      </c>
      <c r="R3507" t="s">
        <v>3773</v>
      </c>
      <c r="T3507" t="s">
        <v>3402</v>
      </c>
      <c r="U3507">
        <v>63</v>
      </c>
      <c r="V3507" t="s">
        <v>3609</v>
      </c>
    </row>
    <row r="3508" spans="1:22" ht="12.75" customHeight="1" x14ac:dyDescent="0.15">
      <c r="A3508">
        <v>30</v>
      </c>
      <c r="B3508">
        <v>2026</v>
      </c>
      <c r="C3508" s="21">
        <v>46231</v>
      </c>
      <c r="D3508" t="s">
        <v>139</v>
      </c>
      <c r="E3508" t="s">
        <v>140</v>
      </c>
      <c r="F3508" t="s">
        <v>75</v>
      </c>
      <c r="G3508">
        <v>0.8</v>
      </c>
      <c r="H3508" t="s">
        <v>4206</v>
      </c>
      <c r="I3508" t="s">
        <v>4207</v>
      </c>
      <c r="J3508" s="1" t="s">
        <v>3668</v>
      </c>
      <c r="K3508" t="s">
        <v>181</v>
      </c>
      <c r="L3508" t="s">
        <v>3340</v>
      </c>
      <c r="M3508">
        <v>78</v>
      </c>
      <c r="N3508">
        <v>0.91</v>
      </c>
      <c r="O3508" t="s">
        <v>211</v>
      </c>
      <c r="P3508">
        <v>50</v>
      </c>
      <c r="R3508" t="s">
        <v>3341</v>
      </c>
      <c r="T3508" t="s">
        <v>3402</v>
      </c>
      <c r="U3508">
        <v>63</v>
      </c>
      <c r="V3508" t="s">
        <v>3609</v>
      </c>
    </row>
    <row r="3509" spans="1:22" ht="12.75" customHeight="1" x14ac:dyDescent="0.15">
      <c r="A3509">
        <v>30</v>
      </c>
      <c r="B3509">
        <v>2026</v>
      </c>
      <c r="C3509" s="21">
        <v>46231</v>
      </c>
      <c r="D3509" t="s">
        <v>139</v>
      </c>
      <c r="E3509" t="s">
        <v>140</v>
      </c>
      <c r="F3509" t="s">
        <v>75</v>
      </c>
      <c r="G3509">
        <v>0.8</v>
      </c>
      <c r="H3509" t="s">
        <v>4206</v>
      </c>
      <c r="I3509" t="s">
        <v>4207</v>
      </c>
      <c r="J3509" s="1" t="s">
        <v>3668</v>
      </c>
      <c r="K3509" t="s">
        <v>181</v>
      </c>
      <c r="L3509" t="s">
        <v>3340</v>
      </c>
      <c r="M3509">
        <v>67</v>
      </c>
      <c r="N3509">
        <v>0.91</v>
      </c>
      <c r="O3509" t="s">
        <v>211</v>
      </c>
      <c r="P3509">
        <v>50</v>
      </c>
      <c r="R3509" t="s">
        <v>3404</v>
      </c>
      <c r="T3509" t="s">
        <v>3402</v>
      </c>
      <c r="U3509">
        <v>63</v>
      </c>
      <c r="V3509" t="s">
        <v>3609</v>
      </c>
    </row>
    <row r="3510" spans="1:22" ht="12.75" customHeight="1" x14ac:dyDescent="0.15">
      <c r="A3510">
        <v>30</v>
      </c>
      <c r="B3510">
        <v>2026</v>
      </c>
      <c r="C3510" s="21">
        <v>46231</v>
      </c>
      <c r="D3510" t="s">
        <v>141</v>
      </c>
      <c r="E3510" t="s">
        <v>142</v>
      </c>
      <c r="F3510" t="s">
        <v>75</v>
      </c>
      <c r="G3510">
        <v>1</v>
      </c>
      <c r="H3510" t="s">
        <v>4241</v>
      </c>
      <c r="I3510" t="s">
        <v>4242</v>
      </c>
      <c r="J3510" s="1" t="s">
        <v>3668</v>
      </c>
      <c r="K3510" t="s">
        <v>181</v>
      </c>
      <c r="L3510" t="s">
        <v>3340</v>
      </c>
      <c r="M3510">
        <v>67</v>
      </c>
      <c r="N3510">
        <v>0.25</v>
      </c>
      <c r="O3510" t="s">
        <v>211</v>
      </c>
      <c r="P3510">
        <v>13.5</v>
      </c>
      <c r="Q3510">
        <v>1.5</v>
      </c>
      <c r="R3510" t="s">
        <v>3404</v>
      </c>
      <c r="T3510" t="s">
        <v>3402</v>
      </c>
      <c r="U3510">
        <v>35</v>
      </c>
      <c r="V3510" t="s">
        <v>3476</v>
      </c>
    </row>
    <row r="3511" spans="1:22" ht="12.75" customHeight="1" x14ac:dyDescent="0.15">
      <c r="A3511">
        <v>30</v>
      </c>
      <c r="B3511">
        <v>2026</v>
      </c>
      <c r="C3511" s="21">
        <v>46231</v>
      </c>
      <c r="D3511" t="s">
        <v>3749</v>
      </c>
      <c r="E3511" s="8" t="s">
        <v>676</v>
      </c>
      <c r="F3511" t="s">
        <v>676</v>
      </c>
      <c r="G3511">
        <v>1</v>
      </c>
      <c r="H3511" t="s">
        <v>3750</v>
      </c>
      <c r="I3511" t="s">
        <v>3751</v>
      </c>
      <c r="J3511" s="1" t="s">
        <v>676</v>
      </c>
      <c r="K3511" t="s">
        <v>181</v>
      </c>
      <c r="L3511" t="s">
        <v>3340</v>
      </c>
      <c r="M3511">
        <v>67</v>
      </c>
      <c r="N3511">
        <v>4.45</v>
      </c>
      <c r="O3511" t="s">
        <v>211</v>
      </c>
      <c r="P3511">
        <v>245</v>
      </c>
      <c r="R3511" t="s">
        <v>3404</v>
      </c>
      <c r="S3511" t="s">
        <v>4643</v>
      </c>
      <c r="T3511" t="s">
        <v>3402</v>
      </c>
      <c r="U3511">
        <v>208</v>
      </c>
      <c r="V3511" t="s">
        <v>4644</v>
      </c>
    </row>
    <row r="3512" spans="1:22" ht="12.75" customHeight="1" x14ac:dyDescent="0.15">
      <c r="A3512">
        <v>30</v>
      </c>
      <c r="B3512">
        <v>2026</v>
      </c>
      <c r="C3512" s="21">
        <v>46231</v>
      </c>
      <c r="D3512" t="s">
        <v>3749</v>
      </c>
      <c r="E3512" s="8" t="s">
        <v>676</v>
      </c>
      <c r="F3512" t="s">
        <v>676</v>
      </c>
      <c r="G3512">
        <v>1</v>
      </c>
      <c r="H3512" t="s">
        <v>3750</v>
      </c>
      <c r="I3512" t="s">
        <v>3751</v>
      </c>
      <c r="J3512" s="1" t="s">
        <v>676</v>
      </c>
      <c r="K3512" t="s">
        <v>181</v>
      </c>
      <c r="L3512" t="s">
        <v>3340</v>
      </c>
      <c r="M3512">
        <v>4</v>
      </c>
      <c r="N3512">
        <v>0.22</v>
      </c>
      <c r="O3512" t="s">
        <v>211</v>
      </c>
      <c r="P3512">
        <v>12</v>
      </c>
      <c r="R3512" t="s">
        <v>3773</v>
      </c>
      <c r="S3512" t="s">
        <v>4645</v>
      </c>
      <c r="T3512" t="s">
        <v>3402</v>
      </c>
      <c r="U3512">
        <v>208</v>
      </c>
      <c r="V3512" t="s">
        <v>227</v>
      </c>
    </row>
    <row r="3513" spans="1:22" ht="12.75" customHeight="1" x14ac:dyDescent="0.15">
      <c r="A3513">
        <v>30</v>
      </c>
      <c r="B3513">
        <v>2026</v>
      </c>
      <c r="C3513" s="21">
        <v>46231</v>
      </c>
      <c r="D3513" t="s">
        <v>3749</v>
      </c>
      <c r="E3513" s="8" t="s">
        <v>676</v>
      </c>
      <c r="F3513" t="s">
        <v>676</v>
      </c>
      <c r="G3513">
        <v>1</v>
      </c>
      <c r="H3513" t="s">
        <v>3750</v>
      </c>
      <c r="I3513" t="s">
        <v>3751</v>
      </c>
      <c r="J3513" s="1" t="s">
        <v>676</v>
      </c>
      <c r="K3513" t="s">
        <v>181</v>
      </c>
      <c r="L3513" t="s">
        <v>3340</v>
      </c>
      <c r="M3513">
        <v>78</v>
      </c>
      <c r="N3513">
        <v>1.33</v>
      </c>
      <c r="O3513" t="s">
        <v>211</v>
      </c>
      <c r="P3513">
        <v>73</v>
      </c>
      <c r="R3513" t="s">
        <v>3341</v>
      </c>
      <c r="S3513" t="s">
        <v>4646</v>
      </c>
      <c r="T3513" t="s">
        <v>3402</v>
      </c>
      <c r="U3513">
        <v>208</v>
      </c>
      <c r="V3513" t="s">
        <v>4325</v>
      </c>
    </row>
    <row r="3514" spans="1:22" ht="12.75" customHeight="1" x14ac:dyDescent="0.15">
      <c r="A3514">
        <v>30</v>
      </c>
      <c r="B3514">
        <v>2026</v>
      </c>
      <c r="C3514" s="21">
        <v>46231</v>
      </c>
      <c r="D3514" t="s">
        <v>3749</v>
      </c>
      <c r="E3514" s="8" t="s">
        <v>676</v>
      </c>
      <c r="F3514" t="s">
        <v>676</v>
      </c>
      <c r="G3514">
        <v>1</v>
      </c>
      <c r="H3514" t="s">
        <v>4438</v>
      </c>
      <c r="I3514" t="s">
        <v>4439</v>
      </c>
      <c r="J3514" s="1" t="s">
        <v>4383</v>
      </c>
      <c r="K3514" t="s">
        <v>181</v>
      </c>
      <c r="L3514" t="s">
        <v>3340</v>
      </c>
      <c r="M3514">
        <v>86</v>
      </c>
      <c r="N3514">
        <v>1.31</v>
      </c>
      <c r="O3514" t="s">
        <v>211</v>
      </c>
      <c r="P3514">
        <v>72</v>
      </c>
      <c r="Q3514">
        <v>8</v>
      </c>
      <c r="R3514" t="s">
        <v>3386</v>
      </c>
      <c r="T3514" t="s">
        <v>3402</v>
      </c>
      <c r="U3514">
        <v>208</v>
      </c>
      <c r="V3514" t="s">
        <v>193</v>
      </c>
    </row>
    <row r="3515" spans="1:22" ht="12.75" customHeight="1" x14ac:dyDescent="0.15">
      <c r="A3515">
        <v>30</v>
      </c>
      <c r="B3515">
        <v>2026</v>
      </c>
      <c r="C3515" s="21">
        <v>46231</v>
      </c>
      <c r="D3515" t="s">
        <v>3749</v>
      </c>
      <c r="E3515" s="8" t="s">
        <v>676</v>
      </c>
      <c r="F3515" t="s">
        <v>676</v>
      </c>
      <c r="G3515">
        <v>1</v>
      </c>
      <c r="H3515" t="s">
        <v>4445</v>
      </c>
      <c r="I3515" t="s">
        <v>4446</v>
      </c>
      <c r="J3515" s="1" t="s">
        <v>676</v>
      </c>
      <c r="K3515" t="s">
        <v>181</v>
      </c>
      <c r="L3515" t="s">
        <v>3340</v>
      </c>
      <c r="M3515">
        <v>86</v>
      </c>
      <c r="N3515">
        <v>0.33</v>
      </c>
      <c r="O3515" t="s">
        <v>211</v>
      </c>
      <c r="P3515">
        <v>18</v>
      </c>
      <c r="Q3515">
        <v>2</v>
      </c>
      <c r="R3515" t="s">
        <v>3386</v>
      </c>
      <c r="T3515" t="s">
        <v>3402</v>
      </c>
      <c r="U3515">
        <v>208</v>
      </c>
      <c r="V3515" t="s">
        <v>260</v>
      </c>
    </row>
    <row r="3516" spans="1:22" ht="12.75" customHeight="1" x14ac:dyDescent="0.15">
      <c r="A3516">
        <v>30</v>
      </c>
      <c r="B3516">
        <v>2026</v>
      </c>
      <c r="C3516" s="21">
        <v>46231</v>
      </c>
      <c r="D3516" t="s">
        <v>4406</v>
      </c>
      <c r="E3516" s="8" t="s">
        <v>4407</v>
      </c>
      <c r="F3516" t="s">
        <v>21</v>
      </c>
      <c r="G3516">
        <v>10</v>
      </c>
      <c r="H3516" t="s">
        <v>4647</v>
      </c>
      <c r="I3516" t="s">
        <v>4418</v>
      </c>
      <c r="J3516" s="1" t="s">
        <v>4383</v>
      </c>
      <c r="K3516" t="s">
        <v>2666</v>
      </c>
      <c r="L3516" t="s">
        <v>3587</v>
      </c>
      <c r="P3516">
        <v>64</v>
      </c>
      <c r="T3516" t="s">
        <v>3402</v>
      </c>
      <c r="V3516" t="s">
        <v>4648</v>
      </c>
    </row>
    <row r="3517" spans="1:22" ht="12.75" customHeight="1" x14ac:dyDescent="0.15">
      <c r="A3517">
        <v>30</v>
      </c>
      <c r="B3517">
        <v>2026</v>
      </c>
      <c r="C3517" s="21">
        <v>46231</v>
      </c>
      <c r="D3517" t="s">
        <v>4406</v>
      </c>
      <c r="E3517" s="8" t="s">
        <v>4407</v>
      </c>
      <c r="F3517" t="s">
        <v>21</v>
      </c>
      <c r="G3517">
        <v>10</v>
      </c>
      <c r="H3517" t="s">
        <v>4647</v>
      </c>
      <c r="I3517" t="s">
        <v>4418</v>
      </c>
      <c r="J3517" s="1" t="s">
        <v>4383</v>
      </c>
      <c r="K3517" t="s">
        <v>2666</v>
      </c>
      <c r="L3517" t="s">
        <v>3587</v>
      </c>
      <c r="P3517">
        <v>64</v>
      </c>
      <c r="T3517" t="s">
        <v>3402</v>
      </c>
      <c r="V3517" t="s">
        <v>4648</v>
      </c>
    </row>
    <row r="3518" spans="1:22" ht="12.75" customHeight="1" x14ac:dyDescent="0.15">
      <c r="A3518">
        <v>30</v>
      </c>
      <c r="B3518">
        <v>2026</v>
      </c>
      <c r="C3518" s="21">
        <v>46232</v>
      </c>
      <c r="D3518" t="s">
        <v>153</v>
      </c>
      <c r="E3518" s="8" t="s">
        <v>154</v>
      </c>
      <c r="F3518" t="s">
        <v>21</v>
      </c>
      <c r="G3518">
        <v>8</v>
      </c>
      <c r="H3518" t="s">
        <v>3346</v>
      </c>
      <c r="I3518" t="s">
        <v>212</v>
      </c>
      <c r="J3518" s="1" t="s">
        <v>188</v>
      </c>
      <c r="K3518" t="s">
        <v>181</v>
      </c>
      <c r="L3518" t="s">
        <v>3340</v>
      </c>
      <c r="M3518">
        <v>6</v>
      </c>
      <c r="N3518">
        <v>1.45</v>
      </c>
      <c r="O3518" t="s">
        <v>211</v>
      </c>
      <c r="P3518">
        <v>80</v>
      </c>
      <c r="R3518" t="s">
        <v>3335</v>
      </c>
      <c r="T3518" t="s">
        <v>3337</v>
      </c>
      <c r="V3518" t="s">
        <v>3711</v>
      </c>
    </row>
    <row r="3519" spans="1:22" ht="12.75" customHeight="1" x14ac:dyDescent="0.15">
      <c r="A3519">
        <v>30</v>
      </c>
      <c r="B3519">
        <v>2026</v>
      </c>
      <c r="C3519" s="21">
        <v>46232</v>
      </c>
      <c r="D3519" t="s">
        <v>3749</v>
      </c>
      <c r="E3519" s="8" t="s">
        <v>676</v>
      </c>
      <c r="F3519" t="s">
        <v>676</v>
      </c>
      <c r="G3519">
        <v>1</v>
      </c>
      <c r="H3519" t="s">
        <v>4445</v>
      </c>
      <c r="I3519" t="s">
        <v>4446</v>
      </c>
      <c r="J3519" s="1" t="s">
        <v>676</v>
      </c>
      <c r="K3519" t="s">
        <v>181</v>
      </c>
      <c r="L3519" t="s">
        <v>3340</v>
      </c>
      <c r="M3519">
        <v>86</v>
      </c>
      <c r="N3519">
        <v>0.16</v>
      </c>
      <c r="O3519" t="s">
        <v>211</v>
      </c>
      <c r="P3519">
        <v>9</v>
      </c>
      <c r="Q3519">
        <v>1</v>
      </c>
      <c r="R3519" t="s">
        <v>3386</v>
      </c>
      <c r="T3519" t="s">
        <v>3402</v>
      </c>
      <c r="U3519">
        <v>209</v>
      </c>
      <c r="V3519" t="s">
        <v>3473</v>
      </c>
    </row>
    <row r="3520" spans="1:22" ht="12.75" customHeight="1" x14ac:dyDescent="0.15">
      <c r="A3520">
        <v>30</v>
      </c>
      <c r="B3520">
        <v>2026</v>
      </c>
      <c r="C3520" s="21">
        <v>46232</v>
      </c>
      <c r="D3520" t="s">
        <v>3749</v>
      </c>
      <c r="E3520" t="s">
        <v>676</v>
      </c>
      <c r="F3520" t="s">
        <v>676</v>
      </c>
      <c r="G3520">
        <v>1</v>
      </c>
      <c r="H3520" t="s">
        <v>4438</v>
      </c>
      <c r="I3520" t="s">
        <v>4439</v>
      </c>
      <c r="J3520" s="1" t="s">
        <v>4383</v>
      </c>
      <c r="K3520" t="s">
        <v>181</v>
      </c>
      <c r="L3520" t="s">
        <v>3340</v>
      </c>
      <c r="M3520">
        <v>86</v>
      </c>
      <c r="N3520">
        <v>1.31</v>
      </c>
      <c r="O3520" t="s">
        <v>211</v>
      </c>
      <c r="P3520">
        <v>72</v>
      </c>
      <c r="Q3520">
        <v>8</v>
      </c>
      <c r="R3520" t="s">
        <v>3386</v>
      </c>
      <c r="T3520" t="s">
        <v>3402</v>
      </c>
      <c r="U3520">
        <v>209</v>
      </c>
      <c r="V3520" t="s">
        <v>193</v>
      </c>
    </row>
    <row r="3521" spans="1:22" ht="12.75" customHeight="1" x14ac:dyDescent="0.15">
      <c r="A3521">
        <v>30</v>
      </c>
      <c r="B3521">
        <v>2026</v>
      </c>
      <c r="C3521" s="21">
        <v>46233</v>
      </c>
      <c r="D3521" t="s">
        <v>139</v>
      </c>
      <c r="E3521" t="s">
        <v>140</v>
      </c>
      <c r="F3521" t="s">
        <v>75</v>
      </c>
      <c r="G3521">
        <v>0.8</v>
      </c>
      <c r="H3521" t="s">
        <v>4649</v>
      </c>
      <c r="I3521" t="s">
        <v>4650</v>
      </c>
      <c r="J3521" s="1" t="s">
        <v>30</v>
      </c>
      <c r="K3521" t="s">
        <v>3705</v>
      </c>
      <c r="L3521" t="s">
        <v>3333</v>
      </c>
      <c r="M3521">
        <v>2</v>
      </c>
      <c r="N3521">
        <v>0.75</v>
      </c>
      <c r="O3521" t="s">
        <v>3440</v>
      </c>
      <c r="P3521">
        <v>67.87</v>
      </c>
      <c r="Q3521">
        <v>6</v>
      </c>
      <c r="R3521" t="s">
        <v>3424</v>
      </c>
      <c r="T3521" t="s">
        <v>3337</v>
      </c>
      <c r="U3521">
        <v>65</v>
      </c>
      <c r="V3521" t="s">
        <v>4651</v>
      </c>
    </row>
    <row r="3522" spans="1:22" ht="12.75" customHeight="1" x14ac:dyDescent="0.15">
      <c r="A3522">
        <v>30</v>
      </c>
      <c r="B3522">
        <v>2026</v>
      </c>
      <c r="C3522" s="21">
        <v>46233</v>
      </c>
      <c r="D3522" t="s">
        <v>139</v>
      </c>
      <c r="E3522" t="s">
        <v>140</v>
      </c>
      <c r="F3522" t="s">
        <v>75</v>
      </c>
      <c r="G3522">
        <v>0.8</v>
      </c>
      <c r="H3522" t="s">
        <v>4649</v>
      </c>
      <c r="I3522" t="s">
        <v>4650</v>
      </c>
      <c r="J3522" s="1" t="s">
        <v>30</v>
      </c>
      <c r="K3522" t="s">
        <v>3705</v>
      </c>
      <c r="L3522" t="s">
        <v>23</v>
      </c>
      <c r="M3522">
        <v>176</v>
      </c>
      <c r="P3522">
        <v>385</v>
      </c>
      <c r="R3522" t="s">
        <v>4361</v>
      </c>
      <c r="S3522" t="s">
        <v>4593</v>
      </c>
      <c r="T3522" t="s">
        <v>3337</v>
      </c>
      <c r="U3522">
        <v>65</v>
      </c>
      <c r="V3522" t="s">
        <v>4652</v>
      </c>
    </row>
    <row r="3523" spans="1:22" ht="12.75" customHeight="1" x14ac:dyDescent="0.15">
      <c r="A3523">
        <v>30</v>
      </c>
      <c r="B3523">
        <v>2026</v>
      </c>
      <c r="C3523" s="21">
        <v>46233</v>
      </c>
      <c r="D3523" t="s">
        <v>139</v>
      </c>
      <c r="E3523" t="s">
        <v>140</v>
      </c>
      <c r="F3523" t="s">
        <v>75</v>
      </c>
      <c r="G3523">
        <v>0.8</v>
      </c>
      <c r="H3523" t="s">
        <v>4649</v>
      </c>
      <c r="I3523" t="s">
        <v>4650</v>
      </c>
      <c r="J3523" s="1" t="s">
        <v>30</v>
      </c>
      <c r="K3523" t="s">
        <v>3705</v>
      </c>
      <c r="L3523" t="s">
        <v>3340</v>
      </c>
      <c r="M3523">
        <v>25</v>
      </c>
      <c r="N3523">
        <v>1</v>
      </c>
      <c r="O3523" t="s">
        <v>211</v>
      </c>
      <c r="P3523">
        <v>55</v>
      </c>
      <c r="Q3523">
        <v>6</v>
      </c>
      <c r="R3523" t="s">
        <v>3413</v>
      </c>
      <c r="T3523" t="s">
        <v>3337</v>
      </c>
      <c r="U3523">
        <v>65</v>
      </c>
      <c r="V3523" t="s">
        <v>4056</v>
      </c>
    </row>
    <row r="3524" spans="1:22" ht="12.75" customHeight="1" x14ac:dyDescent="0.15">
      <c r="A3524">
        <v>30</v>
      </c>
      <c r="B3524">
        <v>2026</v>
      </c>
      <c r="C3524" s="21">
        <v>46233</v>
      </c>
      <c r="D3524" t="s">
        <v>135</v>
      </c>
      <c r="E3524" t="s">
        <v>136</v>
      </c>
      <c r="F3524" t="s">
        <v>21</v>
      </c>
      <c r="G3524">
        <v>1</v>
      </c>
      <c r="H3524" t="s">
        <v>3505</v>
      </c>
      <c r="I3524" t="s">
        <v>29</v>
      </c>
      <c r="J3524" s="1" t="s">
        <v>30</v>
      </c>
      <c r="K3524" t="s">
        <v>181</v>
      </c>
      <c r="L3524" t="s">
        <v>3333</v>
      </c>
      <c r="M3524">
        <v>2</v>
      </c>
      <c r="N3524">
        <v>0.25</v>
      </c>
      <c r="O3524" t="s">
        <v>3440</v>
      </c>
      <c r="P3524">
        <v>22.62</v>
      </c>
      <c r="Q3524">
        <v>2</v>
      </c>
      <c r="R3524" t="s">
        <v>3424</v>
      </c>
      <c r="S3524" t="s">
        <v>4653</v>
      </c>
      <c r="T3524" t="s">
        <v>3337</v>
      </c>
      <c r="U3524">
        <v>34</v>
      </c>
      <c r="V3524" t="s">
        <v>3630</v>
      </c>
    </row>
    <row r="3525" spans="1:22" ht="12.75" customHeight="1" x14ac:dyDescent="0.15">
      <c r="A3525">
        <v>30</v>
      </c>
      <c r="B3525">
        <v>2026</v>
      </c>
      <c r="C3525" s="21">
        <v>46233</v>
      </c>
      <c r="D3525" t="s">
        <v>153</v>
      </c>
      <c r="E3525" s="8" t="s">
        <v>154</v>
      </c>
      <c r="F3525" t="s">
        <v>21</v>
      </c>
      <c r="G3525">
        <v>8</v>
      </c>
      <c r="H3525" t="s">
        <v>3346</v>
      </c>
      <c r="I3525" t="s">
        <v>212</v>
      </c>
      <c r="J3525" s="1" t="s">
        <v>188</v>
      </c>
      <c r="K3525" t="s">
        <v>181</v>
      </c>
      <c r="L3525" t="s">
        <v>3333</v>
      </c>
      <c r="M3525">
        <v>6</v>
      </c>
      <c r="N3525">
        <v>1</v>
      </c>
      <c r="O3525" t="s">
        <v>3334</v>
      </c>
      <c r="P3525">
        <v>81.58</v>
      </c>
      <c r="Q3525">
        <v>8</v>
      </c>
      <c r="R3525" t="s">
        <v>3335</v>
      </c>
      <c r="T3525" t="s">
        <v>3337</v>
      </c>
      <c r="V3525" t="s">
        <v>3472</v>
      </c>
    </row>
    <row r="3526" spans="1:22" ht="12.75" customHeight="1" x14ac:dyDescent="0.15">
      <c r="A3526">
        <v>30</v>
      </c>
      <c r="B3526">
        <v>2026</v>
      </c>
      <c r="C3526" s="21">
        <v>46233</v>
      </c>
      <c r="D3526" t="s">
        <v>73</v>
      </c>
      <c r="E3526" s="8" t="s">
        <v>74</v>
      </c>
      <c r="F3526" t="s">
        <v>75</v>
      </c>
      <c r="G3526">
        <v>2.2999999999999998</v>
      </c>
      <c r="H3526" t="s">
        <v>3453</v>
      </c>
      <c r="I3526" t="s">
        <v>187</v>
      </c>
      <c r="J3526" s="1" t="s">
        <v>188</v>
      </c>
      <c r="K3526" t="s">
        <v>181</v>
      </c>
      <c r="L3526" t="s">
        <v>3333</v>
      </c>
      <c r="M3526">
        <v>1</v>
      </c>
      <c r="N3526">
        <v>0.25</v>
      </c>
      <c r="O3526" t="s">
        <v>3358</v>
      </c>
      <c r="P3526">
        <v>17.97</v>
      </c>
      <c r="Q3526">
        <v>2</v>
      </c>
      <c r="R3526" t="s">
        <v>3359</v>
      </c>
      <c r="T3526" t="s">
        <v>3337</v>
      </c>
      <c r="U3526">
        <v>103</v>
      </c>
      <c r="V3526" t="s">
        <v>3919</v>
      </c>
    </row>
    <row r="3527" spans="1:22" ht="12.75" customHeight="1" x14ac:dyDescent="0.15">
      <c r="A3527">
        <v>30</v>
      </c>
      <c r="B3527">
        <v>2026</v>
      </c>
      <c r="C3527" s="21">
        <v>46233</v>
      </c>
      <c r="D3527" t="s">
        <v>73</v>
      </c>
      <c r="E3527" t="s">
        <v>74</v>
      </c>
      <c r="F3527" t="s">
        <v>75</v>
      </c>
      <c r="G3527">
        <v>2.2999999999999998</v>
      </c>
      <c r="H3527" t="s">
        <v>3454</v>
      </c>
      <c r="I3527" t="s">
        <v>212</v>
      </c>
      <c r="J3527" s="1" t="s">
        <v>188</v>
      </c>
      <c r="K3527" t="s">
        <v>181</v>
      </c>
      <c r="L3527" t="s">
        <v>3333</v>
      </c>
      <c r="M3527">
        <v>1</v>
      </c>
      <c r="N3527">
        <v>0.25</v>
      </c>
      <c r="O3527" t="s">
        <v>3358</v>
      </c>
      <c r="P3527">
        <v>17.97</v>
      </c>
      <c r="Q3527">
        <v>2</v>
      </c>
      <c r="R3527" t="s">
        <v>3359</v>
      </c>
      <c r="T3527" t="s">
        <v>3337</v>
      </c>
      <c r="U3527">
        <v>103</v>
      </c>
      <c r="V3527" t="s">
        <v>3919</v>
      </c>
    </row>
    <row r="3528" spans="1:22" ht="12.75" customHeight="1" x14ac:dyDescent="0.15">
      <c r="A3528">
        <v>30</v>
      </c>
      <c r="B3528">
        <v>2026</v>
      </c>
      <c r="C3528" s="21">
        <v>46233</v>
      </c>
      <c r="D3528" t="s">
        <v>80</v>
      </c>
      <c r="E3528" t="s">
        <v>81</v>
      </c>
      <c r="F3528" t="s">
        <v>21</v>
      </c>
      <c r="G3528">
        <v>2.2999999999999998</v>
      </c>
      <c r="H3528" t="s">
        <v>3454</v>
      </c>
      <c r="I3528" t="s">
        <v>212</v>
      </c>
      <c r="J3528" s="1" t="s">
        <v>188</v>
      </c>
      <c r="K3528" t="s">
        <v>181</v>
      </c>
      <c r="L3528" t="s">
        <v>3333</v>
      </c>
      <c r="M3528">
        <v>1</v>
      </c>
      <c r="N3528">
        <v>0.25</v>
      </c>
      <c r="O3528" t="s">
        <v>3358</v>
      </c>
      <c r="P3528">
        <v>17.97</v>
      </c>
      <c r="Q3528">
        <v>2</v>
      </c>
      <c r="R3528" t="s">
        <v>3359</v>
      </c>
      <c r="T3528" t="s">
        <v>3337</v>
      </c>
      <c r="U3528">
        <v>119</v>
      </c>
      <c r="V3528" t="s">
        <v>3919</v>
      </c>
    </row>
    <row r="3529" spans="1:22" ht="12.75" customHeight="1" x14ac:dyDescent="0.15">
      <c r="A3529">
        <v>30</v>
      </c>
      <c r="B3529">
        <v>2026</v>
      </c>
      <c r="C3529" s="21">
        <v>46233</v>
      </c>
      <c r="D3529" t="s">
        <v>80</v>
      </c>
      <c r="E3529" t="s">
        <v>81</v>
      </c>
      <c r="F3529" t="s">
        <v>21</v>
      </c>
      <c r="G3529">
        <v>2.2999999999999998</v>
      </c>
      <c r="H3529" t="s">
        <v>3453</v>
      </c>
      <c r="I3529" t="s">
        <v>187</v>
      </c>
      <c r="J3529" s="1" t="s">
        <v>188</v>
      </c>
      <c r="K3529" t="s">
        <v>181</v>
      </c>
      <c r="L3529" t="s">
        <v>3333</v>
      </c>
      <c r="M3529">
        <v>1</v>
      </c>
      <c r="N3529">
        <v>0.25</v>
      </c>
      <c r="O3529" t="s">
        <v>3358</v>
      </c>
      <c r="P3529">
        <v>17.97</v>
      </c>
      <c r="Q3529">
        <v>2</v>
      </c>
      <c r="R3529" t="s">
        <v>3359</v>
      </c>
      <c r="T3529" t="s">
        <v>3337</v>
      </c>
      <c r="U3529">
        <v>119</v>
      </c>
      <c r="V3529" t="s">
        <v>3919</v>
      </c>
    </row>
    <row r="3530" spans="1:22" ht="12.75" customHeight="1" x14ac:dyDescent="0.15">
      <c r="A3530">
        <v>30</v>
      </c>
      <c r="B3530">
        <v>2026</v>
      </c>
      <c r="C3530" s="21">
        <v>46233</v>
      </c>
      <c r="D3530" t="s">
        <v>4406</v>
      </c>
      <c r="E3530" t="s">
        <v>4407</v>
      </c>
      <c r="F3530" t="s">
        <v>21</v>
      </c>
      <c r="G3530">
        <v>10</v>
      </c>
      <c r="H3530" t="s">
        <v>4417</v>
      </c>
      <c r="I3530" t="s">
        <v>4418</v>
      </c>
      <c r="J3530" s="1" t="s">
        <v>4383</v>
      </c>
      <c r="K3530" t="s">
        <v>2666</v>
      </c>
      <c r="L3530" t="s">
        <v>3340</v>
      </c>
      <c r="M3530">
        <v>34</v>
      </c>
      <c r="N3530">
        <v>1.82</v>
      </c>
      <c r="O3530" t="s">
        <v>211</v>
      </c>
      <c r="P3530">
        <v>100</v>
      </c>
      <c r="R3530" t="s">
        <v>4654</v>
      </c>
      <c r="T3530" t="s">
        <v>3402</v>
      </c>
      <c r="V3530" t="s">
        <v>3711</v>
      </c>
    </row>
    <row r="3531" spans="1:22" ht="12.75" customHeight="1" x14ac:dyDescent="0.15">
      <c r="A3531">
        <v>30</v>
      </c>
      <c r="B3531">
        <v>2026</v>
      </c>
      <c r="C3531" s="21">
        <v>46233</v>
      </c>
      <c r="D3531" t="s">
        <v>4406</v>
      </c>
      <c r="E3531" t="s">
        <v>4407</v>
      </c>
      <c r="F3531" t="s">
        <v>21</v>
      </c>
      <c r="G3531">
        <v>10</v>
      </c>
      <c r="H3531" t="s">
        <v>4413</v>
      </c>
      <c r="I3531" t="s">
        <v>4414</v>
      </c>
      <c r="J3531" s="1" t="s">
        <v>26</v>
      </c>
      <c r="K3531" t="s">
        <v>181</v>
      </c>
      <c r="L3531" t="s">
        <v>3587</v>
      </c>
      <c r="P3531">
        <v>72</v>
      </c>
      <c r="T3531" t="s">
        <v>3402</v>
      </c>
      <c r="V3531" t="s">
        <v>4655</v>
      </c>
    </row>
    <row r="3532" spans="1:22" ht="12.75" customHeight="1" x14ac:dyDescent="0.15">
      <c r="A3532">
        <v>30</v>
      </c>
      <c r="B3532">
        <v>2026</v>
      </c>
      <c r="C3532" s="21">
        <v>46233</v>
      </c>
      <c r="D3532" t="s">
        <v>141</v>
      </c>
      <c r="E3532" t="s">
        <v>142</v>
      </c>
      <c r="F3532" t="s">
        <v>75</v>
      </c>
      <c r="G3532">
        <v>1</v>
      </c>
      <c r="H3532" t="s">
        <v>4241</v>
      </c>
      <c r="I3532" t="s">
        <v>4242</v>
      </c>
      <c r="J3532" s="1" t="s">
        <v>3668</v>
      </c>
      <c r="K3532" t="s">
        <v>181</v>
      </c>
      <c r="L3532" t="s">
        <v>3333</v>
      </c>
      <c r="M3532">
        <v>67</v>
      </c>
      <c r="N3532">
        <v>0.5</v>
      </c>
      <c r="O3532" t="s">
        <v>3334</v>
      </c>
      <c r="P3532">
        <v>40.79</v>
      </c>
      <c r="Q3532">
        <v>4</v>
      </c>
      <c r="R3532" t="s">
        <v>3404</v>
      </c>
      <c r="T3532" t="s">
        <v>3402</v>
      </c>
      <c r="U3532">
        <v>37</v>
      </c>
      <c r="V3532" t="s">
        <v>3456</v>
      </c>
    </row>
    <row r="3533" spans="1:22" ht="12.75" customHeight="1" x14ac:dyDescent="0.15">
      <c r="A3533">
        <v>30</v>
      </c>
      <c r="B3533">
        <v>2026</v>
      </c>
      <c r="C3533" s="21">
        <v>46233</v>
      </c>
      <c r="D3533" t="s">
        <v>141</v>
      </c>
      <c r="E3533" t="s">
        <v>142</v>
      </c>
      <c r="F3533" t="s">
        <v>75</v>
      </c>
      <c r="G3533">
        <v>1</v>
      </c>
      <c r="H3533" t="s">
        <v>4277</v>
      </c>
      <c r="I3533" t="s">
        <v>4278</v>
      </c>
      <c r="J3533" s="1" t="s">
        <v>3668</v>
      </c>
      <c r="K3533" t="s">
        <v>181</v>
      </c>
      <c r="L3533" t="s">
        <v>3340</v>
      </c>
      <c r="M3533">
        <v>78</v>
      </c>
      <c r="N3533">
        <v>0.16</v>
      </c>
      <c r="O3533" t="s">
        <v>211</v>
      </c>
      <c r="P3533">
        <v>9</v>
      </c>
      <c r="Q3533">
        <v>1</v>
      </c>
      <c r="R3533" t="s">
        <v>3341</v>
      </c>
      <c r="T3533" t="s">
        <v>3402</v>
      </c>
      <c r="U3533">
        <v>37</v>
      </c>
      <c r="V3533" t="s">
        <v>3473</v>
      </c>
    </row>
    <row r="3534" spans="1:22" ht="12.75" customHeight="1" x14ac:dyDescent="0.15">
      <c r="A3534">
        <v>30</v>
      </c>
      <c r="B3534">
        <v>2026</v>
      </c>
      <c r="C3534" s="21">
        <v>46233</v>
      </c>
      <c r="D3534" t="s">
        <v>139</v>
      </c>
      <c r="E3534" t="s">
        <v>140</v>
      </c>
      <c r="F3534" t="s">
        <v>75</v>
      </c>
      <c r="G3534">
        <v>0.8</v>
      </c>
      <c r="H3534" t="s">
        <v>4241</v>
      </c>
      <c r="I3534" t="s">
        <v>4242</v>
      </c>
      <c r="J3534" s="1" t="s">
        <v>3668</v>
      </c>
      <c r="K3534" t="s">
        <v>181</v>
      </c>
      <c r="L3534" t="s">
        <v>3340</v>
      </c>
      <c r="M3534">
        <v>78</v>
      </c>
      <c r="N3534">
        <v>0.33</v>
      </c>
      <c r="O3534" t="s">
        <v>211</v>
      </c>
      <c r="P3534">
        <v>18</v>
      </c>
      <c r="Q3534">
        <v>2</v>
      </c>
      <c r="R3534" t="s">
        <v>3341</v>
      </c>
      <c r="T3534" t="s">
        <v>3402</v>
      </c>
      <c r="U3534">
        <v>65</v>
      </c>
      <c r="V3534" t="s">
        <v>3523</v>
      </c>
    </row>
    <row r="3535" spans="1:22" ht="12.75" customHeight="1" x14ac:dyDescent="0.15">
      <c r="A3535">
        <v>30</v>
      </c>
      <c r="B3535">
        <v>2026</v>
      </c>
      <c r="C3535" s="21">
        <v>46233</v>
      </c>
      <c r="D3535" t="s">
        <v>3749</v>
      </c>
      <c r="E3535" t="s">
        <v>676</v>
      </c>
      <c r="F3535" t="s">
        <v>676</v>
      </c>
      <c r="G3535">
        <v>1</v>
      </c>
      <c r="H3535" t="s">
        <v>4445</v>
      </c>
      <c r="I3535" t="s">
        <v>4446</v>
      </c>
      <c r="J3535" s="1" t="s">
        <v>676</v>
      </c>
      <c r="K3535" t="s">
        <v>181</v>
      </c>
      <c r="L3535" t="s">
        <v>3340</v>
      </c>
      <c r="M3535">
        <v>78</v>
      </c>
      <c r="N3535">
        <v>0.68</v>
      </c>
      <c r="O3535" t="s">
        <v>211</v>
      </c>
      <c r="P3535">
        <v>37.5</v>
      </c>
      <c r="R3535" t="s">
        <v>3341</v>
      </c>
      <c r="T3535" t="s">
        <v>3402</v>
      </c>
      <c r="U3535">
        <v>210</v>
      </c>
      <c r="V3535" t="s">
        <v>4149</v>
      </c>
    </row>
    <row r="3536" spans="1:22" ht="12.75" customHeight="1" x14ac:dyDescent="0.15">
      <c r="A3536">
        <v>30</v>
      </c>
      <c r="B3536">
        <v>2026</v>
      </c>
      <c r="C3536" s="21">
        <v>46233</v>
      </c>
      <c r="D3536" t="s">
        <v>3749</v>
      </c>
      <c r="E3536" t="s">
        <v>676</v>
      </c>
      <c r="F3536" t="s">
        <v>676</v>
      </c>
      <c r="G3536">
        <v>1</v>
      </c>
      <c r="H3536" t="s">
        <v>4445</v>
      </c>
      <c r="I3536" t="s">
        <v>4446</v>
      </c>
      <c r="J3536" s="1" t="s">
        <v>676</v>
      </c>
      <c r="K3536" t="s">
        <v>181</v>
      </c>
      <c r="L3536" t="s">
        <v>3340</v>
      </c>
      <c r="M3536">
        <v>86</v>
      </c>
      <c r="N3536">
        <v>0.68</v>
      </c>
      <c r="O3536" t="s">
        <v>211</v>
      </c>
      <c r="P3536">
        <v>37.5</v>
      </c>
      <c r="R3536" t="s">
        <v>3386</v>
      </c>
      <c r="T3536" t="s">
        <v>3402</v>
      </c>
      <c r="U3536">
        <v>210</v>
      </c>
      <c r="V3536" t="s">
        <v>4149</v>
      </c>
    </row>
    <row r="3537" spans="1:22" ht="12.75" customHeight="1" x14ac:dyDescent="0.15">
      <c r="A3537">
        <v>30</v>
      </c>
      <c r="B3537">
        <v>2026</v>
      </c>
      <c r="C3537" s="21">
        <v>46233</v>
      </c>
      <c r="D3537" t="s">
        <v>3749</v>
      </c>
      <c r="E3537" t="s">
        <v>676</v>
      </c>
      <c r="F3537" t="s">
        <v>676</v>
      </c>
      <c r="G3537">
        <v>1</v>
      </c>
      <c r="H3537" t="s">
        <v>3750</v>
      </c>
      <c r="I3537" t="s">
        <v>3751</v>
      </c>
      <c r="J3537" s="1" t="s">
        <v>676</v>
      </c>
      <c r="K3537" t="s">
        <v>181</v>
      </c>
      <c r="L3537" t="s">
        <v>3333</v>
      </c>
      <c r="M3537">
        <v>67</v>
      </c>
      <c r="N3537">
        <v>0.5</v>
      </c>
      <c r="O3537" t="s">
        <v>3334</v>
      </c>
      <c r="P3537">
        <v>40.79</v>
      </c>
      <c r="Q3537">
        <v>4</v>
      </c>
      <c r="R3537" t="s">
        <v>3404</v>
      </c>
      <c r="S3537" t="s">
        <v>4656</v>
      </c>
      <c r="T3537" t="s">
        <v>3402</v>
      </c>
      <c r="U3537">
        <v>210</v>
      </c>
      <c r="V3537" t="s">
        <v>3456</v>
      </c>
    </row>
    <row r="3538" spans="1:22" ht="12.75" customHeight="1" x14ac:dyDescent="0.15">
      <c r="A3538">
        <v>30</v>
      </c>
      <c r="B3538">
        <v>2026</v>
      </c>
      <c r="C3538" s="21">
        <v>46233</v>
      </c>
      <c r="D3538" t="s">
        <v>3749</v>
      </c>
      <c r="E3538" t="s">
        <v>676</v>
      </c>
      <c r="F3538" t="s">
        <v>676</v>
      </c>
      <c r="G3538">
        <v>1</v>
      </c>
      <c r="H3538" t="s">
        <v>3750</v>
      </c>
      <c r="I3538" t="s">
        <v>3751</v>
      </c>
      <c r="J3538" s="1" t="s">
        <v>676</v>
      </c>
      <c r="K3538" t="s">
        <v>181</v>
      </c>
      <c r="L3538" t="s">
        <v>3340</v>
      </c>
      <c r="M3538">
        <v>86</v>
      </c>
      <c r="N3538">
        <v>1</v>
      </c>
      <c r="O3538" t="s">
        <v>211</v>
      </c>
      <c r="P3538">
        <v>55</v>
      </c>
      <c r="R3538" t="s">
        <v>3386</v>
      </c>
      <c r="S3538" t="s">
        <v>4657</v>
      </c>
      <c r="T3538" t="s">
        <v>3402</v>
      </c>
      <c r="U3538">
        <v>210</v>
      </c>
      <c r="V3538" t="s">
        <v>211</v>
      </c>
    </row>
    <row r="3539" spans="1:22" ht="12.75" customHeight="1" x14ac:dyDescent="0.15">
      <c r="A3539">
        <v>30</v>
      </c>
      <c r="B3539">
        <v>2026</v>
      </c>
      <c r="C3539" s="21">
        <v>46233</v>
      </c>
      <c r="D3539" t="s">
        <v>3749</v>
      </c>
      <c r="E3539" t="s">
        <v>676</v>
      </c>
      <c r="F3539" t="s">
        <v>676</v>
      </c>
      <c r="G3539">
        <v>1</v>
      </c>
      <c r="H3539" t="s">
        <v>3750</v>
      </c>
      <c r="I3539" t="s">
        <v>3751</v>
      </c>
      <c r="J3539" s="1" t="s">
        <v>676</v>
      </c>
      <c r="K3539" t="s">
        <v>181</v>
      </c>
      <c r="L3539" t="s">
        <v>3340</v>
      </c>
      <c r="M3539">
        <v>78</v>
      </c>
      <c r="N3539">
        <v>1.2</v>
      </c>
      <c r="O3539" t="s">
        <v>211</v>
      </c>
      <c r="P3539">
        <v>66</v>
      </c>
      <c r="R3539" t="s">
        <v>3341</v>
      </c>
      <c r="T3539" t="s">
        <v>3402</v>
      </c>
      <c r="U3539">
        <v>210</v>
      </c>
      <c r="V3539" t="s">
        <v>4658</v>
      </c>
    </row>
    <row r="3540" spans="1:22" ht="12.75" customHeight="1" x14ac:dyDescent="0.15">
      <c r="A3540">
        <v>30</v>
      </c>
      <c r="B3540">
        <v>2026</v>
      </c>
      <c r="C3540" s="21">
        <v>46233</v>
      </c>
      <c r="D3540" t="s">
        <v>153</v>
      </c>
      <c r="E3540" t="s">
        <v>154</v>
      </c>
      <c r="F3540" t="s">
        <v>21</v>
      </c>
      <c r="G3540">
        <v>8</v>
      </c>
      <c r="H3540" t="s">
        <v>3339</v>
      </c>
      <c r="I3540" t="s">
        <v>187</v>
      </c>
      <c r="J3540" s="1" t="s">
        <v>188</v>
      </c>
      <c r="K3540" t="s">
        <v>181</v>
      </c>
      <c r="L3540" t="s">
        <v>3340</v>
      </c>
      <c r="M3540">
        <v>78</v>
      </c>
      <c r="N3540">
        <v>0.33</v>
      </c>
      <c r="O3540" t="s">
        <v>211</v>
      </c>
      <c r="P3540">
        <v>18</v>
      </c>
      <c r="Q3540">
        <v>2</v>
      </c>
      <c r="R3540" t="s">
        <v>3341</v>
      </c>
      <c r="T3540" t="s">
        <v>3402</v>
      </c>
      <c r="V3540" t="s">
        <v>3534</v>
      </c>
    </row>
    <row r="3541" spans="1:22" ht="12.75" customHeight="1" x14ac:dyDescent="0.15">
      <c r="A3541">
        <v>30</v>
      </c>
      <c r="B3541">
        <v>2026</v>
      </c>
      <c r="C3541" s="21">
        <v>46233</v>
      </c>
      <c r="D3541" t="s">
        <v>3749</v>
      </c>
      <c r="E3541" t="s">
        <v>676</v>
      </c>
      <c r="F3541" t="s">
        <v>676</v>
      </c>
      <c r="G3541">
        <v>1</v>
      </c>
      <c r="H3541" t="s">
        <v>3750</v>
      </c>
      <c r="I3541" t="s">
        <v>3751</v>
      </c>
      <c r="J3541" s="1" t="s">
        <v>676</v>
      </c>
      <c r="K3541" t="s">
        <v>181</v>
      </c>
      <c r="L3541" t="s">
        <v>3340</v>
      </c>
      <c r="M3541">
        <v>67</v>
      </c>
      <c r="N3541">
        <v>0.54</v>
      </c>
      <c r="O3541" t="s">
        <v>211</v>
      </c>
      <c r="P3541">
        <v>29.7</v>
      </c>
      <c r="R3541" t="s">
        <v>3404</v>
      </c>
      <c r="T3541" t="s">
        <v>3402</v>
      </c>
      <c r="U3541">
        <v>210</v>
      </c>
      <c r="V3541" t="s">
        <v>4659</v>
      </c>
    </row>
    <row r="3542" spans="1:22" ht="12.75" customHeight="1" x14ac:dyDescent="0.15">
      <c r="A3542">
        <v>30</v>
      </c>
      <c r="B3542">
        <v>2026</v>
      </c>
      <c r="C3542" s="21">
        <v>46233</v>
      </c>
      <c r="D3542" t="s">
        <v>3749</v>
      </c>
      <c r="E3542" t="s">
        <v>676</v>
      </c>
      <c r="F3542" t="s">
        <v>676</v>
      </c>
      <c r="G3542">
        <v>1</v>
      </c>
      <c r="H3542" t="s">
        <v>4438</v>
      </c>
      <c r="I3542" t="s">
        <v>4439</v>
      </c>
      <c r="J3542" s="1" t="s">
        <v>4383</v>
      </c>
      <c r="K3542" t="s">
        <v>181</v>
      </c>
      <c r="L3542" t="s">
        <v>3333</v>
      </c>
      <c r="M3542">
        <v>86</v>
      </c>
      <c r="N3542">
        <v>1</v>
      </c>
      <c r="O3542" t="s">
        <v>3334</v>
      </c>
      <c r="P3542">
        <v>81.58</v>
      </c>
      <c r="Q3542">
        <v>8</v>
      </c>
      <c r="R3542" t="s">
        <v>3386</v>
      </c>
      <c r="T3542" t="s">
        <v>3402</v>
      </c>
      <c r="U3542">
        <v>210</v>
      </c>
      <c r="V3542" t="s">
        <v>3334</v>
      </c>
    </row>
    <row r="3543" spans="1:22" ht="12.75" customHeight="1" x14ac:dyDescent="0.15">
      <c r="A3543">
        <v>30</v>
      </c>
      <c r="B3543">
        <v>2026</v>
      </c>
      <c r="C3543" s="21">
        <v>46233</v>
      </c>
      <c r="D3543" t="s">
        <v>437</v>
      </c>
      <c r="E3543" t="s">
        <v>437</v>
      </c>
      <c r="F3543" t="s">
        <v>4435</v>
      </c>
      <c r="G3543">
        <v>1</v>
      </c>
      <c r="H3543" t="s">
        <v>4302</v>
      </c>
      <c r="I3543" t="s">
        <v>4303</v>
      </c>
      <c r="J3543" s="1" t="s">
        <v>4304</v>
      </c>
      <c r="K3543" t="s">
        <v>181</v>
      </c>
      <c r="L3543" t="s">
        <v>3333</v>
      </c>
      <c r="M3543">
        <v>7</v>
      </c>
      <c r="N3543">
        <v>1</v>
      </c>
      <c r="O3543" t="s">
        <v>4436</v>
      </c>
      <c r="P3543">
        <v>60.33</v>
      </c>
      <c r="Q3543">
        <v>8</v>
      </c>
      <c r="R3543" t="s">
        <v>4437</v>
      </c>
      <c r="T3543" t="s">
        <v>3402</v>
      </c>
      <c r="U3543">
        <v>210</v>
      </c>
      <c r="V3543" t="s">
        <v>4436</v>
      </c>
    </row>
    <row r="3544" spans="1:22" ht="12.75" customHeight="1" x14ac:dyDescent="0.15">
      <c r="A3544">
        <v>30</v>
      </c>
      <c r="B3544">
        <v>2026</v>
      </c>
      <c r="C3544" s="21">
        <v>46233</v>
      </c>
      <c r="D3544" t="s">
        <v>68</v>
      </c>
      <c r="E3544" t="s">
        <v>69</v>
      </c>
      <c r="F3544" t="s">
        <v>21</v>
      </c>
      <c r="G3544">
        <v>1</v>
      </c>
      <c r="H3544" t="s">
        <v>3803</v>
      </c>
      <c r="I3544" t="s">
        <v>3676</v>
      </c>
      <c r="J3544" s="1" t="s">
        <v>3533</v>
      </c>
      <c r="K3544" t="s">
        <v>181</v>
      </c>
      <c r="L3544" t="s">
        <v>3333</v>
      </c>
      <c r="M3544">
        <v>4</v>
      </c>
      <c r="N3544">
        <v>1</v>
      </c>
      <c r="O3544" t="s">
        <v>3334</v>
      </c>
      <c r="P3544">
        <v>81.58</v>
      </c>
      <c r="Q3544">
        <v>8</v>
      </c>
      <c r="R3544" t="s">
        <v>3773</v>
      </c>
      <c r="T3544" t="s">
        <v>3402</v>
      </c>
      <c r="U3544">
        <v>119</v>
      </c>
      <c r="V3544" t="s">
        <v>3334</v>
      </c>
    </row>
    <row r="3545" spans="1:22" ht="12.75" customHeight="1" x14ac:dyDescent="0.15">
      <c r="A3545">
        <v>31</v>
      </c>
      <c r="B3545">
        <v>2026</v>
      </c>
      <c r="C3545" s="21">
        <v>46234</v>
      </c>
      <c r="D3545" t="s">
        <v>153</v>
      </c>
      <c r="E3545" t="s">
        <v>154</v>
      </c>
      <c r="F3545" t="s">
        <v>21</v>
      </c>
      <c r="G3545">
        <v>8</v>
      </c>
      <c r="H3545" t="s">
        <v>3519</v>
      </c>
      <c r="I3545" t="s">
        <v>214</v>
      </c>
      <c r="J3545" s="1" t="s">
        <v>215</v>
      </c>
      <c r="K3545" t="s">
        <v>181</v>
      </c>
      <c r="L3545" t="s">
        <v>3340</v>
      </c>
      <c r="M3545">
        <v>45</v>
      </c>
      <c r="N3545">
        <v>0.57999999999999996</v>
      </c>
      <c r="O3545" t="s">
        <v>211</v>
      </c>
      <c r="P3545">
        <v>32</v>
      </c>
      <c r="R3545" t="s">
        <v>3377</v>
      </c>
      <c r="S3545" t="s">
        <v>4660</v>
      </c>
      <c r="T3545" t="s">
        <v>3337</v>
      </c>
      <c r="V3545" t="s">
        <v>4105</v>
      </c>
    </row>
    <row r="3546" spans="1:22" ht="12.75" customHeight="1" x14ac:dyDescent="0.15">
      <c r="A3546">
        <v>31</v>
      </c>
      <c r="B3546">
        <v>2026</v>
      </c>
      <c r="C3546" s="21">
        <v>46234</v>
      </c>
      <c r="D3546" t="s">
        <v>153</v>
      </c>
      <c r="E3546" t="s">
        <v>154</v>
      </c>
      <c r="F3546" t="s">
        <v>21</v>
      </c>
      <c r="G3546">
        <v>8</v>
      </c>
      <c r="H3546" t="s">
        <v>3519</v>
      </c>
      <c r="I3546" t="s">
        <v>214</v>
      </c>
      <c r="J3546" s="1" t="s">
        <v>215</v>
      </c>
      <c r="K3546" t="s">
        <v>181</v>
      </c>
      <c r="L3546" t="s">
        <v>3340</v>
      </c>
      <c r="M3546">
        <v>58</v>
      </c>
      <c r="N3546">
        <v>0.57999999999999996</v>
      </c>
      <c r="O3546" t="s">
        <v>211</v>
      </c>
      <c r="P3546">
        <v>32</v>
      </c>
      <c r="R3546" t="s">
        <v>3343</v>
      </c>
      <c r="T3546" t="s">
        <v>3337</v>
      </c>
      <c r="V3546" t="s">
        <v>4105</v>
      </c>
    </row>
    <row r="3547" spans="1:22" ht="12.75" customHeight="1" x14ac:dyDescent="0.15">
      <c r="A3547">
        <v>31</v>
      </c>
      <c r="B3547">
        <v>2026</v>
      </c>
      <c r="C3547" s="21">
        <v>46234</v>
      </c>
      <c r="D3547" t="s">
        <v>153</v>
      </c>
      <c r="E3547" t="s">
        <v>154</v>
      </c>
      <c r="F3547" t="s">
        <v>21</v>
      </c>
      <c r="G3547">
        <v>8</v>
      </c>
      <c r="H3547" t="s">
        <v>3519</v>
      </c>
      <c r="I3547" t="s">
        <v>214</v>
      </c>
      <c r="J3547" s="1" t="s">
        <v>215</v>
      </c>
      <c r="K3547" t="s">
        <v>181</v>
      </c>
      <c r="L3547" t="s">
        <v>3340</v>
      </c>
      <c r="M3547">
        <v>53</v>
      </c>
      <c r="N3547">
        <v>0.57999999999999996</v>
      </c>
      <c r="O3547" t="s">
        <v>211</v>
      </c>
      <c r="P3547">
        <v>32</v>
      </c>
      <c r="R3547" t="s">
        <v>3373</v>
      </c>
      <c r="T3547" t="s">
        <v>3337</v>
      </c>
      <c r="V3547" t="s">
        <v>4105</v>
      </c>
    </row>
    <row r="3548" spans="1:22" ht="12.75" customHeight="1" x14ac:dyDescent="0.15">
      <c r="A3548">
        <v>31</v>
      </c>
      <c r="B3548">
        <v>2026</v>
      </c>
      <c r="C3548" s="21">
        <v>46234</v>
      </c>
      <c r="D3548" t="s">
        <v>153</v>
      </c>
      <c r="E3548" t="s">
        <v>154</v>
      </c>
      <c r="F3548" t="s">
        <v>21</v>
      </c>
      <c r="G3548">
        <v>8</v>
      </c>
      <c r="H3548" t="s">
        <v>3519</v>
      </c>
      <c r="I3548" t="s">
        <v>214</v>
      </c>
      <c r="J3548" s="1" t="s">
        <v>215</v>
      </c>
      <c r="K3548" t="s">
        <v>181</v>
      </c>
      <c r="L3548" t="s">
        <v>3340</v>
      </c>
      <c r="M3548">
        <v>62</v>
      </c>
      <c r="N3548">
        <v>0.57999999999999996</v>
      </c>
      <c r="O3548" t="s">
        <v>211</v>
      </c>
      <c r="P3548">
        <v>32</v>
      </c>
      <c r="R3548" t="s">
        <v>3375</v>
      </c>
      <c r="T3548" t="s">
        <v>3337</v>
      </c>
      <c r="V3548" t="s">
        <v>4105</v>
      </c>
    </row>
    <row r="3549" spans="1:22" ht="12.75" customHeight="1" x14ac:dyDescent="0.15">
      <c r="A3549">
        <v>31</v>
      </c>
      <c r="B3549">
        <v>2026</v>
      </c>
      <c r="C3549" s="21">
        <v>46234</v>
      </c>
      <c r="D3549" t="s">
        <v>153</v>
      </c>
      <c r="E3549" t="s">
        <v>154</v>
      </c>
      <c r="F3549" t="s">
        <v>21</v>
      </c>
      <c r="G3549">
        <v>8</v>
      </c>
      <c r="H3549" t="s">
        <v>3519</v>
      </c>
      <c r="I3549" t="s">
        <v>214</v>
      </c>
      <c r="J3549" s="1" t="s">
        <v>215</v>
      </c>
      <c r="K3549" t="s">
        <v>181</v>
      </c>
      <c r="L3549" t="s">
        <v>3340</v>
      </c>
      <c r="M3549">
        <v>81</v>
      </c>
      <c r="N3549">
        <v>0.57999999999999996</v>
      </c>
      <c r="O3549" t="s">
        <v>211</v>
      </c>
      <c r="P3549">
        <v>32</v>
      </c>
      <c r="R3549" t="s">
        <v>3374</v>
      </c>
      <c r="T3549" t="s">
        <v>3337</v>
      </c>
      <c r="V3549" t="s">
        <v>4105</v>
      </c>
    </row>
    <row r="3550" spans="1:22" ht="12.75" customHeight="1" x14ac:dyDescent="0.15">
      <c r="A3550">
        <v>31</v>
      </c>
      <c r="B3550">
        <v>2026</v>
      </c>
      <c r="C3550" s="21">
        <v>46234</v>
      </c>
      <c r="D3550" t="s">
        <v>153</v>
      </c>
      <c r="E3550" t="s">
        <v>154</v>
      </c>
      <c r="F3550" t="s">
        <v>21</v>
      </c>
      <c r="G3550">
        <v>8</v>
      </c>
      <c r="H3550" t="s">
        <v>3519</v>
      </c>
      <c r="I3550" t="s">
        <v>214</v>
      </c>
      <c r="J3550" s="1" t="s">
        <v>215</v>
      </c>
      <c r="K3550" t="s">
        <v>181</v>
      </c>
      <c r="L3550" t="s">
        <v>3340</v>
      </c>
      <c r="M3550">
        <v>45</v>
      </c>
      <c r="N3550">
        <v>0.91</v>
      </c>
      <c r="O3550" t="s">
        <v>211</v>
      </c>
      <c r="P3550">
        <v>50</v>
      </c>
      <c r="R3550" t="s">
        <v>3377</v>
      </c>
      <c r="S3550" t="s">
        <v>4661</v>
      </c>
      <c r="T3550" t="s">
        <v>3337</v>
      </c>
      <c r="V3550" t="s">
        <v>4007</v>
      </c>
    </row>
    <row r="3551" spans="1:22" ht="12.75" customHeight="1" x14ac:dyDescent="0.15">
      <c r="A3551">
        <v>31</v>
      </c>
      <c r="B3551">
        <v>2026</v>
      </c>
      <c r="C3551" s="21">
        <v>46234</v>
      </c>
      <c r="D3551" t="s">
        <v>153</v>
      </c>
      <c r="E3551" t="s">
        <v>154</v>
      </c>
      <c r="F3551" t="s">
        <v>21</v>
      </c>
      <c r="G3551">
        <v>8</v>
      </c>
      <c r="H3551" t="s">
        <v>3519</v>
      </c>
      <c r="I3551" t="s">
        <v>214</v>
      </c>
      <c r="J3551" s="1" t="s">
        <v>215</v>
      </c>
      <c r="K3551" t="s">
        <v>181</v>
      </c>
      <c r="L3551" t="s">
        <v>3340</v>
      </c>
      <c r="M3551">
        <v>58</v>
      </c>
      <c r="N3551">
        <v>0.91</v>
      </c>
      <c r="O3551" t="s">
        <v>211</v>
      </c>
      <c r="P3551">
        <v>50</v>
      </c>
      <c r="R3551" t="s">
        <v>3343</v>
      </c>
      <c r="T3551" t="s">
        <v>3337</v>
      </c>
      <c r="V3551" t="s">
        <v>4007</v>
      </c>
    </row>
    <row r="3552" spans="1:22" ht="12.75" customHeight="1" x14ac:dyDescent="0.15">
      <c r="A3552">
        <v>31</v>
      </c>
      <c r="B3552">
        <v>2026</v>
      </c>
      <c r="C3552" s="21">
        <v>46234</v>
      </c>
      <c r="D3552" t="s">
        <v>153</v>
      </c>
      <c r="E3552" t="s">
        <v>154</v>
      </c>
      <c r="F3552" t="s">
        <v>21</v>
      </c>
      <c r="G3552">
        <v>8</v>
      </c>
      <c r="H3552" t="s">
        <v>3519</v>
      </c>
      <c r="I3552" t="s">
        <v>214</v>
      </c>
      <c r="J3552" s="1" t="s">
        <v>215</v>
      </c>
      <c r="K3552" t="s">
        <v>181</v>
      </c>
      <c r="L3552" t="s">
        <v>3340</v>
      </c>
      <c r="M3552">
        <v>53</v>
      </c>
      <c r="N3552">
        <v>0.91</v>
      </c>
      <c r="O3552" t="s">
        <v>211</v>
      </c>
      <c r="P3552">
        <v>50</v>
      </c>
      <c r="R3552" t="s">
        <v>3373</v>
      </c>
      <c r="T3552" t="s">
        <v>3337</v>
      </c>
      <c r="V3552" t="s">
        <v>4007</v>
      </c>
    </row>
    <row r="3553" spans="1:22" ht="12.75" customHeight="1" x14ac:dyDescent="0.15">
      <c r="A3553">
        <v>31</v>
      </c>
      <c r="B3553">
        <v>2026</v>
      </c>
      <c r="C3553" s="21">
        <v>46234</v>
      </c>
      <c r="D3553" t="s">
        <v>153</v>
      </c>
      <c r="E3553" t="s">
        <v>154</v>
      </c>
      <c r="F3553" t="s">
        <v>21</v>
      </c>
      <c r="G3553">
        <v>8</v>
      </c>
      <c r="H3553" t="s">
        <v>3519</v>
      </c>
      <c r="I3553" t="s">
        <v>214</v>
      </c>
      <c r="J3553" s="1" t="s">
        <v>215</v>
      </c>
      <c r="K3553" t="s">
        <v>181</v>
      </c>
      <c r="L3553" t="s">
        <v>3340</v>
      </c>
      <c r="M3553">
        <v>62</v>
      </c>
      <c r="N3553">
        <v>0.91</v>
      </c>
      <c r="O3553" t="s">
        <v>211</v>
      </c>
      <c r="P3553">
        <v>50</v>
      </c>
      <c r="R3553" t="s">
        <v>3375</v>
      </c>
      <c r="T3553" t="s">
        <v>3337</v>
      </c>
      <c r="V3553" t="s">
        <v>4007</v>
      </c>
    </row>
    <row r="3554" spans="1:22" ht="12.75" customHeight="1" x14ac:dyDescent="0.15">
      <c r="A3554">
        <v>31</v>
      </c>
      <c r="B3554">
        <v>2026</v>
      </c>
      <c r="C3554" s="21">
        <v>46234</v>
      </c>
      <c r="D3554" t="s">
        <v>107</v>
      </c>
      <c r="E3554" t="s">
        <v>108</v>
      </c>
      <c r="F3554" t="s">
        <v>21</v>
      </c>
      <c r="G3554">
        <v>4.5</v>
      </c>
      <c r="H3554" t="s">
        <v>3514</v>
      </c>
      <c r="I3554" t="s">
        <v>366</v>
      </c>
      <c r="J3554" s="1" t="s">
        <v>215</v>
      </c>
      <c r="K3554" t="s">
        <v>181</v>
      </c>
      <c r="L3554" t="s">
        <v>3340</v>
      </c>
      <c r="M3554">
        <v>81</v>
      </c>
      <c r="N3554">
        <v>0.49</v>
      </c>
      <c r="O3554" t="s">
        <v>211</v>
      </c>
      <c r="P3554">
        <v>27</v>
      </c>
      <c r="Q3554">
        <v>3</v>
      </c>
      <c r="R3554" t="s">
        <v>3374</v>
      </c>
      <c r="T3554" t="s">
        <v>3337</v>
      </c>
      <c r="U3554">
        <v>77</v>
      </c>
      <c r="V3554" t="s">
        <v>4204</v>
      </c>
    </row>
    <row r="3555" spans="1:22" ht="12.75" customHeight="1" x14ac:dyDescent="0.15">
      <c r="A3555">
        <v>31</v>
      </c>
      <c r="B3555">
        <v>2026</v>
      </c>
      <c r="C3555" s="21">
        <v>46234</v>
      </c>
      <c r="D3555" t="s">
        <v>53</v>
      </c>
      <c r="E3555" t="s">
        <v>54</v>
      </c>
      <c r="F3555" t="s">
        <v>21</v>
      </c>
      <c r="G3555">
        <v>2</v>
      </c>
      <c r="H3555" t="s">
        <v>3400</v>
      </c>
      <c r="I3555" t="s">
        <v>353</v>
      </c>
      <c r="J3555" s="1" t="s">
        <v>253</v>
      </c>
      <c r="K3555" t="s">
        <v>181</v>
      </c>
      <c r="L3555" t="s">
        <v>23</v>
      </c>
      <c r="M3555">
        <v>176</v>
      </c>
      <c r="P3555">
        <v>275</v>
      </c>
      <c r="R3555" t="s">
        <v>4361</v>
      </c>
      <c r="S3555" t="s">
        <v>4662</v>
      </c>
      <c r="T3555" t="s">
        <v>3337</v>
      </c>
      <c r="U3555">
        <v>148</v>
      </c>
      <c r="V3555" t="s">
        <v>4205</v>
      </c>
    </row>
    <row r="3556" spans="1:22" ht="12.75" customHeight="1" x14ac:dyDescent="0.15">
      <c r="A3556">
        <v>31</v>
      </c>
      <c r="B3556">
        <v>2026</v>
      </c>
      <c r="C3556" s="21">
        <v>46234</v>
      </c>
      <c r="D3556" t="s">
        <v>53</v>
      </c>
      <c r="E3556" t="s">
        <v>54</v>
      </c>
      <c r="F3556" t="s">
        <v>21</v>
      </c>
      <c r="G3556">
        <v>2</v>
      </c>
      <c r="H3556" t="s">
        <v>3400</v>
      </c>
      <c r="I3556" t="s">
        <v>353</v>
      </c>
      <c r="J3556" s="1" t="s">
        <v>253</v>
      </c>
      <c r="K3556" t="s">
        <v>181</v>
      </c>
      <c r="L3556" t="s">
        <v>3340</v>
      </c>
      <c r="M3556">
        <v>25</v>
      </c>
      <c r="N3556">
        <v>1</v>
      </c>
      <c r="O3556" t="s">
        <v>211</v>
      </c>
      <c r="P3556">
        <v>55</v>
      </c>
      <c r="R3556" t="s">
        <v>3413</v>
      </c>
      <c r="T3556" t="s">
        <v>3337</v>
      </c>
      <c r="U3556">
        <v>148</v>
      </c>
      <c r="V3556" t="s">
        <v>209</v>
      </c>
    </row>
    <row r="3557" spans="1:22" ht="12.75" customHeight="1" x14ac:dyDescent="0.15">
      <c r="A3557">
        <v>31</v>
      </c>
      <c r="B3557">
        <v>2026</v>
      </c>
      <c r="C3557" s="21">
        <v>46234</v>
      </c>
      <c r="D3557" t="s">
        <v>139</v>
      </c>
      <c r="E3557" t="s">
        <v>140</v>
      </c>
      <c r="F3557" t="s">
        <v>75</v>
      </c>
      <c r="G3557">
        <v>0.8</v>
      </c>
      <c r="H3557" t="s">
        <v>4649</v>
      </c>
      <c r="I3557" t="s">
        <v>4650</v>
      </c>
      <c r="J3557" s="1" t="s">
        <v>30</v>
      </c>
      <c r="K3557" t="s">
        <v>3705</v>
      </c>
      <c r="L3557" t="s">
        <v>3333</v>
      </c>
      <c r="M3557">
        <v>2</v>
      </c>
      <c r="N3557">
        <v>1</v>
      </c>
      <c r="O3557" t="s">
        <v>3440</v>
      </c>
      <c r="P3557">
        <v>90.49</v>
      </c>
      <c r="Q3557">
        <v>8</v>
      </c>
      <c r="R3557" t="s">
        <v>3424</v>
      </c>
      <c r="T3557" t="s">
        <v>3337</v>
      </c>
      <c r="U3557">
        <v>66</v>
      </c>
      <c r="V3557" t="s">
        <v>4313</v>
      </c>
    </row>
    <row r="3558" spans="1:22" ht="12.75" customHeight="1" x14ac:dyDescent="0.15">
      <c r="A3558">
        <v>31</v>
      </c>
      <c r="B3558">
        <v>2026</v>
      </c>
      <c r="C3558" s="21">
        <v>46234</v>
      </c>
      <c r="D3558" t="s">
        <v>139</v>
      </c>
      <c r="E3558" t="s">
        <v>140</v>
      </c>
      <c r="F3558" t="s">
        <v>75</v>
      </c>
      <c r="G3558">
        <v>0.8</v>
      </c>
      <c r="H3558" t="s">
        <v>4649</v>
      </c>
      <c r="I3558" t="s">
        <v>4650</v>
      </c>
      <c r="J3558" s="1" t="s">
        <v>30</v>
      </c>
      <c r="K3558" t="s">
        <v>3705</v>
      </c>
      <c r="L3558" t="s">
        <v>23</v>
      </c>
      <c r="M3558">
        <v>198</v>
      </c>
      <c r="P3558">
        <v>1295</v>
      </c>
      <c r="R3558" t="s">
        <v>3746</v>
      </c>
      <c r="T3558" t="s">
        <v>3337</v>
      </c>
      <c r="U3558">
        <v>66</v>
      </c>
      <c r="V3558" t="s">
        <v>4663</v>
      </c>
    </row>
    <row r="3559" spans="1:22" ht="12.75" customHeight="1" x14ac:dyDescent="0.15">
      <c r="A3559">
        <v>31</v>
      </c>
      <c r="B3559">
        <v>2026</v>
      </c>
      <c r="C3559" s="21">
        <v>46234</v>
      </c>
      <c r="D3559" t="s">
        <v>139</v>
      </c>
      <c r="E3559" t="s">
        <v>140</v>
      </c>
      <c r="F3559" t="s">
        <v>75</v>
      </c>
      <c r="G3559">
        <v>0.8</v>
      </c>
      <c r="H3559" t="s">
        <v>4649</v>
      </c>
      <c r="I3559" t="s">
        <v>4650</v>
      </c>
      <c r="J3559" s="1" t="s">
        <v>30</v>
      </c>
      <c r="K3559" t="s">
        <v>3705</v>
      </c>
      <c r="L3559" t="s">
        <v>3340</v>
      </c>
      <c r="M3559">
        <v>2</v>
      </c>
      <c r="N3559">
        <v>0.16</v>
      </c>
      <c r="O3559" t="s">
        <v>211</v>
      </c>
      <c r="P3559">
        <v>9</v>
      </c>
      <c r="Q3559">
        <v>1</v>
      </c>
      <c r="R3559" t="s">
        <v>3424</v>
      </c>
      <c r="T3559" t="s">
        <v>3337</v>
      </c>
      <c r="U3559">
        <v>66</v>
      </c>
      <c r="V3559" t="s">
        <v>3561</v>
      </c>
    </row>
    <row r="3560" spans="1:22" ht="12.75" customHeight="1" x14ac:dyDescent="0.15">
      <c r="A3560">
        <v>31</v>
      </c>
      <c r="B3560">
        <v>2026</v>
      </c>
      <c r="C3560" s="21">
        <v>46234</v>
      </c>
      <c r="D3560" t="s">
        <v>153</v>
      </c>
      <c r="E3560" t="s">
        <v>154</v>
      </c>
      <c r="F3560" t="s">
        <v>21</v>
      </c>
      <c r="G3560">
        <v>8</v>
      </c>
      <c r="H3560" t="s">
        <v>3505</v>
      </c>
      <c r="I3560" t="s">
        <v>29</v>
      </c>
      <c r="J3560" s="1" t="s">
        <v>30</v>
      </c>
      <c r="K3560" t="s">
        <v>181</v>
      </c>
      <c r="L3560" t="s">
        <v>23</v>
      </c>
      <c r="M3560">
        <v>195</v>
      </c>
      <c r="P3560">
        <v>4340</v>
      </c>
      <c r="R3560" t="s">
        <v>4664</v>
      </c>
      <c r="S3560" t="s">
        <v>4665</v>
      </c>
      <c r="T3560" t="s">
        <v>3337</v>
      </c>
      <c r="V3560" t="s">
        <v>4666</v>
      </c>
    </row>
    <row r="3561" spans="1:22" ht="12.75" customHeight="1" x14ac:dyDescent="0.15">
      <c r="A3561">
        <v>31</v>
      </c>
      <c r="B3561">
        <v>2026</v>
      </c>
      <c r="C3561" s="21">
        <v>46234</v>
      </c>
      <c r="D3561" t="s">
        <v>153</v>
      </c>
      <c r="E3561" t="s">
        <v>154</v>
      </c>
      <c r="F3561" t="s">
        <v>21</v>
      </c>
      <c r="G3561">
        <v>8</v>
      </c>
      <c r="H3561" t="s">
        <v>3505</v>
      </c>
      <c r="I3561" t="s">
        <v>29</v>
      </c>
      <c r="J3561" s="1" t="s">
        <v>30</v>
      </c>
      <c r="K3561" t="s">
        <v>181</v>
      </c>
      <c r="L3561" t="s">
        <v>23</v>
      </c>
      <c r="M3561">
        <v>198</v>
      </c>
      <c r="P3561">
        <v>6365</v>
      </c>
      <c r="R3561" t="s">
        <v>3746</v>
      </c>
      <c r="S3561" t="s">
        <v>4667</v>
      </c>
      <c r="T3561" t="s">
        <v>3337</v>
      </c>
      <c r="V3561" t="s">
        <v>4668</v>
      </c>
    </row>
    <row r="3562" spans="1:22" ht="12.75" customHeight="1" x14ac:dyDescent="0.15">
      <c r="A3562">
        <v>31</v>
      </c>
      <c r="B3562">
        <v>2026</v>
      </c>
      <c r="C3562" s="21">
        <v>46234</v>
      </c>
      <c r="D3562" t="s">
        <v>153</v>
      </c>
      <c r="E3562" t="s">
        <v>154</v>
      </c>
      <c r="F3562" t="s">
        <v>21</v>
      </c>
      <c r="G3562">
        <v>8</v>
      </c>
      <c r="H3562" t="s">
        <v>3505</v>
      </c>
      <c r="I3562" t="s">
        <v>29</v>
      </c>
      <c r="J3562" s="1" t="s">
        <v>30</v>
      </c>
      <c r="K3562" t="s">
        <v>181</v>
      </c>
      <c r="L3562" t="s">
        <v>23</v>
      </c>
      <c r="M3562">
        <v>198</v>
      </c>
      <c r="P3562">
        <v>10700</v>
      </c>
      <c r="R3562" t="s">
        <v>3746</v>
      </c>
      <c r="S3562" t="s">
        <v>4669</v>
      </c>
      <c r="T3562" t="s">
        <v>3337</v>
      </c>
      <c r="V3562" t="s">
        <v>4670</v>
      </c>
    </row>
    <row r="3563" spans="1:22" ht="12.75" customHeight="1" x14ac:dyDescent="0.15">
      <c r="A3563">
        <v>31</v>
      </c>
      <c r="B3563">
        <v>2026</v>
      </c>
      <c r="C3563" s="21">
        <v>46234</v>
      </c>
      <c r="D3563" t="s">
        <v>153</v>
      </c>
      <c r="E3563" t="s">
        <v>154</v>
      </c>
      <c r="F3563" t="s">
        <v>21</v>
      </c>
      <c r="G3563">
        <v>8</v>
      </c>
      <c r="H3563" t="s">
        <v>3346</v>
      </c>
      <c r="I3563" t="s">
        <v>212</v>
      </c>
      <c r="J3563" s="1" t="s">
        <v>188</v>
      </c>
      <c r="K3563" t="s">
        <v>181</v>
      </c>
      <c r="L3563" t="s">
        <v>3333</v>
      </c>
      <c r="M3563">
        <v>6</v>
      </c>
      <c r="N3563">
        <v>1</v>
      </c>
      <c r="O3563" t="s">
        <v>3334</v>
      </c>
      <c r="P3563">
        <v>81.58</v>
      </c>
      <c r="Q3563">
        <v>8</v>
      </c>
      <c r="R3563" t="s">
        <v>3335</v>
      </c>
      <c r="T3563" t="s">
        <v>3337</v>
      </c>
      <c r="V3563" t="s">
        <v>3472</v>
      </c>
    </row>
    <row r="3564" spans="1:22" ht="12.75" customHeight="1" x14ac:dyDescent="0.15">
      <c r="A3564">
        <v>31</v>
      </c>
      <c r="B3564">
        <v>2026</v>
      </c>
      <c r="C3564" s="21">
        <v>46234</v>
      </c>
      <c r="D3564" t="s">
        <v>80</v>
      </c>
      <c r="E3564" t="s">
        <v>81</v>
      </c>
      <c r="F3564" t="s">
        <v>21</v>
      </c>
      <c r="G3564">
        <v>2.2999999999999998</v>
      </c>
      <c r="H3564" t="s">
        <v>3454</v>
      </c>
      <c r="I3564" t="s">
        <v>212</v>
      </c>
      <c r="J3564" s="1" t="s">
        <v>188</v>
      </c>
      <c r="K3564" t="s">
        <v>181</v>
      </c>
      <c r="L3564" t="s">
        <v>3333</v>
      </c>
      <c r="M3564">
        <v>1</v>
      </c>
      <c r="N3564">
        <v>1</v>
      </c>
      <c r="O3564" t="s">
        <v>3358</v>
      </c>
      <c r="P3564">
        <v>71.86</v>
      </c>
      <c r="Q3564">
        <v>8</v>
      </c>
      <c r="R3564" t="s">
        <v>3359</v>
      </c>
      <c r="T3564" t="s">
        <v>3337</v>
      </c>
      <c r="U3564">
        <v>120</v>
      </c>
      <c r="V3564" t="s">
        <v>3611</v>
      </c>
    </row>
    <row r="3565" spans="1:22" ht="12.75" customHeight="1" x14ac:dyDescent="0.15">
      <c r="A3565">
        <v>31</v>
      </c>
      <c r="B3565">
        <v>2026</v>
      </c>
      <c r="C3565" s="21">
        <v>46234</v>
      </c>
      <c r="D3565" t="s">
        <v>153</v>
      </c>
      <c r="E3565" t="s">
        <v>154</v>
      </c>
      <c r="F3565" t="s">
        <v>21</v>
      </c>
      <c r="G3565">
        <v>8</v>
      </c>
      <c r="H3565" t="s">
        <v>4647</v>
      </c>
      <c r="I3565" t="s">
        <v>4418</v>
      </c>
      <c r="J3565" s="1" t="s">
        <v>4383</v>
      </c>
      <c r="K3565" t="s">
        <v>2666</v>
      </c>
      <c r="L3565" t="s">
        <v>3587</v>
      </c>
      <c r="P3565">
        <v>40</v>
      </c>
      <c r="T3565" t="s">
        <v>3402</v>
      </c>
      <c r="V3565" t="s">
        <v>3504</v>
      </c>
    </row>
    <row r="3566" spans="1:22" ht="12.75" customHeight="1" x14ac:dyDescent="0.15">
      <c r="A3566">
        <v>31</v>
      </c>
      <c r="B3566">
        <v>2026</v>
      </c>
      <c r="C3566" s="21">
        <v>46234</v>
      </c>
      <c r="D3566" t="s">
        <v>153</v>
      </c>
      <c r="E3566" t="s">
        <v>154</v>
      </c>
      <c r="F3566" t="s">
        <v>21</v>
      </c>
      <c r="G3566">
        <v>8</v>
      </c>
      <c r="H3566" t="s">
        <v>4671</v>
      </c>
      <c r="I3566" t="s">
        <v>180</v>
      </c>
      <c r="J3566" s="1" t="s">
        <v>26</v>
      </c>
      <c r="K3566" t="s">
        <v>181</v>
      </c>
      <c r="L3566" t="s">
        <v>3587</v>
      </c>
      <c r="M3566">
        <v>34</v>
      </c>
      <c r="N3566">
        <v>0.82</v>
      </c>
      <c r="O3566" t="s">
        <v>211</v>
      </c>
      <c r="P3566">
        <v>45</v>
      </c>
      <c r="Q3566">
        <v>5</v>
      </c>
      <c r="R3566" t="s">
        <v>4654</v>
      </c>
      <c r="T3566" t="s">
        <v>3402</v>
      </c>
      <c r="V3566" t="s">
        <v>4008</v>
      </c>
    </row>
    <row r="3567" spans="1:22" ht="12.75" customHeight="1" x14ac:dyDescent="0.15">
      <c r="A3567">
        <v>31</v>
      </c>
      <c r="B3567">
        <v>2026</v>
      </c>
      <c r="C3567" s="21">
        <v>46234</v>
      </c>
      <c r="D3567" t="s">
        <v>107</v>
      </c>
      <c r="E3567" t="s">
        <v>108</v>
      </c>
      <c r="F3567" t="s">
        <v>21</v>
      </c>
      <c r="G3567">
        <v>4.5</v>
      </c>
      <c r="H3567" t="s">
        <v>4378</v>
      </c>
      <c r="I3567" t="s">
        <v>4379</v>
      </c>
      <c r="J3567" s="1" t="s">
        <v>215</v>
      </c>
      <c r="K3567" t="s">
        <v>181</v>
      </c>
      <c r="L3567" t="s">
        <v>3340</v>
      </c>
      <c r="M3567">
        <v>34</v>
      </c>
      <c r="N3567">
        <v>0.55000000000000004</v>
      </c>
      <c r="O3567" t="s">
        <v>211</v>
      </c>
      <c r="P3567">
        <v>30</v>
      </c>
      <c r="Q3567">
        <v>3</v>
      </c>
      <c r="R3567" t="s">
        <v>4654</v>
      </c>
      <c r="T3567" t="s">
        <v>3402</v>
      </c>
      <c r="U3567">
        <v>77</v>
      </c>
      <c r="V3567" t="s">
        <v>3382</v>
      </c>
    </row>
    <row r="3568" spans="1:22" ht="12.75" customHeight="1" x14ac:dyDescent="0.15">
      <c r="A3568">
        <v>31</v>
      </c>
      <c r="B3568">
        <v>2026</v>
      </c>
      <c r="C3568" s="21">
        <v>46234</v>
      </c>
      <c r="D3568" t="s">
        <v>107</v>
      </c>
      <c r="E3568" t="s">
        <v>108</v>
      </c>
      <c r="F3568" t="s">
        <v>21</v>
      </c>
      <c r="G3568">
        <v>4.5</v>
      </c>
      <c r="H3568" t="s">
        <v>4381</v>
      </c>
      <c r="I3568" t="s">
        <v>4382</v>
      </c>
      <c r="J3568" s="1" t="s">
        <v>4383</v>
      </c>
      <c r="K3568" t="s">
        <v>2666</v>
      </c>
      <c r="L3568" t="s">
        <v>3587</v>
      </c>
      <c r="P3568">
        <v>24</v>
      </c>
      <c r="S3568" t="s">
        <v>4672</v>
      </c>
      <c r="T3568" t="s">
        <v>3402</v>
      </c>
      <c r="U3568">
        <v>77</v>
      </c>
      <c r="V3568" t="s">
        <v>4310</v>
      </c>
    </row>
    <row r="3569" spans="1:22" ht="12.75" customHeight="1" x14ac:dyDescent="0.15">
      <c r="A3569">
        <v>31</v>
      </c>
      <c r="B3569">
        <v>2026</v>
      </c>
      <c r="C3569" s="21">
        <v>46234</v>
      </c>
      <c r="D3569" t="s">
        <v>68</v>
      </c>
      <c r="E3569" t="s">
        <v>69</v>
      </c>
      <c r="F3569" t="s">
        <v>21</v>
      </c>
      <c r="G3569">
        <v>1</v>
      </c>
      <c r="H3569" t="s">
        <v>3803</v>
      </c>
      <c r="I3569" t="s">
        <v>3676</v>
      </c>
      <c r="J3569" s="1" t="s">
        <v>3533</v>
      </c>
      <c r="K3569" t="s">
        <v>181</v>
      </c>
      <c r="L3569" t="s">
        <v>3333</v>
      </c>
      <c r="M3569">
        <v>4</v>
      </c>
      <c r="N3569">
        <v>1</v>
      </c>
      <c r="O3569" t="s">
        <v>3334</v>
      </c>
      <c r="P3569">
        <v>81.58</v>
      </c>
      <c r="Q3569">
        <v>8</v>
      </c>
      <c r="R3569" t="s">
        <v>3773</v>
      </c>
      <c r="T3569" t="s">
        <v>3402</v>
      </c>
      <c r="U3569">
        <v>120</v>
      </c>
      <c r="V3569" t="s">
        <v>3334</v>
      </c>
    </row>
    <row r="3570" spans="1:22" ht="12.75" customHeight="1" x14ac:dyDescent="0.15">
      <c r="A3570">
        <v>31</v>
      </c>
      <c r="B3570">
        <v>2026</v>
      </c>
      <c r="C3570" s="21">
        <v>46234</v>
      </c>
      <c r="D3570" t="s">
        <v>3749</v>
      </c>
      <c r="E3570" t="s">
        <v>676</v>
      </c>
      <c r="F3570" t="s">
        <v>676</v>
      </c>
      <c r="G3570">
        <v>1</v>
      </c>
      <c r="H3570" t="s">
        <v>3750</v>
      </c>
      <c r="I3570" t="s">
        <v>3751</v>
      </c>
      <c r="J3570" s="1" t="s">
        <v>676</v>
      </c>
      <c r="K3570" t="s">
        <v>181</v>
      </c>
      <c r="L3570" t="s">
        <v>3333</v>
      </c>
      <c r="M3570">
        <v>67</v>
      </c>
      <c r="N3570">
        <v>1</v>
      </c>
      <c r="O3570" t="s">
        <v>3334</v>
      </c>
      <c r="P3570">
        <v>81.58</v>
      </c>
      <c r="Q3570">
        <v>8</v>
      </c>
      <c r="R3570" t="s">
        <v>3404</v>
      </c>
      <c r="S3570" t="s">
        <v>4673</v>
      </c>
      <c r="T3570" t="s">
        <v>3402</v>
      </c>
      <c r="U3570">
        <v>211</v>
      </c>
      <c r="V3570" t="s">
        <v>3334</v>
      </c>
    </row>
    <row r="3571" spans="1:22" ht="12.75" customHeight="1" x14ac:dyDescent="0.15">
      <c r="A3571">
        <v>31</v>
      </c>
      <c r="B3571">
        <v>2026</v>
      </c>
      <c r="C3571" s="21">
        <v>46234</v>
      </c>
      <c r="D3571" t="s">
        <v>3749</v>
      </c>
      <c r="E3571" t="s">
        <v>676</v>
      </c>
      <c r="F3571" t="s">
        <v>676</v>
      </c>
      <c r="G3571">
        <v>1</v>
      </c>
      <c r="H3571" t="s">
        <v>3750</v>
      </c>
      <c r="I3571" t="s">
        <v>3751</v>
      </c>
      <c r="J3571" s="1" t="s">
        <v>676</v>
      </c>
      <c r="K3571" t="s">
        <v>181</v>
      </c>
      <c r="L3571" t="s">
        <v>3340</v>
      </c>
      <c r="M3571">
        <v>86</v>
      </c>
      <c r="N3571">
        <v>1.45</v>
      </c>
      <c r="O3571" t="s">
        <v>211</v>
      </c>
      <c r="P3571">
        <v>80</v>
      </c>
      <c r="R3571" t="s">
        <v>3386</v>
      </c>
      <c r="S3571" t="s">
        <v>4674</v>
      </c>
      <c r="T3571" t="s">
        <v>3402</v>
      </c>
      <c r="U3571">
        <v>211</v>
      </c>
      <c r="V3571" t="s">
        <v>216</v>
      </c>
    </row>
    <row r="3572" spans="1:22" ht="12.75" customHeight="1" x14ac:dyDescent="0.15">
      <c r="A3572">
        <v>31</v>
      </c>
      <c r="B3572">
        <v>2026</v>
      </c>
      <c r="C3572" s="21">
        <v>46234</v>
      </c>
      <c r="D3572" t="s">
        <v>3749</v>
      </c>
      <c r="E3572" t="s">
        <v>676</v>
      </c>
      <c r="F3572" t="s">
        <v>676</v>
      </c>
      <c r="G3572">
        <v>1</v>
      </c>
      <c r="H3572" t="s">
        <v>3750</v>
      </c>
      <c r="I3572" t="s">
        <v>3751</v>
      </c>
      <c r="J3572" s="1" t="s">
        <v>676</v>
      </c>
      <c r="K3572" t="s">
        <v>181</v>
      </c>
      <c r="L3572" t="s">
        <v>3340</v>
      </c>
      <c r="M3572">
        <v>79</v>
      </c>
      <c r="N3572">
        <v>3.05</v>
      </c>
      <c r="O3572" t="s">
        <v>211</v>
      </c>
      <c r="P3572">
        <v>168</v>
      </c>
      <c r="R3572" t="s">
        <v>3401</v>
      </c>
      <c r="S3572" t="s">
        <v>4675</v>
      </c>
      <c r="T3572" t="s">
        <v>3402</v>
      </c>
      <c r="U3572">
        <v>211</v>
      </c>
      <c r="V3572" t="s">
        <v>4676</v>
      </c>
    </row>
    <row r="3573" spans="1:22" ht="12.75" customHeight="1" x14ac:dyDescent="0.15">
      <c r="A3573">
        <v>31</v>
      </c>
      <c r="B3573">
        <v>2026</v>
      </c>
      <c r="C3573" s="21">
        <v>46234</v>
      </c>
      <c r="D3573" t="s">
        <v>3749</v>
      </c>
      <c r="E3573" t="s">
        <v>676</v>
      </c>
      <c r="F3573" t="s">
        <v>676</v>
      </c>
      <c r="G3573">
        <v>1</v>
      </c>
      <c r="H3573" t="s">
        <v>3750</v>
      </c>
      <c r="I3573" t="s">
        <v>3751</v>
      </c>
      <c r="J3573" s="1" t="s">
        <v>676</v>
      </c>
      <c r="K3573" t="s">
        <v>181</v>
      </c>
      <c r="L3573" t="s">
        <v>3340</v>
      </c>
      <c r="M3573">
        <v>67</v>
      </c>
      <c r="N3573">
        <v>1.75</v>
      </c>
      <c r="O3573" t="s">
        <v>211</v>
      </c>
      <c r="P3573">
        <v>96.4</v>
      </c>
      <c r="R3573" t="s">
        <v>3404</v>
      </c>
      <c r="S3573" t="s">
        <v>4677</v>
      </c>
      <c r="T3573" t="s">
        <v>3402</v>
      </c>
      <c r="U3573">
        <v>211</v>
      </c>
      <c r="V3573" t="s">
        <v>4678</v>
      </c>
    </row>
    <row r="3574" spans="1:22" ht="12.75" customHeight="1" x14ac:dyDescent="0.15">
      <c r="A3574">
        <v>31</v>
      </c>
      <c r="B3574">
        <v>2026</v>
      </c>
      <c r="C3574" s="21">
        <v>46234</v>
      </c>
      <c r="D3574" t="s">
        <v>139</v>
      </c>
      <c r="E3574" t="s">
        <v>140</v>
      </c>
      <c r="F3574" t="s">
        <v>75</v>
      </c>
      <c r="G3574">
        <v>0.8</v>
      </c>
      <c r="H3574" t="s">
        <v>3730</v>
      </c>
      <c r="I3574" t="s">
        <v>3731</v>
      </c>
      <c r="J3574" s="1" t="s">
        <v>3732</v>
      </c>
      <c r="K3574" t="s">
        <v>181</v>
      </c>
      <c r="L3574" t="s">
        <v>3340</v>
      </c>
      <c r="M3574">
        <v>67</v>
      </c>
      <c r="N3574">
        <v>0.25</v>
      </c>
      <c r="O3574" t="s">
        <v>211</v>
      </c>
      <c r="P3574">
        <v>13.5</v>
      </c>
      <c r="Q3574">
        <v>1.5</v>
      </c>
      <c r="R3574" t="s">
        <v>3404</v>
      </c>
      <c r="S3574" t="s">
        <v>4679</v>
      </c>
      <c r="T3574" t="s">
        <v>3402</v>
      </c>
      <c r="U3574">
        <v>66</v>
      </c>
      <c r="V3574" t="s">
        <v>3651</v>
      </c>
    </row>
    <row r="3575" spans="1:22" ht="12.75" customHeight="1" x14ac:dyDescent="0.15">
      <c r="A3575">
        <v>31</v>
      </c>
      <c r="B3575">
        <v>2026</v>
      </c>
      <c r="C3575" s="21">
        <v>46234</v>
      </c>
      <c r="D3575" t="s">
        <v>139</v>
      </c>
      <c r="E3575" t="s">
        <v>140</v>
      </c>
      <c r="F3575" t="s">
        <v>75</v>
      </c>
      <c r="G3575">
        <v>0.8</v>
      </c>
      <c r="H3575" t="s">
        <v>3730</v>
      </c>
      <c r="I3575" t="s">
        <v>3731</v>
      </c>
      <c r="J3575" s="1" t="s">
        <v>3732</v>
      </c>
      <c r="K3575" t="s">
        <v>181</v>
      </c>
      <c r="L3575" t="s">
        <v>3340</v>
      </c>
      <c r="M3575">
        <v>79</v>
      </c>
      <c r="N3575">
        <v>0.25</v>
      </c>
      <c r="O3575" t="s">
        <v>211</v>
      </c>
      <c r="P3575">
        <v>13.5</v>
      </c>
      <c r="Q3575">
        <v>1.5</v>
      </c>
      <c r="R3575" t="s">
        <v>3401</v>
      </c>
      <c r="S3575" t="s">
        <v>4680</v>
      </c>
      <c r="T3575" t="s">
        <v>3402</v>
      </c>
      <c r="U3575">
        <v>66</v>
      </c>
      <c r="V3575" t="s">
        <v>3651</v>
      </c>
    </row>
    <row r="3576" spans="1:22" ht="12.75" customHeight="1" x14ac:dyDescent="0.15">
      <c r="A3576">
        <v>31</v>
      </c>
      <c r="B3576">
        <v>2026</v>
      </c>
      <c r="C3576" s="21">
        <v>46234</v>
      </c>
      <c r="D3576" t="s">
        <v>3749</v>
      </c>
      <c r="E3576" t="s">
        <v>676</v>
      </c>
      <c r="F3576" t="s">
        <v>676</v>
      </c>
      <c r="G3576">
        <v>1</v>
      </c>
      <c r="H3576" t="s">
        <v>3750</v>
      </c>
      <c r="I3576" t="s">
        <v>3751</v>
      </c>
      <c r="J3576" s="1" t="s">
        <v>676</v>
      </c>
      <c r="K3576" t="s">
        <v>181</v>
      </c>
      <c r="L3576" t="s">
        <v>3340</v>
      </c>
      <c r="M3576">
        <v>78</v>
      </c>
      <c r="N3576">
        <v>0.36</v>
      </c>
      <c r="O3576" t="s">
        <v>211</v>
      </c>
      <c r="P3576">
        <v>20</v>
      </c>
      <c r="R3576" t="s">
        <v>3341</v>
      </c>
      <c r="T3576" t="s">
        <v>3402</v>
      </c>
      <c r="U3576">
        <v>211</v>
      </c>
      <c r="V3576" t="s">
        <v>257</v>
      </c>
    </row>
    <row r="3577" spans="1:22" ht="12.75" customHeight="1" x14ac:dyDescent="0.15">
      <c r="A3577">
        <v>31</v>
      </c>
      <c r="B3577">
        <v>2026</v>
      </c>
      <c r="C3577" s="21">
        <v>46234</v>
      </c>
      <c r="D3577" t="s">
        <v>153</v>
      </c>
      <c r="E3577" t="s">
        <v>154</v>
      </c>
      <c r="F3577" t="s">
        <v>21</v>
      </c>
      <c r="G3577">
        <v>8</v>
      </c>
      <c r="H3577" t="s">
        <v>4681</v>
      </c>
      <c r="I3577" t="s">
        <v>4357</v>
      </c>
      <c r="J3577" s="1" t="s">
        <v>188</v>
      </c>
      <c r="K3577" t="s">
        <v>181</v>
      </c>
      <c r="L3577" t="s">
        <v>3340</v>
      </c>
      <c r="M3577">
        <v>78</v>
      </c>
      <c r="N3577">
        <v>1.45</v>
      </c>
      <c r="O3577" t="s">
        <v>211</v>
      </c>
      <c r="P3577">
        <v>80</v>
      </c>
      <c r="R3577" t="s">
        <v>3341</v>
      </c>
      <c r="T3577" t="s">
        <v>3402</v>
      </c>
      <c r="V3577" t="s">
        <v>3711</v>
      </c>
    </row>
    <row r="3578" spans="1:22" ht="12.75" customHeight="1" x14ac:dyDescent="0.15">
      <c r="A3578">
        <v>31</v>
      </c>
      <c r="B3578">
        <v>2026</v>
      </c>
      <c r="C3578" s="21">
        <v>46234</v>
      </c>
      <c r="D3578" t="s">
        <v>437</v>
      </c>
      <c r="E3578" t="s">
        <v>437</v>
      </c>
      <c r="F3578" t="s">
        <v>4435</v>
      </c>
      <c r="G3578">
        <v>1</v>
      </c>
      <c r="H3578" t="s">
        <v>4302</v>
      </c>
      <c r="I3578" t="s">
        <v>4303</v>
      </c>
      <c r="J3578" s="1" t="s">
        <v>4304</v>
      </c>
      <c r="K3578" t="s">
        <v>181</v>
      </c>
      <c r="L3578" t="s">
        <v>3333</v>
      </c>
      <c r="M3578">
        <v>7</v>
      </c>
      <c r="N3578">
        <v>1</v>
      </c>
      <c r="O3578" t="s">
        <v>4436</v>
      </c>
      <c r="P3578">
        <v>60.33</v>
      </c>
      <c r="Q3578">
        <v>8</v>
      </c>
      <c r="R3578" t="s">
        <v>4437</v>
      </c>
      <c r="T3578" t="s">
        <v>3402</v>
      </c>
      <c r="U3578">
        <v>211</v>
      </c>
      <c r="V3578" t="s">
        <v>4436</v>
      </c>
    </row>
    <row r="3579" spans="1:22" ht="12.75" customHeight="1" x14ac:dyDescent="0.15">
      <c r="A3579">
        <v>31</v>
      </c>
      <c r="B3579">
        <v>2026</v>
      </c>
      <c r="C3579" s="21">
        <v>46234</v>
      </c>
      <c r="D3579" t="s">
        <v>3749</v>
      </c>
      <c r="E3579" t="s">
        <v>676</v>
      </c>
      <c r="F3579" t="s">
        <v>676</v>
      </c>
      <c r="G3579">
        <v>1</v>
      </c>
      <c r="H3579" t="s">
        <v>4438</v>
      </c>
      <c r="I3579" t="s">
        <v>4439</v>
      </c>
      <c r="J3579" s="1" t="s">
        <v>4383</v>
      </c>
      <c r="K3579" t="s">
        <v>181</v>
      </c>
      <c r="L3579" t="s">
        <v>3333</v>
      </c>
      <c r="M3579">
        <v>86</v>
      </c>
      <c r="N3579">
        <v>1</v>
      </c>
      <c r="O3579" t="s">
        <v>3334</v>
      </c>
      <c r="P3579">
        <v>81.58</v>
      </c>
      <c r="Q3579">
        <v>8</v>
      </c>
      <c r="R3579" t="s">
        <v>3386</v>
      </c>
      <c r="T3579" t="s">
        <v>3402</v>
      </c>
      <c r="U3579">
        <v>211</v>
      </c>
      <c r="V3579" t="s">
        <v>3334</v>
      </c>
    </row>
    <row r="3580" spans="1:22" ht="12.75" customHeight="1" x14ac:dyDescent="0.15">
      <c r="A3580">
        <v>31</v>
      </c>
      <c r="B3580">
        <v>2026</v>
      </c>
      <c r="C3580" s="21">
        <v>46235</v>
      </c>
      <c r="D3580" t="s">
        <v>139</v>
      </c>
      <c r="E3580" t="s">
        <v>140</v>
      </c>
      <c r="F3580" t="s">
        <v>75</v>
      </c>
      <c r="G3580">
        <v>0.8</v>
      </c>
      <c r="H3580" t="s">
        <v>3730</v>
      </c>
      <c r="I3580" t="s">
        <v>3731</v>
      </c>
      <c r="J3580" s="1" t="s">
        <v>3732</v>
      </c>
      <c r="K3580" t="s">
        <v>181</v>
      </c>
      <c r="L3580" t="s">
        <v>23</v>
      </c>
      <c r="M3580">
        <v>176</v>
      </c>
      <c r="P3580">
        <v>90</v>
      </c>
      <c r="R3580" t="s">
        <v>4361</v>
      </c>
      <c r="S3580" t="s">
        <v>4662</v>
      </c>
      <c r="T3580" t="s">
        <v>3337</v>
      </c>
      <c r="U3580">
        <v>67</v>
      </c>
      <c r="V3580" t="s">
        <v>4682</v>
      </c>
    </row>
    <row r="3581" spans="1:22" ht="12.75" customHeight="1" x14ac:dyDescent="0.15">
      <c r="A3581">
        <v>31</v>
      </c>
      <c r="B3581">
        <v>2026</v>
      </c>
      <c r="C3581" s="21">
        <v>46235</v>
      </c>
      <c r="D3581" t="s">
        <v>73</v>
      </c>
      <c r="E3581" t="s">
        <v>74</v>
      </c>
      <c r="F3581" t="s">
        <v>75</v>
      </c>
      <c r="G3581">
        <v>2.2999999999999998</v>
      </c>
      <c r="H3581" t="s">
        <v>3400</v>
      </c>
      <c r="I3581" t="s">
        <v>353</v>
      </c>
      <c r="J3581" s="1" t="s">
        <v>253</v>
      </c>
      <c r="K3581" t="s">
        <v>181</v>
      </c>
      <c r="L3581" t="s">
        <v>23</v>
      </c>
      <c r="M3581">
        <v>176</v>
      </c>
      <c r="P3581">
        <v>185</v>
      </c>
      <c r="R3581" t="s">
        <v>4361</v>
      </c>
      <c r="S3581" t="s">
        <v>4662</v>
      </c>
      <c r="T3581" t="s">
        <v>3337</v>
      </c>
      <c r="U3581">
        <v>105</v>
      </c>
      <c r="V3581" t="s">
        <v>4683</v>
      </c>
    </row>
    <row r="3582" spans="1:22" ht="12.75" customHeight="1" x14ac:dyDescent="0.15">
      <c r="A3582">
        <v>31</v>
      </c>
      <c r="B3582">
        <v>2026</v>
      </c>
      <c r="C3582" s="21">
        <v>46235</v>
      </c>
      <c r="D3582" t="s">
        <v>139</v>
      </c>
      <c r="E3582" t="s">
        <v>140</v>
      </c>
      <c r="F3582" t="s">
        <v>75</v>
      </c>
      <c r="G3582">
        <v>0.8</v>
      </c>
      <c r="H3582" t="s">
        <v>3730</v>
      </c>
      <c r="I3582" t="s">
        <v>3731</v>
      </c>
      <c r="J3582" s="1" t="s">
        <v>3732</v>
      </c>
      <c r="K3582" t="s">
        <v>181</v>
      </c>
      <c r="L3582" t="s">
        <v>3340</v>
      </c>
      <c r="M3582">
        <v>25</v>
      </c>
      <c r="N3582">
        <v>0.33</v>
      </c>
      <c r="O3582" t="s">
        <v>211</v>
      </c>
      <c r="P3582">
        <v>18</v>
      </c>
      <c r="Q3582">
        <v>2</v>
      </c>
      <c r="R3582" t="s">
        <v>3413</v>
      </c>
      <c r="T3582" t="s">
        <v>3337</v>
      </c>
      <c r="U3582">
        <v>67</v>
      </c>
      <c r="V3582" t="s">
        <v>3523</v>
      </c>
    </row>
    <row r="3583" spans="1:22" ht="12.75" customHeight="1" x14ac:dyDescent="0.15">
      <c r="A3583">
        <v>31</v>
      </c>
      <c r="B3583">
        <v>2026</v>
      </c>
      <c r="C3583" s="21">
        <v>46235</v>
      </c>
      <c r="D3583" t="s">
        <v>73</v>
      </c>
      <c r="E3583" t="s">
        <v>74</v>
      </c>
      <c r="F3583" t="s">
        <v>75</v>
      </c>
      <c r="G3583">
        <v>2.2999999999999998</v>
      </c>
      <c r="H3583" t="s">
        <v>3400</v>
      </c>
      <c r="I3583" t="s">
        <v>353</v>
      </c>
      <c r="J3583" s="1" t="s">
        <v>253</v>
      </c>
      <c r="K3583" t="s">
        <v>181</v>
      </c>
      <c r="L3583" t="s">
        <v>3340</v>
      </c>
      <c r="M3583">
        <v>25</v>
      </c>
      <c r="N3583">
        <v>0.67</v>
      </c>
      <c r="O3583" t="s">
        <v>211</v>
      </c>
      <c r="P3583">
        <v>37</v>
      </c>
      <c r="Q3583">
        <v>4</v>
      </c>
      <c r="R3583" t="s">
        <v>3413</v>
      </c>
      <c r="T3583" t="s">
        <v>3337</v>
      </c>
      <c r="U3583">
        <v>105</v>
      </c>
      <c r="V3583" t="s">
        <v>4684</v>
      </c>
    </row>
    <row r="3584" spans="1:22" ht="12.75" customHeight="1" x14ac:dyDescent="0.15">
      <c r="A3584">
        <v>31</v>
      </c>
      <c r="B3584">
        <v>2026</v>
      </c>
      <c r="C3584" s="21">
        <v>46235</v>
      </c>
      <c r="D3584" t="s">
        <v>139</v>
      </c>
      <c r="E3584" t="s">
        <v>140</v>
      </c>
      <c r="F3584" t="s">
        <v>75</v>
      </c>
      <c r="G3584">
        <v>0.8</v>
      </c>
      <c r="H3584" t="s">
        <v>3730</v>
      </c>
      <c r="I3584" t="s">
        <v>3731</v>
      </c>
      <c r="J3584" s="1" t="s">
        <v>3732</v>
      </c>
      <c r="K3584" t="s">
        <v>181</v>
      </c>
      <c r="L3584" t="s">
        <v>3333</v>
      </c>
      <c r="M3584">
        <v>2</v>
      </c>
      <c r="N3584">
        <v>0.25</v>
      </c>
      <c r="O3584" t="s">
        <v>3440</v>
      </c>
      <c r="P3584">
        <v>22.62</v>
      </c>
      <c r="Q3584">
        <v>2</v>
      </c>
      <c r="R3584" t="s">
        <v>3424</v>
      </c>
      <c r="T3584" t="s">
        <v>3337</v>
      </c>
      <c r="U3584">
        <v>67</v>
      </c>
      <c r="V3584" t="s">
        <v>4199</v>
      </c>
    </row>
    <row r="3585" spans="1:22" ht="12.75" customHeight="1" x14ac:dyDescent="0.15">
      <c r="A3585">
        <v>31</v>
      </c>
      <c r="B3585">
        <v>2026</v>
      </c>
      <c r="C3585" s="21">
        <v>46235</v>
      </c>
      <c r="D3585" t="s">
        <v>73</v>
      </c>
      <c r="E3585" t="s">
        <v>74</v>
      </c>
      <c r="F3585" t="s">
        <v>75</v>
      </c>
      <c r="G3585">
        <v>2.2999999999999998</v>
      </c>
      <c r="H3585" t="s">
        <v>3400</v>
      </c>
      <c r="I3585" t="s">
        <v>353</v>
      </c>
      <c r="J3585" s="1" t="s">
        <v>253</v>
      </c>
      <c r="K3585" t="s">
        <v>181</v>
      </c>
      <c r="L3585" t="s">
        <v>3333</v>
      </c>
      <c r="M3585">
        <v>2</v>
      </c>
      <c r="N3585">
        <v>0.41</v>
      </c>
      <c r="O3585" t="s">
        <v>3440</v>
      </c>
      <c r="P3585">
        <v>37</v>
      </c>
      <c r="Q3585">
        <v>5</v>
      </c>
      <c r="R3585" t="s">
        <v>3424</v>
      </c>
      <c r="T3585" t="s">
        <v>3337</v>
      </c>
      <c r="U3585">
        <v>105</v>
      </c>
      <c r="V3585" t="s">
        <v>4684</v>
      </c>
    </row>
    <row r="3586" spans="1:22" ht="12.75" customHeight="1" x14ac:dyDescent="0.15">
      <c r="A3586">
        <v>31</v>
      </c>
      <c r="B3586">
        <v>2026</v>
      </c>
      <c r="C3586" s="21">
        <v>46235</v>
      </c>
      <c r="D3586" t="s">
        <v>135</v>
      </c>
      <c r="E3586" t="s">
        <v>136</v>
      </c>
      <c r="F3586" t="s">
        <v>21</v>
      </c>
      <c r="G3586">
        <v>1</v>
      </c>
      <c r="H3586" t="s">
        <v>3505</v>
      </c>
      <c r="I3586" t="s">
        <v>29</v>
      </c>
      <c r="J3586" s="1" t="s">
        <v>4812</v>
      </c>
      <c r="K3586" t="s">
        <v>181</v>
      </c>
      <c r="L3586" t="s">
        <v>3333</v>
      </c>
      <c r="M3586">
        <v>2</v>
      </c>
      <c r="N3586">
        <v>0.13</v>
      </c>
      <c r="O3586" t="s">
        <v>3440</v>
      </c>
      <c r="P3586">
        <v>11.31</v>
      </c>
      <c r="Q3586">
        <v>1</v>
      </c>
      <c r="R3586" t="s">
        <v>3424</v>
      </c>
      <c r="S3586" t="s">
        <v>4653</v>
      </c>
      <c r="T3586" t="s">
        <v>3337</v>
      </c>
      <c r="U3586">
        <v>36</v>
      </c>
      <c r="V3586" t="s">
        <v>3775</v>
      </c>
    </row>
    <row r="3587" spans="1:22" ht="12.75" customHeight="1" x14ac:dyDescent="0.15">
      <c r="A3587">
        <v>31</v>
      </c>
      <c r="B3587">
        <v>2026</v>
      </c>
      <c r="C3587" s="21">
        <v>46235</v>
      </c>
      <c r="D3587" t="s">
        <v>101</v>
      </c>
      <c r="E3587" t="s">
        <v>102</v>
      </c>
      <c r="F3587" t="s">
        <v>75</v>
      </c>
      <c r="G3587">
        <v>7.6</v>
      </c>
      <c r="H3587" t="s">
        <v>3453</v>
      </c>
      <c r="I3587" t="s">
        <v>187</v>
      </c>
      <c r="J3587" s="1" t="s">
        <v>188</v>
      </c>
      <c r="K3587" t="s">
        <v>181</v>
      </c>
      <c r="L3587" t="s">
        <v>3333</v>
      </c>
      <c r="M3587">
        <v>1</v>
      </c>
      <c r="N3587">
        <v>1</v>
      </c>
      <c r="O3587" t="s">
        <v>3358</v>
      </c>
      <c r="P3587">
        <v>71.86</v>
      </c>
      <c r="Q3587">
        <v>8</v>
      </c>
      <c r="R3587" t="s">
        <v>3359</v>
      </c>
      <c r="T3587" t="s">
        <v>3337</v>
      </c>
      <c r="U3587">
        <v>95</v>
      </c>
      <c r="V3587" t="s">
        <v>3545</v>
      </c>
    </row>
    <row r="3588" spans="1:22" ht="12.75" customHeight="1" x14ac:dyDescent="0.15">
      <c r="A3588">
        <v>31</v>
      </c>
      <c r="B3588">
        <v>2026</v>
      </c>
      <c r="C3588" s="21">
        <v>46235</v>
      </c>
      <c r="D3588" t="s">
        <v>153</v>
      </c>
      <c r="E3588" t="s">
        <v>154</v>
      </c>
      <c r="F3588" t="s">
        <v>21</v>
      </c>
      <c r="G3588">
        <v>8</v>
      </c>
      <c r="H3588" t="s">
        <v>3346</v>
      </c>
      <c r="I3588" t="s">
        <v>212</v>
      </c>
      <c r="J3588" s="1" t="s">
        <v>188</v>
      </c>
      <c r="K3588" t="s">
        <v>181</v>
      </c>
      <c r="L3588" t="s">
        <v>3340</v>
      </c>
      <c r="M3588">
        <v>6</v>
      </c>
      <c r="N3588">
        <v>1.31</v>
      </c>
      <c r="O3588" t="s">
        <v>211</v>
      </c>
      <c r="P3588">
        <v>72</v>
      </c>
      <c r="Q3588">
        <v>8</v>
      </c>
      <c r="R3588" t="s">
        <v>3335</v>
      </c>
      <c r="T3588" t="s">
        <v>3337</v>
      </c>
      <c r="V3588" t="s">
        <v>3473</v>
      </c>
    </row>
    <row r="3589" spans="1:22" ht="12.75" customHeight="1" x14ac:dyDescent="0.15">
      <c r="A3589">
        <v>31</v>
      </c>
      <c r="B3589">
        <v>2026</v>
      </c>
      <c r="C3589" s="21">
        <v>46235</v>
      </c>
      <c r="D3589" t="s">
        <v>3749</v>
      </c>
      <c r="E3589" t="s">
        <v>676</v>
      </c>
      <c r="F3589" t="s">
        <v>676</v>
      </c>
      <c r="G3589">
        <v>1</v>
      </c>
      <c r="H3589" t="s">
        <v>3750</v>
      </c>
      <c r="I3589" t="s">
        <v>3751</v>
      </c>
      <c r="J3589" s="1" t="s">
        <v>676</v>
      </c>
      <c r="K3589" t="s">
        <v>181</v>
      </c>
      <c r="L3589" t="s">
        <v>3333</v>
      </c>
      <c r="M3589">
        <v>67</v>
      </c>
      <c r="N3589">
        <v>0.44</v>
      </c>
      <c r="O3589" t="s">
        <v>3334</v>
      </c>
      <c r="P3589">
        <v>35.69</v>
      </c>
      <c r="Q3589">
        <v>3.5</v>
      </c>
      <c r="R3589" t="s">
        <v>3404</v>
      </c>
      <c r="S3589" t="s">
        <v>4685</v>
      </c>
      <c r="T3589" t="s">
        <v>3402</v>
      </c>
      <c r="U3589">
        <v>212</v>
      </c>
      <c r="V3589" t="s">
        <v>3469</v>
      </c>
    </row>
    <row r="3590" spans="1:22" ht="12.75" customHeight="1" x14ac:dyDescent="0.15">
      <c r="A3590">
        <v>31</v>
      </c>
      <c r="B3590">
        <v>2026</v>
      </c>
      <c r="C3590" s="21">
        <v>46235</v>
      </c>
      <c r="D3590" t="s">
        <v>3749</v>
      </c>
      <c r="E3590" t="s">
        <v>676</v>
      </c>
      <c r="F3590" t="s">
        <v>676</v>
      </c>
      <c r="G3590">
        <v>1</v>
      </c>
      <c r="H3590" t="s">
        <v>4445</v>
      </c>
      <c r="I3590" t="s">
        <v>4446</v>
      </c>
      <c r="J3590" s="1" t="s">
        <v>676</v>
      </c>
      <c r="K3590" t="s">
        <v>181</v>
      </c>
      <c r="L3590" t="s">
        <v>3340</v>
      </c>
      <c r="M3590">
        <v>78</v>
      </c>
      <c r="N3590">
        <v>0.68</v>
      </c>
      <c r="O3590" t="s">
        <v>211</v>
      </c>
      <c r="P3590">
        <v>37.5</v>
      </c>
      <c r="R3590" t="s">
        <v>3341</v>
      </c>
      <c r="S3590" t="s">
        <v>4686</v>
      </c>
      <c r="T3590" t="s">
        <v>3402</v>
      </c>
      <c r="U3590">
        <v>212</v>
      </c>
      <c r="V3590" t="s">
        <v>4149</v>
      </c>
    </row>
    <row r="3591" spans="1:22" ht="12.75" customHeight="1" x14ac:dyDescent="0.15">
      <c r="A3591">
        <v>31</v>
      </c>
      <c r="B3591">
        <v>2026</v>
      </c>
      <c r="C3591" s="21">
        <v>46235</v>
      </c>
      <c r="D3591" t="s">
        <v>3749</v>
      </c>
      <c r="E3591" t="s">
        <v>676</v>
      </c>
      <c r="F3591" t="s">
        <v>676</v>
      </c>
      <c r="G3591">
        <v>1</v>
      </c>
      <c r="H3591" t="s">
        <v>4445</v>
      </c>
      <c r="I3591" t="s">
        <v>4446</v>
      </c>
      <c r="J3591" s="1" t="s">
        <v>676</v>
      </c>
      <c r="K3591" t="s">
        <v>181</v>
      </c>
      <c r="L3591" t="s">
        <v>3340</v>
      </c>
      <c r="M3591">
        <v>86</v>
      </c>
      <c r="N3591">
        <v>0.68</v>
      </c>
      <c r="O3591" t="s">
        <v>211</v>
      </c>
      <c r="P3591">
        <v>37.5</v>
      </c>
      <c r="R3591" t="s">
        <v>3386</v>
      </c>
      <c r="S3591" t="s">
        <v>4687</v>
      </c>
      <c r="T3591" t="s">
        <v>3402</v>
      </c>
      <c r="U3591">
        <v>212</v>
      </c>
      <c r="V3591" t="s">
        <v>4149</v>
      </c>
    </row>
    <row r="3592" spans="1:22" ht="12.75" customHeight="1" x14ac:dyDescent="0.15">
      <c r="A3592">
        <v>31</v>
      </c>
      <c r="B3592">
        <v>2026</v>
      </c>
      <c r="C3592" s="21">
        <v>46235</v>
      </c>
      <c r="D3592" t="s">
        <v>3749</v>
      </c>
      <c r="E3592" t="s">
        <v>676</v>
      </c>
      <c r="F3592" t="s">
        <v>676</v>
      </c>
      <c r="G3592">
        <v>1</v>
      </c>
      <c r="H3592" t="s">
        <v>4464</v>
      </c>
      <c r="I3592" t="s">
        <v>4455</v>
      </c>
      <c r="J3592" s="1" t="s">
        <v>676</v>
      </c>
      <c r="K3592" t="s">
        <v>181</v>
      </c>
      <c r="L3592" t="s">
        <v>3333</v>
      </c>
      <c r="M3592">
        <v>67</v>
      </c>
      <c r="N3592">
        <v>0.38</v>
      </c>
      <c r="O3592" t="s">
        <v>3334</v>
      </c>
      <c r="P3592">
        <v>30.59</v>
      </c>
      <c r="Q3592">
        <v>3</v>
      </c>
      <c r="R3592" t="s">
        <v>3404</v>
      </c>
      <c r="T3592" t="s">
        <v>3402</v>
      </c>
      <c r="U3592">
        <v>212</v>
      </c>
      <c r="V3592" t="s">
        <v>3491</v>
      </c>
    </row>
    <row r="3593" spans="1:22" ht="12.75" customHeight="1" x14ac:dyDescent="0.15">
      <c r="A3593">
        <v>31</v>
      </c>
      <c r="B3593">
        <v>2026</v>
      </c>
      <c r="C3593" s="21">
        <v>46235</v>
      </c>
      <c r="D3593" t="s">
        <v>139</v>
      </c>
      <c r="E3593" t="s">
        <v>140</v>
      </c>
      <c r="F3593" t="s">
        <v>75</v>
      </c>
      <c r="G3593">
        <v>0.8</v>
      </c>
      <c r="H3593" t="s">
        <v>3730</v>
      </c>
      <c r="I3593" t="s">
        <v>3731</v>
      </c>
      <c r="J3593" s="1" t="s">
        <v>3732</v>
      </c>
      <c r="K3593" t="s">
        <v>181</v>
      </c>
      <c r="L3593" t="s">
        <v>3333</v>
      </c>
      <c r="M3593">
        <v>67</v>
      </c>
      <c r="N3593">
        <v>0.19</v>
      </c>
      <c r="O3593" t="s">
        <v>3334</v>
      </c>
      <c r="P3593">
        <v>15.3</v>
      </c>
      <c r="Q3593">
        <v>1.5</v>
      </c>
      <c r="R3593" t="s">
        <v>3404</v>
      </c>
      <c r="T3593" t="s">
        <v>3402</v>
      </c>
      <c r="U3593">
        <v>67</v>
      </c>
      <c r="V3593" t="s">
        <v>3582</v>
      </c>
    </row>
    <row r="3594" spans="1:22" ht="12.75" customHeight="1" x14ac:dyDescent="0.15">
      <c r="A3594">
        <v>31</v>
      </c>
      <c r="B3594">
        <v>2026</v>
      </c>
      <c r="C3594" s="21">
        <v>46235</v>
      </c>
      <c r="D3594" t="s">
        <v>139</v>
      </c>
      <c r="E3594" t="s">
        <v>140</v>
      </c>
      <c r="F3594" t="s">
        <v>75</v>
      </c>
      <c r="G3594">
        <v>0.8</v>
      </c>
      <c r="H3594" t="s">
        <v>3730</v>
      </c>
      <c r="I3594" t="s">
        <v>3731</v>
      </c>
      <c r="J3594" s="1" t="s">
        <v>3732</v>
      </c>
      <c r="K3594" t="s">
        <v>181</v>
      </c>
      <c r="L3594" t="s">
        <v>3333</v>
      </c>
      <c r="M3594">
        <v>19</v>
      </c>
      <c r="N3594">
        <v>0.25</v>
      </c>
      <c r="O3594" t="s">
        <v>3334</v>
      </c>
      <c r="P3594">
        <v>20.399999999999999</v>
      </c>
      <c r="Q3594">
        <v>2</v>
      </c>
      <c r="R3594" t="s">
        <v>3403</v>
      </c>
      <c r="T3594" t="s">
        <v>3402</v>
      </c>
      <c r="U3594">
        <v>67</v>
      </c>
      <c r="V3594" t="s">
        <v>3500</v>
      </c>
    </row>
    <row r="3595" spans="1:22" ht="12.75" customHeight="1" x14ac:dyDescent="0.15">
      <c r="A3595">
        <v>31</v>
      </c>
      <c r="B3595">
        <v>2026</v>
      </c>
      <c r="C3595" s="21">
        <v>46235</v>
      </c>
      <c r="D3595" t="s">
        <v>73</v>
      </c>
      <c r="E3595" t="s">
        <v>74</v>
      </c>
      <c r="F3595" t="s">
        <v>75</v>
      </c>
      <c r="G3595">
        <v>2.2999999999999998</v>
      </c>
      <c r="H3595" t="s">
        <v>3391</v>
      </c>
      <c r="I3595" t="s">
        <v>353</v>
      </c>
      <c r="J3595" s="1" t="s">
        <v>253</v>
      </c>
      <c r="K3595" t="s">
        <v>181</v>
      </c>
      <c r="L3595" t="s">
        <v>3333</v>
      </c>
      <c r="M3595">
        <v>19</v>
      </c>
      <c r="N3595">
        <v>0.25</v>
      </c>
      <c r="O3595" t="s">
        <v>3334</v>
      </c>
      <c r="P3595">
        <v>20.399999999999999</v>
      </c>
      <c r="Q3595">
        <v>2</v>
      </c>
      <c r="R3595" t="s">
        <v>3403</v>
      </c>
      <c r="T3595" t="s">
        <v>3402</v>
      </c>
      <c r="U3595">
        <v>105</v>
      </c>
      <c r="V3595" t="s">
        <v>4263</v>
      </c>
    </row>
    <row r="3596" spans="1:22" ht="12.75" customHeight="1" x14ac:dyDescent="0.15">
      <c r="A3596">
        <v>31</v>
      </c>
      <c r="B3596">
        <v>2026</v>
      </c>
      <c r="C3596" s="21">
        <v>46235</v>
      </c>
      <c r="D3596" t="s">
        <v>3749</v>
      </c>
      <c r="E3596" t="s">
        <v>676</v>
      </c>
      <c r="F3596" t="s">
        <v>676</v>
      </c>
      <c r="G3596">
        <v>1</v>
      </c>
      <c r="H3596" t="s">
        <v>3750</v>
      </c>
      <c r="I3596" t="s">
        <v>3751</v>
      </c>
      <c r="J3596" s="1" t="s">
        <v>676</v>
      </c>
      <c r="K3596" t="s">
        <v>181</v>
      </c>
      <c r="L3596" t="s">
        <v>3333</v>
      </c>
      <c r="M3596">
        <v>19</v>
      </c>
      <c r="N3596">
        <v>0.5</v>
      </c>
      <c r="O3596" t="s">
        <v>3334</v>
      </c>
      <c r="P3596">
        <v>40.79</v>
      </c>
      <c r="Q3596">
        <v>4</v>
      </c>
      <c r="R3596" t="s">
        <v>3403</v>
      </c>
      <c r="T3596" t="s">
        <v>3402</v>
      </c>
      <c r="U3596">
        <v>212</v>
      </c>
      <c r="V3596" t="s">
        <v>3456</v>
      </c>
    </row>
    <row r="3597" spans="1:22" ht="12.75" customHeight="1" x14ac:dyDescent="0.15">
      <c r="A3597">
        <v>31</v>
      </c>
      <c r="B3597">
        <v>2026</v>
      </c>
      <c r="C3597" s="21">
        <v>46235</v>
      </c>
      <c r="D3597" t="s">
        <v>3749</v>
      </c>
      <c r="E3597" t="s">
        <v>676</v>
      </c>
      <c r="F3597" t="s">
        <v>676</v>
      </c>
      <c r="G3597">
        <v>1</v>
      </c>
      <c r="H3597" t="s">
        <v>3750</v>
      </c>
      <c r="I3597" t="s">
        <v>3751</v>
      </c>
      <c r="J3597" s="1" t="s">
        <v>676</v>
      </c>
      <c r="K3597" t="s">
        <v>181</v>
      </c>
      <c r="L3597" t="s">
        <v>3340</v>
      </c>
      <c r="M3597">
        <v>78</v>
      </c>
      <c r="N3597">
        <v>1.05</v>
      </c>
      <c r="O3597" t="s">
        <v>211</v>
      </c>
      <c r="P3597">
        <v>57.9</v>
      </c>
      <c r="R3597" t="s">
        <v>3341</v>
      </c>
      <c r="T3597" t="s">
        <v>3402</v>
      </c>
      <c r="U3597">
        <v>212</v>
      </c>
      <c r="V3597" t="s">
        <v>4688</v>
      </c>
    </row>
    <row r="3598" spans="1:22" ht="12.75" customHeight="1" x14ac:dyDescent="0.15">
      <c r="A3598">
        <v>31</v>
      </c>
      <c r="B3598">
        <v>2026</v>
      </c>
      <c r="C3598" s="21">
        <v>46235</v>
      </c>
      <c r="D3598" t="s">
        <v>3749</v>
      </c>
      <c r="E3598" t="s">
        <v>676</v>
      </c>
      <c r="F3598" t="s">
        <v>676</v>
      </c>
      <c r="G3598">
        <v>1</v>
      </c>
      <c r="H3598" t="s">
        <v>3750</v>
      </c>
      <c r="I3598" t="s">
        <v>3751</v>
      </c>
      <c r="J3598" s="1" t="s">
        <v>676</v>
      </c>
      <c r="K3598" t="s">
        <v>181</v>
      </c>
      <c r="L3598" t="s">
        <v>3340</v>
      </c>
      <c r="M3598">
        <v>79</v>
      </c>
      <c r="N3598">
        <v>1.05</v>
      </c>
      <c r="O3598" t="s">
        <v>211</v>
      </c>
      <c r="P3598">
        <v>57.9</v>
      </c>
      <c r="R3598" t="s">
        <v>3401</v>
      </c>
      <c r="T3598" t="s">
        <v>3402</v>
      </c>
      <c r="U3598">
        <v>212</v>
      </c>
      <c r="V3598" t="s">
        <v>4688</v>
      </c>
    </row>
    <row r="3599" spans="1:22" ht="12.75" customHeight="1" x14ac:dyDescent="0.15">
      <c r="A3599">
        <v>31</v>
      </c>
      <c r="B3599">
        <v>2026</v>
      </c>
      <c r="C3599" s="21">
        <v>46235</v>
      </c>
      <c r="D3599" t="s">
        <v>3749</v>
      </c>
      <c r="E3599" t="s">
        <v>676</v>
      </c>
      <c r="F3599" t="s">
        <v>676</v>
      </c>
      <c r="G3599">
        <v>1</v>
      </c>
      <c r="H3599" t="s">
        <v>3750</v>
      </c>
      <c r="I3599" t="s">
        <v>3751</v>
      </c>
      <c r="J3599" s="1" t="s">
        <v>676</v>
      </c>
      <c r="K3599" t="s">
        <v>181</v>
      </c>
      <c r="L3599" t="s">
        <v>3340</v>
      </c>
      <c r="M3599">
        <v>67</v>
      </c>
      <c r="N3599">
        <v>0.57999999999999996</v>
      </c>
      <c r="O3599" t="s">
        <v>211</v>
      </c>
      <c r="P3599">
        <v>32</v>
      </c>
      <c r="R3599" t="s">
        <v>3404</v>
      </c>
      <c r="T3599" t="s">
        <v>3402</v>
      </c>
      <c r="U3599">
        <v>212</v>
      </c>
      <c r="V3599" t="s">
        <v>3496</v>
      </c>
    </row>
    <row r="3600" spans="1:22" ht="12.75" customHeight="1" x14ac:dyDescent="0.15">
      <c r="A3600">
        <v>31</v>
      </c>
      <c r="B3600">
        <v>2026</v>
      </c>
      <c r="C3600" s="21">
        <v>46235</v>
      </c>
      <c r="D3600" t="s">
        <v>437</v>
      </c>
      <c r="E3600" t="s">
        <v>437</v>
      </c>
      <c r="F3600" t="s">
        <v>4435</v>
      </c>
      <c r="G3600">
        <v>1</v>
      </c>
      <c r="H3600" t="s">
        <v>4302</v>
      </c>
      <c r="I3600" t="s">
        <v>4303</v>
      </c>
      <c r="J3600" s="1" t="s">
        <v>4304</v>
      </c>
      <c r="K3600" t="s">
        <v>181</v>
      </c>
      <c r="L3600" t="s">
        <v>3333</v>
      </c>
      <c r="M3600">
        <v>7</v>
      </c>
      <c r="N3600">
        <v>1</v>
      </c>
      <c r="O3600" t="s">
        <v>4436</v>
      </c>
      <c r="P3600">
        <v>60.33</v>
      </c>
      <c r="Q3600">
        <v>8</v>
      </c>
      <c r="R3600" t="s">
        <v>4437</v>
      </c>
      <c r="T3600" t="s">
        <v>3402</v>
      </c>
      <c r="U3600">
        <v>212</v>
      </c>
      <c r="V3600" t="s">
        <v>4436</v>
      </c>
    </row>
    <row r="3601" spans="1:22" ht="12.75" customHeight="1" x14ac:dyDescent="0.15">
      <c r="A3601">
        <v>31</v>
      </c>
      <c r="B3601">
        <v>2026</v>
      </c>
      <c r="C3601" s="21">
        <v>46235</v>
      </c>
      <c r="D3601" t="s">
        <v>135</v>
      </c>
      <c r="E3601" t="s">
        <v>136</v>
      </c>
      <c r="F3601" t="s">
        <v>21</v>
      </c>
      <c r="G3601">
        <v>1</v>
      </c>
      <c r="H3601" t="s">
        <v>3845</v>
      </c>
      <c r="I3601" t="s">
        <v>380</v>
      </c>
      <c r="J3601" s="1" t="s">
        <v>3533</v>
      </c>
      <c r="K3601" t="s">
        <v>181</v>
      </c>
      <c r="L3601" t="s">
        <v>3333</v>
      </c>
      <c r="M3601">
        <v>4</v>
      </c>
      <c r="N3601">
        <v>1</v>
      </c>
      <c r="O3601" t="s">
        <v>3334</v>
      </c>
      <c r="P3601">
        <v>81.58</v>
      </c>
      <c r="Q3601">
        <v>8</v>
      </c>
      <c r="R3601" t="s">
        <v>3773</v>
      </c>
      <c r="T3601" t="s">
        <v>3402</v>
      </c>
      <c r="U3601">
        <v>36</v>
      </c>
      <c r="V3601" t="s">
        <v>3334</v>
      </c>
    </row>
    <row r="3602" spans="1:22" ht="12.75" customHeight="1" x14ac:dyDescent="0.15">
      <c r="A3602">
        <v>31</v>
      </c>
      <c r="B3602">
        <v>2026</v>
      </c>
      <c r="C3602" s="21">
        <v>46235</v>
      </c>
      <c r="D3602" t="s">
        <v>4406</v>
      </c>
      <c r="E3602" t="s">
        <v>4407</v>
      </c>
      <c r="F3602" t="s">
        <v>21</v>
      </c>
      <c r="G3602">
        <v>10</v>
      </c>
      <c r="H3602" t="s">
        <v>4647</v>
      </c>
      <c r="I3602" t="s">
        <v>4418</v>
      </c>
      <c r="J3602" s="1" t="s">
        <v>4383</v>
      </c>
      <c r="K3602" t="s">
        <v>2666</v>
      </c>
      <c r="L3602" t="s">
        <v>3587</v>
      </c>
      <c r="P3602">
        <v>48</v>
      </c>
      <c r="S3602" t="s">
        <v>4693</v>
      </c>
      <c r="T3602" t="s">
        <v>3402</v>
      </c>
      <c r="V3602" t="s">
        <v>4694</v>
      </c>
    </row>
    <row r="3603" spans="1:22" ht="12.75" customHeight="1" x14ac:dyDescent="0.15">
      <c r="A3603">
        <v>31</v>
      </c>
      <c r="B3603">
        <v>2026</v>
      </c>
      <c r="C3603" s="21">
        <v>46236</v>
      </c>
      <c r="D3603" t="s">
        <v>153</v>
      </c>
      <c r="E3603" t="s">
        <v>154</v>
      </c>
      <c r="F3603" t="s">
        <v>21</v>
      </c>
      <c r="G3603">
        <v>8</v>
      </c>
      <c r="H3603" t="s">
        <v>3346</v>
      </c>
      <c r="I3603" t="s">
        <v>212</v>
      </c>
      <c r="J3603" s="1" t="s">
        <v>188</v>
      </c>
      <c r="K3603" t="s">
        <v>181</v>
      </c>
      <c r="L3603" t="s">
        <v>3340</v>
      </c>
      <c r="M3603">
        <v>6</v>
      </c>
      <c r="N3603">
        <v>1.31</v>
      </c>
      <c r="O3603" t="s">
        <v>211</v>
      </c>
      <c r="P3603">
        <v>72</v>
      </c>
      <c r="Q3603">
        <v>8</v>
      </c>
      <c r="R3603" t="s">
        <v>3335</v>
      </c>
      <c r="T3603" t="s">
        <v>3337</v>
      </c>
      <c r="V3603" t="s">
        <v>3473</v>
      </c>
    </row>
    <row r="3604" spans="1:22" ht="12.75" customHeight="1" x14ac:dyDescent="0.15">
      <c r="A3604">
        <v>31</v>
      </c>
      <c r="B3604">
        <v>2026</v>
      </c>
      <c r="C3604" s="21">
        <v>46236</v>
      </c>
      <c r="D3604" t="s">
        <v>3749</v>
      </c>
      <c r="E3604" t="s">
        <v>676</v>
      </c>
      <c r="F3604" t="s">
        <v>676</v>
      </c>
      <c r="G3604">
        <v>1</v>
      </c>
      <c r="H3604" t="s">
        <v>3750</v>
      </c>
      <c r="I3604" t="s">
        <v>3751</v>
      </c>
      <c r="J3604" s="1" t="s">
        <v>676</v>
      </c>
      <c r="K3604" t="s">
        <v>181</v>
      </c>
      <c r="L3604" t="s">
        <v>3340</v>
      </c>
      <c r="M3604">
        <v>67</v>
      </c>
      <c r="N3604">
        <v>2.62</v>
      </c>
      <c r="O3604" t="s">
        <v>211</v>
      </c>
      <c r="P3604">
        <v>144</v>
      </c>
      <c r="R3604" t="s">
        <v>3404</v>
      </c>
      <c r="S3604" t="s">
        <v>4689</v>
      </c>
      <c r="T3604" t="s">
        <v>3402</v>
      </c>
      <c r="U3604">
        <v>213</v>
      </c>
      <c r="V3604" t="s">
        <v>4690</v>
      </c>
    </row>
    <row r="3605" spans="1:22" ht="12.75" customHeight="1" x14ac:dyDescent="0.15">
      <c r="A3605">
        <v>31</v>
      </c>
      <c r="B3605">
        <v>2026</v>
      </c>
      <c r="C3605" s="21">
        <v>46236</v>
      </c>
      <c r="D3605" t="s">
        <v>3749</v>
      </c>
      <c r="E3605" t="s">
        <v>676</v>
      </c>
      <c r="F3605" t="s">
        <v>676</v>
      </c>
      <c r="G3605">
        <v>1</v>
      </c>
      <c r="H3605" t="s">
        <v>3750</v>
      </c>
      <c r="I3605" t="s">
        <v>3751</v>
      </c>
      <c r="J3605" s="1" t="s">
        <v>676</v>
      </c>
      <c r="K3605" t="s">
        <v>181</v>
      </c>
      <c r="L3605" t="s">
        <v>3340</v>
      </c>
      <c r="M3605">
        <v>79</v>
      </c>
      <c r="N3605">
        <v>1.31</v>
      </c>
      <c r="O3605" t="s">
        <v>211</v>
      </c>
      <c r="P3605">
        <v>72</v>
      </c>
      <c r="R3605" t="s">
        <v>3401</v>
      </c>
      <c r="S3605" t="s">
        <v>4691</v>
      </c>
      <c r="T3605" t="s">
        <v>3402</v>
      </c>
      <c r="U3605">
        <v>213</v>
      </c>
      <c r="V3605" t="s">
        <v>193</v>
      </c>
    </row>
    <row r="3606" spans="1:22" x14ac:dyDescent="0.15">
      <c r="A3606">
        <v>31</v>
      </c>
      <c r="B3606">
        <v>2026</v>
      </c>
      <c r="C3606" s="21">
        <v>46236</v>
      </c>
      <c r="D3606" t="s">
        <v>3749</v>
      </c>
      <c r="E3606" t="s">
        <v>676</v>
      </c>
      <c r="F3606" t="s">
        <v>676</v>
      </c>
      <c r="G3606">
        <v>1</v>
      </c>
      <c r="H3606" t="s">
        <v>3750</v>
      </c>
      <c r="I3606" t="s">
        <v>3751</v>
      </c>
      <c r="J3606" s="1" t="s">
        <v>676</v>
      </c>
      <c r="K3606" t="s">
        <v>181</v>
      </c>
      <c r="L3606" t="s">
        <v>3340</v>
      </c>
      <c r="M3606">
        <v>78</v>
      </c>
      <c r="N3606">
        <v>1.31</v>
      </c>
      <c r="O3606" t="s">
        <v>211</v>
      </c>
      <c r="P3606">
        <v>72</v>
      </c>
      <c r="R3606" t="s">
        <v>3341</v>
      </c>
      <c r="S3606" t="s">
        <v>4692</v>
      </c>
      <c r="T3606" t="s">
        <v>3402</v>
      </c>
      <c r="U3606">
        <v>213</v>
      </c>
      <c r="V3606" t="s">
        <v>193</v>
      </c>
    </row>
    <row r="3607" spans="1:22" x14ac:dyDescent="0.15">
      <c r="A3607">
        <v>31</v>
      </c>
      <c r="B3607">
        <v>2026</v>
      </c>
      <c r="C3607" s="21">
        <v>46236</v>
      </c>
      <c r="D3607" t="s">
        <v>3749</v>
      </c>
      <c r="E3607" t="s">
        <v>676</v>
      </c>
      <c r="F3607" t="s">
        <v>676</v>
      </c>
      <c r="G3607">
        <v>1</v>
      </c>
      <c r="H3607" t="s">
        <v>3750</v>
      </c>
      <c r="I3607" t="s">
        <v>3751</v>
      </c>
      <c r="J3607" s="1" t="s">
        <v>676</v>
      </c>
      <c r="K3607" t="s">
        <v>181</v>
      </c>
      <c r="L3607" t="s">
        <v>3340</v>
      </c>
      <c r="M3607">
        <v>19</v>
      </c>
      <c r="N3607">
        <v>1.31</v>
      </c>
      <c r="O3607" t="s">
        <v>211</v>
      </c>
      <c r="P3607">
        <v>72</v>
      </c>
      <c r="R3607" t="s">
        <v>3403</v>
      </c>
      <c r="T3607" t="s">
        <v>3402</v>
      </c>
      <c r="U3607">
        <v>213</v>
      </c>
      <c r="V3607" t="s">
        <v>193</v>
      </c>
    </row>
    <row r="3608" spans="1:22" x14ac:dyDescent="0.15">
      <c r="A3608">
        <v>31</v>
      </c>
      <c r="B3608">
        <v>2026</v>
      </c>
      <c r="C3608" s="21">
        <v>46236</v>
      </c>
      <c r="D3608" t="s">
        <v>3749</v>
      </c>
      <c r="E3608" t="s">
        <v>676</v>
      </c>
      <c r="F3608" t="s">
        <v>676</v>
      </c>
      <c r="G3608">
        <v>1</v>
      </c>
      <c r="H3608" t="s">
        <v>4438</v>
      </c>
      <c r="I3608" t="s">
        <v>4439</v>
      </c>
      <c r="J3608" s="1" t="s">
        <v>4383</v>
      </c>
      <c r="K3608" t="s">
        <v>181</v>
      </c>
      <c r="L3608" t="s">
        <v>3340</v>
      </c>
      <c r="M3608">
        <v>86</v>
      </c>
      <c r="N3608">
        <v>1.31</v>
      </c>
      <c r="O3608" t="s">
        <v>211</v>
      </c>
      <c r="P3608">
        <v>72</v>
      </c>
      <c r="Q3608">
        <v>8</v>
      </c>
      <c r="R3608" t="s">
        <v>3386</v>
      </c>
      <c r="T3608" t="s">
        <v>3402</v>
      </c>
      <c r="U3608">
        <v>213</v>
      </c>
      <c r="V3608" t="s">
        <v>193</v>
      </c>
    </row>
    <row r="3609" spans="1:22" x14ac:dyDescent="0.15">
      <c r="A3609">
        <v>31</v>
      </c>
      <c r="B3609">
        <v>2026</v>
      </c>
      <c r="C3609" s="21">
        <v>46236</v>
      </c>
      <c r="D3609" t="s">
        <v>135</v>
      </c>
      <c r="E3609" t="s">
        <v>136</v>
      </c>
      <c r="F3609" t="s">
        <v>21</v>
      </c>
      <c r="G3609">
        <v>1</v>
      </c>
      <c r="H3609" t="s">
        <v>3845</v>
      </c>
      <c r="I3609" t="s">
        <v>380</v>
      </c>
      <c r="J3609" s="1" t="s">
        <v>3533</v>
      </c>
      <c r="K3609" t="s">
        <v>181</v>
      </c>
      <c r="L3609" t="s">
        <v>3340</v>
      </c>
      <c r="M3609">
        <v>84</v>
      </c>
      <c r="N3609">
        <v>1.0900000000000001</v>
      </c>
      <c r="O3609" t="s">
        <v>211</v>
      </c>
      <c r="P3609">
        <v>60</v>
      </c>
      <c r="Q3609">
        <v>6</v>
      </c>
      <c r="R3609" t="s">
        <v>3446</v>
      </c>
      <c r="T3609" t="s">
        <v>3402</v>
      </c>
      <c r="U3609">
        <v>37</v>
      </c>
      <c r="V3609" t="s">
        <v>189</v>
      </c>
    </row>
    <row r="3610" spans="1:22" x14ac:dyDescent="0.15">
      <c r="A3610">
        <v>31</v>
      </c>
      <c r="B3610">
        <v>2026</v>
      </c>
      <c r="C3610" s="21">
        <v>46236</v>
      </c>
      <c r="D3610" t="s">
        <v>135</v>
      </c>
      <c r="E3610" t="s">
        <v>136</v>
      </c>
      <c r="F3610" t="s">
        <v>21</v>
      </c>
      <c r="G3610">
        <v>1</v>
      </c>
      <c r="H3610" t="s">
        <v>3845</v>
      </c>
      <c r="I3610" t="s">
        <v>380</v>
      </c>
      <c r="J3610" s="1" t="s">
        <v>3533</v>
      </c>
      <c r="K3610" t="s">
        <v>181</v>
      </c>
      <c r="L3610" t="s">
        <v>3340</v>
      </c>
      <c r="M3610">
        <v>4</v>
      </c>
      <c r="N3610">
        <v>1.0900000000000001</v>
      </c>
      <c r="O3610" t="s">
        <v>211</v>
      </c>
      <c r="P3610">
        <v>60</v>
      </c>
      <c r="Q3610">
        <v>6</v>
      </c>
      <c r="R3610" t="s">
        <v>3773</v>
      </c>
      <c r="T3610" t="s">
        <v>3402</v>
      </c>
      <c r="U3610">
        <v>37</v>
      </c>
      <c r="V3610" t="s">
        <v>189</v>
      </c>
    </row>
    <row r="3611" spans="1:22" x14ac:dyDescent="0.15">
      <c r="A3611">
        <v>31</v>
      </c>
      <c r="B3611">
        <v>2026</v>
      </c>
      <c r="C3611" s="21">
        <v>46236</v>
      </c>
      <c r="D3611" t="s">
        <v>4406</v>
      </c>
      <c r="E3611" t="s">
        <v>4407</v>
      </c>
      <c r="F3611" t="s">
        <v>21</v>
      </c>
      <c r="G3611">
        <v>10</v>
      </c>
      <c r="H3611" t="s">
        <v>4647</v>
      </c>
      <c r="I3611" t="s">
        <v>4418</v>
      </c>
      <c r="J3611" s="1" t="s">
        <v>4383</v>
      </c>
      <c r="K3611" t="s">
        <v>2666</v>
      </c>
      <c r="L3611" t="s">
        <v>3587</v>
      </c>
      <c r="P3611">
        <v>48</v>
      </c>
      <c r="S3611" t="s">
        <v>4693</v>
      </c>
      <c r="T3611" t="s">
        <v>3402</v>
      </c>
      <c r="V3611" t="s">
        <v>4694</v>
      </c>
    </row>
    <row r="3612" spans="1:22" x14ac:dyDescent="0.15">
      <c r="A3612">
        <v>31</v>
      </c>
      <c r="B3612">
        <v>2026</v>
      </c>
      <c r="C3612" s="21">
        <v>46237</v>
      </c>
      <c r="D3612" t="s">
        <v>139</v>
      </c>
      <c r="E3612" t="s">
        <v>140</v>
      </c>
      <c r="F3612" t="s">
        <v>75</v>
      </c>
      <c r="G3612">
        <v>0.8</v>
      </c>
      <c r="H3612" t="s">
        <v>3730</v>
      </c>
      <c r="I3612" t="s">
        <v>3731</v>
      </c>
      <c r="J3612" s="1" t="s">
        <v>3732</v>
      </c>
      <c r="K3612" t="s">
        <v>181</v>
      </c>
      <c r="L3612" t="s">
        <v>23</v>
      </c>
      <c r="M3612">
        <v>176</v>
      </c>
      <c r="P3612">
        <v>385</v>
      </c>
      <c r="R3612" t="s">
        <v>4361</v>
      </c>
      <c r="S3612" t="s">
        <v>4695</v>
      </c>
      <c r="T3612" t="s">
        <v>3337</v>
      </c>
      <c r="U3612">
        <v>69</v>
      </c>
      <c r="V3612" t="s">
        <v>4652</v>
      </c>
    </row>
    <row r="3613" spans="1:22" x14ac:dyDescent="0.15">
      <c r="A3613">
        <v>31</v>
      </c>
      <c r="B3613">
        <v>2026</v>
      </c>
      <c r="C3613" s="21">
        <v>46237</v>
      </c>
      <c r="D3613" t="s">
        <v>139</v>
      </c>
      <c r="E3613" t="s">
        <v>140</v>
      </c>
      <c r="F3613" t="s">
        <v>75</v>
      </c>
      <c r="G3613">
        <v>0.8</v>
      </c>
      <c r="H3613" t="s">
        <v>3730</v>
      </c>
      <c r="I3613" t="s">
        <v>3731</v>
      </c>
      <c r="J3613" s="1" t="s">
        <v>3732</v>
      </c>
      <c r="K3613" t="s">
        <v>181</v>
      </c>
      <c r="L3613" t="s">
        <v>3340</v>
      </c>
      <c r="M3613">
        <v>25</v>
      </c>
      <c r="N3613">
        <v>1</v>
      </c>
      <c r="O3613" t="s">
        <v>211</v>
      </c>
      <c r="P3613">
        <v>55</v>
      </c>
      <c r="R3613" t="s">
        <v>3413</v>
      </c>
      <c r="T3613" t="s">
        <v>3337</v>
      </c>
      <c r="U3613">
        <v>69</v>
      </c>
      <c r="V3613" t="s">
        <v>4056</v>
      </c>
    </row>
    <row r="3614" spans="1:22" x14ac:dyDescent="0.15">
      <c r="A3614">
        <v>31</v>
      </c>
      <c r="B3614">
        <v>2026</v>
      </c>
      <c r="C3614" s="21">
        <v>46237</v>
      </c>
      <c r="D3614" t="s">
        <v>139</v>
      </c>
      <c r="E3614" t="s">
        <v>140</v>
      </c>
      <c r="F3614" t="s">
        <v>75</v>
      </c>
      <c r="G3614">
        <v>0.8</v>
      </c>
      <c r="H3614" t="s">
        <v>3730</v>
      </c>
      <c r="I3614" t="s">
        <v>3731</v>
      </c>
      <c r="J3614" s="1" t="s">
        <v>3732</v>
      </c>
      <c r="K3614" t="s">
        <v>181</v>
      </c>
      <c r="L3614" t="s">
        <v>3333</v>
      </c>
      <c r="M3614">
        <v>2</v>
      </c>
      <c r="N3614">
        <v>1</v>
      </c>
      <c r="O3614" t="s">
        <v>3440</v>
      </c>
      <c r="P3614">
        <v>90.49</v>
      </c>
      <c r="Q3614">
        <v>8</v>
      </c>
      <c r="R3614" t="s">
        <v>3424</v>
      </c>
      <c r="T3614" t="s">
        <v>3337</v>
      </c>
      <c r="U3614">
        <v>69</v>
      </c>
      <c r="V3614" t="s">
        <v>4313</v>
      </c>
    </row>
    <row r="3615" spans="1:22" x14ac:dyDescent="0.15">
      <c r="A3615">
        <v>31</v>
      </c>
      <c r="B3615">
        <v>2026</v>
      </c>
      <c r="C3615" s="21">
        <v>46237</v>
      </c>
      <c r="D3615" t="s">
        <v>139</v>
      </c>
      <c r="E3615" t="s">
        <v>140</v>
      </c>
      <c r="F3615" t="s">
        <v>75</v>
      </c>
      <c r="G3615">
        <v>0.8</v>
      </c>
      <c r="H3615" t="s">
        <v>3730</v>
      </c>
      <c r="I3615" t="s">
        <v>3731</v>
      </c>
      <c r="J3615" s="1" t="s">
        <v>3732</v>
      </c>
      <c r="K3615" t="s">
        <v>181</v>
      </c>
      <c r="L3615" t="s">
        <v>3340</v>
      </c>
      <c r="M3615">
        <v>2</v>
      </c>
      <c r="N3615">
        <v>0.25</v>
      </c>
      <c r="O3615" t="s">
        <v>211</v>
      </c>
      <c r="P3615">
        <v>13.5</v>
      </c>
      <c r="Q3615">
        <v>1.5</v>
      </c>
      <c r="R3615" t="s">
        <v>3424</v>
      </c>
      <c r="T3615" t="s">
        <v>3337</v>
      </c>
      <c r="U3615">
        <v>69</v>
      </c>
      <c r="V3615" t="s">
        <v>3651</v>
      </c>
    </row>
    <row r="3616" spans="1:22" x14ac:dyDescent="0.15">
      <c r="A3616">
        <v>31</v>
      </c>
      <c r="B3616">
        <v>2026</v>
      </c>
      <c r="C3616" s="21">
        <v>46237</v>
      </c>
      <c r="D3616" t="s">
        <v>153</v>
      </c>
      <c r="E3616" t="s">
        <v>154</v>
      </c>
      <c r="F3616" t="s">
        <v>21</v>
      </c>
      <c r="G3616">
        <v>8</v>
      </c>
      <c r="H3616" t="s">
        <v>3346</v>
      </c>
      <c r="I3616" t="s">
        <v>212</v>
      </c>
      <c r="J3616" s="1" t="s">
        <v>188</v>
      </c>
      <c r="K3616" t="s">
        <v>181</v>
      </c>
      <c r="L3616" t="s">
        <v>3340</v>
      </c>
      <c r="M3616">
        <v>6</v>
      </c>
      <c r="N3616">
        <v>1.31</v>
      </c>
      <c r="O3616" t="s">
        <v>211</v>
      </c>
      <c r="P3616">
        <v>72</v>
      </c>
      <c r="Q3616">
        <v>8</v>
      </c>
      <c r="R3616" t="s">
        <v>3335</v>
      </c>
      <c r="T3616" t="s">
        <v>3337</v>
      </c>
      <c r="V3616" t="s">
        <v>3473</v>
      </c>
    </row>
    <row r="3617" spans="1:22" x14ac:dyDescent="0.15">
      <c r="A3617">
        <v>31</v>
      </c>
      <c r="B3617">
        <v>2026</v>
      </c>
      <c r="C3617" s="21">
        <v>46237</v>
      </c>
      <c r="D3617" t="s">
        <v>101</v>
      </c>
      <c r="E3617" t="s">
        <v>102</v>
      </c>
      <c r="F3617" t="s">
        <v>75</v>
      </c>
      <c r="G3617">
        <v>7.6</v>
      </c>
      <c r="H3617" t="s">
        <v>3453</v>
      </c>
      <c r="I3617" t="s">
        <v>187</v>
      </c>
      <c r="J3617" s="1" t="s">
        <v>188</v>
      </c>
      <c r="K3617" t="s">
        <v>181</v>
      </c>
      <c r="L3617" t="s">
        <v>3333</v>
      </c>
      <c r="M3617">
        <v>1</v>
      </c>
      <c r="N3617">
        <v>1</v>
      </c>
      <c r="O3617" t="s">
        <v>3358</v>
      </c>
      <c r="P3617">
        <v>71.86</v>
      </c>
      <c r="Q3617">
        <v>8</v>
      </c>
      <c r="R3617" t="s">
        <v>3359</v>
      </c>
      <c r="T3617" t="s">
        <v>3337</v>
      </c>
      <c r="U3617">
        <v>97</v>
      </c>
      <c r="V3617" t="s">
        <v>3545</v>
      </c>
    </row>
    <row r="3618" spans="1:22" x14ac:dyDescent="0.15">
      <c r="A3618">
        <v>31</v>
      </c>
      <c r="B3618">
        <v>2026</v>
      </c>
      <c r="C3618" s="21">
        <v>46237</v>
      </c>
      <c r="D3618" t="s">
        <v>135</v>
      </c>
      <c r="E3618" t="s">
        <v>136</v>
      </c>
      <c r="F3618" t="s">
        <v>21</v>
      </c>
      <c r="G3618">
        <v>1</v>
      </c>
      <c r="H3618" t="s">
        <v>3845</v>
      </c>
      <c r="I3618" t="s">
        <v>380</v>
      </c>
      <c r="J3618" s="1" t="s">
        <v>3533</v>
      </c>
      <c r="K3618" t="s">
        <v>181</v>
      </c>
      <c r="L3618" t="s">
        <v>3333</v>
      </c>
      <c r="M3618">
        <v>4</v>
      </c>
      <c r="N3618">
        <v>0.25</v>
      </c>
      <c r="O3618" t="s">
        <v>3334</v>
      </c>
      <c r="P3618">
        <v>20.399999999999999</v>
      </c>
      <c r="Q3618">
        <v>2</v>
      </c>
      <c r="R3618" t="s">
        <v>3773</v>
      </c>
      <c r="T3618" t="s">
        <v>3402</v>
      </c>
      <c r="U3618">
        <v>38</v>
      </c>
      <c r="V3618" t="s">
        <v>3474</v>
      </c>
    </row>
    <row r="3619" spans="1:22" x14ac:dyDescent="0.15">
      <c r="A3619">
        <v>31</v>
      </c>
      <c r="B3619">
        <v>2026</v>
      </c>
      <c r="C3619" s="21">
        <v>46237</v>
      </c>
      <c r="D3619" t="s">
        <v>135</v>
      </c>
      <c r="E3619" t="s">
        <v>136</v>
      </c>
      <c r="F3619" t="s">
        <v>21</v>
      </c>
      <c r="G3619">
        <v>1</v>
      </c>
      <c r="H3619" t="s">
        <v>3845</v>
      </c>
      <c r="I3619" t="s">
        <v>380</v>
      </c>
      <c r="J3619" s="1" t="s">
        <v>3533</v>
      </c>
      <c r="K3619" t="s">
        <v>181</v>
      </c>
      <c r="L3619" t="s">
        <v>3340</v>
      </c>
      <c r="M3619">
        <v>84</v>
      </c>
      <c r="N3619">
        <v>0.33</v>
      </c>
      <c r="O3619" t="s">
        <v>211</v>
      </c>
      <c r="P3619">
        <v>18</v>
      </c>
      <c r="Q3619">
        <v>2</v>
      </c>
      <c r="R3619" t="s">
        <v>3446</v>
      </c>
      <c r="T3619" t="s">
        <v>3402</v>
      </c>
      <c r="U3619">
        <v>38</v>
      </c>
      <c r="V3619" t="s">
        <v>260</v>
      </c>
    </row>
    <row r="3620" spans="1:22" x14ac:dyDescent="0.15">
      <c r="A3620">
        <v>31</v>
      </c>
      <c r="B3620">
        <v>2026</v>
      </c>
      <c r="C3620" s="21">
        <v>46237</v>
      </c>
      <c r="D3620" t="s">
        <v>84</v>
      </c>
      <c r="E3620" t="s">
        <v>85</v>
      </c>
      <c r="F3620" t="s">
        <v>21</v>
      </c>
      <c r="G3620">
        <v>2</v>
      </c>
      <c r="H3620" t="s">
        <v>3803</v>
      </c>
      <c r="I3620" t="s">
        <v>3676</v>
      </c>
      <c r="J3620" s="1" t="s">
        <v>3533</v>
      </c>
      <c r="K3620" t="s">
        <v>181</v>
      </c>
      <c r="L3620" t="s">
        <v>3333</v>
      </c>
      <c r="M3620">
        <v>4</v>
      </c>
      <c r="N3620">
        <v>0.75</v>
      </c>
      <c r="O3620" t="s">
        <v>3334</v>
      </c>
      <c r="P3620">
        <v>61.19</v>
      </c>
      <c r="Q3620">
        <v>6</v>
      </c>
      <c r="R3620" t="s">
        <v>3773</v>
      </c>
      <c r="T3620" t="s">
        <v>3402</v>
      </c>
      <c r="U3620">
        <v>105</v>
      </c>
      <c r="V3620" t="s">
        <v>3491</v>
      </c>
    </row>
    <row r="3621" spans="1:22" x14ac:dyDescent="0.15">
      <c r="A3621">
        <v>31</v>
      </c>
      <c r="B3621">
        <v>2026</v>
      </c>
      <c r="C3621" s="21">
        <v>46237</v>
      </c>
      <c r="D3621" t="s">
        <v>84</v>
      </c>
      <c r="E3621" t="s">
        <v>85</v>
      </c>
      <c r="F3621" t="s">
        <v>21</v>
      </c>
      <c r="G3621">
        <v>2</v>
      </c>
      <c r="H3621" t="s">
        <v>3803</v>
      </c>
      <c r="I3621" t="s">
        <v>3676</v>
      </c>
      <c r="J3621" s="1" t="s">
        <v>3533</v>
      </c>
      <c r="K3621" t="s">
        <v>181</v>
      </c>
      <c r="L3621" t="s">
        <v>3340</v>
      </c>
      <c r="M3621">
        <v>84</v>
      </c>
      <c r="N3621">
        <v>0.98</v>
      </c>
      <c r="O3621" t="s">
        <v>211</v>
      </c>
      <c r="P3621">
        <v>54</v>
      </c>
      <c r="Q3621">
        <v>6</v>
      </c>
      <c r="R3621" t="s">
        <v>3446</v>
      </c>
      <c r="T3621" t="s">
        <v>3402</v>
      </c>
      <c r="U3621">
        <v>105</v>
      </c>
      <c r="V3621" t="s">
        <v>273</v>
      </c>
    </row>
    <row r="3622" spans="1:22" x14ac:dyDescent="0.15">
      <c r="A3622">
        <v>31</v>
      </c>
      <c r="B3622">
        <v>2026</v>
      </c>
      <c r="C3622" s="21">
        <v>46237</v>
      </c>
      <c r="D3622" t="s">
        <v>139</v>
      </c>
      <c r="E3622" t="s">
        <v>140</v>
      </c>
      <c r="F3622" t="s">
        <v>75</v>
      </c>
      <c r="G3622">
        <v>0.8</v>
      </c>
      <c r="H3622" t="s">
        <v>3730</v>
      </c>
      <c r="I3622" t="s">
        <v>3731</v>
      </c>
      <c r="J3622" s="1" t="s">
        <v>3732</v>
      </c>
      <c r="K3622" t="s">
        <v>181</v>
      </c>
      <c r="L3622" t="s">
        <v>3333</v>
      </c>
      <c r="M3622">
        <v>67</v>
      </c>
      <c r="N3622">
        <v>1</v>
      </c>
      <c r="O3622" t="s">
        <v>3334</v>
      </c>
      <c r="P3622">
        <v>81.58</v>
      </c>
      <c r="Q3622">
        <v>8</v>
      </c>
      <c r="R3622" t="s">
        <v>3404</v>
      </c>
      <c r="T3622" t="s">
        <v>3402</v>
      </c>
      <c r="U3622">
        <v>69</v>
      </c>
      <c r="V3622" t="s">
        <v>4095</v>
      </c>
    </row>
    <row r="3623" spans="1:22" x14ac:dyDescent="0.15">
      <c r="A3623">
        <v>31</v>
      </c>
      <c r="B3623">
        <v>2026</v>
      </c>
      <c r="C3623" s="21">
        <v>46237</v>
      </c>
      <c r="D3623" t="s">
        <v>139</v>
      </c>
      <c r="E3623" t="s">
        <v>140</v>
      </c>
      <c r="F3623" t="s">
        <v>75</v>
      </c>
      <c r="G3623">
        <v>0.8</v>
      </c>
      <c r="H3623" t="s">
        <v>3730</v>
      </c>
      <c r="I3623" t="s">
        <v>3731</v>
      </c>
      <c r="J3623" s="1" t="s">
        <v>3732</v>
      </c>
      <c r="K3623" t="s">
        <v>181</v>
      </c>
      <c r="L3623" t="s">
        <v>3333</v>
      </c>
      <c r="M3623">
        <v>19</v>
      </c>
      <c r="N3623">
        <v>1</v>
      </c>
      <c r="O3623" t="s">
        <v>3334</v>
      </c>
      <c r="P3623">
        <v>81.58</v>
      </c>
      <c r="Q3623">
        <v>8</v>
      </c>
      <c r="R3623" t="s">
        <v>3403</v>
      </c>
      <c r="T3623" t="s">
        <v>3402</v>
      </c>
      <c r="U3623">
        <v>69</v>
      </c>
      <c r="V3623" t="s">
        <v>4095</v>
      </c>
    </row>
    <row r="3624" spans="1:22" x14ac:dyDescent="0.15">
      <c r="A3624">
        <v>31</v>
      </c>
      <c r="B3624">
        <v>2026</v>
      </c>
      <c r="C3624" s="21">
        <v>46237</v>
      </c>
      <c r="D3624" t="s">
        <v>139</v>
      </c>
      <c r="E3624" t="s">
        <v>140</v>
      </c>
      <c r="F3624" t="s">
        <v>75</v>
      </c>
      <c r="G3624">
        <v>0.8</v>
      </c>
      <c r="H3624" t="s">
        <v>3730</v>
      </c>
      <c r="I3624" t="s">
        <v>3731</v>
      </c>
      <c r="J3624" s="1" t="s">
        <v>3732</v>
      </c>
      <c r="K3624" t="s">
        <v>181</v>
      </c>
      <c r="L3624" t="s">
        <v>3340</v>
      </c>
      <c r="M3624">
        <v>78</v>
      </c>
      <c r="N3624">
        <v>0.16</v>
      </c>
      <c r="O3624" t="s">
        <v>211</v>
      </c>
      <c r="P3624">
        <v>9</v>
      </c>
      <c r="Q3624">
        <v>1</v>
      </c>
      <c r="R3624" t="s">
        <v>3341</v>
      </c>
      <c r="T3624" t="s">
        <v>3402</v>
      </c>
      <c r="U3624">
        <v>69</v>
      </c>
      <c r="V3624" t="s">
        <v>3561</v>
      </c>
    </row>
    <row r="3625" spans="1:22" x14ac:dyDescent="0.15">
      <c r="A3625">
        <v>31</v>
      </c>
      <c r="B3625">
        <v>2026</v>
      </c>
      <c r="C3625" s="21">
        <v>46237</v>
      </c>
      <c r="D3625" t="s">
        <v>139</v>
      </c>
      <c r="E3625" t="s">
        <v>140</v>
      </c>
      <c r="F3625" t="s">
        <v>75</v>
      </c>
      <c r="G3625">
        <v>0.8</v>
      </c>
      <c r="H3625" t="s">
        <v>3730</v>
      </c>
      <c r="I3625" t="s">
        <v>3731</v>
      </c>
      <c r="J3625" s="1" t="s">
        <v>3732</v>
      </c>
      <c r="K3625" t="s">
        <v>181</v>
      </c>
      <c r="L3625" t="s">
        <v>3340</v>
      </c>
      <c r="M3625">
        <v>67</v>
      </c>
      <c r="N3625">
        <v>0.25</v>
      </c>
      <c r="O3625" t="s">
        <v>211</v>
      </c>
      <c r="P3625">
        <v>13.5</v>
      </c>
      <c r="Q3625">
        <v>1.5</v>
      </c>
      <c r="R3625" t="s">
        <v>3404</v>
      </c>
      <c r="T3625" t="s">
        <v>3402</v>
      </c>
      <c r="U3625">
        <v>69</v>
      </c>
      <c r="V3625" t="s">
        <v>3651</v>
      </c>
    </row>
    <row r="3626" spans="1:22" x14ac:dyDescent="0.15">
      <c r="A3626">
        <v>31</v>
      </c>
      <c r="B3626">
        <v>2026</v>
      </c>
      <c r="C3626" s="21">
        <v>46237</v>
      </c>
      <c r="D3626" t="s">
        <v>139</v>
      </c>
      <c r="E3626" t="s">
        <v>140</v>
      </c>
      <c r="F3626" t="s">
        <v>75</v>
      </c>
      <c r="G3626">
        <v>0.8</v>
      </c>
      <c r="H3626" t="s">
        <v>3730</v>
      </c>
      <c r="I3626" t="s">
        <v>3731</v>
      </c>
      <c r="J3626" s="1" t="s">
        <v>3732</v>
      </c>
      <c r="K3626" t="s">
        <v>181</v>
      </c>
      <c r="L3626" t="s">
        <v>3340</v>
      </c>
      <c r="M3626">
        <v>19</v>
      </c>
      <c r="N3626">
        <v>0.25</v>
      </c>
      <c r="O3626" t="s">
        <v>211</v>
      </c>
      <c r="P3626">
        <v>13.5</v>
      </c>
      <c r="Q3626">
        <v>1.5</v>
      </c>
      <c r="R3626" t="s">
        <v>3403</v>
      </c>
      <c r="T3626" t="s">
        <v>3402</v>
      </c>
      <c r="U3626">
        <v>69</v>
      </c>
      <c r="V3626" t="s">
        <v>3651</v>
      </c>
    </row>
    <row r="3627" spans="1:22" x14ac:dyDescent="0.15">
      <c r="A3627">
        <v>31</v>
      </c>
      <c r="B3627">
        <v>2026</v>
      </c>
      <c r="C3627" s="21">
        <v>46237</v>
      </c>
      <c r="D3627" t="s">
        <v>139</v>
      </c>
      <c r="E3627" t="s">
        <v>140</v>
      </c>
      <c r="F3627" t="s">
        <v>75</v>
      </c>
      <c r="G3627">
        <v>0.8</v>
      </c>
      <c r="H3627" t="s">
        <v>3730</v>
      </c>
      <c r="I3627" t="s">
        <v>3731</v>
      </c>
      <c r="J3627" s="1" t="s">
        <v>3732</v>
      </c>
      <c r="K3627" t="s">
        <v>181</v>
      </c>
      <c r="L3627" t="s">
        <v>3340</v>
      </c>
      <c r="M3627">
        <v>78</v>
      </c>
      <c r="N3627">
        <v>0.25</v>
      </c>
      <c r="O3627" t="s">
        <v>211</v>
      </c>
      <c r="P3627">
        <v>13.5</v>
      </c>
      <c r="Q3627">
        <v>1.5</v>
      </c>
      <c r="R3627" t="s">
        <v>3341</v>
      </c>
      <c r="T3627" t="s">
        <v>3402</v>
      </c>
      <c r="U3627">
        <v>69</v>
      </c>
      <c r="V3627" t="s">
        <v>3651</v>
      </c>
    </row>
    <row r="3628" spans="1:22" x14ac:dyDescent="0.15">
      <c r="A3628">
        <v>31</v>
      </c>
      <c r="B3628">
        <v>2026</v>
      </c>
      <c r="C3628" s="21">
        <v>46237</v>
      </c>
      <c r="D3628" t="s">
        <v>139</v>
      </c>
      <c r="E3628" t="s">
        <v>140</v>
      </c>
      <c r="F3628" t="s">
        <v>75</v>
      </c>
      <c r="G3628">
        <v>0.8</v>
      </c>
      <c r="H3628" t="s">
        <v>4241</v>
      </c>
      <c r="I3628" t="s">
        <v>4242</v>
      </c>
      <c r="J3628" s="1" t="s">
        <v>3668</v>
      </c>
      <c r="K3628" t="s">
        <v>181</v>
      </c>
      <c r="L3628" t="s">
        <v>3340</v>
      </c>
      <c r="M3628">
        <v>78</v>
      </c>
      <c r="N3628">
        <v>0.33</v>
      </c>
      <c r="O3628" t="s">
        <v>211</v>
      </c>
      <c r="P3628">
        <v>18</v>
      </c>
      <c r="Q3628">
        <v>2</v>
      </c>
      <c r="R3628" t="s">
        <v>3341</v>
      </c>
      <c r="T3628" t="s">
        <v>3402</v>
      </c>
      <c r="U3628">
        <v>69</v>
      </c>
      <c r="V3628" t="s">
        <v>3523</v>
      </c>
    </row>
    <row r="3629" spans="1:22" x14ac:dyDescent="0.15">
      <c r="A3629">
        <v>31</v>
      </c>
      <c r="B3629">
        <v>2026</v>
      </c>
      <c r="C3629" s="21">
        <v>46237</v>
      </c>
      <c r="D3629" t="s">
        <v>139</v>
      </c>
      <c r="E3629" t="s">
        <v>140</v>
      </c>
      <c r="F3629" t="s">
        <v>75</v>
      </c>
      <c r="G3629">
        <v>0.8</v>
      </c>
      <c r="H3629" t="s">
        <v>4241</v>
      </c>
      <c r="I3629" t="s">
        <v>4242</v>
      </c>
      <c r="J3629" s="1" t="s">
        <v>3668</v>
      </c>
      <c r="K3629" t="s">
        <v>181</v>
      </c>
      <c r="L3629" t="s">
        <v>3340</v>
      </c>
      <c r="M3629">
        <v>86</v>
      </c>
      <c r="N3629">
        <v>0.33</v>
      </c>
      <c r="O3629" t="s">
        <v>211</v>
      </c>
      <c r="P3629">
        <v>18</v>
      </c>
      <c r="Q3629">
        <v>2</v>
      </c>
      <c r="R3629" t="s">
        <v>3386</v>
      </c>
      <c r="T3629" t="s">
        <v>3402</v>
      </c>
      <c r="U3629">
        <v>69</v>
      </c>
      <c r="V3629" t="s">
        <v>3523</v>
      </c>
    </row>
    <row r="3630" spans="1:22" x14ac:dyDescent="0.15">
      <c r="A3630">
        <v>31</v>
      </c>
      <c r="B3630">
        <v>2026</v>
      </c>
      <c r="C3630" s="21">
        <v>46237</v>
      </c>
      <c r="D3630" t="s">
        <v>137</v>
      </c>
      <c r="E3630" t="s">
        <v>138</v>
      </c>
      <c r="F3630" t="s">
        <v>75</v>
      </c>
      <c r="G3630">
        <v>1</v>
      </c>
      <c r="H3630" t="s">
        <v>4241</v>
      </c>
      <c r="I3630" t="s">
        <v>4242</v>
      </c>
      <c r="J3630" s="1" t="s">
        <v>3668</v>
      </c>
      <c r="K3630" t="s">
        <v>181</v>
      </c>
      <c r="L3630" t="s">
        <v>3340</v>
      </c>
      <c r="M3630">
        <v>78</v>
      </c>
      <c r="N3630">
        <v>0.49</v>
      </c>
      <c r="O3630" t="s">
        <v>211</v>
      </c>
      <c r="P3630">
        <v>27</v>
      </c>
      <c r="Q3630">
        <v>3</v>
      </c>
      <c r="R3630" t="s">
        <v>3341</v>
      </c>
      <c r="T3630" t="s">
        <v>3402</v>
      </c>
      <c r="U3630">
        <v>17</v>
      </c>
      <c r="V3630" t="s">
        <v>273</v>
      </c>
    </row>
    <row r="3631" spans="1:22" x14ac:dyDescent="0.15">
      <c r="A3631">
        <v>31</v>
      </c>
      <c r="B3631">
        <v>2026</v>
      </c>
      <c r="C3631" s="21">
        <v>46237</v>
      </c>
      <c r="D3631" t="s">
        <v>137</v>
      </c>
      <c r="E3631" t="s">
        <v>138</v>
      </c>
      <c r="F3631" t="s">
        <v>75</v>
      </c>
      <c r="G3631">
        <v>1</v>
      </c>
      <c r="H3631" t="s">
        <v>4241</v>
      </c>
      <c r="I3631" t="s">
        <v>4242</v>
      </c>
      <c r="J3631" s="1" t="s">
        <v>3668</v>
      </c>
      <c r="K3631" t="s">
        <v>181</v>
      </c>
      <c r="L3631" t="s">
        <v>3340</v>
      </c>
      <c r="M3631">
        <v>86</v>
      </c>
      <c r="N3631">
        <v>0.49</v>
      </c>
      <c r="O3631" t="s">
        <v>211</v>
      </c>
      <c r="P3631">
        <v>27</v>
      </c>
      <c r="Q3631">
        <v>3</v>
      </c>
      <c r="R3631" t="s">
        <v>3386</v>
      </c>
      <c r="T3631" t="s">
        <v>3402</v>
      </c>
      <c r="U3631">
        <v>17</v>
      </c>
      <c r="V3631" t="s">
        <v>273</v>
      </c>
    </row>
    <row r="3632" spans="1:22" x14ac:dyDescent="0.15">
      <c r="A3632">
        <v>31</v>
      </c>
      <c r="B3632">
        <v>2026</v>
      </c>
      <c r="C3632" s="21">
        <v>46237</v>
      </c>
      <c r="D3632" t="s">
        <v>141</v>
      </c>
      <c r="E3632" t="s">
        <v>142</v>
      </c>
      <c r="F3632" t="s">
        <v>75</v>
      </c>
      <c r="G3632">
        <v>1</v>
      </c>
      <c r="H3632" t="s">
        <v>4696</v>
      </c>
      <c r="I3632" t="s">
        <v>4697</v>
      </c>
      <c r="J3632" s="1" t="s">
        <v>3668</v>
      </c>
      <c r="K3632" t="s">
        <v>181</v>
      </c>
      <c r="L3632" t="s">
        <v>3340</v>
      </c>
      <c r="M3632">
        <v>78</v>
      </c>
      <c r="N3632">
        <v>0.49</v>
      </c>
      <c r="O3632" t="s">
        <v>211</v>
      </c>
      <c r="P3632">
        <v>27</v>
      </c>
      <c r="Q3632">
        <v>3</v>
      </c>
      <c r="R3632" t="s">
        <v>3341</v>
      </c>
      <c r="T3632" t="s">
        <v>3402</v>
      </c>
      <c r="U3632">
        <v>41</v>
      </c>
      <c r="V3632" t="s">
        <v>273</v>
      </c>
    </row>
    <row r="3633" spans="1:22" x14ac:dyDescent="0.15">
      <c r="A3633">
        <v>31</v>
      </c>
      <c r="B3633">
        <v>2026</v>
      </c>
      <c r="C3633" s="21">
        <v>46237</v>
      </c>
      <c r="D3633" t="s">
        <v>3749</v>
      </c>
      <c r="E3633" t="s">
        <v>676</v>
      </c>
      <c r="F3633" t="s">
        <v>676</v>
      </c>
      <c r="G3633">
        <v>1</v>
      </c>
      <c r="H3633" t="s">
        <v>4438</v>
      </c>
      <c r="I3633" t="s">
        <v>4439</v>
      </c>
      <c r="J3633" s="1" t="s">
        <v>4383</v>
      </c>
      <c r="K3633" t="s">
        <v>181</v>
      </c>
      <c r="L3633" t="s">
        <v>3333</v>
      </c>
      <c r="M3633">
        <v>86</v>
      </c>
      <c r="N3633">
        <v>1</v>
      </c>
      <c r="O3633" t="s">
        <v>3334</v>
      </c>
      <c r="P3633">
        <v>81.58</v>
      </c>
      <c r="Q3633">
        <v>8</v>
      </c>
      <c r="R3633" t="s">
        <v>3386</v>
      </c>
      <c r="T3633" t="s">
        <v>3402</v>
      </c>
      <c r="U3633">
        <v>214</v>
      </c>
      <c r="V3633" t="s">
        <v>3334</v>
      </c>
    </row>
    <row r="3634" spans="1:22" x14ac:dyDescent="0.15">
      <c r="A3634">
        <v>31</v>
      </c>
      <c r="B3634">
        <v>2026</v>
      </c>
      <c r="C3634" s="21">
        <v>46237</v>
      </c>
      <c r="D3634" t="s">
        <v>4406</v>
      </c>
      <c r="E3634" t="s">
        <v>4407</v>
      </c>
      <c r="F3634" t="s">
        <v>21</v>
      </c>
      <c r="G3634">
        <v>10</v>
      </c>
      <c r="H3634" t="s">
        <v>4647</v>
      </c>
      <c r="I3634" t="s">
        <v>4418</v>
      </c>
      <c r="J3634" s="1" t="s">
        <v>4383</v>
      </c>
      <c r="K3634" t="s">
        <v>2666</v>
      </c>
      <c r="L3634" t="s">
        <v>3587</v>
      </c>
      <c r="P3634">
        <v>48</v>
      </c>
      <c r="S3634" t="s">
        <v>4693</v>
      </c>
      <c r="T3634" t="s">
        <v>3402</v>
      </c>
      <c r="V3634" t="s">
        <v>4694</v>
      </c>
    </row>
    <row r="3635" spans="1:22" x14ac:dyDescent="0.15">
      <c r="A3635">
        <v>31</v>
      </c>
      <c r="B3635">
        <v>2026</v>
      </c>
      <c r="C3635" s="21">
        <v>46238</v>
      </c>
      <c r="D3635" t="s">
        <v>53</v>
      </c>
      <c r="E3635" t="s">
        <v>54</v>
      </c>
      <c r="F3635" t="s">
        <v>21</v>
      </c>
      <c r="G3635">
        <v>2</v>
      </c>
      <c r="H3635" t="s">
        <v>3400</v>
      </c>
      <c r="I3635" t="s">
        <v>353</v>
      </c>
      <c r="J3635" s="1" t="s">
        <v>253</v>
      </c>
      <c r="K3635" t="s">
        <v>181</v>
      </c>
      <c r="L3635" t="s">
        <v>23</v>
      </c>
      <c r="M3635">
        <v>176</v>
      </c>
      <c r="P3635">
        <v>324</v>
      </c>
      <c r="R3635" t="s">
        <v>4361</v>
      </c>
      <c r="S3635" t="s">
        <v>4517</v>
      </c>
      <c r="T3635" t="s">
        <v>3337</v>
      </c>
      <c r="U3635">
        <v>152</v>
      </c>
      <c r="V3635" t="s">
        <v>3706</v>
      </c>
    </row>
    <row r="3636" spans="1:22" x14ac:dyDescent="0.15">
      <c r="A3636">
        <v>31</v>
      </c>
      <c r="B3636">
        <v>2026</v>
      </c>
      <c r="C3636" s="21">
        <v>46238</v>
      </c>
      <c r="D3636" t="s">
        <v>53</v>
      </c>
      <c r="E3636" t="s">
        <v>54</v>
      </c>
      <c r="F3636" t="s">
        <v>21</v>
      </c>
      <c r="G3636">
        <v>2</v>
      </c>
      <c r="H3636" t="s">
        <v>3400</v>
      </c>
      <c r="I3636" t="s">
        <v>353</v>
      </c>
      <c r="J3636" s="1" t="s">
        <v>253</v>
      </c>
      <c r="K3636" t="s">
        <v>181</v>
      </c>
      <c r="L3636" t="s">
        <v>3340</v>
      </c>
      <c r="M3636">
        <v>25</v>
      </c>
      <c r="N3636">
        <v>0.74</v>
      </c>
      <c r="O3636" t="s">
        <v>211</v>
      </c>
      <c r="P3636">
        <v>40.5</v>
      </c>
      <c r="Q3636">
        <v>4.5</v>
      </c>
      <c r="R3636" t="s">
        <v>3413</v>
      </c>
      <c r="T3636" t="s">
        <v>3337</v>
      </c>
      <c r="U3636">
        <v>152</v>
      </c>
      <c r="V3636" t="s">
        <v>3631</v>
      </c>
    </row>
    <row r="3637" spans="1:22" x14ac:dyDescent="0.15">
      <c r="A3637">
        <v>31</v>
      </c>
      <c r="B3637">
        <v>2026</v>
      </c>
      <c r="C3637" s="21">
        <v>46238</v>
      </c>
      <c r="D3637" t="s">
        <v>53</v>
      </c>
      <c r="E3637" t="s">
        <v>54</v>
      </c>
      <c r="F3637" t="s">
        <v>21</v>
      </c>
      <c r="G3637">
        <v>2</v>
      </c>
      <c r="H3637" t="s">
        <v>3400</v>
      </c>
      <c r="I3637" t="s">
        <v>353</v>
      </c>
      <c r="J3637" s="1" t="s">
        <v>253</v>
      </c>
      <c r="K3637" t="s">
        <v>181</v>
      </c>
      <c r="L3637" t="s">
        <v>3333</v>
      </c>
      <c r="M3637">
        <v>2</v>
      </c>
      <c r="N3637">
        <v>0.56000000000000005</v>
      </c>
      <c r="O3637" t="s">
        <v>3440</v>
      </c>
      <c r="P3637">
        <v>50.9</v>
      </c>
      <c r="Q3637">
        <v>4.5</v>
      </c>
      <c r="R3637" t="s">
        <v>3424</v>
      </c>
      <c r="T3637" t="s">
        <v>3337</v>
      </c>
      <c r="U3637">
        <v>152</v>
      </c>
      <c r="V3637" t="s">
        <v>4185</v>
      </c>
    </row>
    <row r="3638" spans="1:22" x14ac:dyDescent="0.15">
      <c r="A3638">
        <v>31</v>
      </c>
      <c r="B3638">
        <v>2026</v>
      </c>
      <c r="C3638" s="21">
        <v>46238</v>
      </c>
      <c r="D3638" t="s">
        <v>115</v>
      </c>
      <c r="E3638" t="s">
        <v>116</v>
      </c>
      <c r="F3638" t="s">
        <v>21</v>
      </c>
      <c r="G3638">
        <v>2</v>
      </c>
      <c r="H3638" t="s">
        <v>3400</v>
      </c>
      <c r="I3638" t="s">
        <v>353</v>
      </c>
      <c r="J3638" s="1" t="s">
        <v>253</v>
      </c>
      <c r="K3638" t="s">
        <v>181</v>
      </c>
      <c r="L3638" t="s">
        <v>23</v>
      </c>
      <c r="M3638">
        <v>176</v>
      </c>
      <c r="P3638">
        <v>116</v>
      </c>
      <c r="Q3638">
        <v>1.5</v>
      </c>
      <c r="R3638" t="s">
        <v>4361</v>
      </c>
      <c r="S3638" t="s">
        <v>4517</v>
      </c>
      <c r="T3638" t="s">
        <v>3337</v>
      </c>
      <c r="U3638">
        <v>75</v>
      </c>
      <c r="V3638" t="s">
        <v>4698</v>
      </c>
    </row>
    <row r="3639" spans="1:22" x14ac:dyDescent="0.15">
      <c r="A3639">
        <v>31</v>
      </c>
      <c r="B3639">
        <v>2026</v>
      </c>
      <c r="C3639" s="21">
        <v>46238</v>
      </c>
      <c r="D3639" t="s">
        <v>115</v>
      </c>
      <c r="E3639" t="s">
        <v>116</v>
      </c>
      <c r="F3639" t="s">
        <v>21</v>
      </c>
      <c r="G3639">
        <v>2</v>
      </c>
      <c r="H3639" t="s">
        <v>3400</v>
      </c>
      <c r="I3639" t="s">
        <v>353</v>
      </c>
      <c r="J3639" s="1" t="s">
        <v>253</v>
      </c>
      <c r="K3639" t="s">
        <v>181</v>
      </c>
      <c r="L3639" t="s">
        <v>3340</v>
      </c>
      <c r="M3639">
        <v>25</v>
      </c>
      <c r="N3639">
        <v>0.26</v>
      </c>
      <c r="O3639" t="s">
        <v>211</v>
      </c>
      <c r="P3639">
        <v>14.5</v>
      </c>
      <c r="Q3639">
        <v>1.5</v>
      </c>
      <c r="R3639" t="s">
        <v>3413</v>
      </c>
      <c r="T3639" t="s">
        <v>3337</v>
      </c>
      <c r="U3639">
        <v>75</v>
      </c>
      <c r="V3639" t="s">
        <v>4699</v>
      </c>
    </row>
    <row r="3640" spans="1:22" x14ac:dyDescent="0.15">
      <c r="A3640">
        <v>31</v>
      </c>
      <c r="B3640">
        <v>2026</v>
      </c>
      <c r="C3640" s="21">
        <v>46238</v>
      </c>
      <c r="D3640" t="s">
        <v>115</v>
      </c>
      <c r="E3640" t="s">
        <v>116</v>
      </c>
      <c r="F3640" t="s">
        <v>21</v>
      </c>
      <c r="G3640">
        <v>2</v>
      </c>
      <c r="H3640" t="s">
        <v>3400</v>
      </c>
      <c r="I3640" t="s">
        <v>353</v>
      </c>
      <c r="J3640" s="1" t="s">
        <v>253</v>
      </c>
      <c r="K3640" t="s">
        <v>181</v>
      </c>
      <c r="L3640" t="s">
        <v>3333</v>
      </c>
      <c r="M3640">
        <v>2</v>
      </c>
      <c r="N3640">
        <v>0.44</v>
      </c>
      <c r="O3640" t="s">
        <v>3440</v>
      </c>
      <c r="P3640">
        <v>39.590000000000003</v>
      </c>
      <c r="Q3640">
        <v>3.5</v>
      </c>
      <c r="R3640" t="s">
        <v>3424</v>
      </c>
      <c r="T3640" t="s">
        <v>3337</v>
      </c>
      <c r="U3640">
        <v>75</v>
      </c>
      <c r="V3640" t="s">
        <v>4700</v>
      </c>
    </row>
    <row r="3641" spans="1:22" x14ac:dyDescent="0.15">
      <c r="A3641">
        <v>31</v>
      </c>
      <c r="B3641">
        <v>2026</v>
      </c>
      <c r="C3641" s="21">
        <v>46238</v>
      </c>
      <c r="D3641" t="s">
        <v>153</v>
      </c>
      <c r="E3641" t="s">
        <v>154</v>
      </c>
      <c r="F3641" t="s">
        <v>21</v>
      </c>
      <c r="G3641">
        <v>8</v>
      </c>
      <c r="H3641" t="s">
        <v>3453</v>
      </c>
      <c r="I3641" t="s">
        <v>187</v>
      </c>
      <c r="J3641" s="1" t="s">
        <v>188</v>
      </c>
      <c r="K3641" t="s">
        <v>181</v>
      </c>
      <c r="L3641" t="s">
        <v>3340</v>
      </c>
      <c r="M3641">
        <v>6</v>
      </c>
      <c r="N3641">
        <v>1.31</v>
      </c>
      <c r="O3641" t="s">
        <v>211</v>
      </c>
      <c r="P3641">
        <v>72</v>
      </c>
      <c r="Q3641">
        <v>8</v>
      </c>
      <c r="R3641" t="s">
        <v>3335</v>
      </c>
      <c r="T3641" t="s">
        <v>3337</v>
      </c>
      <c r="V3641" t="s">
        <v>3473</v>
      </c>
    </row>
    <row r="3642" spans="1:22" x14ac:dyDescent="0.15">
      <c r="A3642">
        <v>31</v>
      </c>
      <c r="B3642">
        <v>2026</v>
      </c>
      <c r="C3642" s="21">
        <v>46238</v>
      </c>
      <c r="D3642" t="s">
        <v>101</v>
      </c>
      <c r="E3642" t="s">
        <v>102</v>
      </c>
      <c r="F3642" t="s">
        <v>75</v>
      </c>
      <c r="G3642">
        <v>7.6</v>
      </c>
      <c r="H3642" t="s">
        <v>3454</v>
      </c>
      <c r="I3642" t="s">
        <v>212</v>
      </c>
      <c r="J3642" s="1" t="s">
        <v>188</v>
      </c>
      <c r="K3642" t="s">
        <v>181</v>
      </c>
      <c r="L3642" t="s">
        <v>3333</v>
      </c>
      <c r="M3642">
        <v>1</v>
      </c>
      <c r="N3642">
        <v>1</v>
      </c>
      <c r="O3642" t="s">
        <v>3358</v>
      </c>
      <c r="P3642">
        <v>71.86</v>
      </c>
      <c r="Q3642">
        <v>8</v>
      </c>
      <c r="R3642" t="s">
        <v>3359</v>
      </c>
      <c r="T3642" t="s">
        <v>3337</v>
      </c>
      <c r="U3642">
        <v>98</v>
      </c>
      <c r="V3642" t="s">
        <v>3545</v>
      </c>
    </row>
    <row r="3643" spans="1:22" x14ac:dyDescent="0.15">
      <c r="A3643">
        <v>31</v>
      </c>
      <c r="B3643">
        <v>2026</v>
      </c>
      <c r="C3643" s="21">
        <v>46238</v>
      </c>
      <c r="D3643" t="s">
        <v>3749</v>
      </c>
      <c r="E3643" t="s">
        <v>676</v>
      </c>
      <c r="F3643" t="s">
        <v>676</v>
      </c>
      <c r="G3643">
        <v>1</v>
      </c>
      <c r="H3643" t="s">
        <v>3750</v>
      </c>
      <c r="I3643" t="s">
        <v>3751</v>
      </c>
      <c r="J3643" s="1" t="s">
        <v>676</v>
      </c>
      <c r="K3643" t="s">
        <v>181</v>
      </c>
      <c r="L3643" t="s">
        <v>3340</v>
      </c>
      <c r="M3643">
        <v>81</v>
      </c>
      <c r="N3643">
        <v>0.41</v>
      </c>
      <c r="O3643" t="s">
        <v>211</v>
      </c>
      <c r="P3643">
        <v>22.5</v>
      </c>
      <c r="R3643" t="s">
        <v>3374</v>
      </c>
      <c r="T3643" t="s">
        <v>3337</v>
      </c>
      <c r="U3643">
        <v>215</v>
      </c>
      <c r="V3643" t="s">
        <v>3523</v>
      </c>
    </row>
    <row r="3644" spans="1:22" x14ac:dyDescent="0.15">
      <c r="A3644">
        <v>31</v>
      </c>
      <c r="B3644">
        <v>2026</v>
      </c>
      <c r="C3644" s="21">
        <v>46238</v>
      </c>
      <c r="D3644" t="s">
        <v>139</v>
      </c>
      <c r="E3644" t="s">
        <v>140</v>
      </c>
      <c r="F3644" t="s">
        <v>75</v>
      </c>
      <c r="G3644">
        <v>0.8</v>
      </c>
      <c r="H3644" t="s">
        <v>3894</v>
      </c>
      <c r="I3644" t="s">
        <v>380</v>
      </c>
      <c r="J3644" s="1" t="s">
        <v>3533</v>
      </c>
      <c r="K3644" t="s">
        <v>181</v>
      </c>
      <c r="L3644" t="s">
        <v>3333</v>
      </c>
      <c r="M3644">
        <v>4</v>
      </c>
      <c r="N3644">
        <v>1</v>
      </c>
      <c r="O3644" t="s">
        <v>3334</v>
      </c>
      <c r="P3644">
        <v>81.58</v>
      </c>
      <c r="Q3644">
        <v>8</v>
      </c>
      <c r="R3644" t="s">
        <v>3773</v>
      </c>
      <c r="T3644" t="s">
        <v>3402</v>
      </c>
      <c r="U3644">
        <v>70</v>
      </c>
      <c r="V3644" t="s">
        <v>4095</v>
      </c>
    </row>
    <row r="3645" spans="1:22" x14ac:dyDescent="0.15">
      <c r="A3645">
        <v>31</v>
      </c>
      <c r="B3645">
        <v>2026</v>
      </c>
      <c r="C3645" s="21">
        <v>46238</v>
      </c>
      <c r="D3645" t="s">
        <v>139</v>
      </c>
      <c r="E3645" t="s">
        <v>140</v>
      </c>
      <c r="F3645" t="s">
        <v>75</v>
      </c>
      <c r="G3645">
        <v>0.8</v>
      </c>
      <c r="H3645" t="s">
        <v>3845</v>
      </c>
      <c r="I3645" t="s">
        <v>380</v>
      </c>
      <c r="J3645" s="1" t="s">
        <v>3533</v>
      </c>
      <c r="K3645" t="s">
        <v>181</v>
      </c>
      <c r="L3645" t="s">
        <v>3340</v>
      </c>
      <c r="M3645">
        <v>84</v>
      </c>
      <c r="N3645">
        <v>1.31</v>
      </c>
      <c r="O3645" t="s">
        <v>211</v>
      </c>
      <c r="P3645">
        <v>72</v>
      </c>
      <c r="Q3645">
        <v>8</v>
      </c>
      <c r="R3645" t="s">
        <v>3446</v>
      </c>
      <c r="T3645" t="s">
        <v>3402</v>
      </c>
      <c r="U3645">
        <v>70</v>
      </c>
      <c r="V3645" t="s">
        <v>213</v>
      </c>
    </row>
    <row r="3646" spans="1:22" x14ac:dyDescent="0.15">
      <c r="A3646">
        <v>31</v>
      </c>
      <c r="B3646">
        <v>2026</v>
      </c>
      <c r="C3646" s="21">
        <v>46238</v>
      </c>
      <c r="D3646" t="s">
        <v>3749</v>
      </c>
      <c r="E3646" t="s">
        <v>676</v>
      </c>
      <c r="F3646" t="s">
        <v>676</v>
      </c>
      <c r="G3646">
        <v>1</v>
      </c>
      <c r="H3646" t="s">
        <v>4438</v>
      </c>
      <c r="I3646" t="s">
        <v>4439</v>
      </c>
      <c r="J3646" s="1" t="s">
        <v>4383</v>
      </c>
      <c r="K3646" t="s">
        <v>181</v>
      </c>
      <c r="L3646" t="s">
        <v>3333</v>
      </c>
      <c r="M3646">
        <v>86</v>
      </c>
      <c r="N3646">
        <v>1</v>
      </c>
      <c r="O3646" t="s">
        <v>3334</v>
      </c>
      <c r="P3646">
        <v>81.58</v>
      </c>
      <c r="Q3646">
        <v>8</v>
      </c>
      <c r="R3646" t="s">
        <v>3386</v>
      </c>
      <c r="T3646" t="s">
        <v>3402</v>
      </c>
      <c r="U3646">
        <v>215</v>
      </c>
      <c r="V3646" t="s">
        <v>3334</v>
      </c>
    </row>
    <row r="3647" spans="1:22" x14ac:dyDescent="0.15">
      <c r="A3647">
        <v>31</v>
      </c>
      <c r="B3647">
        <v>2026</v>
      </c>
      <c r="C3647" s="21">
        <v>46238</v>
      </c>
      <c r="D3647" t="s">
        <v>3749</v>
      </c>
      <c r="E3647" t="s">
        <v>676</v>
      </c>
      <c r="F3647" t="s">
        <v>676</v>
      </c>
      <c r="G3647">
        <v>1</v>
      </c>
      <c r="H3647" t="s">
        <v>4445</v>
      </c>
      <c r="I3647" t="s">
        <v>4446</v>
      </c>
      <c r="J3647" s="1" t="s">
        <v>676</v>
      </c>
      <c r="K3647" t="s">
        <v>181</v>
      </c>
      <c r="L3647" t="s">
        <v>3340</v>
      </c>
      <c r="M3647">
        <v>86</v>
      </c>
      <c r="N3647">
        <v>0.16</v>
      </c>
      <c r="O3647" t="s">
        <v>211</v>
      </c>
      <c r="P3647">
        <v>9</v>
      </c>
      <c r="Q3647">
        <v>1</v>
      </c>
      <c r="R3647" t="s">
        <v>3386</v>
      </c>
      <c r="T3647" t="s">
        <v>3402</v>
      </c>
      <c r="U3647">
        <v>215</v>
      </c>
      <c r="V3647" t="s">
        <v>3473</v>
      </c>
    </row>
    <row r="3648" spans="1:22" x14ac:dyDescent="0.15">
      <c r="A3648">
        <v>31</v>
      </c>
      <c r="B3648">
        <v>2026</v>
      </c>
      <c r="C3648" s="21">
        <v>46238</v>
      </c>
      <c r="D3648" t="s">
        <v>3749</v>
      </c>
      <c r="E3648" t="s">
        <v>676</v>
      </c>
      <c r="F3648" t="s">
        <v>676</v>
      </c>
      <c r="G3648">
        <v>1</v>
      </c>
      <c r="H3648" t="s">
        <v>4445</v>
      </c>
      <c r="I3648" t="s">
        <v>4446</v>
      </c>
      <c r="J3648" s="1" t="s">
        <v>676</v>
      </c>
      <c r="K3648" t="s">
        <v>181</v>
      </c>
      <c r="L3648" t="s">
        <v>3340</v>
      </c>
      <c r="M3648">
        <v>86</v>
      </c>
      <c r="N3648">
        <v>0.77</v>
      </c>
      <c r="O3648" t="s">
        <v>211</v>
      </c>
      <c r="P3648">
        <v>42.5</v>
      </c>
      <c r="R3648" t="s">
        <v>3386</v>
      </c>
      <c r="S3648" t="s">
        <v>4701</v>
      </c>
      <c r="T3648" t="s">
        <v>3402</v>
      </c>
      <c r="U3648">
        <v>215</v>
      </c>
      <c r="V3648" t="s">
        <v>3768</v>
      </c>
    </row>
    <row r="3649" spans="1:22" x14ac:dyDescent="0.15">
      <c r="A3649">
        <v>31</v>
      </c>
      <c r="B3649">
        <v>2026</v>
      </c>
      <c r="C3649" s="21">
        <v>46238</v>
      </c>
      <c r="D3649" t="s">
        <v>19</v>
      </c>
      <c r="E3649" t="s">
        <v>20</v>
      </c>
      <c r="F3649" t="s">
        <v>21</v>
      </c>
      <c r="G3649">
        <v>3.8</v>
      </c>
      <c r="H3649" t="s">
        <v>3391</v>
      </c>
      <c r="I3649" t="s">
        <v>353</v>
      </c>
      <c r="J3649" s="1" t="s">
        <v>253</v>
      </c>
      <c r="K3649" t="s">
        <v>181</v>
      </c>
      <c r="L3649" t="s">
        <v>3333</v>
      </c>
      <c r="M3649">
        <v>67</v>
      </c>
      <c r="N3649">
        <v>0.38</v>
      </c>
      <c r="O3649" t="s">
        <v>3334</v>
      </c>
      <c r="P3649">
        <v>30.59</v>
      </c>
      <c r="Q3649">
        <v>3</v>
      </c>
      <c r="R3649" t="s">
        <v>3404</v>
      </c>
      <c r="T3649" t="s">
        <v>3402</v>
      </c>
      <c r="U3649">
        <v>238</v>
      </c>
      <c r="V3649" t="s">
        <v>3354</v>
      </c>
    </row>
    <row r="3650" spans="1:22" x14ac:dyDescent="0.15">
      <c r="A3650">
        <v>31</v>
      </c>
      <c r="B3650">
        <v>2026</v>
      </c>
      <c r="C3650" s="21">
        <v>46238</v>
      </c>
      <c r="D3650" t="s">
        <v>19</v>
      </c>
      <c r="E3650" t="s">
        <v>20</v>
      </c>
      <c r="F3650" t="s">
        <v>21</v>
      </c>
      <c r="G3650">
        <v>3.8</v>
      </c>
      <c r="H3650" t="s">
        <v>3391</v>
      </c>
      <c r="I3650" t="s">
        <v>353</v>
      </c>
      <c r="J3650" s="1" t="s">
        <v>253</v>
      </c>
      <c r="K3650" t="s">
        <v>181</v>
      </c>
      <c r="L3650" t="s">
        <v>3333</v>
      </c>
      <c r="M3650">
        <v>19</v>
      </c>
      <c r="N3650">
        <v>0.38</v>
      </c>
      <c r="O3650" t="s">
        <v>3334</v>
      </c>
      <c r="P3650">
        <v>30.59</v>
      </c>
      <c r="Q3650">
        <v>3</v>
      </c>
      <c r="R3650" t="s">
        <v>3403</v>
      </c>
      <c r="T3650" t="s">
        <v>3402</v>
      </c>
      <c r="U3650">
        <v>238</v>
      </c>
      <c r="V3650" t="s">
        <v>3354</v>
      </c>
    </row>
    <row r="3651" spans="1:22" x14ac:dyDescent="0.15">
      <c r="A3651">
        <v>31</v>
      </c>
      <c r="B3651">
        <v>2026</v>
      </c>
      <c r="C3651" s="21">
        <v>46238</v>
      </c>
      <c r="D3651" t="s">
        <v>141</v>
      </c>
      <c r="E3651" t="s">
        <v>142</v>
      </c>
      <c r="F3651" t="s">
        <v>75</v>
      </c>
      <c r="G3651">
        <v>1</v>
      </c>
      <c r="H3651" t="s">
        <v>4241</v>
      </c>
      <c r="I3651" t="s">
        <v>4242</v>
      </c>
      <c r="J3651" s="1" t="s">
        <v>3668</v>
      </c>
      <c r="K3651" t="s">
        <v>181</v>
      </c>
      <c r="L3651" t="s">
        <v>3333</v>
      </c>
      <c r="M3651">
        <v>78</v>
      </c>
      <c r="N3651">
        <v>0.25</v>
      </c>
      <c r="O3651" t="s">
        <v>3334</v>
      </c>
      <c r="P3651">
        <v>20.399999999999999</v>
      </c>
      <c r="Q3651">
        <v>2</v>
      </c>
      <c r="R3651" t="s">
        <v>3341</v>
      </c>
      <c r="T3651" t="s">
        <v>3402</v>
      </c>
      <c r="U3651">
        <v>42</v>
      </c>
      <c r="V3651" t="s">
        <v>3474</v>
      </c>
    </row>
    <row r="3652" spans="1:22" x14ac:dyDescent="0.15">
      <c r="A3652">
        <v>31</v>
      </c>
      <c r="B3652">
        <v>2026</v>
      </c>
      <c r="C3652" s="21">
        <v>46238</v>
      </c>
      <c r="D3652" t="s">
        <v>137</v>
      </c>
      <c r="E3652" t="s">
        <v>138</v>
      </c>
      <c r="F3652" t="s">
        <v>75</v>
      </c>
      <c r="G3652">
        <v>1</v>
      </c>
      <c r="H3652" t="s">
        <v>4277</v>
      </c>
      <c r="I3652" t="s">
        <v>4278</v>
      </c>
      <c r="J3652" s="1" t="s">
        <v>3668</v>
      </c>
      <c r="K3652" t="s">
        <v>181</v>
      </c>
      <c r="L3652" t="s">
        <v>3333</v>
      </c>
      <c r="M3652">
        <v>78</v>
      </c>
      <c r="N3652">
        <v>0.13</v>
      </c>
      <c r="O3652" t="s">
        <v>3334</v>
      </c>
      <c r="P3652">
        <v>10.199999999999999</v>
      </c>
      <c r="Q3652">
        <v>1</v>
      </c>
      <c r="R3652" t="s">
        <v>3341</v>
      </c>
      <c r="T3652" t="s">
        <v>3402</v>
      </c>
      <c r="U3652">
        <v>18</v>
      </c>
      <c r="V3652" t="s">
        <v>3472</v>
      </c>
    </row>
    <row r="3653" spans="1:22" x14ac:dyDescent="0.15">
      <c r="A3653">
        <v>31</v>
      </c>
      <c r="B3653">
        <v>2026</v>
      </c>
      <c r="C3653" s="21">
        <v>46238</v>
      </c>
      <c r="D3653" t="s">
        <v>3749</v>
      </c>
      <c r="E3653" t="s">
        <v>676</v>
      </c>
      <c r="F3653" t="s">
        <v>676</v>
      </c>
      <c r="G3653">
        <v>1</v>
      </c>
      <c r="H3653" t="s">
        <v>4445</v>
      </c>
      <c r="I3653" t="s">
        <v>4446</v>
      </c>
      <c r="J3653" s="1" t="s">
        <v>676</v>
      </c>
      <c r="K3653" t="s">
        <v>181</v>
      </c>
      <c r="L3653" t="s">
        <v>3333</v>
      </c>
      <c r="M3653">
        <v>78</v>
      </c>
      <c r="N3653">
        <v>0.31</v>
      </c>
      <c r="O3653" t="s">
        <v>3334</v>
      </c>
      <c r="P3653">
        <v>25.49</v>
      </c>
      <c r="Q3653">
        <v>2.5</v>
      </c>
      <c r="R3653" t="s">
        <v>3341</v>
      </c>
      <c r="T3653" t="s">
        <v>3402</v>
      </c>
      <c r="U3653">
        <v>215</v>
      </c>
      <c r="V3653" t="s">
        <v>3500</v>
      </c>
    </row>
    <row r="3654" spans="1:22" x14ac:dyDescent="0.15">
      <c r="A3654">
        <v>31</v>
      </c>
      <c r="B3654">
        <v>2026</v>
      </c>
      <c r="C3654" s="21">
        <v>46238</v>
      </c>
      <c r="D3654" t="s">
        <v>3749</v>
      </c>
      <c r="E3654" t="s">
        <v>676</v>
      </c>
      <c r="F3654" t="s">
        <v>676</v>
      </c>
      <c r="G3654">
        <v>1</v>
      </c>
      <c r="H3654" t="s">
        <v>4445</v>
      </c>
      <c r="I3654" t="s">
        <v>4446</v>
      </c>
      <c r="J3654" s="1" t="s">
        <v>676</v>
      </c>
      <c r="K3654" t="s">
        <v>181</v>
      </c>
      <c r="L3654" t="s">
        <v>3340</v>
      </c>
      <c r="M3654">
        <v>78</v>
      </c>
      <c r="N3654">
        <v>0.31</v>
      </c>
      <c r="O3654" t="s">
        <v>211</v>
      </c>
      <c r="P3654">
        <v>17</v>
      </c>
      <c r="R3654" t="s">
        <v>3341</v>
      </c>
      <c r="T3654" t="s">
        <v>3402</v>
      </c>
      <c r="U3654">
        <v>215</v>
      </c>
      <c r="V3654" t="s">
        <v>4252</v>
      </c>
    </row>
    <row r="3655" spans="1:22" x14ac:dyDescent="0.15">
      <c r="A3655">
        <v>31</v>
      </c>
      <c r="B3655">
        <v>2026</v>
      </c>
      <c r="C3655" s="21">
        <v>46238</v>
      </c>
      <c r="D3655" t="s">
        <v>53</v>
      </c>
      <c r="E3655" t="s">
        <v>54</v>
      </c>
      <c r="F3655" t="s">
        <v>21</v>
      </c>
      <c r="G3655">
        <v>2</v>
      </c>
      <c r="H3655" t="s">
        <v>3391</v>
      </c>
      <c r="I3655" t="s">
        <v>353</v>
      </c>
      <c r="J3655" s="1" t="s">
        <v>253</v>
      </c>
      <c r="K3655" t="s">
        <v>181</v>
      </c>
      <c r="L3655" t="s">
        <v>3333</v>
      </c>
      <c r="M3655">
        <v>67</v>
      </c>
      <c r="N3655">
        <v>0.25</v>
      </c>
      <c r="O3655" t="s">
        <v>3334</v>
      </c>
      <c r="P3655">
        <v>20.399999999999999</v>
      </c>
      <c r="Q3655">
        <v>2</v>
      </c>
      <c r="R3655" t="s">
        <v>3404</v>
      </c>
      <c r="T3655" t="s">
        <v>3402</v>
      </c>
      <c r="U3655">
        <v>152</v>
      </c>
      <c r="V3655" t="s">
        <v>3472</v>
      </c>
    </row>
    <row r="3656" spans="1:22" x14ac:dyDescent="0.15">
      <c r="A3656">
        <v>31</v>
      </c>
      <c r="B3656">
        <v>2026</v>
      </c>
      <c r="C3656" s="21">
        <v>46238</v>
      </c>
      <c r="D3656" t="s">
        <v>53</v>
      </c>
      <c r="E3656" t="s">
        <v>54</v>
      </c>
      <c r="F3656" t="s">
        <v>21</v>
      </c>
      <c r="G3656">
        <v>2</v>
      </c>
      <c r="H3656" t="s">
        <v>3391</v>
      </c>
      <c r="I3656" t="s">
        <v>353</v>
      </c>
      <c r="J3656" s="1" t="s">
        <v>253</v>
      </c>
      <c r="K3656" t="s">
        <v>181</v>
      </c>
      <c r="L3656" t="s">
        <v>3333</v>
      </c>
      <c r="M3656">
        <v>19</v>
      </c>
      <c r="N3656">
        <v>0.25</v>
      </c>
      <c r="O3656" t="s">
        <v>3334</v>
      </c>
      <c r="P3656">
        <v>20.399999999999999</v>
      </c>
      <c r="Q3656">
        <v>2</v>
      </c>
      <c r="R3656" t="s">
        <v>3403</v>
      </c>
      <c r="T3656" t="s">
        <v>3402</v>
      </c>
      <c r="U3656">
        <v>152</v>
      </c>
      <c r="V3656" t="s">
        <v>3472</v>
      </c>
    </row>
    <row r="3657" spans="1:22" x14ac:dyDescent="0.15">
      <c r="A3657">
        <v>31</v>
      </c>
      <c r="B3657">
        <v>2026</v>
      </c>
      <c r="C3657" s="21">
        <v>46238</v>
      </c>
      <c r="D3657" t="s">
        <v>3749</v>
      </c>
      <c r="E3657" t="s">
        <v>676</v>
      </c>
      <c r="F3657" t="s">
        <v>676</v>
      </c>
      <c r="G3657">
        <v>1</v>
      </c>
      <c r="H3657" t="s">
        <v>3750</v>
      </c>
      <c r="I3657" t="s">
        <v>3751</v>
      </c>
      <c r="J3657" s="1" t="s">
        <v>676</v>
      </c>
      <c r="K3657" t="s">
        <v>181</v>
      </c>
      <c r="L3657" t="s">
        <v>3333</v>
      </c>
      <c r="M3657">
        <v>67</v>
      </c>
      <c r="N3657">
        <v>0.38</v>
      </c>
      <c r="O3657" t="s">
        <v>3334</v>
      </c>
      <c r="P3657">
        <v>30.59</v>
      </c>
      <c r="Q3657">
        <v>3</v>
      </c>
      <c r="R3657" t="s">
        <v>3404</v>
      </c>
      <c r="S3657" t="s">
        <v>4702</v>
      </c>
      <c r="T3657" t="s">
        <v>3402</v>
      </c>
      <c r="U3657">
        <v>215</v>
      </c>
      <c r="V3657" t="s">
        <v>3491</v>
      </c>
    </row>
    <row r="3658" spans="1:22" x14ac:dyDescent="0.15">
      <c r="A3658">
        <v>31</v>
      </c>
      <c r="B3658">
        <v>2026</v>
      </c>
      <c r="C3658" s="21">
        <v>46238</v>
      </c>
      <c r="D3658" t="s">
        <v>3749</v>
      </c>
      <c r="E3658" t="s">
        <v>676</v>
      </c>
      <c r="F3658" t="s">
        <v>676</v>
      </c>
      <c r="G3658">
        <v>1</v>
      </c>
      <c r="H3658" t="s">
        <v>3750</v>
      </c>
      <c r="I3658" t="s">
        <v>3751</v>
      </c>
      <c r="J3658" s="1" t="s">
        <v>676</v>
      </c>
      <c r="K3658" t="s">
        <v>181</v>
      </c>
      <c r="L3658" t="s">
        <v>3333</v>
      </c>
      <c r="M3658">
        <v>19</v>
      </c>
      <c r="N3658">
        <v>0.38</v>
      </c>
      <c r="O3658" t="s">
        <v>3334</v>
      </c>
      <c r="P3658">
        <v>30.59</v>
      </c>
      <c r="Q3658">
        <v>3</v>
      </c>
      <c r="R3658" t="s">
        <v>3403</v>
      </c>
      <c r="S3658" t="s">
        <v>4703</v>
      </c>
      <c r="T3658" t="s">
        <v>3402</v>
      </c>
      <c r="U3658">
        <v>215</v>
      </c>
      <c r="V3658" t="s">
        <v>3491</v>
      </c>
    </row>
    <row r="3659" spans="1:22" x14ac:dyDescent="0.15">
      <c r="A3659">
        <v>31</v>
      </c>
      <c r="B3659">
        <v>2026</v>
      </c>
      <c r="C3659" s="21">
        <v>46238</v>
      </c>
      <c r="D3659" t="s">
        <v>3749</v>
      </c>
      <c r="E3659" t="s">
        <v>676</v>
      </c>
      <c r="F3659" t="s">
        <v>676</v>
      </c>
      <c r="G3659">
        <v>1</v>
      </c>
      <c r="H3659" t="s">
        <v>3750</v>
      </c>
      <c r="I3659" t="s">
        <v>3751</v>
      </c>
      <c r="J3659" s="1" t="s">
        <v>676</v>
      </c>
      <c r="K3659" t="s">
        <v>181</v>
      </c>
      <c r="L3659" t="s">
        <v>3333</v>
      </c>
      <c r="M3659">
        <v>78</v>
      </c>
      <c r="N3659">
        <v>0.31</v>
      </c>
      <c r="O3659" t="s">
        <v>3334</v>
      </c>
      <c r="P3659">
        <v>25.49</v>
      </c>
      <c r="Q3659">
        <v>2.5</v>
      </c>
      <c r="R3659" t="s">
        <v>3341</v>
      </c>
      <c r="S3659" t="s">
        <v>4704</v>
      </c>
      <c r="T3659" t="s">
        <v>3402</v>
      </c>
      <c r="U3659">
        <v>215</v>
      </c>
      <c r="V3659" t="s">
        <v>3500</v>
      </c>
    </row>
    <row r="3660" spans="1:22" x14ac:dyDescent="0.15">
      <c r="A3660">
        <v>31</v>
      </c>
      <c r="B3660">
        <v>2026</v>
      </c>
      <c r="C3660" s="21">
        <v>46238</v>
      </c>
      <c r="D3660" t="s">
        <v>3749</v>
      </c>
      <c r="E3660" t="s">
        <v>676</v>
      </c>
      <c r="F3660" t="s">
        <v>676</v>
      </c>
      <c r="G3660">
        <v>1</v>
      </c>
      <c r="H3660" t="s">
        <v>3750</v>
      </c>
      <c r="I3660" t="s">
        <v>3751</v>
      </c>
      <c r="J3660" s="1" t="s">
        <v>676</v>
      </c>
      <c r="K3660" t="s">
        <v>181</v>
      </c>
      <c r="L3660" t="s">
        <v>3340</v>
      </c>
      <c r="M3660">
        <v>79</v>
      </c>
      <c r="N3660">
        <v>0.82</v>
      </c>
      <c r="O3660" t="s">
        <v>211</v>
      </c>
      <c r="P3660">
        <v>44.9</v>
      </c>
      <c r="R3660" t="s">
        <v>3401</v>
      </c>
      <c r="T3660" t="s">
        <v>3402</v>
      </c>
      <c r="U3660">
        <v>215</v>
      </c>
      <c r="V3660" t="s">
        <v>4705</v>
      </c>
    </row>
    <row r="3661" spans="1:22" x14ac:dyDescent="0.15">
      <c r="A3661">
        <v>31</v>
      </c>
      <c r="B3661">
        <v>2026</v>
      </c>
      <c r="C3661" s="21">
        <v>46238</v>
      </c>
      <c r="D3661" t="s">
        <v>3749</v>
      </c>
      <c r="E3661" t="s">
        <v>676</v>
      </c>
      <c r="F3661" t="s">
        <v>676</v>
      </c>
      <c r="G3661">
        <v>1</v>
      </c>
      <c r="H3661" t="s">
        <v>3750</v>
      </c>
      <c r="I3661" t="s">
        <v>3751</v>
      </c>
      <c r="J3661" s="1" t="s">
        <v>676</v>
      </c>
      <c r="K3661" t="s">
        <v>181</v>
      </c>
      <c r="L3661" t="s">
        <v>3340</v>
      </c>
      <c r="M3661">
        <v>67</v>
      </c>
      <c r="N3661">
        <v>0.33</v>
      </c>
      <c r="O3661" t="s">
        <v>211</v>
      </c>
      <c r="P3661">
        <v>18</v>
      </c>
      <c r="R3661" t="s">
        <v>3404</v>
      </c>
      <c r="T3661" t="s">
        <v>3402</v>
      </c>
      <c r="U3661">
        <v>215</v>
      </c>
      <c r="V3661" t="s">
        <v>260</v>
      </c>
    </row>
    <row r="3662" spans="1:22" x14ac:dyDescent="0.15">
      <c r="A3662">
        <v>31</v>
      </c>
      <c r="B3662">
        <v>2026</v>
      </c>
      <c r="C3662" s="21">
        <v>46238</v>
      </c>
      <c r="D3662" t="s">
        <v>3749</v>
      </c>
      <c r="E3662" t="s">
        <v>676</v>
      </c>
      <c r="F3662" t="s">
        <v>676</v>
      </c>
      <c r="G3662">
        <v>1</v>
      </c>
      <c r="H3662" t="s">
        <v>3750</v>
      </c>
      <c r="I3662" t="s">
        <v>3751</v>
      </c>
      <c r="J3662" s="1" t="s">
        <v>676</v>
      </c>
      <c r="K3662" t="s">
        <v>181</v>
      </c>
      <c r="L3662" t="s">
        <v>3340</v>
      </c>
      <c r="M3662">
        <v>19</v>
      </c>
      <c r="N3662">
        <v>0.25</v>
      </c>
      <c r="O3662" t="s">
        <v>211</v>
      </c>
      <c r="P3662">
        <v>14</v>
      </c>
      <c r="R3662" t="s">
        <v>3403</v>
      </c>
      <c r="T3662" t="s">
        <v>3402</v>
      </c>
      <c r="U3662">
        <v>215</v>
      </c>
      <c r="V3662" t="s">
        <v>4605</v>
      </c>
    </row>
    <row r="3663" spans="1:22" x14ac:dyDescent="0.15">
      <c r="A3663">
        <v>31</v>
      </c>
      <c r="B3663">
        <v>2026</v>
      </c>
      <c r="C3663" s="21">
        <v>46238</v>
      </c>
      <c r="D3663" t="s">
        <v>3749</v>
      </c>
      <c r="E3663" t="s">
        <v>676</v>
      </c>
      <c r="F3663" t="s">
        <v>676</v>
      </c>
      <c r="G3663">
        <v>1</v>
      </c>
      <c r="H3663" t="s">
        <v>3750</v>
      </c>
      <c r="I3663" t="s">
        <v>3751</v>
      </c>
      <c r="J3663" s="1" t="s">
        <v>676</v>
      </c>
      <c r="K3663" t="s">
        <v>181</v>
      </c>
      <c r="L3663" t="s">
        <v>3340</v>
      </c>
      <c r="M3663">
        <v>78</v>
      </c>
      <c r="N3663">
        <v>0.25</v>
      </c>
      <c r="O3663" t="s">
        <v>211</v>
      </c>
      <c r="P3663">
        <v>14</v>
      </c>
      <c r="R3663" t="s">
        <v>3341</v>
      </c>
      <c r="T3663" t="s">
        <v>3402</v>
      </c>
      <c r="U3663">
        <v>215</v>
      </c>
      <c r="V3663" t="s">
        <v>4605</v>
      </c>
    </row>
    <row r="3664" spans="1:22" x14ac:dyDescent="0.15">
      <c r="A3664">
        <v>31</v>
      </c>
      <c r="B3664">
        <v>2026</v>
      </c>
      <c r="C3664" s="21">
        <v>46238</v>
      </c>
      <c r="D3664" t="s">
        <v>4406</v>
      </c>
      <c r="E3664" t="s">
        <v>4407</v>
      </c>
      <c r="F3664" t="s">
        <v>21</v>
      </c>
      <c r="G3664">
        <v>10</v>
      </c>
      <c r="H3664" t="s">
        <v>4647</v>
      </c>
      <c r="I3664" t="s">
        <v>4418</v>
      </c>
      <c r="J3664" s="1" t="s">
        <v>4383</v>
      </c>
      <c r="K3664" t="s">
        <v>2666</v>
      </c>
      <c r="L3664" t="s">
        <v>3587</v>
      </c>
      <c r="P3664">
        <v>24</v>
      </c>
      <c r="S3664" t="s">
        <v>4693</v>
      </c>
      <c r="T3664" t="s">
        <v>3402</v>
      </c>
      <c r="V3664" t="s">
        <v>4706</v>
      </c>
    </row>
    <row r="3665" spans="1:22" x14ac:dyDescent="0.15">
      <c r="A3665">
        <v>31</v>
      </c>
      <c r="B3665">
        <v>2026</v>
      </c>
      <c r="C3665" s="21">
        <v>46239</v>
      </c>
      <c r="D3665" t="s">
        <v>115</v>
      </c>
      <c r="E3665" t="s">
        <v>116</v>
      </c>
      <c r="F3665" t="s">
        <v>21</v>
      </c>
      <c r="G3665">
        <v>2</v>
      </c>
      <c r="H3665" t="s">
        <v>3400</v>
      </c>
      <c r="I3665" t="s">
        <v>353</v>
      </c>
      <c r="J3665" s="1" t="s">
        <v>253</v>
      </c>
      <c r="K3665" t="s">
        <v>181</v>
      </c>
      <c r="L3665" t="s">
        <v>23</v>
      </c>
      <c r="M3665">
        <v>176</v>
      </c>
      <c r="P3665">
        <v>440</v>
      </c>
      <c r="R3665" t="s">
        <v>4361</v>
      </c>
      <c r="S3665" t="s">
        <v>4517</v>
      </c>
      <c r="T3665" t="s">
        <v>3337</v>
      </c>
      <c r="U3665">
        <v>76</v>
      </c>
      <c r="V3665" t="s">
        <v>205</v>
      </c>
    </row>
    <row r="3666" spans="1:22" x14ac:dyDescent="0.15">
      <c r="A3666">
        <v>31</v>
      </c>
      <c r="B3666">
        <v>2026</v>
      </c>
      <c r="C3666" s="21">
        <v>46239</v>
      </c>
      <c r="D3666" t="s">
        <v>115</v>
      </c>
      <c r="E3666" t="s">
        <v>116</v>
      </c>
      <c r="F3666" t="s">
        <v>21</v>
      </c>
      <c r="G3666">
        <v>2</v>
      </c>
      <c r="H3666" t="s">
        <v>3400</v>
      </c>
      <c r="I3666" t="s">
        <v>353</v>
      </c>
      <c r="J3666" s="1" t="s">
        <v>253</v>
      </c>
      <c r="K3666" t="s">
        <v>181</v>
      </c>
      <c r="L3666" t="s">
        <v>3340</v>
      </c>
      <c r="M3666">
        <v>25</v>
      </c>
      <c r="N3666">
        <v>0.82</v>
      </c>
      <c r="O3666" t="s">
        <v>211</v>
      </c>
      <c r="P3666">
        <v>45</v>
      </c>
      <c r="Q3666">
        <v>5</v>
      </c>
      <c r="R3666" t="s">
        <v>3413</v>
      </c>
      <c r="T3666" t="s">
        <v>3337</v>
      </c>
      <c r="U3666">
        <v>76</v>
      </c>
      <c r="V3666" t="s">
        <v>3523</v>
      </c>
    </row>
    <row r="3667" spans="1:22" x14ac:dyDescent="0.15">
      <c r="A3667">
        <v>31</v>
      </c>
      <c r="B3667">
        <v>2026</v>
      </c>
      <c r="C3667" s="21">
        <v>46239</v>
      </c>
      <c r="D3667" t="s">
        <v>115</v>
      </c>
      <c r="E3667" t="s">
        <v>116</v>
      </c>
      <c r="F3667" t="s">
        <v>21</v>
      </c>
      <c r="G3667">
        <v>2</v>
      </c>
      <c r="H3667" t="s">
        <v>3400</v>
      </c>
      <c r="I3667" t="s">
        <v>353</v>
      </c>
      <c r="J3667" s="1" t="s">
        <v>253</v>
      </c>
      <c r="K3667" t="s">
        <v>181</v>
      </c>
      <c r="L3667" t="s">
        <v>3333</v>
      </c>
      <c r="M3667">
        <v>2</v>
      </c>
      <c r="N3667">
        <v>1</v>
      </c>
      <c r="O3667" t="s">
        <v>3440</v>
      </c>
      <c r="P3667">
        <v>90.49</v>
      </c>
      <c r="Q3667">
        <v>8</v>
      </c>
      <c r="R3667" t="s">
        <v>3424</v>
      </c>
      <c r="T3667" t="s">
        <v>3337</v>
      </c>
      <c r="U3667">
        <v>76</v>
      </c>
      <c r="V3667" t="s">
        <v>3976</v>
      </c>
    </row>
    <row r="3668" spans="1:22" x14ac:dyDescent="0.15">
      <c r="A3668">
        <v>31</v>
      </c>
      <c r="B3668">
        <v>2026</v>
      </c>
      <c r="C3668" s="21">
        <v>46239</v>
      </c>
      <c r="D3668" t="s">
        <v>153</v>
      </c>
      <c r="E3668" t="s">
        <v>154</v>
      </c>
      <c r="F3668" t="s">
        <v>21</v>
      </c>
      <c r="G3668">
        <v>8</v>
      </c>
      <c r="H3668" t="s">
        <v>3378</v>
      </c>
      <c r="I3668" t="s">
        <v>214</v>
      </c>
      <c r="J3668" s="1" t="s">
        <v>215</v>
      </c>
      <c r="K3668" t="s">
        <v>181</v>
      </c>
      <c r="L3668" t="s">
        <v>3340</v>
      </c>
      <c r="M3668">
        <v>45</v>
      </c>
      <c r="N3668">
        <v>0.76</v>
      </c>
      <c r="O3668" t="s">
        <v>211</v>
      </c>
      <c r="P3668">
        <v>41.6</v>
      </c>
      <c r="R3668" t="s">
        <v>3377</v>
      </c>
      <c r="S3668" t="s">
        <v>4707</v>
      </c>
      <c r="T3668" t="s">
        <v>3337</v>
      </c>
      <c r="V3668" t="s">
        <v>4708</v>
      </c>
    </row>
    <row r="3669" spans="1:22" x14ac:dyDescent="0.15">
      <c r="A3669">
        <v>31</v>
      </c>
      <c r="B3669">
        <v>2026</v>
      </c>
      <c r="C3669" s="21">
        <v>46239</v>
      </c>
      <c r="D3669" t="s">
        <v>153</v>
      </c>
      <c r="E3669" t="s">
        <v>154</v>
      </c>
      <c r="F3669" t="s">
        <v>21</v>
      </c>
      <c r="G3669">
        <v>8</v>
      </c>
      <c r="H3669" t="s">
        <v>3378</v>
      </c>
      <c r="I3669" t="s">
        <v>214</v>
      </c>
      <c r="J3669" s="1" t="s">
        <v>215</v>
      </c>
      <c r="K3669" t="s">
        <v>181</v>
      </c>
      <c r="L3669" t="s">
        <v>3340</v>
      </c>
      <c r="M3669">
        <v>58</v>
      </c>
      <c r="N3669">
        <v>0.76</v>
      </c>
      <c r="O3669" t="s">
        <v>211</v>
      </c>
      <c r="P3669">
        <v>41.6</v>
      </c>
      <c r="R3669" t="s">
        <v>3343</v>
      </c>
      <c r="T3669" t="s">
        <v>3337</v>
      </c>
      <c r="V3669" t="s">
        <v>4708</v>
      </c>
    </row>
    <row r="3670" spans="1:22" x14ac:dyDescent="0.15">
      <c r="A3670">
        <v>31</v>
      </c>
      <c r="B3670">
        <v>2026</v>
      </c>
      <c r="C3670" s="21">
        <v>46239</v>
      </c>
      <c r="D3670" t="s">
        <v>153</v>
      </c>
      <c r="E3670" t="s">
        <v>154</v>
      </c>
      <c r="F3670" t="s">
        <v>21</v>
      </c>
      <c r="G3670">
        <v>8</v>
      </c>
      <c r="H3670" t="s">
        <v>3378</v>
      </c>
      <c r="I3670" t="s">
        <v>214</v>
      </c>
      <c r="J3670" s="1" t="s">
        <v>215</v>
      </c>
      <c r="K3670" t="s">
        <v>181</v>
      </c>
      <c r="L3670" t="s">
        <v>3340</v>
      </c>
      <c r="M3670">
        <v>53</v>
      </c>
      <c r="N3670">
        <v>0.76</v>
      </c>
      <c r="O3670" t="s">
        <v>211</v>
      </c>
      <c r="P3670">
        <v>41.6</v>
      </c>
      <c r="R3670" t="s">
        <v>3373</v>
      </c>
      <c r="T3670" t="s">
        <v>3337</v>
      </c>
      <c r="V3670" t="s">
        <v>4708</v>
      </c>
    </row>
    <row r="3671" spans="1:22" x14ac:dyDescent="0.15">
      <c r="A3671">
        <v>31</v>
      </c>
      <c r="B3671">
        <v>2026</v>
      </c>
      <c r="C3671" s="21">
        <v>46239</v>
      </c>
      <c r="D3671" t="s">
        <v>153</v>
      </c>
      <c r="E3671" t="s">
        <v>154</v>
      </c>
      <c r="F3671" t="s">
        <v>21</v>
      </c>
      <c r="G3671">
        <v>8</v>
      </c>
      <c r="H3671" t="s">
        <v>3378</v>
      </c>
      <c r="I3671" t="s">
        <v>214</v>
      </c>
      <c r="J3671" s="1" t="s">
        <v>215</v>
      </c>
      <c r="K3671" t="s">
        <v>181</v>
      </c>
      <c r="L3671" t="s">
        <v>3340</v>
      </c>
      <c r="M3671">
        <v>62</v>
      </c>
      <c r="N3671">
        <v>0.76</v>
      </c>
      <c r="O3671" t="s">
        <v>211</v>
      </c>
      <c r="P3671">
        <v>41.6</v>
      </c>
      <c r="R3671" t="s">
        <v>3375</v>
      </c>
      <c r="T3671" t="s">
        <v>3337</v>
      </c>
      <c r="V3671" t="s">
        <v>4708</v>
      </c>
    </row>
    <row r="3672" spans="1:22" x14ac:dyDescent="0.15">
      <c r="A3672">
        <v>31</v>
      </c>
      <c r="B3672">
        <v>2026</v>
      </c>
      <c r="C3672" s="21">
        <v>46239</v>
      </c>
      <c r="D3672" t="s">
        <v>153</v>
      </c>
      <c r="E3672" t="s">
        <v>154</v>
      </c>
      <c r="F3672" t="s">
        <v>21</v>
      </c>
      <c r="G3672">
        <v>8</v>
      </c>
      <c r="H3672" t="s">
        <v>3378</v>
      </c>
      <c r="I3672" t="s">
        <v>214</v>
      </c>
      <c r="J3672" s="1" t="s">
        <v>215</v>
      </c>
      <c r="K3672" t="s">
        <v>181</v>
      </c>
      <c r="L3672" t="s">
        <v>3340</v>
      </c>
      <c r="M3672">
        <v>81</v>
      </c>
      <c r="N3672">
        <v>0.76</v>
      </c>
      <c r="O3672" t="s">
        <v>211</v>
      </c>
      <c r="P3672">
        <v>41.6</v>
      </c>
      <c r="R3672" t="s">
        <v>3374</v>
      </c>
      <c r="T3672" t="s">
        <v>3337</v>
      </c>
      <c r="V3672" t="s">
        <v>4708</v>
      </c>
    </row>
    <row r="3673" spans="1:22" x14ac:dyDescent="0.15">
      <c r="A3673">
        <v>31</v>
      </c>
      <c r="B3673">
        <v>2026</v>
      </c>
      <c r="C3673" s="21">
        <v>46239</v>
      </c>
      <c r="D3673" t="s">
        <v>153</v>
      </c>
      <c r="E3673" t="s">
        <v>154</v>
      </c>
      <c r="F3673" t="s">
        <v>21</v>
      </c>
      <c r="G3673">
        <v>8</v>
      </c>
      <c r="H3673" t="s">
        <v>3378</v>
      </c>
      <c r="I3673" t="s">
        <v>214</v>
      </c>
      <c r="J3673" s="1" t="s">
        <v>215</v>
      </c>
      <c r="K3673" t="s">
        <v>181</v>
      </c>
      <c r="L3673" t="s">
        <v>3340</v>
      </c>
      <c r="M3673">
        <v>45</v>
      </c>
      <c r="N3673">
        <v>0.57999999999999996</v>
      </c>
      <c r="O3673" t="s">
        <v>211</v>
      </c>
      <c r="P3673">
        <v>32</v>
      </c>
      <c r="R3673" t="s">
        <v>3377</v>
      </c>
      <c r="S3673" t="s">
        <v>4709</v>
      </c>
      <c r="T3673" t="s">
        <v>3337</v>
      </c>
      <c r="V3673" t="s">
        <v>4105</v>
      </c>
    </row>
    <row r="3674" spans="1:22" x14ac:dyDescent="0.15">
      <c r="A3674">
        <v>31</v>
      </c>
      <c r="B3674">
        <v>2026</v>
      </c>
      <c r="C3674" s="21">
        <v>46239</v>
      </c>
      <c r="D3674" t="s">
        <v>153</v>
      </c>
      <c r="E3674" t="s">
        <v>154</v>
      </c>
      <c r="F3674" t="s">
        <v>21</v>
      </c>
      <c r="G3674">
        <v>8</v>
      </c>
      <c r="H3674" t="s">
        <v>3378</v>
      </c>
      <c r="I3674" t="s">
        <v>214</v>
      </c>
      <c r="J3674" s="1" t="s">
        <v>215</v>
      </c>
      <c r="K3674" t="s">
        <v>181</v>
      </c>
      <c r="L3674" t="s">
        <v>3340</v>
      </c>
      <c r="M3674">
        <v>58</v>
      </c>
      <c r="N3674">
        <v>0.57999999999999996</v>
      </c>
      <c r="O3674" t="s">
        <v>211</v>
      </c>
      <c r="P3674">
        <v>32</v>
      </c>
      <c r="R3674" t="s">
        <v>3343</v>
      </c>
      <c r="T3674" t="s">
        <v>3337</v>
      </c>
      <c r="V3674" t="s">
        <v>4105</v>
      </c>
    </row>
    <row r="3675" spans="1:22" x14ac:dyDescent="0.15">
      <c r="A3675">
        <v>31</v>
      </c>
      <c r="B3675">
        <v>2026</v>
      </c>
      <c r="C3675" s="21">
        <v>46239</v>
      </c>
      <c r="D3675" t="s">
        <v>153</v>
      </c>
      <c r="E3675" t="s">
        <v>154</v>
      </c>
      <c r="F3675" t="s">
        <v>21</v>
      </c>
      <c r="G3675">
        <v>8</v>
      </c>
      <c r="H3675" t="s">
        <v>3378</v>
      </c>
      <c r="I3675" t="s">
        <v>214</v>
      </c>
      <c r="J3675" s="1" t="s">
        <v>215</v>
      </c>
      <c r="K3675" t="s">
        <v>181</v>
      </c>
      <c r="L3675" t="s">
        <v>3340</v>
      </c>
      <c r="M3675">
        <v>53</v>
      </c>
      <c r="N3675">
        <v>0.57999999999999996</v>
      </c>
      <c r="O3675" t="s">
        <v>211</v>
      </c>
      <c r="P3675">
        <v>32</v>
      </c>
      <c r="R3675" t="s">
        <v>3373</v>
      </c>
      <c r="T3675" t="s">
        <v>3337</v>
      </c>
      <c r="V3675" t="s">
        <v>4105</v>
      </c>
    </row>
    <row r="3676" spans="1:22" x14ac:dyDescent="0.15">
      <c r="A3676">
        <v>31</v>
      </c>
      <c r="B3676">
        <v>2026</v>
      </c>
      <c r="C3676" s="21">
        <v>46239</v>
      </c>
      <c r="D3676" t="s">
        <v>153</v>
      </c>
      <c r="E3676" t="s">
        <v>154</v>
      </c>
      <c r="F3676" t="s">
        <v>21</v>
      </c>
      <c r="G3676">
        <v>8</v>
      </c>
      <c r="H3676" t="s">
        <v>3378</v>
      </c>
      <c r="I3676" t="s">
        <v>214</v>
      </c>
      <c r="J3676" s="1" t="s">
        <v>215</v>
      </c>
      <c r="K3676" t="s">
        <v>181</v>
      </c>
      <c r="L3676" t="s">
        <v>3340</v>
      </c>
      <c r="M3676">
        <v>62</v>
      </c>
      <c r="N3676">
        <v>0.57999999999999996</v>
      </c>
      <c r="O3676" t="s">
        <v>211</v>
      </c>
      <c r="P3676">
        <v>32</v>
      </c>
      <c r="R3676" t="s">
        <v>3375</v>
      </c>
      <c r="T3676" t="s">
        <v>3337</v>
      </c>
      <c r="V3676" t="s">
        <v>4105</v>
      </c>
    </row>
    <row r="3677" spans="1:22" x14ac:dyDescent="0.15">
      <c r="A3677">
        <v>31</v>
      </c>
      <c r="B3677">
        <v>2026</v>
      </c>
      <c r="C3677" s="21">
        <v>46239</v>
      </c>
      <c r="D3677" t="s">
        <v>153</v>
      </c>
      <c r="E3677" t="s">
        <v>154</v>
      </c>
      <c r="F3677" t="s">
        <v>21</v>
      </c>
      <c r="G3677">
        <v>8</v>
      </c>
      <c r="H3677" t="s">
        <v>3378</v>
      </c>
      <c r="I3677" t="s">
        <v>214</v>
      </c>
      <c r="J3677" s="1" t="s">
        <v>215</v>
      </c>
      <c r="K3677" t="s">
        <v>181</v>
      </c>
      <c r="L3677" t="s">
        <v>3340</v>
      </c>
      <c r="M3677">
        <v>81</v>
      </c>
      <c r="N3677">
        <v>0.57999999999999996</v>
      </c>
      <c r="O3677" t="s">
        <v>211</v>
      </c>
      <c r="P3677">
        <v>32</v>
      </c>
      <c r="R3677" t="s">
        <v>3374</v>
      </c>
      <c r="T3677" t="s">
        <v>3337</v>
      </c>
      <c r="V3677" t="s">
        <v>4105</v>
      </c>
    </row>
    <row r="3678" spans="1:22" x14ac:dyDescent="0.15">
      <c r="A3678">
        <v>31</v>
      </c>
      <c r="B3678">
        <v>2026</v>
      </c>
      <c r="C3678" s="21">
        <v>46239</v>
      </c>
      <c r="D3678" t="s">
        <v>153</v>
      </c>
      <c r="E3678" t="s">
        <v>154</v>
      </c>
      <c r="F3678" t="s">
        <v>21</v>
      </c>
      <c r="G3678">
        <v>8</v>
      </c>
      <c r="H3678" t="s">
        <v>3346</v>
      </c>
      <c r="I3678" t="s">
        <v>212</v>
      </c>
      <c r="J3678" s="1" t="s">
        <v>188</v>
      </c>
      <c r="K3678" t="s">
        <v>181</v>
      </c>
      <c r="L3678" t="s">
        <v>3340</v>
      </c>
      <c r="M3678">
        <v>6</v>
      </c>
      <c r="N3678">
        <v>1.31</v>
      </c>
      <c r="O3678" t="s">
        <v>211</v>
      </c>
      <c r="P3678">
        <v>72</v>
      </c>
      <c r="Q3678">
        <v>8</v>
      </c>
      <c r="R3678" t="s">
        <v>3335</v>
      </c>
      <c r="T3678" t="s">
        <v>3337</v>
      </c>
      <c r="V3678" t="s">
        <v>3473</v>
      </c>
    </row>
    <row r="3679" spans="1:22" x14ac:dyDescent="0.15">
      <c r="A3679">
        <v>31</v>
      </c>
      <c r="B3679">
        <v>2026</v>
      </c>
      <c r="C3679" s="21">
        <v>46239</v>
      </c>
      <c r="D3679" t="s">
        <v>153</v>
      </c>
      <c r="E3679" t="s">
        <v>154</v>
      </c>
      <c r="F3679" t="s">
        <v>21</v>
      </c>
      <c r="G3679">
        <v>8</v>
      </c>
      <c r="H3679" t="s">
        <v>3346</v>
      </c>
      <c r="I3679" t="s">
        <v>212</v>
      </c>
      <c r="J3679" s="1" t="s">
        <v>188</v>
      </c>
      <c r="K3679" t="s">
        <v>181</v>
      </c>
      <c r="L3679" t="s">
        <v>3340</v>
      </c>
      <c r="M3679">
        <v>6</v>
      </c>
      <c r="N3679">
        <v>1.27</v>
      </c>
      <c r="O3679" t="s">
        <v>211</v>
      </c>
      <c r="P3679">
        <v>70</v>
      </c>
      <c r="R3679" t="s">
        <v>3335</v>
      </c>
      <c r="S3679" t="s">
        <v>4710</v>
      </c>
      <c r="T3679" t="s">
        <v>3337</v>
      </c>
      <c r="V3679" t="s">
        <v>4274</v>
      </c>
    </row>
    <row r="3680" spans="1:22" x14ac:dyDescent="0.15">
      <c r="A3680">
        <v>31</v>
      </c>
      <c r="B3680">
        <v>2026</v>
      </c>
      <c r="C3680" s="21">
        <v>46239</v>
      </c>
      <c r="D3680" t="s">
        <v>107</v>
      </c>
      <c r="E3680" t="s">
        <v>108</v>
      </c>
      <c r="F3680" t="s">
        <v>21</v>
      </c>
      <c r="G3680">
        <v>4.5</v>
      </c>
      <c r="H3680" t="s">
        <v>3339</v>
      </c>
      <c r="I3680" t="s">
        <v>187</v>
      </c>
      <c r="J3680" s="1" t="s">
        <v>188</v>
      </c>
      <c r="K3680" t="s">
        <v>181</v>
      </c>
      <c r="L3680" t="s">
        <v>3333</v>
      </c>
      <c r="M3680">
        <v>1</v>
      </c>
      <c r="N3680">
        <v>1</v>
      </c>
      <c r="O3680" t="s">
        <v>3358</v>
      </c>
      <c r="P3680">
        <v>71.86</v>
      </c>
      <c r="Q3680">
        <v>8</v>
      </c>
      <c r="R3680" t="s">
        <v>3359</v>
      </c>
      <c r="T3680" t="s">
        <v>3337</v>
      </c>
      <c r="U3680">
        <v>82</v>
      </c>
      <c r="V3680" t="s">
        <v>3817</v>
      </c>
    </row>
    <row r="3681" spans="1:22" x14ac:dyDescent="0.15">
      <c r="A3681">
        <v>31</v>
      </c>
      <c r="B3681">
        <v>2026</v>
      </c>
      <c r="C3681" s="21">
        <v>46239</v>
      </c>
      <c r="D3681" t="s">
        <v>122</v>
      </c>
      <c r="E3681" t="s">
        <v>123</v>
      </c>
      <c r="F3681" t="s">
        <v>75</v>
      </c>
      <c r="G3681">
        <v>4.5</v>
      </c>
      <c r="H3681" t="s">
        <v>4711</v>
      </c>
      <c r="I3681" t="s">
        <v>4712</v>
      </c>
      <c r="J3681" s="1" t="s">
        <v>4713</v>
      </c>
      <c r="K3681" t="s">
        <v>181</v>
      </c>
      <c r="L3681" t="s">
        <v>23</v>
      </c>
      <c r="M3681">
        <v>201</v>
      </c>
      <c r="P3681">
        <v>450</v>
      </c>
      <c r="R3681" t="s">
        <v>4714</v>
      </c>
      <c r="S3681" t="s">
        <v>4715</v>
      </c>
      <c r="T3681" t="s">
        <v>3337</v>
      </c>
      <c r="V3681" t="s">
        <v>3707</v>
      </c>
    </row>
    <row r="3682" spans="1:22" x14ac:dyDescent="0.15">
      <c r="A3682">
        <v>31</v>
      </c>
      <c r="B3682">
        <v>2026</v>
      </c>
      <c r="C3682" s="21">
        <v>46239</v>
      </c>
      <c r="D3682" t="s">
        <v>122</v>
      </c>
      <c r="E3682" t="s">
        <v>123</v>
      </c>
      <c r="F3682" t="s">
        <v>75</v>
      </c>
      <c r="G3682">
        <v>4.5</v>
      </c>
      <c r="H3682" t="s">
        <v>3346</v>
      </c>
      <c r="I3682" t="s">
        <v>212</v>
      </c>
      <c r="J3682" s="1" t="s">
        <v>188</v>
      </c>
      <c r="K3682" t="s">
        <v>181</v>
      </c>
      <c r="L3682" t="s">
        <v>23</v>
      </c>
      <c r="M3682">
        <v>202</v>
      </c>
      <c r="P3682">
        <v>605</v>
      </c>
      <c r="R3682" t="s">
        <v>4716</v>
      </c>
      <c r="S3682" t="s">
        <v>4717</v>
      </c>
      <c r="T3682" t="s">
        <v>3337</v>
      </c>
      <c r="V3682" t="s">
        <v>4718</v>
      </c>
    </row>
    <row r="3683" spans="1:22" x14ac:dyDescent="0.15">
      <c r="A3683">
        <v>31</v>
      </c>
      <c r="B3683">
        <v>2026</v>
      </c>
      <c r="C3683" s="21">
        <v>46239</v>
      </c>
      <c r="D3683" t="s">
        <v>84</v>
      </c>
      <c r="E3683" t="s">
        <v>85</v>
      </c>
      <c r="F3683" t="s">
        <v>21</v>
      </c>
      <c r="G3683">
        <v>2</v>
      </c>
      <c r="H3683" t="s">
        <v>3803</v>
      </c>
      <c r="I3683" t="s">
        <v>3676</v>
      </c>
      <c r="J3683" s="1" t="s">
        <v>3533</v>
      </c>
      <c r="K3683" t="s">
        <v>181</v>
      </c>
      <c r="L3683" t="s">
        <v>3333</v>
      </c>
      <c r="M3683">
        <v>4</v>
      </c>
      <c r="N3683">
        <v>1</v>
      </c>
      <c r="O3683" t="s">
        <v>3334</v>
      </c>
      <c r="P3683">
        <v>81.58</v>
      </c>
      <c r="Q3683">
        <v>8</v>
      </c>
      <c r="R3683" t="s">
        <v>3773</v>
      </c>
      <c r="T3683" t="s">
        <v>3402</v>
      </c>
      <c r="U3683">
        <v>107</v>
      </c>
      <c r="V3683" t="s">
        <v>3456</v>
      </c>
    </row>
    <row r="3684" spans="1:22" x14ac:dyDescent="0.15">
      <c r="A3684">
        <v>31</v>
      </c>
      <c r="B3684">
        <v>2026</v>
      </c>
      <c r="C3684" s="21">
        <v>46239</v>
      </c>
      <c r="D3684" t="s">
        <v>84</v>
      </c>
      <c r="E3684" t="s">
        <v>85</v>
      </c>
      <c r="F3684" t="s">
        <v>21</v>
      </c>
      <c r="G3684">
        <v>2</v>
      </c>
      <c r="H3684" t="s">
        <v>3803</v>
      </c>
      <c r="I3684" t="s">
        <v>3676</v>
      </c>
      <c r="J3684" s="1" t="s">
        <v>3533</v>
      </c>
      <c r="K3684" t="s">
        <v>181</v>
      </c>
      <c r="L3684" t="s">
        <v>3340</v>
      </c>
      <c r="M3684">
        <v>84</v>
      </c>
      <c r="N3684">
        <v>1.31</v>
      </c>
      <c r="O3684" t="s">
        <v>211</v>
      </c>
      <c r="P3684">
        <v>72</v>
      </c>
      <c r="Q3684">
        <v>8</v>
      </c>
      <c r="R3684" t="s">
        <v>3446</v>
      </c>
      <c r="T3684" t="s">
        <v>3402</v>
      </c>
      <c r="U3684">
        <v>107</v>
      </c>
      <c r="V3684" t="s">
        <v>3507</v>
      </c>
    </row>
    <row r="3685" spans="1:22" x14ac:dyDescent="0.15">
      <c r="A3685">
        <v>31</v>
      </c>
      <c r="B3685">
        <v>2026</v>
      </c>
      <c r="C3685" s="21">
        <v>46239</v>
      </c>
      <c r="D3685" t="s">
        <v>101</v>
      </c>
      <c r="E3685" t="s">
        <v>102</v>
      </c>
      <c r="F3685" t="s">
        <v>75</v>
      </c>
      <c r="G3685">
        <v>7.6</v>
      </c>
      <c r="H3685" t="s">
        <v>3397</v>
      </c>
      <c r="I3685" t="s">
        <v>3398</v>
      </c>
      <c r="J3685" s="1" t="s">
        <v>3389</v>
      </c>
      <c r="K3685" t="s">
        <v>181</v>
      </c>
      <c r="L3685" t="s">
        <v>3333</v>
      </c>
      <c r="M3685">
        <v>86</v>
      </c>
      <c r="N3685">
        <v>0.38</v>
      </c>
      <c r="O3685" t="s">
        <v>3334</v>
      </c>
      <c r="P3685">
        <v>30.59</v>
      </c>
      <c r="Q3685">
        <v>3</v>
      </c>
      <c r="R3685" t="s">
        <v>3386</v>
      </c>
      <c r="T3685" t="s">
        <v>3402</v>
      </c>
      <c r="U3685">
        <v>99</v>
      </c>
      <c r="V3685" t="s">
        <v>3420</v>
      </c>
    </row>
    <row r="3686" spans="1:22" x14ac:dyDescent="0.15">
      <c r="A3686">
        <v>31</v>
      </c>
      <c r="B3686">
        <v>2026</v>
      </c>
      <c r="C3686" s="21">
        <v>46239</v>
      </c>
      <c r="D3686" t="s">
        <v>153</v>
      </c>
      <c r="E3686" t="s">
        <v>154</v>
      </c>
      <c r="F3686" t="s">
        <v>21</v>
      </c>
      <c r="G3686">
        <v>8</v>
      </c>
      <c r="H3686" t="s">
        <v>4719</v>
      </c>
      <c r="I3686" t="s">
        <v>4720</v>
      </c>
      <c r="J3686" s="1" t="s">
        <v>3389</v>
      </c>
      <c r="K3686" t="s">
        <v>181</v>
      </c>
      <c r="L3686" t="s">
        <v>3333</v>
      </c>
      <c r="M3686">
        <v>86</v>
      </c>
      <c r="N3686">
        <v>0.06</v>
      </c>
      <c r="O3686" t="s">
        <v>3334</v>
      </c>
      <c r="P3686">
        <v>5.0999999999999996</v>
      </c>
      <c r="Q3686">
        <v>0.5</v>
      </c>
      <c r="R3686" t="s">
        <v>3386</v>
      </c>
      <c r="T3686" t="s">
        <v>3402</v>
      </c>
      <c r="V3686" t="s">
        <v>4721</v>
      </c>
    </row>
    <row r="3687" spans="1:22" x14ac:dyDescent="0.15">
      <c r="A3687">
        <v>31</v>
      </c>
      <c r="B3687">
        <v>2026</v>
      </c>
      <c r="C3687" s="21">
        <v>46239</v>
      </c>
      <c r="D3687" t="s">
        <v>3749</v>
      </c>
      <c r="E3687" t="s">
        <v>676</v>
      </c>
      <c r="F3687" t="s">
        <v>676</v>
      </c>
      <c r="G3687">
        <v>1</v>
      </c>
      <c r="H3687" t="s">
        <v>4445</v>
      </c>
      <c r="I3687" t="s">
        <v>4446</v>
      </c>
      <c r="J3687" s="1" t="s">
        <v>676</v>
      </c>
      <c r="K3687" t="s">
        <v>181</v>
      </c>
      <c r="L3687" t="s">
        <v>3340</v>
      </c>
      <c r="M3687">
        <v>86</v>
      </c>
      <c r="N3687">
        <v>0.16</v>
      </c>
      <c r="O3687" t="s">
        <v>211</v>
      </c>
      <c r="P3687">
        <v>9</v>
      </c>
      <c r="Q3687">
        <v>1</v>
      </c>
      <c r="R3687" t="s">
        <v>3386</v>
      </c>
      <c r="T3687" t="s">
        <v>3402</v>
      </c>
      <c r="U3687">
        <v>216</v>
      </c>
      <c r="V3687" t="s">
        <v>3473</v>
      </c>
    </row>
    <row r="3688" spans="1:22" x14ac:dyDescent="0.15">
      <c r="A3688">
        <v>31</v>
      </c>
      <c r="B3688">
        <v>2026</v>
      </c>
      <c r="C3688" s="21">
        <v>46239</v>
      </c>
      <c r="D3688" t="s">
        <v>3749</v>
      </c>
      <c r="E3688" t="s">
        <v>676</v>
      </c>
      <c r="F3688" t="s">
        <v>676</v>
      </c>
      <c r="G3688">
        <v>1</v>
      </c>
      <c r="H3688" t="s">
        <v>3750</v>
      </c>
      <c r="I3688" t="s">
        <v>3751</v>
      </c>
      <c r="J3688" s="1" t="s">
        <v>676</v>
      </c>
      <c r="K3688" t="s">
        <v>181</v>
      </c>
      <c r="L3688" t="s">
        <v>3333</v>
      </c>
      <c r="M3688">
        <v>67</v>
      </c>
      <c r="N3688">
        <v>0.38</v>
      </c>
      <c r="O3688" t="s">
        <v>3334</v>
      </c>
      <c r="P3688">
        <v>30.59</v>
      </c>
      <c r="Q3688">
        <v>3</v>
      </c>
      <c r="R3688" t="s">
        <v>3404</v>
      </c>
      <c r="S3688" t="s">
        <v>4722</v>
      </c>
      <c r="T3688" t="s">
        <v>3402</v>
      </c>
      <c r="U3688">
        <v>216</v>
      </c>
      <c r="V3688" t="s">
        <v>3491</v>
      </c>
    </row>
    <row r="3689" spans="1:22" x14ac:dyDescent="0.15">
      <c r="A3689">
        <v>31</v>
      </c>
      <c r="B3689">
        <v>2026</v>
      </c>
      <c r="C3689" s="21">
        <v>46239</v>
      </c>
      <c r="D3689" t="s">
        <v>3749</v>
      </c>
      <c r="E3689" t="s">
        <v>676</v>
      </c>
      <c r="F3689" t="s">
        <v>676</v>
      </c>
      <c r="G3689">
        <v>1</v>
      </c>
      <c r="H3689" t="s">
        <v>3750</v>
      </c>
      <c r="I3689" t="s">
        <v>3751</v>
      </c>
      <c r="J3689" s="1" t="s">
        <v>676</v>
      </c>
      <c r="K3689" t="s">
        <v>181</v>
      </c>
      <c r="L3689" t="s">
        <v>3333</v>
      </c>
      <c r="M3689">
        <v>19</v>
      </c>
      <c r="N3689">
        <v>0.38</v>
      </c>
      <c r="O3689" t="s">
        <v>3334</v>
      </c>
      <c r="P3689">
        <v>30.59</v>
      </c>
      <c r="Q3689">
        <v>3</v>
      </c>
      <c r="R3689" t="s">
        <v>3403</v>
      </c>
      <c r="S3689" t="s">
        <v>4723</v>
      </c>
      <c r="T3689" t="s">
        <v>3402</v>
      </c>
      <c r="U3689">
        <v>216</v>
      </c>
      <c r="V3689" t="s">
        <v>3491</v>
      </c>
    </row>
    <row r="3690" spans="1:22" x14ac:dyDescent="0.15">
      <c r="A3690">
        <v>31</v>
      </c>
      <c r="B3690">
        <v>2026</v>
      </c>
      <c r="C3690" s="21">
        <v>46239</v>
      </c>
      <c r="D3690" t="s">
        <v>3749</v>
      </c>
      <c r="E3690" t="s">
        <v>676</v>
      </c>
      <c r="F3690" t="s">
        <v>676</v>
      </c>
      <c r="G3690">
        <v>1</v>
      </c>
      <c r="H3690" t="s">
        <v>3750</v>
      </c>
      <c r="I3690" t="s">
        <v>3751</v>
      </c>
      <c r="J3690" s="1" t="s">
        <v>676</v>
      </c>
      <c r="K3690" t="s">
        <v>181</v>
      </c>
      <c r="L3690" t="s">
        <v>3333</v>
      </c>
      <c r="M3690">
        <v>78</v>
      </c>
      <c r="N3690">
        <v>0.38</v>
      </c>
      <c r="O3690" t="s">
        <v>3334</v>
      </c>
      <c r="P3690">
        <v>30.59</v>
      </c>
      <c r="Q3690">
        <v>3</v>
      </c>
      <c r="R3690" t="s">
        <v>3341</v>
      </c>
      <c r="S3690" t="s">
        <v>4724</v>
      </c>
      <c r="T3690" t="s">
        <v>3402</v>
      </c>
      <c r="U3690">
        <v>216</v>
      </c>
      <c r="V3690" t="s">
        <v>3491</v>
      </c>
    </row>
    <row r="3691" spans="1:22" x14ac:dyDescent="0.15">
      <c r="A3691">
        <v>31</v>
      </c>
      <c r="B3691">
        <v>2026</v>
      </c>
      <c r="C3691" s="21">
        <v>46239</v>
      </c>
      <c r="D3691" t="s">
        <v>3749</v>
      </c>
      <c r="E3691" t="s">
        <v>676</v>
      </c>
      <c r="F3691" t="s">
        <v>676</v>
      </c>
      <c r="G3691">
        <v>1</v>
      </c>
      <c r="H3691" t="s">
        <v>3750</v>
      </c>
      <c r="I3691" t="s">
        <v>3751</v>
      </c>
      <c r="J3691" s="1" t="s">
        <v>676</v>
      </c>
      <c r="K3691" t="s">
        <v>181</v>
      </c>
      <c r="L3691" t="s">
        <v>3340</v>
      </c>
      <c r="M3691">
        <v>79</v>
      </c>
      <c r="N3691">
        <v>1.57</v>
      </c>
      <c r="O3691" t="s">
        <v>211</v>
      </c>
      <c r="P3691">
        <v>86.4</v>
      </c>
      <c r="R3691" t="s">
        <v>3401</v>
      </c>
      <c r="T3691" t="s">
        <v>3402</v>
      </c>
      <c r="U3691">
        <v>216</v>
      </c>
      <c r="V3691" t="s">
        <v>4725</v>
      </c>
    </row>
    <row r="3692" spans="1:22" x14ac:dyDescent="0.15">
      <c r="A3692">
        <v>31</v>
      </c>
      <c r="B3692">
        <v>2026</v>
      </c>
      <c r="C3692" s="21">
        <v>46239</v>
      </c>
      <c r="D3692" t="s">
        <v>141</v>
      </c>
      <c r="E3692" t="s">
        <v>142</v>
      </c>
      <c r="F3692" t="s">
        <v>75</v>
      </c>
      <c r="G3692">
        <v>1</v>
      </c>
      <c r="H3692" t="s">
        <v>4241</v>
      </c>
      <c r="I3692" t="s">
        <v>4242</v>
      </c>
      <c r="J3692" s="1" t="s">
        <v>3668</v>
      </c>
      <c r="K3692" t="s">
        <v>181</v>
      </c>
      <c r="L3692" t="s">
        <v>3333</v>
      </c>
      <c r="M3692">
        <v>78</v>
      </c>
      <c r="N3692">
        <v>0.63</v>
      </c>
      <c r="O3692" t="s">
        <v>3334</v>
      </c>
      <c r="P3692">
        <v>50.99</v>
      </c>
      <c r="Q3692">
        <v>5</v>
      </c>
      <c r="R3692" t="s">
        <v>3341</v>
      </c>
      <c r="T3692" t="s">
        <v>3402</v>
      </c>
      <c r="U3692">
        <v>43</v>
      </c>
      <c r="V3692" t="s">
        <v>3574</v>
      </c>
    </row>
    <row r="3693" spans="1:22" x14ac:dyDescent="0.15">
      <c r="A3693">
        <v>31</v>
      </c>
      <c r="B3693">
        <v>2026</v>
      </c>
      <c r="C3693" s="21">
        <v>46239</v>
      </c>
      <c r="D3693" t="s">
        <v>3749</v>
      </c>
      <c r="E3693" t="s">
        <v>676</v>
      </c>
      <c r="F3693" t="s">
        <v>676</v>
      </c>
      <c r="G3693">
        <v>1</v>
      </c>
      <c r="H3693" t="s">
        <v>3750</v>
      </c>
      <c r="I3693" t="s">
        <v>3751</v>
      </c>
      <c r="J3693" s="1" t="s">
        <v>676</v>
      </c>
      <c r="K3693" t="s">
        <v>181</v>
      </c>
      <c r="L3693" t="s">
        <v>3340</v>
      </c>
      <c r="M3693">
        <v>67</v>
      </c>
      <c r="N3693">
        <v>1.1599999999999999</v>
      </c>
      <c r="O3693" t="s">
        <v>211</v>
      </c>
      <c r="P3693">
        <v>63.8</v>
      </c>
      <c r="R3693" t="s">
        <v>3404</v>
      </c>
      <c r="T3693" t="s">
        <v>3402</v>
      </c>
      <c r="U3693">
        <v>216</v>
      </c>
      <c r="V3693" t="s">
        <v>4726</v>
      </c>
    </row>
    <row r="3694" spans="1:22" x14ac:dyDescent="0.15">
      <c r="A3694">
        <v>31</v>
      </c>
      <c r="B3694">
        <v>2026</v>
      </c>
      <c r="C3694" s="21">
        <v>46239</v>
      </c>
      <c r="D3694" t="s">
        <v>3749</v>
      </c>
      <c r="E3694" t="s">
        <v>676</v>
      </c>
      <c r="F3694" t="s">
        <v>676</v>
      </c>
      <c r="G3694">
        <v>1</v>
      </c>
      <c r="H3694" t="s">
        <v>3750</v>
      </c>
      <c r="I3694" t="s">
        <v>3751</v>
      </c>
      <c r="J3694" s="1" t="s">
        <v>676</v>
      </c>
      <c r="K3694" t="s">
        <v>181</v>
      </c>
      <c r="L3694" t="s">
        <v>3340</v>
      </c>
      <c r="M3694">
        <v>19</v>
      </c>
      <c r="N3694">
        <v>1.01</v>
      </c>
      <c r="O3694" t="s">
        <v>211</v>
      </c>
      <c r="P3694">
        <v>55.8</v>
      </c>
      <c r="R3694" t="s">
        <v>3403</v>
      </c>
      <c r="T3694" t="s">
        <v>3402</v>
      </c>
      <c r="U3694">
        <v>216</v>
      </c>
      <c r="V3694" t="s">
        <v>4727</v>
      </c>
    </row>
    <row r="3695" spans="1:22" x14ac:dyDescent="0.15">
      <c r="A3695">
        <v>31</v>
      </c>
      <c r="B3695">
        <v>2026</v>
      </c>
      <c r="C3695" s="21">
        <v>46239</v>
      </c>
      <c r="D3695" t="s">
        <v>3749</v>
      </c>
      <c r="E3695" t="s">
        <v>676</v>
      </c>
      <c r="F3695" t="s">
        <v>676</v>
      </c>
      <c r="G3695">
        <v>1</v>
      </c>
      <c r="H3695" t="s">
        <v>3750</v>
      </c>
      <c r="I3695" t="s">
        <v>3751</v>
      </c>
      <c r="J3695" s="1" t="s">
        <v>676</v>
      </c>
      <c r="K3695" t="s">
        <v>181</v>
      </c>
      <c r="L3695" t="s">
        <v>3340</v>
      </c>
      <c r="M3695">
        <v>78</v>
      </c>
      <c r="N3695">
        <v>1.01</v>
      </c>
      <c r="O3695" t="s">
        <v>211</v>
      </c>
      <c r="P3695">
        <v>55.8</v>
      </c>
      <c r="R3695" t="s">
        <v>3341</v>
      </c>
      <c r="T3695" t="s">
        <v>3402</v>
      </c>
      <c r="U3695">
        <v>216</v>
      </c>
      <c r="V3695" t="s">
        <v>4727</v>
      </c>
    </row>
    <row r="3696" spans="1:22" x14ac:dyDescent="0.15">
      <c r="A3696">
        <v>31</v>
      </c>
      <c r="B3696">
        <v>2026</v>
      </c>
      <c r="C3696" s="21">
        <v>46239</v>
      </c>
      <c r="D3696" t="s">
        <v>3749</v>
      </c>
      <c r="E3696" t="s">
        <v>676</v>
      </c>
      <c r="F3696" t="s">
        <v>676</v>
      </c>
      <c r="G3696">
        <v>1</v>
      </c>
      <c r="H3696" t="s">
        <v>3750</v>
      </c>
      <c r="I3696" t="s">
        <v>3751</v>
      </c>
      <c r="J3696" s="1" t="s">
        <v>676</v>
      </c>
      <c r="K3696" t="s">
        <v>181</v>
      </c>
      <c r="L3696" t="s">
        <v>3340</v>
      </c>
      <c r="N3696">
        <v>0</v>
      </c>
      <c r="O3696" t="s">
        <v>211</v>
      </c>
      <c r="P3696">
        <v>0</v>
      </c>
      <c r="T3696" t="s">
        <v>3402</v>
      </c>
      <c r="U3696">
        <v>216</v>
      </c>
      <c r="V3696" t="s">
        <v>88</v>
      </c>
    </row>
    <row r="3697" spans="1:22" x14ac:dyDescent="0.15">
      <c r="A3697">
        <v>31</v>
      </c>
      <c r="B3697">
        <v>2026</v>
      </c>
      <c r="C3697" s="21">
        <v>46239</v>
      </c>
      <c r="D3697" t="s">
        <v>3749</v>
      </c>
      <c r="E3697" t="s">
        <v>676</v>
      </c>
      <c r="F3697" t="s">
        <v>676</v>
      </c>
      <c r="G3697">
        <v>1</v>
      </c>
      <c r="H3697" t="s">
        <v>3750</v>
      </c>
      <c r="I3697" t="s">
        <v>3751</v>
      </c>
      <c r="J3697" s="1" t="s">
        <v>676</v>
      </c>
      <c r="K3697" t="s">
        <v>181</v>
      </c>
      <c r="L3697" t="s">
        <v>3340</v>
      </c>
      <c r="N3697">
        <v>0</v>
      </c>
      <c r="O3697" t="s">
        <v>211</v>
      </c>
      <c r="P3697">
        <v>0</v>
      </c>
      <c r="T3697" t="s">
        <v>3402</v>
      </c>
      <c r="U3697">
        <v>216</v>
      </c>
      <c r="V3697" t="s">
        <v>88</v>
      </c>
    </row>
    <row r="3698" spans="1:22" x14ac:dyDescent="0.15">
      <c r="A3698">
        <v>31</v>
      </c>
      <c r="B3698">
        <v>2026</v>
      </c>
      <c r="C3698" s="21">
        <v>46239</v>
      </c>
      <c r="D3698" t="s">
        <v>115</v>
      </c>
      <c r="E3698" t="s">
        <v>116</v>
      </c>
      <c r="F3698" t="s">
        <v>21</v>
      </c>
      <c r="G3698">
        <v>2</v>
      </c>
      <c r="H3698" t="s">
        <v>3391</v>
      </c>
      <c r="I3698" t="s">
        <v>353</v>
      </c>
      <c r="J3698" s="1" t="s">
        <v>253</v>
      </c>
      <c r="K3698" t="s">
        <v>181</v>
      </c>
      <c r="L3698" t="s">
        <v>3333</v>
      </c>
      <c r="M3698">
        <v>67</v>
      </c>
      <c r="N3698">
        <v>0.63</v>
      </c>
      <c r="O3698" t="s">
        <v>3334</v>
      </c>
      <c r="P3698">
        <v>50.99</v>
      </c>
      <c r="Q3698">
        <v>5</v>
      </c>
      <c r="R3698" t="s">
        <v>3404</v>
      </c>
      <c r="T3698" t="s">
        <v>3402</v>
      </c>
      <c r="U3698">
        <v>76</v>
      </c>
      <c r="V3698" t="s">
        <v>3500</v>
      </c>
    </row>
    <row r="3699" spans="1:22" x14ac:dyDescent="0.15">
      <c r="A3699">
        <v>31</v>
      </c>
      <c r="B3699">
        <v>2026</v>
      </c>
      <c r="C3699" s="21">
        <v>46239</v>
      </c>
      <c r="D3699" t="s">
        <v>115</v>
      </c>
      <c r="E3699" t="s">
        <v>116</v>
      </c>
      <c r="F3699" t="s">
        <v>21</v>
      </c>
      <c r="G3699">
        <v>2</v>
      </c>
      <c r="H3699" t="s">
        <v>3391</v>
      </c>
      <c r="I3699" t="s">
        <v>353</v>
      </c>
      <c r="J3699" s="1" t="s">
        <v>253</v>
      </c>
      <c r="K3699" t="s">
        <v>181</v>
      </c>
      <c r="L3699" t="s">
        <v>3333</v>
      </c>
      <c r="M3699">
        <v>19</v>
      </c>
      <c r="N3699">
        <v>0.63</v>
      </c>
      <c r="O3699" t="s">
        <v>3334</v>
      </c>
      <c r="P3699">
        <v>50.99</v>
      </c>
      <c r="Q3699">
        <v>5</v>
      </c>
      <c r="R3699" t="s">
        <v>3403</v>
      </c>
      <c r="T3699" t="s">
        <v>3402</v>
      </c>
      <c r="U3699">
        <v>76</v>
      </c>
      <c r="V3699" t="s">
        <v>3500</v>
      </c>
    </row>
    <row r="3700" spans="1:22" x14ac:dyDescent="0.15">
      <c r="A3700">
        <v>31</v>
      </c>
      <c r="B3700">
        <v>2026</v>
      </c>
      <c r="C3700" s="21">
        <v>46240</v>
      </c>
      <c r="D3700" t="s">
        <v>153</v>
      </c>
      <c r="E3700" t="s">
        <v>154</v>
      </c>
      <c r="F3700" t="s">
        <v>21</v>
      </c>
      <c r="G3700">
        <v>8</v>
      </c>
      <c r="H3700" t="s">
        <v>3378</v>
      </c>
      <c r="I3700" t="s">
        <v>214</v>
      </c>
      <c r="J3700" s="1" t="s">
        <v>215</v>
      </c>
      <c r="K3700" t="s">
        <v>181</v>
      </c>
      <c r="L3700" t="s">
        <v>3340</v>
      </c>
      <c r="M3700">
        <v>45</v>
      </c>
      <c r="N3700">
        <v>1.02</v>
      </c>
      <c r="O3700" t="s">
        <v>211</v>
      </c>
      <c r="P3700">
        <v>56</v>
      </c>
      <c r="R3700" t="s">
        <v>3377</v>
      </c>
      <c r="S3700" t="s">
        <v>4728</v>
      </c>
      <c r="T3700" t="s">
        <v>3337</v>
      </c>
      <c r="V3700" t="s">
        <v>4473</v>
      </c>
    </row>
    <row r="3701" spans="1:22" x14ac:dyDescent="0.15">
      <c r="A3701">
        <v>31</v>
      </c>
      <c r="B3701">
        <v>2026</v>
      </c>
      <c r="C3701" s="21">
        <v>46240</v>
      </c>
      <c r="D3701" t="s">
        <v>153</v>
      </c>
      <c r="E3701" t="s">
        <v>154</v>
      </c>
      <c r="F3701" t="s">
        <v>21</v>
      </c>
      <c r="G3701">
        <v>8</v>
      </c>
      <c r="H3701" t="s">
        <v>3378</v>
      </c>
      <c r="I3701" t="s">
        <v>214</v>
      </c>
      <c r="J3701" s="1" t="s">
        <v>215</v>
      </c>
      <c r="K3701" t="s">
        <v>181</v>
      </c>
      <c r="L3701" t="s">
        <v>3340</v>
      </c>
      <c r="M3701">
        <v>58</v>
      </c>
      <c r="N3701">
        <v>1.02</v>
      </c>
      <c r="O3701" t="s">
        <v>211</v>
      </c>
      <c r="P3701">
        <v>56</v>
      </c>
      <c r="R3701" t="s">
        <v>3343</v>
      </c>
      <c r="T3701" t="s">
        <v>3337</v>
      </c>
      <c r="V3701" t="s">
        <v>4473</v>
      </c>
    </row>
    <row r="3702" spans="1:22" x14ac:dyDescent="0.15">
      <c r="A3702">
        <v>31</v>
      </c>
      <c r="B3702">
        <v>2026</v>
      </c>
      <c r="C3702" s="21">
        <v>46240</v>
      </c>
      <c r="D3702" t="s">
        <v>153</v>
      </c>
      <c r="E3702" t="s">
        <v>154</v>
      </c>
      <c r="F3702" t="s">
        <v>21</v>
      </c>
      <c r="G3702">
        <v>8</v>
      </c>
      <c r="H3702" t="s">
        <v>3378</v>
      </c>
      <c r="I3702" t="s">
        <v>214</v>
      </c>
      <c r="J3702" s="1" t="s">
        <v>215</v>
      </c>
      <c r="K3702" t="s">
        <v>181</v>
      </c>
      <c r="L3702" t="s">
        <v>3340</v>
      </c>
      <c r="M3702">
        <v>53</v>
      </c>
      <c r="N3702">
        <v>1.02</v>
      </c>
      <c r="O3702" t="s">
        <v>211</v>
      </c>
      <c r="P3702">
        <v>56</v>
      </c>
      <c r="R3702" t="s">
        <v>3373</v>
      </c>
      <c r="T3702" t="s">
        <v>3337</v>
      </c>
      <c r="V3702" t="s">
        <v>4473</v>
      </c>
    </row>
    <row r="3703" spans="1:22" x14ac:dyDescent="0.15">
      <c r="A3703">
        <v>31</v>
      </c>
      <c r="B3703">
        <v>2026</v>
      </c>
      <c r="C3703" s="21">
        <v>46240</v>
      </c>
      <c r="D3703" t="s">
        <v>153</v>
      </c>
      <c r="E3703" t="s">
        <v>154</v>
      </c>
      <c r="F3703" t="s">
        <v>21</v>
      </c>
      <c r="G3703">
        <v>8</v>
      </c>
      <c r="H3703" t="s">
        <v>3378</v>
      </c>
      <c r="I3703" t="s">
        <v>214</v>
      </c>
      <c r="J3703" s="1" t="s">
        <v>215</v>
      </c>
      <c r="K3703" t="s">
        <v>181</v>
      </c>
      <c r="L3703" t="s">
        <v>3340</v>
      </c>
      <c r="M3703">
        <v>62</v>
      </c>
      <c r="N3703">
        <v>1.02</v>
      </c>
      <c r="O3703" t="s">
        <v>211</v>
      </c>
      <c r="P3703">
        <v>56</v>
      </c>
      <c r="R3703" t="s">
        <v>3375</v>
      </c>
      <c r="T3703" t="s">
        <v>3337</v>
      </c>
      <c r="V3703" t="s">
        <v>4473</v>
      </c>
    </row>
    <row r="3704" spans="1:22" x14ac:dyDescent="0.15">
      <c r="A3704">
        <v>31</v>
      </c>
      <c r="B3704">
        <v>2026</v>
      </c>
      <c r="C3704" s="21">
        <v>46240</v>
      </c>
      <c r="D3704" t="s">
        <v>153</v>
      </c>
      <c r="E3704" t="s">
        <v>154</v>
      </c>
      <c r="F3704" t="s">
        <v>21</v>
      </c>
      <c r="G3704">
        <v>8</v>
      </c>
      <c r="H3704" t="s">
        <v>3378</v>
      </c>
      <c r="I3704" t="s">
        <v>214</v>
      </c>
      <c r="J3704" s="1" t="s">
        <v>215</v>
      </c>
      <c r="K3704" t="s">
        <v>181</v>
      </c>
      <c r="L3704" t="s">
        <v>3340</v>
      </c>
      <c r="M3704">
        <v>81</v>
      </c>
      <c r="N3704">
        <v>1.02</v>
      </c>
      <c r="O3704" t="s">
        <v>211</v>
      </c>
      <c r="P3704">
        <v>56</v>
      </c>
      <c r="R3704" t="s">
        <v>3374</v>
      </c>
      <c r="T3704" t="s">
        <v>3337</v>
      </c>
      <c r="V3704" t="s">
        <v>4473</v>
      </c>
    </row>
    <row r="3705" spans="1:22" x14ac:dyDescent="0.15">
      <c r="A3705">
        <v>31</v>
      </c>
      <c r="B3705">
        <v>2026</v>
      </c>
      <c r="C3705" s="21">
        <v>46240</v>
      </c>
      <c r="D3705" t="s">
        <v>139</v>
      </c>
      <c r="E3705" t="s">
        <v>140</v>
      </c>
      <c r="F3705" t="s">
        <v>75</v>
      </c>
      <c r="G3705">
        <v>0.8</v>
      </c>
      <c r="H3705" t="s">
        <v>3378</v>
      </c>
      <c r="I3705" t="s">
        <v>214</v>
      </c>
      <c r="J3705" s="1" t="s">
        <v>215</v>
      </c>
      <c r="K3705" t="s">
        <v>181</v>
      </c>
      <c r="L3705" t="s">
        <v>3340</v>
      </c>
      <c r="M3705">
        <v>45</v>
      </c>
      <c r="N3705">
        <v>0.15</v>
      </c>
      <c r="O3705" t="s">
        <v>211</v>
      </c>
      <c r="P3705">
        <v>8</v>
      </c>
      <c r="R3705" t="s">
        <v>3377</v>
      </c>
      <c r="S3705" t="s">
        <v>4729</v>
      </c>
      <c r="T3705" t="s">
        <v>3337</v>
      </c>
      <c r="U3705">
        <v>72</v>
      </c>
      <c r="V3705" t="s">
        <v>3711</v>
      </c>
    </row>
    <row r="3706" spans="1:22" x14ac:dyDescent="0.15">
      <c r="A3706">
        <v>31</v>
      </c>
      <c r="B3706">
        <v>2026</v>
      </c>
      <c r="C3706" s="21">
        <v>46240</v>
      </c>
      <c r="D3706" t="s">
        <v>139</v>
      </c>
      <c r="E3706" t="s">
        <v>140</v>
      </c>
      <c r="F3706" t="s">
        <v>75</v>
      </c>
      <c r="G3706">
        <v>0.8</v>
      </c>
      <c r="H3706" t="s">
        <v>3378</v>
      </c>
      <c r="I3706" t="s">
        <v>214</v>
      </c>
      <c r="J3706" s="1" t="s">
        <v>215</v>
      </c>
      <c r="K3706" t="s">
        <v>181</v>
      </c>
      <c r="L3706" t="s">
        <v>3340</v>
      </c>
      <c r="M3706">
        <v>58</v>
      </c>
      <c r="N3706">
        <v>0.15</v>
      </c>
      <c r="O3706" t="s">
        <v>211</v>
      </c>
      <c r="P3706">
        <v>8</v>
      </c>
      <c r="R3706" t="s">
        <v>3343</v>
      </c>
      <c r="T3706" t="s">
        <v>3337</v>
      </c>
      <c r="U3706">
        <v>72</v>
      </c>
      <c r="V3706" t="s">
        <v>3711</v>
      </c>
    </row>
    <row r="3707" spans="1:22" x14ac:dyDescent="0.15">
      <c r="A3707">
        <v>31</v>
      </c>
      <c r="B3707">
        <v>2026</v>
      </c>
      <c r="C3707" s="21">
        <v>46240</v>
      </c>
      <c r="D3707" t="s">
        <v>139</v>
      </c>
      <c r="E3707" t="s">
        <v>140</v>
      </c>
      <c r="F3707" t="s">
        <v>75</v>
      </c>
      <c r="G3707">
        <v>0.8</v>
      </c>
      <c r="H3707" t="s">
        <v>3378</v>
      </c>
      <c r="I3707" t="s">
        <v>214</v>
      </c>
      <c r="J3707" s="1" t="s">
        <v>215</v>
      </c>
      <c r="K3707" t="s">
        <v>181</v>
      </c>
      <c r="L3707" t="s">
        <v>3340</v>
      </c>
      <c r="M3707">
        <v>53</v>
      </c>
      <c r="N3707">
        <v>0.15</v>
      </c>
      <c r="O3707" t="s">
        <v>211</v>
      </c>
      <c r="P3707">
        <v>8</v>
      </c>
      <c r="R3707" t="s">
        <v>3373</v>
      </c>
      <c r="T3707" t="s">
        <v>3337</v>
      </c>
      <c r="U3707">
        <v>72</v>
      </c>
      <c r="V3707" t="s">
        <v>3711</v>
      </c>
    </row>
    <row r="3708" spans="1:22" x14ac:dyDescent="0.15">
      <c r="A3708">
        <v>31</v>
      </c>
      <c r="B3708">
        <v>2026</v>
      </c>
      <c r="C3708" s="21">
        <v>46240</v>
      </c>
      <c r="D3708" t="s">
        <v>139</v>
      </c>
      <c r="E3708" t="s">
        <v>140</v>
      </c>
      <c r="F3708" t="s">
        <v>75</v>
      </c>
      <c r="G3708">
        <v>0.8</v>
      </c>
      <c r="H3708" t="s">
        <v>3378</v>
      </c>
      <c r="I3708" t="s">
        <v>214</v>
      </c>
      <c r="J3708" s="1" t="s">
        <v>215</v>
      </c>
      <c r="K3708" t="s">
        <v>181</v>
      </c>
      <c r="L3708" t="s">
        <v>3340</v>
      </c>
      <c r="M3708">
        <v>62</v>
      </c>
      <c r="N3708">
        <v>0.15</v>
      </c>
      <c r="O3708" t="s">
        <v>211</v>
      </c>
      <c r="P3708">
        <v>8</v>
      </c>
      <c r="R3708" t="s">
        <v>3375</v>
      </c>
      <c r="T3708" t="s">
        <v>3337</v>
      </c>
      <c r="U3708">
        <v>72</v>
      </c>
      <c r="V3708" t="s">
        <v>3711</v>
      </c>
    </row>
    <row r="3709" spans="1:22" x14ac:dyDescent="0.15">
      <c r="A3709">
        <v>31</v>
      </c>
      <c r="B3709">
        <v>2026</v>
      </c>
      <c r="C3709" s="21">
        <v>46240</v>
      </c>
      <c r="D3709" t="s">
        <v>139</v>
      </c>
      <c r="E3709" t="s">
        <v>140</v>
      </c>
      <c r="F3709" t="s">
        <v>75</v>
      </c>
      <c r="G3709">
        <v>0.8</v>
      </c>
      <c r="H3709" t="s">
        <v>3378</v>
      </c>
      <c r="I3709" t="s">
        <v>214</v>
      </c>
      <c r="J3709" s="1" t="s">
        <v>215</v>
      </c>
      <c r="K3709" t="s">
        <v>181</v>
      </c>
      <c r="L3709" t="s">
        <v>3340</v>
      </c>
      <c r="M3709">
        <v>81</v>
      </c>
      <c r="N3709">
        <v>0.15</v>
      </c>
      <c r="O3709" t="s">
        <v>211</v>
      </c>
      <c r="P3709">
        <v>8</v>
      </c>
      <c r="R3709" t="s">
        <v>3374</v>
      </c>
      <c r="T3709" t="s">
        <v>3337</v>
      </c>
      <c r="U3709">
        <v>72</v>
      </c>
      <c r="V3709" t="s">
        <v>3711</v>
      </c>
    </row>
    <row r="3710" spans="1:22" x14ac:dyDescent="0.15">
      <c r="A3710">
        <v>31</v>
      </c>
      <c r="B3710">
        <v>2026</v>
      </c>
      <c r="C3710" s="21">
        <v>46240</v>
      </c>
      <c r="D3710" t="s">
        <v>153</v>
      </c>
      <c r="E3710" t="s">
        <v>154</v>
      </c>
      <c r="F3710" t="s">
        <v>21</v>
      </c>
      <c r="G3710">
        <v>8</v>
      </c>
      <c r="H3710" t="s">
        <v>3346</v>
      </c>
      <c r="I3710" t="s">
        <v>212</v>
      </c>
      <c r="J3710" s="1" t="s">
        <v>188</v>
      </c>
      <c r="K3710" t="s">
        <v>181</v>
      </c>
      <c r="L3710" t="s">
        <v>3340</v>
      </c>
      <c r="M3710">
        <v>6</v>
      </c>
      <c r="N3710">
        <v>1.45</v>
      </c>
      <c r="O3710" t="s">
        <v>211</v>
      </c>
      <c r="P3710">
        <v>80</v>
      </c>
      <c r="R3710" t="s">
        <v>3335</v>
      </c>
      <c r="T3710" t="s">
        <v>3337</v>
      </c>
      <c r="V3710" t="s">
        <v>3711</v>
      </c>
    </row>
    <row r="3711" spans="1:22" x14ac:dyDescent="0.15">
      <c r="A3711">
        <v>31</v>
      </c>
      <c r="B3711">
        <v>2026</v>
      </c>
      <c r="C3711" s="21">
        <v>46240</v>
      </c>
      <c r="D3711" t="s">
        <v>4406</v>
      </c>
      <c r="E3711" t="s">
        <v>4407</v>
      </c>
      <c r="F3711" t="s">
        <v>21</v>
      </c>
      <c r="G3711">
        <v>10</v>
      </c>
      <c r="H3711" t="s">
        <v>3868</v>
      </c>
      <c r="I3711" t="s">
        <v>3869</v>
      </c>
      <c r="J3711" s="1" t="s">
        <v>3696</v>
      </c>
      <c r="K3711" t="s">
        <v>181</v>
      </c>
      <c r="L3711" t="s">
        <v>3340</v>
      </c>
      <c r="M3711">
        <v>45</v>
      </c>
      <c r="N3711">
        <v>9.82</v>
      </c>
      <c r="O3711" t="s">
        <v>211</v>
      </c>
      <c r="P3711">
        <v>540</v>
      </c>
      <c r="R3711" t="s">
        <v>3377</v>
      </c>
      <c r="S3711" t="s">
        <v>4730</v>
      </c>
      <c r="T3711" t="s">
        <v>3337</v>
      </c>
      <c r="V3711" t="s">
        <v>3926</v>
      </c>
    </row>
    <row r="3712" spans="1:22" x14ac:dyDescent="0.15">
      <c r="A3712">
        <v>31</v>
      </c>
      <c r="B3712">
        <v>2026</v>
      </c>
      <c r="C3712" s="21">
        <v>46240</v>
      </c>
      <c r="D3712" t="s">
        <v>4406</v>
      </c>
      <c r="E3712" t="s">
        <v>4407</v>
      </c>
      <c r="F3712" t="s">
        <v>21</v>
      </c>
      <c r="G3712">
        <v>10</v>
      </c>
      <c r="H3712" t="s">
        <v>3868</v>
      </c>
      <c r="I3712" t="s">
        <v>3869</v>
      </c>
      <c r="J3712" s="1" t="s">
        <v>3696</v>
      </c>
      <c r="K3712" t="s">
        <v>181</v>
      </c>
      <c r="L3712" t="s">
        <v>3340</v>
      </c>
      <c r="M3712">
        <v>58</v>
      </c>
      <c r="N3712">
        <v>5.45</v>
      </c>
      <c r="O3712" t="s">
        <v>211</v>
      </c>
      <c r="P3712">
        <v>300</v>
      </c>
      <c r="R3712" t="s">
        <v>3343</v>
      </c>
      <c r="S3712" t="s">
        <v>4731</v>
      </c>
      <c r="T3712" t="s">
        <v>3337</v>
      </c>
      <c r="V3712" t="s">
        <v>291</v>
      </c>
    </row>
    <row r="3713" spans="1:22" x14ac:dyDescent="0.15">
      <c r="A3713">
        <v>31</v>
      </c>
      <c r="B3713">
        <v>2026</v>
      </c>
      <c r="C3713" s="21">
        <v>46240</v>
      </c>
      <c r="D3713" t="s">
        <v>4406</v>
      </c>
      <c r="E3713" t="s">
        <v>4407</v>
      </c>
      <c r="F3713" t="s">
        <v>21</v>
      </c>
      <c r="G3713">
        <v>10</v>
      </c>
      <c r="H3713" t="s">
        <v>3868</v>
      </c>
      <c r="I3713" t="s">
        <v>3869</v>
      </c>
      <c r="J3713" s="1" t="s">
        <v>3696</v>
      </c>
      <c r="K3713" t="s">
        <v>181</v>
      </c>
      <c r="L3713" t="s">
        <v>3340</v>
      </c>
      <c r="M3713">
        <v>53</v>
      </c>
      <c r="N3713">
        <v>5.45</v>
      </c>
      <c r="O3713" t="s">
        <v>211</v>
      </c>
      <c r="P3713">
        <v>300</v>
      </c>
      <c r="R3713" t="s">
        <v>3373</v>
      </c>
      <c r="S3713" t="s">
        <v>4731</v>
      </c>
      <c r="T3713" t="s">
        <v>3337</v>
      </c>
      <c r="V3713" t="s">
        <v>291</v>
      </c>
    </row>
    <row r="3714" spans="1:22" x14ac:dyDescent="0.15">
      <c r="A3714">
        <v>31</v>
      </c>
      <c r="B3714">
        <v>2026</v>
      </c>
      <c r="C3714" s="21">
        <v>46240</v>
      </c>
      <c r="D3714" t="s">
        <v>4406</v>
      </c>
      <c r="E3714" t="s">
        <v>4407</v>
      </c>
      <c r="F3714" t="s">
        <v>21</v>
      </c>
      <c r="G3714">
        <v>10</v>
      </c>
      <c r="H3714" t="s">
        <v>3868</v>
      </c>
      <c r="I3714" t="s">
        <v>3869</v>
      </c>
      <c r="J3714" s="1" t="s">
        <v>3696</v>
      </c>
      <c r="K3714" t="s">
        <v>181</v>
      </c>
      <c r="L3714" t="s">
        <v>3340</v>
      </c>
      <c r="M3714">
        <v>62</v>
      </c>
      <c r="N3714">
        <v>6.91</v>
      </c>
      <c r="O3714" t="s">
        <v>211</v>
      </c>
      <c r="P3714">
        <v>380</v>
      </c>
      <c r="R3714" t="s">
        <v>3375</v>
      </c>
      <c r="S3714" t="s">
        <v>4732</v>
      </c>
      <c r="T3714" t="s">
        <v>3337</v>
      </c>
      <c r="V3714" t="s">
        <v>4733</v>
      </c>
    </row>
    <row r="3715" spans="1:22" x14ac:dyDescent="0.15">
      <c r="A3715">
        <v>31</v>
      </c>
      <c r="B3715">
        <v>2026</v>
      </c>
      <c r="C3715" s="21">
        <v>46240</v>
      </c>
      <c r="D3715" t="s">
        <v>4406</v>
      </c>
      <c r="E3715" t="s">
        <v>4407</v>
      </c>
      <c r="F3715" t="s">
        <v>21</v>
      </c>
      <c r="G3715">
        <v>10</v>
      </c>
      <c r="H3715" t="s">
        <v>3868</v>
      </c>
      <c r="I3715" t="s">
        <v>3869</v>
      </c>
      <c r="J3715" s="1" t="s">
        <v>3696</v>
      </c>
      <c r="K3715" t="s">
        <v>181</v>
      </c>
      <c r="L3715" t="s">
        <v>3340</v>
      </c>
      <c r="M3715">
        <v>81</v>
      </c>
      <c r="N3715">
        <v>12.73</v>
      </c>
      <c r="O3715" t="s">
        <v>211</v>
      </c>
      <c r="P3715">
        <v>700</v>
      </c>
      <c r="R3715" t="s">
        <v>3374</v>
      </c>
      <c r="S3715" t="s">
        <v>4734</v>
      </c>
      <c r="T3715" t="s">
        <v>3337</v>
      </c>
      <c r="V3715" t="s">
        <v>4735</v>
      </c>
    </row>
    <row r="3716" spans="1:22" x14ac:dyDescent="0.15">
      <c r="A3716">
        <v>31</v>
      </c>
      <c r="B3716">
        <v>2026</v>
      </c>
      <c r="C3716" s="21">
        <v>46240</v>
      </c>
      <c r="D3716" t="s">
        <v>84</v>
      </c>
      <c r="E3716" t="s">
        <v>85</v>
      </c>
      <c r="F3716" t="s">
        <v>21</v>
      </c>
      <c r="G3716">
        <v>2</v>
      </c>
      <c r="H3716" t="s">
        <v>3845</v>
      </c>
      <c r="I3716" t="s">
        <v>380</v>
      </c>
      <c r="J3716" s="1" t="s">
        <v>3533</v>
      </c>
      <c r="K3716" t="s">
        <v>181</v>
      </c>
      <c r="L3716" t="s">
        <v>3340</v>
      </c>
      <c r="M3716">
        <v>4</v>
      </c>
      <c r="N3716">
        <v>0.98</v>
      </c>
      <c r="O3716" t="s">
        <v>211</v>
      </c>
      <c r="P3716">
        <v>54</v>
      </c>
      <c r="Q3716">
        <v>6</v>
      </c>
      <c r="R3716" t="s">
        <v>3773</v>
      </c>
      <c r="T3716" t="s">
        <v>3402</v>
      </c>
      <c r="U3716">
        <v>108</v>
      </c>
      <c r="V3716" t="s">
        <v>273</v>
      </c>
    </row>
    <row r="3717" spans="1:22" x14ac:dyDescent="0.15">
      <c r="A3717">
        <v>31</v>
      </c>
      <c r="B3717">
        <v>2026</v>
      </c>
      <c r="C3717" s="21">
        <v>46240</v>
      </c>
      <c r="D3717" t="s">
        <v>84</v>
      </c>
      <c r="E3717" t="s">
        <v>85</v>
      </c>
      <c r="F3717" t="s">
        <v>21</v>
      </c>
      <c r="G3717">
        <v>2</v>
      </c>
      <c r="H3717" t="s">
        <v>3845</v>
      </c>
      <c r="I3717" t="s">
        <v>380</v>
      </c>
      <c r="J3717" s="1" t="s">
        <v>3533</v>
      </c>
      <c r="K3717" t="s">
        <v>181</v>
      </c>
      <c r="L3717" t="s">
        <v>3340</v>
      </c>
      <c r="M3717">
        <v>84</v>
      </c>
      <c r="N3717">
        <v>0.98</v>
      </c>
      <c r="O3717" t="s">
        <v>211</v>
      </c>
      <c r="P3717">
        <v>54</v>
      </c>
      <c r="Q3717">
        <v>6</v>
      </c>
      <c r="R3717" t="s">
        <v>3446</v>
      </c>
      <c r="T3717" t="s">
        <v>3402</v>
      </c>
      <c r="U3717">
        <v>108</v>
      </c>
      <c r="V3717" t="s">
        <v>273</v>
      </c>
    </row>
    <row r="3718" spans="1:22" x14ac:dyDescent="0.15">
      <c r="A3718">
        <v>31</v>
      </c>
      <c r="B3718">
        <v>2026</v>
      </c>
      <c r="C3718" s="21">
        <v>46240</v>
      </c>
      <c r="D3718" t="s">
        <v>3749</v>
      </c>
      <c r="E3718" t="s">
        <v>676</v>
      </c>
      <c r="F3718" t="s">
        <v>676</v>
      </c>
      <c r="G3718">
        <v>1</v>
      </c>
      <c r="H3718" t="s">
        <v>3750</v>
      </c>
      <c r="I3718" t="s">
        <v>3751</v>
      </c>
      <c r="J3718" s="1" t="s">
        <v>676</v>
      </c>
      <c r="K3718" t="s">
        <v>181</v>
      </c>
      <c r="L3718" t="s">
        <v>3340</v>
      </c>
      <c r="M3718">
        <v>67</v>
      </c>
      <c r="N3718">
        <v>1.36</v>
      </c>
      <c r="O3718" t="s">
        <v>211</v>
      </c>
      <c r="P3718">
        <v>75</v>
      </c>
      <c r="R3718" t="s">
        <v>3404</v>
      </c>
      <c r="S3718" t="s">
        <v>4736</v>
      </c>
      <c r="T3718" t="s">
        <v>3402</v>
      </c>
      <c r="U3718">
        <v>217</v>
      </c>
      <c r="V3718" t="s">
        <v>3568</v>
      </c>
    </row>
    <row r="3719" spans="1:22" x14ac:dyDescent="0.15">
      <c r="A3719">
        <v>31</v>
      </c>
      <c r="B3719">
        <v>2026</v>
      </c>
      <c r="C3719" s="21">
        <v>46240</v>
      </c>
      <c r="D3719" t="s">
        <v>3749</v>
      </c>
      <c r="E3719" t="s">
        <v>676</v>
      </c>
      <c r="F3719" t="s">
        <v>676</v>
      </c>
      <c r="G3719">
        <v>1</v>
      </c>
      <c r="H3719" t="s">
        <v>3750</v>
      </c>
      <c r="I3719" t="s">
        <v>3751</v>
      </c>
      <c r="J3719" s="1" t="s">
        <v>676</v>
      </c>
      <c r="K3719" t="s">
        <v>181</v>
      </c>
      <c r="L3719" t="s">
        <v>3340</v>
      </c>
      <c r="M3719">
        <v>19</v>
      </c>
      <c r="N3719">
        <v>1.36</v>
      </c>
      <c r="O3719" t="s">
        <v>211</v>
      </c>
      <c r="P3719">
        <v>75</v>
      </c>
      <c r="R3719" t="s">
        <v>3403</v>
      </c>
      <c r="S3719" t="s">
        <v>4737</v>
      </c>
      <c r="T3719" t="s">
        <v>3402</v>
      </c>
      <c r="U3719">
        <v>217</v>
      </c>
      <c r="V3719" t="s">
        <v>3568</v>
      </c>
    </row>
    <row r="3720" spans="1:22" x14ac:dyDescent="0.15">
      <c r="A3720">
        <v>31</v>
      </c>
      <c r="B3720">
        <v>2026</v>
      </c>
      <c r="C3720" s="21">
        <v>46240</v>
      </c>
      <c r="D3720" t="s">
        <v>3749</v>
      </c>
      <c r="E3720" t="s">
        <v>676</v>
      </c>
      <c r="F3720" t="s">
        <v>676</v>
      </c>
      <c r="G3720">
        <v>1</v>
      </c>
      <c r="H3720" t="s">
        <v>3750</v>
      </c>
      <c r="I3720" t="s">
        <v>3751</v>
      </c>
      <c r="J3720" s="1" t="s">
        <v>676</v>
      </c>
      <c r="K3720" t="s">
        <v>181</v>
      </c>
      <c r="L3720" t="s">
        <v>3340</v>
      </c>
      <c r="M3720">
        <v>78</v>
      </c>
      <c r="N3720">
        <v>1.36</v>
      </c>
      <c r="O3720" t="s">
        <v>211</v>
      </c>
      <c r="P3720">
        <v>75</v>
      </c>
      <c r="R3720" t="s">
        <v>3341</v>
      </c>
      <c r="T3720" t="s">
        <v>3402</v>
      </c>
      <c r="U3720">
        <v>217</v>
      </c>
      <c r="V3720" t="s">
        <v>3568</v>
      </c>
    </row>
    <row r="3721" spans="1:22" x14ac:dyDescent="0.15">
      <c r="A3721">
        <v>31</v>
      </c>
      <c r="B3721">
        <v>2026</v>
      </c>
      <c r="C3721" s="55">
        <v>46240</v>
      </c>
      <c r="D3721" t="s">
        <v>3749</v>
      </c>
      <c r="E3721" t="s">
        <v>676</v>
      </c>
      <c r="F3721" t="s">
        <v>676</v>
      </c>
      <c r="G3721">
        <v>1</v>
      </c>
      <c r="H3721" t="s">
        <v>3750</v>
      </c>
      <c r="I3721" t="s">
        <v>3751</v>
      </c>
      <c r="J3721" s="1" t="s">
        <v>676</v>
      </c>
      <c r="K3721" t="s">
        <v>181</v>
      </c>
      <c r="L3721" t="s">
        <v>3340</v>
      </c>
      <c r="M3721">
        <v>79</v>
      </c>
      <c r="N3721">
        <v>1.36</v>
      </c>
      <c r="O3721" t="s">
        <v>211</v>
      </c>
      <c r="P3721">
        <v>75</v>
      </c>
      <c r="R3721" t="s">
        <v>3401</v>
      </c>
      <c r="T3721" t="s">
        <v>3402</v>
      </c>
      <c r="U3721">
        <v>217</v>
      </c>
      <c r="V3721" t="s">
        <v>3568</v>
      </c>
    </row>
    <row r="3722" spans="1:22" x14ac:dyDescent="0.15">
      <c r="A3722">
        <v>32</v>
      </c>
      <c r="B3722">
        <v>2026</v>
      </c>
      <c r="C3722" s="55">
        <v>46241</v>
      </c>
      <c r="D3722" t="s">
        <v>153</v>
      </c>
      <c r="E3722" t="s">
        <v>154</v>
      </c>
      <c r="F3722" t="s">
        <v>21</v>
      </c>
      <c r="G3722">
        <v>8</v>
      </c>
      <c r="H3722" t="s">
        <v>4212</v>
      </c>
      <c r="I3722" t="s">
        <v>3869</v>
      </c>
      <c r="J3722" s="1" t="s">
        <v>3696</v>
      </c>
      <c r="K3722" t="s">
        <v>181</v>
      </c>
      <c r="L3722" t="s">
        <v>3340</v>
      </c>
      <c r="M3722">
        <v>45</v>
      </c>
      <c r="N3722">
        <v>0.65</v>
      </c>
      <c r="O3722" t="s">
        <v>211</v>
      </c>
      <c r="P3722">
        <v>36</v>
      </c>
      <c r="Q3722">
        <v>4</v>
      </c>
      <c r="R3722" t="s">
        <v>3377</v>
      </c>
      <c r="T3722" t="s">
        <v>3337</v>
      </c>
      <c r="V3722" t="s">
        <v>3464</v>
      </c>
    </row>
    <row r="3723" spans="1:22" x14ac:dyDescent="0.15">
      <c r="A3723">
        <v>32</v>
      </c>
      <c r="B3723">
        <v>2026</v>
      </c>
      <c r="C3723" s="55">
        <v>46241</v>
      </c>
      <c r="D3723" t="s">
        <v>153</v>
      </c>
      <c r="E3723" t="s">
        <v>154</v>
      </c>
      <c r="F3723" t="s">
        <v>21</v>
      </c>
      <c r="G3723">
        <v>8</v>
      </c>
      <c r="H3723" t="s">
        <v>4212</v>
      </c>
      <c r="I3723" t="s">
        <v>3869</v>
      </c>
      <c r="J3723" s="1" t="s">
        <v>3696</v>
      </c>
      <c r="K3723" t="s">
        <v>181</v>
      </c>
      <c r="L3723" t="s">
        <v>3340</v>
      </c>
      <c r="M3723">
        <v>58</v>
      </c>
      <c r="N3723">
        <v>1.31</v>
      </c>
      <c r="O3723" t="s">
        <v>211</v>
      </c>
      <c r="P3723">
        <v>72</v>
      </c>
      <c r="Q3723">
        <v>8</v>
      </c>
      <c r="R3723" t="s">
        <v>3343</v>
      </c>
      <c r="T3723" t="s">
        <v>3337</v>
      </c>
      <c r="V3723" t="s">
        <v>3473</v>
      </c>
    </row>
    <row r="3724" spans="1:22" x14ac:dyDescent="0.15">
      <c r="A3724">
        <v>32</v>
      </c>
      <c r="B3724">
        <v>2026</v>
      </c>
      <c r="C3724" s="55">
        <v>46241</v>
      </c>
      <c r="D3724" t="s">
        <v>153</v>
      </c>
      <c r="E3724" t="s">
        <v>154</v>
      </c>
      <c r="F3724" t="s">
        <v>21</v>
      </c>
      <c r="G3724">
        <v>8</v>
      </c>
      <c r="H3724" t="s">
        <v>4212</v>
      </c>
      <c r="I3724" t="s">
        <v>3869</v>
      </c>
      <c r="J3724" s="1" t="s">
        <v>3696</v>
      </c>
      <c r="K3724" t="s">
        <v>181</v>
      </c>
      <c r="L3724" t="s">
        <v>3340</v>
      </c>
      <c r="M3724">
        <v>53</v>
      </c>
      <c r="N3724">
        <v>1.31</v>
      </c>
      <c r="O3724" t="s">
        <v>211</v>
      </c>
      <c r="P3724">
        <v>72</v>
      </c>
      <c r="Q3724">
        <v>8</v>
      </c>
      <c r="R3724" t="s">
        <v>3373</v>
      </c>
      <c r="T3724" t="s">
        <v>3337</v>
      </c>
      <c r="V3724" t="s">
        <v>3473</v>
      </c>
    </row>
    <row r="3725" spans="1:22" x14ac:dyDescent="0.15">
      <c r="A3725">
        <v>32</v>
      </c>
      <c r="B3725">
        <v>2026</v>
      </c>
      <c r="C3725" s="55">
        <v>46241</v>
      </c>
      <c r="D3725" t="s">
        <v>153</v>
      </c>
      <c r="E3725" t="s">
        <v>154</v>
      </c>
      <c r="F3725" t="s">
        <v>21</v>
      </c>
      <c r="G3725">
        <v>8</v>
      </c>
      <c r="H3725" t="s">
        <v>4212</v>
      </c>
      <c r="I3725" t="s">
        <v>3869</v>
      </c>
      <c r="J3725" s="1" t="s">
        <v>3696</v>
      </c>
      <c r="K3725" t="s">
        <v>181</v>
      </c>
      <c r="L3725" t="s">
        <v>3340</v>
      </c>
      <c r="M3725">
        <v>62</v>
      </c>
      <c r="N3725">
        <v>0.65</v>
      </c>
      <c r="O3725" t="s">
        <v>211</v>
      </c>
      <c r="P3725">
        <v>36</v>
      </c>
      <c r="Q3725">
        <v>4</v>
      </c>
      <c r="R3725" t="s">
        <v>3375</v>
      </c>
      <c r="T3725" t="s">
        <v>3337</v>
      </c>
      <c r="V3725" t="s">
        <v>3464</v>
      </c>
    </row>
    <row r="3726" spans="1:22" x14ac:dyDescent="0.15">
      <c r="A3726">
        <v>32</v>
      </c>
      <c r="B3726">
        <v>2026</v>
      </c>
      <c r="C3726" s="55">
        <v>46241</v>
      </c>
      <c r="D3726" t="s">
        <v>153</v>
      </c>
      <c r="E3726" t="s">
        <v>154</v>
      </c>
      <c r="F3726" t="s">
        <v>21</v>
      </c>
      <c r="G3726">
        <v>8</v>
      </c>
      <c r="H3726" t="s">
        <v>4212</v>
      </c>
      <c r="I3726" t="s">
        <v>3869</v>
      </c>
      <c r="J3726" s="1" t="s">
        <v>3696</v>
      </c>
      <c r="K3726" t="s">
        <v>181</v>
      </c>
      <c r="L3726" t="s">
        <v>3340</v>
      </c>
      <c r="M3726">
        <v>81</v>
      </c>
      <c r="N3726">
        <v>1.31</v>
      </c>
      <c r="O3726" t="s">
        <v>211</v>
      </c>
      <c r="P3726">
        <v>72</v>
      </c>
      <c r="Q3726">
        <v>8</v>
      </c>
      <c r="R3726" t="s">
        <v>3374</v>
      </c>
      <c r="T3726" t="s">
        <v>3337</v>
      </c>
      <c r="V3726" t="s">
        <v>3473</v>
      </c>
    </row>
    <row r="3727" spans="1:22" x14ac:dyDescent="0.15">
      <c r="A3727">
        <v>32</v>
      </c>
      <c r="B3727">
        <v>2026</v>
      </c>
      <c r="C3727" s="55">
        <v>46241</v>
      </c>
      <c r="D3727" t="s">
        <v>139</v>
      </c>
      <c r="E3727" t="s">
        <v>140</v>
      </c>
      <c r="F3727" t="s">
        <v>75</v>
      </c>
      <c r="G3727">
        <v>0.8</v>
      </c>
      <c r="H3727" t="s">
        <v>3730</v>
      </c>
      <c r="I3727" t="s">
        <v>3731</v>
      </c>
      <c r="J3727" s="1" t="s">
        <v>3732</v>
      </c>
      <c r="K3727" t="s">
        <v>181</v>
      </c>
      <c r="L3727" t="s">
        <v>3340</v>
      </c>
      <c r="M3727">
        <v>25</v>
      </c>
      <c r="N3727">
        <v>0.33</v>
      </c>
      <c r="O3727" t="s">
        <v>211</v>
      </c>
      <c r="P3727">
        <v>18</v>
      </c>
      <c r="Q3727">
        <v>2</v>
      </c>
      <c r="R3727" t="s">
        <v>3413</v>
      </c>
      <c r="T3727" t="s">
        <v>3337</v>
      </c>
      <c r="U3727">
        <v>73</v>
      </c>
      <c r="V3727" t="s">
        <v>3523</v>
      </c>
    </row>
    <row r="3728" spans="1:22" x14ac:dyDescent="0.15">
      <c r="A3728">
        <v>32</v>
      </c>
      <c r="B3728">
        <v>2026</v>
      </c>
      <c r="C3728" s="55">
        <v>46241</v>
      </c>
      <c r="D3728" t="s">
        <v>139</v>
      </c>
      <c r="E3728" t="s">
        <v>140</v>
      </c>
      <c r="F3728" t="s">
        <v>75</v>
      </c>
      <c r="G3728">
        <v>0.8</v>
      </c>
      <c r="H3728" t="s">
        <v>3730</v>
      </c>
      <c r="I3728" t="s">
        <v>3731</v>
      </c>
      <c r="J3728" s="1" t="s">
        <v>3732</v>
      </c>
      <c r="K3728" t="s">
        <v>181</v>
      </c>
      <c r="L3728" t="s">
        <v>3333</v>
      </c>
      <c r="M3728">
        <v>2</v>
      </c>
      <c r="N3728">
        <v>0.25</v>
      </c>
      <c r="O3728" t="s">
        <v>3440</v>
      </c>
      <c r="P3728">
        <v>22.62</v>
      </c>
      <c r="Q3728">
        <v>2</v>
      </c>
      <c r="R3728" t="s">
        <v>3424</v>
      </c>
      <c r="T3728" t="s">
        <v>3337</v>
      </c>
      <c r="U3728">
        <v>73</v>
      </c>
      <c r="V3728" t="s">
        <v>4199</v>
      </c>
    </row>
    <row r="3729" spans="1:22" x14ac:dyDescent="0.15">
      <c r="A3729">
        <v>32</v>
      </c>
      <c r="B3729">
        <v>2026</v>
      </c>
      <c r="C3729" s="55">
        <v>46241</v>
      </c>
      <c r="D3729" t="s">
        <v>139</v>
      </c>
      <c r="E3729" t="s">
        <v>140</v>
      </c>
      <c r="F3729" t="s">
        <v>75</v>
      </c>
      <c r="G3729">
        <v>0.8</v>
      </c>
      <c r="H3729" t="s">
        <v>3730</v>
      </c>
      <c r="I3729" t="s">
        <v>3731</v>
      </c>
      <c r="J3729" s="1" t="s">
        <v>3732</v>
      </c>
      <c r="K3729" t="s">
        <v>181</v>
      </c>
      <c r="L3729" t="s">
        <v>3340</v>
      </c>
      <c r="M3729">
        <v>176</v>
      </c>
      <c r="N3729">
        <v>2.62</v>
      </c>
      <c r="O3729" t="s">
        <v>211</v>
      </c>
      <c r="P3729">
        <v>144</v>
      </c>
      <c r="Q3729">
        <v>2</v>
      </c>
      <c r="R3729" t="s">
        <v>4361</v>
      </c>
      <c r="S3729" t="s">
        <v>4738</v>
      </c>
      <c r="T3729" t="s">
        <v>3337</v>
      </c>
      <c r="U3729">
        <v>73</v>
      </c>
      <c r="V3729" t="s">
        <v>175</v>
      </c>
    </row>
    <row r="3730" spans="1:22" x14ac:dyDescent="0.15">
      <c r="A3730">
        <v>32</v>
      </c>
      <c r="B3730">
        <v>2026</v>
      </c>
      <c r="C3730" s="55">
        <v>46241</v>
      </c>
      <c r="D3730" t="s">
        <v>115</v>
      </c>
      <c r="E3730" t="s">
        <v>116</v>
      </c>
      <c r="F3730" t="s">
        <v>21</v>
      </c>
      <c r="G3730">
        <v>2</v>
      </c>
      <c r="H3730" t="s">
        <v>3400</v>
      </c>
      <c r="I3730" t="s">
        <v>353</v>
      </c>
      <c r="J3730" s="1" t="s">
        <v>253</v>
      </c>
      <c r="K3730" t="s">
        <v>181</v>
      </c>
      <c r="L3730" t="s">
        <v>3340</v>
      </c>
      <c r="M3730">
        <v>25</v>
      </c>
      <c r="N3730">
        <v>0.56999999999999995</v>
      </c>
      <c r="O3730" t="s">
        <v>211</v>
      </c>
      <c r="P3730">
        <v>31.5</v>
      </c>
      <c r="Q3730">
        <v>3.5</v>
      </c>
      <c r="R3730" t="s">
        <v>3413</v>
      </c>
      <c r="T3730" t="s">
        <v>3337</v>
      </c>
      <c r="U3730">
        <v>78</v>
      </c>
      <c r="V3730" t="s">
        <v>3451</v>
      </c>
    </row>
    <row r="3731" spans="1:22" x14ac:dyDescent="0.15">
      <c r="A3731">
        <v>32</v>
      </c>
      <c r="B3731">
        <v>2026</v>
      </c>
      <c r="C3731" s="55">
        <v>46241</v>
      </c>
      <c r="D3731" t="s">
        <v>115</v>
      </c>
      <c r="E3731" t="s">
        <v>116</v>
      </c>
      <c r="F3731" t="s">
        <v>21</v>
      </c>
      <c r="G3731">
        <v>2</v>
      </c>
      <c r="H3731" t="s">
        <v>3400</v>
      </c>
      <c r="I3731" t="s">
        <v>353</v>
      </c>
      <c r="J3731" s="1" t="s">
        <v>253</v>
      </c>
      <c r="K3731" t="s">
        <v>181</v>
      </c>
      <c r="L3731" t="s">
        <v>3333</v>
      </c>
      <c r="M3731">
        <v>2</v>
      </c>
      <c r="N3731">
        <v>0.44</v>
      </c>
      <c r="O3731" t="s">
        <v>3440</v>
      </c>
      <c r="P3731">
        <v>39.590000000000003</v>
      </c>
      <c r="Q3731">
        <v>3.5</v>
      </c>
      <c r="R3731" t="s">
        <v>3424</v>
      </c>
      <c r="T3731" t="s">
        <v>3337</v>
      </c>
      <c r="U3731">
        <v>78</v>
      </c>
      <c r="V3731" t="s">
        <v>4700</v>
      </c>
    </row>
    <row r="3732" spans="1:22" x14ac:dyDescent="0.15">
      <c r="A3732">
        <v>32</v>
      </c>
      <c r="B3732">
        <v>2026</v>
      </c>
      <c r="C3732" s="55">
        <v>46241</v>
      </c>
      <c r="D3732" t="s">
        <v>115</v>
      </c>
      <c r="E3732" t="s">
        <v>116</v>
      </c>
      <c r="F3732" t="s">
        <v>21</v>
      </c>
      <c r="G3732">
        <v>2</v>
      </c>
      <c r="H3732" t="s">
        <v>3400</v>
      </c>
      <c r="I3732" t="s">
        <v>353</v>
      </c>
      <c r="J3732" s="1" t="s">
        <v>253</v>
      </c>
      <c r="K3732" t="s">
        <v>181</v>
      </c>
      <c r="L3732" t="s">
        <v>3340</v>
      </c>
      <c r="M3732">
        <v>176</v>
      </c>
      <c r="N3732">
        <v>4.58</v>
      </c>
      <c r="O3732" t="s">
        <v>211</v>
      </c>
      <c r="P3732">
        <v>252</v>
      </c>
      <c r="Q3732">
        <v>3.5</v>
      </c>
      <c r="R3732" t="s">
        <v>4361</v>
      </c>
      <c r="T3732" t="s">
        <v>3337</v>
      </c>
      <c r="U3732">
        <v>78</v>
      </c>
      <c r="V3732" t="s">
        <v>4739</v>
      </c>
    </row>
    <row r="3733" spans="1:22" x14ac:dyDescent="0.15">
      <c r="A3733">
        <v>32</v>
      </c>
      <c r="B3733">
        <v>2026</v>
      </c>
      <c r="C3733" s="55">
        <v>46241</v>
      </c>
      <c r="D3733" t="s">
        <v>143</v>
      </c>
      <c r="E3733" t="s">
        <v>144</v>
      </c>
      <c r="F3733" t="s">
        <v>21</v>
      </c>
      <c r="G3733">
        <v>1.8</v>
      </c>
      <c r="H3733" t="s">
        <v>3400</v>
      </c>
      <c r="I3733" t="s">
        <v>353</v>
      </c>
      <c r="J3733" s="1" t="s">
        <v>253</v>
      </c>
      <c r="K3733" t="s">
        <v>181</v>
      </c>
      <c r="L3733" t="s">
        <v>3340</v>
      </c>
      <c r="M3733">
        <v>25</v>
      </c>
      <c r="N3733">
        <v>0.1</v>
      </c>
      <c r="O3733" t="s">
        <v>211</v>
      </c>
      <c r="P3733">
        <v>5.5</v>
      </c>
      <c r="Q3733">
        <v>0.5</v>
      </c>
      <c r="R3733" t="s">
        <v>3413</v>
      </c>
      <c r="T3733" t="s">
        <v>3337</v>
      </c>
      <c r="V3733" t="s">
        <v>3538</v>
      </c>
    </row>
    <row r="3734" spans="1:22" x14ac:dyDescent="0.15">
      <c r="A3734">
        <v>32</v>
      </c>
      <c r="B3734">
        <v>2026</v>
      </c>
      <c r="C3734" s="55">
        <v>46241</v>
      </c>
      <c r="D3734" t="s">
        <v>143</v>
      </c>
      <c r="E3734" t="s">
        <v>144</v>
      </c>
      <c r="F3734" t="s">
        <v>21</v>
      </c>
      <c r="G3734">
        <v>1.8</v>
      </c>
      <c r="H3734" t="s">
        <v>3400</v>
      </c>
      <c r="I3734" t="s">
        <v>353</v>
      </c>
      <c r="J3734" s="1" t="s">
        <v>253</v>
      </c>
      <c r="K3734" t="s">
        <v>181</v>
      </c>
      <c r="L3734" t="s">
        <v>3333</v>
      </c>
      <c r="M3734">
        <v>2</v>
      </c>
      <c r="N3734">
        <v>0.06</v>
      </c>
      <c r="O3734" t="s">
        <v>3440</v>
      </c>
      <c r="P3734">
        <v>5.66</v>
      </c>
      <c r="Q3734">
        <v>0.5</v>
      </c>
      <c r="R3734" t="s">
        <v>3424</v>
      </c>
      <c r="T3734" t="s">
        <v>3337</v>
      </c>
      <c r="V3734" t="s">
        <v>4740</v>
      </c>
    </row>
    <row r="3735" spans="1:22" x14ac:dyDescent="0.15">
      <c r="A3735">
        <v>32</v>
      </c>
      <c r="B3735">
        <v>2026</v>
      </c>
      <c r="C3735" s="55">
        <v>46241</v>
      </c>
      <c r="D3735" t="s">
        <v>143</v>
      </c>
      <c r="E3735" t="s">
        <v>144</v>
      </c>
      <c r="F3735" t="s">
        <v>21</v>
      </c>
      <c r="G3735">
        <v>1.8</v>
      </c>
      <c r="H3735" t="s">
        <v>3400</v>
      </c>
      <c r="I3735" t="s">
        <v>353</v>
      </c>
      <c r="J3735" s="1" t="s">
        <v>253</v>
      </c>
      <c r="K3735" t="s">
        <v>181</v>
      </c>
      <c r="L3735" t="s">
        <v>3340</v>
      </c>
      <c r="M3735">
        <v>176</v>
      </c>
      <c r="N3735">
        <v>0.8</v>
      </c>
      <c r="O3735" t="s">
        <v>211</v>
      </c>
      <c r="P3735">
        <v>44</v>
      </c>
      <c r="Q3735">
        <v>0.5</v>
      </c>
      <c r="R3735" t="s">
        <v>4361</v>
      </c>
      <c r="T3735" t="s">
        <v>3337</v>
      </c>
      <c r="V3735" t="s">
        <v>4741</v>
      </c>
    </row>
    <row r="3736" spans="1:22" x14ac:dyDescent="0.15">
      <c r="A3736">
        <v>32</v>
      </c>
      <c r="B3736">
        <v>2026</v>
      </c>
      <c r="C3736" s="55">
        <v>46241</v>
      </c>
      <c r="D3736" t="s">
        <v>53</v>
      </c>
      <c r="E3736" t="s">
        <v>54</v>
      </c>
      <c r="F3736" t="s">
        <v>21</v>
      </c>
      <c r="G3736">
        <v>2</v>
      </c>
      <c r="H3736" t="s">
        <v>3453</v>
      </c>
      <c r="I3736" t="s">
        <v>187</v>
      </c>
      <c r="J3736" s="1" t="s">
        <v>188</v>
      </c>
      <c r="K3736" t="s">
        <v>181</v>
      </c>
      <c r="L3736" t="s">
        <v>3333</v>
      </c>
      <c r="M3736">
        <v>1</v>
      </c>
      <c r="N3736">
        <v>1</v>
      </c>
      <c r="O3736" t="s">
        <v>3358</v>
      </c>
      <c r="P3736">
        <v>71.86</v>
      </c>
      <c r="Q3736">
        <v>8</v>
      </c>
      <c r="R3736" t="s">
        <v>3359</v>
      </c>
      <c r="T3736" t="s">
        <v>3337</v>
      </c>
      <c r="U3736">
        <v>155</v>
      </c>
      <c r="V3736" t="s">
        <v>3452</v>
      </c>
    </row>
    <row r="3737" spans="1:22" x14ac:dyDescent="0.15">
      <c r="A3737">
        <v>32</v>
      </c>
      <c r="B3737">
        <v>2026</v>
      </c>
      <c r="C3737" s="55">
        <v>46241</v>
      </c>
      <c r="D3737" t="s">
        <v>153</v>
      </c>
      <c r="E3737" t="s">
        <v>154</v>
      </c>
      <c r="F3737" t="s">
        <v>21</v>
      </c>
      <c r="G3737">
        <v>8</v>
      </c>
      <c r="H3737" t="s">
        <v>3346</v>
      </c>
      <c r="I3737" t="s">
        <v>212</v>
      </c>
      <c r="J3737" s="1" t="s">
        <v>188</v>
      </c>
      <c r="K3737" t="s">
        <v>181</v>
      </c>
      <c r="L3737" t="s">
        <v>3340</v>
      </c>
      <c r="M3737">
        <v>6</v>
      </c>
      <c r="N3737">
        <v>1.31</v>
      </c>
      <c r="O3737" t="s">
        <v>211</v>
      </c>
      <c r="P3737">
        <v>72</v>
      </c>
      <c r="Q3737">
        <v>8</v>
      </c>
      <c r="R3737" t="s">
        <v>3335</v>
      </c>
      <c r="T3737" t="s">
        <v>3337</v>
      </c>
      <c r="V3737" t="s">
        <v>3473</v>
      </c>
    </row>
    <row r="3738" spans="1:22" x14ac:dyDescent="0.15">
      <c r="A3738">
        <v>32</v>
      </c>
      <c r="B3738">
        <v>2026</v>
      </c>
      <c r="C3738" s="55">
        <v>46241</v>
      </c>
      <c r="D3738" t="s">
        <v>84</v>
      </c>
      <c r="E3738" t="s">
        <v>85</v>
      </c>
      <c r="F3738" t="s">
        <v>21</v>
      </c>
      <c r="G3738">
        <v>2</v>
      </c>
      <c r="H3738" t="s">
        <v>3803</v>
      </c>
      <c r="I3738" t="s">
        <v>3676</v>
      </c>
      <c r="J3738" s="1" t="s">
        <v>3533</v>
      </c>
      <c r="K3738" t="s">
        <v>181</v>
      </c>
      <c r="L3738" t="s">
        <v>3333</v>
      </c>
      <c r="M3738">
        <v>4</v>
      </c>
      <c r="N3738">
        <v>1</v>
      </c>
      <c r="O3738" t="s">
        <v>3334</v>
      </c>
      <c r="P3738">
        <v>81.58</v>
      </c>
      <c r="Q3738">
        <v>8</v>
      </c>
      <c r="R3738" t="s">
        <v>3773</v>
      </c>
      <c r="T3738" t="s">
        <v>3402</v>
      </c>
      <c r="U3738">
        <v>109</v>
      </c>
      <c r="V3738" t="s">
        <v>3456</v>
      </c>
    </row>
    <row r="3739" spans="1:22" x14ac:dyDescent="0.15">
      <c r="A3739">
        <v>32</v>
      </c>
      <c r="B3739">
        <v>2026</v>
      </c>
      <c r="C3739" s="55">
        <v>46241</v>
      </c>
      <c r="D3739" t="s">
        <v>84</v>
      </c>
      <c r="E3739" t="s">
        <v>85</v>
      </c>
      <c r="F3739" t="s">
        <v>21</v>
      </c>
      <c r="G3739">
        <v>2</v>
      </c>
      <c r="H3739" t="s">
        <v>3803</v>
      </c>
      <c r="I3739" t="s">
        <v>3676</v>
      </c>
      <c r="J3739" s="1" t="s">
        <v>3533</v>
      </c>
      <c r="K3739" t="s">
        <v>181</v>
      </c>
      <c r="L3739" t="s">
        <v>3340</v>
      </c>
      <c r="M3739">
        <v>84</v>
      </c>
      <c r="N3739">
        <v>1.31</v>
      </c>
      <c r="O3739" t="s">
        <v>211</v>
      </c>
      <c r="P3739">
        <v>72</v>
      </c>
      <c r="Q3739">
        <v>8</v>
      </c>
      <c r="R3739" t="s">
        <v>3446</v>
      </c>
      <c r="T3739" t="s">
        <v>3402</v>
      </c>
      <c r="U3739">
        <v>109</v>
      </c>
      <c r="V3739" t="s">
        <v>3507</v>
      </c>
    </row>
    <row r="3740" spans="1:22" x14ac:dyDescent="0.15">
      <c r="A3740">
        <v>32</v>
      </c>
      <c r="B3740">
        <v>2026</v>
      </c>
      <c r="C3740" s="55">
        <v>46241</v>
      </c>
      <c r="D3740" t="s">
        <v>153</v>
      </c>
      <c r="E3740" t="s">
        <v>154</v>
      </c>
      <c r="F3740" t="s">
        <v>21</v>
      </c>
      <c r="G3740">
        <v>8</v>
      </c>
      <c r="H3740" t="s">
        <v>3852</v>
      </c>
      <c r="I3740" t="s">
        <v>3467</v>
      </c>
      <c r="J3740" s="1" t="s">
        <v>3468</v>
      </c>
      <c r="K3740" t="s">
        <v>181</v>
      </c>
      <c r="L3740" t="s">
        <v>3333</v>
      </c>
      <c r="M3740">
        <v>67</v>
      </c>
      <c r="N3740">
        <v>0.44</v>
      </c>
      <c r="O3740" t="s">
        <v>3334</v>
      </c>
      <c r="P3740">
        <v>35.69</v>
      </c>
      <c r="Q3740">
        <v>3.5</v>
      </c>
      <c r="R3740" t="s">
        <v>3404</v>
      </c>
      <c r="T3740" t="s">
        <v>3402</v>
      </c>
      <c r="V3740" t="s">
        <v>4742</v>
      </c>
    </row>
    <row r="3741" spans="1:22" x14ac:dyDescent="0.15">
      <c r="A3741">
        <v>32</v>
      </c>
      <c r="B3741">
        <v>2026</v>
      </c>
      <c r="C3741" s="55">
        <v>46241</v>
      </c>
      <c r="D3741" t="s">
        <v>153</v>
      </c>
      <c r="E3741" t="s">
        <v>154</v>
      </c>
      <c r="F3741" t="s">
        <v>21</v>
      </c>
      <c r="G3741">
        <v>8</v>
      </c>
      <c r="H3741" t="s">
        <v>3852</v>
      </c>
      <c r="I3741" t="s">
        <v>3467</v>
      </c>
      <c r="J3741" s="1" t="s">
        <v>3468</v>
      </c>
      <c r="K3741" t="s">
        <v>181</v>
      </c>
      <c r="L3741" t="s">
        <v>3333</v>
      </c>
      <c r="M3741">
        <v>19</v>
      </c>
      <c r="N3741">
        <v>0.81</v>
      </c>
      <c r="O3741" t="s">
        <v>3334</v>
      </c>
      <c r="P3741">
        <v>66.28</v>
      </c>
      <c r="Q3741">
        <v>6.5</v>
      </c>
      <c r="R3741" t="s">
        <v>3403</v>
      </c>
      <c r="T3741" t="s">
        <v>3402</v>
      </c>
      <c r="V3741" t="s">
        <v>4743</v>
      </c>
    </row>
    <row r="3742" spans="1:22" x14ac:dyDescent="0.15">
      <c r="A3742">
        <v>32</v>
      </c>
      <c r="B3742">
        <v>2026</v>
      </c>
      <c r="C3742" s="55">
        <v>46241</v>
      </c>
      <c r="D3742" t="s">
        <v>153</v>
      </c>
      <c r="E3742" t="s">
        <v>154</v>
      </c>
      <c r="F3742" t="s">
        <v>21</v>
      </c>
      <c r="G3742">
        <v>8</v>
      </c>
      <c r="H3742" t="s">
        <v>3852</v>
      </c>
      <c r="I3742" t="s">
        <v>3467</v>
      </c>
      <c r="J3742" s="1" t="s">
        <v>3468</v>
      </c>
      <c r="K3742" t="s">
        <v>181</v>
      </c>
      <c r="L3742" t="s">
        <v>3333</v>
      </c>
      <c r="M3742">
        <v>78</v>
      </c>
      <c r="N3742">
        <v>0.81</v>
      </c>
      <c r="O3742" t="s">
        <v>3334</v>
      </c>
      <c r="P3742">
        <v>66.28</v>
      </c>
      <c r="Q3742">
        <v>6.5</v>
      </c>
      <c r="R3742" t="s">
        <v>3341</v>
      </c>
      <c r="T3742" t="s">
        <v>3402</v>
      </c>
      <c r="V3742" t="s">
        <v>4743</v>
      </c>
    </row>
    <row r="3743" spans="1:22" x14ac:dyDescent="0.15">
      <c r="A3743">
        <v>32</v>
      </c>
      <c r="B3743">
        <v>2026</v>
      </c>
      <c r="C3743" s="55">
        <v>46241</v>
      </c>
      <c r="D3743" t="s">
        <v>153</v>
      </c>
      <c r="E3743" t="s">
        <v>154</v>
      </c>
      <c r="F3743" t="s">
        <v>21</v>
      </c>
      <c r="G3743">
        <v>8</v>
      </c>
      <c r="H3743" t="s">
        <v>3852</v>
      </c>
      <c r="I3743" t="s">
        <v>3467</v>
      </c>
      <c r="J3743" s="1" t="s">
        <v>3468</v>
      </c>
      <c r="K3743" t="s">
        <v>181</v>
      </c>
      <c r="L3743" t="s">
        <v>3340</v>
      </c>
      <c r="M3743">
        <v>67</v>
      </c>
      <c r="N3743">
        <v>0.16</v>
      </c>
      <c r="O3743" t="s">
        <v>211</v>
      </c>
      <c r="P3743">
        <v>9</v>
      </c>
      <c r="Q3743">
        <v>1</v>
      </c>
      <c r="R3743" t="s">
        <v>3404</v>
      </c>
      <c r="T3743" t="s">
        <v>3402</v>
      </c>
      <c r="V3743" t="s">
        <v>4595</v>
      </c>
    </row>
    <row r="3744" spans="1:22" x14ac:dyDescent="0.15">
      <c r="A3744">
        <v>32</v>
      </c>
      <c r="B3744">
        <v>2026</v>
      </c>
      <c r="C3744" s="55">
        <v>46241</v>
      </c>
      <c r="D3744" t="s">
        <v>153</v>
      </c>
      <c r="E3744" t="s">
        <v>154</v>
      </c>
      <c r="F3744" t="s">
        <v>21</v>
      </c>
      <c r="G3744">
        <v>8</v>
      </c>
      <c r="H3744" t="s">
        <v>3852</v>
      </c>
      <c r="I3744" t="s">
        <v>3467</v>
      </c>
      <c r="J3744" s="1" t="s">
        <v>3468</v>
      </c>
      <c r="K3744" t="s">
        <v>181</v>
      </c>
      <c r="L3744" t="s">
        <v>3340</v>
      </c>
      <c r="M3744">
        <v>19</v>
      </c>
      <c r="N3744">
        <v>0.16</v>
      </c>
      <c r="O3744" t="s">
        <v>211</v>
      </c>
      <c r="P3744">
        <v>9</v>
      </c>
      <c r="Q3744">
        <v>1</v>
      </c>
      <c r="R3744" t="s">
        <v>3403</v>
      </c>
      <c r="T3744" t="s">
        <v>3402</v>
      </c>
      <c r="V3744" t="s">
        <v>4595</v>
      </c>
    </row>
    <row r="3745" spans="1:22" x14ac:dyDescent="0.15">
      <c r="A3745">
        <v>32</v>
      </c>
      <c r="B3745">
        <v>2026</v>
      </c>
      <c r="C3745" s="55">
        <v>46241</v>
      </c>
      <c r="D3745" t="s">
        <v>153</v>
      </c>
      <c r="E3745" t="s">
        <v>154</v>
      </c>
      <c r="F3745" t="s">
        <v>21</v>
      </c>
      <c r="G3745">
        <v>8</v>
      </c>
      <c r="H3745" t="s">
        <v>3852</v>
      </c>
      <c r="I3745" t="s">
        <v>3467</v>
      </c>
      <c r="J3745" s="1" t="s">
        <v>3468</v>
      </c>
      <c r="K3745" t="s">
        <v>181</v>
      </c>
      <c r="L3745" t="s">
        <v>3340</v>
      </c>
      <c r="M3745">
        <v>78</v>
      </c>
      <c r="N3745">
        <v>0.16</v>
      </c>
      <c r="O3745" t="s">
        <v>211</v>
      </c>
      <c r="P3745">
        <v>9</v>
      </c>
      <c r="Q3745">
        <v>1</v>
      </c>
      <c r="R3745" t="s">
        <v>3341</v>
      </c>
      <c r="T3745" t="s">
        <v>3402</v>
      </c>
      <c r="V3745" t="s">
        <v>4595</v>
      </c>
    </row>
    <row r="3746" spans="1:22" x14ac:dyDescent="0.15">
      <c r="A3746">
        <v>32</v>
      </c>
      <c r="B3746">
        <v>2026</v>
      </c>
      <c r="C3746" s="55">
        <v>46241</v>
      </c>
      <c r="D3746" t="s">
        <v>437</v>
      </c>
      <c r="E3746" t="s">
        <v>437</v>
      </c>
      <c r="F3746" t="s">
        <v>4435</v>
      </c>
      <c r="G3746">
        <v>1</v>
      </c>
      <c r="H3746" t="s">
        <v>4343</v>
      </c>
      <c r="I3746" t="s">
        <v>3655</v>
      </c>
      <c r="J3746" s="1" t="s">
        <v>3668</v>
      </c>
      <c r="K3746" t="s">
        <v>181</v>
      </c>
      <c r="L3746" t="s">
        <v>3333</v>
      </c>
      <c r="M3746">
        <v>67</v>
      </c>
      <c r="N3746">
        <v>0.38</v>
      </c>
      <c r="O3746" t="s">
        <v>3334</v>
      </c>
      <c r="P3746">
        <v>30.59</v>
      </c>
      <c r="Q3746">
        <v>3</v>
      </c>
      <c r="R3746" t="s">
        <v>3404</v>
      </c>
      <c r="T3746" t="s">
        <v>3402</v>
      </c>
      <c r="U3746">
        <v>218</v>
      </c>
      <c r="V3746" t="s">
        <v>3491</v>
      </c>
    </row>
    <row r="3747" spans="1:22" x14ac:dyDescent="0.15">
      <c r="A3747">
        <v>32</v>
      </c>
      <c r="B3747">
        <v>2026</v>
      </c>
      <c r="C3747" s="55">
        <v>46241</v>
      </c>
      <c r="D3747" t="s">
        <v>3749</v>
      </c>
      <c r="E3747" t="s">
        <v>676</v>
      </c>
      <c r="F3747" t="s">
        <v>676</v>
      </c>
      <c r="G3747">
        <v>1</v>
      </c>
      <c r="H3747" t="s">
        <v>3750</v>
      </c>
      <c r="I3747" t="s">
        <v>3751</v>
      </c>
      <c r="J3747" s="1" t="s">
        <v>676</v>
      </c>
      <c r="K3747" t="s">
        <v>181</v>
      </c>
      <c r="L3747" t="s">
        <v>3333</v>
      </c>
      <c r="M3747">
        <v>67</v>
      </c>
      <c r="N3747">
        <v>0.19</v>
      </c>
      <c r="O3747" t="s">
        <v>3334</v>
      </c>
      <c r="P3747">
        <v>15.3</v>
      </c>
      <c r="Q3747">
        <v>1.5</v>
      </c>
      <c r="R3747" t="s">
        <v>3404</v>
      </c>
      <c r="S3747" t="s">
        <v>4744</v>
      </c>
      <c r="T3747" t="s">
        <v>3402</v>
      </c>
      <c r="U3747">
        <v>218</v>
      </c>
      <c r="V3747" t="s">
        <v>3475</v>
      </c>
    </row>
    <row r="3748" spans="1:22" x14ac:dyDescent="0.15">
      <c r="A3748">
        <v>32</v>
      </c>
      <c r="B3748">
        <v>2026</v>
      </c>
      <c r="C3748" s="55">
        <v>46241</v>
      </c>
      <c r="D3748" t="s">
        <v>3749</v>
      </c>
      <c r="E3748" t="s">
        <v>676</v>
      </c>
      <c r="F3748" t="s">
        <v>676</v>
      </c>
      <c r="G3748">
        <v>1</v>
      </c>
      <c r="H3748" t="s">
        <v>3750</v>
      </c>
      <c r="I3748" t="s">
        <v>3751</v>
      </c>
      <c r="J3748" s="1" t="s">
        <v>676</v>
      </c>
      <c r="K3748" t="s">
        <v>181</v>
      </c>
      <c r="L3748" t="s">
        <v>3333</v>
      </c>
      <c r="M3748">
        <v>19</v>
      </c>
      <c r="N3748">
        <v>0.19</v>
      </c>
      <c r="O3748" t="s">
        <v>3334</v>
      </c>
      <c r="P3748">
        <v>15.3</v>
      </c>
      <c r="Q3748">
        <v>1.5</v>
      </c>
      <c r="R3748" t="s">
        <v>3403</v>
      </c>
      <c r="S3748" t="s">
        <v>4745</v>
      </c>
      <c r="T3748" t="s">
        <v>3402</v>
      </c>
      <c r="U3748">
        <v>218</v>
      </c>
      <c r="V3748" t="s">
        <v>3475</v>
      </c>
    </row>
    <row r="3749" spans="1:22" x14ac:dyDescent="0.15">
      <c r="A3749">
        <v>32</v>
      </c>
      <c r="B3749">
        <v>2026</v>
      </c>
      <c r="C3749" s="55">
        <v>46241</v>
      </c>
      <c r="D3749" t="s">
        <v>3749</v>
      </c>
      <c r="E3749" t="s">
        <v>676</v>
      </c>
      <c r="F3749" t="s">
        <v>676</v>
      </c>
      <c r="G3749">
        <v>1</v>
      </c>
      <c r="H3749" t="s">
        <v>3750</v>
      </c>
      <c r="I3749" t="s">
        <v>3751</v>
      </c>
      <c r="J3749" s="1" t="s">
        <v>676</v>
      </c>
      <c r="K3749" t="s">
        <v>181</v>
      </c>
      <c r="L3749" t="s">
        <v>3333</v>
      </c>
      <c r="M3749">
        <v>78</v>
      </c>
      <c r="N3749">
        <v>0.19</v>
      </c>
      <c r="O3749" t="s">
        <v>3334</v>
      </c>
      <c r="P3749">
        <v>15.3</v>
      </c>
      <c r="Q3749">
        <v>1.5</v>
      </c>
      <c r="R3749" t="s">
        <v>3341</v>
      </c>
      <c r="T3749" t="s">
        <v>3402</v>
      </c>
      <c r="U3749">
        <v>218</v>
      </c>
      <c r="V3749" t="s">
        <v>3475</v>
      </c>
    </row>
    <row r="3750" spans="1:22" x14ac:dyDescent="0.15">
      <c r="A3750">
        <v>32</v>
      </c>
      <c r="B3750">
        <v>2026</v>
      </c>
      <c r="C3750" s="55">
        <v>46241</v>
      </c>
      <c r="D3750" t="s">
        <v>3749</v>
      </c>
      <c r="E3750" t="s">
        <v>676</v>
      </c>
      <c r="F3750" t="s">
        <v>676</v>
      </c>
      <c r="G3750">
        <v>1</v>
      </c>
      <c r="H3750" t="s">
        <v>3750</v>
      </c>
      <c r="I3750" t="s">
        <v>3751</v>
      </c>
      <c r="J3750" s="1" t="s">
        <v>676</v>
      </c>
      <c r="K3750" t="s">
        <v>181</v>
      </c>
      <c r="L3750" t="s">
        <v>3340</v>
      </c>
      <c r="M3750">
        <v>67</v>
      </c>
      <c r="N3750">
        <v>0.19</v>
      </c>
      <c r="O3750" t="s">
        <v>211</v>
      </c>
      <c r="P3750">
        <v>10.5</v>
      </c>
      <c r="R3750" t="s">
        <v>3404</v>
      </c>
      <c r="T3750" t="s">
        <v>3402</v>
      </c>
      <c r="U3750">
        <v>218</v>
      </c>
      <c r="V3750" t="s">
        <v>4746</v>
      </c>
    </row>
    <row r="3751" spans="1:22" x14ac:dyDescent="0.15">
      <c r="A3751">
        <v>32</v>
      </c>
      <c r="B3751">
        <v>2026</v>
      </c>
      <c r="C3751" s="55">
        <v>46241</v>
      </c>
      <c r="D3751" t="s">
        <v>3749</v>
      </c>
      <c r="E3751" t="s">
        <v>676</v>
      </c>
      <c r="F3751" t="s">
        <v>676</v>
      </c>
      <c r="G3751">
        <v>1</v>
      </c>
      <c r="H3751" t="s">
        <v>3750</v>
      </c>
      <c r="I3751" t="s">
        <v>3751</v>
      </c>
      <c r="J3751" s="1" t="s">
        <v>676</v>
      </c>
      <c r="K3751" t="s">
        <v>181</v>
      </c>
      <c r="L3751" t="s">
        <v>3340</v>
      </c>
      <c r="M3751">
        <v>19</v>
      </c>
      <c r="N3751">
        <v>0.19</v>
      </c>
      <c r="O3751" t="s">
        <v>211</v>
      </c>
      <c r="P3751">
        <v>10.5</v>
      </c>
      <c r="R3751" t="s">
        <v>3403</v>
      </c>
      <c r="T3751" t="s">
        <v>3402</v>
      </c>
      <c r="U3751">
        <v>218</v>
      </c>
      <c r="V3751" t="s">
        <v>4746</v>
      </c>
    </row>
    <row r="3752" spans="1:22" x14ac:dyDescent="0.15">
      <c r="A3752">
        <v>32</v>
      </c>
      <c r="B3752">
        <v>2026</v>
      </c>
      <c r="C3752" s="55">
        <v>46241</v>
      </c>
      <c r="D3752" t="s">
        <v>3749</v>
      </c>
      <c r="E3752" t="s">
        <v>676</v>
      </c>
      <c r="F3752" t="s">
        <v>676</v>
      </c>
      <c r="G3752">
        <v>1</v>
      </c>
      <c r="H3752" t="s">
        <v>3750</v>
      </c>
      <c r="I3752" t="s">
        <v>3751</v>
      </c>
      <c r="J3752" s="1" t="s">
        <v>676</v>
      </c>
      <c r="K3752" t="s">
        <v>181</v>
      </c>
      <c r="L3752" t="s">
        <v>3340</v>
      </c>
      <c r="M3752">
        <v>78</v>
      </c>
      <c r="N3752">
        <v>0.19</v>
      </c>
      <c r="O3752" t="s">
        <v>211</v>
      </c>
      <c r="P3752">
        <v>10.5</v>
      </c>
      <c r="R3752" t="s">
        <v>3341</v>
      </c>
      <c r="T3752" t="s">
        <v>3402</v>
      </c>
      <c r="U3752">
        <v>218</v>
      </c>
      <c r="V3752" t="s">
        <v>4746</v>
      </c>
    </row>
    <row r="3753" spans="1:22" x14ac:dyDescent="0.15">
      <c r="A3753">
        <v>32</v>
      </c>
      <c r="B3753">
        <v>2026</v>
      </c>
      <c r="C3753" s="55">
        <v>46241</v>
      </c>
      <c r="D3753" t="s">
        <v>153</v>
      </c>
      <c r="E3753" t="s">
        <v>154</v>
      </c>
      <c r="F3753" t="s">
        <v>21</v>
      </c>
      <c r="G3753">
        <v>8</v>
      </c>
      <c r="H3753" t="s">
        <v>3852</v>
      </c>
      <c r="I3753" t="s">
        <v>3467</v>
      </c>
      <c r="J3753" s="1" t="s">
        <v>3468</v>
      </c>
      <c r="K3753" t="s">
        <v>181</v>
      </c>
      <c r="L3753" t="s">
        <v>3333</v>
      </c>
      <c r="M3753">
        <v>86</v>
      </c>
      <c r="N3753">
        <v>0.38</v>
      </c>
      <c r="O3753" t="s">
        <v>3334</v>
      </c>
      <c r="P3753">
        <v>30.59</v>
      </c>
      <c r="Q3753">
        <v>3</v>
      </c>
      <c r="R3753" t="s">
        <v>3386</v>
      </c>
      <c r="T3753" t="s">
        <v>3402</v>
      </c>
      <c r="V3753" t="s">
        <v>3639</v>
      </c>
    </row>
    <row r="3754" spans="1:22" x14ac:dyDescent="0.15">
      <c r="A3754">
        <v>32</v>
      </c>
      <c r="B3754">
        <v>2026</v>
      </c>
      <c r="C3754" s="55">
        <v>46241</v>
      </c>
      <c r="D3754" t="s">
        <v>153</v>
      </c>
      <c r="E3754" t="s">
        <v>154</v>
      </c>
      <c r="F3754" t="s">
        <v>21</v>
      </c>
      <c r="G3754">
        <v>8</v>
      </c>
      <c r="H3754" t="s">
        <v>3852</v>
      </c>
      <c r="I3754" t="s">
        <v>3467</v>
      </c>
      <c r="J3754" s="1" t="s">
        <v>3468</v>
      </c>
      <c r="K3754" t="s">
        <v>181</v>
      </c>
      <c r="L3754" t="s">
        <v>3340</v>
      </c>
      <c r="M3754">
        <v>86</v>
      </c>
      <c r="N3754">
        <v>0.16</v>
      </c>
      <c r="O3754" t="s">
        <v>211</v>
      </c>
      <c r="P3754">
        <v>9</v>
      </c>
      <c r="Q3754">
        <v>1</v>
      </c>
      <c r="R3754" t="s">
        <v>3386</v>
      </c>
      <c r="T3754" t="s">
        <v>3402</v>
      </c>
      <c r="V3754" t="s">
        <v>4595</v>
      </c>
    </row>
    <row r="3755" spans="1:22" x14ac:dyDescent="0.15">
      <c r="A3755">
        <v>32</v>
      </c>
      <c r="B3755">
        <v>2026</v>
      </c>
      <c r="C3755" s="55">
        <v>46241</v>
      </c>
      <c r="D3755" t="s">
        <v>153</v>
      </c>
      <c r="E3755" t="s">
        <v>154</v>
      </c>
      <c r="F3755" t="s">
        <v>21</v>
      </c>
      <c r="G3755">
        <v>8</v>
      </c>
      <c r="H3755" t="s">
        <v>4747</v>
      </c>
      <c r="I3755" t="s">
        <v>4748</v>
      </c>
      <c r="J3755" s="1" t="s">
        <v>3668</v>
      </c>
      <c r="K3755" t="s">
        <v>181</v>
      </c>
      <c r="L3755" t="s">
        <v>3333</v>
      </c>
      <c r="M3755">
        <v>86</v>
      </c>
      <c r="N3755">
        <v>0.25</v>
      </c>
      <c r="O3755" t="s">
        <v>3334</v>
      </c>
      <c r="P3755">
        <v>20.399999999999999</v>
      </c>
      <c r="Q3755">
        <v>2</v>
      </c>
      <c r="R3755" t="s">
        <v>3386</v>
      </c>
      <c r="T3755" t="s">
        <v>3402</v>
      </c>
      <c r="V3755" t="s">
        <v>4427</v>
      </c>
    </row>
    <row r="3756" spans="1:22" x14ac:dyDescent="0.15">
      <c r="A3756">
        <v>32</v>
      </c>
      <c r="B3756">
        <v>2026</v>
      </c>
      <c r="C3756" s="55">
        <v>46241</v>
      </c>
      <c r="D3756" t="s">
        <v>437</v>
      </c>
      <c r="E3756" t="s">
        <v>437</v>
      </c>
      <c r="F3756" t="s">
        <v>4435</v>
      </c>
      <c r="G3756">
        <v>1</v>
      </c>
      <c r="H3756" t="s">
        <v>4749</v>
      </c>
      <c r="I3756" t="s">
        <v>4750</v>
      </c>
      <c r="J3756" s="1" t="s">
        <v>3668</v>
      </c>
      <c r="K3756" t="s">
        <v>181</v>
      </c>
      <c r="L3756" t="s">
        <v>3333</v>
      </c>
      <c r="M3756">
        <v>86</v>
      </c>
      <c r="N3756">
        <v>0.38</v>
      </c>
      <c r="O3756" t="s">
        <v>3334</v>
      </c>
      <c r="P3756">
        <v>30.59</v>
      </c>
      <c r="Q3756">
        <v>3</v>
      </c>
      <c r="R3756" t="s">
        <v>3386</v>
      </c>
      <c r="T3756" t="s">
        <v>3402</v>
      </c>
      <c r="U3756">
        <v>218</v>
      </c>
      <c r="V3756" t="s">
        <v>3491</v>
      </c>
    </row>
    <row r="3757" spans="1:22" x14ac:dyDescent="0.15">
      <c r="A3757">
        <v>32</v>
      </c>
      <c r="B3757">
        <v>2026</v>
      </c>
      <c r="C3757" s="55">
        <v>46241</v>
      </c>
      <c r="D3757" t="s">
        <v>153</v>
      </c>
      <c r="E3757" t="s">
        <v>154</v>
      </c>
      <c r="F3757" t="s">
        <v>21</v>
      </c>
      <c r="G3757">
        <v>8</v>
      </c>
      <c r="H3757" t="s">
        <v>4719</v>
      </c>
      <c r="I3757" t="s">
        <v>4720</v>
      </c>
      <c r="J3757" s="1" t="s">
        <v>3389</v>
      </c>
      <c r="K3757" t="s">
        <v>181</v>
      </c>
      <c r="L3757" t="s">
        <v>3333</v>
      </c>
      <c r="M3757">
        <v>80</v>
      </c>
      <c r="N3757">
        <v>0.25</v>
      </c>
      <c r="O3757" t="s">
        <v>213</v>
      </c>
      <c r="P3757">
        <v>22.5</v>
      </c>
      <c r="Q3757">
        <v>2</v>
      </c>
      <c r="R3757" t="s">
        <v>3560</v>
      </c>
      <c r="T3757" t="s">
        <v>3402</v>
      </c>
      <c r="V3757" t="s">
        <v>3636</v>
      </c>
    </row>
    <row r="3758" spans="1:22" x14ac:dyDescent="0.15">
      <c r="A3758">
        <v>32</v>
      </c>
      <c r="B3758">
        <v>2026</v>
      </c>
      <c r="C3758" s="55">
        <v>46242</v>
      </c>
      <c r="D3758" t="s">
        <v>153</v>
      </c>
      <c r="E3758" t="s">
        <v>154</v>
      </c>
      <c r="F3758" t="s">
        <v>21</v>
      </c>
      <c r="G3758">
        <v>8</v>
      </c>
      <c r="H3758" t="s">
        <v>3519</v>
      </c>
      <c r="I3758" t="s">
        <v>214</v>
      </c>
      <c r="J3758" s="1" t="s">
        <v>215</v>
      </c>
      <c r="K3758" t="s">
        <v>181</v>
      </c>
      <c r="L3758" t="s">
        <v>3340</v>
      </c>
      <c r="M3758">
        <v>45</v>
      </c>
      <c r="N3758">
        <v>1.1599999999999999</v>
      </c>
      <c r="O3758" t="s">
        <v>211</v>
      </c>
      <c r="P3758">
        <v>64</v>
      </c>
      <c r="R3758" t="s">
        <v>3377</v>
      </c>
      <c r="S3758" t="s">
        <v>4751</v>
      </c>
      <c r="T3758" t="s">
        <v>3337</v>
      </c>
      <c r="V3758" t="s">
        <v>183</v>
      </c>
    </row>
    <row r="3759" spans="1:22" x14ac:dyDescent="0.15">
      <c r="A3759">
        <v>32</v>
      </c>
      <c r="B3759">
        <v>2026</v>
      </c>
      <c r="C3759" s="55">
        <v>46242</v>
      </c>
      <c r="D3759" t="s">
        <v>153</v>
      </c>
      <c r="E3759" t="s">
        <v>154</v>
      </c>
      <c r="F3759" t="s">
        <v>21</v>
      </c>
      <c r="G3759">
        <v>8</v>
      </c>
      <c r="H3759" t="s">
        <v>3519</v>
      </c>
      <c r="I3759" t="s">
        <v>214</v>
      </c>
      <c r="J3759" s="1" t="s">
        <v>215</v>
      </c>
      <c r="K3759" t="s">
        <v>181</v>
      </c>
      <c r="L3759" t="s">
        <v>3340</v>
      </c>
      <c r="M3759">
        <v>58</v>
      </c>
      <c r="N3759">
        <v>1.1599999999999999</v>
      </c>
      <c r="O3759" t="s">
        <v>211</v>
      </c>
      <c r="P3759">
        <v>64</v>
      </c>
      <c r="R3759" t="s">
        <v>3343</v>
      </c>
      <c r="T3759" t="s">
        <v>3337</v>
      </c>
      <c r="V3759" t="s">
        <v>183</v>
      </c>
    </row>
    <row r="3760" spans="1:22" x14ac:dyDescent="0.15">
      <c r="A3760">
        <v>32</v>
      </c>
      <c r="B3760">
        <v>2026</v>
      </c>
      <c r="C3760" s="55">
        <v>46242</v>
      </c>
      <c r="D3760" t="s">
        <v>153</v>
      </c>
      <c r="E3760" t="s">
        <v>154</v>
      </c>
      <c r="F3760" t="s">
        <v>21</v>
      </c>
      <c r="G3760">
        <v>8</v>
      </c>
      <c r="H3760" t="s">
        <v>3519</v>
      </c>
      <c r="I3760" t="s">
        <v>214</v>
      </c>
      <c r="J3760" s="1" t="s">
        <v>215</v>
      </c>
      <c r="K3760" t="s">
        <v>181</v>
      </c>
      <c r="L3760" t="s">
        <v>3340</v>
      </c>
      <c r="M3760">
        <v>53</v>
      </c>
      <c r="N3760">
        <v>1.1599999999999999</v>
      </c>
      <c r="O3760" t="s">
        <v>211</v>
      </c>
      <c r="P3760">
        <v>64</v>
      </c>
      <c r="R3760" t="s">
        <v>3373</v>
      </c>
      <c r="T3760" t="s">
        <v>3337</v>
      </c>
      <c r="V3760" t="s">
        <v>183</v>
      </c>
    </row>
    <row r="3761" spans="1:22" x14ac:dyDescent="0.15">
      <c r="A3761">
        <v>32</v>
      </c>
      <c r="B3761">
        <v>2026</v>
      </c>
      <c r="C3761" s="55">
        <v>46242</v>
      </c>
      <c r="D3761" t="s">
        <v>153</v>
      </c>
      <c r="E3761" t="s">
        <v>154</v>
      </c>
      <c r="F3761" t="s">
        <v>21</v>
      </c>
      <c r="G3761">
        <v>8</v>
      </c>
      <c r="H3761" t="s">
        <v>3519</v>
      </c>
      <c r="I3761" t="s">
        <v>214</v>
      </c>
      <c r="J3761" s="1" t="s">
        <v>215</v>
      </c>
      <c r="K3761" t="s">
        <v>181</v>
      </c>
      <c r="L3761" t="s">
        <v>3340</v>
      </c>
      <c r="M3761">
        <v>62</v>
      </c>
      <c r="N3761">
        <v>1.1599999999999999</v>
      </c>
      <c r="O3761" t="s">
        <v>211</v>
      </c>
      <c r="P3761">
        <v>64</v>
      </c>
      <c r="R3761" t="s">
        <v>3375</v>
      </c>
      <c r="T3761" t="s">
        <v>3337</v>
      </c>
      <c r="V3761" t="s">
        <v>183</v>
      </c>
    </row>
    <row r="3762" spans="1:22" x14ac:dyDescent="0.15">
      <c r="A3762">
        <v>32</v>
      </c>
      <c r="B3762">
        <v>2026</v>
      </c>
      <c r="C3762" s="55">
        <v>46242</v>
      </c>
      <c r="D3762" t="s">
        <v>153</v>
      </c>
      <c r="E3762" t="s">
        <v>154</v>
      </c>
      <c r="F3762" t="s">
        <v>21</v>
      </c>
      <c r="G3762">
        <v>8</v>
      </c>
      <c r="H3762" t="s">
        <v>3519</v>
      </c>
      <c r="I3762" t="s">
        <v>214</v>
      </c>
      <c r="J3762" s="1" t="s">
        <v>215</v>
      </c>
      <c r="K3762" t="s">
        <v>181</v>
      </c>
      <c r="L3762" t="s">
        <v>3340</v>
      </c>
      <c r="M3762">
        <v>81</v>
      </c>
      <c r="N3762">
        <v>1.1599999999999999</v>
      </c>
      <c r="O3762" t="s">
        <v>211</v>
      </c>
      <c r="P3762">
        <v>64</v>
      </c>
      <c r="R3762" t="s">
        <v>3374</v>
      </c>
      <c r="T3762" t="s">
        <v>3337</v>
      </c>
      <c r="V3762" t="s">
        <v>183</v>
      </c>
    </row>
    <row r="3763" spans="1:22" x14ac:dyDescent="0.15">
      <c r="A3763">
        <v>32</v>
      </c>
      <c r="B3763">
        <v>2026</v>
      </c>
      <c r="C3763" s="55">
        <v>46242</v>
      </c>
      <c r="D3763" t="s">
        <v>122</v>
      </c>
      <c r="E3763" t="s">
        <v>123</v>
      </c>
      <c r="F3763" t="s">
        <v>75</v>
      </c>
      <c r="G3763">
        <v>4.5</v>
      </c>
      <c r="H3763" t="s">
        <v>3466</v>
      </c>
      <c r="I3763" t="s">
        <v>3467</v>
      </c>
      <c r="J3763" s="1" t="s">
        <v>3468</v>
      </c>
      <c r="K3763" t="s">
        <v>181</v>
      </c>
      <c r="L3763" t="s">
        <v>3340</v>
      </c>
      <c r="M3763">
        <v>25</v>
      </c>
      <c r="N3763">
        <v>1</v>
      </c>
      <c r="O3763" t="s">
        <v>211</v>
      </c>
      <c r="P3763">
        <v>55</v>
      </c>
      <c r="R3763" t="s">
        <v>3413</v>
      </c>
      <c r="T3763" t="s">
        <v>3337</v>
      </c>
      <c r="V3763" t="s">
        <v>365</v>
      </c>
    </row>
    <row r="3764" spans="1:22" x14ac:dyDescent="0.15">
      <c r="A3764">
        <v>32</v>
      </c>
      <c r="B3764">
        <v>2026</v>
      </c>
      <c r="C3764" s="55">
        <v>46242</v>
      </c>
      <c r="D3764" t="s">
        <v>122</v>
      </c>
      <c r="E3764" t="s">
        <v>123</v>
      </c>
      <c r="F3764" t="s">
        <v>75</v>
      </c>
      <c r="G3764">
        <v>4.5</v>
      </c>
      <c r="H3764" t="s">
        <v>3466</v>
      </c>
      <c r="I3764" t="s">
        <v>3467</v>
      </c>
      <c r="J3764" s="1" t="s">
        <v>3468</v>
      </c>
      <c r="K3764" t="s">
        <v>181</v>
      </c>
      <c r="L3764" t="s">
        <v>3333</v>
      </c>
      <c r="M3764">
        <v>2</v>
      </c>
      <c r="N3764">
        <v>0.75</v>
      </c>
      <c r="O3764" t="s">
        <v>3440</v>
      </c>
      <c r="P3764">
        <v>67.87</v>
      </c>
      <c r="Q3764">
        <v>6</v>
      </c>
      <c r="R3764" t="s">
        <v>3424</v>
      </c>
      <c r="T3764" t="s">
        <v>3337</v>
      </c>
      <c r="V3764" t="s">
        <v>4341</v>
      </c>
    </row>
    <row r="3765" spans="1:22" x14ac:dyDescent="0.15">
      <c r="A3765">
        <v>32</v>
      </c>
      <c r="B3765">
        <v>2026</v>
      </c>
      <c r="C3765" s="55">
        <v>46242</v>
      </c>
      <c r="D3765" t="s">
        <v>122</v>
      </c>
      <c r="E3765" t="s">
        <v>123</v>
      </c>
      <c r="F3765" t="s">
        <v>75</v>
      </c>
      <c r="G3765">
        <v>4.5</v>
      </c>
      <c r="H3765" t="s">
        <v>3466</v>
      </c>
      <c r="I3765" t="s">
        <v>3467</v>
      </c>
      <c r="J3765" s="1" t="s">
        <v>3468</v>
      </c>
      <c r="K3765" t="s">
        <v>181</v>
      </c>
      <c r="L3765" t="s">
        <v>3340</v>
      </c>
      <c r="M3765">
        <v>176</v>
      </c>
      <c r="N3765">
        <v>8</v>
      </c>
      <c r="O3765" t="s">
        <v>211</v>
      </c>
      <c r="P3765">
        <v>440</v>
      </c>
      <c r="R3765" t="s">
        <v>4361</v>
      </c>
      <c r="S3765" t="s">
        <v>4517</v>
      </c>
      <c r="T3765" t="s">
        <v>3337</v>
      </c>
      <c r="V3765" t="s">
        <v>4363</v>
      </c>
    </row>
    <row r="3766" spans="1:22" x14ac:dyDescent="0.15">
      <c r="A3766">
        <v>32</v>
      </c>
      <c r="B3766">
        <v>2026</v>
      </c>
      <c r="C3766" s="55">
        <v>46242</v>
      </c>
      <c r="D3766" t="s">
        <v>143</v>
      </c>
      <c r="E3766" t="s">
        <v>144</v>
      </c>
      <c r="F3766" t="s">
        <v>21</v>
      </c>
      <c r="G3766">
        <v>1.8</v>
      </c>
      <c r="H3766" t="s">
        <v>3400</v>
      </c>
      <c r="I3766" t="s">
        <v>353</v>
      </c>
      <c r="J3766" s="1" t="s">
        <v>253</v>
      </c>
      <c r="K3766" t="s">
        <v>181</v>
      </c>
      <c r="L3766" t="s">
        <v>3333</v>
      </c>
      <c r="M3766">
        <v>2</v>
      </c>
      <c r="N3766">
        <v>0.25</v>
      </c>
      <c r="O3766" t="s">
        <v>3440</v>
      </c>
      <c r="P3766">
        <v>22.62</v>
      </c>
      <c r="Q3766">
        <v>2</v>
      </c>
      <c r="R3766" t="s">
        <v>3424</v>
      </c>
      <c r="T3766" t="s">
        <v>3337</v>
      </c>
      <c r="V3766" t="s">
        <v>4258</v>
      </c>
    </row>
    <row r="3767" spans="1:22" x14ac:dyDescent="0.15">
      <c r="A3767">
        <v>32</v>
      </c>
      <c r="B3767">
        <v>2026</v>
      </c>
      <c r="C3767" s="55">
        <v>46242</v>
      </c>
      <c r="D3767" t="s">
        <v>53</v>
      </c>
      <c r="E3767" t="s">
        <v>54</v>
      </c>
      <c r="F3767" t="s">
        <v>21</v>
      </c>
      <c r="G3767">
        <v>2</v>
      </c>
      <c r="H3767" t="s">
        <v>3454</v>
      </c>
      <c r="I3767" t="s">
        <v>212</v>
      </c>
      <c r="J3767" s="1" t="s">
        <v>188</v>
      </c>
      <c r="K3767" t="s">
        <v>181</v>
      </c>
      <c r="L3767" t="s">
        <v>3333</v>
      </c>
      <c r="M3767">
        <v>1</v>
      </c>
      <c r="N3767">
        <v>1</v>
      </c>
      <c r="O3767" t="s">
        <v>3358</v>
      </c>
      <c r="P3767">
        <v>71.86</v>
      </c>
      <c r="Q3767">
        <v>8</v>
      </c>
      <c r="R3767" t="s">
        <v>3359</v>
      </c>
      <c r="T3767" t="s">
        <v>3337</v>
      </c>
      <c r="U3767">
        <v>156</v>
      </c>
      <c r="V3767" t="s">
        <v>3452</v>
      </c>
    </row>
    <row r="3768" spans="1:22" x14ac:dyDescent="0.15">
      <c r="A3768">
        <v>32</v>
      </c>
      <c r="B3768">
        <v>2026</v>
      </c>
      <c r="C3768" s="55">
        <v>46242</v>
      </c>
      <c r="D3768" t="s">
        <v>153</v>
      </c>
      <c r="E3768" t="s">
        <v>154</v>
      </c>
      <c r="F3768" t="s">
        <v>21</v>
      </c>
      <c r="G3768">
        <v>8</v>
      </c>
      <c r="H3768" t="s">
        <v>3346</v>
      </c>
      <c r="I3768" t="s">
        <v>212</v>
      </c>
      <c r="J3768" s="1" t="s">
        <v>188</v>
      </c>
      <c r="K3768" t="s">
        <v>181</v>
      </c>
      <c r="L3768" t="s">
        <v>3340</v>
      </c>
      <c r="M3768">
        <v>6</v>
      </c>
      <c r="N3768">
        <v>1.31</v>
      </c>
      <c r="O3768" t="s">
        <v>211</v>
      </c>
      <c r="P3768">
        <v>72</v>
      </c>
      <c r="Q3768">
        <v>8</v>
      </c>
      <c r="R3768" t="s">
        <v>3335</v>
      </c>
      <c r="T3768" t="s">
        <v>3337</v>
      </c>
      <c r="V3768" t="s">
        <v>3473</v>
      </c>
    </row>
    <row r="3769" spans="1:22" x14ac:dyDescent="0.15">
      <c r="A3769">
        <v>32</v>
      </c>
      <c r="B3769">
        <v>2026</v>
      </c>
      <c r="C3769" s="55">
        <v>46242</v>
      </c>
      <c r="D3769" t="s">
        <v>153</v>
      </c>
      <c r="E3769" t="s">
        <v>154</v>
      </c>
      <c r="F3769" t="s">
        <v>21</v>
      </c>
      <c r="G3769">
        <v>8</v>
      </c>
      <c r="H3769" t="s">
        <v>3852</v>
      </c>
      <c r="I3769" t="s">
        <v>3467</v>
      </c>
      <c r="J3769" s="1" t="s">
        <v>3468</v>
      </c>
      <c r="K3769" t="s">
        <v>181</v>
      </c>
      <c r="L3769" t="s">
        <v>3333</v>
      </c>
      <c r="M3769">
        <v>67</v>
      </c>
      <c r="N3769">
        <v>0.56000000000000005</v>
      </c>
      <c r="O3769" t="s">
        <v>3334</v>
      </c>
      <c r="P3769">
        <v>45.89</v>
      </c>
      <c r="Q3769">
        <v>4.5</v>
      </c>
      <c r="R3769" t="s">
        <v>3404</v>
      </c>
      <c r="T3769" t="s">
        <v>3402</v>
      </c>
      <c r="V3769" t="s">
        <v>3681</v>
      </c>
    </row>
    <row r="3770" spans="1:22" x14ac:dyDescent="0.15">
      <c r="A3770">
        <v>32</v>
      </c>
      <c r="B3770">
        <v>2026</v>
      </c>
      <c r="C3770" s="55">
        <v>46242</v>
      </c>
      <c r="D3770" t="s">
        <v>153</v>
      </c>
      <c r="E3770" t="s">
        <v>154</v>
      </c>
      <c r="F3770" t="s">
        <v>21</v>
      </c>
      <c r="G3770">
        <v>8</v>
      </c>
      <c r="H3770" t="s">
        <v>3852</v>
      </c>
      <c r="I3770" t="s">
        <v>3467</v>
      </c>
      <c r="J3770" s="1" t="s">
        <v>3468</v>
      </c>
      <c r="K3770" t="s">
        <v>181</v>
      </c>
      <c r="L3770" t="s">
        <v>3333</v>
      </c>
      <c r="M3770">
        <v>19</v>
      </c>
      <c r="N3770">
        <v>0.56000000000000005</v>
      </c>
      <c r="O3770" t="s">
        <v>3334</v>
      </c>
      <c r="P3770">
        <v>45.89</v>
      </c>
      <c r="Q3770">
        <v>4.5</v>
      </c>
      <c r="R3770" t="s">
        <v>3403</v>
      </c>
      <c r="T3770" t="s">
        <v>3402</v>
      </c>
      <c r="V3770" t="s">
        <v>3681</v>
      </c>
    </row>
    <row r="3771" spans="1:22" x14ac:dyDescent="0.15">
      <c r="A3771">
        <v>32</v>
      </c>
      <c r="B3771">
        <v>2026</v>
      </c>
      <c r="C3771" s="55">
        <v>46242</v>
      </c>
      <c r="D3771" t="s">
        <v>153</v>
      </c>
      <c r="E3771" t="s">
        <v>154</v>
      </c>
      <c r="F3771" t="s">
        <v>21</v>
      </c>
      <c r="G3771">
        <v>8</v>
      </c>
      <c r="H3771" t="s">
        <v>3852</v>
      </c>
      <c r="I3771" t="s">
        <v>3467</v>
      </c>
      <c r="J3771" s="1" t="s">
        <v>3468</v>
      </c>
      <c r="K3771" t="s">
        <v>181</v>
      </c>
      <c r="L3771" t="s">
        <v>3333</v>
      </c>
      <c r="M3771">
        <v>78</v>
      </c>
      <c r="N3771">
        <v>0.56000000000000005</v>
      </c>
      <c r="O3771" t="s">
        <v>3334</v>
      </c>
      <c r="P3771">
        <v>45.89</v>
      </c>
      <c r="Q3771">
        <v>4.5</v>
      </c>
      <c r="R3771" t="s">
        <v>3341</v>
      </c>
      <c r="T3771" t="s">
        <v>3402</v>
      </c>
      <c r="V3771" t="s">
        <v>3681</v>
      </c>
    </row>
    <row r="3772" spans="1:22" x14ac:dyDescent="0.15">
      <c r="A3772">
        <v>32</v>
      </c>
      <c r="B3772">
        <v>2026</v>
      </c>
      <c r="C3772" s="55">
        <v>46242</v>
      </c>
      <c r="D3772" t="s">
        <v>3749</v>
      </c>
      <c r="E3772" t="s">
        <v>676</v>
      </c>
      <c r="F3772" t="s">
        <v>676</v>
      </c>
      <c r="G3772">
        <v>1</v>
      </c>
      <c r="H3772" t="s">
        <v>3750</v>
      </c>
      <c r="I3772" t="s">
        <v>3751</v>
      </c>
      <c r="J3772" s="1" t="s">
        <v>676</v>
      </c>
      <c r="K3772" t="s">
        <v>181</v>
      </c>
      <c r="L3772" t="s">
        <v>3333</v>
      </c>
      <c r="M3772">
        <v>67</v>
      </c>
      <c r="N3772">
        <v>0.44</v>
      </c>
      <c r="O3772" t="s">
        <v>3334</v>
      </c>
      <c r="P3772">
        <v>35.69</v>
      </c>
      <c r="Q3772">
        <v>3.5</v>
      </c>
      <c r="R3772" t="s">
        <v>3404</v>
      </c>
      <c r="S3772" t="s">
        <v>4752</v>
      </c>
      <c r="T3772" t="s">
        <v>3402</v>
      </c>
      <c r="U3772">
        <v>219</v>
      </c>
      <c r="V3772" t="s">
        <v>3469</v>
      </c>
    </row>
    <row r="3773" spans="1:22" x14ac:dyDescent="0.15">
      <c r="A3773">
        <v>32</v>
      </c>
      <c r="B3773">
        <v>2026</v>
      </c>
      <c r="C3773" s="55">
        <v>46242</v>
      </c>
      <c r="D3773" t="s">
        <v>3749</v>
      </c>
      <c r="E3773" t="s">
        <v>676</v>
      </c>
      <c r="F3773" t="s">
        <v>676</v>
      </c>
      <c r="G3773">
        <v>1</v>
      </c>
      <c r="H3773" t="s">
        <v>3750</v>
      </c>
      <c r="I3773" t="s">
        <v>3751</v>
      </c>
      <c r="J3773" s="1" t="s">
        <v>676</v>
      </c>
      <c r="K3773" t="s">
        <v>181</v>
      </c>
      <c r="L3773" t="s">
        <v>3333</v>
      </c>
      <c r="M3773">
        <v>19</v>
      </c>
      <c r="N3773">
        <v>0.44</v>
      </c>
      <c r="O3773" t="s">
        <v>3334</v>
      </c>
      <c r="P3773">
        <v>35.69</v>
      </c>
      <c r="Q3773">
        <v>3.5</v>
      </c>
      <c r="R3773" t="s">
        <v>3403</v>
      </c>
      <c r="S3773" t="s">
        <v>4753</v>
      </c>
      <c r="T3773" t="s">
        <v>3402</v>
      </c>
      <c r="U3773">
        <v>219</v>
      </c>
      <c r="V3773" t="s">
        <v>3469</v>
      </c>
    </row>
    <row r="3774" spans="1:22" x14ac:dyDescent="0.15">
      <c r="A3774">
        <v>32</v>
      </c>
      <c r="B3774">
        <v>2026</v>
      </c>
      <c r="C3774" s="55">
        <v>46242</v>
      </c>
      <c r="D3774" t="s">
        <v>3749</v>
      </c>
      <c r="E3774" t="s">
        <v>676</v>
      </c>
      <c r="F3774" t="s">
        <v>676</v>
      </c>
      <c r="G3774">
        <v>1</v>
      </c>
      <c r="H3774" t="s">
        <v>3750</v>
      </c>
      <c r="I3774" t="s">
        <v>3751</v>
      </c>
      <c r="J3774" s="1" t="s">
        <v>676</v>
      </c>
      <c r="K3774" t="s">
        <v>181</v>
      </c>
      <c r="L3774" t="s">
        <v>3333</v>
      </c>
      <c r="M3774">
        <v>78</v>
      </c>
      <c r="N3774">
        <v>0.44</v>
      </c>
      <c r="O3774" t="s">
        <v>3334</v>
      </c>
      <c r="P3774">
        <v>35.69</v>
      </c>
      <c r="Q3774">
        <v>3.5</v>
      </c>
      <c r="R3774" t="s">
        <v>3341</v>
      </c>
      <c r="T3774" t="s">
        <v>3402</v>
      </c>
      <c r="U3774">
        <v>219</v>
      </c>
      <c r="V3774" t="s">
        <v>3469</v>
      </c>
    </row>
    <row r="3775" spans="1:22" x14ac:dyDescent="0.15">
      <c r="A3775">
        <v>32</v>
      </c>
      <c r="B3775">
        <v>2026</v>
      </c>
      <c r="C3775" s="55">
        <v>46242</v>
      </c>
      <c r="D3775" t="s">
        <v>3749</v>
      </c>
      <c r="E3775" t="s">
        <v>676</v>
      </c>
      <c r="F3775" t="s">
        <v>676</v>
      </c>
      <c r="G3775">
        <v>1</v>
      </c>
      <c r="H3775" t="s">
        <v>3750</v>
      </c>
      <c r="I3775" t="s">
        <v>3751</v>
      </c>
      <c r="J3775" s="1" t="s">
        <v>676</v>
      </c>
      <c r="K3775" t="s">
        <v>181</v>
      </c>
      <c r="L3775" t="s">
        <v>3340</v>
      </c>
      <c r="M3775">
        <v>79</v>
      </c>
      <c r="N3775">
        <v>1.06</v>
      </c>
      <c r="O3775" t="s">
        <v>211</v>
      </c>
      <c r="P3775">
        <v>58.4</v>
      </c>
      <c r="R3775" t="s">
        <v>3401</v>
      </c>
      <c r="T3775" t="s">
        <v>3402</v>
      </c>
      <c r="U3775">
        <v>219</v>
      </c>
      <c r="V3775" t="s">
        <v>4754</v>
      </c>
    </row>
    <row r="3776" spans="1:22" x14ac:dyDescent="0.15">
      <c r="A3776">
        <v>32</v>
      </c>
      <c r="B3776">
        <v>2026</v>
      </c>
      <c r="C3776" s="55">
        <v>46242</v>
      </c>
      <c r="D3776" t="s">
        <v>3749</v>
      </c>
      <c r="E3776" t="s">
        <v>676</v>
      </c>
      <c r="F3776" t="s">
        <v>676</v>
      </c>
      <c r="G3776">
        <v>1</v>
      </c>
      <c r="H3776" t="s">
        <v>3750</v>
      </c>
      <c r="I3776" t="s">
        <v>3751</v>
      </c>
      <c r="J3776" s="1" t="s">
        <v>676</v>
      </c>
      <c r="K3776" t="s">
        <v>181</v>
      </c>
      <c r="L3776" t="s">
        <v>3340</v>
      </c>
      <c r="M3776">
        <v>67</v>
      </c>
      <c r="N3776">
        <v>0.47</v>
      </c>
      <c r="O3776" t="s">
        <v>211</v>
      </c>
      <c r="P3776">
        <v>25.7</v>
      </c>
      <c r="R3776" t="s">
        <v>3404</v>
      </c>
      <c r="T3776" t="s">
        <v>3402</v>
      </c>
      <c r="U3776">
        <v>219</v>
      </c>
      <c r="V3776" t="s">
        <v>3726</v>
      </c>
    </row>
    <row r="3777" spans="1:22" x14ac:dyDescent="0.15">
      <c r="A3777">
        <v>32</v>
      </c>
      <c r="B3777">
        <v>2026</v>
      </c>
      <c r="C3777" s="55">
        <v>46242</v>
      </c>
      <c r="D3777" t="s">
        <v>3749</v>
      </c>
      <c r="E3777" t="s">
        <v>676</v>
      </c>
      <c r="F3777" t="s">
        <v>676</v>
      </c>
      <c r="G3777">
        <v>1</v>
      </c>
      <c r="H3777" t="s">
        <v>3750</v>
      </c>
      <c r="I3777" t="s">
        <v>3751</v>
      </c>
      <c r="J3777" s="1" t="s">
        <v>676</v>
      </c>
      <c r="K3777" t="s">
        <v>181</v>
      </c>
      <c r="L3777" t="s">
        <v>3340</v>
      </c>
      <c r="M3777">
        <v>19</v>
      </c>
      <c r="N3777">
        <v>0.41</v>
      </c>
      <c r="O3777" t="s">
        <v>211</v>
      </c>
      <c r="P3777">
        <v>22.7</v>
      </c>
      <c r="R3777" t="s">
        <v>3403</v>
      </c>
      <c r="T3777" t="s">
        <v>3402</v>
      </c>
      <c r="U3777">
        <v>219</v>
      </c>
      <c r="V3777" t="s">
        <v>4755</v>
      </c>
    </row>
    <row r="3778" spans="1:22" x14ac:dyDescent="0.15">
      <c r="A3778">
        <v>32</v>
      </c>
      <c r="B3778">
        <v>2026</v>
      </c>
      <c r="C3778" s="55">
        <v>46242</v>
      </c>
      <c r="D3778" t="s">
        <v>3749</v>
      </c>
      <c r="E3778" t="s">
        <v>676</v>
      </c>
      <c r="F3778" t="s">
        <v>676</v>
      </c>
      <c r="G3778">
        <v>1</v>
      </c>
      <c r="H3778" t="s">
        <v>3750</v>
      </c>
      <c r="I3778" t="s">
        <v>3751</v>
      </c>
      <c r="J3778" s="1" t="s">
        <v>676</v>
      </c>
      <c r="K3778" t="s">
        <v>181</v>
      </c>
      <c r="L3778" t="s">
        <v>3340</v>
      </c>
      <c r="M3778">
        <v>78</v>
      </c>
      <c r="N3778">
        <v>0.41</v>
      </c>
      <c r="O3778" t="s">
        <v>211</v>
      </c>
      <c r="P3778">
        <v>22.7</v>
      </c>
      <c r="R3778" t="s">
        <v>3341</v>
      </c>
      <c r="T3778" t="s">
        <v>3402</v>
      </c>
      <c r="U3778">
        <v>219</v>
      </c>
      <c r="V3778" t="s">
        <v>4755</v>
      </c>
    </row>
    <row r="3779" spans="1:22" x14ac:dyDescent="0.15">
      <c r="A3779">
        <v>32</v>
      </c>
      <c r="B3779">
        <v>2026</v>
      </c>
      <c r="C3779" s="55">
        <v>46242</v>
      </c>
      <c r="D3779" t="s">
        <v>84</v>
      </c>
      <c r="E3779" t="s">
        <v>85</v>
      </c>
      <c r="F3779" t="s">
        <v>21</v>
      </c>
      <c r="G3779">
        <v>2</v>
      </c>
      <c r="H3779" t="s">
        <v>3803</v>
      </c>
      <c r="I3779" t="s">
        <v>3676</v>
      </c>
      <c r="J3779" s="1" t="s">
        <v>3533</v>
      </c>
      <c r="K3779" t="s">
        <v>181</v>
      </c>
      <c r="L3779" t="s">
        <v>3333</v>
      </c>
      <c r="M3779">
        <v>4</v>
      </c>
      <c r="N3779">
        <v>1</v>
      </c>
      <c r="O3779" t="s">
        <v>3334</v>
      </c>
      <c r="P3779">
        <v>81.58</v>
      </c>
      <c r="Q3779">
        <v>8</v>
      </c>
      <c r="R3779" t="s">
        <v>3773</v>
      </c>
      <c r="T3779" t="s">
        <v>3402</v>
      </c>
      <c r="U3779">
        <v>110</v>
      </c>
      <c r="V3779" t="s">
        <v>3456</v>
      </c>
    </row>
    <row r="3780" spans="1:22" x14ac:dyDescent="0.15">
      <c r="A3780">
        <v>32</v>
      </c>
      <c r="B3780">
        <v>2026</v>
      </c>
      <c r="C3780" s="55">
        <v>46242</v>
      </c>
      <c r="D3780" t="s">
        <v>84</v>
      </c>
      <c r="E3780" t="s">
        <v>85</v>
      </c>
      <c r="F3780" t="s">
        <v>21</v>
      </c>
      <c r="G3780">
        <v>2</v>
      </c>
      <c r="H3780" t="s">
        <v>3803</v>
      </c>
      <c r="I3780" t="s">
        <v>3676</v>
      </c>
      <c r="J3780" s="1" t="s">
        <v>3533</v>
      </c>
      <c r="K3780" t="s">
        <v>181</v>
      </c>
      <c r="L3780" t="s">
        <v>3340</v>
      </c>
      <c r="M3780">
        <v>86</v>
      </c>
      <c r="N3780">
        <v>0.82</v>
      </c>
      <c r="O3780" t="s">
        <v>211</v>
      </c>
      <c r="P3780">
        <v>45</v>
      </c>
      <c r="Q3780">
        <v>5</v>
      </c>
      <c r="R3780" t="s">
        <v>3386</v>
      </c>
      <c r="T3780" t="s">
        <v>3402</v>
      </c>
      <c r="U3780">
        <v>110</v>
      </c>
      <c r="V3780" t="s">
        <v>3523</v>
      </c>
    </row>
    <row r="3781" spans="1:22" x14ac:dyDescent="0.15">
      <c r="A3781">
        <v>32</v>
      </c>
      <c r="B3781">
        <v>2026</v>
      </c>
      <c r="C3781" s="55">
        <v>46242</v>
      </c>
      <c r="D3781" t="s">
        <v>3749</v>
      </c>
      <c r="E3781" t="s">
        <v>676</v>
      </c>
      <c r="F3781" t="s">
        <v>676</v>
      </c>
      <c r="G3781">
        <v>1</v>
      </c>
      <c r="H3781" t="s">
        <v>4438</v>
      </c>
      <c r="I3781" t="s">
        <v>4439</v>
      </c>
      <c r="J3781" s="1" t="s">
        <v>4383</v>
      </c>
      <c r="K3781" t="s">
        <v>181</v>
      </c>
      <c r="L3781" t="s">
        <v>3333</v>
      </c>
      <c r="M3781">
        <v>86</v>
      </c>
      <c r="N3781">
        <v>1</v>
      </c>
      <c r="O3781" t="s">
        <v>3334</v>
      </c>
      <c r="P3781">
        <v>81.58</v>
      </c>
      <c r="Q3781">
        <v>8</v>
      </c>
      <c r="R3781" t="s">
        <v>3386</v>
      </c>
      <c r="T3781" t="s">
        <v>3402</v>
      </c>
      <c r="U3781">
        <v>219</v>
      </c>
      <c r="V3781" t="s">
        <v>3334</v>
      </c>
    </row>
    <row r="3782" spans="1:22" x14ac:dyDescent="0.15">
      <c r="A3782">
        <v>32</v>
      </c>
      <c r="B3782">
        <v>2026</v>
      </c>
      <c r="C3782" s="55">
        <v>46242</v>
      </c>
      <c r="D3782" t="s">
        <v>3749</v>
      </c>
      <c r="E3782" t="s">
        <v>676</v>
      </c>
      <c r="F3782" t="s">
        <v>676</v>
      </c>
      <c r="G3782">
        <v>1</v>
      </c>
      <c r="H3782" t="s">
        <v>4438</v>
      </c>
      <c r="I3782" t="s">
        <v>4439</v>
      </c>
      <c r="J3782" s="1" t="s">
        <v>4383</v>
      </c>
      <c r="K3782" t="s">
        <v>181</v>
      </c>
      <c r="L3782" t="s">
        <v>3340</v>
      </c>
      <c r="M3782">
        <v>67</v>
      </c>
      <c r="N3782">
        <v>0.91</v>
      </c>
      <c r="O3782" t="s">
        <v>211</v>
      </c>
      <c r="P3782">
        <v>50</v>
      </c>
      <c r="R3782" t="s">
        <v>3404</v>
      </c>
      <c r="S3782" t="s">
        <v>6273</v>
      </c>
      <c r="T3782" t="s">
        <v>3402</v>
      </c>
      <c r="U3782">
        <v>219</v>
      </c>
      <c r="V3782" t="s">
        <v>240</v>
      </c>
    </row>
    <row r="3783" spans="1:22" x14ac:dyDescent="0.15">
      <c r="A3783">
        <v>32</v>
      </c>
      <c r="B3783">
        <v>2026</v>
      </c>
      <c r="C3783" s="55">
        <v>46242</v>
      </c>
      <c r="D3783" t="s">
        <v>101</v>
      </c>
      <c r="E3783" t="s">
        <v>102</v>
      </c>
      <c r="F3783" t="s">
        <v>75</v>
      </c>
      <c r="G3783">
        <v>7.6</v>
      </c>
      <c r="H3783" t="s">
        <v>3397</v>
      </c>
      <c r="I3783" t="s">
        <v>3398</v>
      </c>
      <c r="J3783" s="1" t="s">
        <v>3389</v>
      </c>
      <c r="K3783" t="s">
        <v>181</v>
      </c>
      <c r="L3783" t="s">
        <v>3333</v>
      </c>
      <c r="M3783">
        <v>11</v>
      </c>
      <c r="N3783">
        <v>0.63</v>
      </c>
      <c r="O3783" t="s">
        <v>213</v>
      </c>
      <c r="P3783">
        <v>56.25</v>
      </c>
      <c r="Q3783">
        <v>5</v>
      </c>
      <c r="R3783" t="s">
        <v>3564</v>
      </c>
      <c r="T3783" t="s">
        <v>3402</v>
      </c>
      <c r="U3783">
        <v>102</v>
      </c>
      <c r="V3783" t="s">
        <v>4254</v>
      </c>
    </row>
    <row r="3784" spans="1:22" x14ac:dyDescent="0.15">
      <c r="A3784">
        <v>32</v>
      </c>
      <c r="B3784">
        <v>2026</v>
      </c>
      <c r="C3784" s="55">
        <v>46243</v>
      </c>
      <c r="D3784" t="s">
        <v>3749</v>
      </c>
      <c r="E3784" t="s">
        <v>676</v>
      </c>
      <c r="F3784" t="s">
        <v>676</v>
      </c>
      <c r="G3784">
        <v>1</v>
      </c>
      <c r="H3784" t="s">
        <v>3750</v>
      </c>
      <c r="I3784" t="s">
        <v>3751</v>
      </c>
      <c r="J3784" s="1" t="s">
        <v>676</v>
      </c>
      <c r="K3784" t="s">
        <v>181</v>
      </c>
      <c r="L3784" t="s">
        <v>3340</v>
      </c>
      <c r="M3784">
        <v>67</v>
      </c>
      <c r="N3784">
        <v>2.38</v>
      </c>
      <c r="O3784" t="s">
        <v>211</v>
      </c>
      <c r="P3784">
        <v>131.13</v>
      </c>
      <c r="Q3784">
        <v>3.5</v>
      </c>
      <c r="R3784" t="s">
        <v>3404</v>
      </c>
      <c r="S3784" t="s">
        <v>4756</v>
      </c>
      <c r="T3784" t="s">
        <v>3402</v>
      </c>
      <c r="U3784">
        <v>220</v>
      </c>
      <c r="V3784" t="s">
        <v>4757</v>
      </c>
    </row>
    <row r="3785" spans="1:22" x14ac:dyDescent="0.15">
      <c r="A3785">
        <v>32</v>
      </c>
      <c r="B3785">
        <v>2026</v>
      </c>
      <c r="C3785" s="55">
        <v>46243</v>
      </c>
      <c r="D3785" t="s">
        <v>3749</v>
      </c>
      <c r="E3785" t="s">
        <v>676</v>
      </c>
      <c r="F3785" t="s">
        <v>676</v>
      </c>
      <c r="G3785">
        <v>1</v>
      </c>
      <c r="H3785" t="s">
        <v>3750</v>
      </c>
      <c r="I3785" t="s">
        <v>3751</v>
      </c>
      <c r="J3785" s="1" t="s">
        <v>676</v>
      </c>
      <c r="K3785" t="s">
        <v>181</v>
      </c>
      <c r="L3785" t="s">
        <v>3340</v>
      </c>
      <c r="M3785">
        <v>19</v>
      </c>
      <c r="N3785">
        <v>1.1399999999999999</v>
      </c>
      <c r="O3785" t="s">
        <v>211</v>
      </c>
      <c r="P3785">
        <v>62.67</v>
      </c>
      <c r="Q3785">
        <v>3.5</v>
      </c>
      <c r="R3785" t="s">
        <v>3403</v>
      </c>
      <c r="S3785" t="s">
        <v>4758</v>
      </c>
      <c r="T3785" t="s">
        <v>3402</v>
      </c>
      <c r="U3785">
        <v>220</v>
      </c>
      <c r="V3785" t="s">
        <v>4759</v>
      </c>
    </row>
    <row r="3786" spans="1:22" x14ac:dyDescent="0.15">
      <c r="A3786">
        <v>32</v>
      </c>
      <c r="B3786">
        <v>2026</v>
      </c>
      <c r="C3786" s="55">
        <v>46243</v>
      </c>
      <c r="D3786" t="s">
        <v>3749</v>
      </c>
      <c r="E3786" t="s">
        <v>676</v>
      </c>
      <c r="F3786" t="s">
        <v>676</v>
      </c>
      <c r="G3786">
        <v>1</v>
      </c>
      <c r="H3786" t="s">
        <v>3750</v>
      </c>
      <c r="I3786" t="s">
        <v>3751</v>
      </c>
      <c r="J3786" s="1" t="s">
        <v>676</v>
      </c>
      <c r="K3786" t="s">
        <v>181</v>
      </c>
      <c r="L3786" t="s">
        <v>3340</v>
      </c>
      <c r="M3786">
        <v>78</v>
      </c>
      <c r="N3786">
        <v>1.1399999999999999</v>
      </c>
      <c r="O3786" t="s">
        <v>211</v>
      </c>
      <c r="P3786">
        <v>62.67</v>
      </c>
      <c r="Q3786">
        <v>3.5</v>
      </c>
      <c r="R3786" t="s">
        <v>3341</v>
      </c>
      <c r="T3786" t="s">
        <v>3402</v>
      </c>
      <c r="U3786">
        <v>220</v>
      </c>
      <c r="V3786" t="s">
        <v>4759</v>
      </c>
    </row>
    <row r="3787" spans="1:22" x14ac:dyDescent="0.15">
      <c r="A3787">
        <v>32</v>
      </c>
      <c r="B3787">
        <v>2026</v>
      </c>
      <c r="C3787" s="55">
        <v>46244</v>
      </c>
      <c r="D3787" t="s">
        <v>141</v>
      </c>
      <c r="E3787" t="s">
        <v>142</v>
      </c>
      <c r="F3787" t="s">
        <v>75</v>
      </c>
      <c r="G3787">
        <v>1</v>
      </c>
      <c r="H3787" t="s">
        <v>3519</v>
      </c>
      <c r="I3787" t="s">
        <v>214</v>
      </c>
      <c r="J3787" s="1" t="s">
        <v>215</v>
      </c>
      <c r="K3787" t="s">
        <v>181</v>
      </c>
      <c r="L3787" t="s">
        <v>3340</v>
      </c>
      <c r="M3787">
        <v>45</v>
      </c>
      <c r="N3787">
        <v>0.24</v>
      </c>
      <c r="O3787" t="s">
        <v>211</v>
      </c>
      <c r="P3787">
        <v>13.3</v>
      </c>
      <c r="R3787" t="s">
        <v>3377</v>
      </c>
      <c r="S3787" t="s">
        <v>4760</v>
      </c>
      <c r="T3787" t="s">
        <v>3337</v>
      </c>
      <c r="U3787">
        <v>48</v>
      </c>
      <c r="V3787" t="s">
        <v>358</v>
      </c>
    </row>
    <row r="3788" spans="1:22" x14ac:dyDescent="0.15">
      <c r="A3788">
        <v>32</v>
      </c>
      <c r="B3788">
        <v>2026</v>
      </c>
      <c r="C3788" s="55">
        <v>46244</v>
      </c>
      <c r="D3788" t="s">
        <v>141</v>
      </c>
      <c r="E3788" t="s">
        <v>142</v>
      </c>
      <c r="F3788" t="s">
        <v>75</v>
      </c>
      <c r="G3788">
        <v>1</v>
      </c>
      <c r="H3788" t="s">
        <v>3519</v>
      </c>
      <c r="I3788" t="s">
        <v>214</v>
      </c>
      <c r="J3788" s="1" t="s">
        <v>215</v>
      </c>
      <c r="K3788" t="s">
        <v>181</v>
      </c>
      <c r="L3788" t="s">
        <v>3340</v>
      </c>
      <c r="M3788">
        <v>53</v>
      </c>
      <c r="N3788">
        <v>0.24</v>
      </c>
      <c r="O3788" t="s">
        <v>211</v>
      </c>
      <c r="P3788">
        <v>13.3</v>
      </c>
      <c r="R3788" t="s">
        <v>3373</v>
      </c>
      <c r="T3788" t="s">
        <v>3337</v>
      </c>
      <c r="U3788">
        <v>48</v>
      </c>
      <c r="V3788" t="s">
        <v>358</v>
      </c>
    </row>
    <row r="3789" spans="1:22" x14ac:dyDescent="0.15">
      <c r="A3789">
        <v>32</v>
      </c>
      <c r="B3789">
        <v>2026</v>
      </c>
      <c r="C3789" s="55">
        <v>46244</v>
      </c>
      <c r="D3789" t="s">
        <v>141</v>
      </c>
      <c r="E3789" t="s">
        <v>142</v>
      </c>
      <c r="F3789" t="s">
        <v>75</v>
      </c>
      <c r="G3789">
        <v>1</v>
      </c>
      <c r="H3789" t="s">
        <v>3519</v>
      </c>
      <c r="I3789" t="s">
        <v>214</v>
      </c>
      <c r="J3789" s="1" t="s">
        <v>215</v>
      </c>
      <c r="K3789" t="s">
        <v>181</v>
      </c>
      <c r="L3789" t="s">
        <v>3340</v>
      </c>
      <c r="M3789">
        <v>62</v>
      </c>
      <c r="N3789">
        <v>0.24</v>
      </c>
      <c r="O3789" t="s">
        <v>211</v>
      </c>
      <c r="P3789">
        <v>13.3</v>
      </c>
      <c r="R3789" t="s">
        <v>3375</v>
      </c>
      <c r="T3789" t="s">
        <v>3337</v>
      </c>
      <c r="U3789">
        <v>48</v>
      </c>
      <c r="V3789" t="s">
        <v>358</v>
      </c>
    </row>
    <row r="3790" spans="1:22" x14ac:dyDescent="0.15">
      <c r="A3790">
        <v>32</v>
      </c>
      <c r="B3790">
        <v>2026</v>
      </c>
      <c r="C3790" s="55">
        <v>46244</v>
      </c>
      <c r="D3790" t="s">
        <v>139</v>
      </c>
      <c r="E3790" t="s">
        <v>140</v>
      </c>
      <c r="F3790" t="s">
        <v>75</v>
      </c>
      <c r="G3790">
        <v>0.8</v>
      </c>
      <c r="H3790" t="s">
        <v>3519</v>
      </c>
      <c r="I3790" t="s">
        <v>214</v>
      </c>
      <c r="J3790" s="1" t="s">
        <v>215</v>
      </c>
      <c r="K3790" t="s">
        <v>181</v>
      </c>
      <c r="L3790" t="s">
        <v>3340</v>
      </c>
      <c r="M3790">
        <v>45</v>
      </c>
      <c r="N3790">
        <v>0.24</v>
      </c>
      <c r="O3790" t="s">
        <v>211</v>
      </c>
      <c r="P3790">
        <v>13.3</v>
      </c>
      <c r="R3790" t="s">
        <v>3377</v>
      </c>
      <c r="S3790" t="s">
        <v>4760</v>
      </c>
      <c r="T3790" t="s">
        <v>3337</v>
      </c>
      <c r="U3790">
        <v>76</v>
      </c>
      <c r="V3790" t="s">
        <v>4761</v>
      </c>
    </row>
    <row r="3791" spans="1:22" x14ac:dyDescent="0.15">
      <c r="A3791">
        <v>32</v>
      </c>
      <c r="B3791">
        <v>2026</v>
      </c>
      <c r="C3791" s="55">
        <v>46244</v>
      </c>
      <c r="D3791" t="s">
        <v>139</v>
      </c>
      <c r="E3791" t="s">
        <v>140</v>
      </c>
      <c r="F3791" t="s">
        <v>75</v>
      </c>
      <c r="G3791">
        <v>0.8</v>
      </c>
      <c r="H3791" t="s">
        <v>3519</v>
      </c>
      <c r="I3791" t="s">
        <v>214</v>
      </c>
      <c r="J3791" s="1" t="s">
        <v>215</v>
      </c>
      <c r="K3791" t="s">
        <v>181</v>
      </c>
      <c r="L3791" t="s">
        <v>3340</v>
      </c>
      <c r="M3791">
        <v>53</v>
      </c>
      <c r="N3791">
        <v>0.24</v>
      </c>
      <c r="O3791" t="s">
        <v>211</v>
      </c>
      <c r="P3791">
        <v>13.3</v>
      </c>
      <c r="R3791" t="s">
        <v>3373</v>
      </c>
      <c r="T3791" t="s">
        <v>3337</v>
      </c>
      <c r="U3791">
        <v>76</v>
      </c>
      <c r="V3791" t="s">
        <v>4761</v>
      </c>
    </row>
    <row r="3792" spans="1:22" x14ac:dyDescent="0.15">
      <c r="A3792">
        <v>32</v>
      </c>
      <c r="B3792">
        <v>2026</v>
      </c>
      <c r="C3792" s="55">
        <v>46244</v>
      </c>
      <c r="D3792" t="s">
        <v>139</v>
      </c>
      <c r="E3792" t="s">
        <v>140</v>
      </c>
      <c r="F3792" t="s">
        <v>75</v>
      </c>
      <c r="G3792">
        <v>0.8</v>
      </c>
      <c r="H3792" t="s">
        <v>3519</v>
      </c>
      <c r="I3792" t="s">
        <v>214</v>
      </c>
      <c r="J3792" s="1" t="s">
        <v>215</v>
      </c>
      <c r="K3792" t="s">
        <v>181</v>
      </c>
      <c r="L3792" t="s">
        <v>3340</v>
      </c>
      <c r="M3792">
        <v>62</v>
      </c>
      <c r="N3792">
        <v>0.24</v>
      </c>
      <c r="O3792" t="s">
        <v>211</v>
      </c>
      <c r="P3792">
        <v>13.3</v>
      </c>
      <c r="R3792" t="s">
        <v>3375</v>
      </c>
      <c r="T3792" t="s">
        <v>3337</v>
      </c>
      <c r="U3792">
        <v>76</v>
      </c>
      <c r="V3792" t="s">
        <v>4761</v>
      </c>
    </row>
    <row r="3793" spans="1:22" x14ac:dyDescent="0.15">
      <c r="A3793">
        <v>32</v>
      </c>
      <c r="B3793">
        <v>2026</v>
      </c>
      <c r="C3793" s="55">
        <v>46244</v>
      </c>
      <c r="D3793" t="s">
        <v>19</v>
      </c>
      <c r="E3793" t="s">
        <v>20</v>
      </c>
      <c r="F3793" t="s">
        <v>21</v>
      </c>
      <c r="G3793">
        <v>3.8</v>
      </c>
      <c r="H3793" t="s">
        <v>4121</v>
      </c>
      <c r="I3793" t="s">
        <v>4540</v>
      </c>
      <c r="J3793" s="1" t="s">
        <v>307</v>
      </c>
      <c r="K3793" t="s">
        <v>181</v>
      </c>
      <c r="L3793" t="s">
        <v>3340</v>
      </c>
      <c r="M3793">
        <v>45</v>
      </c>
      <c r="N3793">
        <v>0.74</v>
      </c>
      <c r="O3793" t="s">
        <v>211</v>
      </c>
      <c r="P3793">
        <v>40.5</v>
      </c>
      <c r="Q3793">
        <v>4.5</v>
      </c>
      <c r="R3793" t="s">
        <v>3377</v>
      </c>
      <c r="S3793" t="s">
        <v>4762</v>
      </c>
      <c r="T3793" t="s">
        <v>3337</v>
      </c>
      <c r="U3793">
        <v>244</v>
      </c>
      <c r="V3793" t="s">
        <v>3433</v>
      </c>
    </row>
    <row r="3794" spans="1:22" x14ac:dyDescent="0.15">
      <c r="A3794">
        <v>32</v>
      </c>
      <c r="B3794">
        <v>2026</v>
      </c>
      <c r="C3794" s="55">
        <v>46244</v>
      </c>
      <c r="D3794" t="s">
        <v>19</v>
      </c>
      <c r="E3794" t="s">
        <v>20</v>
      </c>
      <c r="F3794" t="s">
        <v>21</v>
      </c>
      <c r="G3794">
        <v>3.8</v>
      </c>
      <c r="H3794" t="s">
        <v>4121</v>
      </c>
      <c r="I3794" t="s">
        <v>4540</v>
      </c>
      <c r="J3794" s="1" t="s">
        <v>307</v>
      </c>
      <c r="K3794" t="s">
        <v>181</v>
      </c>
      <c r="L3794" t="s">
        <v>3340</v>
      </c>
      <c r="M3794">
        <v>53</v>
      </c>
      <c r="N3794">
        <v>0.74</v>
      </c>
      <c r="O3794" t="s">
        <v>211</v>
      </c>
      <c r="P3794">
        <v>40.5</v>
      </c>
      <c r="Q3794">
        <v>4.5</v>
      </c>
      <c r="R3794" t="s">
        <v>3373</v>
      </c>
      <c r="T3794" t="s">
        <v>3337</v>
      </c>
      <c r="U3794">
        <v>244</v>
      </c>
      <c r="V3794" t="s">
        <v>3433</v>
      </c>
    </row>
    <row r="3795" spans="1:22" x14ac:dyDescent="0.15">
      <c r="A3795">
        <v>32</v>
      </c>
      <c r="B3795">
        <v>2026</v>
      </c>
      <c r="C3795" s="55">
        <v>46244</v>
      </c>
      <c r="D3795" t="s">
        <v>19</v>
      </c>
      <c r="E3795" t="s">
        <v>20</v>
      </c>
      <c r="F3795" t="s">
        <v>21</v>
      </c>
      <c r="G3795">
        <v>3.8</v>
      </c>
      <c r="H3795" t="s">
        <v>4121</v>
      </c>
      <c r="I3795" t="s">
        <v>4540</v>
      </c>
      <c r="J3795" s="1" t="s">
        <v>307</v>
      </c>
      <c r="K3795" t="s">
        <v>181</v>
      </c>
      <c r="L3795" t="s">
        <v>3340</v>
      </c>
      <c r="M3795">
        <v>62</v>
      </c>
      <c r="N3795">
        <v>0.74</v>
      </c>
      <c r="O3795" t="s">
        <v>211</v>
      </c>
      <c r="P3795">
        <v>40.5</v>
      </c>
      <c r="Q3795">
        <v>4.5</v>
      </c>
      <c r="R3795" t="s">
        <v>3375</v>
      </c>
      <c r="T3795" t="s">
        <v>3337</v>
      </c>
      <c r="U3795">
        <v>244</v>
      </c>
      <c r="V3795" t="s">
        <v>3433</v>
      </c>
    </row>
    <row r="3796" spans="1:22" x14ac:dyDescent="0.15">
      <c r="A3796">
        <v>32</v>
      </c>
      <c r="B3796">
        <v>2026</v>
      </c>
      <c r="C3796" s="55">
        <v>46244</v>
      </c>
      <c r="D3796" t="s">
        <v>135</v>
      </c>
      <c r="E3796" t="s">
        <v>136</v>
      </c>
      <c r="F3796" t="s">
        <v>21</v>
      </c>
      <c r="G3796">
        <v>1</v>
      </c>
      <c r="H3796" t="s">
        <v>3400</v>
      </c>
      <c r="I3796" t="s">
        <v>353</v>
      </c>
      <c r="J3796" s="1" t="s">
        <v>253</v>
      </c>
      <c r="K3796" t="s">
        <v>181</v>
      </c>
      <c r="L3796" t="s">
        <v>3333</v>
      </c>
      <c r="M3796">
        <v>2</v>
      </c>
      <c r="N3796">
        <v>0.44</v>
      </c>
      <c r="O3796" t="s">
        <v>3440</v>
      </c>
      <c r="P3796">
        <v>39.590000000000003</v>
      </c>
      <c r="Q3796">
        <v>3.5</v>
      </c>
      <c r="R3796" t="s">
        <v>3424</v>
      </c>
      <c r="T3796" t="s">
        <v>3337</v>
      </c>
      <c r="U3796">
        <v>45</v>
      </c>
      <c r="V3796" t="s">
        <v>3923</v>
      </c>
    </row>
    <row r="3797" spans="1:22" x14ac:dyDescent="0.15">
      <c r="A3797">
        <v>32</v>
      </c>
      <c r="B3797">
        <v>2026</v>
      </c>
      <c r="C3797" s="55">
        <v>46244</v>
      </c>
      <c r="D3797" t="s">
        <v>135</v>
      </c>
      <c r="E3797" t="s">
        <v>136</v>
      </c>
      <c r="F3797" t="s">
        <v>21</v>
      </c>
      <c r="G3797">
        <v>1</v>
      </c>
      <c r="H3797" t="s">
        <v>3400</v>
      </c>
      <c r="I3797" t="s">
        <v>353</v>
      </c>
      <c r="J3797" s="1" t="s">
        <v>253</v>
      </c>
      <c r="K3797" t="s">
        <v>181</v>
      </c>
      <c r="L3797" t="s">
        <v>3340</v>
      </c>
      <c r="M3797">
        <v>25</v>
      </c>
      <c r="N3797">
        <v>0.56999999999999995</v>
      </c>
      <c r="O3797" t="s">
        <v>211</v>
      </c>
      <c r="P3797">
        <v>31.5</v>
      </c>
      <c r="Q3797">
        <v>3.5</v>
      </c>
      <c r="R3797" t="s">
        <v>3413</v>
      </c>
      <c r="T3797" t="s">
        <v>3337</v>
      </c>
      <c r="U3797">
        <v>45</v>
      </c>
      <c r="V3797" t="s">
        <v>3470</v>
      </c>
    </row>
    <row r="3798" spans="1:22" x14ac:dyDescent="0.15">
      <c r="A3798">
        <v>32</v>
      </c>
      <c r="B3798">
        <v>2026</v>
      </c>
      <c r="C3798" s="55">
        <v>46244</v>
      </c>
      <c r="D3798" t="s">
        <v>135</v>
      </c>
      <c r="E3798" t="s">
        <v>136</v>
      </c>
      <c r="F3798" t="s">
        <v>21</v>
      </c>
      <c r="G3798">
        <v>1</v>
      </c>
      <c r="H3798" t="s">
        <v>3400</v>
      </c>
      <c r="I3798" t="s">
        <v>353</v>
      </c>
      <c r="J3798" s="1" t="s">
        <v>253</v>
      </c>
      <c r="K3798" t="s">
        <v>181</v>
      </c>
      <c r="L3798" t="s">
        <v>3340</v>
      </c>
      <c r="M3798">
        <v>52</v>
      </c>
      <c r="N3798">
        <v>0.56999999999999995</v>
      </c>
      <c r="O3798" t="s">
        <v>211</v>
      </c>
      <c r="P3798">
        <v>31.5</v>
      </c>
      <c r="Q3798">
        <v>3.5</v>
      </c>
      <c r="R3798" t="s">
        <v>4763</v>
      </c>
      <c r="T3798" t="s">
        <v>3337</v>
      </c>
      <c r="U3798">
        <v>45</v>
      </c>
      <c r="V3798" t="s">
        <v>3470</v>
      </c>
    </row>
    <row r="3799" spans="1:22" x14ac:dyDescent="0.15">
      <c r="A3799">
        <v>32</v>
      </c>
      <c r="B3799">
        <v>2026</v>
      </c>
      <c r="C3799" s="55">
        <v>46244</v>
      </c>
      <c r="D3799" t="s">
        <v>135</v>
      </c>
      <c r="E3799" t="s">
        <v>136</v>
      </c>
      <c r="F3799" t="s">
        <v>21</v>
      </c>
      <c r="G3799">
        <v>1</v>
      </c>
      <c r="H3799" t="s">
        <v>3400</v>
      </c>
      <c r="I3799" t="s">
        <v>353</v>
      </c>
      <c r="J3799" s="1" t="s">
        <v>253</v>
      </c>
      <c r="K3799" t="s">
        <v>181</v>
      </c>
      <c r="L3799" t="s">
        <v>3340</v>
      </c>
      <c r="M3799">
        <v>90</v>
      </c>
      <c r="N3799">
        <v>0.56999999999999995</v>
      </c>
      <c r="O3799" t="s">
        <v>211</v>
      </c>
      <c r="P3799">
        <v>31.5</v>
      </c>
      <c r="Q3799">
        <v>3.5</v>
      </c>
      <c r="R3799" t="s">
        <v>4764</v>
      </c>
      <c r="T3799" t="s">
        <v>3337</v>
      </c>
      <c r="U3799">
        <v>45</v>
      </c>
      <c r="V3799" t="s">
        <v>3470</v>
      </c>
    </row>
    <row r="3800" spans="1:22" x14ac:dyDescent="0.15">
      <c r="A3800">
        <v>32</v>
      </c>
      <c r="B3800">
        <v>2026</v>
      </c>
      <c r="C3800" s="55">
        <v>46244</v>
      </c>
      <c r="D3800" t="s">
        <v>19</v>
      </c>
      <c r="E3800" t="s">
        <v>20</v>
      </c>
      <c r="F3800" t="s">
        <v>21</v>
      </c>
      <c r="G3800">
        <v>3.8</v>
      </c>
      <c r="H3800" t="s">
        <v>4121</v>
      </c>
      <c r="I3800" t="s">
        <v>4540</v>
      </c>
      <c r="J3800" s="1" t="s">
        <v>307</v>
      </c>
      <c r="K3800" t="s">
        <v>181</v>
      </c>
      <c r="L3800" t="s">
        <v>3333</v>
      </c>
      <c r="M3800">
        <v>2</v>
      </c>
      <c r="N3800">
        <v>0.56000000000000005</v>
      </c>
      <c r="O3800" t="s">
        <v>3440</v>
      </c>
      <c r="P3800">
        <v>50.9</v>
      </c>
      <c r="Q3800">
        <v>4.5</v>
      </c>
      <c r="R3800" t="s">
        <v>3424</v>
      </c>
      <c r="T3800" t="s">
        <v>3337</v>
      </c>
      <c r="U3800">
        <v>244</v>
      </c>
      <c r="V3800" t="s">
        <v>4765</v>
      </c>
    </row>
    <row r="3801" spans="1:22" x14ac:dyDescent="0.15">
      <c r="A3801">
        <v>32</v>
      </c>
      <c r="B3801">
        <v>2026</v>
      </c>
      <c r="C3801" s="55">
        <v>46244</v>
      </c>
      <c r="D3801" t="s">
        <v>19</v>
      </c>
      <c r="E3801" t="s">
        <v>20</v>
      </c>
      <c r="F3801" t="s">
        <v>21</v>
      </c>
      <c r="G3801">
        <v>3.8</v>
      </c>
      <c r="H3801" t="s">
        <v>4121</v>
      </c>
      <c r="I3801" t="s">
        <v>4540</v>
      </c>
      <c r="J3801" s="1" t="s">
        <v>307</v>
      </c>
      <c r="K3801" t="s">
        <v>181</v>
      </c>
      <c r="L3801" t="s">
        <v>3340</v>
      </c>
      <c r="M3801">
        <v>25</v>
      </c>
      <c r="N3801">
        <v>0.43</v>
      </c>
      <c r="O3801" t="s">
        <v>211</v>
      </c>
      <c r="P3801">
        <v>23.5</v>
      </c>
      <c r="Q3801">
        <v>2.5</v>
      </c>
      <c r="R3801" t="s">
        <v>3413</v>
      </c>
      <c r="T3801" t="s">
        <v>3337</v>
      </c>
      <c r="U3801">
        <v>244</v>
      </c>
      <c r="V3801" t="s">
        <v>4766</v>
      </c>
    </row>
    <row r="3802" spans="1:22" x14ac:dyDescent="0.15">
      <c r="A3802">
        <v>32</v>
      </c>
      <c r="B3802">
        <v>2026</v>
      </c>
      <c r="C3802" s="55">
        <v>46244</v>
      </c>
      <c r="D3802" t="s">
        <v>19</v>
      </c>
      <c r="E3802" t="s">
        <v>20</v>
      </c>
      <c r="F3802" t="s">
        <v>21</v>
      </c>
      <c r="G3802">
        <v>3.8</v>
      </c>
      <c r="H3802" t="s">
        <v>4121</v>
      </c>
      <c r="I3802" t="s">
        <v>4540</v>
      </c>
      <c r="J3802" s="1" t="s">
        <v>307</v>
      </c>
      <c r="K3802" t="s">
        <v>181</v>
      </c>
      <c r="L3802" t="s">
        <v>3340</v>
      </c>
      <c r="M3802">
        <v>52</v>
      </c>
      <c r="N3802">
        <v>0.43</v>
      </c>
      <c r="O3802" t="s">
        <v>211</v>
      </c>
      <c r="P3802">
        <v>23.5</v>
      </c>
      <c r="Q3802">
        <v>2.5</v>
      </c>
      <c r="R3802" t="s">
        <v>4763</v>
      </c>
      <c r="T3802" t="s">
        <v>3337</v>
      </c>
      <c r="U3802">
        <v>244</v>
      </c>
      <c r="V3802" t="s">
        <v>4766</v>
      </c>
    </row>
    <row r="3803" spans="1:22" x14ac:dyDescent="0.15">
      <c r="A3803">
        <v>32</v>
      </c>
      <c r="B3803">
        <v>2026</v>
      </c>
      <c r="C3803" s="55">
        <v>46244</v>
      </c>
      <c r="D3803" t="s">
        <v>19</v>
      </c>
      <c r="E3803" t="s">
        <v>20</v>
      </c>
      <c r="F3803" t="s">
        <v>21</v>
      </c>
      <c r="G3803">
        <v>3.8</v>
      </c>
      <c r="H3803" t="s">
        <v>4121</v>
      </c>
      <c r="I3803" t="s">
        <v>4540</v>
      </c>
      <c r="J3803" s="1" t="s">
        <v>307</v>
      </c>
      <c r="K3803" t="s">
        <v>181</v>
      </c>
      <c r="L3803" t="s">
        <v>3340</v>
      </c>
      <c r="M3803">
        <v>90</v>
      </c>
      <c r="N3803">
        <v>0.43</v>
      </c>
      <c r="O3803" t="s">
        <v>211</v>
      </c>
      <c r="P3803">
        <v>23.5</v>
      </c>
      <c r="Q3803">
        <v>2.5</v>
      </c>
      <c r="R3803" t="s">
        <v>4764</v>
      </c>
      <c r="T3803" t="s">
        <v>3337</v>
      </c>
      <c r="U3803">
        <v>244</v>
      </c>
      <c r="V3803" t="s">
        <v>4766</v>
      </c>
    </row>
    <row r="3804" spans="1:22" x14ac:dyDescent="0.15">
      <c r="A3804">
        <v>32</v>
      </c>
      <c r="B3804">
        <v>2026</v>
      </c>
      <c r="C3804" s="55">
        <v>46244</v>
      </c>
      <c r="D3804" t="s">
        <v>53</v>
      </c>
      <c r="E3804" t="s">
        <v>54</v>
      </c>
      <c r="F3804" t="s">
        <v>21</v>
      </c>
      <c r="G3804">
        <v>2</v>
      </c>
      <c r="H3804" t="s">
        <v>3454</v>
      </c>
      <c r="I3804" t="s">
        <v>212</v>
      </c>
      <c r="J3804" s="1" t="s">
        <v>188</v>
      </c>
      <c r="K3804" t="s">
        <v>181</v>
      </c>
      <c r="L3804" t="s">
        <v>3333</v>
      </c>
      <c r="M3804">
        <v>1</v>
      </c>
      <c r="N3804">
        <v>0.63</v>
      </c>
      <c r="O3804" t="s">
        <v>3358</v>
      </c>
      <c r="P3804">
        <v>44.91</v>
      </c>
      <c r="Q3804">
        <v>5</v>
      </c>
      <c r="R3804" t="s">
        <v>3359</v>
      </c>
      <c r="T3804" t="s">
        <v>3337</v>
      </c>
      <c r="U3804">
        <v>158</v>
      </c>
      <c r="V3804" t="s">
        <v>3494</v>
      </c>
    </row>
    <row r="3805" spans="1:22" x14ac:dyDescent="0.15">
      <c r="A3805">
        <v>32</v>
      </c>
      <c r="B3805">
        <v>2026</v>
      </c>
      <c r="C3805" s="55">
        <v>46244</v>
      </c>
      <c r="D3805" t="s">
        <v>101</v>
      </c>
      <c r="E3805" t="s">
        <v>102</v>
      </c>
      <c r="F3805" t="s">
        <v>75</v>
      </c>
      <c r="G3805">
        <v>7.6</v>
      </c>
      <c r="H3805" t="s">
        <v>3453</v>
      </c>
      <c r="I3805" t="s">
        <v>187</v>
      </c>
      <c r="J3805" s="1" t="s">
        <v>188</v>
      </c>
      <c r="K3805" t="s">
        <v>181</v>
      </c>
      <c r="L3805" t="s">
        <v>3333</v>
      </c>
      <c r="M3805">
        <v>1</v>
      </c>
      <c r="N3805">
        <v>0.38</v>
      </c>
      <c r="O3805" t="s">
        <v>3358</v>
      </c>
      <c r="P3805">
        <v>26.95</v>
      </c>
      <c r="Q3805">
        <v>3</v>
      </c>
      <c r="R3805" t="s">
        <v>3359</v>
      </c>
      <c r="T3805" t="s">
        <v>3337</v>
      </c>
      <c r="U3805">
        <v>104</v>
      </c>
      <c r="V3805" t="s">
        <v>3422</v>
      </c>
    </row>
    <row r="3806" spans="1:22" x14ac:dyDescent="0.15">
      <c r="A3806">
        <v>32</v>
      </c>
      <c r="B3806">
        <v>2026</v>
      </c>
      <c r="C3806" s="55">
        <v>46244</v>
      </c>
      <c r="D3806" t="s">
        <v>84</v>
      </c>
      <c r="E3806" t="s">
        <v>85</v>
      </c>
      <c r="F3806" t="s">
        <v>21</v>
      </c>
      <c r="G3806">
        <v>2</v>
      </c>
      <c r="H3806" t="s">
        <v>4767</v>
      </c>
      <c r="I3806" t="s">
        <v>4768</v>
      </c>
      <c r="J3806" s="1" t="s">
        <v>3533</v>
      </c>
      <c r="K3806" t="s">
        <v>181</v>
      </c>
      <c r="L3806" t="s">
        <v>3333</v>
      </c>
      <c r="M3806">
        <v>4</v>
      </c>
      <c r="N3806">
        <v>1</v>
      </c>
      <c r="O3806" t="s">
        <v>3334</v>
      </c>
      <c r="P3806">
        <v>81.58</v>
      </c>
      <c r="Q3806">
        <v>8</v>
      </c>
      <c r="R3806" t="s">
        <v>3773</v>
      </c>
      <c r="T3806" t="s">
        <v>3402</v>
      </c>
      <c r="U3806">
        <v>112</v>
      </c>
      <c r="V3806" t="s">
        <v>3456</v>
      </c>
    </row>
    <row r="3807" spans="1:22" x14ac:dyDescent="0.15">
      <c r="A3807">
        <v>32</v>
      </c>
      <c r="B3807">
        <v>2026</v>
      </c>
      <c r="C3807" s="55">
        <v>46244</v>
      </c>
      <c r="D3807" t="s">
        <v>84</v>
      </c>
      <c r="E3807" t="s">
        <v>85</v>
      </c>
      <c r="F3807" t="s">
        <v>21</v>
      </c>
      <c r="G3807">
        <v>2</v>
      </c>
      <c r="H3807" t="s">
        <v>4767</v>
      </c>
      <c r="I3807" t="s">
        <v>4768</v>
      </c>
      <c r="J3807" s="1" t="s">
        <v>3533</v>
      </c>
      <c r="K3807" t="s">
        <v>181</v>
      </c>
      <c r="L3807" t="s">
        <v>3340</v>
      </c>
      <c r="M3807">
        <v>84</v>
      </c>
      <c r="N3807">
        <v>1.31</v>
      </c>
      <c r="O3807" t="s">
        <v>211</v>
      </c>
      <c r="P3807">
        <v>72</v>
      </c>
      <c r="Q3807">
        <v>8</v>
      </c>
      <c r="R3807" t="s">
        <v>3446</v>
      </c>
      <c r="T3807" t="s">
        <v>3402</v>
      </c>
      <c r="U3807">
        <v>112</v>
      </c>
      <c r="V3807" t="s">
        <v>3507</v>
      </c>
    </row>
    <row r="3808" spans="1:22" x14ac:dyDescent="0.15">
      <c r="A3808">
        <v>32</v>
      </c>
      <c r="B3808">
        <v>2026</v>
      </c>
      <c r="C3808" s="55">
        <v>46244</v>
      </c>
      <c r="D3808" t="s">
        <v>84</v>
      </c>
      <c r="E3808" t="s">
        <v>85</v>
      </c>
      <c r="F3808" t="s">
        <v>21</v>
      </c>
      <c r="G3808">
        <v>2</v>
      </c>
      <c r="H3808" t="s">
        <v>4767</v>
      </c>
      <c r="I3808" t="s">
        <v>4768</v>
      </c>
      <c r="J3808" s="1" t="s">
        <v>3533</v>
      </c>
      <c r="K3808" t="s">
        <v>181</v>
      </c>
      <c r="L3808" t="s">
        <v>3333</v>
      </c>
      <c r="M3808">
        <v>86</v>
      </c>
      <c r="N3808">
        <v>1</v>
      </c>
      <c r="O3808" t="s">
        <v>3334</v>
      </c>
      <c r="P3808">
        <v>81.58</v>
      </c>
      <c r="Q3808">
        <v>8</v>
      </c>
      <c r="R3808" t="s">
        <v>3386</v>
      </c>
      <c r="T3808" t="s">
        <v>3402</v>
      </c>
      <c r="U3808">
        <v>112</v>
      </c>
      <c r="V3808" t="s">
        <v>3456</v>
      </c>
    </row>
    <row r="3809" spans="1:22" x14ac:dyDescent="0.15">
      <c r="A3809">
        <v>32</v>
      </c>
      <c r="B3809">
        <v>2026</v>
      </c>
      <c r="C3809" s="55">
        <v>46244</v>
      </c>
      <c r="D3809" t="s">
        <v>3749</v>
      </c>
      <c r="E3809" t="s">
        <v>676</v>
      </c>
      <c r="F3809" t="s">
        <v>676</v>
      </c>
      <c r="G3809">
        <v>1</v>
      </c>
      <c r="H3809" t="s">
        <v>3750</v>
      </c>
      <c r="I3809" t="s">
        <v>3751</v>
      </c>
      <c r="J3809" s="1" t="s">
        <v>676</v>
      </c>
      <c r="K3809" t="s">
        <v>181</v>
      </c>
      <c r="L3809" t="s">
        <v>3333</v>
      </c>
      <c r="M3809">
        <v>67</v>
      </c>
      <c r="N3809">
        <v>1</v>
      </c>
      <c r="O3809" t="s">
        <v>3334</v>
      </c>
      <c r="P3809">
        <v>81.58</v>
      </c>
      <c r="Q3809">
        <v>8</v>
      </c>
      <c r="R3809" t="s">
        <v>3404</v>
      </c>
      <c r="T3809" t="s">
        <v>3402</v>
      </c>
      <c r="U3809">
        <v>221</v>
      </c>
      <c r="V3809" t="s">
        <v>3334</v>
      </c>
    </row>
    <row r="3810" spans="1:22" x14ac:dyDescent="0.15">
      <c r="A3810">
        <v>32</v>
      </c>
      <c r="B3810">
        <v>2026</v>
      </c>
      <c r="C3810" s="55">
        <v>46244</v>
      </c>
      <c r="D3810" t="s">
        <v>3749</v>
      </c>
      <c r="E3810" t="s">
        <v>676</v>
      </c>
      <c r="F3810" t="s">
        <v>676</v>
      </c>
      <c r="G3810">
        <v>1</v>
      </c>
      <c r="H3810" t="s">
        <v>3750</v>
      </c>
      <c r="I3810" t="s">
        <v>3751</v>
      </c>
      <c r="J3810" s="1" t="s">
        <v>676</v>
      </c>
      <c r="K3810" t="s">
        <v>181</v>
      </c>
      <c r="L3810" t="s">
        <v>3333</v>
      </c>
      <c r="M3810">
        <v>19</v>
      </c>
      <c r="N3810">
        <v>0.63</v>
      </c>
      <c r="O3810" t="s">
        <v>3334</v>
      </c>
      <c r="P3810">
        <v>50.99</v>
      </c>
      <c r="Q3810">
        <v>5</v>
      </c>
      <c r="R3810" t="s">
        <v>3403</v>
      </c>
      <c r="S3810" t="s">
        <v>4769</v>
      </c>
      <c r="T3810" t="s">
        <v>3402</v>
      </c>
      <c r="U3810">
        <v>221</v>
      </c>
      <c r="V3810" t="s">
        <v>3574</v>
      </c>
    </row>
    <row r="3811" spans="1:22" x14ac:dyDescent="0.15">
      <c r="A3811">
        <v>32</v>
      </c>
      <c r="B3811">
        <v>2026</v>
      </c>
      <c r="C3811" s="55">
        <v>46244</v>
      </c>
      <c r="D3811" t="s">
        <v>3749</v>
      </c>
      <c r="E3811" t="s">
        <v>676</v>
      </c>
      <c r="F3811" t="s">
        <v>676</v>
      </c>
      <c r="G3811">
        <v>1</v>
      </c>
      <c r="H3811" t="s">
        <v>3750</v>
      </c>
      <c r="I3811" t="s">
        <v>3751</v>
      </c>
      <c r="J3811" s="1" t="s">
        <v>676</v>
      </c>
      <c r="K3811" t="s">
        <v>181</v>
      </c>
      <c r="L3811" t="s">
        <v>3333</v>
      </c>
      <c r="M3811">
        <v>78</v>
      </c>
      <c r="N3811">
        <v>1</v>
      </c>
      <c r="O3811" t="s">
        <v>3334</v>
      </c>
      <c r="P3811">
        <v>81.58</v>
      </c>
      <c r="Q3811">
        <v>8</v>
      </c>
      <c r="R3811" t="s">
        <v>3341</v>
      </c>
      <c r="S3811" t="s">
        <v>4770</v>
      </c>
      <c r="T3811" t="s">
        <v>3402</v>
      </c>
      <c r="U3811">
        <v>221</v>
      </c>
      <c r="V3811" t="s">
        <v>3334</v>
      </c>
    </row>
    <row r="3812" spans="1:22" x14ac:dyDescent="0.15">
      <c r="A3812">
        <v>32</v>
      </c>
      <c r="B3812">
        <v>2026</v>
      </c>
      <c r="C3812" s="55">
        <v>46244</v>
      </c>
      <c r="D3812" t="s">
        <v>3749</v>
      </c>
      <c r="E3812" t="s">
        <v>676</v>
      </c>
      <c r="F3812" t="s">
        <v>676</v>
      </c>
      <c r="G3812">
        <v>1</v>
      </c>
      <c r="H3812" t="s">
        <v>3750</v>
      </c>
      <c r="I3812" t="s">
        <v>3751</v>
      </c>
      <c r="J3812" s="1" t="s">
        <v>676</v>
      </c>
      <c r="K3812" t="s">
        <v>181</v>
      </c>
      <c r="L3812" t="s">
        <v>3340</v>
      </c>
      <c r="M3812">
        <v>67</v>
      </c>
      <c r="N3812">
        <v>1.54</v>
      </c>
      <c r="O3812" t="s">
        <v>211</v>
      </c>
      <c r="P3812">
        <v>84.49</v>
      </c>
      <c r="R3812" t="s">
        <v>3404</v>
      </c>
      <c r="S3812" t="s">
        <v>4771</v>
      </c>
      <c r="T3812" t="s">
        <v>3402</v>
      </c>
      <c r="U3812">
        <v>221</v>
      </c>
      <c r="V3812" t="s">
        <v>4772</v>
      </c>
    </row>
    <row r="3813" spans="1:22" x14ac:dyDescent="0.15">
      <c r="A3813">
        <v>32</v>
      </c>
      <c r="B3813">
        <v>2026</v>
      </c>
      <c r="C3813" s="55">
        <v>46244</v>
      </c>
      <c r="D3813" t="s">
        <v>3749</v>
      </c>
      <c r="E3813" t="s">
        <v>676</v>
      </c>
      <c r="F3813" t="s">
        <v>676</v>
      </c>
      <c r="G3813">
        <v>1</v>
      </c>
      <c r="H3813" t="s">
        <v>3750</v>
      </c>
      <c r="I3813" t="s">
        <v>3751</v>
      </c>
      <c r="J3813" s="1" t="s">
        <v>676</v>
      </c>
      <c r="K3813" t="s">
        <v>181</v>
      </c>
      <c r="L3813" t="s">
        <v>3340</v>
      </c>
      <c r="M3813">
        <v>19</v>
      </c>
      <c r="N3813">
        <v>0.36</v>
      </c>
      <c r="O3813" t="s">
        <v>211</v>
      </c>
      <c r="P3813">
        <v>19.98</v>
      </c>
      <c r="R3813" t="s">
        <v>3403</v>
      </c>
      <c r="T3813" t="s">
        <v>3402</v>
      </c>
      <c r="U3813">
        <v>221</v>
      </c>
      <c r="V3813" t="s">
        <v>4773</v>
      </c>
    </row>
    <row r="3814" spans="1:22" x14ac:dyDescent="0.15">
      <c r="A3814">
        <v>32</v>
      </c>
      <c r="B3814">
        <v>2026</v>
      </c>
      <c r="C3814" s="55">
        <v>46244</v>
      </c>
      <c r="D3814" t="s">
        <v>3749</v>
      </c>
      <c r="E3814" t="s">
        <v>676</v>
      </c>
      <c r="F3814" t="s">
        <v>676</v>
      </c>
      <c r="G3814">
        <v>1</v>
      </c>
      <c r="H3814" t="s">
        <v>3750</v>
      </c>
      <c r="I3814" t="s">
        <v>3751</v>
      </c>
      <c r="J3814" s="1" t="s">
        <v>676</v>
      </c>
      <c r="K3814" t="s">
        <v>181</v>
      </c>
      <c r="L3814" t="s">
        <v>3340</v>
      </c>
      <c r="M3814">
        <v>78</v>
      </c>
      <c r="N3814">
        <v>1.37</v>
      </c>
      <c r="O3814" t="s">
        <v>211</v>
      </c>
      <c r="P3814">
        <v>75.52</v>
      </c>
      <c r="R3814" t="s">
        <v>3341</v>
      </c>
      <c r="T3814" t="s">
        <v>3402</v>
      </c>
      <c r="U3814">
        <v>221</v>
      </c>
      <c r="V3814" t="s">
        <v>4774</v>
      </c>
    </row>
    <row r="3815" spans="1:22" x14ac:dyDescent="0.15">
      <c r="A3815">
        <v>32</v>
      </c>
      <c r="B3815">
        <v>2026</v>
      </c>
      <c r="C3815" s="55">
        <v>46244</v>
      </c>
      <c r="D3815" t="s">
        <v>3749</v>
      </c>
      <c r="E3815" t="s">
        <v>676</v>
      </c>
      <c r="F3815" t="s">
        <v>676</v>
      </c>
      <c r="G3815">
        <v>1</v>
      </c>
      <c r="H3815" t="s">
        <v>4445</v>
      </c>
      <c r="I3815" t="s">
        <v>4446</v>
      </c>
      <c r="J3815" s="1" t="s">
        <v>676</v>
      </c>
      <c r="K3815" t="s">
        <v>181</v>
      </c>
      <c r="L3815" t="s">
        <v>3340</v>
      </c>
      <c r="M3815">
        <v>78</v>
      </c>
      <c r="N3815">
        <v>0.16</v>
      </c>
      <c r="O3815" t="s">
        <v>211</v>
      </c>
      <c r="P3815">
        <v>9</v>
      </c>
      <c r="Q3815">
        <v>1</v>
      </c>
      <c r="R3815" t="s">
        <v>3341</v>
      </c>
      <c r="T3815" t="s">
        <v>3402</v>
      </c>
      <c r="U3815">
        <v>221</v>
      </c>
      <c r="V3815" t="s">
        <v>3473</v>
      </c>
    </row>
    <row r="3816" spans="1:22" x14ac:dyDescent="0.15">
      <c r="A3816">
        <v>32</v>
      </c>
      <c r="B3816">
        <v>2026</v>
      </c>
      <c r="C3816" s="55">
        <v>46244</v>
      </c>
      <c r="D3816" t="s">
        <v>4180</v>
      </c>
      <c r="E3816" t="s">
        <v>4180</v>
      </c>
      <c r="F3816" t="s">
        <v>75</v>
      </c>
      <c r="G3816">
        <v>0.1</v>
      </c>
      <c r="H3816" t="s">
        <v>3653</v>
      </c>
      <c r="I3816" t="s">
        <v>3566</v>
      </c>
      <c r="J3816" s="1" t="s">
        <v>3389</v>
      </c>
      <c r="K3816" t="s">
        <v>181</v>
      </c>
      <c r="L3816" t="s">
        <v>3333</v>
      </c>
      <c r="M3816">
        <v>11</v>
      </c>
      <c r="N3816">
        <v>0.13</v>
      </c>
      <c r="O3816" t="s">
        <v>213</v>
      </c>
      <c r="P3816">
        <v>11.25</v>
      </c>
      <c r="Q3816">
        <v>1</v>
      </c>
      <c r="R3816" t="s">
        <v>3564</v>
      </c>
      <c r="T3816" t="s">
        <v>3402</v>
      </c>
      <c r="U3816">
        <v>546</v>
      </c>
      <c r="V3816" t="s">
        <v>4682</v>
      </c>
    </row>
    <row r="3817" spans="1:22" x14ac:dyDescent="0.15">
      <c r="A3817">
        <v>32</v>
      </c>
      <c r="B3817">
        <v>2026</v>
      </c>
      <c r="C3817" s="55">
        <v>46244</v>
      </c>
      <c r="D3817" t="s">
        <v>4180</v>
      </c>
      <c r="E3817" t="s">
        <v>4180</v>
      </c>
      <c r="F3817" t="s">
        <v>75</v>
      </c>
      <c r="G3817">
        <v>0.1</v>
      </c>
      <c r="H3817" t="s">
        <v>3878</v>
      </c>
      <c r="I3817" t="s">
        <v>3566</v>
      </c>
      <c r="J3817" s="1" t="s">
        <v>3389</v>
      </c>
      <c r="K3817" t="s">
        <v>2666</v>
      </c>
      <c r="L3817" t="s">
        <v>3587</v>
      </c>
      <c r="P3817">
        <v>8</v>
      </c>
      <c r="Q3817">
        <v>1</v>
      </c>
      <c r="T3817" t="s">
        <v>3402</v>
      </c>
      <c r="U3817">
        <v>546</v>
      </c>
      <c r="V3817" t="s">
        <v>216</v>
      </c>
    </row>
    <row r="3818" spans="1:22" x14ac:dyDescent="0.15">
      <c r="A3818">
        <v>32</v>
      </c>
      <c r="B3818">
        <v>2026</v>
      </c>
      <c r="C3818" s="55">
        <v>46244</v>
      </c>
      <c r="D3818" t="s">
        <v>19</v>
      </c>
      <c r="E3818" t="s">
        <v>20</v>
      </c>
      <c r="F3818" t="s">
        <v>21</v>
      </c>
      <c r="G3818">
        <v>3.8</v>
      </c>
      <c r="H3818" t="s">
        <v>3672</v>
      </c>
      <c r="I3818" t="s">
        <v>3673</v>
      </c>
      <c r="J3818" s="1" t="s">
        <v>26</v>
      </c>
      <c r="K3818" t="s">
        <v>181</v>
      </c>
      <c r="L3818" t="s">
        <v>3333</v>
      </c>
      <c r="M3818">
        <v>11</v>
      </c>
      <c r="N3818">
        <v>0.25</v>
      </c>
      <c r="O3818" t="s">
        <v>213</v>
      </c>
      <c r="P3818">
        <v>22.5</v>
      </c>
      <c r="Q3818">
        <v>2</v>
      </c>
      <c r="R3818" t="s">
        <v>3564</v>
      </c>
      <c r="T3818" t="s">
        <v>3402</v>
      </c>
      <c r="U3818">
        <v>244</v>
      </c>
      <c r="V3818" t="s">
        <v>3348</v>
      </c>
    </row>
    <row r="3819" spans="1:22" x14ac:dyDescent="0.15">
      <c r="A3819">
        <v>32</v>
      </c>
      <c r="B3819">
        <v>2026</v>
      </c>
      <c r="C3819" s="55">
        <v>46244</v>
      </c>
      <c r="D3819" t="s">
        <v>19</v>
      </c>
      <c r="E3819" t="s">
        <v>20</v>
      </c>
      <c r="F3819" t="s">
        <v>21</v>
      </c>
      <c r="G3819">
        <v>3.8</v>
      </c>
      <c r="H3819" t="s">
        <v>3947</v>
      </c>
      <c r="I3819" t="s">
        <v>3673</v>
      </c>
      <c r="J3819" s="1" t="s">
        <v>26</v>
      </c>
      <c r="K3819" t="s">
        <v>2666</v>
      </c>
      <c r="L3819" t="s">
        <v>3587</v>
      </c>
      <c r="P3819">
        <v>16</v>
      </c>
      <c r="Q3819">
        <v>2</v>
      </c>
      <c r="T3819" t="s">
        <v>3402</v>
      </c>
      <c r="U3819">
        <v>244</v>
      </c>
      <c r="V3819" t="s">
        <v>4775</v>
      </c>
    </row>
    <row r="3820" spans="1:22" x14ac:dyDescent="0.15">
      <c r="A3820">
        <v>32</v>
      </c>
      <c r="B3820">
        <v>2026</v>
      </c>
      <c r="C3820" s="55">
        <v>46245</v>
      </c>
      <c r="D3820" t="s">
        <v>39</v>
      </c>
      <c r="E3820" t="s">
        <v>40</v>
      </c>
      <c r="F3820" t="s">
        <v>21</v>
      </c>
      <c r="G3820">
        <v>1.91</v>
      </c>
      <c r="H3820" t="s">
        <v>4121</v>
      </c>
      <c r="I3820" t="s">
        <v>4540</v>
      </c>
      <c r="J3820" s="1" t="s">
        <v>307</v>
      </c>
      <c r="K3820" t="s">
        <v>181</v>
      </c>
      <c r="L3820" t="s">
        <v>3333</v>
      </c>
      <c r="M3820">
        <v>2</v>
      </c>
      <c r="N3820">
        <v>0.63</v>
      </c>
      <c r="O3820" t="s">
        <v>3440</v>
      </c>
      <c r="P3820">
        <v>56.56</v>
      </c>
      <c r="Q3820">
        <v>5</v>
      </c>
      <c r="R3820" t="s">
        <v>3424</v>
      </c>
      <c r="T3820" t="s">
        <v>3337</v>
      </c>
      <c r="U3820">
        <v>208</v>
      </c>
      <c r="V3820" t="s">
        <v>4776</v>
      </c>
    </row>
    <row r="3821" spans="1:22" x14ac:dyDescent="0.15">
      <c r="A3821">
        <v>32</v>
      </c>
      <c r="B3821">
        <v>2026</v>
      </c>
      <c r="C3821" s="55">
        <v>46245</v>
      </c>
      <c r="D3821" t="s">
        <v>39</v>
      </c>
      <c r="E3821" t="s">
        <v>40</v>
      </c>
      <c r="F3821" t="s">
        <v>21</v>
      </c>
      <c r="G3821">
        <v>1.91</v>
      </c>
      <c r="H3821" t="s">
        <v>4121</v>
      </c>
      <c r="I3821" t="s">
        <v>4540</v>
      </c>
      <c r="J3821" s="1" t="s">
        <v>307</v>
      </c>
      <c r="K3821" t="s">
        <v>181</v>
      </c>
      <c r="L3821" t="s">
        <v>3340</v>
      </c>
      <c r="M3821">
        <v>25</v>
      </c>
      <c r="N3821">
        <v>0.43</v>
      </c>
      <c r="O3821" t="s">
        <v>211</v>
      </c>
      <c r="P3821">
        <v>23.5</v>
      </c>
      <c r="Q3821">
        <v>5</v>
      </c>
      <c r="R3821" t="s">
        <v>3413</v>
      </c>
      <c r="T3821" t="s">
        <v>3337</v>
      </c>
      <c r="U3821">
        <v>208</v>
      </c>
      <c r="V3821" t="s">
        <v>4777</v>
      </c>
    </row>
    <row r="3822" spans="1:22" x14ac:dyDescent="0.15">
      <c r="A3822">
        <v>32</v>
      </c>
      <c r="B3822">
        <v>2026</v>
      </c>
      <c r="C3822" s="55">
        <v>46245</v>
      </c>
      <c r="D3822" t="s">
        <v>39</v>
      </c>
      <c r="E3822" t="s">
        <v>40</v>
      </c>
      <c r="F3822" t="s">
        <v>21</v>
      </c>
      <c r="G3822">
        <v>1.91</v>
      </c>
      <c r="H3822" t="s">
        <v>4121</v>
      </c>
      <c r="I3822" t="s">
        <v>4540</v>
      </c>
      <c r="J3822" s="1" t="s">
        <v>307</v>
      </c>
      <c r="K3822" t="s">
        <v>181</v>
      </c>
      <c r="L3822" t="s">
        <v>3340</v>
      </c>
      <c r="M3822">
        <v>52</v>
      </c>
      <c r="N3822">
        <v>0.43</v>
      </c>
      <c r="O3822" t="s">
        <v>211</v>
      </c>
      <c r="P3822">
        <v>23.5</v>
      </c>
      <c r="Q3822">
        <v>5</v>
      </c>
      <c r="R3822" t="s">
        <v>4763</v>
      </c>
      <c r="T3822" t="s">
        <v>3337</v>
      </c>
      <c r="U3822">
        <v>208</v>
      </c>
      <c r="V3822" t="s">
        <v>4777</v>
      </c>
    </row>
    <row r="3823" spans="1:22" x14ac:dyDescent="0.15">
      <c r="A3823">
        <v>32</v>
      </c>
      <c r="B3823">
        <v>2026</v>
      </c>
      <c r="C3823" s="55">
        <v>46245</v>
      </c>
      <c r="D3823" t="s">
        <v>39</v>
      </c>
      <c r="E3823" t="s">
        <v>40</v>
      </c>
      <c r="F3823" t="s">
        <v>21</v>
      </c>
      <c r="G3823">
        <v>1.91</v>
      </c>
      <c r="H3823" t="s">
        <v>4121</v>
      </c>
      <c r="I3823" t="s">
        <v>4540</v>
      </c>
      <c r="J3823" s="1" t="s">
        <v>307</v>
      </c>
      <c r="K3823" t="s">
        <v>181</v>
      </c>
      <c r="L3823" t="s">
        <v>3340</v>
      </c>
      <c r="M3823">
        <v>90</v>
      </c>
      <c r="N3823">
        <v>0.43</v>
      </c>
      <c r="O3823" t="s">
        <v>211</v>
      </c>
      <c r="P3823">
        <v>23.5</v>
      </c>
      <c r="Q3823">
        <v>5</v>
      </c>
      <c r="R3823" t="s">
        <v>4764</v>
      </c>
      <c r="T3823" t="s">
        <v>3337</v>
      </c>
      <c r="U3823">
        <v>208</v>
      </c>
      <c r="V3823" t="s">
        <v>4777</v>
      </c>
    </row>
    <row r="3824" spans="1:22" x14ac:dyDescent="0.15">
      <c r="A3824">
        <v>32</v>
      </c>
      <c r="B3824">
        <v>2026</v>
      </c>
      <c r="C3824" s="55">
        <v>46245</v>
      </c>
      <c r="D3824" t="s">
        <v>139</v>
      </c>
      <c r="E3824" t="s">
        <v>140</v>
      </c>
      <c r="F3824" t="s">
        <v>75</v>
      </c>
      <c r="G3824">
        <v>0.8</v>
      </c>
      <c r="H3824" t="s">
        <v>4778</v>
      </c>
      <c r="I3824" t="s">
        <v>4779</v>
      </c>
      <c r="J3824" s="1" t="s">
        <v>3732</v>
      </c>
      <c r="K3824" t="s">
        <v>181</v>
      </c>
      <c r="L3824" t="s">
        <v>3333</v>
      </c>
      <c r="M3824">
        <v>2</v>
      </c>
      <c r="N3824">
        <v>0.38</v>
      </c>
      <c r="O3824" t="s">
        <v>3440</v>
      </c>
      <c r="P3824">
        <v>33.93</v>
      </c>
      <c r="Q3824">
        <v>3</v>
      </c>
      <c r="R3824" t="s">
        <v>3424</v>
      </c>
      <c r="T3824" t="s">
        <v>3337</v>
      </c>
      <c r="U3824">
        <v>77</v>
      </c>
      <c r="V3824" t="s">
        <v>4780</v>
      </c>
    </row>
    <row r="3825" spans="1:22" x14ac:dyDescent="0.15">
      <c r="A3825">
        <v>32</v>
      </c>
      <c r="B3825">
        <v>2026</v>
      </c>
      <c r="C3825" s="55">
        <v>46245</v>
      </c>
      <c r="D3825" t="s">
        <v>139</v>
      </c>
      <c r="E3825" t="s">
        <v>140</v>
      </c>
      <c r="F3825" t="s">
        <v>75</v>
      </c>
      <c r="G3825">
        <v>0.8</v>
      </c>
      <c r="H3825" t="s">
        <v>4778</v>
      </c>
      <c r="I3825" t="s">
        <v>4779</v>
      </c>
      <c r="J3825" s="1" t="s">
        <v>3732</v>
      </c>
      <c r="K3825" t="s">
        <v>181</v>
      </c>
      <c r="L3825" t="s">
        <v>3340</v>
      </c>
      <c r="M3825">
        <v>25</v>
      </c>
      <c r="N3825">
        <v>0.43</v>
      </c>
      <c r="O3825" t="s">
        <v>211</v>
      </c>
      <c r="P3825">
        <v>23.5</v>
      </c>
      <c r="Q3825">
        <v>3</v>
      </c>
      <c r="R3825" t="s">
        <v>3413</v>
      </c>
      <c r="T3825" t="s">
        <v>3337</v>
      </c>
      <c r="U3825">
        <v>77</v>
      </c>
      <c r="V3825" t="s">
        <v>4781</v>
      </c>
    </row>
    <row r="3826" spans="1:22" x14ac:dyDescent="0.15">
      <c r="A3826">
        <v>32</v>
      </c>
      <c r="B3826">
        <v>2026</v>
      </c>
      <c r="C3826" s="55">
        <v>46245</v>
      </c>
      <c r="D3826" t="s">
        <v>139</v>
      </c>
      <c r="E3826" t="s">
        <v>140</v>
      </c>
      <c r="F3826" t="s">
        <v>75</v>
      </c>
      <c r="G3826">
        <v>0.8</v>
      </c>
      <c r="H3826" t="s">
        <v>4778</v>
      </c>
      <c r="I3826" t="s">
        <v>4779</v>
      </c>
      <c r="J3826" s="1" t="s">
        <v>3732</v>
      </c>
      <c r="K3826" t="s">
        <v>181</v>
      </c>
      <c r="L3826" t="s">
        <v>3340</v>
      </c>
      <c r="M3826">
        <v>52</v>
      </c>
      <c r="N3826">
        <v>0.43</v>
      </c>
      <c r="O3826" t="s">
        <v>211</v>
      </c>
      <c r="P3826">
        <v>23.5</v>
      </c>
      <c r="Q3826">
        <v>3</v>
      </c>
      <c r="R3826" t="s">
        <v>4763</v>
      </c>
      <c r="T3826" t="s">
        <v>3337</v>
      </c>
      <c r="U3826">
        <v>77</v>
      </c>
      <c r="V3826" t="s">
        <v>4781</v>
      </c>
    </row>
    <row r="3827" spans="1:22" x14ac:dyDescent="0.15">
      <c r="A3827">
        <v>32</v>
      </c>
      <c r="B3827">
        <v>2026</v>
      </c>
      <c r="C3827" s="55">
        <v>46245</v>
      </c>
      <c r="D3827" t="s">
        <v>139</v>
      </c>
      <c r="E3827" t="s">
        <v>140</v>
      </c>
      <c r="F3827" t="s">
        <v>75</v>
      </c>
      <c r="G3827">
        <v>0.8</v>
      </c>
      <c r="H3827" t="s">
        <v>4778</v>
      </c>
      <c r="I3827" t="s">
        <v>4779</v>
      </c>
      <c r="J3827" s="1" t="s">
        <v>3732</v>
      </c>
      <c r="K3827" t="s">
        <v>181</v>
      </c>
      <c r="L3827" t="s">
        <v>3340</v>
      </c>
      <c r="M3827">
        <v>90</v>
      </c>
      <c r="N3827">
        <v>0.43</v>
      </c>
      <c r="O3827" t="s">
        <v>211</v>
      </c>
      <c r="P3827">
        <v>23.5</v>
      </c>
      <c r="Q3827">
        <v>3</v>
      </c>
      <c r="R3827" t="s">
        <v>4764</v>
      </c>
      <c r="T3827" t="s">
        <v>3337</v>
      </c>
      <c r="U3827">
        <v>77</v>
      </c>
      <c r="V3827" t="s">
        <v>4781</v>
      </c>
    </row>
    <row r="3828" spans="1:22" x14ac:dyDescent="0.15">
      <c r="A3828">
        <v>32</v>
      </c>
      <c r="B3828">
        <v>2026</v>
      </c>
      <c r="C3828" s="55">
        <v>46245</v>
      </c>
      <c r="D3828" t="s">
        <v>101</v>
      </c>
      <c r="E3828" t="s">
        <v>102</v>
      </c>
      <c r="F3828" t="s">
        <v>75</v>
      </c>
      <c r="G3828">
        <v>7.6</v>
      </c>
      <c r="H3828" t="s">
        <v>3453</v>
      </c>
      <c r="I3828" t="s">
        <v>187</v>
      </c>
      <c r="J3828" s="1" t="s">
        <v>188</v>
      </c>
      <c r="K3828" t="s">
        <v>181</v>
      </c>
      <c r="L3828" t="s">
        <v>3333</v>
      </c>
      <c r="M3828">
        <v>1</v>
      </c>
      <c r="N3828">
        <v>0.5</v>
      </c>
      <c r="O3828" t="s">
        <v>3358</v>
      </c>
      <c r="P3828">
        <v>35.93</v>
      </c>
      <c r="Q3828">
        <v>4</v>
      </c>
      <c r="R3828" t="s">
        <v>3359</v>
      </c>
      <c r="T3828" t="s">
        <v>3337</v>
      </c>
      <c r="U3828">
        <v>105</v>
      </c>
      <c r="V3828" t="s">
        <v>4239</v>
      </c>
    </row>
    <row r="3829" spans="1:22" x14ac:dyDescent="0.15">
      <c r="A3829">
        <v>32</v>
      </c>
      <c r="B3829">
        <v>2026</v>
      </c>
      <c r="C3829" s="55">
        <v>46245</v>
      </c>
      <c r="D3829" t="s">
        <v>101</v>
      </c>
      <c r="E3829" t="s">
        <v>102</v>
      </c>
      <c r="F3829" t="s">
        <v>75</v>
      </c>
      <c r="G3829">
        <v>7.6</v>
      </c>
      <c r="H3829" t="s">
        <v>3454</v>
      </c>
      <c r="I3829" t="s">
        <v>212</v>
      </c>
      <c r="J3829" s="1" t="s">
        <v>188</v>
      </c>
      <c r="K3829" t="s">
        <v>181</v>
      </c>
      <c r="L3829" t="s">
        <v>3333</v>
      </c>
      <c r="M3829">
        <v>1</v>
      </c>
      <c r="N3829">
        <v>0.5</v>
      </c>
      <c r="O3829" t="s">
        <v>3358</v>
      </c>
      <c r="P3829">
        <v>35.93</v>
      </c>
      <c r="Q3829">
        <v>4</v>
      </c>
      <c r="R3829" t="s">
        <v>3359</v>
      </c>
      <c r="T3829" t="s">
        <v>3337</v>
      </c>
      <c r="U3829">
        <v>105</v>
      </c>
      <c r="V3829" t="s">
        <v>4239</v>
      </c>
    </row>
    <row r="3830" spans="1:22" x14ac:dyDescent="0.15">
      <c r="A3830">
        <v>32</v>
      </c>
      <c r="B3830">
        <v>2026</v>
      </c>
      <c r="C3830" s="55">
        <v>46245</v>
      </c>
      <c r="D3830" t="s">
        <v>39</v>
      </c>
      <c r="E3830" t="s">
        <v>40</v>
      </c>
      <c r="F3830" t="s">
        <v>21</v>
      </c>
      <c r="G3830">
        <v>1.91</v>
      </c>
      <c r="H3830" t="s">
        <v>3937</v>
      </c>
      <c r="I3830" t="s">
        <v>309</v>
      </c>
      <c r="J3830" s="1" t="s">
        <v>307</v>
      </c>
      <c r="K3830" t="s">
        <v>181</v>
      </c>
      <c r="L3830" t="s">
        <v>3340</v>
      </c>
      <c r="M3830">
        <v>45</v>
      </c>
      <c r="N3830">
        <v>0.98</v>
      </c>
      <c r="O3830" t="s">
        <v>211</v>
      </c>
      <c r="P3830">
        <v>54</v>
      </c>
      <c r="R3830" t="s">
        <v>3377</v>
      </c>
      <c r="S3830" t="s">
        <v>4782</v>
      </c>
      <c r="T3830" t="s">
        <v>3337</v>
      </c>
      <c r="U3830">
        <v>208</v>
      </c>
      <c r="V3830" t="s">
        <v>4211</v>
      </c>
    </row>
    <row r="3831" spans="1:22" x14ac:dyDescent="0.15">
      <c r="A3831">
        <v>32</v>
      </c>
      <c r="B3831">
        <v>2026</v>
      </c>
      <c r="C3831" s="55">
        <v>46245</v>
      </c>
      <c r="D3831" t="s">
        <v>39</v>
      </c>
      <c r="E3831" t="s">
        <v>40</v>
      </c>
      <c r="F3831" t="s">
        <v>21</v>
      </c>
      <c r="G3831">
        <v>1.91</v>
      </c>
      <c r="H3831" t="s">
        <v>3937</v>
      </c>
      <c r="I3831" t="s">
        <v>309</v>
      </c>
      <c r="J3831" s="1" t="s">
        <v>307</v>
      </c>
      <c r="K3831" t="s">
        <v>181</v>
      </c>
      <c r="L3831" t="s">
        <v>3340</v>
      </c>
      <c r="M3831">
        <v>58</v>
      </c>
      <c r="N3831">
        <v>0.86</v>
      </c>
      <c r="O3831" t="s">
        <v>211</v>
      </c>
      <c r="P3831">
        <v>47.25</v>
      </c>
      <c r="R3831" t="s">
        <v>3343</v>
      </c>
      <c r="S3831" t="s">
        <v>4783</v>
      </c>
      <c r="T3831" t="s">
        <v>3337</v>
      </c>
      <c r="U3831">
        <v>208</v>
      </c>
      <c r="V3831" t="s">
        <v>4784</v>
      </c>
    </row>
    <row r="3832" spans="1:22" x14ac:dyDescent="0.15">
      <c r="A3832">
        <v>32</v>
      </c>
      <c r="B3832">
        <v>2026</v>
      </c>
      <c r="C3832" s="55">
        <v>46245</v>
      </c>
      <c r="D3832" t="s">
        <v>39</v>
      </c>
      <c r="E3832" t="s">
        <v>40</v>
      </c>
      <c r="F3832" t="s">
        <v>21</v>
      </c>
      <c r="G3832">
        <v>1.91</v>
      </c>
      <c r="H3832" t="s">
        <v>3937</v>
      </c>
      <c r="I3832" t="s">
        <v>309</v>
      </c>
      <c r="J3832" s="1" t="s">
        <v>307</v>
      </c>
      <c r="K3832" t="s">
        <v>181</v>
      </c>
      <c r="L3832" t="s">
        <v>3340</v>
      </c>
      <c r="M3832">
        <v>53</v>
      </c>
      <c r="N3832">
        <v>1.26</v>
      </c>
      <c r="O3832" t="s">
        <v>211</v>
      </c>
      <c r="P3832">
        <v>69.5</v>
      </c>
      <c r="R3832" t="s">
        <v>3373</v>
      </c>
      <c r="S3832" t="s">
        <v>4785</v>
      </c>
      <c r="T3832" t="s">
        <v>3337</v>
      </c>
      <c r="U3832">
        <v>208</v>
      </c>
      <c r="V3832" t="s">
        <v>4786</v>
      </c>
    </row>
    <row r="3833" spans="1:22" x14ac:dyDescent="0.15">
      <c r="A3833">
        <v>32</v>
      </c>
      <c r="B3833">
        <v>2026</v>
      </c>
      <c r="C3833" s="55">
        <v>46245</v>
      </c>
      <c r="D3833" t="s">
        <v>39</v>
      </c>
      <c r="E3833" t="s">
        <v>40</v>
      </c>
      <c r="F3833" t="s">
        <v>21</v>
      </c>
      <c r="G3833">
        <v>1.91</v>
      </c>
      <c r="H3833" t="s">
        <v>3937</v>
      </c>
      <c r="I3833" t="s">
        <v>309</v>
      </c>
      <c r="J3833" s="1" t="s">
        <v>307</v>
      </c>
      <c r="K3833" t="s">
        <v>181</v>
      </c>
      <c r="L3833" t="s">
        <v>3340</v>
      </c>
      <c r="M3833">
        <v>62</v>
      </c>
      <c r="N3833">
        <v>0.95</v>
      </c>
      <c r="O3833" t="s">
        <v>211</v>
      </c>
      <c r="P3833">
        <v>52.25</v>
      </c>
      <c r="R3833" t="s">
        <v>3375</v>
      </c>
      <c r="S3833" t="s">
        <v>4787</v>
      </c>
      <c r="T3833" t="s">
        <v>3337</v>
      </c>
      <c r="U3833">
        <v>208</v>
      </c>
      <c r="V3833" t="s">
        <v>4788</v>
      </c>
    </row>
    <row r="3834" spans="1:22" x14ac:dyDescent="0.15">
      <c r="A3834">
        <v>32</v>
      </c>
      <c r="B3834">
        <v>2026</v>
      </c>
      <c r="C3834" s="55">
        <v>46245</v>
      </c>
      <c r="D3834" t="s">
        <v>39</v>
      </c>
      <c r="E3834" t="s">
        <v>40</v>
      </c>
      <c r="F3834" t="s">
        <v>21</v>
      </c>
      <c r="G3834">
        <v>1.91</v>
      </c>
      <c r="H3834" t="s">
        <v>3937</v>
      </c>
      <c r="I3834" t="s">
        <v>309</v>
      </c>
      <c r="J3834" s="1" t="s">
        <v>307</v>
      </c>
      <c r="K3834" t="s">
        <v>181</v>
      </c>
      <c r="L3834" t="s">
        <v>3340</v>
      </c>
      <c r="M3834">
        <v>81</v>
      </c>
      <c r="N3834">
        <v>1.99</v>
      </c>
      <c r="O3834" t="s">
        <v>211</v>
      </c>
      <c r="P3834">
        <v>109.5</v>
      </c>
      <c r="R3834" t="s">
        <v>3374</v>
      </c>
      <c r="S3834" t="s">
        <v>4789</v>
      </c>
      <c r="T3834" t="s">
        <v>3337</v>
      </c>
      <c r="U3834">
        <v>208</v>
      </c>
      <c r="V3834" t="s">
        <v>4790</v>
      </c>
    </row>
    <row r="3835" spans="1:22" x14ac:dyDescent="0.15">
      <c r="A3835">
        <v>32</v>
      </c>
      <c r="B3835">
        <v>2026</v>
      </c>
      <c r="C3835" s="55">
        <v>46245</v>
      </c>
      <c r="D3835" t="s">
        <v>84</v>
      </c>
      <c r="E3835" t="s">
        <v>85</v>
      </c>
      <c r="F3835" t="s">
        <v>21</v>
      </c>
      <c r="G3835">
        <v>2</v>
      </c>
      <c r="H3835" t="s">
        <v>4767</v>
      </c>
      <c r="I3835" t="s">
        <v>4768</v>
      </c>
      <c r="J3835" s="1" t="s">
        <v>3533</v>
      </c>
      <c r="K3835" t="s">
        <v>181</v>
      </c>
      <c r="L3835" t="s">
        <v>3333</v>
      </c>
      <c r="M3835">
        <v>4</v>
      </c>
      <c r="N3835">
        <v>0.63</v>
      </c>
      <c r="O3835" t="s">
        <v>3334</v>
      </c>
      <c r="P3835">
        <v>50.99</v>
      </c>
      <c r="Q3835">
        <v>5</v>
      </c>
      <c r="R3835" t="s">
        <v>3773</v>
      </c>
      <c r="T3835" t="s">
        <v>3402</v>
      </c>
      <c r="U3835">
        <v>113</v>
      </c>
      <c r="V3835" t="s">
        <v>3500</v>
      </c>
    </row>
    <row r="3836" spans="1:22" x14ac:dyDescent="0.15">
      <c r="A3836">
        <v>32</v>
      </c>
      <c r="B3836">
        <v>2026</v>
      </c>
      <c r="C3836" s="55">
        <v>46245</v>
      </c>
      <c r="D3836" t="s">
        <v>84</v>
      </c>
      <c r="E3836" t="s">
        <v>85</v>
      </c>
      <c r="F3836" t="s">
        <v>21</v>
      </c>
      <c r="G3836">
        <v>2</v>
      </c>
      <c r="H3836" t="s">
        <v>3845</v>
      </c>
      <c r="I3836" t="s">
        <v>380</v>
      </c>
      <c r="J3836" s="1" t="s">
        <v>3533</v>
      </c>
      <c r="K3836" t="s">
        <v>181</v>
      </c>
      <c r="L3836" t="s">
        <v>3333</v>
      </c>
      <c r="M3836">
        <v>4</v>
      </c>
      <c r="N3836">
        <v>0.38</v>
      </c>
      <c r="O3836" t="s">
        <v>3334</v>
      </c>
      <c r="P3836">
        <v>30.59</v>
      </c>
      <c r="Q3836">
        <v>3</v>
      </c>
      <c r="R3836" t="s">
        <v>3773</v>
      </c>
      <c r="T3836" t="s">
        <v>3402</v>
      </c>
      <c r="U3836">
        <v>113</v>
      </c>
      <c r="V3836" t="s">
        <v>3475</v>
      </c>
    </row>
    <row r="3837" spans="1:22" x14ac:dyDescent="0.15">
      <c r="A3837">
        <v>32</v>
      </c>
      <c r="B3837">
        <v>2026</v>
      </c>
      <c r="C3837" s="55">
        <v>46245</v>
      </c>
      <c r="D3837" t="s">
        <v>84</v>
      </c>
      <c r="E3837" t="s">
        <v>85</v>
      </c>
      <c r="F3837" t="s">
        <v>21</v>
      </c>
      <c r="G3837">
        <v>2</v>
      </c>
      <c r="H3837" t="s">
        <v>3845</v>
      </c>
      <c r="I3837" t="s">
        <v>380</v>
      </c>
      <c r="J3837" s="1" t="s">
        <v>3533</v>
      </c>
      <c r="K3837" t="s">
        <v>181</v>
      </c>
      <c r="L3837" t="s">
        <v>3340</v>
      </c>
      <c r="M3837">
        <v>84</v>
      </c>
      <c r="N3837">
        <v>0.41</v>
      </c>
      <c r="O3837" t="s">
        <v>211</v>
      </c>
      <c r="P3837">
        <v>22.5</v>
      </c>
      <c r="Q3837">
        <v>2.5</v>
      </c>
      <c r="R3837" t="s">
        <v>3446</v>
      </c>
      <c r="T3837" t="s">
        <v>3402</v>
      </c>
      <c r="U3837">
        <v>113</v>
      </c>
      <c r="V3837" t="s">
        <v>3561</v>
      </c>
    </row>
    <row r="3838" spans="1:22" x14ac:dyDescent="0.15">
      <c r="A3838">
        <v>32</v>
      </c>
      <c r="B3838">
        <v>2026</v>
      </c>
      <c r="C3838" s="55">
        <v>46245</v>
      </c>
      <c r="D3838" t="s">
        <v>135</v>
      </c>
      <c r="E3838" t="s">
        <v>136</v>
      </c>
      <c r="F3838" t="s">
        <v>21</v>
      </c>
      <c r="G3838">
        <v>1</v>
      </c>
      <c r="H3838" t="s">
        <v>3845</v>
      </c>
      <c r="I3838" t="s">
        <v>380</v>
      </c>
      <c r="J3838" s="1" t="s">
        <v>3533</v>
      </c>
      <c r="K3838" t="s">
        <v>181</v>
      </c>
      <c r="L3838" t="s">
        <v>3340</v>
      </c>
      <c r="M3838">
        <v>84</v>
      </c>
      <c r="N3838">
        <v>0.49</v>
      </c>
      <c r="O3838" t="s">
        <v>211</v>
      </c>
      <c r="P3838">
        <v>27</v>
      </c>
      <c r="Q3838">
        <v>3</v>
      </c>
      <c r="R3838" t="s">
        <v>3446</v>
      </c>
      <c r="T3838" t="s">
        <v>3402</v>
      </c>
      <c r="U3838">
        <v>46</v>
      </c>
      <c r="V3838" t="s">
        <v>273</v>
      </c>
    </row>
    <row r="3839" spans="1:22" x14ac:dyDescent="0.15">
      <c r="A3839">
        <v>32</v>
      </c>
      <c r="B3839">
        <v>2026</v>
      </c>
      <c r="C3839" s="55">
        <v>46245</v>
      </c>
      <c r="D3839" t="s">
        <v>135</v>
      </c>
      <c r="E3839" t="s">
        <v>136</v>
      </c>
      <c r="F3839" t="s">
        <v>21</v>
      </c>
      <c r="G3839">
        <v>1</v>
      </c>
      <c r="H3839" t="s">
        <v>4791</v>
      </c>
      <c r="I3839" t="s">
        <v>3540</v>
      </c>
      <c r="J3839" s="1" t="s">
        <v>3533</v>
      </c>
      <c r="K3839" t="s">
        <v>181</v>
      </c>
      <c r="L3839" t="s">
        <v>3340</v>
      </c>
      <c r="M3839">
        <v>86</v>
      </c>
      <c r="N3839">
        <v>0.49</v>
      </c>
      <c r="O3839" t="s">
        <v>211</v>
      </c>
      <c r="P3839">
        <v>27</v>
      </c>
      <c r="Q3839">
        <v>3</v>
      </c>
      <c r="R3839" t="s">
        <v>3386</v>
      </c>
      <c r="S3839" t="s">
        <v>4792</v>
      </c>
      <c r="T3839" t="s">
        <v>3402</v>
      </c>
      <c r="U3839">
        <v>46</v>
      </c>
      <c r="V3839" t="s">
        <v>273</v>
      </c>
    </row>
    <row r="3840" spans="1:22" x14ac:dyDescent="0.15">
      <c r="A3840">
        <v>32</v>
      </c>
      <c r="B3840">
        <v>2026</v>
      </c>
      <c r="C3840" s="55">
        <v>46245</v>
      </c>
      <c r="D3840" t="s">
        <v>39</v>
      </c>
      <c r="E3840" t="s">
        <v>40</v>
      </c>
      <c r="F3840" t="s">
        <v>21</v>
      </c>
      <c r="G3840">
        <v>1.91</v>
      </c>
      <c r="H3840" t="s">
        <v>4793</v>
      </c>
      <c r="I3840" t="s">
        <v>3909</v>
      </c>
      <c r="J3840" s="1" t="s">
        <v>3389</v>
      </c>
      <c r="K3840" t="s">
        <v>181</v>
      </c>
      <c r="L3840" t="s">
        <v>3340</v>
      </c>
      <c r="M3840">
        <v>84</v>
      </c>
      <c r="N3840">
        <v>0.25</v>
      </c>
      <c r="O3840" t="s">
        <v>211</v>
      </c>
      <c r="P3840">
        <v>13.5</v>
      </c>
      <c r="Q3840">
        <v>1.5</v>
      </c>
      <c r="R3840" t="s">
        <v>3446</v>
      </c>
      <c r="S3840" t="s">
        <v>4794</v>
      </c>
      <c r="T3840" t="s">
        <v>3402</v>
      </c>
      <c r="U3840">
        <v>208</v>
      </c>
      <c r="V3840" t="s">
        <v>4380</v>
      </c>
    </row>
    <row r="3841" spans="1:22" x14ac:dyDescent="0.15">
      <c r="A3841">
        <v>32</v>
      </c>
      <c r="B3841">
        <v>2026</v>
      </c>
      <c r="C3841" s="55">
        <v>46245</v>
      </c>
      <c r="D3841" t="s">
        <v>39</v>
      </c>
      <c r="E3841" t="s">
        <v>40</v>
      </c>
      <c r="F3841" t="s">
        <v>21</v>
      </c>
      <c r="G3841">
        <v>1.91</v>
      </c>
      <c r="H3841" t="s">
        <v>4793</v>
      </c>
      <c r="I3841" t="s">
        <v>3909</v>
      </c>
      <c r="J3841" s="1" t="s">
        <v>3389</v>
      </c>
      <c r="K3841" t="s">
        <v>181</v>
      </c>
      <c r="L3841" t="s">
        <v>3340</v>
      </c>
      <c r="M3841">
        <v>86</v>
      </c>
      <c r="N3841">
        <v>0.33</v>
      </c>
      <c r="O3841" t="s">
        <v>211</v>
      </c>
      <c r="P3841">
        <v>18</v>
      </c>
      <c r="Q3841">
        <v>2</v>
      </c>
      <c r="R3841" t="s">
        <v>3386</v>
      </c>
      <c r="S3841" t="s">
        <v>4794</v>
      </c>
      <c r="T3841" t="s">
        <v>3402</v>
      </c>
      <c r="U3841">
        <v>208</v>
      </c>
      <c r="V3841" t="s">
        <v>3425</v>
      </c>
    </row>
    <row r="3842" spans="1:22" x14ac:dyDescent="0.15">
      <c r="A3842">
        <v>32</v>
      </c>
      <c r="B3842">
        <v>2026</v>
      </c>
      <c r="C3842" s="55">
        <v>46245</v>
      </c>
      <c r="D3842" t="s">
        <v>3749</v>
      </c>
      <c r="E3842" t="s">
        <v>676</v>
      </c>
      <c r="F3842" t="s">
        <v>676</v>
      </c>
      <c r="G3842">
        <v>1</v>
      </c>
      <c r="H3842" t="s">
        <v>4445</v>
      </c>
      <c r="I3842" t="s">
        <v>4446</v>
      </c>
      <c r="J3842" s="1" t="s">
        <v>676</v>
      </c>
      <c r="K3842" t="s">
        <v>181</v>
      </c>
      <c r="L3842" t="s">
        <v>3340</v>
      </c>
      <c r="M3842">
        <v>84</v>
      </c>
      <c r="N3842">
        <v>0.16</v>
      </c>
      <c r="O3842" t="s">
        <v>211</v>
      </c>
      <c r="P3842">
        <v>9</v>
      </c>
      <c r="Q3842">
        <v>1</v>
      </c>
      <c r="R3842" t="s">
        <v>3446</v>
      </c>
      <c r="T3842" t="s">
        <v>3402</v>
      </c>
      <c r="U3842">
        <v>222</v>
      </c>
      <c r="V3842" t="s">
        <v>3473</v>
      </c>
    </row>
    <row r="3843" spans="1:22" x14ac:dyDescent="0.15">
      <c r="A3843">
        <v>32</v>
      </c>
      <c r="B3843">
        <v>2026</v>
      </c>
      <c r="C3843" s="55">
        <v>46245</v>
      </c>
      <c r="D3843" t="s">
        <v>3749</v>
      </c>
      <c r="E3843" t="s">
        <v>676</v>
      </c>
      <c r="F3843" t="s">
        <v>676</v>
      </c>
      <c r="G3843">
        <v>1</v>
      </c>
      <c r="H3843" t="s">
        <v>3750</v>
      </c>
      <c r="I3843" t="s">
        <v>3751</v>
      </c>
      <c r="J3843" s="1" t="s">
        <v>676</v>
      </c>
      <c r="K3843" t="s">
        <v>181</v>
      </c>
      <c r="L3843" t="s">
        <v>3333</v>
      </c>
      <c r="M3843">
        <v>86</v>
      </c>
      <c r="N3843">
        <v>0.88</v>
      </c>
      <c r="O3843" t="s">
        <v>3334</v>
      </c>
      <c r="P3843">
        <v>71.38</v>
      </c>
      <c r="Q3843">
        <v>7</v>
      </c>
      <c r="R3843" t="s">
        <v>3386</v>
      </c>
      <c r="S3843" t="s">
        <v>4795</v>
      </c>
      <c r="T3843" t="s">
        <v>3402</v>
      </c>
      <c r="U3843">
        <v>222</v>
      </c>
      <c r="V3843" t="s">
        <v>3925</v>
      </c>
    </row>
    <row r="3844" spans="1:22" x14ac:dyDescent="0.15">
      <c r="A3844">
        <v>32</v>
      </c>
      <c r="B3844">
        <v>2026</v>
      </c>
      <c r="C3844" s="55">
        <v>46245</v>
      </c>
      <c r="D3844" t="s">
        <v>3749</v>
      </c>
      <c r="E3844" t="s">
        <v>676</v>
      </c>
      <c r="F3844" t="s">
        <v>676</v>
      </c>
      <c r="G3844">
        <v>1</v>
      </c>
      <c r="H3844" t="s">
        <v>4445</v>
      </c>
      <c r="I3844" t="s">
        <v>4446</v>
      </c>
      <c r="J3844" s="1" t="s">
        <v>676</v>
      </c>
      <c r="K3844" t="s">
        <v>181</v>
      </c>
      <c r="L3844" t="s">
        <v>3333</v>
      </c>
      <c r="M3844">
        <v>86</v>
      </c>
      <c r="N3844">
        <v>0.13</v>
      </c>
      <c r="O3844" t="s">
        <v>3334</v>
      </c>
      <c r="P3844">
        <v>10.199999999999999</v>
      </c>
      <c r="Q3844">
        <v>1</v>
      </c>
      <c r="R3844" t="s">
        <v>3386</v>
      </c>
      <c r="T3844" t="s">
        <v>3402</v>
      </c>
      <c r="U3844">
        <v>222</v>
      </c>
      <c r="V3844" t="s">
        <v>3472</v>
      </c>
    </row>
    <row r="3845" spans="1:22" x14ac:dyDescent="0.15">
      <c r="A3845">
        <v>32</v>
      </c>
      <c r="B3845">
        <v>2026</v>
      </c>
      <c r="C3845" s="55">
        <v>46245</v>
      </c>
      <c r="D3845" t="s">
        <v>39</v>
      </c>
      <c r="E3845" t="s">
        <v>40</v>
      </c>
      <c r="F3845" t="s">
        <v>21</v>
      </c>
      <c r="G3845">
        <v>1.91</v>
      </c>
      <c r="H3845" t="s">
        <v>3685</v>
      </c>
      <c r="I3845" t="s">
        <v>3686</v>
      </c>
      <c r="J3845" s="1" t="s">
        <v>3437</v>
      </c>
      <c r="K3845" t="s">
        <v>181</v>
      </c>
      <c r="L3845" t="s">
        <v>3333</v>
      </c>
      <c r="M3845">
        <v>67</v>
      </c>
      <c r="N3845">
        <v>1</v>
      </c>
      <c r="O3845" t="s">
        <v>3334</v>
      </c>
      <c r="P3845">
        <v>81.58</v>
      </c>
      <c r="Q3845">
        <v>8</v>
      </c>
      <c r="R3845" t="s">
        <v>3404</v>
      </c>
      <c r="T3845" t="s">
        <v>3402</v>
      </c>
      <c r="U3845">
        <v>208</v>
      </c>
      <c r="V3845" t="s">
        <v>3443</v>
      </c>
    </row>
    <row r="3846" spans="1:22" x14ac:dyDescent="0.15">
      <c r="A3846">
        <v>32</v>
      </c>
      <c r="B3846">
        <v>2026</v>
      </c>
      <c r="C3846" s="55">
        <v>46245</v>
      </c>
      <c r="D3846" t="s">
        <v>39</v>
      </c>
      <c r="E3846" t="s">
        <v>40</v>
      </c>
      <c r="F3846" t="s">
        <v>21</v>
      </c>
      <c r="G3846">
        <v>1.91</v>
      </c>
      <c r="H3846" t="s">
        <v>3685</v>
      </c>
      <c r="I3846" t="s">
        <v>3686</v>
      </c>
      <c r="J3846" s="1" t="s">
        <v>3437</v>
      </c>
      <c r="K3846" t="s">
        <v>181</v>
      </c>
      <c r="L3846" t="s">
        <v>3340</v>
      </c>
      <c r="M3846">
        <v>67</v>
      </c>
      <c r="N3846">
        <v>0.49</v>
      </c>
      <c r="O3846" t="s">
        <v>211</v>
      </c>
      <c r="P3846">
        <v>27</v>
      </c>
      <c r="Q3846">
        <v>3</v>
      </c>
      <c r="R3846" t="s">
        <v>3404</v>
      </c>
      <c r="S3846" t="s">
        <v>4796</v>
      </c>
      <c r="T3846" t="s">
        <v>3402</v>
      </c>
      <c r="U3846">
        <v>208</v>
      </c>
      <c r="V3846" t="s">
        <v>3524</v>
      </c>
    </row>
    <row r="3847" spans="1:22" x14ac:dyDescent="0.15">
      <c r="A3847">
        <v>32</v>
      </c>
      <c r="B3847">
        <v>2026</v>
      </c>
      <c r="C3847" s="55">
        <v>46245</v>
      </c>
      <c r="D3847" t="s">
        <v>39</v>
      </c>
      <c r="E3847" t="s">
        <v>40</v>
      </c>
      <c r="F3847" t="s">
        <v>21</v>
      </c>
      <c r="G3847">
        <v>1.91</v>
      </c>
      <c r="H3847" t="s">
        <v>3908</v>
      </c>
      <c r="I3847" t="s">
        <v>3909</v>
      </c>
      <c r="J3847" s="1" t="s">
        <v>3389</v>
      </c>
      <c r="K3847" t="s">
        <v>181</v>
      </c>
      <c r="L3847" t="s">
        <v>3333</v>
      </c>
      <c r="M3847">
        <v>19</v>
      </c>
      <c r="N3847">
        <v>0.63</v>
      </c>
      <c r="O3847" t="s">
        <v>3334</v>
      </c>
      <c r="P3847">
        <v>50.99</v>
      </c>
      <c r="Q3847">
        <v>5</v>
      </c>
      <c r="R3847" t="s">
        <v>3403</v>
      </c>
      <c r="T3847" t="s">
        <v>3402</v>
      </c>
      <c r="U3847">
        <v>208</v>
      </c>
      <c r="V3847" t="s">
        <v>3416</v>
      </c>
    </row>
    <row r="3848" spans="1:22" x14ac:dyDescent="0.15">
      <c r="A3848">
        <v>32</v>
      </c>
      <c r="B3848">
        <v>2026</v>
      </c>
      <c r="C3848" s="55">
        <v>46245</v>
      </c>
      <c r="D3848" t="s">
        <v>139</v>
      </c>
      <c r="E3848" t="s">
        <v>140</v>
      </c>
      <c r="F3848" t="s">
        <v>75</v>
      </c>
      <c r="G3848">
        <v>0.8</v>
      </c>
      <c r="H3848" t="s">
        <v>4778</v>
      </c>
      <c r="I3848" t="s">
        <v>4779</v>
      </c>
      <c r="J3848" s="1" t="s">
        <v>3732</v>
      </c>
      <c r="K3848" t="s">
        <v>181</v>
      </c>
      <c r="L3848" t="s">
        <v>3333</v>
      </c>
      <c r="M3848">
        <v>19</v>
      </c>
      <c r="N3848">
        <v>0.38</v>
      </c>
      <c r="O3848" t="s">
        <v>3334</v>
      </c>
      <c r="P3848">
        <v>30.59</v>
      </c>
      <c r="Q3848">
        <v>3</v>
      </c>
      <c r="R3848" t="s">
        <v>3403</v>
      </c>
      <c r="T3848" t="s">
        <v>3402</v>
      </c>
      <c r="U3848">
        <v>77</v>
      </c>
      <c r="V3848" t="s">
        <v>4526</v>
      </c>
    </row>
    <row r="3849" spans="1:22" x14ac:dyDescent="0.15">
      <c r="A3849">
        <v>32</v>
      </c>
      <c r="B3849">
        <v>2026</v>
      </c>
      <c r="C3849" s="55">
        <v>46245</v>
      </c>
      <c r="D3849" t="s">
        <v>39</v>
      </c>
      <c r="E3849" t="s">
        <v>40</v>
      </c>
      <c r="F3849" t="s">
        <v>21</v>
      </c>
      <c r="G3849">
        <v>1.91</v>
      </c>
      <c r="H3849" t="s">
        <v>3937</v>
      </c>
      <c r="I3849" t="s">
        <v>309</v>
      </c>
      <c r="J3849" s="1" t="s">
        <v>307</v>
      </c>
      <c r="K3849" t="s">
        <v>181</v>
      </c>
      <c r="L3849" t="s">
        <v>3333</v>
      </c>
      <c r="M3849">
        <v>78</v>
      </c>
      <c r="N3849">
        <v>1</v>
      </c>
      <c r="O3849" t="s">
        <v>3334</v>
      </c>
      <c r="P3849">
        <v>81.58</v>
      </c>
      <c r="Q3849">
        <v>8</v>
      </c>
      <c r="R3849" t="s">
        <v>3341</v>
      </c>
      <c r="S3849" t="s">
        <v>4797</v>
      </c>
      <c r="T3849" t="s">
        <v>3402</v>
      </c>
      <c r="U3849">
        <v>208</v>
      </c>
      <c r="V3849" t="s">
        <v>3443</v>
      </c>
    </row>
    <row r="3850" spans="1:22" x14ac:dyDescent="0.15">
      <c r="A3850">
        <v>32</v>
      </c>
      <c r="B3850">
        <v>2026</v>
      </c>
      <c r="C3850" s="55">
        <v>46245</v>
      </c>
      <c r="D3850" t="s">
        <v>39</v>
      </c>
      <c r="E3850" t="s">
        <v>40</v>
      </c>
      <c r="F3850" t="s">
        <v>21</v>
      </c>
      <c r="G3850">
        <v>1.91</v>
      </c>
      <c r="H3850" t="s">
        <v>3937</v>
      </c>
      <c r="I3850" t="s">
        <v>309</v>
      </c>
      <c r="J3850" s="1" t="s">
        <v>307</v>
      </c>
      <c r="K3850" t="s">
        <v>181</v>
      </c>
      <c r="L3850" t="s">
        <v>3340</v>
      </c>
      <c r="M3850">
        <v>78</v>
      </c>
      <c r="N3850">
        <v>0</v>
      </c>
      <c r="O3850" t="s">
        <v>4798</v>
      </c>
      <c r="P3850">
        <v>0</v>
      </c>
      <c r="R3850" t="s">
        <v>3341</v>
      </c>
      <c r="T3850" t="s">
        <v>3402</v>
      </c>
      <c r="U3850">
        <v>208</v>
      </c>
      <c r="V3850" t="s">
        <v>88</v>
      </c>
    </row>
    <row r="3851" spans="1:22" x14ac:dyDescent="0.15">
      <c r="A3851">
        <v>32</v>
      </c>
      <c r="B3851">
        <v>2026</v>
      </c>
      <c r="C3851" s="55">
        <v>46246</v>
      </c>
      <c r="D3851" t="s">
        <v>39</v>
      </c>
      <c r="E3851" t="s">
        <v>40</v>
      </c>
      <c r="F3851" t="s">
        <v>21</v>
      </c>
      <c r="G3851">
        <v>1.91</v>
      </c>
      <c r="H3851" t="s">
        <v>3937</v>
      </c>
      <c r="I3851" t="s">
        <v>309</v>
      </c>
      <c r="J3851" s="1" t="s">
        <v>307</v>
      </c>
      <c r="K3851" t="s">
        <v>181</v>
      </c>
      <c r="L3851" t="s">
        <v>3340</v>
      </c>
      <c r="M3851">
        <v>45</v>
      </c>
      <c r="N3851">
        <v>3.29</v>
      </c>
      <c r="O3851" t="s">
        <v>211</v>
      </c>
      <c r="P3851">
        <v>180.75</v>
      </c>
      <c r="R3851" t="s">
        <v>3377</v>
      </c>
      <c r="S3851" t="s">
        <v>4799</v>
      </c>
      <c r="T3851" t="s">
        <v>3337</v>
      </c>
      <c r="U3851">
        <v>209</v>
      </c>
      <c r="V3851" t="s">
        <v>4800</v>
      </c>
    </row>
    <row r="3852" spans="1:22" x14ac:dyDescent="0.15">
      <c r="A3852">
        <v>32</v>
      </c>
      <c r="B3852">
        <v>2026</v>
      </c>
      <c r="C3852" s="55">
        <v>46246</v>
      </c>
      <c r="D3852" t="s">
        <v>39</v>
      </c>
      <c r="E3852" t="s">
        <v>40</v>
      </c>
      <c r="F3852" t="s">
        <v>21</v>
      </c>
      <c r="G3852">
        <v>1.91</v>
      </c>
      <c r="H3852" t="s">
        <v>3937</v>
      </c>
      <c r="I3852" t="s">
        <v>309</v>
      </c>
      <c r="J3852" s="1" t="s">
        <v>307</v>
      </c>
      <c r="K3852" t="s">
        <v>181</v>
      </c>
      <c r="L3852" t="s">
        <v>3340</v>
      </c>
      <c r="M3852">
        <v>58</v>
      </c>
      <c r="N3852">
        <v>3.3</v>
      </c>
      <c r="O3852" t="s">
        <v>211</v>
      </c>
      <c r="P3852">
        <v>181.5</v>
      </c>
      <c r="R3852" t="s">
        <v>3343</v>
      </c>
      <c r="S3852" t="s">
        <v>4801</v>
      </c>
      <c r="T3852" t="s">
        <v>3337</v>
      </c>
      <c r="U3852">
        <v>209</v>
      </c>
      <c r="V3852" t="s">
        <v>4802</v>
      </c>
    </row>
    <row r="3853" spans="1:22" x14ac:dyDescent="0.15">
      <c r="A3853">
        <v>32</v>
      </c>
      <c r="B3853">
        <v>2026</v>
      </c>
      <c r="C3853" s="55">
        <v>46246</v>
      </c>
      <c r="D3853" t="s">
        <v>39</v>
      </c>
      <c r="E3853" t="s">
        <v>40</v>
      </c>
      <c r="F3853" t="s">
        <v>21</v>
      </c>
      <c r="G3853">
        <v>1.91</v>
      </c>
      <c r="H3853" t="s">
        <v>3937</v>
      </c>
      <c r="I3853" t="s">
        <v>309</v>
      </c>
      <c r="J3853" s="1" t="s">
        <v>307</v>
      </c>
      <c r="K3853" t="s">
        <v>181</v>
      </c>
      <c r="L3853" t="s">
        <v>3340</v>
      </c>
      <c r="M3853">
        <v>53</v>
      </c>
      <c r="N3853">
        <v>3.07</v>
      </c>
      <c r="O3853" t="s">
        <v>211</v>
      </c>
      <c r="P3853">
        <v>168.75</v>
      </c>
      <c r="R3853" t="s">
        <v>3373</v>
      </c>
      <c r="S3853" t="s">
        <v>4803</v>
      </c>
      <c r="T3853" t="s">
        <v>3337</v>
      </c>
      <c r="U3853">
        <v>209</v>
      </c>
      <c r="V3853" t="s">
        <v>4804</v>
      </c>
    </row>
    <row r="3854" spans="1:22" x14ac:dyDescent="0.15">
      <c r="A3854">
        <v>32</v>
      </c>
      <c r="B3854">
        <v>2026</v>
      </c>
      <c r="C3854" s="55">
        <v>46246</v>
      </c>
      <c r="D3854" t="s">
        <v>39</v>
      </c>
      <c r="E3854" t="s">
        <v>40</v>
      </c>
      <c r="F3854" t="s">
        <v>21</v>
      </c>
      <c r="G3854">
        <v>1.91</v>
      </c>
      <c r="H3854" t="s">
        <v>3937</v>
      </c>
      <c r="I3854" t="s">
        <v>309</v>
      </c>
      <c r="J3854" s="1" t="s">
        <v>307</v>
      </c>
      <c r="K3854" t="s">
        <v>181</v>
      </c>
      <c r="L3854" t="s">
        <v>3340</v>
      </c>
      <c r="M3854">
        <v>62</v>
      </c>
      <c r="N3854">
        <v>2.73</v>
      </c>
      <c r="O3854" t="s">
        <v>211</v>
      </c>
      <c r="P3854">
        <v>150</v>
      </c>
      <c r="R3854" t="s">
        <v>3375</v>
      </c>
      <c r="S3854" t="s">
        <v>4805</v>
      </c>
      <c r="T3854" t="s">
        <v>3337</v>
      </c>
      <c r="U3854">
        <v>209</v>
      </c>
      <c r="V3854" t="s">
        <v>4806</v>
      </c>
    </row>
    <row r="3855" spans="1:22" x14ac:dyDescent="0.15">
      <c r="A3855">
        <v>32</v>
      </c>
      <c r="B3855">
        <v>2026</v>
      </c>
      <c r="C3855" s="55">
        <v>46246</v>
      </c>
      <c r="D3855" t="s">
        <v>39</v>
      </c>
      <c r="E3855" t="s">
        <v>40</v>
      </c>
      <c r="F3855" t="s">
        <v>21</v>
      </c>
      <c r="G3855">
        <v>1.91</v>
      </c>
      <c r="H3855" t="s">
        <v>3937</v>
      </c>
      <c r="I3855" t="s">
        <v>309</v>
      </c>
      <c r="J3855" s="1" t="s">
        <v>307</v>
      </c>
      <c r="K3855" t="s">
        <v>181</v>
      </c>
      <c r="L3855" t="s">
        <v>3340</v>
      </c>
      <c r="M3855">
        <v>81</v>
      </c>
      <c r="N3855">
        <v>3.44</v>
      </c>
      <c r="O3855" t="s">
        <v>211</v>
      </c>
      <c r="P3855">
        <v>189</v>
      </c>
      <c r="R3855" t="s">
        <v>3374</v>
      </c>
      <c r="S3855" t="s">
        <v>4807</v>
      </c>
      <c r="T3855" t="s">
        <v>3337</v>
      </c>
      <c r="U3855">
        <v>209</v>
      </c>
      <c r="V3855" t="s">
        <v>4808</v>
      </c>
    </row>
    <row r="3856" spans="1:22" x14ac:dyDescent="0.15">
      <c r="A3856">
        <v>32</v>
      </c>
      <c r="B3856">
        <v>2026</v>
      </c>
      <c r="C3856" s="55">
        <v>46246</v>
      </c>
      <c r="D3856" t="s">
        <v>3749</v>
      </c>
      <c r="E3856" t="s">
        <v>676</v>
      </c>
      <c r="F3856" t="s">
        <v>676</v>
      </c>
      <c r="G3856">
        <v>1</v>
      </c>
      <c r="H3856" t="s">
        <v>3750</v>
      </c>
      <c r="I3856" t="s">
        <v>3751</v>
      </c>
      <c r="J3856" s="1" t="s">
        <v>676</v>
      </c>
      <c r="K3856" t="s">
        <v>181</v>
      </c>
      <c r="L3856" t="s">
        <v>3340</v>
      </c>
      <c r="M3856">
        <v>45</v>
      </c>
      <c r="N3856">
        <v>0.5</v>
      </c>
      <c r="O3856" t="s">
        <v>211</v>
      </c>
      <c r="P3856">
        <v>27.4</v>
      </c>
      <c r="R3856" t="s">
        <v>3377</v>
      </c>
      <c r="T3856" t="s">
        <v>3337</v>
      </c>
      <c r="U3856">
        <v>223</v>
      </c>
      <c r="V3856" t="s">
        <v>4809</v>
      </c>
    </row>
    <row r="3857" spans="1:22" x14ac:dyDescent="0.15">
      <c r="A3857">
        <v>32</v>
      </c>
      <c r="B3857">
        <v>2026</v>
      </c>
      <c r="C3857" s="55">
        <v>46246</v>
      </c>
      <c r="D3857" t="s">
        <v>3749</v>
      </c>
      <c r="E3857" t="s">
        <v>676</v>
      </c>
      <c r="F3857" t="s">
        <v>676</v>
      </c>
      <c r="G3857">
        <v>1</v>
      </c>
      <c r="H3857" t="s">
        <v>3750</v>
      </c>
      <c r="I3857" t="s">
        <v>3751</v>
      </c>
      <c r="J3857" s="1" t="s">
        <v>676</v>
      </c>
      <c r="K3857" t="s">
        <v>181</v>
      </c>
      <c r="L3857" t="s">
        <v>3340</v>
      </c>
      <c r="M3857">
        <v>58</v>
      </c>
      <c r="N3857">
        <v>0.5</v>
      </c>
      <c r="O3857" t="s">
        <v>211</v>
      </c>
      <c r="P3857">
        <v>27.4</v>
      </c>
      <c r="R3857" t="s">
        <v>3343</v>
      </c>
      <c r="T3857" t="s">
        <v>3337</v>
      </c>
      <c r="U3857">
        <v>223</v>
      </c>
      <c r="V3857" t="s">
        <v>4809</v>
      </c>
    </row>
    <row r="3858" spans="1:22" x14ac:dyDescent="0.15">
      <c r="A3858">
        <v>32</v>
      </c>
      <c r="B3858">
        <v>2026</v>
      </c>
      <c r="C3858" s="55">
        <v>46246</v>
      </c>
      <c r="D3858" t="s">
        <v>3749</v>
      </c>
      <c r="E3858" t="s">
        <v>676</v>
      </c>
      <c r="F3858" t="s">
        <v>676</v>
      </c>
      <c r="G3858">
        <v>1</v>
      </c>
      <c r="H3858" t="s">
        <v>3750</v>
      </c>
      <c r="I3858" t="s">
        <v>3751</v>
      </c>
      <c r="J3858" s="1" t="s">
        <v>676</v>
      </c>
      <c r="K3858" t="s">
        <v>181</v>
      </c>
      <c r="L3858" t="s">
        <v>3340</v>
      </c>
      <c r="M3858">
        <v>53</v>
      </c>
      <c r="N3858">
        <v>0.5</v>
      </c>
      <c r="O3858" t="s">
        <v>211</v>
      </c>
      <c r="P3858">
        <v>27.4</v>
      </c>
      <c r="R3858" t="s">
        <v>3373</v>
      </c>
      <c r="T3858" t="s">
        <v>3337</v>
      </c>
      <c r="U3858">
        <v>223</v>
      </c>
      <c r="V3858" t="s">
        <v>4809</v>
      </c>
    </row>
    <row r="3859" spans="1:22" x14ac:dyDescent="0.15">
      <c r="A3859">
        <v>32</v>
      </c>
      <c r="B3859">
        <v>2026</v>
      </c>
      <c r="C3859" s="55">
        <v>46246</v>
      </c>
      <c r="D3859" t="s">
        <v>3749</v>
      </c>
      <c r="E3859" t="s">
        <v>676</v>
      </c>
      <c r="F3859" t="s">
        <v>676</v>
      </c>
      <c r="G3859">
        <v>1</v>
      </c>
      <c r="H3859" t="s">
        <v>3750</v>
      </c>
      <c r="I3859" t="s">
        <v>3751</v>
      </c>
      <c r="J3859" s="1" t="s">
        <v>676</v>
      </c>
      <c r="K3859" t="s">
        <v>181</v>
      </c>
      <c r="L3859" t="s">
        <v>3340</v>
      </c>
      <c r="M3859">
        <v>62</v>
      </c>
      <c r="N3859">
        <v>0.5</v>
      </c>
      <c r="O3859" t="s">
        <v>211</v>
      </c>
      <c r="P3859">
        <v>27.4</v>
      </c>
      <c r="R3859" t="s">
        <v>3375</v>
      </c>
      <c r="T3859" t="s">
        <v>3337</v>
      </c>
      <c r="U3859">
        <v>223</v>
      </c>
      <c r="V3859" t="s">
        <v>4809</v>
      </c>
    </row>
    <row r="3860" spans="1:22" x14ac:dyDescent="0.15">
      <c r="A3860">
        <v>32</v>
      </c>
      <c r="B3860">
        <v>2026</v>
      </c>
      <c r="C3860" s="55">
        <v>46246</v>
      </c>
      <c r="D3860" t="s">
        <v>3749</v>
      </c>
      <c r="E3860" t="s">
        <v>676</v>
      </c>
      <c r="F3860" t="s">
        <v>676</v>
      </c>
      <c r="G3860">
        <v>1</v>
      </c>
      <c r="H3860" t="s">
        <v>3750</v>
      </c>
      <c r="I3860" t="s">
        <v>3751</v>
      </c>
      <c r="J3860" s="1" t="s">
        <v>676</v>
      </c>
      <c r="K3860" t="s">
        <v>181</v>
      </c>
      <c r="L3860" t="s">
        <v>3340</v>
      </c>
      <c r="M3860">
        <v>81</v>
      </c>
      <c r="N3860">
        <v>0.5</v>
      </c>
      <c r="O3860" t="s">
        <v>211</v>
      </c>
      <c r="P3860">
        <v>27.4</v>
      </c>
      <c r="R3860" t="s">
        <v>3374</v>
      </c>
      <c r="T3860" t="s">
        <v>3337</v>
      </c>
      <c r="U3860">
        <v>223</v>
      </c>
      <c r="V3860" t="s">
        <v>4809</v>
      </c>
    </row>
    <row r="3861" spans="1:22" x14ac:dyDescent="0.15">
      <c r="A3861">
        <v>32</v>
      </c>
      <c r="B3861">
        <v>2026</v>
      </c>
      <c r="C3861" s="55">
        <v>46246</v>
      </c>
      <c r="D3861" t="s">
        <v>101</v>
      </c>
      <c r="E3861" t="s">
        <v>102</v>
      </c>
      <c r="F3861" t="s">
        <v>75</v>
      </c>
      <c r="G3861">
        <v>7.6</v>
      </c>
      <c r="H3861" t="s">
        <v>3454</v>
      </c>
      <c r="I3861" t="s">
        <v>212</v>
      </c>
      <c r="J3861" s="1" t="s">
        <v>188</v>
      </c>
      <c r="K3861" t="s">
        <v>181</v>
      </c>
      <c r="L3861" t="s">
        <v>3333</v>
      </c>
      <c r="M3861">
        <v>1</v>
      </c>
      <c r="N3861">
        <v>0.5</v>
      </c>
      <c r="O3861" t="s">
        <v>3358</v>
      </c>
      <c r="P3861">
        <v>35.93</v>
      </c>
      <c r="Q3861">
        <v>4</v>
      </c>
      <c r="R3861" t="s">
        <v>3359</v>
      </c>
      <c r="T3861" t="s">
        <v>3337</v>
      </c>
      <c r="U3861">
        <v>106</v>
      </c>
      <c r="V3861" t="s">
        <v>4239</v>
      </c>
    </row>
    <row r="3862" spans="1:22" x14ac:dyDescent="0.15">
      <c r="A3862">
        <v>32</v>
      </c>
      <c r="B3862">
        <v>2026</v>
      </c>
      <c r="C3862" s="55">
        <v>46246</v>
      </c>
      <c r="D3862" t="s">
        <v>73</v>
      </c>
      <c r="E3862" t="s">
        <v>74</v>
      </c>
      <c r="F3862" t="s">
        <v>75</v>
      </c>
      <c r="G3862">
        <v>2.2999999999999998</v>
      </c>
      <c r="H3862" t="s">
        <v>3454</v>
      </c>
      <c r="I3862" t="s">
        <v>212</v>
      </c>
      <c r="J3862" s="1" t="s">
        <v>188</v>
      </c>
      <c r="K3862" t="s">
        <v>181</v>
      </c>
      <c r="L3862" t="s">
        <v>3333</v>
      </c>
      <c r="M3862">
        <v>1</v>
      </c>
      <c r="N3862">
        <v>0.5</v>
      </c>
      <c r="O3862" t="s">
        <v>3358</v>
      </c>
      <c r="P3862">
        <v>35.93</v>
      </c>
      <c r="Q3862">
        <v>4</v>
      </c>
      <c r="R3862" t="s">
        <v>3359</v>
      </c>
      <c r="T3862" t="s">
        <v>3337</v>
      </c>
      <c r="U3862">
        <v>116</v>
      </c>
      <c r="V3862" t="s">
        <v>3911</v>
      </c>
    </row>
    <row r="3863" spans="1:22" x14ac:dyDescent="0.15">
      <c r="A3863">
        <v>32</v>
      </c>
      <c r="B3863">
        <v>2026</v>
      </c>
      <c r="C3863" s="55">
        <v>46246</v>
      </c>
      <c r="D3863" t="s">
        <v>122</v>
      </c>
      <c r="E3863" t="s">
        <v>123</v>
      </c>
      <c r="F3863" t="s">
        <v>75</v>
      </c>
      <c r="G3863">
        <v>4.5</v>
      </c>
      <c r="H3863" t="s">
        <v>3466</v>
      </c>
      <c r="I3863" t="s">
        <v>3467</v>
      </c>
      <c r="J3863" s="1" t="s">
        <v>3468</v>
      </c>
      <c r="K3863" t="s">
        <v>181</v>
      </c>
      <c r="L3863" t="s">
        <v>3333</v>
      </c>
      <c r="M3863">
        <v>2</v>
      </c>
      <c r="N3863">
        <v>0.75</v>
      </c>
      <c r="O3863" t="s">
        <v>3440</v>
      </c>
      <c r="P3863">
        <v>67.87</v>
      </c>
      <c r="Q3863">
        <v>6</v>
      </c>
      <c r="R3863" t="s">
        <v>3424</v>
      </c>
      <c r="T3863" t="s">
        <v>3337</v>
      </c>
      <c r="V3863" t="s">
        <v>4341</v>
      </c>
    </row>
    <row r="3864" spans="1:22" x14ac:dyDescent="0.15">
      <c r="A3864">
        <v>32</v>
      </c>
      <c r="B3864">
        <v>2026</v>
      </c>
      <c r="C3864" s="55">
        <v>46246</v>
      </c>
      <c r="D3864" t="s">
        <v>122</v>
      </c>
      <c r="E3864" t="s">
        <v>123</v>
      </c>
      <c r="F3864" t="s">
        <v>75</v>
      </c>
      <c r="G3864">
        <v>4.5</v>
      </c>
      <c r="H3864" t="s">
        <v>3466</v>
      </c>
      <c r="I3864" t="s">
        <v>3467</v>
      </c>
      <c r="J3864" s="1" t="s">
        <v>3468</v>
      </c>
      <c r="K3864" t="s">
        <v>181</v>
      </c>
      <c r="L3864" t="s">
        <v>3340</v>
      </c>
      <c r="M3864">
        <v>25</v>
      </c>
      <c r="N3864">
        <v>1</v>
      </c>
      <c r="O3864" t="s">
        <v>211</v>
      </c>
      <c r="P3864">
        <v>55</v>
      </c>
      <c r="Q3864">
        <v>6</v>
      </c>
      <c r="R3864" t="s">
        <v>3413</v>
      </c>
      <c r="T3864" t="s">
        <v>3337</v>
      </c>
      <c r="V3864" t="s">
        <v>365</v>
      </c>
    </row>
    <row r="3865" spans="1:22" x14ac:dyDescent="0.15">
      <c r="A3865">
        <v>32</v>
      </c>
      <c r="B3865">
        <v>2026</v>
      </c>
      <c r="C3865" s="55">
        <v>46246</v>
      </c>
      <c r="D3865" t="s">
        <v>122</v>
      </c>
      <c r="E3865" t="s">
        <v>123</v>
      </c>
      <c r="F3865" t="s">
        <v>75</v>
      </c>
      <c r="G3865">
        <v>4.5</v>
      </c>
      <c r="H3865" t="s">
        <v>3466</v>
      </c>
      <c r="I3865" t="s">
        <v>3467</v>
      </c>
      <c r="J3865" s="1" t="s">
        <v>3468</v>
      </c>
      <c r="K3865" t="s">
        <v>181</v>
      </c>
      <c r="L3865" t="s">
        <v>3340</v>
      </c>
      <c r="M3865">
        <v>52</v>
      </c>
      <c r="N3865">
        <v>1</v>
      </c>
      <c r="O3865" t="s">
        <v>211</v>
      </c>
      <c r="P3865">
        <v>55</v>
      </c>
      <c r="Q3865">
        <v>6</v>
      </c>
      <c r="R3865" t="s">
        <v>4763</v>
      </c>
      <c r="T3865" t="s">
        <v>3337</v>
      </c>
      <c r="V3865" t="s">
        <v>365</v>
      </c>
    </row>
    <row r="3866" spans="1:22" x14ac:dyDescent="0.15">
      <c r="A3866">
        <v>32</v>
      </c>
      <c r="B3866">
        <v>2026</v>
      </c>
      <c r="C3866" s="55">
        <v>46246</v>
      </c>
      <c r="D3866" t="s">
        <v>122</v>
      </c>
      <c r="E3866" t="s">
        <v>123</v>
      </c>
      <c r="F3866" t="s">
        <v>75</v>
      </c>
      <c r="G3866">
        <v>4.5</v>
      </c>
      <c r="H3866" t="s">
        <v>3466</v>
      </c>
      <c r="I3866" t="s">
        <v>3467</v>
      </c>
      <c r="J3866" s="1" t="s">
        <v>3468</v>
      </c>
      <c r="K3866" t="s">
        <v>181</v>
      </c>
      <c r="L3866" t="s">
        <v>3340</v>
      </c>
      <c r="M3866">
        <v>90</v>
      </c>
      <c r="N3866">
        <v>1</v>
      </c>
      <c r="O3866" t="s">
        <v>211</v>
      </c>
      <c r="P3866">
        <v>55</v>
      </c>
      <c r="Q3866">
        <v>6</v>
      </c>
      <c r="R3866" t="s">
        <v>4764</v>
      </c>
      <c r="T3866" t="s">
        <v>3337</v>
      </c>
      <c r="V3866" t="s">
        <v>365</v>
      </c>
    </row>
    <row r="3867" spans="1:22" x14ac:dyDescent="0.15">
      <c r="A3867">
        <v>32</v>
      </c>
      <c r="B3867">
        <v>2026</v>
      </c>
      <c r="C3867" s="55">
        <v>46246</v>
      </c>
      <c r="D3867" t="s">
        <v>122</v>
      </c>
      <c r="E3867" t="s">
        <v>123</v>
      </c>
      <c r="F3867" t="s">
        <v>75</v>
      </c>
      <c r="G3867">
        <v>4.5</v>
      </c>
      <c r="H3867" t="s">
        <v>3466</v>
      </c>
      <c r="I3867" t="s">
        <v>3467</v>
      </c>
      <c r="J3867" s="1" t="s">
        <v>3468</v>
      </c>
      <c r="K3867" t="s">
        <v>181</v>
      </c>
      <c r="L3867" t="s">
        <v>3340</v>
      </c>
      <c r="M3867">
        <v>19</v>
      </c>
      <c r="N3867">
        <v>1</v>
      </c>
      <c r="O3867" t="s">
        <v>211</v>
      </c>
      <c r="P3867">
        <v>55</v>
      </c>
      <c r="Q3867">
        <v>6</v>
      </c>
      <c r="R3867" t="s">
        <v>3403</v>
      </c>
      <c r="S3867" t="s">
        <v>4810</v>
      </c>
      <c r="T3867" t="s">
        <v>3337</v>
      </c>
      <c r="V3867" t="s">
        <v>365</v>
      </c>
    </row>
    <row r="3868" spans="1:22" x14ac:dyDescent="0.15">
      <c r="A3868">
        <v>32</v>
      </c>
      <c r="B3868">
        <v>2026</v>
      </c>
      <c r="C3868" s="55">
        <v>46246</v>
      </c>
      <c r="D3868" t="s">
        <v>47</v>
      </c>
      <c r="E3868" t="s">
        <v>48</v>
      </c>
      <c r="F3868" t="s">
        <v>21</v>
      </c>
      <c r="G3868">
        <v>2</v>
      </c>
      <c r="H3868" t="s">
        <v>4811</v>
      </c>
      <c r="I3868" t="s">
        <v>4650</v>
      </c>
      <c r="J3868" s="1" t="s">
        <v>4812</v>
      </c>
      <c r="K3868" t="s">
        <v>3705</v>
      </c>
      <c r="L3868" t="s">
        <v>3333</v>
      </c>
      <c r="M3868">
        <v>2</v>
      </c>
      <c r="N3868">
        <v>0.25</v>
      </c>
      <c r="O3868" t="s">
        <v>3440</v>
      </c>
      <c r="P3868">
        <v>22.62</v>
      </c>
      <c r="Q3868">
        <v>2</v>
      </c>
      <c r="R3868" t="s">
        <v>3424</v>
      </c>
      <c r="T3868" t="s">
        <v>3337</v>
      </c>
      <c r="U3868">
        <v>174</v>
      </c>
      <c r="V3868" t="s">
        <v>3775</v>
      </c>
    </row>
    <row r="3869" spans="1:22" x14ac:dyDescent="0.15">
      <c r="A3869">
        <v>32</v>
      </c>
      <c r="B3869">
        <v>2026</v>
      </c>
      <c r="C3869" s="55">
        <v>46246</v>
      </c>
      <c r="D3869" t="s">
        <v>139</v>
      </c>
      <c r="E3869" t="s">
        <v>140</v>
      </c>
      <c r="F3869" t="s">
        <v>75</v>
      </c>
      <c r="G3869">
        <v>0.8</v>
      </c>
      <c r="H3869" t="s">
        <v>3803</v>
      </c>
      <c r="I3869" t="s">
        <v>3676</v>
      </c>
      <c r="J3869" s="1" t="s">
        <v>3533</v>
      </c>
      <c r="K3869" t="s">
        <v>181</v>
      </c>
      <c r="L3869" t="s">
        <v>3333</v>
      </c>
      <c r="M3869">
        <v>4</v>
      </c>
      <c r="N3869">
        <v>0.5</v>
      </c>
      <c r="O3869" t="s">
        <v>3334</v>
      </c>
      <c r="P3869">
        <v>40.79</v>
      </c>
      <c r="Q3869">
        <v>4</v>
      </c>
      <c r="R3869" t="s">
        <v>3773</v>
      </c>
      <c r="T3869" t="s">
        <v>3402</v>
      </c>
      <c r="U3869">
        <v>78</v>
      </c>
      <c r="V3869" t="s">
        <v>3574</v>
      </c>
    </row>
    <row r="3870" spans="1:22" x14ac:dyDescent="0.15">
      <c r="A3870">
        <v>32</v>
      </c>
      <c r="B3870">
        <v>2026</v>
      </c>
      <c r="C3870" s="55">
        <v>46246</v>
      </c>
      <c r="D3870" t="s">
        <v>39</v>
      </c>
      <c r="E3870" t="s">
        <v>40</v>
      </c>
      <c r="F3870" t="s">
        <v>21</v>
      </c>
      <c r="G3870">
        <v>1.91</v>
      </c>
      <c r="H3870" t="s">
        <v>3963</v>
      </c>
      <c r="I3870" t="s">
        <v>3964</v>
      </c>
      <c r="J3870" s="1" t="s">
        <v>307</v>
      </c>
      <c r="K3870" t="s">
        <v>181</v>
      </c>
      <c r="L3870" t="s">
        <v>3333</v>
      </c>
      <c r="M3870">
        <v>4</v>
      </c>
      <c r="N3870">
        <v>0.13</v>
      </c>
      <c r="O3870" t="s">
        <v>3334</v>
      </c>
      <c r="P3870">
        <v>10.199999999999999</v>
      </c>
      <c r="Q3870">
        <v>1</v>
      </c>
      <c r="R3870" t="s">
        <v>3773</v>
      </c>
      <c r="T3870" t="s">
        <v>3402</v>
      </c>
      <c r="U3870">
        <v>209</v>
      </c>
      <c r="V3870" t="s">
        <v>4813</v>
      </c>
    </row>
    <row r="3871" spans="1:22" x14ac:dyDescent="0.15">
      <c r="A3871">
        <v>32</v>
      </c>
      <c r="B3871">
        <v>2026</v>
      </c>
      <c r="C3871" s="55">
        <v>46246</v>
      </c>
      <c r="D3871" t="s">
        <v>68</v>
      </c>
      <c r="E3871" t="s">
        <v>69</v>
      </c>
      <c r="F3871" t="s">
        <v>21</v>
      </c>
      <c r="G3871">
        <v>1</v>
      </c>
      <c r="H3871" t="s">
        <v>3845</v>
      </c>
      <c r="I3871" t="s">
        <v>380</v>
      </c>
      <c r="J3871" s="1" t="s">
        <v>3533</v>
      </c>
      <c r="K3871" t="s">
        <v>181</v>
      </c>
      <c r="L3871" t="s">
        <v>3333</v>
      </c>
      <c r="M3871">
        <v>4</v>
      </c>
      <c r="N3871">
        <v>0.13</v>
      </c>
      <c r="O3871" t="s">
        <v>3334</v>
      </c>
      <c r="P3871">
        <v>10.199999999999999</v>
      </c>
      <c r="Q3871">
        <v>1</v>
      </c>
      <c r="R3871" t="s">
        <v>3773</v>
      </c>
      <c r="T3871" t="s">
        <v>3402</v>
      </c>
      <c r="U3871">
        <v>132</v>
      </c>
      <c r="V3871" t="s">
        <v>3472</v>
      </c>
    </row>
    <row r="3872" spans="1:22" x14ac:dyDescent="0.15">
      <c r="A3872">
        <v>32</v>
      </c>
      <c r="B3872">
        <v>2026</v>
      </c>
      <c r="C3872" s="55">
        <v>46246</v>
      </c>
      <c r="D3872" t="s">
        <v>3749</v>
      </c>
      <c r="E3872" t="s">
        <v>676</v>
      </c>
      <c r="F3872" t="s">
        <v>676</v>
      </c>
      <c r="G3872">
        <v>1</v>
      </c>
      <c r="H3872" t="s">
        <v>3750</v>
      </c>
      <c r="I3872" t="s">
        <v>3751</v>
      </c>
      <c r="J3872" s="1" t="s">
        <v>676</v>
      </c>
      <c r="K3872" t="s">
        <v>181</v>
      </c>
      <c r="L3872" t="s">
        <v>3333</v>
      </c>
      <c r="M3872">
        <v>4</v>
      </c>
      <c r="N3872">
        <v>0.25</v>
      </c>
      <c r="O3872" t="s">
        <v>3334</v>
      </c>
      <c r="P3872">
        <v>20.399999999999999</v>
      </c>
      <c r="Q3872">
        <v>2</v>
      </c>
      <c r="R3872" t="s">
        <v>3773</v>
      </c>
      <c r="S3872" t="s">
        <v>4814</v>
      </c>
      <c r="T3872" t="s">
        <v>3402</v>
      </c>
      <c r="U3872">
        <v>223</v>
      </c>
      <c r="V3872" t="s">
        <v>3474</v>
      </c>
    </row>
    <row r="3873" spans="1:22" x14ac:dyDescent="0.15">
      <c r="A3873">
        <v>32</v>
      </c>
      <c r="B3873">
        <v>2026</v>
      </c>
      <c r="C3873" s="55">
        <v>46246</v>
      </c>
      <c r="D3873" t="s">
        <v>3749</v>
      </c>
      <c r="E3873" t="s">
        <v>676</v>
      </c>
      <c r="F3873" t="s">
        <v>676</v>
      </c>
      <c r="G3873">
        <v>1</v>
      </c>
      <c r="H3873" t="s">
        <v>3750</v>
      </c>
      <c r="I3873" t="s">
        <v>3751</v>
      </c>
      <c r="J3873" s="1" t="s">
        <v>676</v>
      </c>
      <c r="K3873" t="s">
        <v>181</v>
      </c>
      <c r="L3873" t="s">
        <v>3340</v>
      </c>
      <c r="M3873">
        <v>4</v>
      </c>
      <c r="N3873">
        <v>0.13</v>
      </c>
      <c r="O3873" t="s">
        <v>211</v>
      </c>
      <c r="P3873">
        <v>7.01</v>
      </c>
      <c r="R3873" t="s">
        <v>3773</v>
      </c>
      <c r="S3873" t="s">
        <v>4815</v>
      </c>
      <c r="T3873" t="s">
        <v>3402</v>
      </c>
      <c r="U3873">
        <v>223</v>
      </c>
      <c r="V3873" t="s">
        <v>4816</v>
      </c>
    </row>
    <row r="3874" spans="1:22" x14ac:dyDescent="0.15">
      <c r="A3874">
        <v>32</v>
      </c>
      <c r="B3874">
        <v>2026</v>
      </c>
      <c r="C3874" s="55">
        <v>46246</v>
      </c>
      <c r="D3874" t="s">
        <v>39</v>
      </c>
      <c r="E3874" t="s">
        <v>40</v>
      </c>
      <c r="F3874" t="s">
        <v>21</v>
      </c>
      <c r="G3874">
        <v>1.91</v>
      </c>
      <c r="H3874" t="s">
        <v>3685</v>
      </c>
      <c r="I3874" t="s">
        <v>3686</v>
      </c>
      <c r="J3874" s="1" t="s">
        <v>3437</v>
      </c>
      <c r="K3874" t="s">
        <v>181</v>
      </c>
      <c r="L3874" t="s">
        <v>3333</v>
      </c>
      <c r="M3874">
        <v>67</v>
      </c>
      <c r="N3874">
        <v>1</v>
      </c>
      <c r="O3874" t="s">
        <v>3334</v>
      </c>
      <c r="P3874">
        <v>81.58</v>
      </c>
      <c r="Q3874">
        <v>8</v>
      </c>
      <c r="R3874" t="s">
        <v>3404</v>
      </c>
      <c r="T3874" t="s">
        <v>3402</v>
      </c>
      <c r="U3874">
        <v>209</v>
      </c>
      <c r="V3874" t="s">
        <v>3443</v>
      </c>
    </row>
    <row r="3875" spans="1:22" x14ac:dyDescent="0.15">
      <c r="A3875">
        <v>32</v>
      </c>
      <c r="B3875">
        <v>2026</v>
      </c>
      <c r="C3875" s="55">
        <v>46246</v>
      </c>
      <c r="D3875" t="s">
        <v>3749</v>
      </c>
      <c r="E3875" t="s">
        <v>676</v>
      </c>
      <c r="F3875" t="s">
        <v>676</v>
      </c>
      <c r="G3875">
        <v>1</v>
      </c>
      <c r="H3875" t="s">
        <v>3750</v>
      </c>
      <c r="I3875" t="s">
        <v>3751</v>
      </c>
      <c r="J3875" s="1" t="s">
        <v>676</v>
      </c>
      <c r="K3875" t="s">
        <v>181</v>
      </c>
      <c r="L3875" t="s">
        <v>3340</v>
      </c>
      <c r="M3875">
        <v>67</v>
      </c>
      <c r="N3875">
        <v>0.61</v>
      </c>
      <c r="O3875" t="s">
        <v>211</v>
      </c>
      <c r="P3875">
        <v>33.520000000000003</v>
      </c>
      <c r="Q3875">
        <v>2</v>
      </c>
      <c r="R3875" t="s">
        <v>3404</v>
      </c>
      <c r="S3875" t="s">
        <v>4817</v>
      </c>
      <c r="T3875" t="s">
        <v>3402</v>
      </c>
      <c r="U3875">
        <v>223</v>
      </c>
      <c r="V3875" t="s">
        <v>4818</v>
      </c>
    </row>
    <row r="3876" spans="1:22" x14ac:dyDescent="0.15">
      <c r="A3876">
        <v>32</v>
      </c>
      <c r="B3876">
        <v>2026</v>
      </c>
      <c r="C3876" s="55">
        <v>46246</v>
      </c>
      <c r="D3876" t="s">
        <v>39</v>
      </c>
      <c r="E3876" t="s">
        <v>40</v>
      </c>
      <c r="F3876" t="s">
        <v>21</v>
      </c>
      <c r="G3876">
        <v>1.91</v>
      </c>
      <c r="H3876" t="s">
        <v>3937</v>
      </c>
      <c r="I3876" t="s">
        <v>309</v>
      </c>
      <c r="J3876" s="1" t="s">
        <v>307</v>
      </c>
      <c r="K3876" t="s">
        <v>181</v>
      </c>
      <c r="L3876" t="s">
        <v>3333</v>
      </c>
      <c r="M3876">
        <v>78</v>
      </c>
      <c r="N3876">
        <v>1</v>
      </c>
      <c r="O3876" t="s">
        <v>3334</v>
      </c>
      <c r="P3876">
        <v>81.58</v>
      </c>
      <c r="Q3876">
        <v>8</v>
      </c>
      <c r="R3876" t="s">
        <v>3341</v>
      </c>
      <c r="S3876" t="s">
        <v>4819</v>
      </c>
      <c r="T3876" t="s">
        <v>3402</v>
      </c>
      <c r="U3876">
        <v>209</v>
      </c>
      <c r="V3876" t="s">
        <v>3443</v>
      </c>
    </row>
    <row r="3877" spans="1:22" x14ac:dyDescent="0.15">
      <c r="A3877">
        <v>32</v>
      </c>
      <c r="B3877">
        <v>2026</v>
      </c>
      <c r="C3877" s="55">
        <v>46246</v>
      </c>
      <c r="D3877" t="s">
        <v>39</v>
      </c>
      <c r="E3877" t="s">
        <v>40</v>
      </c>
      <c r="F3877" t="s">
        <v>21</v>
      </c>
      <c r="G3877">
        <v>1.91</v>
      </c>
      <c r="H3877" t="s">
        <v>3937</v>
      </c>
      <c r="I3877" t="s">
        <v>309</v>
      </c>
      <c r="J3877" s="1" t="s">
        <v>307</v>
      </c>
      <c r="K3877" t="s">
        <v>181</v>
      </c>
      <c r="L3877" t="s">
        <v>3340</v>
      </c>
      <c r="M3877">
        <v>78</v>
      </c>
      <c r="N3877">
        <v>0.92</v>
      </c>
      <c r="O3877" t="s">
        <v>211</v>
      </c>
      <c r="P3877">
        <v>50.42</v>
      </c>
      <c r="R3877" t="s">
        <v>3341</v>
      </c>
      <c r="T3877" t="s">
        <v>3402</v>
      </c>
      <c r="U3877">
        <v>209</v>
      </c>
      <c r="V3877" t="s">
        <v>4820</v>
      </c>
    </row>
    <row r="3878" spans="1:22" x14ac:dyDescent="0.15">
      <c r="A3878">
        <v>32</v>
      </c>
      <c r="B3878">
        <v>2026</v>
      </c>
      <c r="C3878" s="55">
        <v>46246</v>
      </c>
      <c r="D3878" t="s">
        <v>3749</v>
      </c>
      <c r="E3878" t="s">
        <v>676</v>
      </c>
      <c r="F3878" t="s">
        <v>676</v>
      </c>
      <c r="G3878">
        <v>1</v>
      </c>
      <c r="H3878" t="s">
        <v>3750</v>
      </c>
      <c r="I3878" t="s">
        <v>3751</v>
      </c>
      <c r="J3878" s="1" t="s">
        <v>676</v>
      </c>
      <c r="K3878" t="s">
        <v>181</v>
      </c>
      <c r="L3878" t="s">
        <v>3340</v>
      </c>
      <c r="M3878">
        <v>78</v>
      </c>
      <c r="N3878">
        <v>0.5</v>
      </c>
      <c r="O3878" t="s">
        <v>211</v>
      </c>
      <c r="P3878">
        <v>27.4</v>
      </c>
      <c r="R3878" t="s">
        <v>3341</v>
      </c>
      <c r="T3878" t="s">
        <v>3402</v>
      </c>
      <c r="U3878">
        <v>223</v>
      </c>
      <c r="V3878" t="s">
        <v>4809</v>
      </c>
    </row>
    <row r="3879" spans="1:22" x14ac:dyDescent="0.15">
      <c r="A3879">
        <v>32</v>
      </c>
      <c r="B3879">
        <v>2026</v>
      </c>
      <c r="C3879" s="55">
        <v>46246</v>
      </c>
      <c r="D3879" t="s">
        <v>135</v>
      </c>
      <c r="E3879" t="s">
        <v>136</v>
      </c>
      <c r="F3879" t="s">
        <v>21</v>
      </c>
      <c r="G3879">
        <v>1</v>
      </c>
      <c r="H3879" t="s">
        <v>3391</v>
      </c>
      <c r="I3879" t="s">
        <v>353</v>
      </c>
      <c r="J3879" s="1" t="s">
        <v>253</v>
      </c>
      <c r="K3879" t="s">
        <v>181</v>
      </c>
      <c r="L3879" t="s">
        <v>3333</v>
      </c>
      <c r="M3879">
        <v>19</v>
      </c>
      <c r="N3879">
        <v>0.63</v>
      </c>
      <c r="O3879" t="s">
        <v>3334</v>
      </c>
      <c r="P3879">
        <v>50.99</v>
      </c>
      <c r="Q3879">
        <v>5</v>
      </c>
      <c r="R3879" t="s">
        <v>3403</v>
      </c>
      <c r="S3879" t="s">
        <v>4821</v>
      </c>
      <c r="T3879" t="s">
        <v>3402</v>
      </c>
      <c r="U3879">
        <v>47</v>
      </c>
      <c r="V3879" t="s">
        <v>3574</v>
      </c>
    </row>
    <row r="3880" spans="1:22" x14ac:dyDescent="0.15">
      <c r="A3880">
        <v>32</v>
      </c>
      <c r="B3880">
        <v>2026</v>
      </c>
      <c r="C3880" s="55">
        <v>46246</v>
      </c>
      <c r="D3880" t="s">
        <v>47</v>
      </c>
      <c r="E3880" t="s">
        <v>48</v>
      </c>
      <c r="F3880" t="s">
        <v>21</v>
      </c>
      <c r="G3880">
        <v>2</v>
      </c>
      <c r="H3880" t="s">
        <v>4778</v>
      </c>
      <c r="I3880" t="s">
        <v>4779</v>
      </c>
      <c r="J3880" s="1" t="s">
        <v>3732</v>
      </c>
      <c r="K3880" t="s">
        <v>181</v>
      </c>
      <c r="L3880" t="s">
        <v>3333</v>
      </c>
      <c r="M3880">
        <v>19</v>
      </c>
      <c r="N3880">
        <v>0.13</v>
      </c>
      <c r="O3880" t="s">
        <v>3334</v>
      </c>
      <c r="P3880">
        <v>10.199999999999999</v>
      </c>
      <c r="Q3880">
        <v>1</v>
      </c>
      <c r="R3880" t="s">
        <v>3403</v>
      </c>
      <c r="S3880" t="s">
        <v>4822</v>
      </c>
      <c r="T3880" t="s">
        <v>3402</v>
      </c>
      <c r="U3880">
        <v>174</v>
      </c>
      <c r="V3880" t="s">
        <v>3463</v>
      </c>
    </row>
    <row r="3881" spans="1:22" x14ac:dyDescent="0.15">
      <c r="A3881">
        <v>32</v>
      </c>
      <c r="B3881">
        <v>2026</v>
      </c>
      <c r="C3881" s="55">
        <v>46246</v>
      </c>
      <c r="D3881" t="s">
        <v>3749</v>
      </c>
      <c r="E3881" t="s">
        <v>676</v>
      </c>
      <c r="F3881" t="s">
        <v>676</v>
      </c>
      <c r="G3881">
        <v>1</v>
      </c>
      <c r="H3881" t="s">
        <v>3750</v>
      </c>
      <c r="I3881" t="s">
        <v>3751</v>
      </c>
      <c r="J3881" s="1" t="s">
        <v>676</v>
      </c>
      <c r="K3881" t="s">
        <v>181</v>
      </c>
      <c r="L3881" t="s">
        <v>3333</v>
      </c>
      <c r="M3881">
        <v>19</v>
      </c>
      <c r="N3881">
        <v>0.21</v>
      </c>
      <c r="O3881" t="s">
        <v>3334</v>
      </c>
      <c r="P3881">
        <v>17.2</v>
      </c>
      <c r="Q3881">
        <v>2</v>
      </c>
      <c r="R3881" t="s">
        <v>3403</v>
      </c>
      <c r="S3881" t="s">
        <v>4823</v>
      </c>
      <c r="T3881" t="s">
        <v>3402</v>
      </c>
      <c r="U3881">
        <v>223</v>
      </c>
      <c r="V3881" t="s">
        <v>4824</v>
      </c>
    </row>
    <row r="3882" spans="1:22" x14ac:dyDescent="0.15">
      <c r="A3882">
        <v>32</v>
      </c>
      <c r="B3882">
        <v>2026</v>
      </c>
      <c r="C3882" s="55">
        <v>46246</v>
      </c>
      <c r="D3882" t="s">
        <v>3749</v>
      </c>
      <c r="E3882" t="s">
        <v>676</v>
      </c>
      <c r="F3882" t="s">
        <v>676</v>
      </c>
      <c r="G3882">
        <v>1</v>
      </c>
      <c r="H3882" t="s">
        <v>3750</v>
      </c>
      <c r="I3882" t="s">
        <v>3751</v>
      </c>
      <c r="J3882" s="1" t="s">
        <v>676</v>
      </c>
      <c r="K3882" t="s">
        <v>181</v>
      </c>
      <c r="L3882" t="s">
        <v>3333</v>
      </c>
      <c r="M3882">
        <v>19</v>
      </c>
      <c r="N3882">
        <v>0.13</v>
      </c>
      <c r="O3882" t="s">
        <v>3334</v>
      </c>
      <c r="P3882">
        <v>10.199999999999999</v>
      </c>
      <c r="Q3882">
        <v>2</v>
      </c>
      <c r="R3882" t="s">
        <v>3403</v>
      </c>
      <c r="S3882" t="s">
        <v>4825</v>
      </c>
      <c r="T3882" t="s">
        <v>3402</v>
      </c>
      <c r="U3882">
        <v>223</v>
      </c>
      <c r="V3882" t="s">
        <v>3472</v>
      </c>
    </row>
    <row r="3883" spans="1:22" x14ac:dyDescent="0.15">
      <c r="A3883">
        <v>32</v>
      </c>
      <c r="B3883">
        <v>2026</v>
      </c>
      <c r="C3883" s="55">
        <v>46247</v>
      </c>
      <c r="D3883" t="s">
        <v>39</v>
      </c>
      <c r="E3883" t="s">
        <v>40</v>
      </c>
      <c r="F3883" t="s">
        <v>21</v>
      </c>
      <c r="G3883">
        <v>1.91</v>
      </c>
      <c r="H3883" t="s">
        <v>3937</v>
      </c>
      <c r="I3883" t="s">
        <v>309</v>
      </c>
      <c r="J3883" s="1" t="s">
        <v>307</v>
      </c>
      <c r="K3883" t="s">
        <v>181</v>
      </c>
      <c r="L3883" t="s">
        <v>3340</v>
      </c>
      <c r="M3883">
        <v>45</v>
      </c>
      <c r="N3883">
        <v>1.54</v>
      </c>
      <c r="O3883" t="s">
        <v>211</v>
      </c>
      <c r="P3883">
        <v>84.5</v>
      </c>
      <c r="R3883" t="s">
        <v>3377</v>
      </c>
      <c r="S3883" t="s">
        <v>4826</v>
      </c>
      <c r="T3883" t="s">
        <v>3337</v>
      </c>
      <c r="U3883">
        <v>210</v>
      </c>
      <c r="V3883" t="s">
        <v>4827</v>
      </c>
    </row>
    <row r="3884" spans="1:22" x14ac:dyDescent="0.15">
      <c r="A3884">
        <v>32</v>
      </c>
      <c r="B3884">
        <v>2026</v>
      </c>
      <c r="C3884" s="55">
        <v>46247</v>
      </c>
      <c r="D3884" t="s">
        <v>39</v>
      </c>
      <c r="E3884" t="s">
        <v>40</v>
      </c>
      <c r="F3884" t="s">
        <v>21</v>
      </c>
      <c r="G3884">
        <v>1.91</v>
      </c>
      <c r="H3884" t="s">
        <v>3937</v>
      </c>
      <c r="I3884" t="s">
        <v>309</v>
      </c>
      <c r="J3884" s="1" t="s">
        <v>307</v>
      </c>
      <c r="K3884" t="s">
        <v>181</v>
      </c>
      <c r="L3884" t="s">
        <v>3340</v>
      </c>
      <c r="M3884">
        <v>58</v>
      </c>
      <c r="N3884">
        <v>1.58</v>
      </c>
      <c r="O3884" t="s">
        <v>211</v>
      </c>
      <c r="P3884">
        <v>86.75</v>
      </c>
      <c r="R3884" t="s">
        <v>3343</v>
      </c>
      <c r="S3884" t="s">
        <v>4828</v>
      </c>
      <c r="T3884" t="s">
        <v>3337</v>
      </c>
      <c r="U3884">
        <v>210</v>
      </c>
      <c r="V3884" t="s">
        <v>4829</v>
      </c>
    </row>
    <row r="3885" spans="1:22" x14ac:dyDescent="0.15">
      <c r="A3885">
        <v>32</v>
      </c>
      <c r="B3885">
        <v>2026</v>
      </c>
      <c r="C3885" s="55">
        <v>46247</v>
      </c>
      <c r="D3885" t="s">
        <v>39</v>
      </c>
      <c r="E3885" t="s">
        <v>40</v>
      </c>
      <c r="F3885" t="s">
        <v>21</v>
      </c>
      <c r="G3885">
        <v>1.91</v>
      </c>
      <c r="H3885" t="s">
        <v>3937</v>
      </c>
      <c r="I3885" t="s">
        <v>309</v>
      </c>
      <c r="J3885" s="1" t="s">
        <v>307</v>
      </c>
      <c r="K3885" t="s">
        <v>181</v>
      </c>
      <c r="L3885" t="s">
        <v>3340</v>
      </c>
      <c r="M3885">
        <v>53</v>
      </c>
      <c r="N3885">
        <v>1.45</v>
      </c>
      <c r="O3885" t="s">
        <v>211</v>
      </c>
      <c r="P3885">
        <v>80</v>
      </c>
      <c r="R3885" t="s">
        <v>3373</v>
      </c>
      <c r="S3885" t="s">
        <v>4830</v>
      </c>
      <c r="T3885" t="s">
        <v>3337</v>
      </c>
      <c r="U3885">
        <v>210</v>
      </c>
      <c r="V3885" t="s">
        <v>3430</v>
      </c>
    </row>
    <row r="3886" spans="1:22" x14ac:dyDescent="0.15">
      <c r="A3886">
        <v>32</v>
      </c>
      <c r="B3886">
        <v>2026</v>
      </c>
      <c r="C3886" s="55">
        <v>46247</v>
      </c>
      <c r="D3886" t="s">
        <v>39</v>
      </c>
      <c r="E3886" t="s">
        <v>40</v>
      </c>
      <c r="F3886" t="s">
        <v>21</v>
      </c>
      <c r="G3886">
        <v>1.91</v>
      </c>
      <c r="H3886" t="s">
        <v>3937</v>
      </c>
      <c r="I3886" t="s">
        <v>309</v>
      </c>
      <c r="J3886" s="1" t="s">
        <v>307</v>
      </c>
      <c r="K3886" t="s">
        <v>181</v>
      </c>
      <c r="L3886" t="s">
        <v>3340</v>
      </c>
      <c r="M3886">
        <v>62</v>
      </c>
      <c r="N3886">
        <v>1.64</v>
      </c>
      <c r="O3886" t="s">
        <v>211</v>
      </c>
      <c r="P3886">
        <v>90</v>
      </c>
      <c r="R3886" t="s">
        <v>3375</v>
      </c>
      <c r="S3886" t="s">
        <v>4831</v>
      </c>
      <c r="T3886" t="s">
        <v>3337</v>
      </c>
      <c r="U3886">
        <v>210</v>
      </c>
      <c r="V3886" t="s">
        <v>4832</v>
      </c>
    </row>
    <row r="3887" spans="1:22" x14ac:dyDescent="0.15">
      <c r="A3887">
        <v>32</v>
      </c>
      <c r="B3887">
        <v>2026</v>
      </c>
      <c r="C3887" s="55">
        <v>46247</v>
      </c>
      <c r="D3887" t="s">
        <v>39</v>
      </c>
      <c r="E3887" t="s">
        <v>40</v>
      </c>
      <c r="F3887" t="s">
        <v>21</v>
      </c>
      <c r="G3887">
        <v>1.91</v>
      </c>
      <c r="H3887" t="s">
        <v>3937</v>
      </c>
      <c r="I3887" t="s">
        <v>309</v>
      </c>
      <c r="J3887" s="1" t="s">
        <v>307</v>
      </c>
      <c r="K3887" t="s">
        <v>181</v>
      </c>
      <c r="L3887" t="s">
        <v>3340</v>
      </c>
      <c r="M3887">
        <v>81</v>
      </c>
      <c r="N3887">
        <v>1.35</v>
      </c>
      <c r="O3887" t="s">
        <v>211</v>
      </c>
      <c r="P3887">
        <v>74</v>
      </c>
      <c r="R3887" t="s">
        <v>3374</v>
      </c>
      <c r="S3887" t="s">
        <v>4833</v>
      </c>
      <c r="T3887" t="s">
        <v>3337</v>
      </c>
      <c r="U3887">
        <v>210</v>
      </c>
      <c r="V3887" t="s">
        <v>4834</v>
      </c>
    </row>
    <row r="3888" spans="1:22" x14ac:dyDescent="0.15">
      <c r="A3888">
        <v>32</v>
      </c>
      <c r="B3888">
        <v>2026</v>
      </c>
      <c r="C3888" s="55">
        <v>46247</v>
      </c>
      <c r="D3888" t="s">
        <v>139</v>
      </c>
      <c r="E3888" t="s">
        <v>140</v>
      </c>
      <c r="F3888" t="s">
        <v>75</v>
      </c>
      <c r="G3888">
        <v>0.8</v>
      </c>
      <c r="H3888" t="s">
        <v>4778</v>
      </c>
      <c r="I3888" t="s">
        <v>4779</v>
      </c>
      <c r="J3888" s="1" t="s">
        <v>3732</v>
      </c>
      <c r="K3888" t="s">
        <v>181</v>
      </c>
      <c r="L3888" t="s">
        <v>3340</v>
      </c>
      <c r="M3888">
        <v>176</v>
      </c>
      <c r="N3888">
        <v>3</v>
      </c>
      <c r="O3888" t="s">
        <v>211</v>
      </c>
      <c r="P3888">
        <v>165</v>
      </c>
      <c r="R3888" t="s">
        <v>4361</v>
      </c>
      <c r="S3888" t="s">
        <v>4835</v>
      </c>
      <c r="T3888" t="s">
        <v>3337</v>
      </c>
      <c r="U3888">
        <v>79</v>
      </c>
      <c r="V3888" t="s">
        <v>4836</v>
      </c>
    </row>
    <row r="3889" spans="1:22" x14ac:dyDescent="0.15">
      <c r="A3889">
        <v>32</v>
      </c>
      <c r="B3889">
        <v>2026</v>
      </c>
      <c r="C3889" s="55">
        <v>46247</v>
      </c>
      <c r="D3889" t="s">
        <v>139</v>
      </c>
      <c r="E3889" t="s">
        <v>140</v>
      </c>
      <c r="F3889" t="s">
        <v>75</v>
      </c>
      <c r="G3889">
        <v>0.8</v>
      </c>
      <c r="H3889" t="s">
        <v>4778</v>
      </c>
      <c r="I3889" t="s">
        <v>4779</v>
      </c>
      <c r="J3889" s="1" t="s">
        <v>3732</v>
      </c>
      <c r="K3889" t="s">
        <v>181</v>
      </c>
      <c r="L3889" t="s">
        <v>3333</v>
      </c>
      <c r="M3889">
        <v>2</v>
      </c>
      <c r="N3889">
        <v>0.38</v>
      </c>
      <c r="O3889" t="s">
        <v>3440</v>
      </c>
      <c r="P3889">
        <v>33.93</v>
      </c>
      <c r="Q3889">
        <v>3</v>
      </c>
      <c r="R3889" t="s">
        <v>3424</v>
      </c>
      <c r="T3889" t="s">
        <v>3337</v>
      </c>
      <c r="U3889">
        <v>79</v>
      </c>
      <c r="V3889" t="s">
        <v>4780</v>
      </c>
    </row>
    <row r="3890" spans="1:22" x14ac:dyDescent="0.15">
      <c r="A3890">
        <v>32</v>
      </c>
      <c r="B3890">
        <v>2026</v>
      </c>
      <c r="C3890" s="55">
        <v>46247</v>
      </c>
      <c r="D3890" t="s">
        <v>139</v>
      </c>
      <c r="E3890" t="s">
        <v>140</v>
      </c>
      <c r="F3890" t="s">
        <v>75</v>
      </c>
      <c r="G3890">
        <v>0.8</v>
      </c>
      <c r="H3890" t="s">
        <v>4778</v>
      </c>
      <c r="I3890" t="s">
        <v>4779</v>
      </c>
      <c r="J3890" s="1" t="s">
        <v>3732</v>
      </c>
      <c r="K3890" t="s">
        <v>181</v>
      </c>
      <c r="L3890" t="s">
        <v>3340</v>
      </c>
      <c r="M3890">
        <v>25</v>
      </c>
      <c r="N3890">
        <v>0.49</v>
      </c>
      <c r="O3890" t="s">
        <v>211</v>
      </c>
      <c r="P3890">
        <v>27</v>
      </c>
      <c r="Q3890">
        <v>3</v>
      </c>
      <c r="R3890" t="s">
        <v>3413</v>
      </c>
      <c r="T3890" t="s">
        <v>3337</v>
      </c>
      <c r="U3890">
        <v>79</v>
      </c>
      <c r="V3890" t="s">
        <v>3575</v>
      </c>
    </row>
    <row r="3891" spans="1:22" x14ac:dyDescent="0.15">
      <c r="A3891">
        <v>32</v>
      </c>
      <c r="B3891">
        <v>2026</v>
      </c>
      <c r="C3891" s="55">
        <v>46247</v>
      </c>
      <c r="D3891" t="s">
        <v>139</v>
      </c>
      <c r="E3891" t="s">
        <v>140</v>
      </c>
      <c r="F3891" t="s">
        <v>75</v>
      </c>
      <c r="G3891">
        <v>0.8</v>
      </c>
      <c r="H3891" t="s">
        <v>4778</v>
      </c>
      <c r="I3891" t="s">
        <v>4779</v>
      </c>
      <c r="J3891" s="1" t="s">
        <v>3732</v>
      </c>
      <c r="K3891" t="s">
        <v>181</v>
      </c>
      <c r="L3891" t="s">
        <v>3340</v>
      </c>
      <c r="M3891">
        <v>52</v>
      </c>
      <c r="N3891">
        <v>0.49</v>
      </c>
      <c r="O3891" t="s">
        <v>211</v>
      </c>
      <c r="P3891">
        <v>27</v>
      </c>
      <c r="Q3891">
        <v>3</v>
      </c>
      <c r="R3891" t="s">
        <v>4763</v>
      </c>
      <c r="T3891" t="s">
        <v>3337</v>
      </c>
      <c r="U3891">
        <v>79</v>
      </c>
      <c r="V3891" t="s">
        <v>3575</v>
      </c>
    </row>
    <row r="3892" spans="1:22" x14ac:dyDescent="0.15">
      <c r="A3892">
        <v>32</v>
      </c>
      <c r="B3892">
        <v>2026</v>
      </c>
      <c r="C3892" s="55">
        <v>46247</v>
      </c>
      <c r="D3892" t="s">
        <v>139</v>
      </c>
      <c r="E3892" t="s">
        <v>140</v>
      </c>
      <c r="F3892" t="s">
        <v>75</v>
      </c>
      <c r="G3892">
        <v>0.8</v>
      </c>
      <c r="H3892" t="s">
        <v>4778</v>
      </c>
      <c r="I3892" t="s">
        <v>4779</v>
      </c>
      <c r="J3892" s="1" t="s">
        <v>3732</v>
      </c>
      <c r="K3892" t="s">
        <v>181</v>
      </c>
      <c r="L3892" t="s">
        <v>3340</v>
      </c>
      <c r="M3892">
        <v>90</v>
      </c>
      <c r="N3892">
        <v>0.49</v>
      </c>
      <c r="O3892" t="s">
        <v>211</v>
      </c>
      <c r="P3892">
        <v>27</v>
      </c>
      <c r="Q3892">
        <v>3</v>
      </c>
      <c r="R3892" t="s">
        <v>4764</v>
      </c>
      <c r="T3892" t="s">
        <v>3337</v>
      </c>
      <c r="U3892">
        <v>79</v>
      </c>
      <c r="V3892" t="s">
        <v>3575</v>
      </c>
    </row>
    <row r="3893" spans="1:22" x14ac:dyDescent="0.15">
      <c r="A3893">
        <v>32</v>
      </c>
      <c r="B3893">
        <v>2026</v>
      </c>
      <c r="C3893" s="55">
        <v>46247</v>
      </c>
      <c r="D3893" t="s">
        <v>135</v>
      </c>
      <c r="E3893" t="s">
        <v>136</v>
      </c>
      <c r="F3893" t="s">
        <v>21</v>
      </c>
      <c r="G3893">
        <v>1</v>
      </c>
      <c r="H3893" t="s">
        <v>3400</v>
      </c>
      <c r="I3893" t="s">
        <v>353</v>
      </c>
      <c r="J3893" s="1" t="s">
        <v>253</v>
      </c>
      <c r="K3893" t="s">
        <v>181</v>
      </c>
      <c r="L3893" t="s">
        <v>3340</v>
      </c>
      <c r="M3893">
        <v>176</v>
      </c>
      <c r="N3893">
        <v>3</v>
      </c>
      <c r="O3893" t="s">
        <v>211</v>
      </c>
      <c r="P3893">
        <v>165</v>
      </c>
      <c r="R3893" t="s">
        <v>4361</v>
      </c>
      <c r="S3893" t="s">
        <v>4835</v>
      </c>
      <c r="T3893" t="s">
        <v>3337</v>
      </c>
      <c r="U3893">
        <v>48</v>
      </c>
      <c r="V3893" t="s">
        <v>4837</v>
      </c>
    </row>
    <row r="3894" spans="1:22" x14ac:dyDescent="0.15">
      <c r="A3894">
        <v>32</v>
      </c>
      <c r="B3894">
        <v>2026</v>
      </c>
      <c r="C3894" s="55">
        <v>46247</v>
      </c>
      <c r="D3894" t="s">
        <v>135</v>
      </c>
      <c r="E3894" t="s">
        <v>136</v>
      </c>
      <c r="F3894" t="s">
        <v>21</v>
      </c>
      <c r="G3894">
        <v>1</v>
      </c>
      <c r="H3894" t="s">
        <v>3400</v>
      </c>
      <c r="I3894" t="s">
        <v>353</v>
      </c>
      <c r="J3894" s="1" t="s">
        <v>253</v>
      </c>
      <c r="K3894" t="s">
        <v>181</v>
      </c>
      <c r="L3894" t="s">
        <v>3333</v>
      </c>
      <c r="M3894">
        <v>2</v>
      </c>
      <c r="N3894">
        <v>0.63</v>
      </c>
      <c r="O3894" t="s">
        <v>3440</v>
      </c>
      <c r="P3894">
        <v>56.56</v>
      </c>
      <c r="Q3894">
        <v>5</v>
      </c>
      <c r="R3894" t="s">
        <v>3424</v>
      </c>
      <c r="T3894" t="s">
        <v>3337</v>
      </c>
      <c r="U3894">
        <v>48</v>
      </c>
      <c r="V3894" t="s">
        <v>4200</v>
      </c>
    </row>
    <row r="3895" spans="1:22" x14ac:dyDescent="0.15">
      <c r="A3895">
        <v>32</v>
      </c>
      <c r="B3895">
        <v>2026</v>
      </c>
      <c r="C3895" s="55">
        <v>46247</v>
      </c>
      <c r="D3895" t="s">
        <v>135</v>
      </c>
      <c r="E3895" t="s">
        <v>136</v>
      </c>
      <c r="F3895" t="s">
        <v>21</v>
      </c>
      <c r="G3895">
        <v>1</v>
      </c>
      <c r="H3895" t="s">
        <v>3400</v>
      </c>
      <c r="I3895" t="s">
        <v>353</v>
      </c>
      <c r="J3895" s="1" t="s">
        <v>253</v>
      </c>
      <c r="K3895" t="s">
        <v>181</v>
      </c>
      <c r="L3895" t="s">
        <v>3340</v>
      </c>
      <c r="M3895">
        <v>25</v>
      </c>
      <c r="N3895">
        <v>0.16</v>
      </c>
      <c r="O3895" t="s">
        <v>211</v>
      </c>
      <c r="P3895">
        <v>9</v>
      </c>
      <c r="Q3895">
        <v>1</v>
      </c>
      <c r="R3895" t="s">
        <v>3413</v>
      </c>
      <c r="T3895" t="s">
        <v>3337</v>
      </c>
      <c r="U3895">
        <v>48</v>
      </c>
      <c r="V3895" t="s">
        <v>3473</v>
      </c>
    </row>
    <row r="3896" spans="1:22" x14ac:dyDescent="0.15">
      <c r="A3896">
        <v>32</v>
      </c>
      <c r="B3896">
        <v>2026</v>
      </c>
      <c r="C3896" s="55">
        <v>46247</v>
      </c>
      <c r="D3896" t="s">
        <v>135</v>
      </c>
      <c r="E3896" t="s">
        <v>136</v>
      </c>
      <c r="F3896" t="s">
        <v>21</v>
      </c>
      <c r="G3896">
        <v>1</v>
      </c>
      <c r="H3896" t="s">
        <v>3400</v>
      </c>
      <c r="I3896" t="s">
        <v>353</v>
      </c>
      <c r="J3896" s="1" t="s">
        <v>253</v>
      </c>
      <c r="K3896" t="s">
        <v>181</v>
      </c>
      <c r="L3896" t="s">
        <v>3340</v>
      </c>
      <c r="M3896">
        <v>52</v>
      </c>
      <c r="N3896">
        <v>0.16</v>
      </c>
      <c r="O3896" t="s">
        <v>211</v>
      </c>
      <c r="P3896">
        <v>9</v>
      </c>
      <c r="Q3896">
        <v>1</v>
      </c>
      <c r="R3896" t="s">
        <v>4763</v>
      </c>
      <c r="T3896" t="s">
        <v>3337</v>
      </c>
      <c r="U3896">
        <v>48</v>
      </c>
      <c r="V3896" t="s">
        <v>3473</v>
      </c>
    </row>
    <row r="3897" spans="1:22" x14ac:dyDescent="0.15">
      <c r="A3897">
        <v>32</v>
      </c>
      <c r="B3897">
        <v>2026</v>
      </c>
      <c r="C3897" s="55">
        <v>46247</v>
      </c>
      <c r="D3897" t="s">
        <v>135</v>
      </c>
      <c r="E3897" t="s">
        <v>136</v>
      </c>
      <c r="F3897" t="s">
        <v>21</v>
      </c>
      <c r="G3897">
        <v>1</v>
      </c>
      <c r="H3897" t="s">
        <v>3400</v>
      </c>
      <c r="I3897" t="s">
        <v>353</v>
      </c>
      <c r="J3897" s="1" t="s">
        <v>253</v>
      </c>
      <c r="K3897" t="s">
        <v>181</v>
      </c>
      <c r="L3897" t="s">
        <v>3340</v>
      </c>
      <c r="M3897">
        <v>90</v>
      </c>
      <c r="N3897">
        <v>0.16</v>
      </c>
      <c r="O3897" t="s">
        <v>211</v>
      </c>
      <c r="P3897">
        <v>9</v>
      </c>
      <c r="Q3897">
        <v>1</v>
      </c>
      <c r="R3897" t="s">
        <v>4764</v>
      </c>
      <c r="T3897" t="s">
        <v>3337</v>
      </c>
      <c r="U3897">
        <v>48</v>
      </c>
      <c r="V3897" t="s">
        <v>3473</v>
      </c>
    </row>
    <row r="3898" spans="1:22" x14ac:dyDescent="0.15">
      <c r="A3898">
        <v>32</v>
      </c>
      <c r="B3898">
        <v>2026</v>
      </c>
      <c r="C3898" s="55">
        <v>46247</v>
      </c>
      <c r="D3898" t="s">
        <v>3749</v>
      </c>
      <c r="E3898" t="s">
        <v>676</v>
      </c>
      <c r="F3898" t="s">
        <v>676</v>
      </c>
      <c r="G3898">
        <v>1</v>
      </c>
      <c r="H3898" t="s">
        <v>3750</v>
      </c>
      <c r="I3898" t="s">
        <v>3751</v>
      </c>
      <c r="J3898" s="1" t="s">
        <v>676</v>
      </c>
      <c r="K3898" t="s">
        <v>181</v>
      </c>
      <c r="L3898" t="s">
        <v>3340</v>
      </c>
      <c r="M3898">
        <v>81</v>
      </c>
      <c r="N3898">
        <v>0.63</v>
      </c>
      <c r="O3898" t="s">
        <v>211</v>
      </c>
      <c r="P3898">
        <v>34.590000000000003</v>
      </c>
      <c r="R3898" t="s">
        <v>3374</v>
      </c>
      <c r="T3898" t="s">
        <v>3337</v>
      </c>
      <c r="U3898">
        <v>224</v>
      </c>
      <c r="V3898" t="s">
        <v>4838</v>
      </c>
    </row>
    <row r="3899" spans="1:22" x14ac:dyDescent="0.15">
      <c r="A3899">
        <v>32</v>
      </c>
      <c r="B3899">
        <v>2026</v>
      </c>
      <c r="C3899" s="55">
        <v>46247</v>
      </c>
      <c r="D3899" t="s">
        <v>3749</v>
      </c>
      <c r="E3899" t="s">
        <v>676</v>
      </c>
      <c r="F3899" t="s">
        <v>676</v>
      </c>
      <c r="G3899">
        <v>1</v>
      </c>
      <c r="H3899" t="s">
        <v>3750</v>
      </c>
      <c r="I3899" t="s">
        <v>3751</v>
      </c>
      <c r="J3899" s="1" t="s">
        <v>676</v>
      </c>
      <c r="K3899" t="s">
        <v>181</v>
      </c>
      <c r="L3899" t="s">
        <v>3340</v>
      </c>
      <c r="M3899">
        <v>52</v>
      </c>
      <c r="N3899">
        <v>0.63</v>
      </c>
      <c r="O3899" t="s">
        <v>211</v>
      </c>
      <c r="P3899">
        <v>34.590000000000003</v>
      </c>
      <c r="R3899" t="s">
        <v>4763</v>
      </c>
      <c r="T3899" t="s">
        <v>3337</v>
      </c>
      <c r="U3899">
        <v>224</v>
      </c>
      <c r="V3899" t="s">
        <v>4838</v>
      </c>
    </row>
    <row r="3900" spans="1:22" x14ac:dyDescent="0.15">
      <c r="A3900">
        <v>32</v>
      </c>
      <c r="B3900">
        <v>2026</v>
      </c>
      <c r="C3900" s="55">
        <v>46247</v>
      </c>
      <c r="D3900" t="s">
        <v>3749</v>
      </c>
      <c r="E3900" t="s">
        <v>676</v>
      </c>
      <c r="F3900" t="s">
        <v>676</v>
      </c>
      <c r="G3900">
        <v>1</v>
      </c>
      <c r="H3900" t="s">
        <v>3750</v>
      </c>
      <c r="I3900" t="s">
        <v>3751</v>
      </c>
      <c r="J3900" s="1" t="s">
        <v>676</v>
      </c>
      <c r="K3900" t="s">
        <v>181</v>
      </c>
      <c r="L3900" t="s">
        <v>3340</v>
      </c>
      <c r="M3900">
        <v>25</v>
      </c>
      <c r="N3900">
        <v>0.63</v>
      </c>
      <c r="O3900" t="s">
        <v>211</v>
      </c>
      <c r="P3900">
        <v>34.590000000000003</v>
      </c>
      <c r="R3900" t="s">
        <v>3413</v>
      </c>
      <c r="T3900" t="s">
        <v>3337</v>
      </c>
      <c r="U3900">
        <v>224</v>
      </c>
      <c r="V3900" t="s">
        <v>4838</v>
      </c>
    </row>
    <row r="3901" spans="1:22" x14ac:dyDescent="0.15">
      <c r="A3901">
        <v>32</v>
      </c>
      <c r="B3901">
        <v>2026</v>
      </c>
      <c r="C3901" s="55">
        <v>46247</v>
      </c>
      <c r="D3901" t="s">
        <v>3749</v>
      </c>
      <c r="E3901" t="s">
        <v>676</v>
      </c>
      <c r="F3901" t="s">
        <v>676</v>
      </c>
      <c r="G3901">
        <v>1</v>
      </c>
      <c r="H3901" t="s">
        <v>3750</v>
      </c>
      <c r="I3901" t="s">
        <v>3751</v>
      </c>
      <c r="J3901" s="1" t="s">
        <v>676</v>
      </c>
      <c r="K3901" t="s">
        <v>181</v>
      </c>
      <c r="L3901" t="s">
        <v>3340</v>
      </c>
      <c r="M3901">
        <v>90</v>
      </c>
      <c r="N3901">
        <v>0.63</v>
      </c>
      <c r="O3901" t="s">
        <v>211</v>
      </c>
      <c r="P3901">
        <v>34.590000000000003</v>
      </c>
      <c r="R3901" t="s">
        <v>4764</v>
      </c>
      <c r="T3901" t="s">
        <v>3337</v>
      </c>
      <c r="U3901">
        <v>224</v>
      </c>
      <c r="V3901" t="s">
        <v>4838</v>
      </c>
    </row>
    <row r="3902" spans="1:22" x14ac:dyDescent="0.15">
      <c r="A3902">
        <v>32</v>
      </c>
      <c r="B3902">
        <v>2026</v>
      </c>
      <c r="C3902" s="55">
        <v>46247</v>
      </c>
      <c r="D3902" t="s">
        <v>101</v>
      </c>
      <c r="E3902" t="s">
        <v>102</v>
      </c>
      <c r="F3902" t="s">
        <v>75</v>
      </c>
      <c r="G3902">
        <v>7.6</v>
      </c>
      <c r="H3902" t="s">
        <v>3453</v>
      </c>
      <c r="I3902" t="s">
        <v>187</v>
      </c>
      <c r="J3902" s="1" t="s">
        <v>188</v>
      </c>
      <c r="K3902" t="s">
        <v>181</v>
      </c>
      <c r="L3902" t="s">
        <v>3333</v>
      </c>
      <c r="M3902">
        <v>1</v>
      </c>
      <c r="N3902">
        <v>0.5</v>
      </c>
      <c r="O3902" t="s">
        <v>3358</v>
      </c>
      <c r="P3902">
        <v>35.93</v>
      </c>
      <c r="Q3902">
        <v>4</v>
      </c>
      <c r="R3902" t="s">
        <v>3359</v>
      </c>
      <c r="T3902" t="s">
        <v>3337</v>
      </c>
      <c r="U3902">
        <v>107</v>
      </c>
      <c r="V3902" t="s">
        <v>4239</v>
      </c>
    </row>
    <row r="3903" spans="1:22" x14ac:dyDescent="0.15">
      <c r="A3903">
        <v>32</v>
      </c>
      <c r="B3903">
        <v>2026</v>
      </c>
      <c r="C3903" s="55">
        <v>46247</v>
      </c>
      <c r="D3903" t="s">
        <v>101</v>
      </c>
      <c r="E3903" t="s">
        <v>102</v>
      </c>
      <c r="F3903" t="s">
        <v>75</v>
      </c>
      <c r="G3903">
        <v>7.6</v>
      </c>
      <c r="H3903" t="s">
        <v>3454</v>
      </c>
      <c r="I3903" t="s">
        <v>212</v>
      </c>
      <c r="J3903" s="1" t="s">
        <v>188</v>
      </c>
      <c r="K3903" t="s">
        <v>181</v>
      </c>
      <c r="L3903" t="s">
        <v>3333</v>
      </c>
      <c r="M3903">
        <v>1</v>
      </c>
      <c r="N3903">
        <v>0.5</v>
      </c>
      <c r="O3903" t="s">
        <v>3358</v>
      </c>
      <c r="P3903">
        <v>35.93</v>
      </c>
      <c r="Q3903">
        <v>4</v>
      </c>
      <c r="R3903" t="s">
        <v>3359</v>
      </c>
      <c r="T3903" t="s">
        <v>3337</v>
      </c>
      <c r="U3903">
        <v>107</v>
      </c>
      <c r="V3903" t="s">
        <v>4239</v>
      </c>
    </row>
    <row r="3904" spans="1:22" x14ac:dyDescent="0.15">
      <c r="A3904">
        <v>32</v>
      </c>
      <c r="B3904">
        <v>2026</v>
      </c>
      <c r="C3904" s="55">
        <v>46247</v>
      </c>
      <c r="D3904" t="s">
        <v>437</v>
      </c>
      <c r="E3904" t="s">
        <v>437</v>
      </c>
      <c r="F3904" t="s">
        <v>4435</v>
      </c>
      <c r="G3904">
        <v>1</v>
      </c>
      <c r="H3904" t="s">
        <v>6200</v>
      </c>
      <c r="I3904" t="s">
        <v>6201</v>
      </c>
      <c r="J3904" s="1" t="s">
        <v>4383</v>
      </c>
      <c r="K3904" t="s">
        <v>181</v>
      </c>
      <c r="L3904" t="s">
        <v>3340</v>
      </c>
      <c r="M3904">
        <v>58</v>
      </c>
      <c r="N3904">
        <v>0.49</v>
      </c>
      <c r="O3904" t="s">
        <v>211</v>
      </c>
      <c r="P3904">
        <v>27</v>
      </c>
      <c r="Q3904">
        <v>3</v>
      </c>
      <c r="R3904" t="s">
        <v>3343</v>
      </c>
      <c r="T3904" t="s">
        <v>3337</v>
      </c>
      <c r="U3904">
        <v>224</v>
      </c>
      <c r="V3904" t="s">
        <v>273</v>
      </c>
    </row>
    <row r="3905" spans="1:22" x14ac:dyDescent="0.15">
      <c r="A3905">
        <v>32</v>
      </c>
      <c r="B3905">
        <v>2026</v>
      </c>
      <c r="C3905" s="55">
        <v>46247</v>
      </c>
      <c r="D3905" t="s">
        <v>437</v>
      </c>
      <c r="E3905" t="s">
        <v>437</v>
      </c>
      <c r="F3905" t="s">
        <v>4435</v>
      </c>
      <c r="G3905">
        <v>1</v>
      </c>
      <c r="H3905" t="s">
        <v>6200</v>
      </c>
      <c r="I3905" t="s">
        <v>6201</v>
      </c>
      <c r="J3905" s="1" t="s">
        <v>4383</v>
      </c>
      <c r="K3905" t="s">
        <v>181</v>
      </c>
      <c r="L3905" t="s">
        <v>3340</v>
      </c>
      <c r="M3905">
        <v>53</v>
      </c>
      <c r="N3905">
        <v>0.49</v>
      </c>
      <c r="O3905" t="s">
        <v>211</v>
      </c>
      <c r="P3905">
        <v>27</v>
      </c>
      <c r="Q3905">
        <v>3</v>
      </c>
      <c r="R3905" t="s">
        <v>3373</v>
      </c>
      <c r="T3905" t="s">
        <v>3337</v>
      </c>
      <c r="U3905">
        <v>224</v>
      </c>
      <c r="V3905" t="s">
        <v>273</v>
      </c>
    </row>
    <row r="3906" spans="1:22" x14ac:dyDescent="0.15">
      <c r="A3906">
        <v>32</v>
      </c>
      <c r="B3906">
        <v>2026</v>
      </c>
      <c r="C3906" s="55">
        <v>46247</v>
      </c>
      <c r="D3906" t="s">
        <v>437</v>
      </c>
      <c r="E3906" t="s">
        <v>437</v>
      </c>
      <c r="F3906" t="s">
        <v>4435</v>
      </c>
      <c r="G3906">
        <v>1</v>
      </c>
      <c r="H3906" t="s">
        <v>6200</v>
      </c>
      <c r="I3906" t="s">
        <v>6201</v>
      </c>
      <c r="J3906" s="1" t="s">
        <v>4383</v>
      </c>
      <c r="K3906" t="s">
        <v>181</v>
      </c>
      <c r="L3906" t="s">
        <v>3340</v>
      </c>
      <c r="M3906">
        <v>62</v>
      </c>
      <c r="N3906">
        <v>0.49</v>
      </c>
      <c r="O3906" t="s">
        <v>211</v>
      </c>
      <c r="P3906">
        <v>27</v>
      </c>
      <c r="Q3906">
        <v>3</v>
      </c>
      <c r="R3906" t="s">
        <v>3375</v>
      </c>
      <c r="T3906" t="s">
        <v>3337</v>
      </c>
      <c r="U3906">
        <v>224</v>
      </c>
      <c r="V3906" t="s">
        <v>273</v>
      </c>
    </row>
    <row r="3907" spans="1:22" x14ac:dyDescent="0.15">
      <c r="A3907">
        <v>32</v>
      </c>
      <c r="B3907">
        <v>2026</v>
      </c>
      <c r="C3907" s="55">
        <v>46247</v>
      </c>
      <c r="D3907" t="s">
        <v>437</v>
      </c>
      <c r="E3907" t="s">
        <v>437</v>
      </c>
      <c r="F3907" t="s">
        <v>4435</v>
      </c>
      <c r="G3907">
        <v>1</v>
      </c>
      <c r="H3907" t="s">
        <v>6200</v>
      </c>
      <c r="I3907" t="s">
        <v>6201</v>
      </c>
      <c r="J3907" s="1" t="s">
        <v>4383</v>
      </c>
      <c r="K3907" t="s">
        <v>181</v>
      </c>
      <c r="L3907" t="s">
        <v>3340</v>
      </c>
      <c r="M3907">
        <v>81</v>
      </c>
      <c r="N3907">
        <v>0.49</v>
      </c>
      <c r="O3907" t="s">
        <v>211</v>
      </c>
      <c r="P3907">
        <v>27</v>
      </c>
      <c r="Q3907">
        <v>3</v>
      </c>
      <c r="R3907" t="s">
        <v>3374</v>
      </c>
      <c r="T3907" t="s">
        <v>3337</v>
      </c>
      <c r="U3907">
        <v>224</v>
      </c>
      <c r="V3907" t="s">
        <v>273</v>
      </c>
    </row>
    <row r="3908" spans="1:22" x14ac:dyDescent="0.15">
      <c r="A3908">
        <v>32</v>
      </c>
      <c r="B3908">
        <v>2026</v>
      </c>
      <c r="C3908" s="55">
        <v>46247</v>
      </c>
      <c r="D3908" t="s">
        <v>39</v>
      </c>
      <c r="E3908" t="s">
        <v>40</v>
      </c>
      <c r="F3908" t="s">
        <v>21</v>
      </c>
      <c r="G3908">
        <v>1.91</v>
      </c>
      <c r="H3908" t="s">
        <v>3945</v>
      </c>
      <c r="I3908" t="s">
        <v>3686</v>
      </c>
      <c r="J3908" s="1" t="s">
        <v>3437</v>
      </c>
      <c r="K3908" t="s">
        <v>181</v>
      </c>
      <c r="L3908" t="s">
        <v>3333</v>
      </c>
      <c r="M3908">
        <v>67</v>
      </c>
      <c r="N3908">
        <v>0.5</v>
      </c>
      <c r="O3908" t="s">
        <v>3334</v>
      </c>
      <c r="P3908">
        <v>40.79</v>
      </c>
      <c r="Q3908">
        <v>4</v>
      </c>
      <c r="R3908" t="s">
        <v>3404</v>
      </c>
      <c r="T3908" t="s">
        <v>3402</v>
      </c>
      <c r="U3908">
        <v>210</v>
      </c>
      <c r="V3908" t="s">
        <v>3510</v>
      </c>
    </row>
    <row r="3909" spans="1:22" x14ac:dyDescent="0.15">
      <c r="A3909">
        <v>32</v>
      </c>
      <c r="B3909">
        <v>2026</v>
      </c>
      <c r="C3909" s="55">
        <v>46247</v>
      </c>
      <c r="D3909" t="s">
        <v>3749</v>
      </c>
      <c r="E3909" t="s">
        <v>676</v>
      </c>
      <c r="F3909" t="s">
        <v>676</v>
      </c>
      <c r="G3909">
        <v>1</v>
      </c>
      <c r="H3909" t="s">
        <v>3750</v>
      </c>
      <c r="I3909" t="s">
        <v>3751</v>
      </c>
      <c r="J3909" s="1" t="s">
        <v>676</v>
      </c>
      <c r="K3909" t="s">
        <v>181</v>
      </c>
      <c r="L3909" t="s">
        <v>3333</v>
      </c>
      <c r="M3909">
        <v>67</v>
      </c>
      <c r="N3909">
        <v>0.19</v>
      </c>
      <c r="O3909" t="s">
        <v>3334</v>
      </c>
      <c r="P3909">
        <v>15.3</v>
      </c>
      <c r="Q3909">
        <v>1.5</v>
      </c>
      <c r="R3909" t="s">
        <v>3404</v>
      </c>
      <c r="T3909" t="s">
        <v>3402</v>
      </c>
      <c r="U3909">
        <v>224</v>
      </c>
      <c r="V3909" t="s">
        <v>3475</v>
      </c>
    </row>
    <row r="3910" spans="1:22" x14ac:dyDescent="0.15">
      <c r="A3910">
        <v>32</v>
      </c>
      <c r="B3910">
        <v>2026</v>
      </c>
      <c r="C3910" s="55">
        <v>46247</v>
      </c>
      <c r="D3910" t="s">
        <v>153</v>
      </c>
      <c r="E3910" t="s">
        <v>154</v>
      </c>
      <c r="F3910" t="s">
        <v>21</v>
      </c>
      <c r="G3910">
        <v>8</v>
      </c>
      <c r="H3910" t="s">
        <v>3852</v>
      </c>
      <c r="I3910" t="s">
        <v>3467</v>
      </c>
      <c r="J3910" s="1" t="s">
        <v>3468</v>
      </c>
      <c r="K3910" t="s">
        <v>181</v>
      </c>
      <c r="L3910" t="s">
        <v>3333</v>
      </c>
      <c r="M3910">
        <v>67</v>
      </c>
      <c r="N3910">
        <v>0.31</v>
      </c>
      <c r="O3910" t="s">
        <v>3334</v>
      </c>
      <c r="P3910">
        <v>25.49</v>
      </c>
      <c r="Q3910">
        <v>2.5</v>
      </c>
      <c r="R3910" t="s">
        <v>3404</v>
      </c>
      <c r="T3910" t="s">
        <v>3402</v>
      </c>
      <c r="V3910" t="s">
        <v>272</v>
      </c>
    </row>
    <row r="3911" spans="1:22" x14ac:dyDescent="0.15">
      <c r="A3911">
        <v>32</v>
      </c>
      <c r="B3911">
        <v>2026</v>
      </c>
      <c r="C3911" s="55">
        <v>46247</v>
      </c>
      <c r="D3911" t="s">
        <v>3749</v>
      </c>
      <c r="E3911" t="s">
        <v>676</v>
      </c>
      <c r="F3911" t="s">
        <v>676</v>
      </c>
      <c r="G3911">
        <v>1</v>
      </c>
      <c r="H3911" t="s">
        <v>3750</v>
      </c>
      <c r="I3911" t="s">
        <v>3751</v>
      </c>
      <c r="J3911" s="1" t="s">
        <v>676</v>
      </c>
      <c r="K3911" t="s">
        <v>181</v>
      </c>
      <c r="L3911" t="s">
        <v>3340</v>
      </c>
      <c r="M3911">
        <v>67</v>
      </c>
      <c r="N3911">
        <v>0.46</v>
      </c>
      <c r="O3911" t="s">
        <v>211</v>
      </c>
      <c r="P3911">
        <v>25.54</v>
      </c>
      <c r="R3911" t="s">
        <v>3404</v>
      </c>
      <c r="T3911" t="s">
        <v>3402</v>
      </c>
      <c r="U3911">
        <v>224</v>
      </c>
      <c r="V3911" t="s">
        <v>4839</v>
      </c>
    </row>
    <row r="3912" spans="1:22" x14ac:dyDescent="0.15">
      <c r="A3912">
        <v>32</v>
      </c>
      <c r="B3912">
        <v>2026</v>
      </c>
      <c r="C3912" s="55">
        <v>46247</v>
      </c>
      <c r="D3912" t="s">
        <v>153</v>
      </c>
      <c r="E3912" t="s">
        <v>154</v>
      </c>
      <c r="F3912" t="s">
        <v>21</v>
      </c>
      <c r="G3912">
        <v>8</v>
      </c>
      <c r="H3912" t="s">
        <v>3852</v>
      </c>
      <c r="I3912" t="s">
        <v>3467</v>
      </c>
      <c r="J3912" s="1" t="s">
        <v>3468</v>
      </c>
      <c r="K3912" t="s">
        <v>181</v>
      </c>
      <c r="L3912" t="s">
        <v>3333</v>
      </c>
      <c r="M3912">
        <v>78</v>
      </c>
      <c r="N3912">
        <v>0.81</v>
      </c>
      <c r="O3912" t="s">
        <v>3334</v>
      </c>
      <c r="P3912">
        <v>66.28</v>
      </c>
      <c r="Q3912">
        <v>6.5</v>
      </c>
      <c r="R3912" t="s">
        <v>3341</v>
      </c>
      <c r="T3912" t="s">
        <v>3402</v>
      </c>
      <c r="V3912" t="s">
        <v>4743</v>
      </c>
    </row>
    <row r="3913" spans="1:22" x14ac:dyDescent="0.15">
      <c r="A3913">
        <v>32</v>
      </c>
      <c r="B3913">
        <v>2026</v>
      </c>
      <c r="C3913" s="55">
        <v>46247</v>
      </c>
      <c r="D3913" t="s">
        <v>3749</v>
      </c>
      <c r="E3913" t="s">
        <v>676</v>
      </c>
      <c r="F3913" t="s">
        <v>676</v>
      </c>
      <c r="G3913">
        <v>1</v>
      </c>
      <c r="H3913" t="s">
        <v>3750</v>
      </c>
      <c r="I3913" t="s">
        <v>3751</v>
      </c>
      <c r="J3913" s="1" t="s">
        <v>676</v>
      </c>
      <c r="K3913" t="s">
        <v>181</v>
      </c>
      <c r="L3913" t="s">
        <v>3333</v>
      </c>
      <c r="M3913">
        <v>78</v>
      </c>
      <c r="N3913">
        <v>0.19</v>
      </c>
      <c r="O3913" t="s">
        <v>3334</v>
      </c>
      <c r="P3913">
        <v>15.3</v>
      </c>
      <c r="Q3913">
        <v>1.5</v>
      </c>
      <c r="R3913" t="s">
        <v>3341</v>
      </c>
      <c r="T3913" t="s">
        <v>3402</v>
      </c>
      <c r="U3913">
        <v>224</v>
      </c>
      <c r="V3913" t="s">
        <v>3475</v>
      </c>
    </row>
    <row r="3914" spans="1:22" x14ac:dyDescent="0.15">
      <c r="A3914">
        <v>32</v>
      </c>
      <c r="B3914">
        <v>2026</v>
      </c>
      <c r="C3914" s="55">
        <v>46247</v>
      </c>
      <c r="D3914" t="s">
        <v>3749</v>
      </c>
      <c r="E3914" t="s">
        <v>676</v>
      </c>
      <c r="F3914" t="s">
        <v>676</v>
      </c>
      <c r="G3914">
        <v>1</v>
      </c>
      <c r="H3914" t="s">
        <v>3750</v>
      </c>
      <c r="I3914" t="s">
        <v>3751</v>
      </c>
      <c r="J3914" s="1" t="s">
        <v>676</v>
      </c>
      <c r="K3914" t="s">
        <v>181</v>
      </c>
      <c r="L3914" t="s">
        <v>3340</v>
      </c>
      <c r="M3914">
        <v>78</v>
      </c>
      <c r="N3914">
        <v>0.35</v>
      </c>
      <c r="O3914" t="s">
        <v>211</v>
      </c>
      <c r="P3914">
        <v>19.3</v>
      </c>
      <c r="R3914" t="s">
        <v>3341</v>
      </c>
      <c r="T3914" t="s">
        <v>3402</v>
      </c>
      <c r="U3914">
        <v>224</v>
      </c>
      <c r="V3914" t="s">
        <v>4840</v>
      </c>
    </row>
    <row r="3915" spans="1:22" x14ac:dyDescent="0.15">
      <c r="A3915">
        <v>32</v>
      </c>
      <c r="B3915">
        <v>2026</v>
      </c>
      <c r="C3915" s="55">
        <v>46247</v>
      </c>
      <c r="D3915" t="s">
        <v>153</v>
      </c>
      <c r="E3915" t="s">
        <v>154</v>
      </c>
      <c r="F3915" t="s">
        <v>21</v>
      </c>
      <c r="G3915">
        <v>8</v>
      </c>
      <c r="H3915" t="s">
        <v>3852</v>
      </c>
      <c r="I3915" t="s">
        <v>3467</v>
      </c>
      <c r="J3915" s="1" t="s">
        <v>3468</v>
      </c>
      <c r="K3915" t="s">
        <v>181</v>
      </c>
      <c r="L3915" t="s">
        <v>3333</v>
      </c>
      <c r="M3915">
        <v>19</v>
      </c>
      <c r="N3915">
        <v>0.81</v>
      </c>
      <c r="O3915" t="s">
        <v>3334</v>
      </c>
      <c r="P3915">
        <v>66.28</v>
      </c>
      <c r="Q3915">
        <v>6.5</v>
      </c>
      <c r="R3915" t="s">
        <v>3403</v>
      </c>
      <c r="T3915" t="s">
        <v>3402</v>
      </c>
      <c r="V3915" t="s">
        <v>4743</v>
      </c>
    </row>
    <row r="3916" spans="1:22" x14ac:dyDescent="0.15">
      <c r="A3916">
        <v>32</v>
      </c>
      <c r="B3916">
        <v>2026</v>
      </c>
      <c r="C3916" s="55">
        <v>46247</v>
      </c>
      <c r="D3916" t="s">
        <v>3749</v>
      </c>
      <c r="E3916" t="s">
        <v>676</v>
      </c>
      <c r="F3916" t="s">
        <v>676</v>
      </c>
      <c r="G3916">
        <v>1</v>
      </c>
      <c r="H3916" t="s">
        <v>3750</v>
      </c>
      <c r="I3916" t="s">
        <v>3751</v>
      </c>
      <c r="J3916" s="1" t="s">
        <v>676</v>
      </c>
      <c r="K3916" t="s">
        <v>181</v>
      </c>
      <c r="L3916" t="s">
        <v>3333</v>
      </c>
      <c r="M3916">
        <v>19</v>
      </c>
      <c r="N3916">
        <v>0.19</v>
      </c>
      <c r="O3916" t="s">
        <v>3334</v>
      </c>
      <c r="P3916">
        <v>15.3</v>
      </c>
      <c r="Q3916">
        <v>1.5</v>
      </c>
      <c r="R3916" t="s">
        <v>3403</v>
      </c>
      <c r="T3916" t="s">
        <v>3402</v>
      </c>
      <c r="U3916">
        <v>224</v>
      </c>
      <c r="V3916" t="s">
        <v>3475</v>
      </c>
    </row>
    <row r="3917" spans="1:22" x14ac:dyDescent="0.15">
      <c r="A3917">
        <v>32</v>
      </c>
      <c r="B3917">
        <v>2026</v>
      </c>
      <c r="C3917" s="55">
        <v>46247</v>
      </c>
      <c r="D3917" t="s">
        <v>3749</v>
      </c>
      <c r="E3917" t="s">
        <v>676</v>
      </c>
      <c r="F3917" t="s">
        <v>676</v>
      </c>
      <c r="G3917">
        <v>1</v>
      </c>
      <c r="H3917" t="s">
        <v>3750</v>
      </c>
      <c r="I3917" t="s">
        <v>3751</v>
      </c>
      <c r="J3917" s="1" t="s">
        <v>676</v>
      </c>
      <c r="K3917" t="s">
        <v>181</v>
      </c>
      <c r="L3917" t="s">
        <v>3340</v>
      </c>
      <c r="M3917">
        <v>19</v>
      </c>
      <c r="N3917">
        <v>0.35</v>
      </c>
      <c r="O3917" t="s">
        <v>211</v>
      </c>
      <c r="P3917">
        <v>19.3</v>
      </c>
      <c r="R3917" t="s">
        <v>3403</v>
      </c>
      <c r="T3917" t="s">
        <v>3402</v>
      </c>
      <c r="U3917">
        <v>224</v>
      </c>
      <c r="V3917" t="s">
        <v>4840</v>
      </c>
    </row>
    <row r="3918" spans="1:22" x14ac:dyDescent="0.15">
      <c r="A3918">
        <v>32</v>
      </c>
      <c r="B3918">
        <v>2026</v>
      </c>
      <c r="C3918" s="55">
        <v>46247</v>
      </c>
      <c r="D3918" t="s">
        <v>141</v>
      </c>
      <c r="E3918" t="s">
        <v>142</v>
      </c>
      <c r="F3918" t="s">
        <v>75</v>
      </c>
      <c r="G3918">
        <v>1</v>
      </c>
      <c r="H3918" t="s">
        <v>4767</v>
      </c>
      <c r="I3918" t="s">
        <v>4768</v>
      </c>
      <c r="J3918" s="1" t="s">
        <v>3533</v>
      </c>
      <c r="K3918" t="s">
        <v>181</v>
      </c>
      <c r="L3918" t="s">
        <v>3340</v>
      </c>
      <c r="M3918">
        <v>4</v>
      </c>
      <c r="N3918">
        <v>0</v>
      </c>
      <c r="O3918" t="s">
        <v>211</v>
      </c>
      <c r="P3918">
        <v>0</v>
      </c>
      <c r="R3918" t="s">
        <v>3773</v>
      </c>
      <c r="T3918" t="s">
        <v>3402</v>
      </c>
      <c r="U3918">
        <v>51</v>
      </c>
      <c r="V3918" t="s">
        <v>88</v>
      </c>
    </row>
    <row r="3919" spans="1:22" x14ac:dyDescent="0.15">
      <c r="A3919">
        <v>32</v>
      </c>
      <c r="B3919">
        <v>2026</v>
      </c>
      <c r="C3919" s="55">
        <v>46247</v>
      </c>
      <c r="D3919" t="s">
        <v>141</v>
      </c>
      <c r="E3919" t="s">
        <v>142</v>
      </c>
      <c r="F3919" t="s">
        <v>75</v>
      </c>
      <c r="G3919">
        <v>1</v>
      </c>
      <c r="H3919" t="s">
        <v>4767</v>
      </c>
      <c r="I3919" t="s">
        <v>4768</v>
      </c>
      <c r="J3919" s="1" t="s">
        <v>3533</v>
      </c>
      <c r="K3919" t="s">
        <v>181</v>
      </c>
      <c r="L3919" t="s">
        <v>3340</v>
      </c>
      <c r="M3919">
        <v>84</v>
      </c>
      <c r="N3919">
        <v>0</v>
      </c>
      <c r="O3919" t="s">
        <v>211</v>
      </c>
      <c r="P3919">
        <v>0</v>
      </c>
      <c r="R3919" t="s">
        <v>3446</v>
      </c>
      <c r="T3919" t="s">
        <v>3402</v>
      </c>
      <c r="U3919">
        <v>51</v>
      </c>
      <c r="V3919" t="s">
        <v>88</v>
      </c>
    </row>
    <row r="3920" spans="1:22" x14ac:dyDescent="0.15">
      <c r="A3920">
        <v>33</v>
      </c>
      <c r="B3920">
        <v>2026</v>
      </c>
      <c r="C3920" s="55">
        <v>46248</v>
      </c>
      <c r="D3920" t="s">
        <v>437</v>
      </c>
      <c r="E3920" t="s">
        <v>437</v>
      </c>
      <c r="F3920" t="s">
        <v>4435</v>
      </c>
      <c r="G3920">
        <v>1</v>
      </c>
      <c r="H3920" t="s">
        <v>6200</v>
      </c>
      <c r="I3920" t="s">
        <v>6201</v>
      </c>
      <c r="J3920" s="1" t="s">
        <v>4383</v>
      </c>
      <c r="K3920" t="s">
        <v>181</v>
      </c>
      <c r="L3920" t="s">
        <v>3340</v>
      </c>
      <c r="M3920">
        <v>58</v>
      </c>
      <c r="N3920">
        <v>0.61</v>
      </c>
      <c r="O3920" t="s">
        <v>211</v>
      </c>
      <c r="P3920">
        <v>33.299999999999997</v>
      </c>
      <c r="Q3920">
        <v>3.7</v>
      </c>
      <c r="R3920" t="s">
        <v>3343</v>
      </c>
      <c r="T3920" t="s">
        <v>3337</v>
      </c>
      <c r="U3920">
        <v>225</v>
      </c>
      <c r="V3920" t="s">
        <v>6274</v>
      </c>
    </row>
    <row r="3921" spans="1:22" x14ac:dyDescent="0.15">
      <c r="A3921">
        <v>33</v>
      </c>
      <c r="B3921">
        <v>2026</v>
      </c>
      <c r="C3921" s="55">
        <v>46248</v>
      </c>
      <c r="D3921" t="s">
        <v>437</v>
      </c>
      <c r="E3921" t="s">
        <v>437</v>
      </c>
      <c r="F3921" t="s">
        <v>4435</v>
      </c>
      <c r="G3921">
        <v>1</v>
      </c>
      <c r="H3921" t="s">
        <v>6200</v>
      </c>
      <c r="I3921" t="s">
        <v>6201</v>
      </c>
      <c r="J3921" s="1" t="s">
        <v>4383</v>
      </c>
      <c r="K3921" t="s">
        <v>181</v>
      </c>
      <c r="L3921" t="s">
        <v>3340</v>
      </c>
      <c r="M3921">
        <v>53</v>
      </c>
      <c r="N3921">
        <v>0.61</v>
      </c>
      <c r="O3921" t="s">
        <v>211</v>
      </c>
      <c r="P3921">
        <v>33.299999999999997</v>
      </c>
      <c r="Q3921">
        <v>3.7</v>
      </c>
      <c r="R3921" t="s">
        <v>3373</v>
      </c>
      <c r="T3921" t="s">
        <v>3337</v>
      </c>
      <c r="U3921">
        <v>225</v>
      </c>
      <c r="V3921" t="s">
        <v>6274</v>
      </c>
    </row>
    <row r="3922" spans="1:22" x14ac:dyDescent="0.15">
      <c r="A3922">
        <v>33</v>
      </c>
      <c r="B3922">
        <v>2026</v>
      </c>
      <c r="C3922" s="55">
        <v>46248</v>
      </c>
      <c r="D3922" t="s">
        <v>437</v>
      </c>
      <c r="E3922" t="s">
        <v>437</v>
      </c>
      <c r="F3922" t="s">
        <v>4435</v>
      </c>
      <c r="G3922">
        <v>1</v>
      </c>
      <c r="H3922" t="s">
        <v>6200</v>
      </c>
      <c r="I3922" t="s">
        <v>6201</v>
      </c>
      <c r="J3922" s="1" t="s">
        <v>4383</v>
      </c>
      <c r="K3922" t="s">
        <v>181</v>
      </c>
      <c r="L3922" t="s">
        <v>3340</v>
      </c>
      <c r="M3922">
        <v>62</v>
      </c>
      <c r="N3922">
        <v>0.61</v>
      </c>
      <c r="O3922" t="s">
        <v>211</v>
      </c>
      <c r="P3922">
        <v>33.299999999999997</v>
      </c>
      <c r="Q3922">
        <v>3.7</v>
      </c>
      <c r="R3922" t="s">
        <v>3375</v>
      </c>
      <c r="T3922" t="s">
        <v>3337</v>
      </c>
      <c r="U3922">
        <v>225</v>
      </c>
      <c r="V3922" t="s">
        <v>6274</v>
      </c>
    </row>
    <row r="3923" spans="1:22" x14ac:dyDescent="0.15">
      <c r="A3923">
        <v>33</v>
      </c>
      <c r="B3923">
        <v>2026</v>
      </c>
      <c r="C3923" s="55">
        <v>46248</v>
      </c>
      <c r="D3923" t="s">
        <v>437</v>
      </c>
      <c r="E3923" t="s">
        <v>437</v>
      </c>
      <c r="F3923" t="s">
        <v>4435</v>
      </c>
      <c r="G3923">
        <v>1</v>
      </c>
      <c r="H3923" t="s">
        <v>6200</v>
      </c>
      <c r="I3923" t="s">
        <v>6201</v>
      </c>
      <c r="J3923" s="1" t="s">
        <v>4383</v>
      </c>
      <c r="K3923" t="s">
        <v>181</v>
      </c>
      <c r="L3923" t="s">
        <v>3340</v>
      </c>
      <c r="M3923">
        <v>81</v>
      </c>
      <c r="N3923">
        <v>0.61</v>
      </c>
      <c r="O3923" t="s">
        <v>211</v>
      </c>
      <c r="P3923">
        <v>33.299999999999997</v>
      </c>
      <c r="Q3923">
        <v>3.7</v>
      </c>
      <c r="R3923" t="s">
        <v>3374</v>
      </c>
      <c r="T3923" t="s">
        <v>3337</v>
      </c>
      <c r="U3923">
        <v>225</v>
      </c>
      <c r="V3923" t="s">
        <v>6274</v>
      </c>
    </row>
    <row r="3924" spans="1:22" x14ac:dyDescent="0.15">
      <c r="A3924">
        <v>33</v>
      </c>
      <c r="B3924">
        <v>2026</v>
      </c>
      <c r="C3924" s="55">
        <v>46248</v>
      </c>
      <c r="D3924" t="s">
        <v>437</v>
      </c>
      <c r="E3924" t="s">
        <v>437</v>
      </c>
      <c r="F3924" t="s">
        <v>4435</v>
      </c>
      <c r="G3924">
        <v>1</v>
      </c>
      <c r="H3924" t="s">
        <v>6200</v>
      </c>
      <c r="I3924" t="s">
        <v>6201</v>
      </c>
      <c r="J3924" s="1" t="s">
        <v>4383</v>
      </c>
      <c r="K3924" t="s">
        <v>181</v>
      </c>
      <c r="L3924" t="s">
        <v>3340</v>
      </c>
      <c r="M3924">
        <v>45</v>
      </c>
      <c r="N3924">
        <v>0.61</v>
      </c>
      <c r="O3924" t="s">
        <v>211</v>
      </c>
      <c r="P3924">
        <v>33.299999999999997</v>
      </c>
      <c r="Q3924">
        <v>3.7</v>
      </c>
      <c r="R3924" t="s">
        <v>3377</v>
      </c>
      <c r="T3924" t="s">
        <v>3337</v>
      </c>
      <c r="U3924">
        <v>225</v>
      </c>
      <c r="V3924" t="s">
        <v>6274</v>
      </c>
    </row>
    <row r="3925" spans="1:22" x14ac:dyDescent="0.15">
      <c r="A3925">
        <v>33</v>
      </c>
      <c r="B3925">
        <v>2026</v>
      </c>
      <c r="C3925" s="55">
        <v>46248</v>
      </c>
      <c r="D3925" t="s">
        <v>3749</v>
      </c>
      <c r="E3925" t="s">
        <v>676</v>
      </c>
      <c r="F3925" t="s">
        <v>676</v>
      </c>
      <c r="G3925">
        <v>1</v>
      </c>
      <c r="H3925" t="s">
        <v>3750</v>
      </c>
      <c r="I3925" t="s">
        <v>3751</v>
      </c>
      <c r="J3925" s="1" t="s">
        <v>676</v>
      </c>
      <c r="K3925" t="s">
        <v>181</v>
      </c>
      <c r="L3925" t="s">
        <v>3340</v>
      </c>
      <c r="M3925">
        <v>58</v>
      </c>
      <c r="N3925">
        <v>0.87</v>
      </c>
      <c r="O3925" t="s">
        <v>211</v>
      </c>
      <c r="P3925">
        <v>47.9</v>
      </c>
      <c r="R3925" t="s">
        <v>3343</v>
      </c>
      <c r="T3925" t="s">
        <v>3337</v>
      </c>
      <c r="U3925">
        <v>225</v>
      </c>
      <c r="V3925" t="s">
        <v>6275</v>
      </c>
    </row>
    <row r="3926" spans="1:22" x14ac:dyDescent="0.15">
      <c r="A3926">
        <v>33</v>
      </c>
      <c r="B3926">
        <v>2026</v>
      </c>
      <c r="C3926" s="55">
        <v>46248</v>
      </c>
      <c r="D3926" t="s">
        <v>3749</v>
      </c>
      <c r="E3926" t="s">
        <v>676</v>
      </c>
      <c r="F3926" t="s">
        <v>676</v>
      </c>
      <c r="G3926">
        <v>1</v>
      </c>
      <c r="H3926" t="s">
        <v>3750</v>
      </c>
      <c r="I3926" t="s">
        <v>3751</v>
      </c>
      <c r="J3926" s="1" t="s">
        <v>676</v>
      </c>
      <c r="K3926" t="s">
        <v>181</v>
      </c>
      <c r="L3926" t="s">
        <v>3340</v>
      </c>
      <c r="M3926">
        <v>53</v>
      </c>
      <c r="N3926">
        <v>0.87</v>
      </c>
      <c r="O3926" t="s">
        <v>211</v>
      </c>
      <c r="P3926">
        <v>47.9</v>
      </c>
      <c r="R3926" t="s">
        <v>3373</v>
      </c>
      <c r="T3926" t="s">
        <v>3337</v>
      </c>
      <c r="U3926">
        <v>225</v>
      </c>
      <c r="V3926" t="s">
        <v>6275</v>
      </c>
    </row>
    <row r="3927" spans="1:22" x14ac:dyDescent="0.15">
      <c r="A3927">
        <v>33</v>
      </c>
      <c r="B3927">
        <v>2026</v>
      </c>
      <c r="C3927" s="55">
        <v>46248</v>
      </c>
      <c r="D3927" t="s">
        <v>3749</v>
      </c>
      <c r="E3927" t="s">
        <v>676</v>
      </c>
      <c r="F3927" t="s">
        <v>676</v>
      </c>
      <c r="G3927">
        <v>1</v>
      </c>
      <c r="H3927" t="s">
        <v>3750</v>
      </c>
      <c r="I3927" t="s">
        <v>3751</v>
      </c>
      <c r="J3927" s="1" t="s">
        <v>676</v>
      </c>
      <c r="K3927" t="s">
        <v>181</v>
      </c>
      <c r="L3927" t="s">
        <v>3340</v>
      </c>
      <c r="M3927">
        <v>62</v>
      </c>
      <c r="N3927">
        <v>0.87</v>
      </c>
      <c r="O3927" t="s">
        <v>211</v>
      </c>
      <c r="P3927">
        <v>47.9</v>
      </c>
      <c r="R3927" t="s">
        <v>3375</v>
      </c>
      <c r="T3927" t="s">
        <v>3337</v>
      </c>
      <c r="U3927">
        <v>225</v>
      </c>
      <c r="V3927" t="s">
        <v>6275</v>
      </c>
    </row>
    <row r="3928" spans="1:22" x14ac:dyDescent="0.15">
      <c r="A3928">
        <v>33</v>
      </c>
      <c r="B3928">
        <v>2026</v>
      </c>
      <c r="C3928" s="55">
        <v>46248</v>
      </c>
      <c r="D3928" t="s">
        <v>3749</v>
      </c>
      <c r="E3928" t="s">
        <v>676</v>
      </c>
      <c r="F3928" t="s">
        <v>676</v>
      </c>
      <c r="G3928">
        <v>1</v>
      </c>
      <c r="H3928" t="s">
        <v>3750</v>
      </c>
      <c r="I3928" t="s">
        <v>3751</v>
      </c>
      <c r="J3928" s="1" t="s">
        <v>676</v>
      </c>
      <c r="K3928" t="s">
        <v>181</v>
      </c>
      <c r="L3928" t="s">
        <v>3340</v>
      </c>
      <c r="M3928">
        <v>81</v>
      </c>
      <c r="N3928">
        <v>0.87</v>
      </c>
      <c r="O3928" t="s">
        <v>211</v>
      </c>
      <c r="P3928">
        <v>47.9</v>
      </c>
      <c r="R3928" t="s">
        <v>3374</v>
      </c>
      <c r="T3928" t="s">
        <v>3337</v>
      </c>
      <c r="U3928">
        <v>225</v>
      </c>
      <c r="V3928" t="s">
        <v>6275</v>
      </c>
    </row>
    <row r="3929" spans="1:22" x14ac:dyDescent="0.15">
      <c r="A3929">
        <v>33</v>
      </c>
      <c r="B3929">
        <v>2026</v>
      </c>
      <c r="C3929" s="55">
        <v>46248</v>
      </c>
      <c r="D3929" t="s">
        <v>3749</v>
      </c>
      <c r="E3929" t="s">
        <v>676</v>
      </c>
      <c r="F3929" t="s">
        <v>676</v>
      </c>
      <c r="G3929">
        <v>1</v>
      </c>
      <c r="H3929" t="s">
        <v>3750</v>
      </c>
      <c r="I3929" t="s">
        <v>3751</v>
      </c>
      <c r="J3929" s="1" t="s">
        <v>676</v>
      </c>
      <c r="K3929" t="s">
        <v>181</v>
      </c>
      <c r="L3929" t="s">
        <v>3340</v>
      </c>
      <c r="M3929">
        <v>45</v>
      </c>
      <c r="N3929">
        <v>0.87</v>
      </c>
      <c r="O3929" t="s">
        <v>211</v>
      </c>
      <c r="P3929">
        <v>47.9</v>
      </c>
      <c r="R3929" t="s">
        <v>3377</v>
      </c>
      <c r="T3929" t="s">
        <v>3337</v>
      </c>
      <c r="U3929">
        <v>225</v>
      </c>
      <c r="V3929" t="s">
        <v>6275</v>
      </c>
    </row>
    <row r="3930" spans="1:22" x14ac:dyDescent="0.15">
      <c r="A3930">
        <v>33</v>
      </c>
      <c r="B3930">
        <v>2026</v>
      </c>
      <c r="C3930" s="55">
        <v>46248</v>
      </c>
      <c r="D3930" t="s">
        <v>135</v>
      </c>
      <c r="E3930" t="s">
        <v>136</v>
      </c>
      <c r="F3930" t="s">
        <v>21</v>
      </c>
      <c r="G3930">
        <v>1</v>
      </c>
      <c r="H3930" t="s">
        <v>3391</v>
      </c>
      <c r="I3930" t="s">
        <v>353</v>
      </c>
      <c r="J3930" s="1" t="s">
        <v>253</v>
      </c>
      <c r="K3930" t="s">
        <v>181</v>
      </c>
      <c r="L3930" t="s">
        <v>23</v>
      </c>
      <c r="M3930">
        <v>176</v>
      </c>
      <c r="P3930">
        <v>38.5</v>
      </c>
      <c r="Q3930">
        <v>0.5</v>
      </c>
      <c r="R3930" t="s">
        <v>4361</v>
      </c>
      <c r="S3930" t="s">
        <v>6276</v>
      </c>
      <c r="T3930" t="s">
        <v>3337</v>
      </c>
      <c r="U3930">
        <v>49</v>
      </c>
      <c r="V3930" t="s">
        <v>332</v>
      </c>
    </row>
    <row r="3931" spans="1:22" x14ac:dyDescent="0.15">
      <c r="A3931">
        <v>33</v>
      </c>
      <c r="B3931">
        <v>2026</v>
      </c>
      <c r="C3931" s="55">
        <v>46248</v>
      </c>
      <c r="D3931" t="s">
        <v>91</v>
      </c>
      <c r="E3931" t="s">
        <v>92</v>
      </c>
      <c r="F3931" t="s">
        <v>21</v>
      </c>
      <c r="G3931">
        <v>1.3</v>
      </c>
      <c r="H3931" t="s">
        <v>3391</v>
      </c>
      <c r="I3931" t="s">
        <v>353</v>
      </c>
      <c r="J3931" s="1" t="s">
        <v>253</v>
      </c>
      <c r="K3931" t="s">
        <v>181</v>
      </c>
      <c r="L3931" t="s">
        <v>23</v>
      </c>
      <c r="M3931">
        <v>176</v>
      </c>
      <c r="P3931">
        <v>346.5</v>
      </c>
      <c r="Q3931">
        <v>5.5</v>
      </c>
      <c r="R3931" t="s">
        <v>4361</v>
      </c>
      <c r="T3931" t="s">
        <v>3337</v>
      </c>
      <c r="U3931">
        <v>118</v>
      </c>
      <c r="V3931" t="s">
        <v>6277</v>
      </c>
    </row>
    <row r="3932" spans="1:22" x14ac:dyDescent="0.15">
      <c r="A3932">
        <v>33</v>
      </c>
      <c r="B3932">
        <v>2026</v>
      </c>
      <c r="C3932" s="55">
        <v>46248</v>
      </c>
      <c r="D3932" t="s">
        <v>135</v>
      </c>
      <c r="E3932" t="s">
        <v>136</v>
      </c>
      <c r="F3932" t="s">
        <v>21</v>
      </c>
      <c r="G3932">
        <v>1</v>
      </c>
      <c r="H3932" t="s">
        <v>3391</v>
      </c>
      <c r="I3932" t="s">
        <v>353</v>
      </c>
      <c r="J3932" s="1" t="s">
        <v>253</v>
      </c>
      <c r="K3932" t="s">
        <v>181</v>
      </c>
      <c r="L3932" t="s">
        <v>3340</v>
      </c>
      <c r="M3932">
        <v>25</v>
      </c>
      <c r="N3932">
        <v>0.1</v>
      </c>
      <c r="O3932" t="s">
        <v>211</v>
      </c>
      <c r="P3932">
        <v>5.5</v>
      </c>
      <c r="Q3932">
        <v>0.5</v>
      </c>
      <c r="R3932" t="s">
        <v>3413</v>
      </c>
      <c r="T3932" t="s">
        <v>3337</v>
      </c>
      <c r="U3932">
        <v>49</v>
      </c>
      <c r="V3932" t="s">
        <v>6278</v>
      </c>
    </row>
    <row r="3933" spans="1:22" x14ac:dyDescent="0.15">
      <c r="A3933">
        <v>33</v>
      </c>
      <c r="B3933">
        <v>2026</v>
      </c>
      <c r="C3933" s="55">
        <v>46248</v>
      </c>
      <c r="D3933" t="s">
        <v>91</v>
      </c>
      <c r="E3933" t="s">
        <v>92</v>
      </c>
      <c r="F3933" t="s">
        <v>21</v>
      </c>
      <c r="G3933">
        <v>1.3</v>
      </c>
      <c r="H3933" t="s">
        <v>3391</v>
      </c>
      <c r="I3933" t="s">
        <v>353</v>
      </c>
      <c r="J3933" s="1" t="s">
        <v>253</v>
      </c>
      <c r="K3933" t="s">
        <v>181</v>
      </c>
      <c r="L3933" t="s">
        <v>3340</v>
      </c>
      <c r="M3933">
        <v>25</v>
      </c>
      <c r="N3933">
        <v>0.9</v>
      </c>
      <c r="O3933" t="s">
        <v>211</v>
      </c>
      <c r="P3933">
        <v>49.5</v>
      </c>
      <c r="Q3933">
        <v>5.5</v>
      </c>
      <c r="R3933" t="s">
        <v>3413</v>
      </c>
      <c r="T3933" t="s">
        <v>3337</v>
      </c>
      <c r="U3933">
        <v>118</v>
      </c>
      <c r="V3933" t="s">
        <v>6279</v>
      </c>
    </row>
    <row r="3934" spans="1:22" x14ac:dyDescent="0.15">
      <c r="A3934">
        <v>33</v>
      </c>
      <c r="B3934">
        <v>2026</v>
      </c>
      <c r="C3934" s="55">
        <v>46248</v>
      </c>
      <c r="D3934" t="s">
        <v>135</v>
      </c>
      <c r="E3934" t="s">
        <v>136</v>
      </c>
      <c r="F3934" t="s">
        <v>21</v>
      </c>
      <c r="G3934">
        <v>1</v>
      </c>
      <c r="H3934" t="s">
        <v>3391</v>
      </c>
      <c r="I3934" t="s">
        <v>353</v>
      </c>
      <c r="J3934" t="s">
        <v>253</v>
      </c>
      <c r="K3934" t="s">
        <v>181</v>
      </c>
      <c r="L3934" t="s">
        <v>3340</v>
      </c>
      <c r="M3934">
        <v>52</v>
      </c>
      <c r="N3934">
        <v>0.1</v>
      </c>
      <c r="O3934" t="s">
        <v>211</v>
      </c>
      <c r="P3934">
        <v>5.5</v>
      </c>
      <c r="Q3934">
        <v>0.5</v>
      </c>
      <c r="R3934" t="s">
        <v>4763</v>
      </c>
      <c r="T3934" t="s">
        <v>3337</v>
      </c>
      <c r="U3934">
        <v>49</v>
      </c>
      <c r="V3934" t="s">
        <v>6278</v>
      </c>
    </row>
    <row r="3935" spans="1:22" x14ac:dyDescent="0.15">
      <c r="A3935">
        <v>33</v>
      </c>
      <c r="B3935">
        <v>2026</v>
      </c>
      <c r="C3935" s="55">
        <v>46248</v>
      </c>
      <c r="D3935" t="s">
        <v>91</v>
      </c>
      <c r="E3935" t="s">
        <v>92</v>
      </c>
      <c r="F3935" t="s">
        <v>21</v>
      </c>
      <c r="G3935">
        <v>1.3</v>
      </c>
      <c r="H3935" t="s">
        <v>3391</v>
      </c>
      <c r="I3935" t="s">
        <v>353</v>
      </c>
      <c r="J3935" t="s">
        <v>253</v>
      </c>
      <c r="K3935" t="s">
        <v>181</v>
      </c>
      <c r="L3935" t="s">
        <v>3340</v>
      </c>
      <c r="M3935">
        <v>52</v>
      </c>
      <c r="N3935">
        <v>0.9</v>
      </c>
      <c r="O3935" t="s">
        <v>211</v>
      </c>
      <c r="P3935">
        <v>49.5</v>
      </c>
      <c r="Q3935">
        <v>5.5</v>
      </c>
      <c r="R3935" t="s">
        <v>4763</v>
      </c>
      <c r="T3935" t="s">
        <v>3337</v>
      </c>
      <c r="U3935">
        <v>118</v>
      </c>
      <c r="V3935" t="s">
        <v>6279</v>
      </c>
    </row>
    <row r="3936" spans="1:22" x14ac:dyDescent="0.15">
      <c r="A3936">
        <v>33</v>
      </c>
      <c r="B3936">
        <v>2026</v>
      </c>
      <c r="C3936" s="55">
        <v>46248</v>
      </c>
      <c r="D3936" t="s">
        <v>135</v>
      </c>
      <c r="E3936" t="s">
        <v>136</v>
      </c>
      <c r="F3936" t="s">
        <v>21</v>
      </c>
      <c r="G3936">
        <v>1</v>
      </c>
      <c r="H3936" t="s">
        <v>3391</v>
      </c>
      <c r="I3936" t="s">
        <v>353</v>
      </c>
      <c r="J3936" s="1" t="s">
        <v>253</v>
      </c>
      <c r="K3936" t="s">
        <v>181</v>
      </c>
      <c r="L3936" t="s">
        <v>3340</v>
      </c>
      <c r="M3936">
        <v>90</v>
      </c>
      <c r="N3936">
        <v>0.1</v>
      </c>
      <c r="O3936" t="s">
        <v>211</v>
      </c>
      <c r="P3936">
        <v>5.5</v>
      </c>
      <c r="Q3936">
        <v>0.5</v>
      </c>
      <c r="R3936" t="s">
        <v>4764</v>
      </c>
      <c r="T3936" t="s">
        <v>3337</v>
      </c>
      <c r="U3936">
        <v>49</v>
      </c>
      <c r="V3936" t="s">
        <v>6278</v>
      </c>
    </row>
    <row r="3937" spans="1:22" x14ac:dyDescent="0.15">
      <c r="A3937">
        <v>33</v>
      </c>
      <c r="B3937">
        <v>2026</v>
      </c>
      <c r="C3937" s="55">
        <v>46248</v>
      </c>
      <c r="D3937" t="s">
        <v>91</v>
      </c>
      <c r="E3937" t="s">
        <v>92</v>
      </c>
      <c r="F3937" t="s">
        <v>21</v>
      </c>
      <c r="G3937">
        <v>1.3</v>
      </c>
      <c r="H3937" t="s">
        <v>3391</v>
      </c>
      <c r="I3937" t="s">
        <v>353</v>
      </c>
      <c r="J3937" s="1" t="s">
        <v>253</v>
      </c>
      <c r="K3937" t="s">
        <v>181</v>
      </c>
      <c r="L3937" t="s">
        <v>3340</v>
      </c>
      <c r="M3937">
        <v>90</v>
      </c>
      <c r="N3937">
        <v>0.9</v>
      </c>
      <c r="O3937" t="s">
        <v>211</v>
      </c>
      <c r="P3937">
        <v>49.5</v>
      </c>
      <c r="Q3937">
        <v>5.5</v>
      </c>
      <c r="R3937" t="s">
        <v>4764</v>
      </c>
      <c r="T3937" t="s">
        <v>3337</v>
      </c>
      <c r="U3937">
        <v>118</v>
      </c>
      <c r="V3937" t="s">
        <v>6279</v>
      </c>
    </row>
    <row r="3938" spans="1:22" x14ac:dyDescent="0.15">
      <c r="A3938">
        <v>33</v>
      </c>
      <c r="B3938">
        <v>2026</v>
      </c>
      <c r="C3938" s="55">
        <v>46248</v>
      </c>
      <c r="D3938" t="s">
        <v>135</v>
      </c>
      <c r="E3938" t="s">
        <v>136</v>
      </c>
      <c r="F3938" t="s">
        <v>21</v>
      </c>
      <c r="G3938">
        <v>1</v>
      </c>
      <c r="H3938" t="s">
        <v>3391</v>
      </c>
      <c r="I3938" t="s">
        <v>353</v>
      </c>
      <c r="J3938" s="1" t="s">
        <v>253</v>
      </c>
      <c r="K3938" t="s">
        <v>181</v>
      </c>
      <c r="L3938" t="s">
        <v>3333</v>
      </c>
      <c r="M3938">
        <v>2</v>
      </c>
      <c r="N3938">
        <v>0.25</v>
      </c>
      <c r="O3938" t="s">
        <v>3440</v>
      </c>
      <c r="P3938">
        <v>22.62</v>
      </c>
      <c r="Q3938">
        <v>2</v>
      </c>
      <c r="R3938" t="s">
        <v>3424</v>
      </c>
      <c r="T3938" t="s">
        <v>3337</v>
      </c>
      <c r="U3938">
        <v>49</v>
      </c>
      <c r="V3938" t="s">
        <v>3630</v>
      </c>
    </row>
    <row r="3939" spans="1:22" x14ac:dyDescent="0.15">
      <c r="A3939">
        <v>33</v>
      </c>
      <c r="B3939">
        <v>2026</v>
      </c>
      <c r="C3939" s="55">
        <v>46248</v>
      </c>
      <c r="D3939" t="s">
        <v>91</v>
      </c>
      <c r="E3939" t="s">
        <v>92</v>
      </c>
      <c r="F3939" t="s">
        <v>21</v>
      </c>
      <c r="G3939">
        <v>1.3</v>
      </c>
      <c r="H3939" t="s">
        <v>3391</v>
      </c>
      <c r="I3939" t="s">
        <v>353</v>
      </c>
      <c r="J3939" s="1" t="s">
        <v>253</v>
      </c>
      <c r="K3939" t="s">
        <v>181</v>
      </c>
      <c r="L3939" t="s">
        <v>3333</v>
      </c>
      <c r="M3939">
        <v>2</v>
      </c>
      <c r="N3939">
        <v>0.75</v>
      </c>
      <c r="O3939" t="s">
        <v>3440</v>
      </c>
      <c r="P3939">
        <v>67.87</v>
      </c>
      <c r="Q3939">
        <v>6</v>
      </c>
      <c r="R3939" t="s">
        <v>3424</v>
      </c>
      <c r="T3939" t="s">
        <v>3337</v>
      </c>
      <c r="U3939">
        <v>118</v>
      </c>
      <c r="V3939" t="s">
        <v>6280</v>
      </c>
    </row>
    <row r="3940" spans="1:22" x14ac:dyDescent="0.15">
      <c r="A3940">
        <v>33</v>
      </c>
      <c r="B3940">
        <v>2026</v>
      </c>
      <c r="C3940" s="55">
        <v>46248</v>
      </c>
      <c r="D3940" t="s">
        <v>153</v>
      </c>
      <c r="E3940" t="s">
        <v>154</v>
      </c>
      <c r="F3940" t="s">
        <v>21</v>
      </c>
      <c r="G3940">
        <v>8</v>
      </c>
      <c r="H3940" t="s">
        <v>3346</v>
      </c>
      <c r="I3940" t="s">
        <v>212</v>
      </c>
      <c r="J3940" s="1" t="s">
        <v>188</v>
      </c>
      <c r="K3940" t="s">
        <v>181</v>
      </c>
      <c r="L3940" t="s">
        <v>3340</v>
      </c>
      <c r="M3940">
        <v>6</v>
      </c>
      <c r="N3940">
        <v>1.45</v>
      </c>
      <c r="O3940" t="s">
        <v>211</v>
      </c>
      <c r="P3940">
        <v>80</v>
      </c>
      <c r="Q3940">
        <v>8</v>
      </c>
      <c r="R3940" t="s">
        <v>3335</v>
      </c>
      <c r="T3940" t="s">
        <v>3337</v>
      </c>
      <c r="V3940" t="s">
        <v>3711</v>
      </c>
    </row>
    <row r="3941" spans="1:22" x14ac:dyDescent="0.15">
      <c r="A3941">
        <v>33</v>
      </c>
      <c r="B3941">
        <v>2026</v>
      </c>
      <c r="C3941" s="55">
        <v>46248</v>
      </c>
      <c r="D3941" t="s">
        <v>101</v>
      </c>
      <c r="E3941" t="s">
        <v>102</v>
      </c>
      <c r="F3941" t="s">
        <v>75</v>
      </c>
      <c r="G3941">
        <v>7.6</v>
      </c>
      <c r="H3941" t="s">
        <v>3346</v>
      </c>
      <c r="I3941" t="s">
        <v>212</v>
      </c>
      <c r="J3941" s="1" t="s">
        <v>188</v>
      </c>
      <c r="K3941" t="s">
        <v>181</v>
      </c>
      <c r="L3941" t="s">
        <v>3333</v>
      </c>
      <c r="M3941">
        <v>1</v>
      </c>
      <c r="N3941">
        <v>1</v>
      </c>
      <c r="O3941" t="s">
        <v>3358</v>
      </c>
      <c r="P3941">
        <v>71.86</v>
      </c>
      <c r="Q3941">
        <v>8</v>
      </c>
      <c r="R3941" t="s">
        <v>3359</v>
      </c>
      <c r="T3941" t="s">
        <v>3337</v>
      </c>
      <c r="U3941">
        <v>108</v>
      </c>
      <c r="V3941" t="s">
        <v>3545</v>
      </c>
    </row>
    <row r="3942" spans="1:22" x14ac:dyDescent="0.15">
      <c r="A3942">
        <v>33</v>
      </c>
      <c r="B3942">
        <v>2026</v>
      </c>
      <c r="C3942" s="55">
        <v>46248</v>
      </c>
      <c r="D3942" t="s">
        <v>47</v>
      </c>
      <c r="E3942" t="s">
        <v>48</v>
      </c>
      <c r="F3942" t="s">
        <v>21</v>
      </c>
      <c r="G3942">
        <v>2</v>
      </c>
      <c r="H3942" t="s">
        <v>4778</v>
      </c>
      <c r="I3942" t="s">
        <v>4779</v>
      </c>
      <c r="J3942" s="1" t="s">
        <v>3732</v>
      </c>
      <c r="K3942" t="s">
        <v>181</v>
      </c>
      <c r="L3942" t="s">
        <v>3333</v>
      </c>
      <c r="M3942">
        <v>67</v>
      </c>
      <c r="N3942">
        <v>0.13</v>
      </c>
      <c r="O3942" t="s">
        <v>3334</v>
      </c>
      <c r="P3942">
        <v>10.199999999999999</v>
      </c>
      <c r="Q3942">
        <v>1</v>
      </c>
      <c r="R3942" t="s">
        <v>3404</v>
      </c>
      <c r="S3942" t="s">
        <v>4841</v>
      </c>
      <c r="T3942" t="s">
        <v>3402</v>
      </c>
      <c r="U3942">
        <v>176</v>
      </c>
      <c r="V3942" t="s">
        <v>3463</v>
      </c>
    </row>
    <row r="3943" spans="1:22" x14ac:dyDescent="0.15">
      <c r="A3943">
        <v>33</v>
      </c>
      <c r="B3943">
        <v>2026</v>
      </c>
      <c r="C3943" s="55">
        <v>46248</v>
      </c>
      <c r="D3943" t="s">
        <v>153</v>
      </c>
      <c r="E3943" t="s">
        <v>154</v>
      </c>
      <c r="F3943" t="s">
        <v>21</v>
      </c>
      <c r="G3943">
        <v>8</v>
      </c>
      <c r="H3943" t="s">
        <v>3466</v>
      </c>
      <c r="I3943" t="s">
        <v>3467</v>
      </c>
      <c r="J3943" s="1" t="s">
        <v>3468</v>
      </c>
      <c r="K3943" t="s">
        <v>181</v>
      </c>
      <c r="L3943" t="s">
        <v>3333</v>
      </c>
      <c r="M3943">
        <v>67</v>
      </c>
      <c r="N3943">
        <v>0.38</v>
      </c>
      <c r="O3943" t="s">
        <v>3334</v>
      </c>
      <c r="P3943">
        <v>30.59</v>
      </c>
      <c r="Q3943">
        <v>3</v>
      </c>
      <c r="R3943" t="s">
        <v>3404</v>
      </c>
      <c r="S3943" t="s">
        <v>4842</v>
      </c>
      <c r="T3943" t="s">
        <v>3402</v>
      </c>
      <c r="V3943" t="s">
        <v>3639</v>
      </c>
    </row>
    <row r="3944" spans="1:22" x14ac:dyDescent="0.15">
      <c r="A3944">
        <v>33</v>
      </c>
      <c r="B3944">
        <v>2026</v>
      </c>
      <c r="C3944" s="55">
        <v>46248</v>
      </c>
      <c r="D3944" t="s">
        <v>3749</v>
      </c>
      <c r="E3944" t="s">
        <v>676</v>
      </c>
      <c r="F3944" t="s">
        <v>676</v>
      </c>
      <c r="G3944">
        <v>1</v>
      </c>
      <c r="H3944" t="s">
        <v>3750</v>
      </c>
      <c r="I3944" t="s">
        <v>3751</v>
      </c>
      <c r="J3944" s="1" t="s">
        <v>676</v>
      </c>
      <c r="K3944" t="s">
        <v>181</v>
      </c>
      <c r="L3944" t="s">
        <v>3333</v>
      </c>
      <c r="M3944">
        <v>67</v>
      </c>
      <c r="N3944">
        <v>0.5</v>
      </c>
      <c r="O3944" t="s">
        <v>3334</v>
      </c>
      <c r="P3944">
        <v>40.79</v>
      </c>
      <c r="Q3944">
        <v>4</v>
      </c>
      <c r="R3944" t="s">
        <v>3404</v>
      </c>
      <c r="S3944" t="s">
        <v>4843</v>
      </c>
      <c r="T3944" t="s">
        <v>3402</v>
      </c>
      <c r="U3944">
        <v>225</v>
      </c>
      <c r="V3944" t="s">
        <v>3456</v>
      </c>
    </row>
    <row r="3945" spans="1:22" x14ac:dyDescent="0.15">
      <c r="A3945">
        <v>33</v>
      </c>
      <c r="B3945">
        <v>2026</v>
      </c>
      <c r="C3945" s="55">
        <v>46248</v>
      </c>
      <c r="D3945" t="s">
        <v>3749</v>
      </c>
      <c r="E3945" t="s">
        <v>676</v>
      </c>
      <c r="F3945" t="s">
        <v>676</v>
      </c>
      <c r="G3945">
        <v>1</v>
      </c>
      <c r="H3945" t="s">
        <v>3750</v>
      </c>
      <c r="I3945" t="s">
        <v>3751</v>
      </c>
      <c r="J3945" s="1" t="s">
        <v>676</v>
      </c>
      <c r="K3945" t="s">
        <v>181</v>
      </c>
      <c r="L3945" t="s">
        <v>3340</v>
      </c>
      <c r="M3945">
        <v>67</v>
      </c>
      <c r="N3945">
        <v>0.31</v>
      </c>
      <c r="O3945" t="s">
        <v>211</v>
      </c>
      <c r="P3945">
        <v>17.07</v>
      </c>
      <c r="R3945" t="s">
        <v>3404</v>
      </c>
      <c r="S3945" t="s">
        <v>4844</v>
      </c>
      <c r="T3945" t="s">
        <v>3402</v>
      </c>
      <c r="U3945">
        <v>225</v>
      </c>
      <c r="V3945" t="s">
        <v>6317</v>
      </c>
    </row>
    <row r="3946" spans="1:22" x14ac:dyDescent="0.15">
      <c r="A3946">
        <v>33</v>
      </c>
      <c r="B3946">
        <v>2026</v>
      </c>
      <c r="C3946" s="55">
        <v>46248</v>
      </c>
      <c r="D3946" t="s">
        <v>47</v>
      </c>
      <c r="E3946" t="s">
        <v>48</v>
      </c>
      <c r="F3946" t="s">
        <v>21</v>
      </c>
      <c r="G3946">
        <v>2</v>
      </c>
      <c r="H3946" t="s">
        <v>4778</v>
      </c>
      <c r="I3946" t="s">
        <v>4779</v>
      </c>
      <c r="J3946" s="1" t="s">
        <v>3732</v>
      </c>
      <c r="K3946" t="s">
        <v>181</v>
      </c>
      <c r="L3946" t="s">
        <v>3333</v>
      </c>
      <c r="M3946">
        <v>19</v>
      </c>
      <c r="N3946">
        <v>0.13</v>
      </c>
      <c r="O3946" t="s">
        <v>3334</v>
      </c>
      <c r="P3946">
        <v>10.199999999999999</v>
      </c>
      <c r="Q3946">
        <v>1</v>
      </c>
      <c r="R3946" t="s">
        <v>3403</v>
      </c>
      <c r="T3946" t="s">
        <v>3402</v>
      </c>
      <c r="U3946">
        <v>176</v>
      </c>
      <c r="V3946" t="s">
        <v>3463</v>
      </c>
    </row>
    <row r="3947" spans="1:22" x14ac:dyDescent="0.15">
      <c r="A3947">
        <v>33</v>
      </c>
      <c r="B3947">
        <v>2026</v>
      </c>
      <c r="C3947" s="55">
        <v>46248</v>
      </c>
      <c r="D3947" t="s">
        <v>153</v>
      </c>
      <c r="E3947" t="s">
        <v>154</v>
      </c>
      <c r="F3947" t="s">
        <v>21</v>
      </c>
      <c r="G3947">
        <v>8</v>
      </c>
      <c r="H3947" t="s">
        <v>3466</v>
      </c>
      <c r="I3947" t="s">
        <v>3467</v>
      </c>
      <c r="J3947" s="1" t="s">
        <v>3468</v>
      </c>
      <c r="K3947" t="s">
        <v>181</v>
      </c>
      <c r="L3947" t="s">
        <v>3333</v>
      </c>
      <c r="M3947">
        <v>19</v>
      </c>
      <c r="N3947">
        <v>0.38</v>
      </c>
      <c r="O3947" t="s">
        <v>3334</v>
      </c>
      <c r="P3947">
        <v>30.59</v>
      </c>
      <c r="Q3947">
        <v>3</v>
      </c>
      <c r="R3947" t="s">
        <v>3403</v>
      </c>
      <c r="T3947" t="s">
        <v>3402</v>
      </c>
      <c r="V3947" t="s">
        <v>3639</v>
      </c>
    </row>
    <row r="3948" spans="1:22" x14ac:dyDescent="0.15">
      <c r="A3948">
        <v>33</v>
      </c>
      <c r="B3948">
        <v>2026</v>
      </c>
      <c r="C3948" s="55">
        <v>46248</v>
      </c>
      <c r="D3948" t="s">
        <v>3749</v>
      </c>
      <c r="E3948" t="s">
        <v>676</v>
      </c>
      <c r="F3948" t="s">
        <v>676</v>
      </c>
      <c r="G3948">
        <v>1</v>
      </c>
      <c r="H3948" t="s">
        <v>3750</v>
      </c>
      <c r="I3948" t="s">
        <v>3751</v>
      </c>
      <c r="J3948" s="1" t="s">
        <v>676</v>
      </c>
      <c r="K3948" t="s">
        <v>181</v>
      </c>
      <c r="L3948" t="s">
        <v>3333</v>
      </c>
      <c r="M3948">
        <v>19</v>
      </c>
      <c r="N3948">
        <v>0.5</v>
      </c>
      <c r="O3948" t="s">
        <v>3334</v>
      </c>
      <c r="P3948">
        <v>40.79</v>
      </c>
      <c r="Q3948">
        <v>4</v>
      </c>
      <c r="R3948" t="s">
        <v>3403</v>
      </c>
      <c r="T3948" t="s">
        <v>3402</v>
      </c>
      <c r="U3948">
        <v>225</v>
      </c>
      <c r="V3948" t="s">
        <v>3456</v>
      </c>
    </row>
    <row r="3949" spans="1:22" x14ac:dyDescent="0.15">
      <c r="A3949">
        <v>33</v>
      </c>
      <c r="B3949">
        <v>2026</v>
      </c>
      <c r="C3949" s="55">
        <v>46248</v>
      </c>
      <c r="D3949" t="s">
        <v>3749</v>
      </c>
      <c r="E3949" t="s">
        <v>676</v>
      </c>
      <c r="F3949" t="s">
        <v>676</v>
      </c>
      <c r="G3949">
        <v>1</v>
      </c>
      <c r="H3949" t="s">
        <v>3750</v>
      </c>
      <c r="I3949" t="s">
        <v>3751</v>
      </c>
      <c r="J3949" s="1" t="s">
        <v>676</v>
      </c>
      <c r="K3949" t="s">
        <v>181</v>
      </c>
      <c r="L3949" t="s">
        <v>3340</v>
      </c>
      <c r="M3949">
        <v>19</v>
      </c>
      <c r="N3949">
        <v>0.13</v>
      </c>
      <c r="O3949" t="s">
        <v>211</v>
      </c>
      <c r="P3949">
        <v>7.11</v>
      </c>
      <c r="R3949" t="s">
        <v>3403</v>
      </c>
      <c r="T3949" t="s">
        <v>3402</v>
      </c>
      <c r="U3949">
        <v>225</v>
      </c>
      <c r="V3949" t="s">
        <v>3405</v>
      </c>
    </row>
    <row r="3950" spans="1:22" x14ac:dyDescent="0.15">
      <c r="A3950">
        <v>33</v>
      </c>
      <c r="B3950">
        <v>2026</v>
      </c>
      <c r="C3950" s="55">
        <v>46248</v>
      </c>
      <c r="D3950" t="s">
        <v>47</v>
      </c>
      <c r="E3950" t="s">
        <v>48</v>
      </c>
      <c r="F3950" t="s">
        <v>21</v>
      </c>
      <c r="G3950">
        <v>2</v>
      </c>
      <c r="H3950" t="s">
        <v>4778</v>
      </c>
      <c r="I3950" t="s">
        <v>4779</v>
      </c>
      <c r="J3950" s="1" t="s">
        <v>3732</v>
      </c>
      <c r="K3950" t="s">
        <v>181</v>
      </c>
      <c r="L3950" t="s">
        <v>3333</v>
      </c>
      <c r="M3950">
        <v>78</v>
      </c>
      <c r="N3950">
        <v>0.13</v>
      </c>
      <c r="O3950" t="s">
        <v>3334</v>
      </c>
      <c r="P3950">
        <v>10.199999999999999</v>
      </c>
      <c r="Q3950">
        <v>1</v>
      </c>
      <c r="R3950" t="s">
        <v>3341</v>
      </c>
      <c r="T3950" t="s">
        <v>3402</v>
      </c>
      <c r="U3950">
        <v>176</v>
      </c>
      <c r="V3950" t="s">
        <v>3463</v>
      </c>
    </row>
    <row r="3951" spans="1:22" x14ac:dyDescent="0.15">
      <c r="A3951">
        <v>33</v>
      </c>
      <c r="B3951">
        <v>2026</v>
      </c>
      <c r="C3951" s="55">
        <v>46248</v>
      </c>
      <c r="D3951" t="s">
        <v>153</v>
      </c>
      <c r="E3951" t="s">
        <v>154</v>
      </c>
      <c r="F3951" t="s">
        <v>21</v>
      </c>
      <c r="G3951">
        <v>8</v>
      </c>
      <c r="H3951" t="s">
        <v>3466</v>
      </c>
      <c r="I3951" t="s">
        <v>3467</v>
      </c>
      <c r="J3951" s="1" t="s">
        <v>3468</v>
      </c>
      <c r="K3951" t="s">
        <v>181</v>
      </c>
      <c r="L3951" t="s">
        <v>3333</v>
      </c>
      <c r="M3951">
        <v>78</v>
      </c>
      <c r="N3951">
        <v>0.38</v>
      </c>
      <c r="O3951" t="s">
        <v>3334</v>
      </c>
      <c r="P3951">
        <v>30.59</v>
      </c>
      <c r="Q3951">
        <v>3</v>
      </c>
      <c r="R3951" t="s">
        <v>3341</v>
      </c>
      <c r="T3951" t="s">
        <v>3402</v>
      </c>
      <c r="V3951" t="s">
        <v>3639</v>
      </c>
    </row>
    <row r="3952" spans="1:22" x14ac:dyDescent="0.15">
      <c r="A3952">
        <v>33</v>
      </c>
      <c r="B3952">
        <v>2026</v>
      </c>
      <c r="C3952" s="55">
        <v>46248</v>
      </c>
      <c r="D3952" t="s">
        <v>3749</v>
      </c>
      <c r="E3952" t="s">
        <v>676</v>
      </c>
      <c r="F3952" t="s">
        <v>676</v>
      </c>
      <c r="G3952">
        <v>1</v>
      </c>
      <c r="H3952" t="s">
        <v>3750</v>
      </c>
      <c r="I3952" t="s">
        <v>3751</v>
      </c>
      <c r="J3952" s="1" t="s">
        <v>676</v>
      </c>
      <c r="K3952" t="s">
        <v>181</v>
      </c>
      <c r="L3952" t="s">
        <v>3333</v>
      </c>
      <c r="M3952">
        <v>78</v>
      </c>
      <c r="N3952">
        <v>0.5</v>
      </c>
      <c r="O3952" t="s">
        <v>3334</v>
      </c>
      <c r="P3952">
        <v>40.79</v>
      </c>
      <c r="Q3952">
        <v>4</v>
      </c>
      <c r="R3952" t="s">
        <v>3341</v>
      </c>
      <c r="T3952" t="s">
        <v>3402</v>
      </c>
      <c r="U3952">
        <v>225</v>
      </c>
      <c r="V3952" t="s">
        <v>3456</v>
      </c>
    </row>
    <row r="3953" spans="1:22" x14ac:dyDescent="0.15">
      <c r="A3953">
        <v>33</v>
      </c>
      <c r="B3953">
        <v>2026</v>
      </c>
      <c r="C3953" s="55">
        <v>46248</v>
      </c>
      <c r="D3953" t="s">
        <v>3749</v>
      </c>
      <c r="E3953" t="s">
        <v>676</v>
      </c>
      <c r="F3953" t="s">
        <v>676</v>
      </c>
      <c r="G3953">
        <v>1</v>
      </c>
      <c r="H3953" t="s">
        <v>3750</v>
      </c>
      <c r="I3953" t="s">
        <v>3751</v>
      </c>
      <c r="J3953" s="1" t="s">
        <v>676</v>
      </c>
      <c r="K3953" t="s">
        <v>181</v>
      </c>
      <c r="L3953" t="s">
        <v>3340</v>
      </c>
      <c r="M3953">
        <v>78</v>
      </c>
      <c r="N3953">
        <v>0.13</v>
      </c>
      <c r="O3953" t="s">
        <v>211</v>
      </c>
      <c r="P3953">
        <v>7.11</v>
      </c>
      <c r="R3953" t="s">
        <v>3341</v>
      </c>
      <c r="T3953" t="s">
        <v>3402</v>
      </c>
      <c r="U3953">
        <v>225</v>
      </c>
      <c r="V3953" t="s">
        <v>3405</v>
      </c>
    </row>
    <row r="3954" spans="1:22" x14ac:dyDescent="0.15">
      <c r="A3954">
        <v>33</v>
      </c>
      <c r="B3954">
        <v>2026</v>
      </c>
      <c r="C3954" s="55">
        <v>46248</v>
      </c>
      <c r="D3954" t="s">
        <v>141</v>
      </c>
      <c r="E3954" t="s">
        <v>142</v>
      </c>
      <c r="F3954" t="s">
        <v>75</v>
      </c>
      <c r="G3954">
        <v>1</v>
      </c>
      <c r="H3954" t="s">
        <v>4767</v>
      </c>
      <c r="I3954" t="s">
        <v>4768</v>
      </c>
      <c r="J3954" s="1" t="s">
        <v>3533</v>
      </c>
      <c r="K3954" t="s">
        <v>181</v>
      </c>
      <c r="L3954" t="s">
        <v>3333</v>
      </c>
      <c r="M3954">
        <v>4</v>
      </c>
      <c r="N3954">
        <v>0.63</v>
      </c>
      <c r="O3954" t="s">
        <v>3334</v>
      </c>
      <c r="P3954">
        <v>50.99</v>
      </c>
      <c r="Q3954">
        <v>5</v>
      </c>
      <c r="R3954" t="s">
        <v>3773</v>
      </c>
      <c r="T3954" t="s">
        <v>3402</v>
      </c>
      <c r="U3954">
        <v>52</v>
      </c>
      <c r="V3954" t="s">
        <v>3574</v>
      </c>
    </row>
    <row r="3955" spans="1:22" x14ac:dyDescent="0.15">
      <c r="A3955">
        <v>33</v>
      </c>
      <c r="B3955">
        <v>2026</v>
      </c>
      <c r="C3955" s="55">
        <v>46248</v>
      </c>
      <c r="D3955" t="s">
        <v>141</v>
      </c>
      <c r="E3955" t="s">
        <v>142</v>
      </c>
      <c r="F3955" t="s">
        <v>75</v>
      </c>
      <c r="G3955">
        <v>1</v>
      </c>
      <c r="H3955" t="s">
        <v>3614</v>
      </c>
      <c r="I3955" t="s">
        <v>3615</v>
      </c>
      <c r="J3955" s="1" t="s">
        <v>3533</v>
      </c>
      <c r="K3955" t="s">
        <v>181</v>
      </c>
      <c r="L3955" t="s">
        <v>3333</v>
      </c>
      <c r="M3955">
        <v>4</v>
      </c>
      <c r="N3955">
        <v>0.38</v>
      </c>
      <c r="O3955" t="s">
        <v>3334</v>
      </c>
      <c r="P3955">
        <v>30.59</v>
      </c>
      <c r="Q3955">
        <v>3</v>
      </c>
      <c r="R3955" t="s">
        <v>3773</v>
      </c>
      <c r="T3955" t="s">
        <v>3402</v>
      </c>
      <c r="U3955">
        <v>52</v>
      </c>
      <c r="V3955" t="s">
        <v>3491</v>
      </c>
    </row>
    <row r="3956" spans="1:22" x14ac:dyDescent="0.15">
      <c r="A3956">
        <v>33</v>
      </c>
      <c r="B3956">
        <v>2026</v>
      </c>
      <c r="C3956" s="55">
        <v>46248</v>
      </c>
      <c r="D3956" t="s">
        <v>139</v>
      </c>
      <c r="E3956" t="s">
        <v>140</v>
      </c>
      <c r="F3956" t="s">
        <v>75</v>
      </c>
      <c r="G3956">
        <v>0.8</v>
      </c>
      <c r="H3956" t="s">
        <v>4096</v>
      </c>
      <c r="I3956" t="s">
        <v>3684</v>
      </c>
      <c r="J3956" s="1" t="s">
        <v>3668</v>
      </c>
      <c r="K3956" t="s">
        <v>181</v>
      </c>
      <c r="L3956" t="s">
        <v>3333</v>
      </c>
      <c r="M3956">
        <v>86</v>
      </c>
      <c r="N3956">
        <v>0.38</v>
      </c>
      <c r="O3956" t="s">
        <v>3334</v>
      </c>
      <c r="P3956">
        <v>30.59</v>
      </c>
      <c r="Q3956">
        <v>3</v>
      </c>
      <c r="R3956" t="s">
        <v>3386</v>
      </c>
      <c r="T3956" t="s">
        <v>3402</v>
      </c>
      <c r="U3956">
        <v>80</v>
      </c>
      <c r="V3956" t="s">
        <v>4526</v>
      </c>
    </row>
    <row r="3957" spans="1:22" x14ac:dyDescent="0.15">
      <c r="A3957">
        <v>33</v>
      </c>
      <c r="B3957">
        <v>2026</v>
      </c>
      <c r="C3957" s="55">
        <v>46248</v>
      </c>
      <c r="D3957" t="s">
        <v>135</v>
      </c>
      <c r="E3957" t="s">
        <v>136</v>
      </c>
      <c r="F3957" t="s">
        <v>21</v>
      </c>
      <c r="G3957">
        <v>1</v>
      </c>
      <c r="H3957" t="s">
        <v>4241</v>
      </c>
      <c r="I3957" t="s">
        <v>4242</v>
      </c>
      <c r="J3957" s="1" t="s">
        <v>3668</v>
      </c>
      <c r="K3957" t="s">
        <v>181</v>
      </c>
      <c r="L3957" t="s">
        <v>3333</v>
      </c>
      <c r="M3957">
        <v>86</v>
      </c>
      <c r="N3957">
        <v>0.38</v>
      </c>
      <c r="O3957" t="s">
        <v>3334</v>
      </c>
      <c r="P3957">
        <v>30.59</v>
      </c>
      <c r="Q3957">
        <v>3</v>
      </c>
      <c r="R3957" t="s">
        <v>3386</v>
      </c>
      <c r="T3957" t="s">
        <v>3402</v>
      </c>
      <c r="U3957">
        <v>49</v>
      </c>
      <c r="V3957" t="s">
        <v>3491</v>
      </c>
    </row>
    <row r="3958" spans="1:22" x14ac:dyDescent="0.15">
      <c r="A3958">
        <v>33</v>
      </c>
      <c r="B3958">
        <v>2026</v>
      </c>
      <c r="C3958" s="55">
        <v>46248</v>
      </c>
      <c r="D3958" t="s">
        <v>139</v>
      </c>
      <c r="E3958" t="s">
        <v>140</v>
      </c>
      <c r="F3958" t="s">
        <v>75</v>
      </c>
      <c r="G3958">
        <v>0.8</v>
      </c>
      <c r="H3958" t="s">
        <v>3836</v>
      </c>
      <c r="I3958" t="s">
        <v>3810</v>
      </c>
      <c r="J3958" s="1" t="s">
        <v>4812</v>
      </c>
      <c r="K3958" t="s">
        <v>181</v>
      </c>
      <c r="L3958" t="s">
        <v>3333</v>
      </c>
      <c r="M3958">
        <v>86</v>
      </c>
      <c r="N3958">
        <v>0.13</v>
      </c>
      <c r="O3958" t="s">
        <v>3334</v>
      </c>
      <c r="P3958">
        <v>10.199999999999999</v>
      </c>
      <c r="Q3958">
        <v>1</v>
      </c>
      <c r="R3958" t="s">
        <v>3386</v>
      </c>
      <c r="T3958" t="s">
        <v>3402</v>
      </c>
      <c r="U3958">
        <v>80</v>
      </c>
      <c r="V3958" t="s">
        <v>3581</v>
      </c>
    </row>
    <row r="3959" spans="1:22" x14ac:dyDescent="0.15">
      <c r="A3959">
        <v>33</v>
      </c>
      <c r="B3959">
        <v>2026</v>
      </c>
      <c r="C3959" s="55">
        <v>46248</v>
      </c>
      <c r="D3959" t="s">
        <v>135</v>
      </c>
      <c r="E3959" t="s">
        <v>136</v>
      </c>
      <c r="F3959" t="s">
        <v>21</v>
      </c>
      <c r="G3959">
        <v>1</v>
      </c>
      <c r="H3959" t="s">
        <v>3571</v>
      </c>
      <c r="I3959" t="s">
        <v>3518</v>
      </c>
      <c r="J3959" s="1" t="s">
        <v>3389</v>
      </c>
      <c r="K3959" t="s">
        <v>181</v>
      </c>
      <c r="L3959" t="s">
        <v>3333</v>
      </c>
      <c r="M3959">
        <v>86</v>
      </c>
      <c r="N3959">
        <v>0.13</v>
      </c>
      <c r="O3959" t="s">
        <v>3334</v>
      </c>
      <c r="P3959">
        <v>10.199999999999999</v>
      </c>
      <c r="Q3959">
        <v>1</v>
      </c>
      <c r="R3959" t="s">
        <v>3386</v>
      </c>
      <c r="T3959" t="s">
        <v>3402</v>
      </c>
      <c r="U3959">
        <v>49</v>
      </c>
      <c r="V3959" t="s">
        <v>3472</v>
      </c>
    </row>
    <row r="3960" spans="1:22" x14ac:dyDescent="0.15">
      <c r="A3960">
        <v>33</v>
      </c>
      <c r="B3960">
        <v>2026</v>
      </c>
      <c r="C3960" s="55">
        <v>46248</v>
      </c>
      <c r="D3960" t="s">
        <v>141</v>
      </c>
      <c r="E3960" t="s">
        <v>142</v>
      </c>
      <c r="F3960" t="s">
        <v>75</v>
      </c>
      <c r="G3960">
        <v>1</v>
      </c>
      <c r="H3960" t="s">
        <v>4767</v>
      </c>
      <c r="I3960" t="s">
        <v>4768</v>
      </c>
      <c r="J3960" s="1" t="s">
        <v>3533</v>
      </c>
      <c r="K3960" t="s">
        <v>181</v>
      </c>
      <c r="L3960" t="s">
        <v>3340</v>
      </c>
      <c r="M3960">
        <v>84</v>
      </c>
      <c r="N3960">
        <v>0.82</v>
      </c>
      <c r="O3960" t="s">
        <v>211</v>
      </c>
      <c r="P3960">
        <v>45</v>
      </c>
      <c r="Q3960">
        <v>5</v>
      </c>
      <c r="R3960" t="s">
        <v>3446</v>
      </c>
      <c r="T3960" t="s">
        <v>3402</v>
      </c>
      <c r="U3960">
        <v>52</v>
      </c>
      <c r="V3960" t="s">
        <v>3530</v>
      </c>
    </row>
    <row r="3961" spans="1:22" x14ac:dyDescent="0.15">
      <c r="A3961">
        <v>33</v>
      </c>
      <c r="B3961">
        <v>2026</v>
      </c>
      <c r="C3961" s="55">
        <v>46248</v>
      </c>
      <c r="D3961" t="s">
        <v>141</v>
      </c>
      <c r="E3961" t="s">
        <v>142</v>
      </c>
      <c r="F3961" t="s">
        <v>75</v>
      </c>
      <c r="G3961">
        <v>1</v>
      </c>
      <c r="H3961" t="s">
        <v>3614</v>
      </c>
      <c r="I3961" t="s">
        <v>3615</v>
      </c>
      <c r="J3961" s="1" t="s">
        <v>3533</v>
      </c>
      <c r="K3961" t="s">
        <v>181</v>
      </c>
      <c r="L3961" t="s">
        <v>3340</v>
      </c>
      <c r="M3961">
        <v>84</v>
      </c>
      <c r="N3961">
        <v>0.49</v>
      </c>
      <c r="O3961" t="s">
        <v>211</v>
      </c>
      <c r="P3961">
        <v>27</v>
      </c>
      <c r="Q3961">
        <v>3</v>
      </c>
      <c r="R3961" t="s">
        <v>3446</v>
      </c>
      <c r="T3961" t="s">
        <v>3402</v>
      </c>
      <c r="U3961">
        <v>52</v>
      </c>
      <c r="V3961" t="s">
        <v>273</v>
      </c>
    </row>
    <row r="3962" spans="1:22" x14ac:dyDescent="0.15">
      <c r="A3962">
        <v>33</v>
      </c>
      <c r="B3962">
        <v>2026</v>
      </c>
      <c r="C3962" s="55">
        <v>46249</v>
      </c>
      <c r="D3962" t="s">
        <v>153</v>
      </c>
      <c r="E3962" t="s">
        <v>154</v>
      </c>
      <c r="F3962" t="s">
        <v>21</v>
      </c>
      <c r="G3962">
        <v>8</v>
      </c>
      <c r="H3962" t="s">
        <v>3346</v>
      </c>
      <c r="I3962" t="s">
        <v>212</v>
      </c>
      <c r="J3962" s="1" t="s">
        <v>188</v>
      </c>
      <c r="K3962" t="s">
        <v>181</v>
      </c>
      <c r="L3962" t="s">
        <v>3340</v>
      </c>
      <c r="M3962">
        <v>6</v>
      </c>
      <c r="N3962">
        <v>1.82</v>
      </c>
      <c r="O3962" t="s">
        <v>211</v>
      </c>
      <c r="P3962">
        <v>100</v>
      </c>
      <c r="R3962" t="s">
        <v>3335</v>
      </c>
      <c r="T3962" t="s">
        <v>3337</v>
      </c>
      <c r="V3962" t="s">
        <v>3610</v>
      </c>
    </row>
    <row r="3963" spans="1:22" x14ac:dyDescent="0.15">
      <c r="A3963">
        <v>33</v>
      </c>
      <c r="B3963">
        <v>2026</v>
      </c>
      <c r="C3963" s="55">
        <v>46249</v>
      </c>
      <c r="D3963" t="s">
        <v>141</v>
      </c>
      <c r="E3963" t="s">
        <v>142</v>
      </c>
      <c r="F3963" t="s">
        <v>75</v>
      </c>
      <c r="G3963">
        <v>1</v>
      </c>
      <c r="H3963" t="s">
        <v>3519</v>
      </c>
      <c r="I3963" t="s">
        <v>214</v>
      </c>
      <c r="J3963" s="1" t="s">
        <v>215</v>
      </c>
      <c r="K3963" t="s">
        <v>181</v>
      </c>
      <c r="L3963" t="s">
        <v>3340</v>
      </c>
      <c r="M3963">
        <v>58</v>
      </c>
      <c r="N3963">
        <v>0.18</v>
      </c>
      <c r="O3963" t="s">
        <v>211</v>
      </c>
      <c r="P3963">
        <v>10</v>
      </c>
      <c r="R3963" t="s">
        <v>3343</v>
      </c>
      <c r="T3963" t="s">
        <v>3337</v>
      </c>
      <c r="U3963">
        <v>53</v>
      </c>
      <c r="V3963" t="s">
        <v>3711</v>
      </c>
    </row>
    <row r="3964" spans="1:22" x14ac:dyDescent="0.15">
      <c r="A3964">
        <v>33</v>
      </c>
      <c r="B3964">
        <v>2026</v>
      </c>
      <c r="C3964" s="55">
        <v>46249</v>
      </c>
      <c r="D3964" t="s">
        <v>141</v>
      </c>
      <c r="E3964" t="s">
        <v>142</v>
      </c>
      <c r="F3964" t="s">
        <v>75</v>
      </c>
      <c r="G3964">
        <v>1</v>
      </c>
      <c r="H3964" t="s">
        <v>3519</v>
      </c>
      <c r="I3964" t="s">
        <v>214</v>
      </c>
      <c r="J3964" s="1" t="s">
        <v>215</v>
      </c>
      <c r="K3964" t="s">
        <v>181</v>
      </c>
      <c r="L3964" t="s">
        <v>3340</v>
      </c>
      <c r="M3964">
        <v>53</v>
      </c>
      <c r="N3964">
        <v>0.18</v>
      </c>
      <c r="O3964" t="s">
        <v>211</v>
      </c>
      <c r="P3964">
        <v>10</v>
      </c>
      <c r="R3964" t="s">
        <v>3373</v>
      </c>
      <c r="T3964" t="s">
        <v>3337</v>
      </c>
      <c r="U3964">
        <v>53</v>
      </c>
      <c r="V3964" t="s">
        <v>3711</v>
      </c>
    </row>
    <row r="3965" spans="1:22" x14ac:dyDescent="0.15">
      <c r="A3965">
        <v>33</v>
      </c>
      <c r="B3965">
        <v>2026</v>
      </c>
      <c r="C3965" s="55">
        <v>46249</v>
      </c>
      <c r="D3965" t="s">
        <v>141</v>
      </c>
      <c r="E3965" t="s">
        <v>142</v>
      </c>
      <c r="F3965" t="s">
        <v>75</v>
      </c>
      <c r="G3965">
        <v>1</v>
      </c>
      <c r="H3965" t="s">
        <v>3519</v>
      </c>
      <c r="I3965" t="s">
        <v>214</v>
      </c>
      <c r="J3965" s="1" t="s">
        <v>215</v>
      </c>
      <c r="K3965" t="s">
        <v>181</v>
      </c>
      <c r="L3965" t="s">
        <v>3340</v>
      </c>
      <c r="M3965">
        <v>81</v>
      </c>
      <c r="N3965">
        <v>0.18</v>
      </c>
      <c r="O3965" t="s">
        <v>211</v>
      </c>
      <c r="P3965">
        <v>10</v>
      </c>
      <c r="R3965" t="s">
        <v>3374</v>
      </c>
      <c r="T3965" t="s">
        <v>3337</v>
      </c>
      <c r="U3965">
        <v>53</v>
      </c>
      <c r="V3965" t="s">
        <v>3711</v>
      </c>
    </row>
    <row r="3966" spans="1:22" x14ac:dyDescent="0.15">
      <c r="A3966">
        <v>33</v>
      </c>
      <c r="B3966">
        <v>2026</v>
      </c>
      <c r="C3966" s="55">
        <v>46249</v>
      </c>
      <c r="D3966" t="s">
        <v>141</v>
      </c>
      <c r="E3966" t="s">
        <v>142</v>
      </c>
      <c r="F3966" t="s">
        <v>75</v>
      </c>
      <c r="G3966">
        <v>1</v>
      </c>
      <c r="H3966" t="s">
        <v>3519</v>
      </c>
      <c r="I3966" t="s">
        <v>214</v>
      </c>
      <c r="J3966" s="1" t="s">
        <v>215</v>
      </c>
      <c r="K3966" t="s">
        <v>181</v>
      </c>
      <c r="L3966" t="s">
        <v>3340</v>
      </c>
      <c r="M3966">
        <v>45</v>
      </c>
      <c r="N3966">
        <v>0.18</v>
      </c>
      <c r="O3966" t="s">
        <v>211</v>
      </c>
      <c r="P3966">
        <v>10</v>
      </c>
      <c r="R3966" t="s">
        <v>3377</v>
      </c>
      <c r="T3966" t="s">
        <v>3337</v>
      </c>
      <c r="U3966">
        <v>53</v>
      </c>
      <c r="V3966" t="s">
        <v>3711</v>
      </c>
    </row>
    <row r="3967" spans="1:22" x14ac:dyDescent="0.15">
      <c r="A3967">
        <v>33</v>
      </c>
      <c r="B3967">
        <v>2026</v>
      </c>
      <c r="C3967" s="55">
        <v>46249</v>
      </c>
      <c r="D3967" t="s">
        <v>3749</v>
      </c>
      <c r="E3967" t="s">
        <v>676</v>
      </c>
      <c r="F3967" t="s">
        <v>676</v>
      </c>
      <c r="G3967">
        <v>1</v>
      </c>
      <c r="H3967" t="s">
        <v>4425</v>
      </c>
      <c r="I3967" t="s">
        <v>3751</v>
      </c>
      <c r="J3967" s="1" t="s">
        <v>676</v>
      </c>
      <c r="K3967" t="s">
        <v>181</v>
      </c>
      <c r="L3967" t="s">
        <v>3340</v>
      </c>
      <c r="M3967">
        <v>58</v>
      </c>
      <c r="N3967">
        <v>1.1100000000000001</v>
      </c>
      <c r="O3967" t="s">
        <v>211</v>
      </c>
      <c r="P3967">
        <v>61.29</v>
      </c>
      <c r="R3967" t="s">
        <v>3343</v>
      </c>
      <c r="T3967" t="s">
        <v>3337</v>
      </c>
      <c r="U3967">
        <v>226</v>
      </c>
      <c r="V3967" t="s">
        <v>6281</v>
      </c>
    </row>
    <row r="3968" spans="1:22" x14ac:dyDescent="0.15">
      <c r="A3968">
        <v>33</v>
      </c>
      <c r="B3968">
        <v>2026</v>
      </c>
      <c r="C3968" s="55">
        <v>46249</v>
      </c>
      <c r="D3968" t="s">
        <v>3749</v>
      </c>
      <c r="E3968" t="s">
        <v>676</v>
      </c>
      <c r="F3968" t="s">
        <v>676</v>
      </c>
      <c r="G3968">
        <v>1</v>
      </c>
      <c r="H3968" t="s">
        <v>4425</v>
      </c>
      <c r="I3968" t="s">
        <v>3751</v>
      </c>
      <c r="J3968" s="1" t="s">
        <v>676</v>
      </c>
      <c r="K3968" t="s">
        <v>181</v>
      </c>
      <c r="L3968" t="s">
        <v>3340</v>
      </c>
      <c r="M3968">
        <v>53</v>
      </c>
      <c r="N3968">
        <v>1.1100000000000001</v>
      </c>
      <c r="O3968" t="s">
        <v>211</v>
      </c>
      <c r="P3968">
        <v>61.29</v>
      </c>
      <c r="R3968" t="s">
        <v>3373</v>
      </c>
      <c r="T3968" t="s">
        <v>3337</v>
      </c>
      <c r="U3968">
        <v>226</v>
      </c>
      <c r="V3968" t="s">
        <v>6281</v>
      </c>
    </row>
    <row r="3969" spans="1:22" x14ac:dyDescent="0.15">
      <c r="A3969">
        <v>33</v>
      </c>
      <c r="B3969">
        <v>2026</v>
      </c>
      <c r="C3969" s="55">
        <v>46249</v>
      </c>
      <c r="D3969" t="s">
        <v>3749</v>
      </c>
      <c r="E3969" t="s">
        <v>676</v>
      </c>
      <c r="F3969" t="s">
        <v>676</v>
      </c>
      <c r="G3969">
        <v>1</v>
      </c>
      <c r="H3969" t="s">
        <v>4425</v>
      </c>
      <c r="I3969" t="s">
        <v>3751</v>
      </c>
      <c r="J3969" s="1" t="s">
        <v>676</v>
      </c>
      <c r="K3969" t="s">
        <v>181</v>
      </c>
      <c r="L3969" t="s">
        <v>3340</v>
      </c>
      <c r="M3969">
        <v>81</v>
      </c>
      <c r="N3969">
        <v>0.39</v>
      </c>
      <c r="O3969" t="s">
        <v>211</v>
      </c>
      <c r="P3969">
        <v>21.42</v>
      </c>
      <c r="R3969" t="s">
        <v>3374</v>
      </c>
      <c r="T3969" t="s">
        <v>3337</v>
      </c>
      <c r="U3969">
        <v>226</v>
      </c>
      <c r="V3969" t="s">
        <v>6282</v>
      </c>
    </row>
    <row r="3970" spans="1:22" x14ac:dyDescent="0.15">
      <c r="A3970">
        <v>33</v>
      </c>
      <c r="B3970">
        <v>2026</v>
      </c>
      <c r="C3970" s="55">
        <v>46249</v>
      </c>
      <c r="D3970" t="s">
        <v>3749</v>
      </c>
      <c r="E3970" t="s">
        <v>676</v>
      </c>
      <c r="F3970" t="s">
        <v>676</v>
      </c>
      <c r="G3970">
        <v>1</v>
      </c>
      <c r="H3970" t="s">
        <v>4425</v>
      </c>
      <c r="I3970" t="s">
        <v>3751</v>
      </c>
      <c r="J3970" s="1" t="s">
        <v>676</v>
      </c>
      <c r="K3970" t="s">
        <v>181</v>
      </c>
      <c r="L3970" t="s">
        <v>3340</v>
      </c>
      <c r="M3970">
        <v>45</v>
      </c>
      <c r="N3970">
        <v>0.72</v>
      </c>
      <c r="O3970" t="s">
        <v>211</v>
      </c>
      <c r="P3970">
        <v>39.42</v>
      </c>
      <c r="R3970" t="s">
        <v>3377</v>
      </c>
      <c r="T3970" t="s">
        <v>3337</v>
      </c>
      <c r="U3970">
        <v>226</v>
      </c>
      <c r="V3970" t="s">
        <v>6283</v>
      </c>
    </row>
    <row r="3971" spans="1:22" x14ac:dyDescent="0.15">
      <c r="A3971">
        <v>33</v>
      </c>
      <c r="B3971">
        <v>2026</v>
      </c>
      <c r="C3971" s="55">
        <v>46249</v>
      </c>
      <c r="D3971" t="s">
        <v>3749</v>
      </c>
      <c r="E3971" t="s">
        <v>676</v>
      </c>
      <c r="F3971" t="s">
        <v>676</v>
      </c>
      <c r="G3971">
        <v>1</v>
      </c>
      <c r="H3971" t="s">
        <v>4445</v>
      </c>
      <c r="I3971" t="s">
        <v>4446</v>
      </c>
      <c r="J3971" s="1" t="s">
        <v>676</v>
      </c>
      <c r="K3971" t="s">
        <v>181</v>
      </c>
      <c r="L3971" t="s">
        <v>3340</v>
      </c>
      <c r="M3971">
        <v>81</v>
      </c>
      <c r="N3971">
        <v>0.65</v>
      </c>
      <c r="O3971" t="s">
        <v>211</v>
      </c>
      <c r="P3971">
        <v>36</v>
      </c>
      <c r="R3971" t="s">
        <v>3374</v>
      </c>
      <c r="T3971" t="s">
        <v>3337</v>
      </c>
      <c r="U3971">
        <v>226</v>
      </c>
      <c r="V3971" t="s">
        <v>3507</v>
      </c>
    </row>
    <row r="3972" spans="1:22" x14ac:dyDescent="0.15">
      <c r="A3972">
        <v>33</v>
      </c>
      <c r="B3972">
        <v>2026</v>
      </c>
      <c r="C3972" s="55">
        <v>46249</v>
      </c>
      <c r="D3972" t="s">
        <v>139</v>
      </c>
      <c r="E3972" t="s">
        <v>140</v>
      </c>
      <c r="F3972" t="s">
        <v>75</v>
      </c>
      <c r="G3972">
        <v>0.8</v>
      </c>
      <c r="H3972" t="s">
        <v>3400</v>
      </c>
      <c r="I3972" t="s">
        <v>353</v>
      </c>
      <c r="J3972" s="1" t="s">
        <v>253</v>
      </c>
      <c r="K3972" t="s">
        <v>181</v>
      </c>
      <c r="L3972" t="s">
        <v>23</v>
      </c>
      <c r="M3972">
        <v>176</v>
      </c>
      <c r="P3972">
        <v>297</v>
      </c>
      <c r="R3972" t="s">
        <v>4361</v>
      </c>
      <c r="S3972" t="s">
        <v>6300</v>
      </c>
      <c r="T3972" t="s">
        <v>3337</v>
      </c>
      <c r="U3972">
        <v>81</v>
      </c>
      <c r="V3972" t="s">
        <v>6301</v>
      </c>
    </row>
    <row r="3973" spans="1:22" x14ac:dyDescent="0.15">
      <c r="A3973">
        <v>33</v>
      </c>
      <c r="B3973">
        <v>2026</v>
      </c>
      <c r="C3973" s="55">
        <v>46249</v>
      </c>
      <c r="D3973" t="s">
        <v>139</v>
      </c>
      <c r="E3973" t="s">
        <v>140</v>
      </c>
      <c r="F3973" t="s">
        <v>75</v>
      </c>
      <c r="G3973">
        <v>0.8</v>
      </c>
      <c r="H3973" t="s">
        <v>3400</v>
      </c>
      <c r="I3973" t="s">
        <v>353</v>
      </c>
      <c r="J3973" s="1" t="s">
        <v>253</v>
      </c>
      <c r="K3973" t="s">
        <v>181</v>
      </c>
      <c r="L3973" t="s">
        <v>3340</v>
      </c>
      <c r="M3973">
        <v>25</v>
      </c>
      <c r="N3973">
        <v>0.9</v>
      </c>
      <c r="O3973" t="s">
        <v>211</v>
      </c>
      <c r="P3973">
        <v>49.5</v>
      </c>
      <c r="Q3973">
        <v>5.5</v>
      </c>
      <c r="R3973" t="s">
        <v>3413</v>
      </c>
      <c r="T3973" t="s">
        <v>3337</v>
      </c>
      <c r="U3973">
        <v>81</v>
      </c>
      <c r="V3973" t="s">
        <v>6302</v>
      </c>
    </row>
    <row r="3974" spans="1:22" x14ac:dyDescent="0.15">
      <c r="A3974">
        <v>33</v>
      </c>
      <c r="B3974">
        <v>2026</v>
      </c>
      <c r="C3974" s="55">
        <v>46249</v>
      </c>
      <c r="D3974" t="s">
        <v>139</v>
      </c>
      <c r="E3974" t="s">
        <v>140</v>
      </c>
      <c r="F3974" t="s">
        <v>75</v>
      </c>
      <c r="G3974">
        <v>0.8</v>
      </c>
      <c r="H3974" t="s">
        <v>3400</v>
      </c>
      <c r="I3974" t="s">
        <v>353</v>
      </c>
      <c r="J3974" s="1" t="s">
        <v>253</v>
      </c>
      <c r="K3974" t="s">
        <v>181</v>
      </c>
      <c r="L3974" t="s">
        <v>3340</v>
      </c>
      <c r="M3974">
        <v>52</v>
      </c>
      <c r="N3974">
        <v>0.9</v>
      </c>
      <c r="O3974" t="s">
        <v>211</v>
      </c>
      <c r="P3974">
        <v>49.5</v>
      </c>
      <c r="Q3974">
        <v>5.5</v>
      </c>
      <c r="R3974" t="s">
        <v>4763</v>
      </c>
      <c r="T3974" t="s">
        <v>3337</v>
      </c>
      <c r="U3974">
        <v>81</v>
      </c>
      <c r="V3974" t="s">
        <v>6302</v>
      </c>
    </row>
    <row r="3975" spans="1:22" x14ac:dyDescent="0.15">
      <c r="A3975">
        <v>33</v>
      </c>
      <c r="B3975">
        <v>2026</v>
      </c>
      <c r="C3975" s="55">
        <v>46249</v>
      </c>
      <c r="D3975" t="s">
        <v>139</v>
      </c>
      <c r="E3975" t="s">
        <v>140</v>
      </c>
      <c r="F3975" t="s">
        <v>75</v>
      </c>
      <c r="G3975">
        <v>0.8</v>
      </c>
      <c r="H3975" t="s">
        <v>3400</v>
      </c>
      <c r="I3975" t="s">
        <v>353</v>
      </c>
      <c r="J3975" s="1" t="s">
        <v>253</v>
      </c>
      <c r="K3975" t="s">
        <v>181</v>
      </c>
      <c r="L3975" t="s">
        <v>3340</v>
      </c>
      <c r="M3975">
        <v>90</v>
      </c>
      <c r="N3975">
        <v>0.9</v>
      </c>
      <c r="O3975" t="s">
        <v>211</v>
      </c>
      <c r="P3975">
        <v>49.5</v>
      </c>
      <c r="Q3975">
        <v>5.5</v>
      </c>
      <c r="R3975" t="s">
        <v>4764</v>
      </c>
      <c r="T3975" t="s">
        <v>3337</v>
      </c>
      <c r="U3975">
        <v>81</v>
      </c>
      <c r="V3975" t="s">
        <v>6302</v>
      </c>
    </row>
    <row r="3976" spans="1:22" x14ac:dyDescent="0.15">
      <c r="A3976">
        <v>33</v>
      </c>
      <c r="B3976">
        <v>2026</v>
      </c>
      <c r="C3976" s="55">
        <v>46249</v>
      </c>
      <c r="D3976" t="s">
        <v>96</v>
      </c>
      <c r="E3976" t="s">
        <v>97</v>
      </c>
      <c r="F3976" t="s">
        <v>21</v>
      </c>
      <c r="G3976">
        <v>4.5</v>
      </c>
      <c r="H3976" t="s">
        <v>3400</v>
      </c>
      <c r="I3976" t="s">
        <v>353</v>
      </c>
      <c r="J3976" s="1" t="s">
        <v>253</v>
      </c>
      <c r="K3976" t="s">
        <v>181</v>
      </c>
      <c r="L3976" t="s">
        <v>23</v>
      </c>
      <c r="M3976">
        <v>176</v>
      </c>
      <c r="P3976">
        <v>33</v>
      </c>
      <c r="Q3976">
        <v>0.5</v>
      </c>
      <c r="R3976" t="s">
        <v>4361</v>
      </c>
      <c r="T3976" t="s">
        <v>3337</v>
      </c>
      <c r="U3976">
        <v>106</v>
      </c>
      <c r="V3976" t="s">
        <v>6303</v>
      </c>
    </row>
    <row r="3977" spans="1:22" x14ac:dyDescent="0.15">
      <c r="A3977">
        <v>33</v>
      </c>
      <c r="B3977">
        <v>2026</v>
      </c>
      <c r="C3977" s="55">
        <v>46249</v>
      </c>
      <c r="D3977" t="s">
        <v>96</v>
      </c>
      <c r="E3977" t="s">
        <v>97</v>
      </c>
      <c r="F3977" t="s">
        <v>21</v>
      </c>
      <c r="G3977">
        <v>4.5</v>
      </c>
      <c r="H3977" t="s">
        <v>3400</v>
      </c>
      <c r="I3977" t="s">
        <v>353</v>
      </c>
      <c r="J3977" s="1" t="s">
        <v>253</v>
      </c>
      <c r="K3977" t="s">
        <v>181</v>
      </c>
      <c r="L3977" t="s">
        <v>3340</v>
      </c>
      <c r="M3977">
        <v>25</v>
      </c>
      <c r="N3977">
        <v>0.1</v>
      </c>
      <c r="O3977" t="s">
        <v>211</v>
      </c>
      <c r="P3977">
        <v>5.5</v>
      </c>
      <c r="Q3977">
        <v>0.5</v>
      </c>
      <c r="R3977" t="s">
        <v>3413</v>
      </c>
      <c r="T3977" t="s">
        <v>3337</v>
      </c>
      <c r="U3977">
        <v>106</v>
      </c>
      <c r="V3977" t="s">
        <v>4355</v>
      </c>
    </row>
    <row r="3978" spans="1:22" x14ac:dyDescent="0.15">
      <c r="A3978">
        <v>33</v>
      </c>
      <c r="B3978">
        <v>2026</v>
      </c>
      <c r="C3978" s="55">
        <v>46249</v>
      </c>
      <c r="D3978" t="s">
        <v>96</v>
      </c>
      <c r="E3978" t="s">
        <v>97</v>
      </c>
      <c r="F3978" t="s">
        <v>21</v>
      </c>
      <c r="G3978">
        <v>4.5</v>
      </c>
      <c r="H3978" t="s">
        <v>3400</v>
      </c>
      <c r="I3978" t="s">
        <v>353</v>
      </c>
      <c r="J3978" s="1" t="s">
        <v>253</v>
      </c>
      <c r="K3978" t="s">
        <v>181</v>
      </c>
      <c r="L3978" t="s">
        <v>3340</v>
      </c>
      <c r="M3978">
        <v>52</v>
      </c>
      <c r="N3978">
        <v>0.1</v>
      </c>
      <c r="O3978" t="s">
        <v>211</v>
      </c>
      <c r="P3978">
        <v>5.5</v>
      </c>
      <c r="Q3978">
        <v>0.5</v>
      </c>
      <c r="R3978" t="s">
        <v>4763</v>
      </c>
      <c r="T3978" t="s">
        <v>3337</v>
      </c>
      <c r="U3978">
        <v>106</v>
      </c>
      <c r="V3978" t="s">
        <v>4355</v>
      </c>
    </row>
    <row r="3979" spans="1:22" x14ac:dyDescent="0.15">
      <c r="A3979">
        <v>33</v>
      </c>
      <c r="B3979">
        <v>2026</v>
      </c>
      <c r="C3979" s="55">
        <v>46249</v>
      </c>
      <c r="D3979" t="s">
        <v>96</v>
      </c>
      <c r="E3979" t="s">
        <v>97</v>
      </c>
      <c r="F3979" t="s">
        <v>21</v>
      </c>
      <c r="G3979">
        <v>4.5</v>
      </c>
      <c r="H3979" t="s">
        <v>3400</v>
      </c>
      <c r="I3979" t="s">
        <v>353</v>
      </c>
      <c r="J3979" s="1" t="s">
        <v>253</v>
      </c>
      <c r="K3979" t="s">
        <v>181</v>
      </c>
      <c r="L3979" t="s">
        <v>3340</v>
      </c>
      <c r="M3979">
        <v>90</v>
      </c>
      <c r="N3979">
        <v>0.1</v>
      </c>
      <c r="O3979" t="s">
        <v>211</v>
      </c>
      <c r="P3979">
        <v>5.5</v>
      </c>
      <c r="Q3979">
        <v>0.5</v>
      </c>
      <c r="R3979" t="s">
        <v>4764</v>
      </c>
      <c r="T3979" t="s">
        <v>3337</v>
      </c>
      <c r="U3979">
        <v>106</v>
      </c>
      <c r="V3979" t="s">
        <v>4355</v>
      </c>
    </row>
    <row r="3980" spans="1:22" x14ac:dyDescent="0.15">
      <c r="A3980">
        <v>33</v>
      </c>
      <c r="B3980">
        <v>2026</v>
      </c>
      <c r="C3980" s="55">
        <v>46249</v>
      </c>
      <c r="D3980" t="s">
        <v>139</v>
      </c>
      <c r="E3980" t="s">
        <v>140</v>
      </c>
      <c r="F3980" t="s">
        <v>75</v>
      </c>
      <c r="G3980">
        <v>0.8</v>
      </c>
      <c r="H3980" t="s">
        <v>3400</v>
      </c>
      <c r="I3980" t="s">
        <v>353</v>
      </c>
      <c r="J3980" s="1" t="s">
        <v>253</v>
      </c>
      <c r="K3980" t="s">
        <v>181</v>
      </c>
      <c r="L3980" t="s">
        <v>3333</v>
      </c>
      <c r="M3980">
        <v>2</v>
      </c>
      <c r="N3980">
        <v>0.69</v>
      </c>
      <c r="O3980" t="s">
        <v>3440</v>
      </c>
      <c r="P3980">
        <v>62.21</v>
      </c>
      <c r="Q3980">
        <v>5.5</v>
      </c>
      <c r="R3980" t="s">
        <v>3424</v>
      </c>
      <c r="T3980" t="s">
        <v>3337</v>
      </c>
      <c r="U3980">
        <v>81</v>
      </c>
      <c r="V3980" t="s">
        <v>6304</v>
      </c>
    </row>
    <row r="3981" spans="1:22" x14ac:dyDescent="0.15">
      <c r="A3981">
        <v>33</v>
      </c>
      <c r="B3981">
        <v>2026</v>
      </c>
      <c r="C3981" s="55">
        <v>46249</v>
      </c>
      <c r="D3981" t="s">
        <v>96</v>
      </c>
      <c r="E3981" t="s">
        <v>97</v>
      </c>
      <c r="F3981" t="s">
        <v>21</v>
      </c>
      <c r="G3981">
        <v>4.5</v>
      </c>
      <c r="H3981" t="s">
        <v>3400</v>
      </c>
      <c r="I3981" t="s">
        <v>353</v>
      </c>
      <c r="J3981" s="1" t="s">
        <v>253</v>
      </c>
      <c r="K3981" t="s">
        <v>181</v>
      </c>
      <c r="L3981" t="s">
        <v>3333</v>
      </c>
      <c r="M3981">
        <v>2</v>
      </c>
      <c r="N3981">
        <v>0.06</v>
      </c>
      <c r="O3981" t="s">
        <v>3440</v>
      </c>
      <c r="P3981">
        <v>5.66</v>
      </c>
      <c r="Q3981">
        <v>0.5</v>
      </c>
      <c r="R3981" t="s">
        <v>3424</v>
      </c>
      <c r="T3981" t="s">
        <v>3337</v>
      </c>
      <c r="U3981">
        <v>106</v>
      </c>
      <c r="V3981" t="s">
        <v>6305</v>
      </c>
    </row>
    <row r="3982" spans="1:22" x14ac:dyDescent="0.15">
      <c r="A3982">
        <v>33</v>
      </c>
      <c r="B3982">
        <v>2026</v>
      </c>
      <c r="C3982" s="55">
        <v>46249</v>
      </c>
      <c r="D3982" t="s">
        <v>84</v>
      </c>
      <c r="E3982" t="s">
        <v>85</v>
      </c>
      <c r="F3982" t="s">
        <v>21</v>
      </c>
      <c r="G3982">
        <v>2</v>
      </c>
      <c r="H3982" t="s">
        <v>3400</v>
      </c>
      <c r="I3982" t="s">
        <v>353</v>
      </c>
      <c r="J3982" s="1" t="s">
        <v>253</v>
      </c>
      <c r="K3982" t="s">
        <v>181</v>
      </c>
      <c r="L3982" t="s">
        <v>3333</v>
      </c>
      <c r="M3982">
        <v>2</v>
      </c>
      <c r="N3982">
        <v>0.25</v>
      </c>
      <c r="O3982" t="s">
        <v>3440</v>
      </c>
      <c r="P3982">
        <v>22.62</v>
      </c>
      <c r="Q3982">
        <v>2</v>
      </c>
      <c r="R3982" t="s">
        <v>3424</v>
      </c>
      <c r="T3982" t="s">
        <v>3337</v>
      </c>
      <c r="U3982">
        <v>117</v>
      </c>
      <c r="V3982" t="s">
        <v>3775</v>
      </c>
    </row>
    <row r="3983" spans="1:22" x14ac:dyDescent="0.15">
      <c r="A3983">
        <v>33</v>
      </c>
      <c r="B3983">
        <v>2026</v>
      </c>
      <c r="C3983" s="55">
        <v>46249</v>
      </c>
      <c r="D3983" t="s">
        <v>101</v>
      </c>
      <c r="E3983" t="s">
        <v>102</v>
      </c>
      <c r="F3983" t="s">
        <v>75</v>
      </c>
      <c r="G3983">
        <v>7.6</v>
      </c>
      <c r="H3983" t="s">
        <v>3346</v>
      </c>
      <c r="I3983" t="s">
        <v>212</v>
      </c>
      <c r="J3983" s="1" t="s">
        <v>188</v>
      </c>
      <c r="K3983" t="s">
        <v>181</v>
      </c>
      <c r="L3983" t="s">
        <v>3333</v>
      </c>
      <c r="M3983">
        <v>1</v>
      </c>
      <c r="N3983">
        <v>1</v>
      </c>
      <c r="O3983" t="s">
        <v>3358</v>
      </c>
      <c r="P3983">
        <v>71.86</v>
      </c>
      <c r="Q3983">
        <v>8</v>
      </c>
      <c r="R3983" t="s">
        <v>3359</v>
      </c>
      <c r="T3983" t="s">
        <v>3337</v>
      </c>
      <c r="U3983">
        <v>109</v>
      </c>
      <c r="V3983" t="s">
        <v>3545</v>
      </c>
    </row>
    <row r="3984" spans="1:22" x14ac:dyDescent="0.15">
      <c r="A3984">
        <v>33</v>
      </c>
      <c r="B3984">
        <v>2026</v>
      </c>
      <c r="C3984" s="55">
        <v>46249</v>
      </c>
      <c r="D3984" t="s">
        <v>122</v>
      </c>
      <c r="E3984" t="s">
        <v>123</v>
      </c>
      <c r="F3984" t="s">
        <v>75</v>
      </c>
      <c r="G3984">
        <v>4.5</v>
      </c>
      <c r="H3984" t="s">
        <v>3346</v>
      </c>
      <c r="I3984" t="s">
        <v>212</v>
      </c>
      <c r="J3984" s="1" t="s">
        <v>188</v>
      </c>
      <c r="K3984" t="s">
        <v>181</v>
      </c>
      <c r="L3984" t="s">
        <v>3340</v>
      </c>
      <c r="M3984">
        <v>202</v>
      </c>
      <c r="N3984">
        <v>1.82</v>
      </c>
      <c r="O3984" t="s">
        <v>211</v>
      </c>
      <c r="P3984">
        <v>100</v>
      </c>
      <c r="R3984" t="s">
        <v>4716</v>
      </c>
      <c r="S3984" t="s">
        <v>5728</v>
      </c>
      <c r="T3984" t="s">
        <v>3337</v>
      </c>
      <c r="V3984" t="s">
        <v>4267</v>
      </c>
    </row>
    <row r="3985" spans="1:22" x14ac:dyDescent="0.15">
      <c r="A3985">
        <v>33</v>
      </c>
      <c r="B3985">
        <v>2026</v>
      </c>
      <c r="C3985" s="55">
        <v>46249</v>
      </c>
      <c r="D3985" t="s">
        <v>47</v>
      </c>
      <c r="E3985" t="s">
        <v>48</v>
      </c>
      <c r="F3985" t="s">
        <v>21</v>
      </c>
      <c r="G3985">
        <v>2</v>
      </c>
      <c r="H3985" t="s">
        <v>4811</v>
      </c>
      <c r="I3985" t="s">
        <v>4650</v>
      </c>
      <c r="J3985" s="1" t="s">
        <v>4812</v>
      </c>
      <c r="K3985" t="s">
        <v>181</v>
      </c>
      <c r="L3985" t="s">
        <v>3333</v>
      </c>
      <c r="M3985">
        <v>67</v>
      </c>
      <c r="N3985">
        <v>0.19</v>
      </c>
      <c r="O3985" t="s">
        <v>3334</v>
      </c>
      <c r="P3985">
        <v>15.3</v>
      </c>
      <c r="Q3985">
        <v>1.5</v>
      </c>
      <c r="R3985" t="s">
        <v>3404</v>
      </c>
      <c r="S3985" t="s">
        <v>6284</v>
      </c>
      <c r="T3985" t="s">
        <v>3402</v>
      </c>
      <c r="U3985">
        <v>177</v>
      </c>
      <c r="V3985" t="s">
        <v>3650</v>
      </c>
    </row>
    <row r="3986" spans="1:22" x14ac:dyDescent="0.15">
      <c r="A3986">
        <v>33</v>
      </c>
      <c r="B3986">
        <v>2026</v>
      </c>
      <c r="C3986" s="55">
        <v>46249</v>
      </c>
      <c r="D3986" t="s">
        <v>153</v>
      </c>
      <c r="E3986" t="s">
        <v>154</v>
      </c>
      <c r="F3986" t="s">
        <v>21</v>
      </c>
      <c r="G3986">
        <v>8</v>
      </c>
      <c r="H3986" t="s">
        <v>3852</v>
      </c>
      <c r="I3986" t="s">
        <v>3467</v>
      </c>
      <c r="J3986" s="1" t="s">
        <v>3468</v>
      </c>
      <c r="K3986" t="s">
        <v>181</v>
      </c>
      <c r="L3986" t="s">
        <v>3333</v>
      </c>
      <c r="M3986">
        <v>67</v>
      </c>
      <c r="N3986">
        <v>0.13</v>
      </c>
      <c r="O3986" t="s">
        <v>3334</v>
      </c>
      <c r="P3986">
        <v>10.199999999999999</v>
      </c>
      <c r="Q3986">
        <v>1</v>
      </c>
      <c r="R3986" t="s">
        <v>3404</v>
      </c>
      <c r="T3986" t="s">
        <v>3402</v>
      </c>
      <c r="V3986" t="s">
        <v>6285</v>
      </c>
    </row>
    <row r="3987" spans="1:22" x14ac:dyDescent="0.15">
      <c r="A3987">
        <v>33</v>
      </c>
      <c r="B3987">
        <v>2026</v>
      </c>
      <c r="C3987" s="55">
        <v>46249</v>
      </c>
      <c r="D3987" t="s">
        <v>3749</v>
      </c>
      <c r="E3987" t="s">
        <v>676</v>
      </c>
      <c r="F3987" t="s">
        <v>676</v>
      </c>
      <c r="G3987">
        <v>1</v>
      </c>
      <c r="H3987" t="s">
        <v>3750</v>
      </c>
      <c r="I3987" t="s">
        <v>3751</v>
      </c>
      <c r="J3987" s="1" t="s">
        <v>676</v>
      </c>
      <c r="K3987" t="s">
        <v>181</v>
      </c>
      <c r="L3987" t="s">
        <v>3333</v>
      </c>
      <c r="M3987">
        <v>67</v>
      </c>
      <c r="N3987">
        <v>0.69</v>
      </c>
      <c r="O3987" t="s">
        <v>3334</v>
      </c>
      <c r="P3987">
        <v>56.09</v>
      </c>
      <c r="Q3987">
        <v>5.5</v>
      </c>
      <c r="R3987" t="s">
        <v>3404</v>
      </c>
      <c r="T3987" t="s">
        <v>3402</v>
      </c>
      <c r="U3987">
        <v>226</v>
      </c>
      <c r="V3987" t="s">
        <v>4558</v>
      </c>
    </row>
    <row r="3988" spans="1:22" x14ac:dyDescent="0.15">
      <c r="A3988">
        <v>33</v>
      </c>
      <c r="B3988">
        <v>2026</v>
      </c>
      <c r="C3988" s="55">
        <v>46249</v>
      </c>
      <c r="D3988" t="s">
        <v>3749</v>
      </c>
      <c r="E3988" t="s">
        <v>676</v>
      </c>
      <c r="F3988" t="s">
        <v>676</v>
      </c>
      <c r="G3988">
        <v>1</v>
      </c>
      <c r="H3988" t="s">
        <v>3750</v>
      </c>
      <c r="I3988" t="s">
        <v>3751</v>
      </c>
      <c r="J3988" s="1" t="s">
        <v>676</v>
      </c>
      <c r="K3988" t="s">
        <v>181</v>
      </c>
      <c r="L3988" t="s">
        <v>3340</v>
      </c>
      <c r="M3988">
        <v>67</v>
      </c>
      <c r="N3988">
        <v>0.21</v>
      </c>
      <c r="O3988" t="s">
        <v>211</v>
      </c>
      <c r="P3988">
        <v>11.63</v>
      </c>
      <c r="R3988" t="s">
        <v>3404</v>
      </c>
      <c r="T3988" t="s">
        <v>3402</v>
      </c>
      <c r="U3988">
        <v>226</v>
      </c>
      <c r="V3988" t="s">
        <v>6310</v>
      </c>
    </row>
    <row r="3989" spans="1:22" x14ac:dyDescent="0.15">
      <c r="A3989">
        <v>33</v>
      </c>
      <c r="B3989">
        <v>2026</v>
      </c>
      <c r="C3989" s="55">
        <v>46249</v>
      </c>
      <c r="D3989" t="s">
        <v>47</v>
      </c>
      <c r="E3989" t="s">
        <v>48</v>
      </c>
      <c r="F3989" t="s">
        <v>21</v>
      </c>
      <c r="G3989">
        <v>2</v>
      </c>
      <c r="H3989" t="s">
        <v>4811</v>
      </c>
      <c r="I3989" t="s">
        <v>4650</v>
      </c>
      <c r="J3989" s="1" t="s">
        <v>4812</v>
      </c>
      <c r="K3989" t="s">
        <v>181</v>
      </c>
      <c r="L3989" t="s">
        <v>3333</v>
      </c>
      <c r="M3989">
        <v>78</v>
      </c>
      <c r="N3989">
        <v>0.19</v>
      </c>
      <c r="O3989" t="s">
        <v>3334</v>
      </c>
      <c r="P3989">
        <v>15.3</v>
      </c>
      <c r="Q3989">
        <v>1.5</v>
      </c>
      <c r="R3989" t="s">
        <v>3341</v>
      </c>
      <c r="S3989" t="s">
        <v>6311</v>
      </c>
      <c r="T3989" t="s">
        <v>3402</v>
      </c>
      <c r="U3989">
        <v>177</v>
      </c>
      <c r="V3989" t="s">
        <v>3650</v>
      </c>
    </row>
    <row r="3990" spans="1:22" x14ac:dyDescent="0.15">
      <c r="A3990">
        <v>33</v>
      </c>
      <c r="B3990">
        <v>2026</v>
      </c>
      <c r="C3990" s="55">
        <v>46249</v>
      </c>
      <c r="D3990" t="s">
        <v>153</v>
      </c>
      <c r="E3990" t="s">
        <v>154</v>
      </c>
      <c r="F3990" t="s">
        <v>21</v>
      </c>
      <c r="G3990">
        <v>8</v>
      </c>
      <c r="H3990" t="s">
        <v>4445</v>
      </c>
      <c r="I3990" t="s">
        <v>4446</v>
      </c>
      <c r="J3990" s="1" t="s">
        <v>676</v>
      </c>
      <c r="K3990" t="s">
        <v>181</v>
      </c>
      <c r="L3990" t="s">
        <v>3333</v>
      </c>
      <c r="M3990">
        <v>78</v>
      </c>
      <c r="N3990">
        <v>0.25</v>
      </c>
      <c r="O3990" t="s">
        <v>3334</v>
      </c>
      <c r="P3990">
        <v>20.399999999999999</v>
      </c>
      <c r="Q3990">
        <v>2</v>
      </c>
      <c r="R3990" t="s">
        <v>3341</v>
      </c>
      <c r="T3990" t="s">
        <v>3402</v>
      </c>
      <c r="V3990" t="s">
        <v>4427</v>
      </c>
    </row>
    <row r="3991" spans="1:22" x14ac:dyDescent="0.15">
      <c r="A3991">
        <v>33</v>
      </c>
      <c r="B3991">
        <v>2026</v>
      </c>
      <c r="C3991" s="55">
        <v>46249</v>
      </c>
      <c r="D3991" t="s">
        <v>3749</v>
      </c>
      <c r="E3991" t="s">
        <v>676</v>
      </c>
      <c r="F3991" t="s">
        <v>676</v>
      </c>
      <c r="G3991">
        <v>1</v>
      </c>
      <c r="H3991" t="s">
        <v>4445</v>
      </c>
      <c r="I3991" t="s">
        <v>4446</v>
      </c>
      <c r="J3991" s="1" t="s">
        <v>676</v>
      </c>
      <c r="K3991" t="s">
        <v>181</v>
      </c>
      <c r="L3991" t="s">
        <v>3333</v>
      </c>
      <c r="M3991">
        <v>78</v>
      </c>
      <c r="N3991">
        <v>0.56000000000000005</v>
      </c>
      <c r="O3991" t="s">
        <v>3334</v>
      </c>
      <c r="P3991">
        <v>45.89</v>
      </c>
      <c r="Q3991">
        <v>4.5</v>
      </c>
      <c r="R3991" t="s">
        <v>3341</v>
      </c>
      <c r="S3991" t="s">
        <v>6306</v>
      </c>
      <c r="T3991" t="s">
        <v>3402</v>
      </c>
      <c r="U3991">
        <v>226</v>
      </c>
      <c r="V3991" t="s">
        <v>3774</v>
      </c>
    </row>
    <row r="3992" spans="1:22" x14ac:dyDescent="0.15">
      <c r="A3992">
        <v>33</v>
      </c>
      <c r="B3992">
        <v>2026</v>
      </c>
      <c r="C3992" s="55">
        <v>46249</v>
      </c>
      <c r="D3992" t="s">
        <v>3749</v>
      </c>
      <c r="E3992" t="s">
        <v>676</v>
      </c>
      <c r="F3992" t="s">
        <v>676</v>
      </c>
      <c r="G3992">
        <v>1</v>
      </c>
      <c r="H3992" t="s">
        <v>3750</v>
      </c>
      <c r="I3992" t="s">
        <v>3751</v>
      </c>
      <c r="J3992" s="1" t="s">
        <v>676</v>
      </c>
      <c r="K3992" t="s">
        <v>181</v>
      </c>
      <c r="L3992" t="s">
        <v>3340</v>
      </c>
      <c r="M3992">
        <v>78</v>
      </c>
      <c r="N3992">
        <v>0.21</v>
      </c>
      <c r="O3992" t="s">
        <v>211</v>
      </c>
      <c r="P3992">
        <v>11.63</v>
      </c>
      <c r="R3992" t="s">
        <v>3341</v>
      </c>
      <c r="T3992" t="s">
        <v>3402</v>
      </c>
      <c r="U3992">
        <v>226</v>
      </c>
      <c r="V3992" t="s">
        <v>6310</v>
      </c>
    </row>
    <row r="3993" spans="1:22" x14ac:dyDescent="0.15">
      <c r="A3993">
        <v>33</v>
      </c>
      <c r="B3993">
        <v>2026</v>
      </c>
      <c r="C3993" s="55">
        <v>46249</v>
      </c>
      <c r="D3993" t="s">
        <v>89</v>
      </c>
      <c r="E3993" t="s">
        <v>90</v>
      </c>
      <c r="F3993" t="s">
        <v>21</v>
      </c>
      <c r="G3993">
        <v>1</v>
      </c>
      <c r="H3993" t="s">
        <v>4767</v>
      </c>
      <c r="I3993" t="s">
        <v>4768</v>
      </c>
      <c r="J3993" s="1" t="s">
        <v>3533</v>
      </c>
      <c r="K3993" t="s">
        <v>181</v>
      </c>
      <c r="L3993" t="s">
        <v>3333</v>
      </c>
      <c r="M3993">
        <v>4</v>
      </c>
      <c r="N3993">
        <v>0.75</v>
      </c>
      <c r="O3993" t="s">
        <v>3334</v>
      </c>
      <c r="P3993">
        <v>61.19</v>
      </c>
      <c r="Q3993">
        <v>6</v>
      </c>
      <c r="R3993" t="s">
        <v>3773</v>
      </c>
      <c r="T3993" t="s">
        <v>3402</v>
      </c>
      <c r="U3993">
        <v>122</v>
      </c>
      <c r="V3993" t="s">
        <v>3715</v>
      </c>
    </row>
    <row r="3994" spans="1:22" x14ac:dyDescent="0.15">
      <c r="A3994">
        <v>33</v>
      </c>
      <c r="B3994">
        <v>2026</v>
      </c>
      <c r="C3994" s="55">
        <v>46249</v>
      </c>
      <c r="D3994" t="s">
        <v>89</v>
      </c>
      <c r="E3994" t="s">
        <v>90</v>
      </c>
      <c r="F3994" t="s">
        <v>21</v>
      </c>
      <c r="G3994">
        <v>1</v>
      </c>
      <c r="H3994" t="s">
        <v>3614</v>
      </c>
      <c r="I3994" t="s">
        <v>3615</v>
      </c>
      <c r="J3994" s="1" t="s">
        <v>3533</v>
      </c>
      <c r="K3994" t="s">
        <v>181</v>
      </c>
      <c r="L3994" t="s">
        <v>3333</v>
      </c>
      <c r="M3994">
        <v>4</v>
      </c>
      <c r="N3994">
        <v>0.25</v>
      </c>
      <c r="O3994" t="s">
        <v>3334</v>
      </c>
      <c r="P3994">
        <v>20.399999999999999</v>
      </c>
      <c r="Q3994">
        <v>2</v>
      </c>
      <c r="R3994" t="s">
        <v>3773</v>
      </c>
      <c r="T3994" t="s">
        <v>3402</v>
      </c>
      <c r="U3994">
        <v>122</v>
      </c>
      <c r="V3994" t="s">
        <v>3474</v>
      </c>
    </row>
    <row r="3995" spans="1:22" x14ac:dyDescent="0.15">
      <c r="A3995">
        <v>33</v>
      </c>
      <c r="B3995">
        <v>2026</v>
      </c>
      <c r="C3995" s="55">
        <v>46249</v>
      </c>
      <c r="D3995" t="s">
        <v>139</v>
      </c>
      <c r="E3995" t="s">
        <v>140</v>
      </c>
      <c r="F3995" t="s">
        <v>75</v>
      </c>
      <c r="G3995">
        <v>0.8</v>
      </c>
      <c r="H3995" t="s">
        <v>4767</v>
      </c>
      <c r="I3995" t="s">
        <v>4768</v>
      </c>
      <c r="J3995" s="1" t="s">
        <v>3533</v>
      </c>
      <c r="K3995" t="s">
        <v>181</v>
      </c>
      <c r="L3995" t="s">
        <v>3340</v>
      </c>
      <c r="M3995">
        <v>84</v>
      </c>
      <c r="N3995">
        <v>0.98</v>
      </c>
      <c r="O3995" t="s">
        <v>211</v>
      </c>
      <c r="P3995">
        <v>54</v>
      </c>
      <c r="Q3995">
        <v>6</v>
      </c>
      <c r="R3995" t="s">
        <v>3446</v>
      </c>
      <c r="T3995" t="s">
        <v>3402</v>
      </c>
      <c r="U3995">
        <v>81</v>
      </c>
      <c r="V3995" t="s">
        <v>3641</v>
      </c>
    </row>
    <row r="3996" spans="1:22" x14ac:dyDescent="0.15">
      <c r="A3996">
        <v>33</v>
      </c>
      <c r="B3996">
        <v>2026</v>
      </c>
      <c r="C3996" s="55">
        <v>46249</v>
      </c>
      <c r="D3996" t="s">
        <v>139</v>
      </c>
      <c r="E3996" t="s">
        <v>140</v>
      </c>
      <c r="F3996" t="s">
        <v>75</v>
      </c>
      <c r="G3996">
        <v>0.8</v>
      </c>
      <c r="H3996" t="s">
        <v>3614</v>
      </c>
      <c r="I3996" t="s">
        <v>3615</v>
      </c>
      <c r="J3996" s="1" t="s">
        <v>3533</v>
      </c>
      <c r="K3996" t="s">
        <v>181</v>
      </c>
      <c r="L3996" t="s">
        <v>3340</v>
      </c>
      <c r="M3996">
        <v>84</v>
      </c>
      <c r="N3996">
        <v>0.33</v>
      </c>
      <c r="O3996" t="s">
        <v>211</v>
      </c>
      <c r="P3996">
        <v>18</v>
      </c>
      <c r="Q3996">
        <v>2</v>
      </c>
      <c r="R3996" t="s">
        <v>3446</v>
      </c>
      <c r="T3996" t="s">
        <v>3402</v>
      </c>
      <c r="U3996">
        <v>81</v>
      </c>
      <c r="V3996" t="s">
        <v>3523</v>
      </c>
    </row>
    <row r="3997" spans="1:22" x14ac:dyDescent="0.15">
      <c r="A3997">
        <v>33</v>
      </c>
      <c r="B3997">
        <v>2026</v>
      </c>
      <c r="C3997" s="55">
        <v>46249</v>
      </c>
      <c r="D3997" t="s">
        <v>3749</v>
      </c>
      <c r="E3997" t="s">
        <v>676</v>
      </c>
      <c r="F3997" t="s">
        <v>676</v>
      </c>
      <c r="G3997">
        <v>1</v>
      </c>
      <c r="H3997" t="s">
        <v>4438</v>
      </c>
      <c r="I3997" t="s">
        <v>4439</v>
      </c>
      <c r="J3997" s="1" t="s">
        <v>4383</v>
      </c>
      <c r="K3997" t="s">
        <v>181</v>
      </c>
      <c r="L3997" t="s">
        <v>3333</v>
      </c>
      <c r="M3997">
        <v>86</v>
      </c>
      <c r="N3997">
        <v>1</v>
      </c>
      <c r="O3997" t="s">
        <v>3334</v>
      </c>
      <c r="P3997">
        <v>81.58</v>
      </c>
      <c r="Q3997">
        <v>8</v>
      </c>
      <c r="R3997" t="s">
        <v>3386</v>
      </c>
      <c r="T3997" t="s">
        <v>3402</v>
      </c>
      <c r="U3997">
        <v>226</v>
      </c>
      <c r="V3997" t="s">
        <v>3334</v>
      </c>
    </row>
    <row r="3998" spans="1:22" x14ac:dyDescent="0.15">
      <c r="A3998">
        <v>33</v>
      </c>
      <c r="B3998">
        <v>2026</v>
      </c>
      <c r="C3998" s="55">
        <v>46249</v>
      </c>
      <c r="D3998" t="s">
        <v>3749</v>
      </c>
      <c r="E3998" t="s">
        <v>676</v>
      </c>
      <c r="F3998" t="s">
        <v>676</v>
      </c>
      <c r="G3998">
        <v>1</v>
      </c>
      <c r="H3998" t="s">
        <v>4445</v>
      </c>
      <c r="I3998" t="s">
        <v>4446</v>
      </c>
      <c r="J3998" s="1" t="s">
        <v>676</v>
      </c>
      <c r="K3998" t="s">
        <v>181</v>
      </c>
      <c r="L3998" t="s">
        <v>3340</v>
      </c>
      <c r="M3998">
        <v>86</v>
      </c>
      <c r="N3998">
        <v>0.65</v>
      </c>
      <c r="O3998" t="s">
        <v>211</v>
      </c>
      <c r="P3998">
        <v>36</v>
      </c>
      <c r="R3998" t="s">
        <v>3386</v>
      </c>
      <c r="S3998" t="s">
        <v>6307</v>
      </c>
      <c r="T3998" t="s">
        <v>3402</v>
      </c>
      <c r="U3998">
        <v>226</v>
      </c>
      <c r="V3998" t="s">
        <v>3507</v>
      </c>
    </row>
    <row r="3999" spans="1:22" x14ac:dyDescent="0.15">
      <c r="A3999">
        <v>33</v>
      </c>
      <c r="B3999">
        <v>2026</v>
      </c>
      <c r="C3999" s="55">
        <v>46249</v>
      </c>
      <c r="D3999" t="s">
        <v>3749</v>
      </c>
      <c r="E3999" t="s">
        <v>676</v>
      </c>
      <c r="F3999" t="s">
        <v>676</v>
      </c>
      <c r="G3999">
        <v>1</v>
      </c>
      <c r="H3999" t="s">
        <v>4438</v>
      </c>
      <c r="I3999" t="s">
        <v>4439</v>
      </c>
      <c r="J3999" s="1" t="s">
        <v>4383</v>
      </c>
      <c r="K3999" t="s">
        <v>181</v>
      </c>
      <c r="L3999" t="s">
        <v>3340</v>
      </c>
      <c r="M3999">
        <v>67</v>
      </c>
      <c r="N3999">
        <v>1.31</v>
      </c>
      <c r="O3999" t="s">
        <v>211</v>
      </c>
      <c r="P3999">
        <v>72</v>
      </c>
      <c r="Q3999">
        <v>8</v>
      </c>
      <c r="R3999" t="s">
        <v>3404</v>
      </c>
      <c r="S3999" t="s">
        <v>6286</v>
      </c>
      <c r="T3999" t="s">
        <v>3402</v>
      </c>
      <c r="U3999">
        <v>226</v>
      </c>
      <c r="V3999" t="s">
        <v>193</v>
      </c>
    </row>
    <row r="4000" spans="1:22" x14ac:dyDescent="0.15">
      <c r="A4000">
        <v>33</v>
      </c>
      <c r="B4000">
        <v>2026</v>
      </c>
      <c r="C4000" s="55">
        <v>46250</v>
      </c>
      <c r="D4000" t="s">
        <v>3749</v>
      </c>
      <c r="E4000" t="s">
        <v>676</v>
      </c>
      <c r="F4000" t="s">
        <v>676</v>
      </c>
      <c r="G4000">
        <v>1</v>
      </c>
      <c r="H4000" t="s">
        <v>3750</v>
      </c>
      <c r="I4000" t="s">
        <v>3751</v>
      </c>
      <c r="J4000" s="1" t="s">
        <v>676</v>
      </c>
      <c r="K4000" t="s">
        <v>181</v>
      </c>
      <c r="L4000" t="s">
        <v>3340</v>
      </c>
      <c r="M4000">
        <v>67</v>
      </c>
      <c r="N4000">
        <v>1.71</v>
      </c>
      <c r="O4000" t="s">
        <v>211</v>
      </c>
      <c r="P4000">
        <v>94.1</v>
      </c>
      <c r="R4000" t="s">
        <v>3404</v>
      </c>
      <c r="S4000" t="s">
        <v>6287</v>
      </c>
      <c r="T4000" t="s">
        <v>3402</v>
      </c>
      <c r="U4000">
        <v>227</v>
      </c>
      <c r="V4000" t="s">
        <v>6318</v>
      </c>
    </row>
    <row r="4001" spans="1:22" x14ac:dyDescent="0.15">
      <c r="A4001">
        <v>33</v>
      </c>
      <c r="B4001">
        <v>2026</v>
      </c>
      <c r="C4001" s="55">
        <v>46250</v>
      </c>
      <c r="D4001" t="s">
        <v>3749</v>
      </c>
      <c r="E4001" t="s">
        <v>676</v>
      </c>
      <c r="F4001" t="s">
        <v>676</v>
      </c>
      <c r="G4001">
        <v>1</v>
      </c>
      <c r="H4001" t="s">
        <v>3750</v>
      </c>
      <c r="I4001" t="s">
        <v>3751</v>
      </c>
      <c r="J4001" s="1" t="s">
        <v>676</v>
      </c>
      <c r="K4001" t="s">
        <v>181</v>
      </c>
      <c r="L4001" t="s">
        <v>3340</v>
      </c>
      <c r="M4001">
        <v>78</v>
      </c>
      <c r="N4001">
        <v>0.86</v>
      </c>
      <c r="O4001" t="s">
        <v>211</v>
      </c>
      <c r="P4001">
        <v>47.05</v>
      </c>
      <c r="R4001" t="s">
        <v>3341</v>
      </c>
      <c r="S4001" t="s">
        <v>6288</v>
      </c>
      <c r="T4001" t="s">
        <v>3402</v>
      </c>
      <c r="U4001">
        <v>227</v>
      </c>
      <c r="V4001" t="s">
        <v>6289</v>
      </c>
    </row>
    <row r="4002" spans="1:22" x14ac:dyDescent="0.15">
      <c r="A4002">
        <v>33</v>
      </c>
      <c r="B4002">
        <v>2026</v>
      </c>
      <c r="C4002" s="55">
        <v>46250</v>
      </c>
      <c r="D4002" t="s">
        <v>3749</v>
      </c>
      <c r="E4002" t="s">
        <v>676</v>
      </c>
      <c r="F4002" t="s">
        <v>676</v>
      </c>
      <c r="G4002">
        <v>1</v>
      </c>
      <c r="H4002" t="s">
        <v>4438</v>
      </c>
      <c r="I4002" t="s">
        <v>4439</v>
      </c>
      <c r="J4002" s="1" t="s">
        <v>4383</v>
      </c>
      <c r="K4002" t="s">
        <v>181</v>
      </c>
      <c r="L4002" t="s">
        <v>3340</v>
      </c>
      <c r="M4002">
        <v>86</v>
      </c>
      <c r="N4002">
        <v>0.56999999999999995</v>
      </c>
      <c r="O4002" t="s">
        <v>211</v>
      </c>
      <c r="P4002">
        <v>31.5</v>
      </c>
      <c r="Q4002">
        <v>3.5</v>
      </c>
      <c r="R4002" t="s">
        <v>3386</v>
      </c>
      <c r="S4002" t="s">
        <v>6308</v>
      </c>
      <c r="T4002" t="s">
        <v>3402</v>
      </c>
      <c r="U4002">
        <v>227</v>
      </c>
      <c r="V4002" t="s">
        <v>3470</v>
      </c>
    </row>
    <row r="4003" spans="1:22" x14ac:dyDescent="0.15">
      <c r="A4003">
        <v>33</v>
      </c>
      <c r="B4003">
        <v>2026</v>
      </c>
      <c r="C4003" s="55">
        <v>46251</v>
      </c>
      <c r="D4003" t="s">
        <v>47</v>
      </c>
      <c r="E4003" t="s">
        <v>48</v>
      </c>
      <c r="F4003" t="s">
        <v>21</v>
      </c>
      <c r="G4003">
        <v>2</v>
      </c>
      <c r="H4003" t="s">
        <v>3400</v>
      </c>
      <c r="I4003" t="s">
        <v>353</v>
      </c>
      <c r="J4003" s="1" t="s">
        <v>253</v>
      </c>
      <c r="K4003" t="s">
        <v>181</v>
      </c>
      <c r="L4003" t="s">
        <v>3340</v>
      </c>
      <c r="M4003">
        <v>45</v>
      </c>
      <c r="N4003">
        <v>1.31</v>
      </c>
      <c r="O4003" t="s">
        <v>211</v>
      </c>
      <c r="P4003">
        <v>72</v>
      </c>
      <c r="Q4003">
        <v>8</v>
      </c>
      <c r="R4003" t="s">
        <v>3377</v>
      </c>
      <c r="T4003" t="s">
        <v>3337</v>
      </c>
      <c r="U4003">
        <v>179</v>
      </c>
      <c r="V4003" t="s">
        <v>3507</v>
      </c>
    </row>
    <row r="4004" spans="1:22" x14ac:dyDescent="0.15">
      <c r="A4004">
        <v>33</v>
      </c>
      <c r="B4004">
        <v>2026</v>
      </c>
      <c r="C4004" s="55">
        <v>46251</v>
      </c>
      <c r="D4004" t="s">
        <v>47</v>
      </c>
      <c r="E4004" t="s">
        <v>48</v>
      </c>
      <c r="F4004" t="s">
        <v>21</v>
      </c>
      <c r="G4004">
        <v>2</v>
      </c>
      <c r="H4004" t="s">
        <v>3400</v>
      </c>
      <c r="I4004" t="s">
        <v>353</v>
      </c>
      <c r="J4004" s="1" t="s">
        <v>253</v>
      </c>
      <c r="K4004" t="s">
        <v>181</v>
      </c>
      <c r="L4004" t="s">
        <v>3340</v>
      </c>
      <c r="M4004">
        <v>58</v>
      </c>
      <c r="N4004">
        <v>1.31</v>
      </c>
      <c r="O4004" t="s">
        <v>211</v>
      </c>
      <c r="P4004">
        <v>72</v>
      </c>
      <c r="Q4004">
        <v>8</v>
      </c>
      <c r="R4004" t="s">
        <v>3343</v>
      </c>
      <c r="T4004" t="s">
        <v>3337</v>
      </c>
      <c r="U4004">
        <v>179</v>
      </c>
      <c r="V4004" t="s">
        <v>3507</v>
      </c>
    </row>
    <row r="4005" spans="1:22" x14ac:dyDescent="0.15">
      <c r="A4005">
        <v>33</v>
      </c>
      <c r="B4005">
        <v>2026</v>
      </c>
      <c r="C4005" s="55">
        <v>46251</v>
      </c>
      <c r="D4005" t="s">
        <v>47</v>
      </c>
      <c r="E4005" t="s">
        <v>48</v>
      </c>
      <c r="F4005" t="s">
        <v>21</v>
      </c>
      <c r="G4005">
        <v>2</v>
      </c>
      <c r="H4005" t="s">
        <v>3400</v>
      </c>
      <c r="I4005" t="s">
        <v>353</v>
      </c>
      <c r="J4005" s="1" t="s">
        <v>253</v>
      </c>
      <c r="K4005" t="s">
        <v>181</v>
      </c>
      <c r="L4005" t="s">
        <v>3340</v>
      </c>
      <c r="M4005">
        <v>62</v>
      </c>
      <c r="N4005">
        <v>1.31</v>
      </c>
      <c r="O4005" t="s">
        <v>211</v>
      </c>
      <c r="P4005">
        <v>72</v>
      </c>
      <c r="Q4005">
        <v>8</v>
      </c>
      <c r="R4005" t="s">
        <v>3375</v>
      </c>
      <c r="T4005" t="s">
        <v>3337</v>
      </c>
      <c r="U4005">
        <v>179</v>
      </c>
      <c r="V4005" t="s">
        <v>3507</v>
      </c>
    </row>
    <row r="4006" spans="1:22" x14ac:dyDescent="0.15">
      <c r="A4006">
        <v>33</v>
      </c>
      <c r="B4006">
        <v>2026</v>
      </c>
      <c r="C4006" s="55">
        <v>46251</v>
      </c>
      <c r="D4006" t="s">
        <v>47</v>
      </c>
      <c r="E4006" t="s">
        <v>48</v>
      </c>
      <c r="F4006" t="s">
        <v>21</v>
      </c>
      <c r="G4006">
        <v>2</v>
      </c>
      <c r="H4006" t="s">
        <v>3400</v>
      </c>
      <c r="I4006" t="s">
        <v>353</v>
      </c>
      <c r="J4006" s="1" t="s">
        <v>253</v>
      </c>
      <c r="K4006" t="s">
        <v>181</v>
      </c>
      <c r="L4006" t="s">
        <v>3340</v>
      </c>
      <c r="M4006">
        <v>81</v>
      </c>
      <c r="N4006">
        <v>0.65</v>
      </c>
      <c r="O4006" t="s">
        <v>211</v>
      </c>
      <c r="P4006">
        <v>36</v>
      </c>
      <c r="Q4006">
        <v>4</v>
      </c>
      <c r="R4006" t="s">
        <v>3374</v>
      </c>
      <c r="T4006" t="s">
        <v>3337</v>
      </c>
      <c r="U4006">
        <v>179</v>
      </c>
      <c r="V4006" t="s">
        <v>260</v>
      </c>
    </row>
    <row r="4007" spans="1:22" x14ac:dyDescent="0.15">
      <c r="A4007">
        <v>33</v>
      </c>
      <c r="B4007">
        <v>2026</v>
      </c>
      <c r="C4007" s="55">
        <v>46251</v>
      </c>
      <c r="D4007" t="s">
        <v>3749</v>
      </c>
      <c r="E4007" t="s">
        <v>676</v>
      </c>
      <c r="F4007" t="s">
        <v>676</v>
      </c>
      <c r="G4007">
        <v>1</v>
      </c>
      <c r="H4007" t="s">
        <v>4425</v>
      </c>
      <c r="I4007" t="s">
        <v>3751</v>
      </c>
      <c r="J4007" s="1" t="s">
        <v>676</v>
      </c>
      <c r="K4007" t="s">
        <v>181</v>
      </c>
      <c r="L4007" t="s">
        <v>3340</v>
      </c>
      <c r="M4007">
        <v>81</v>
      </c>
      <c r="N4007">
        <v>1.01</v>
      </c>
      <c r="O4007" t="s">
        <v>211</v>
      </c>
      <c r="P4007">
        <v>55.8</v>
      </c>
      <c r="R4007" t="s">
        <v>3374</v>
      </c>
      <c r="T4007" t="s">
        <v>3337</v>
      </c>
      <c r="U4007">
        <v>228</v>
      </c>
      <c r="V4007" t="s">
        <v>4727</v>
      </c>
    </row>
    <row r="4008" spans="1:22" x14ac:dyDescent="0.15">
      <c r="A4008">
        <v>33</v>
      </c>
      <c r="B4008">
        <v>2026</v>
      </c>
      <c r="C4008" s="55">
        <v>46251</v>
      </c>
      <c r="D4008" t="s">
        <v>47</v>
      </c>
      <c r="E4008" t="s">
        <v>48</v>
      </c>
      <c r="F4008" t="s">
        <v>21</v>
      </c>
      <c r="G4008">
        <v>2</v>
      </c>
      <c r="H4008" t="s">
        <v>3400</v>
      </c>
      <c r="I4008" t="s">
        <v>353</v>
      </c>
      <c r="J4008" s="1" t="s">
        <v>253</v>
      </c>
      <c r="K4008" t="s">
        <v>181</v>
      </c>
      <c r="L4008" t="s">
        <v>3333</v>
      </c>
      <c r="M4008">
        <v>1</v>
      </c>
      <c r="N4008">
        <v>1</v>
      </c>
      <c r="O4008" t="s">
        <v>3358</v>
      </c>
      <c r="P4008">
        <v>71.86</v>
      </c>
      <c r="Q4008">
        <v>8</v>
      </c>
      <c r="R4008" t="s">
        <v>3359</v>
      </c>
      <c r="T4008" t="s">
        <v>3337</v>
      </c>
      <c r="U4008">
        <v>179</v>
      </c>
      <c r="V4008" t="s">
        <v>3452</v>
      </c>
    </row>
    <row r="4009" spans="1:22" x14ac:dyDescent="0.15">
      <c r="A4009">
        <v>33</v>
      </c>
      <c r="B4009">
        <v>2026</v>
      </c>
      <c r="C4009" s="55">
        <v>46251</v>
      </c>
      <c r="D4009" t="s">
        <v>47</v>
      </c>
      <c r="E4009" t="s">
        <v>48</v>
      </c>
      <c r="F4009" t="s">
        <v>21</v>
      </c>
      <c r="G4009">
        <v>2</v>
      </c>
      <c r="H4009" t="s">
        <v>3400</v>
      </c>
      <c r="I4009" t="s">
        <v>353</v>
      </c>
      <c r="J4009" s="1" t="s">
        <v>253</v>
      </c>
      <c r="K4009" t="s">
        <v>181</v>
      </c>
      <c r="L4009" t="s">
        <v>3333</v>
      </c>
      <c r="M4009">
        <v>2</v>
      </c>
      <c r="N4009">
        <v>1</v>
      </c>
      <c r="O4009" t="s">
        <v>3440</v>
      </c>
      <c r="P4009">
        <v>90.49</v>
      </c>
      <c r="Q4009">
        <v>8</v>
      </c>
      <c r="R4009" t="s">
        <v>3424</v>
      </c>
      <c r="T4009" t="s">
        <v>3337</v>
      </c>
      <c r="U4009">
        <v>179</v>
      </c>
      <c r="V4009" t="s">
        <v>3976</v>
      </c>
    </row>
    <row r="4010" spans="1:22" x14ac:dyDescent="0.15">
      <c r="A4010">
        <v>33</v>
      </c>
      <c r="B4010">
        <v>2026</v>
      </c>
      <c r="C4010" s="55">
        <v>46251</v>
      </c>
      <c r="D4010" t="s">
        <v>47</v>
      </c>
      <c r="E4010" t="s">
        <v>48</v>
      </c>
      <c r="F4010" t="s">
        <v>21</v>
      </c>
      <c r="G4010">
        <v>2</v>
      </c>
      <c r="H4010" t="s">
        <v>5490</v>
      </c>
      <c r="I4010" t="s">
        <v>3432</v>
      </c>
      <c r="J4010" s="1" t="s">
        <v>3437</v>
      </c>
      <c r="K4010" t="s">
        <v>181</v>
      </c>
      <c r="L4010" t="s">
        <v>3333</v>
      </c>
      <c r="M4010">
        <v>67</v>
      </c>
      <c r="N4010">
        <v>0.56000000000000005</v>
      </c>
      <c r="O4010" t="s">
        <v>3334</v>
      </c>
      <c r="P4010">
        <v>45.89</v>
      </c>
      <c r="Q4010">
        <v>4.5</v>
      </c>
      <c r="R4010" t="s">
        <v>3404</v>
      </c>
      <c r="S4010" t="s">
        <v>6290</v>
      </c>
      <c r="T4010" t="s">
        <v>3402</v>
      </c>
      <c r="U4010">
        <v>179</v>
      </c>
      <c r="V4010" t="s">
        <v>6291</v>
      </c>
    </row>
    <row r="4011" spans="1:22" x14ac:dyDescent="0.15">
      <c r="A4011">
        <v>33</v>
      </c>
      <c r="B4011">
        <v>2026</v>
      </c>
      <c r="C4011" s="55">
        <v>46251</v>
      </c>
      <c r="D4011" t="s">
        <v>47</v>
      </c>
      <c r="E4011" t="s">
        <v>48</v>
      </c>
      <c r="F4011" t="s">
        <v>21</v>
      </c>
      <c r="G4011">
        <v>2</v>
      </c>
      <c r="H4011" t="s">
        <v>4250</v>
      </c>
      <c r="I4011" t="s">
        <v>4540</v>
      </c>
      <c r="J4011" s="1" t="s">
        <v>307</v>
      </c>
      <c r="K4011" t="s">
        <v>181</v>
      </c>
      <c r="L4011" t="s">
        <v>3333</v>
      </c>
      <c r="M4011">
        <v>67</v>
      </c>
      <c r="N4011">
        <v>0.19</v>
      </c>
      <c r="O4011" t="s">
        <v>3334</v>
      </c>
      <c r="P4011">
        <v>15.3</v>
      </c>
      <c r="Q4011">
        <v>1.5</v>
      </c>
      <c r="R4011" t="s">
        <v>3404</v>
      </c>
      <c r="S4011" t="s">
        <v>6292</v>
      </c>
      <c r="T4011" t="s">
        <v>3402</v>
      </c>
      <c r="U4011">
        <v>179</v>
      </c>
      <c r="V4011" t="s">
        <v>3650</v>
      </c>
    </row>
    <row r="4012" spans="1:22" x14ac:dyDescent="0.15">
      <c r="A4012">
        <v>33</v>
      </c>
      <c r="B4012">
        <v>2026</v>
      </c>
      <c r="C4012" s="55">
        <v>46251</v>
      </c>
      <c r="D4012" t="s">
        <v>47</v>
      </c>
      <c r="E4012" t="s">
        <v>48</v>
      </c>
      <c r="F4012" t="s">
        <v>21</v>
      </c>
      <c r="G4012">
        <v>2</v>
      </c>
      <c r="H4012" t="s">
        <v>3750</v>
      </c>
      <c r="I4012" t="s">
        <v>3751</v>
      </c>
      <c r="J4012" s="1" t="s">
        <v>676</v>
      </c>
      <c r="K4012" t="s">
        <v>181</v>
      </c>
      <c r="L4012" t="s">
        <v>3333</v>
      </c>
      <c r="M4012">
        <v>67</v>
      </c>
      <c r="N4012">
        <v>0.25</v>
      </c>
      <c r="O4012" t="s">
        <v>3334</v>
      </c>
      <c r="P4012">
        <v>20.399999999999999</v>
      </c>
      <c r="Q4012">
        <v>2</v>
      </c>
      <c r="R4012" t="s">
        <v>3404</v>
      </c>
      <c r="T4012" t="s">
        <v>3402</v>
      </c>
      <c r="U4012">
        <v>179</v>
      </c>
      <c r="V4012" t="s">
        <v>3472</v>
      </c>
    </row>
    <row r="4013" spans="1:22" x14ac:dyDescent="0.15">
      <c r="A4013">
        <v>33</v>
      </c>
      <c r="B4013">
        <v>2026</v>
      </c>
      <c r="C4013" s="55">
        <v>46251</v>
      </c>
      <c r="D4013" t="s">
        <v>47</v>
      </c>
      <c r="E4013" t="s">
        <v>48</v>
      </c>
      <c r="F4013" t="s">
        <v>21</v>
      </c>
      <c r="G4013">
        <v>2</v>
      </c>
      <c r="H4013" t="s">
        <v>3750</v>
      </c>
      <c r="I4013" t="s">
        <v>3751</v>
      </c>
      <c r="J4013" s="1" t="s">
        <v>676</v>
      </c>
      <c r="K4013" t="s">
        <v>181</v>
      </c>
      <c r="L4013" t="s">
        <v>3340</v>
      </c>
      <c r="M4013">
        <v>67</v>
      </c>
      <c r="N4013">
        <v>0.72</v>
      </c>
      <c r="O4013" t="s">
        <v>211</v>
      </c>
      <c r="P4013">
        <v>39.72</v>
      </c>
      <c r="R4013" t="s">
        <v>3404</v>
      </c>
      <c r="T4013" t="s">
        <v>3402</v>
      </c>
      <c r="U4013">
        <v>179</v>
      </c>
      <c r="V4013" t="s">
        <v>6293</v>
      </c>
    </row>
    <row r="4014" spans="1:22" x14ac:dyDescent="0.15">
      <c r="A4014">
        <v>33</v>
      </c>
      <c r="B4014">
        <v>2026</v>
      </c>
      <c r="C4014" s="55">
        <v>46251</v>
      </c>
      <c r="D4014" t="s">
        <v>47</v>
      </c>
      <c r="E4014" t="s">
        <v>48</v>
      </c>
      <c r="F4014" t="s">
        <v>21</v>
      </c>
      <c r="G4014">
        <v>2</v>
      </c>
      <c r="H4014" t="s">
        <v>4240</v>
      </c>
      <c r="I4014" t="s">
        <v>3954</v>
      </c>
      <c r="J4014" s="1" t="s">
        <v>253</v>
      </c>
      <c r="K4014" t="s">
        <v>181</v>
      </c>
      <c r="L4014" t="s">
        <v>3333</v>
      </c>
      <c r="M4014">
        <v>78</v>
      </c>
      <c r="N4014">
        <v>0.38</v>
      </c>
      <c r="O4014" t="s">
        <v>3334</v>
      </c>
      <c r="P4014">
        <v>30.59</v>
      </c>
      <c r="Q4014">
        <v>3</v>
      </c>
      <c r="R4014" t="s">
        <v>3341</v>
      </c>
      <c r="T4014" t="s">
        <v>3402</v>
      </c>
      <c r="U4014">
        <v>179</v>
      </c>
      <c r="V4014" t="s">
        <v>3475</v>
      </c>
    </row>
    <row r="4015" spans="1:22" x14ac:dyDescent="0.15">
      <c r="A4015">
        <v>33</v>
      </c>
      <c r="B4015">
        <v>2026</v>
      </c>
      <c r="C4015" s="55">
        <v>46251</v>
      </c>
      <c r="D4015" t="s">
        <v>47</v>
      </c>
      <c r="E4015" t="s">
        <v>48</v>
      </c>
      <c r="F4015" t="s">
        <v>21</v>
      </c>
      <c r="G4015">
        <v>2</v>
      </c>
      <c r="H4015" t="s">
        <v>4250</v>
      </c>
      <c r="I4015" t="s">
        <v>4540</v>
      </c>
      <c r="J4015" s="1" t="s">
        <v>307</v>
      </c>
      <c r="K4015" t="s">
        <v>181</v>
      </c>
      <c r="L4015" t="s">
        <v>3333</v>
      </c>
      <c r="M4015">
        <v>78</v>
      </c>
      <c r="N4015">
        <v>0.38</v>
      </c>
      <c r="O4015" t="s">
        <v>3334</v>
      </c>
      <c r="P4015">
        <v>30.59</v>
      </c>
      <c r="Q4015">
        <v>3</v>
      </c>
      <c r="R4015" t="s">
        <v>3341</v>
      </c>
      <c r="T4015" t="s">
        <v>3402</v>
      </c>
      <c r="U4015">
        <v>179</v>
      </c>
      <c r="V4015" t="s">
        <v>3475</v>
      </c>
    </row>
    <row r="4016" spans="1:22" x14ac:dyDescent="0.15">
      <c r="A4016">
        <v>33</v>
      </c>
      <c r="B4016">
        <v>2026</v>
      </c>
      <c r="C4016" s="55">
        <v>46251</v>
      </c>
      <c r="D4016" t="s">
        <v>3749</v>
      </c>
      <c r="E4016" t="s">
        <v>676</v>
      </c>
      <c r="F4016" t="s">
        <v>676</v>
      </c>
      <c r="G4016">
        <v>1</v>
      </c>
      <c r="H4016" t="s">
        <v>3750</v>
      </c>
      <c r="I4016" t="s">
        <v>3751</v>
      </c>
      <c r="J4016" s="1" t="s">
        <v>676</v>
      </c>
      <c r="K4016" t="s">
        <v>181</v>
      </c>
      <c r="L4016" t="s">
        <v>3333</v>
      </c>
      <c r="M4016">
        <v>78</v>
      </c>
      <c r="N4016">
        <v>0.25</v>
      </c>
      <c r="O4016" t="s">
        <v>3334</v>
      </c>
      <c r="P4016">
        <v>20.399999999999999</v>
      </c>
      <c r="Q4016">
        <v>2</v>
      </c>
      <c r="R4016" t="s">
        <v>3341</v>
      </c>
      <c r="T4016" t="s">
        <v>3402</v>
      </c>
      <c r="U4016">
        <v>228</v>
      </c>
      <c r="V4016" t="s">
        <v>3474</v>
      </c>
    </row>
    <row r="4017" spans="1:22" x14ac:dyDescent="0.15">
      <c r="A4017">
        <v>33</v>
      </c>
      <c r="B4017">
        <v>2026</v>
      </c>
      <c r="C4017" s="55">
        <v>46251</v>
      </c>
      <c r="D4017" t="s">
        <v>3749</v>
      </c>
      <c r="E4017" t="s">
        <v>676</v>
      </c>
      <c r="F4017" t="s">
        <v>676</v>
      </c>
      <c r="G4017">
        <v>1</v>
      </c>
      <c r="H4017" t="s">
        <v>3750</v>
      </c>
      <c r="I4017" t="s">
        <v>3751</v>
      </c>
      <c r="J4017" s="1" t="s">
        <v>676</v>
      </c>
      <c r="K4017" t="s">
        <v>181</v>
      </c>
      <c r="L4017" t="s">
        <v>3340</v>
      </c>
      <c r="M4017">
        <v>78</v>
      </c>
      <c r="N4017">
        <v>0.69</v>
      </c>
      <c r="O4017" t="s">
        <v>211</v>
      </c>
      <c r="P4017">
        <v>37.799999999999997</v>
      </c>
      <c r="R4017" t="s">
        <v>3341</v>
      </c>
      <c r="T4017" t="s">
        <v>3402</v>
      </c>
      <c r="U4017">
        <v>228</v>
      </c>
      <c r="V4017" t="s">
        <v>6294</v>
      </c>
    </row>
    <row r="4018" spans="1:22" x14ac:dyDescent="0.15">
      <c r="A4018">
        <v>33</v>
      </c>
      <c r="B4018">
        <v>2026</v>
      </c>
      <c r="C4018" s="55">
        <v>46251</v>
      </c>
      <c r="D4018" t="s">
        <v>89</v>
      </c>
      <c r="E4018" t="s">
        <v>90</v>
      </c>
      <c r="F4018" t="s">
        <v>21</v>
      </c>
      <c r="G4018">
        <v>1</v>
      </c>
      <c r="H4018" t="s">
        <v>3592</v>
      </c>
      <c r="I4018" t="s">
        <v>6295</v>
      </c>
      <c r="J4018" s="1" t="s">
        <v>3533</v>
      </c>
      <c r="K4018" t="s">
        <v>181</v>
      </c>
      <c r="L4018" t="s">
        <v>3340</v>
      </c>
      <c r="M4018">
        <v>84</v>
      </c>
      <c r="N4018">
        <v>0.65</v>
      </c>
      <c r="O4018" t="s">
        <v>211</v>
      </c>
      <c r="P4018">
        <v>36</v>
      </c>
      <c r="Q4018">
        <v>4</v>
      </c>
      <c r="R4018" t="s">
        <v>3446</v>
      </c>
      <c r="T4018" t="s">
        <v>3402</v>
      </c>
      <c r="U4018">
        <v>124</v>
      </c>
      <c r="V4018" t="s">
        <v>3507</v>
      </c>
    </row>
    <row r="4019" spans="1:22" x14ac:dyDescent="0.15">
      <c r="A4019">
        <v>33</v>
      </c>
      <c r="B4019">
        <v>2026</v>
      </c>
      <c r="C4019" s="55">
        <v>46251</v>
      </c>
      <c r="D4019" t="s">
        <v>47</v>
      </c>
      <c r="E4019" t="s">
        <v>48</v>
      </c>
      <c r="F4019" t="s">
        <v>21</v>
      </c>
      <c r="G4019">
        <v>2</v>
      </c>
      <c r="H4019" t="s">
        <v>4250</v>
      </c>
      <c r="I4019" t="s">
        <v>4540</v>
      </c>
      <c r="J4019" s="1" t="s">
        <v>307</v>
      </c>
      <c r="K4019" t="s">
        <v>181</v>
      </c>
      <c r="L4019" t="s">
        <v>3340</v>
      </c>
      <c r="M4019">
        <v>84</v>
      </c>
      <c r="N4019">
        <v>0.65</v>
      </c>
      <c r="O4019" t="s">
        <v>211</v>
      </c>
      <c r="P4019">
        <v>36</v>
      </c>
      <c r="Q4019">
        <v>4</v>
      </c>
      <c r="R4019" t="s">
        <v>3446</v>
      </c>
      <c r="T4019" t="s">
        <v>3402</v>
      </c>
      <c r="U4019">
        <v>179</v>
      </c>
      <c r="V4019" t="s">
        <v>260</v>
      </c>
    </row>
    <row r="4020" spans="1:22" x14ac:dyDescent="0.15">
      <c r="A4020">
        <v>33</v>
      </c>
      <c r="B4020">
        <v>2026</v>
      </c>
      <c r="C4020" s="55">
        <v>46251</v>
      </c>
      <c r="D4020" t="s">
        <v>89</v>
      </c>
      <c r="E4020" t="s">
        <v>90</v>
      </c>
      <c r="F4020" t="s">
        <v>21</v>
      </c>
      <c r="G4020">
        <v>1</v>
      </c>
      <c r="H4020" t="s">
        <v>3592</v>
      </c>
      <c r="I4020" t="s">
        <v>6295</v>
      </c>
      <c r="J4020" s="1" t="s">
        <v>3533</v>
      </c>
      <c r="K4020" t="s">
        <v>181</v>
      </c>
      <c r="L4020" t="s">
        <v>3333</v>
      </c>
      <c r="M4020">
        <v>4</v>
      </c>
      <c r="N4020">
        <v>0.5</v>
      </c>
      <c r="O4020" t="s">
        <v>3334</v>
      </c>
      <c r="P4020">
        <v>40.79</v>
      </c>
      <c r="Q4020">
        <v>4</v>
      </c>
      <c r="R4020" t="s">
        <v>3773</v>
      </c>
      <c r="T4020" t="s">
        <v>3402</v>
      </c>
      <c r="U4020">
        <v>124</v>
      </c>
      <c r="V4020" t="s">
        <v>3456</v>
      </c>
    </row>
    <row r="4021" spans="1:22" x14ac:dyDescent="0.15">
      <c r="A4021">
        <v>33</v>
      </c>
      <c r="B4021">
        <v>2026</v>
      </c>
      <c r="C4021" s="55">
        <v>46251</v>
      </c>
      <c r="D4021" t="s">
        <v>47</v>
      </c>
      <c r="E4021" t="s">
        <v>48</v>
      </c>
      <c r="F4021" t="s">
        <v>21</v>
      </c>
      <c r="G4021">
        <v>2</v>
      </c>
      <c r="H4021" t="s">
        <v>5490</v>
      </c>
      <c r="I4021" t="s">
        <v>3432</v>
      </c>
      <c r="J4021" s="1" t="s">
        <v>3437</v>
      </c>
      <c r="K4021" t="s">
        <v>181</v>
      </c>
      <c r="L4021" t="s">
        <v>3333</v>
      </c>
      <c r="M4021">
        <v>4</v>
      </c>
      <c r="N4021">
        <v>0.25</v>
      </c>
      <c r="O4021" t="s">
        <v>3334</v>
      </c>
      <c r="P4021">
        <v>20.399999999999999</v>
      </c>
      <c r="Q4021">
        <v>2</v>
      </c>
      <c r="R4021" t="s">
        <v>3773</v>
      </c>
      <c r="T4021" t="s">
        <v>3402</v>
      </c>
      <c r="U4021">
        <v>179</v>
      </c>
      <c r="V4021" t="s">
        <v>3472</v>
      </c>
    </row>
    <row r="4022" spans="1:22" x14ac:dyDescent="0.15">
      <c r="A4022">
        <v>33</v>
      </c>
      <c r="B4022">
        <v>2026</v>
      </c>
      <c r="C4022" s="55">
        <v>46251</v>
      </c>
      <c r="D4022" t="s">
        <v>47</v>
      </c>
      <c r="E4022" t="s">
        <v>48</v>
      </c>
      <c r="F4022" t="s">
        <v>21</v>
      </c>
      <c r="G4022">
        <v>2</v>
      </c>
      <c r="H4022" t="s">
        <v>4121</v>
      </c>
      <c r="I4022" t="s">
        <v>4540</v>
      </c>
      <c r="J4022" s="1" t="s">
        <v>307</v>
      </c>
      <c r="K4022" t="s">
        <v>181</v>
      </c>
      <c r="L4022" t="s">
        <v>3333</v>
      </c>
      <c r="M4022">
        <v>4</v>
      </c>
      <c r="N4022">
        <v>0.25</v>
      </c>
      <c r="O4022" t="s">
        <v>3334</v>
      </c>
      <c r="P4022">
        <v>20.399999999999999</v>
      </c>
      <c r="Q4022">
        <v>2</v>
      </c>
      <c r="R4022" t="s">
        <v>3773</v>
      </c>
      <c r="T4022" t="s">
        <v>3402</v>
      </c>
      <c r="U4022">
        <v>179</v>
      </c>
      <c r="V4022" t="s">
        <v>3472</v>
      </c>
    </row>
    <row r="4023" spans="1:22" x14ac:dyDescent="0.15">
      <c r="A4023">
        <v>33</v>
      </c>
      <c r="B4023">
        <v>2026</v>
      </c>
      <c r="C4023" s="55">
        <v>46251</v>
      </c>
      <c r="D4023" t="s">
        <v>47</v>
      </c>
      <c r="E4023" t="s">
        <v>48</v>
      </c>
      <c r="F4023" t="s">
        <v>21</v>
      </c>
      <c r="G4023">
        <v>2</v>
      </c>
      <c r="H4023" t="s">
        <v>4121</v>
      </c>
      <c r="I4023" t="s">
        <v>4540</v>
      </c>
      <c r="J4023" s="1" t="s">
        <v>307</v>
      </c>
      <c r="K4023" t="s">
        <v>181</v>
      </c>
      <c r="L4023" t="s">
        <v>3340</v>
      </c>
      <c r="M4023">
        <v>4</v>
      </c>
      <c r="N4023">
        <v>0.16</v>
      </c>
      <c r="O4023" t="s">
        <v>211</v>
      </c>
      <c r="P4023">
        <v>9</v>
      </c>
      <c r="Q4023">
        <v>1</v>
      </c>
      <c r="R4023" t="s">
        <v>3773</v>
      </c>
      <c r="T4023" t="s">
        <v>3402</v>
      </c>
      <c r="U4023">
        <v>179</v>
      </c>
      <c r="V4023" t="s">
        <v>3464</v>
      </c>
    </row>
    <row r="4024" spans="1:22" x14ac:dyDescent="0.15">
      <c r="A4024">
        <v>33</v>
      </c>
      <c r="B4024">
        <v>2026</v>
      </c>
      <c r="C4024" s="55">
        <v>46251</v>
      </c>
      <c r="D4024" t="s">
        <v>47</v>
      </c>
      <c r="E4024" t="s">
        <v>48</v>
      </c>
      <c r="F4024" t="s">
        <v>21</v>
      </c>
      <c r="G4024">
        <v>2</v>
      </c>
      <c r="H4024" t="s">
        <v>6296</v>
      </c>
      <c r="I4024" t="s">
        <v>6297</v>
      </c>
      <c r="J4024" s="1" t="s">
        <v>3696</v>
      </c>
      <c r="K4024" t="s">
        <v>181</v>
      </c>
      <c r="L4024" t="s">
        <v>3340</v>
      </c>
      <c r="M4024">
        <v>4</v>
      </c>
      <c r="N4024">
        <v>0.16</v>
      </c>
      <c r="O4024" t="s">
        <v>211</v>
      </c>
      <c r="P4024">
        <v>9</v>
      </c>
      <c r="Q4024">
        <v>1</v>
      </c>
      <c r="R4024" t="s">
        <v>3773</v>
      </c>
      <c r="T4024" t="s">
        <v>3402</v>
      </c>
      <c r="U4024">
        <v>179</v>
      </c>
      <c r="V4024" t="s">
        <v>3464</v>
      </c>
    </row>
    <row r="4025" spans="1:22" x14ac:dyDescent="0.15">
      <c r="A4025">
        <v>33</v>
      </c>
      <c r="B4025">
        <v>2026</v>
      </c>
      <c r="C4025" s="55">
        <v>46251</v>
      </c>
      <c r="D4025" t="s">
        <v>47</v>
      </c>
      <c r="E4025" t="s">
        <v>48</v>
      </c>
      <c r="F4025" t="s">
        <v>21</v>
      </c>
      <c r="G4025">
        <v>2</v>
      </c>
      <c r="H4025" t="s">
        <v>6298</v>
      </c>
      <c r="I4025" t="s">
        <v>6299</v>
      </c>
      <c r="J4025" s="1" t="s">
        <v>4411</v>
      </c>
      <c r="K4025" t="s">
        <v>181</v>
      </c>
      <c r="L4025" t="s">
        <v>3340</v>
      </c>
      <c r="M4025">
        <v>4</v>
      </c>
      <c r="N4025">
        <v>0.25</v>
      </c>
      <c r="O4025" t="s">
        <v>211</v>
      </c>
      <c r="P4025">
        <v>13.5</v>
      </c>
      <c r="Q4025">
        <v>1.5</v>
      </c>
      <c r="R4025" t="s">
        <v>3773</v>
      </c>
      <c r="T4025" t="s">
        <v>3402</v>
      </c>
      <c r="U4025">
        <v>179</v>
      </c>
      <c r="V4025" t="s">
        <v>3818</v>
      </c>
    </row>
    <row r="4026" spans="1:22" x14ac:dyDescent="0.15">
      <c r="A4026">
        <v>33</v>
      </c>
      <c r="B4026">
        <v>2026</v>
      </c>
      <c r="C4026" s="55">
        <v>46251</v>
      </c>
      <c r="D4026" t="s">
        <v>47</v>
      </c>
      <c r="E4026" t="s">
        <v>48</v>
      </c>
      <c r="F4026" t="s">
        <v>21</v>
      </c>
      <c r="G4026">
        <v>2</v>
      </c>
      <c r="H4026" t="s">
        <v>6309</v>
      </c>
      <c r="I4026" t="s">
        <v>6297</v>
      </c>
      <c r="J4026" s="1" t="s">
        <v>3696</v>
      </c>
      <c r="K4026" t="s">
        <v>181</v>
      </c>
      <c r="L4026" t="s">
        <v>3333</v>
      </c>
      <c r="M4026">
        <v>86</v>
      </c>
      <c r="N4026">
        <v>0.75</v>
      </c>
      <c r="O4026" t="s">
        <v>3334</v>
      </c>
      <c r="P4026">
        <v>61.19</v>
      </c>
      <c r="Q4026">
        <v>6</v>
      </c>
      <c r="R4026" t="s">
        <v>3386</v>
      </c>
      <c r="T4026" t="s">
        <v>3402</v>
      </c>
      <c r="U4026">
        <v>179</v>
      </c>
      <c r="V4026" t="s">
        <v>3491</v>
      </c>
    </row>
    <row r="4027" spans="1:22" x14ac:dyDescent="0.15">
      <c r="A4027">
        <v>33</v>
      </c>
      <c r="B4027">
        <v>2026</v>
      </c>
      <c r="C4027" s="55">
        <v>46251</v>
      </c>
      <c r="D4027" t="s">
        <v>47</v>
      </c>
      <c r="E4027" t="s">
        <v>48</v>
      </c>
      <c r="F4027" t="s">
        <v>21</v>
      </c>
      <c r="G4027">
        <v>2</v>
      </c>
      <c r="H4027" t="s">
        <v>4250</v>
      </c>
      <c r="I4027" t="s">
        <v>4540</v>
      </c>
      <c r="J4027" s="1" t="s">
        <v>307</v>
      </c>
      <c r="K4027" t="s">
        <v>181</v>
      </c>
      <c r="L4027" t="s">
        <v>3333</v>
      </c>
      <c r="M4027">
        <v>86</v>
      </c>
      <c r="N4027">
        <v>0.25</v>
      </c>
      <c r="O4027" t="s">
        <v>3334</v>
      </c>
      <c r="P4027">
        <v>20.399999999999999</v>
      </c>
      <c r="Q4027">
        <v>2</v>
      </c>
      <c r="R4027" t="s">
        <v>3386</v>
      </c>
      <c r="T4027" t="s">
        <v>3402</v>
      </c>
      <c r="U4027">
        <v>179</v>
      </c>
      <c r="V4027" t="s">
        <v>3472</v>
      </c>
    </row>
    <row r="4028" spans="1:22" x14ac:dyDescent="0.15">
      <c r="A4028">
        <v>33</v>
      </c>
      <c r="B4028">
        <v>2026</v>
      </c>
      <c r="C4028" s="55">
        <v>46252</v>
      </c>
      <c r="D4028" t="s">
        <v>47</v>
      </c>
      <c r="E4028" t="s">
        <v>48</v>
      </c>
      <c r="F4028" t="s">
        <v>21</v>
      </c>
      <c r="G4028">
        <v>2</v>
      </c>
      <c r="H4028" t="s">
        <v>5490</v>
      </c>
      <c r="I4028" t="s">
        <v>3432</v>
      </c>
      <c r="J4028" s="1" t="s">
        <v>3437</v>
      </c>
      <c r="K4028" t="s">
        <v>181</v>
      </c>
      <c r="L4028" t="s">
        <v>3333</v>
      </c>
      <c r="M4028">
        <v>4</v>
      </c>
      <c r="N4028">
        <v>1</v>
      </c>
      <c r="O4028" t="s">
        <v>3334</v>
      </c>
      <c r="P4028">
        <v>81.58</v>
      </c>
      <c r="Q4028">
        <v>8</v>
      </c>
      <c r="R4028" t="s">
        <v>3773</v>
      </c>
      <c r="T4028" t="s">
        <v>3402</v>
      </c>
      <c r="U4028">
        <v>180</v>
      </c>
      <c r="V4028" t="s">
        <v>3456</v>
      </c>
    </row>
    <row r="4029" spans="1:22" x14ac:dyDescent="0.15">
      <c r="A4029">
        <v>33</v>
      </c>
      <c r="B4029">
        <v>2026</v>
      </c>
      <c r="C4029" s="55">
        <v>46252</v>
      </c>
      <c r="D4029" t="s">
        <v>47</v>
      </c>
      <c r="E4029" t="s">
        <v>48</v>
      </c>
      <c r="F4029" t="s">
        <v>21</v>
      </c>
      <c r="G4029">
        <v>2</v>
      </c>
      <c r="H4029" t="s">
        <v>5490</v>
      </c>
      <c r="I4029" t="s">
        <v>3432</v>
      </c>
      <c r="J4029" s="1" t="s">
        <v>3437</v>
      </c>
      <c r="K4029" t="s">
        <v>181</v>
      </c>
      <c r="L4029" t="s">
        <v>3340</v>
      </c>
      <c r="M4029">
        <v>4</v>
      </c>
      <c r="N4029">
        <v>0.16</v>
      </c>
      <c r="O4029" t="s">
        <v>211</v>
      </c>
      <c r="P4029">
        <v>9</v>
      </c>
      <c r="Q4029">
        <v>1</v>
      </c>
      <c r="R4029" t="s">
        <v>3773</v>
      </c>
      <c r="T4029" t="s">
        <v>3402</v>
      </c>
      <c r="U4029">
        <v>180</v>
      </c>
      <c r="V4029" t="s">
        <v>3464</v>
      </c>
    </row>
    <row r="4030" spans="1:22" x14ac:dyDescent="0.15">
      <c r="A4030">
        <v>33</v>
      </c>
      <c r="B4030">
        <v>2026</v>
      </c>
      <c r="C4030" s="55">
        <v>46252</v>
      </c>
      <c r="D4030" t="s">
        <v>3749</v>
      </c>
      <c r="E4030" t="s">
        <v>676</v>
      </c>
      <c r="F4030" t="s">
        <v>676</v>
      </c>
      <c r="G4030">
        <v>1</v>
      </c>
      <c r="H4030" t="s">
        <v>3750</v>
      </c>
      <c r="I4030" t="s">
        <v>3751</v>
      </c>
      <c r="J4030" s="1" t="s">
        <v>676</v>
      </c>
      <c r="K4030" t="s">
        <v>181</v>
      </c>
      <c r="L4030" t="s">
        <v>3333</v>
      </c>
      <c r="M4030">
        <v>67</v>
      </c>
      <c r="N4030">
        <v>1</v>
      </c>
      <c r="O4030" t="s">
        <v>3334</v>
      </c>
      <c r="P4030">
        <v>81.58</v>
      </c>
      <c r="Q4030">
        <v>8</v>
      </c>
      <c r="R4030" t="s">
        <v>3404</v>
      </c>
      <c r="S4030" t="s">
        <v>6312</v>
      </c>
      <c r="T4030" t="s">
        <v>3402</v>
      </c>
      <c r="U4030">
        <v>229</v>
      </c>
      <c r="V4030" t="s">
        <v>3334</v>
      </c>
    </row>
    <row r="4031" spans="1:22" x14ac:dyDescent="0.15">
      <c r="A4031">
        <v>33</v>
      </c>
      <c r="B4031">
        <v>2026</v>
      </c>
      <c r="C4031" s="55">
        <v>46252</v>
      </c>
      <c r="D4031" t="s">
        <v>3749</v>
      </c>
      <c r="E4031" t="s">
        <v>676</v>
      </c>
      <c r="F4031" t="s">
        <v>676</v>
      </c>
      <c r="G4031">
        <v>1</v>
      </c>
      <c r="H4031" t="s">
        <v>3750</v>
      </c>
      <c r="I4031" t="s">
        <v>3751</v>
      </c>
      <c r="J4031" s="1" t="s">
        <v>676</v>
      </c>
      <c r="K4031" t="s">
        <v>181</v>
      </c>
      <c r="L4031" t="s">
        <v>3340</v>
      </c>
      <c r="M4031">
        <v>67</v>
      </c>
      <c r="N4031">
        <v>0.87</v>
      </c>
      <c r="O4031" t="s">
        <v>211</v>
      </c>
      <c r="P4031">
        <v>48.08</v>
      </c>
      <c r="R4031" t="s">
        <v>3404</v>
      </c>
      <c r="S4031" t="s">
        <v>6313</v>
      </c>
      <c r="T4031" t="s">
        <v>3402</v>
      </c>
      <c r="U4031">
        <v>229</v>
      </c>
      <c r="V4031" t="s">
        <v>6314</v>
      </c>
    </row>
    <row r="4032" spans="1:22" x14ac:dyDescent="0.15">
      <c r="A4032">
        <v>33</v>
      </c>
      <c r="B4032">
        <v>2026</v>
      </c>
      <c r="C4032" s="55">
        <v>46252</v>
      </c>
      <c r="D4032" t="s">
        <v>3749</v>
      </c>
      <c r="E4032" t="s">
        <v>676</v>
      </c>
      <c r="F4032" t="s">
        <v>676</v>
      </c>
      <c r="G4032">
        <v>1</v>
      </c>
      <c r="H4032" t="s">
        <v>3750</v>
      </c>
      <c r="I4032" t="s">
        <v>3751</v>
      </c>
      <c r="J4032" s="1" t="s">
        <v>676</v>
      </c>
      <c r="K4032" t="s">
        <v>181</v>
      </c>
      <c r="L4032" t="s">
        <v>3333</v>
      </c>
      <c r="M4032">
        <v>78</v>
      </c>
      <c r="N4032">
        <v>1</v>
      </c>
      <c r="O4032" t="s">
        <v>3334</v>
      </c>
      <c r="P4032">
        <v>81.58</v>
      </c>
      <c r="Q4032">
        <v>8</v>
      </c>
      <c r="R4032" t="s">
        <v>3341</v>
      </c>
      <c r="T4032" t="s">
        <v>3402</v>
      </c>
      <c r="U4032">
        <v>229</v>
      </c>
      <c r="V4032" t="s">
        <v>3334</v>
      </c>
    </row>
    <row r="4033" spans="1:22" x14ac:dyDescent="0.15">
      <c r="A4033">
        <v>33</v>
      </c>
      <c r="B4033">
        <v>2026</v>
      </c>
      <c r="C4033" s="55">
        <v>46252</v>
      </c>
      <c r="D4033" t="s">
        <v>3749</v>
      </c>
      <c r="E4033" t="s">
        <v>676</v>
      </c>
      <c r="F4033" t="s">
        <v>676</v>
      </c>
      <c r="G4033">
        <v>1</v>
      </c>
      <c r="H4033" t="s">
        <v>3750</v>
      </c>
      <c r="I4033" t="s">
        <v>3751</v>
      </c>
      <c r="J4033" s="1" t="s">
        <v>676</v>
      </c>
      <c r="K4033" t="s">
        <v>181</v>
      </c>
      <c r="L4033" t="s">
        <v>3340</v>
      </c>
      <c r="M4033">
        <v>78</v>
      </c>
      <c r="N4033">
        <v>0.68</v>
      </c>
      <c r="O4033" t="s">
        <v>211</v>
      </c>
      <c r="P4033">
        <v>37.31</v>
      </c>
      <c r="R4033" t="s">
        <v>3341</v>
      </c>
      <c r="T4033" t="s">
        <v>3402</v>
      </c>
      <c r="U4033">
        <v>229</v>
      </c>
      <c r="V4033" t="s">
        <v>6315</v>
      </c>
    </row>
    <row r="4034" spans="1:22" x14ac:dyDescent="0.15">
      <c r="A4034">
        <v>33</v>
      </c>
      <c r="B4034">
        <v>2026</v>
      </c>
      <c r="C4034" s="55">
        <v>46252</v>
      </c>
      <c r="D4034" t="s">
        <v>3749</v>
      </c>
      <c r="E4034" t="s">
        <v>676</v>
      </c>
      <c r="F4034" t="s">
        <v>676</v>
      </c>
      <c r="G4034">
        <v>1</v>
      </c>
      <c r="H4034" t="s">
        <v>3750</v>
      </c>
      <c r="I4034" t="s">
        <v>3751</v>
      </c>
      <c r="J4034" s="1" t="s">
        <v>676</v>
      </c>
      <c r="K4034" t="s">
        <v>181</v>
      </c>
      <c r="L4034" t="s">
        <v>3340</v>
      </c>
      <c r="M4034">
        <v>84</v>
      </c>
      <c r="N4034">
        <v>1.31</v>
      </c>
      <c r="O4034" t="s">
        <v>211</v>
      </c>
      <c r="P4034">
        <v>72</v>
      </c>
      <c r="Q4034">
        <v>8</v>
      </c>
      <c r="R4034" t="s">
        <v>3446</v>
      </c>
      <c r="T4034" t="s">
        <v>3402</v>
      </c>
      <c r="U4034">
        <v>229</v>
      </c>
      <c r="V4034" t="s">
        <v>193</v>
      </c>
    </row>
    <row r="4035" spans="1:22" x14ac:dyDescent="0.15">
      <c r="A4035">
        <v>33</v>
      </c>
      <c r="B4035">
        <v>2026</v>
      </c>
      <c r="C4035" s="55">
        <v>46252</v>
      </c>
      <c r="D4035" t="s">
        <v>3749</v>
      </c>
      <c r="E4035" t="s">
        <v>676</v>
      </c>
      <c r="F4035" t="s">
        <v>676</v>
      </c>
      <c r="G4035">
        <v>1</v>
      </c>
      <c r="H4035" t="s">
        <v>3750</v>
      </c>
      <c r="I4035" t="s">
        <v>3751</v>
      </c>
      <c r="J4035" s="1" t="s">
        <v>676</v>
      </c>
      <c r="K4035" t="s">
        <v>181</v>
      </c>
      <c r="L4035" t="s">
        <v>3340</v>
      </c>
      <c r="M4035">
        <v>84</v>
      </c>
      <c r="N4035">
        <v>0.85</v>
      </c>
      <c r="O4035" t="s">
        <v>211</v>
      </c>
      <c r="P4035">
        <v>46.89</v>
      </c>
      <c r="R4035" t="s">
        <v>3446</v>
      </c>
      <c r="T4035" t="s">
        <v>3402</v>
      </c>
      <c r="U4035">
        <v>229</v>
      </c>
      <c r="V4035" t="s">
        <v>6316</v>
      </c>
    </row>
    <row r="4036" spans="1:22" x14ac:dyDescent="0.15">
      <c r="A4036">
        <v>33</v>
      </c>
      <c r="B4036">
        <v>2026</v>
      </c>
      <c r="C4036" s="55">
        <v>46253</v>
      </c>
      <c r="D4036" t="s">
        <v>141</v>
      </c>
      <c r="E4036" t="s">
        <v>142</v>
      </c>
      <c r="F4036" t="s">
        <v>75</v>
      </c>
      <c r="G4036">
        <v>1</v>
      </c>
      <c r="H4036" t="s">
        <v>4767</v>
      </c>
      <c r="I4036" t="s">
        <v>4768</v>
      </c>
      <c r="J4036" s="1" t="s">
        <v>3533</v>
      </c>
      <c r="K4036" t="s">
        <v>181</v>
      </c>
      <c r="L4036" t="s">
        <v>3340</v>
      </c>
      <c r="M4036">
        <v>84</v>
      </c>
      <c r="N4036">
        <v>0</v>
      </c>
      <c r="O4036" t="s">
        <v>211</v>
      </c>
      <c r="P4036">
        <v>0</v>
      </c>
      <c r="R4036" t="s">
        <v>3446</v>
      </c>
      <c r="S4036" t="s">
        <v>6319</v>
      </c>
      <c r="T4036" t="s">
        <v>3402</v>
      </c>
      <c r="U4036">
        <v>57</v>
      </c>
      <c r="V4036" t="s">
        <v>88</v>
      </c>
    </row>
  </sheetData>
  <autoFilter ref="A1:V10880" xr:uid="{00000000-0009-0000-0000-000002000000}"/>
  <mergeCells count="18">
    <mergeCell ref="V1:V2"/>
    <mergeCell ref="K1:K2"/>
    <mergeCell ref="H1:H2"/>
    <mergeCell ref="F1:F2"/>
    <mergeCell ref="M1:M2"/>
    <mergeCell ref="U1:U2"/>
    <mergeCell ref="T1:T2"/>
    <mergeCell ref="I1:I2"/>
    <mergeCell ref="P1:P2"/>
    <mergeCell ref="R1:R2"/>
    <mergeCell ref="A1:A2"/>
    <mergeCell ref="E1:E2"/>
    <mergeCell ref="N1:N2"/>
    <mergeCell ref="S1:S2"/>
    <mergeCell ref="Q1:Q2"/>
    <mergeCell ref="C1:C2"/>
    <mergeCell ref="B1:B2"/>
    <mergeCell ref="G1:G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30"/>
  <sheetViews>
    <sheetView topLeftCell="H1" zoomScale="125" zoomScaleNormal="125" workbookViewId="0">
      <pane ySplit="2" topLeftCell="A99" activePane="bottomLeft" state="frozen"/>
      <selection activeCell="B1" sqref="B1"/>
      <selection pane="bottomLeft" sqref="A1:O130"/>
    </sheetView>
  </sheetViews>
  <sheetFormatPr baseColWidth="10" defaultColWidth="10.6640625" defaultRowHeight="13" x14ac:dyDescent="0.15"/>
  <cols>
    <col min="3" max="3" width="18.5" customWidth="1"/>
    <col min="4" max="4" width="17.6640625" customWidth="1"/>
    <col min="13" max="13" width="10.83203125" style="2" customWidth="1"/>
    <col min="15" max="15" width="10.83203125" style="2" customWidth="1"/>
  </cols>
  <sheetData>
    <row r="1" spans="1:15" s="11" customFormat="1" ht="12.75" customHeight="1" x14ac:dyDescent="0.15">
      <c r="A1" s="76" t="s">
        <v>0</v>
      </c>
      <c r="B1" s="4" t="s">
        <v>1</v>
      </c>
      <c r="C1" s="5" t="s">
        <v>2</v>
      </c>
      <c r="D1" s="74" t="s">
        <v>3</v>
      </c>
      <c r="E1" s="74" t="s">
        <v>4</v>
      </c>
      <c r="F1" s="74" t="s">
        <v>5</v>
      </c>
      <c r="G1" s="74" t="s">
        <v>6</v>
      </c>
      <c r="H1" s="74" t="s">
        <v>7</v>
      </c>
      <c r="I1" s="5" t="s">
        <v>8</v>
      </c>
      <c r="J1" s="77" t="s">
        <v>9</v>
      </c>
      <c r="K1" s="77" t="s">
        <v>10</v>
      </c>
      <c r="L1" s="4" t="s">
        <v>11</v>
      </c>
      <c r="M1" s="77" t="s">
        <v>12</v>
      </c>
      <c r="N1" s="74" t="s">
        <v>13</v>
      </c>
      <c r="O1" s="74" t="s">
        <v>14</v>
      </c>
    </row>
    <row r="2" spans="1:15" s="11" customFormat="1" ht="12.75" customHeight="1" x14ac:dyDescent="0.15">
      <c r="A2" s="78"/>
      <c r="B2" s="4" t="s">
        <v>15</v>
      </c>
      <c r="C2" s="5" t="s">
        <v>16</v>
      </c>
      <c r="D2" s="78"/>
      <c r="E2" s="78"/>
      <c r="F2" s="78"/>
      <c r="G2" s="78"/>
      <c r="H2" s="78"/>
      <c r="I2" s="5" t="s">
        <v>17</v>
      </c>
      <c r="J2" s="78"/>
      <c r="K2" s="78"/>
      <c r="L2" s="4" t="s">
        <v>18</v>
      </c>
      <c r="M2" s="78"/>
      <c r="N2" s="78"/>
      <c r="O2" s="78"/>
    </row>
    <row r="3" spans="1:15" ht="15" customHeight="1" x14ac:dyDescent="0.2">
      <c r="A3" s="23">
        <v>45970</v>
      </c>
      <c r="B3" s="30" t="s">
        <v>19</v>
      </c>
      <c r="C3" s="6" t="s">
        <v>20</v>
      </c>
      <c r="D3" s="30" t="s">
        <v>21</v>
      </c>
      <c r="E3" s="30">
        <v>3.8</v>
      </c>
      <c r="F3" s="8"/>
      <c r="G3" s="30" t="s">
        <v>22</v>
      </c>
      <c r="H3" s="30" t="s">
        <v>22</v>
      </c>
      <c r="I3" s="30" t="s">
        <v>23</v>
      </c>
      <c r="J3" s="8"/>
      <c r="K3" s="31">
        <v>4</v>
      </c>
      <c r="L3" s="30" t="s">
        <v>24</v>
      </c>
      <c r="M3" s="2" t="s">
        <v>25</v>
      </c>
      <c r="N3" s="8">
        <v>-30</v>
      </c>
      <c r="O3" s="2" t="s">
        <v>24</v>
      </c>
    </row>
    <row r="4" spans="1:15" ht="15" customHeight="1" x14ac:dyDescent="0.2">
      <c r="A4" s="23">
        <v>45970</v>
      </c>
      <c r="B4" s="30" t="s">
        <v>19</v>
      </c>
      <c r="C4" s="6" t="s">
        <v>20</v>
      </c>
      <c r="D4" s="30" t="s">
        <v>21</v>
      </c>
      <c r="E4" s="30">
        <v>3.8</v>
      </c>
      <c r="F4" s="8"/>
      <c r="G4" s="30" t="s">
        <v>26</v>
      </c>
      <c r="H4" s="30" t="s">
        <v>26</v>
      </c>
      <c r="I4" s="30" t="s">
        <v>23</v>
      </c>
      <c r="J4" s="8"/>
      <c r="K4" s="31">
        <v>3.8</v>
      </c>
      <c r="L4" s="30" t="s">
        <v>27</v>
      </c>
      <c r="M4" s="2" t="s">
        <v>28</v>
      </c>
      <c r="N4" s="8">
        <v>-30</v>
      </c>
      <c r="O4" s="32" t="s">
        <v>27</v>
      </c>
    </row>
    <row r="5" spans="1:15" ht="15" customHeight="1" x14ac:dyDescent="0.2">
      <c r="A5" s="23">
        <v>46000</v>
      </c>
      <c r="B5" s="30" t="s">
        <v>19</v>
      </c>
      <c r="C5" s="6" t="s">
        <v>20</v>
      </c>
      <c r="D5" s="30" t="s">
        <v>21</v>
      </c>
      <c r="E5" s="30">
        <v>3.8</v>
      </c>
      <c r="F5" s="8"/>
      <c r="G5" s="8" t="s">
        <v>29</v>
      </c>
      <c r="H5" s="30" t="s">
        <v>30</v>
      </c>
      <c r="I5" s="30" t="s">
        <v>23</v>
      </c>
      <c r="J5" s="8"/>
      <c r="K5" s="31">
        <v>3.8</v>
      </c>
      <c r="L5" s="30" t="s">
        <v>31</v>
      </c>
      <c r="M5" s="2" t="s">
        <v>32</v>
      </c>
      <c r="N5" s="8">
        <v>0</v>
      </c>
      <c r="O5" s="2" t="s">
        <v>31</v>
      </c>
    </row>
    <row r="6" spans="1:15" ht="15" customHeight="1" x14ac:dyDescent="0.2">
      <c r="A6" s="23">
        <v>45970</v>
      </c>
      <c r="B6" s="30" t="s">
        <v>19</v>
      </c>
      <c r="C6" s="6" t="s">
        <v>20</v>
      </c>
      <c r="D6" s="30" t="s">
        <v>21</v>
      </c>
      <c r="E6" s="30">
        <v>3.8</v>
      </c>
      <c r="F6" s="8"/>
      <c r="G6" s="30" t="s">
        <v>33</v>
      </c>
      <c r="H6" s="30" t="s">
        <v>33</v>
      </c>
      <c r="I6" s="8"/>
      <c r="J6" s="8"/>
      <c r="K6" s="31">
        <v>3.8</v>
      </c>
      <c r="L6" s="30" t="s">
        <v>34</v>
      </c>
      <c r="M6" s="2" t="s">
        <v>35</v>
      </c>
      <c r="N6" s="8">
        <v>-30</v>
      </c>
      <c r="O6" s="2" t="s">
        <v>34</v>
      </c>
    </row>
    <row r="7" spans="1:15" ht="15" customHeight="1" x14ac:dyDescent="0.2">
      <c r="A7" s="23">
        <v>45970</v>
      </c>
      <c r="B7" s="30" t="s">
        <v>19</v>
      </c>
      <c r="C7" s="6" t="s">
        <v>20</v>
      </c>
      <c r="D7" s="30" t="s">
        <v>21</v>
      </c>
      <c r="E7" s="30">
        <v>3.8</v>
      </c>
      <c r="F7" s="8"/>
      <c r="G7" s="30" t="s">
        <v>36</v>
      </c>
      <c r="H7" s="30" t="s">
        <v>36</v>
      </c>
      <c r="I7" s="8"/>
      <c r="J7" s="8"/>
      <c r="K7" s="31">
        <v>3.8</v>
      </c>
      <c r="L7" s="30" t="s">
        <v>37</v>
      </c>
      <c r="M7" s="2" t="s">
        <v>38</v>
      </c>
      <c r="N7" s="8">
        <v>-30</v>
      </c>
      <c r="O7" s="2" t="s">
        <v>37</v>
      </c>
    </row>
    <row r="8" spans="1:15" ht="12.75" customHeight="1" x14ac:dyDescent="0.15">
      <c r="A8" s="23">
        <v>46006</v>
      </c>
      <c r="B8" s="30" t="s">
        <v>39</v>
      </c>
      <c r="C8" s="30" t="s">
        <v>40</v>
      </c>
      <c r="D8" s="30" t="s">
        <v>21</v>
      </c>
      <c r="E8" s="30">
        <v>1.91</v>
      </c>
      <c r="F8" s="8"/>
      <c r="G8" s="30" t="s">
        <v>22</v>
      </c>
      <c r="H8" s="30" t="s">
        <v>22</v>
      </c>
      <c r="I8" s="30" t="s">
        <v>23</v>
      </c>
      <c r="J8" s="8"/>
      <c r="K8" s="31">
        <v>2</v>
      </c>
      <c r="L8" s="30" t="s">
        <v>24</v>
      </c>
      <c r="M8" s="2">
        <v>8000</v>
      </c>
      <c r="N8" s="8">
        <v>-31</v>
      </c>
      <c r="O8" s="2" t="s">
        <v>41</v>
      </c>
    </row>
    <row r="9" spans="1:15" ht="12.75" customHeight="1" x14ac:dyDescent="0.15">
      <c r="A9" s="23">
        <v>46006</v>
      </c>
      <c r="B9" s="30" t="s">
        <v>39</v>
      </c>
      <c r="C9" s="30" t="s">
        <v>40</v>
      </c>
      <c r="D9" s="30" t="s">
        <v>21</v>
      </c>
      <c r="E9" s="30">
        <v>1.91</v>
      </c>
      <c r="F9" s="8"/>
      <c r="G9" s="30" t="s">
        <v>26</v>
      </c>
      <c r="H9" s="30" t="s">
        <v>26</v>
      </c>
      <c r="I9" s="30" t="s">
        <v>23</v>
      </c>
      <c r="J9" s="8"/>
      <c r="K9" s="31">
        <v>2</v>
      </c>
      <c r="L9" s="30" t="s">
        <v>27</v>
      </c>
      <c r="M9" s="2">
        <v>1416</v>
      </c>
      <c r="N9" s="8">
        <v>-31</v>
      </c>
      <c r="O9" s="32" t="s">
        <v>42</v>
      </c>
    </row>
    <row r="10" spans="1:15" ht="12.75" customHeight="1" x14ac:dyDescent="0.15">
      <c r="A10" s="23">
        <v>46037</v>
      </c>
      <c r="B10" s="30" t="s">
        <v>39</v>
      </c>
      <c r="C10" s="30" t="s">
        <v>40</v>
      </c>
      <c r="D10" s="30" t="s">
        <v>21</v>
      </c>
      <c r="E10" s="30">
        <v>1.91</v>
      </c>
      <c r="F10" s="8"/>
      <c r="G10" s="8" t="s">
        <v>29</v>
      </c>
      <c r="H10" s="30" t="s">
        <v>30</v>
      </c>
      <c r="I10" s="30" t="s">
        <v>23</v>
      </c>
      <c r="J10" s="8"/>
      <c r="K10" s="31">
        <v>2</v>
      </c>
      <c r="L10" s="30" t="s">
        <v>31</v>
      </c>
      <c r="M10" s="2">
        <v>3800</v>
      </c>
      <c r="N10" s="8">
        <v>0</v>
      </c>
      <c r="O10" s="2" t="s">
        <v>43</v>
      </c>
    </row>
    <row r="11" spans="1:15" ht="12.75" customHeight="1" x14ac:dyDescent="0.15">
      <c r="A11" s="23">
        <v>46006</v>
      </c>
      <c r="B11" s="30" t="s">
        <v>39</v>
      </c>
      <c r="C11" s="30" t="s">
        <v>40</v>
      </c>
      <c r="D11" s="30" t="s">
        <v>21</v>
      </c>
      <c r="E11" s="30">
        <v>1.91</v>
      </c>
      <c r="F11" s="8"/>
      <c r="G11" s="30" t="s">
        <v>33</v>
      </c>
      <c r="H11" s="30" t="s">
        <v>33</v>
      </c>
      <c r="I11" s="8"/>
      <c r="J11" s="8"/>
      <c r="K11" s="31">
        <v>2</v>
      </c>
      <c r="L11" s="30" t="s">
        <v>34</v>
      </c>
      <c r="M11" s="2">
        <v>195</v>
      </c>
      <c r="N11" s="8">
        <v>-31</v>
      </c>
      <c r="O11" s="2" t="s">
        <v>44</v>
      </c>
    </row>
    <row r="12" spans="1:15" ht="12.75" customHeight="1" x14ac:dyDescent="0.15">
      <c r="A12" s="23">
        <v>46006</v>
      </c>
      <c r="B12" s="30" t="s">
        <v>39</v>
      </c>
      <c r="C12" s="30" t="s">
        <v>40</v>
      </c>
      <c r="D12" s="30" t="s">
        <v>21</v>
      </c>
      <c r="E12" s="30">
        <v>1.91</v>
      </c>
      <c r="F12" s="8"/>
      <c r="G12" s="30" t="s">
        <v>36</v>
      </c>
      <c r="H12" s="30" t="s">
        <v>36</v>
      </c>
      <c r="I12" s="8"/>
      <c r="J12" s="8"/>
      <c r="K12" s="31">
        <v>2</v>
      </c>
      <c r="L12" s="30" t="s">
        <v>45</v>
      </c>
      <c r="M12" s="2">
        <v>5200</v>
      </c>
      <c r="N12" s="8">
        <v>-31</v>
      </c>
      <c r="O12" s="2" t="s">
        <v>46</v>
      </c>
    </row>
    <row r="13" spans="1:15" ht="12.75" customHeight="1" x14ac:dyDescent="0.15">
      <c r="A13" s="23">
        <v>46041</v>
      </c>
      <c r="B13" s="30" t="s">
        <v>47</v>
      </c>
      <c r="C13" s="8" t="s">
        <v>48</v>
      </c>
      <c r="D13" s="30" t="s">
        <v>21</v>
      </c>
      <c r="E13" s="30">
        <v>2</v>
      </c>
      <c r="F13" s="8"/>
      <c r="G13" s="30" t="s">
        <v>22</v>
      </c>
      <c r="H13" s="4" t="s">
        <v>22</v>
      </c>
      <c r="I13" s="30" t="s">
        <v>23</v>
      </c>
      <c r="J13" s="8"/>
      <c r="K13" s="31">
        <v>2</v>
      </c>
      <c r="L13" s="30" t="s">
        <v>24</v>
      </c>
      <c r="M13" s="2">
        <v>8000</v>
      </c>
      <c r="N13" s="8">
        <v>-31</v>
      </c>
      <c r="O13" s="2" t="s">
        <v>24</v>
      </c>
    </row>
    <row r="14" spans="1:15" ht="12.75" customHeight="1" x14ac:dyDescent="0.15">
      <c r="A14" s="23">
        <v>46041</v>
      </c>
      <c r="B14" s="30" t="s">
        <v>47</v>
      </c>
      <c r="C14" s="8" t="s">
        <v>48</v>
      </c>
      <c r="D14" s="30" t="s">
        <v>21</v>
      </c>
      <c r="E14" s="30">
        <v>2</v>
      </c>
      <c r="F14" s="8"/>
      <c r="G14" s="30" t="s">
        <v>26</v>
      </c>
      <c r="H14" s="30" t="s">
        <v>26</v>
      </c>
      <c r="I14" s="30" t="s">
        <v>23</v>
      </c>
      <c r="J14" s="8"/>
      <c r="K14" s="31">
        <v>2</v>
      </c>
      <c r="L14" s="30" t="s">
        <v>27</v>
      </c>
      <c r="M14" s="2">
        <v>1416</v>
      </c>
      <c r="N14" s="8">
        <v>-31</v>
      </c>
      <c r="O14" s="32" t="s">
        <v>27</v>
      </c>
    </row>
    <row r="15" spans="1:15" ht="12.75" customHeight="1" x14ac:dyDescent="0.15">
      <c r="A15" s="23">
        <v>46072</v>
      </c>
      <c r="B15" s="30" t="s">
        <v>47</v>
      </c>
      <c r="C15" s="8" t="s">
        <v>48</v>
      </c>
      <c r="D15" s="30" t="s">
        <v>21</v>
      </c>
      <c r="E15" s="30">
        <v>2</v>
      </c>
      <c r="F15" s="8"/>
      <c r="G15" s="8" t="s">
        <v>29</v>
      </c>
      <c r="H15" s="30" t="s">
        <v>30</v>
      </c>
      <c r="I15" s="30" t="s">
        <v>23</v>
      </c>
      <c r="J15" s="8"/>
      <c r="K15" s="31">
        <v>2</v>
      </c>
      <c r="L15" s="30" t="s">
        <v>49</v>
      </c>
      <c r="M15" s="2">
        <v>4000</v>
      </c>
      <c r="N15" s="8">
        <v>0</v>
      </c>
      <c r="O15" s="2" t="s">
        <v>49</v>
      </c>
    </row>
    <row r="16" spans="1:15" ht="12.75" customHeight="1" x14ac:dyDescent="0.15">
      <c r="A16" s="23">
        <v>46041</v>
      </c>
      <c r="B16" s="30" t="s">
        <v>47</v>
      </c>
      <c r="C16" s="8" t="s">
        <v>48</v>
      </c>
      <c r="D16" s="30" t="s">
        <v>21</v>
      </c>
      <c r="E16" s="30">
        <v>2</v>
      </c>
      <c r="F16" s="8"/>
      <c r="G16" s="30" t="s">
        <v>33</v>
      </c>
      <c r="H16" s="30" t="s">
        <v>33</v>
      </c>
      <c r="I16" s="8"/>
      <c r="J16" s="8"/>
      <c r="K16" s="31">
        <v>2</v>
      </c>
      <c r="L16" s="30" t="s">
        <v>34</v>
      </c>
      <c r="M16" s="2">
        <v>195</v>
      </c>
      <c r="N16" s="8">
        <v>-31</v>
      </c>
      <c r="O16" s="2" t="s">
        <v>34</v>
      </c>
    </row>
    <row r="17" spans="1:15" ht="12.75" customHeight="1" x14ac:dyDescent="0.15">
      <c r="A17" s="23">
        <v>46041</v>
      </c>
      <c r="B17" s="30" t="s">
        <v>47</v>
      </c>
      <c r="C17" s="8" t="s">
        <v>48</v>
      </c>
      <c r="D17" s="30" t="s">
        <v>21</v>
      </c>
      <c r="E17" s="30">
        <v>2</v>
      </c>
      <c r="F17" s="8"/>
      <c r="G17" s="30" t="s">
        <v>36</v>
      </c>
      <c r="H17" s="30" t="s">
        <v>36</v>
      </c>
      <c r="I17" s="8"/>
      <c r="J17" s="8"/>
      <c r="K17" s="31">
        <v>2</v>
      </c>
      <c r="L17" s="30" t="s">
        <v>50</v>
      </c>
      <c r="M17" s="2">
        <v>3200</v>
      </c>
      <c r="N17" s="8">
        <v>-31</v>
      </c>
      <c r="O17" s="2" t="s">
        <v>50</v>
      </c>
    </row>
    <row r="18" spans="1:15" ht="12.75" customHeight="1" x14ac:dyDescent="0.15">
      <c r="A18" s="23">
        <v>46023</v>
      </c>
      <c r="B18" s="30" t="s">
        <v>47</v>
      </c>
      <c r="C18" s="8" t="s">
        <v>48</v>
      </c>
      <c r="D18" s="30" t="s">
        <v>21</v>
      </c>
      <c r="E18" s="30">
        <v>2</v>
      </c>
      <c r="F18" s="8"/>
      <c r="G18" s="30" t="s">
        <v>51</v>
      </c>
      <c r="H18" s="30" t="s">
        <v>51</v>
      </c>
      <c r="I18" s="8"/>
      <c r="J18" s="8"/>
      <c r="K18" s="31">
        <v>2</v>
      </c>
      <c r="L18" s="30" t="s">
        <v>52</v>
      </c>
      <c r="M18" s="2">
        <v>720</v>
      </c>
      <c r="N18" s="8">
        <v>-49</v>
      </c>
      <c r="O18" s="2" t="s">
        <v>52</v>
      </c>
    </row>
    <row r="19" spans="1:15" ht="12.75" customHeight="1" x14ac:dyDescent="0.15">
      <c r="A19" s="33">
        <v>46056</v>
      </c>
      <c r="B19" s="8" t="s">
        <v>53</v>
      </c>
      <c r="C19" s="30" t="s">
        <v>54</v>
      </c>
      <c r="D19" s="30" t="s">
        <v>21</v>
      </c>
      <c r="E19" s="30">
        <v>2</v>
      </c>
      <c r="F19" s="8"/>
      <c r="G19" s="30" t="s">
        <v>22</v>
      </c>
      <c r="H19" s="30" t="s">
        <v>22</v>
      </c>
      <c r="I19" s="30" t="s">
        <v>23</v>
      </c>
      <c r="J19" s="8"/>
      <c r="K19" s="31">
        <v>2</v>
      </c>
      <c r="L19" s="30" t="s">
        <v>24</v>
      </c>
      <c r="M19" s="2">
        <v>8000</v>
      </c>
      <c r="N19" s="8">
        <v>-30</v>
      </c>
      <c r="O19" s="2" t="s">
        <v>24</v>
      </c>
    </row>
    <row r="20" spans="1:15" ht="12.75" customHeight="1" x14ac:dyDescent="0.15">
      <c r="A20" s="33">
        <v>46056</v>
      </c>
      <c r="B20" s="8" t="s">
        <v>53</v>
      </c>
      <c r="C20" s="30" t="s">
        <v>54</v>
      </c>
      <c r="D20" s="30" t="s">
        <v>21</v>
      </c>
      <c r="E20" s="30">
        <v>2</v>
      </c>
      <c r="F20" s="8"/>
      <c r="G20" s="4" t="s">
        <v>26</v>
      </c>
      <c r="H20" s="30" t="s">
        <v>26</v>
      </c>
      <c r="I20" s="30" t="s">
        <v>23</v>
      </c>
      <c r="J20" s="8"/>
      <c r="K20" s="31">
        <v>2</v>
      </c>
      <c r="L20" s="30" t="s">
        <v>27</v>
      </c>
      <c r="M20" s="2">
        <v>1416</v>
      </c>
      <c r="N20" s="8">
        <v>-30</v>
      </c>
      <c r="O20" s="32" t="s">
        <v>27</v>
      </c>
    </row>
    <row r="21" spans="1:15" ht="12.75" customHeight="1" x14ac:dyDescent="0.15">
      <c r="A21" s="8"/>
      <c r="B21" s="8"/>
      <c r="C21" s="30" t="s">
        <v>54</v>
      </c>
      <c r="D21" s="8"/>
      <c r="E21" s="8"/>
      <c r="F21" s="8"/>
      <c r="G21" s="8"/>
      <c r="H21" s="34" t="s">
        <v>55</v>
      </c>
      <c r="I21" s="8"/>
      <c r="J21" s="8"/>
      <c r="K21" s="8"/>
      <c r="L21" s="30" t="s">
        <v>56</v>
      </c>
      <c r="N21" s="8"/>
    </row>
    <row r="22" spans="1:15" ht="12.75" customHeight="1" x14ac:dyDescent="0.15">
      <c r="A22" s="8"/>
      <c r="B22" s="8"/>
      <c r="C22" s="30" t="s">
        <v>54</v>
      </c>
      <c r="D22" s="8"/>
      <c r="E22" s="8"/>
      <c r="F22" s="8"/>
      <c r="G22" s="8"/>
      <c r="H22" s="34" t="s">
        <v>57</v>
      </c>
      <c r="I22" s="8"/>
      <c r="J22" s="8"/>
      <c r="K22" s="8"/>
      <c r="L22" s="30" t="s">
        <v>58</v>
      </c>
      <c r="N22" s="8"/>
    </row>
    <row r="23" spans="1:15" ht="12.75" customHeight="1" x14ac:dyDescent="0.15">
      <c r="A23" s="23">
        <v>46056</v>
      </c>
      <c r="B23" s="8" t="s">
        <v>53</v>
      </c>
      <c r="C23" s="30" t="s">
        <v>54</v>
      </c>
      <c r="D23" s="30" t="s">
        <v>21</v>
      </c>
      <c r="E23" s="30">
        <v>2</v>
      </c>
      <c r="F23" s="8"/>
      <c r="G23" s="30" t="s">
        <v>33</v>
      </c>
      <c r="H23" s="30" t="s">
        <v>33</v>
      </c>
      <c r="I23" s="8"/>
      <c r="J23" s="8"/>
      <c r="K23" s="31">
        <v>2</v>
      </c>
      <c r="L23" s="30" t="s">
        <v>34</v>
      </c>
      <c r="M23" s="2">
        <v>195</v>
      </c>
      <c r="N23" s="8">
        <v>-30</v>
      </c>
      <c r="O23" s="2" t="s">
        <v>34</v>
      </c>
    </row>
    <row r="24" spans="1:15" ht="12.75" customHeight="1" x14ac:dyDescent="0.15">
      <c r="A24" s="23">
        <v>46056</v>
      </c>
      <c r="B24" s="8" t="s">
        <v>53</v>
      </c>
      <c r="C24" s="30" t="s">
        <v>54</v>
      </c>
      <c r="D24" s="30" t="s">
        <v>21</v>
      </c>
      <c r="E24" s="30">
        <v>2</v>
      </c>
      <c r="F24" s="8"/>
      <c r="G24" s="30" t="s">
        <v>36</v>
      </c>
      <c r="H24" s="30" t="s">
        <v>36</v>
      </c>
      <c r="I24" s="8"/>
      <c r="J24" s="8"/>
      <c r="K24" s="31">
        <v>2</v>
      </c>
      <c r="L24" s="30" t="s">
        <v>59</v>
      </c>
      <c r="M24" s="2">
        <v>3050</v>
      </c>
      <c r="N24" s="8">
        <v>-30</v>
      </c>
      <c r="O24" s="2" t="s">
        <v>59</v>
      </c>
    </row>
    <row r="25" spans="1:15" ht="12.75" customHeight="1" x14ac:dyDescent="0.15">
      <c r="A25" s="23">
        <v>46077</v>
      </c>
      <c r="B25" s="30" t="s">
        <v>60</v>
      </c>
      <c r="C25" s="4" t="s">
        <v>61</v>
      </c>
      <c r="D25" s="30" t="s">
        <v>21</v>
      </c>
      <c r="E25" s="30">
        <v>1.6</v>
      </c>
      <c r="F25" s="8"/>
      <c r="G25" s="30" t="s">
        <v>22</v>
      </c>
      <c r="H25" s="30" t="s">
        <v>22</v>
      </c>
      <c r="I25" s="30" t="s">
        <v>23</v>
      </c>
      <c r="J25" s="8"/>
      <c r="K25" s="31">
        <v>1.6</v>
      </c>
      <c r="L25" s="30" t="s">
        <v>24</v>
      </c>
      <c r="M25" s="2">
        <v>6400</v>
      </c>
      <c r="N25" s="8">
        <v>-31</v>
      </c>
      <c r="O25" s="2" t="s">
        <v>24</v>
      </c>
    </row>
    <row r="26" spans="1:15" ht="12.75" customHeight="1" x14ac:dyDescent="0.15">
      <c r="A26" s="23">
        <v>46077</v>
      </c>
      <c r="B26" s="30" t="s">
        <v>60</v>
      </c>
      <c r="C26" s="4" t="s">
        <v>61</v>
      </c>
      <c r="D26" s="30" t="s">
        <v>21</v>
      </c>
      <c r="E26" s="30">
        <v>1.6</v>
      </c>
      <c r="F26" s="8"/>
      <c r="G26" s="4" t="s">
        <v>26</v>
      </c>
      <c r="H26" s="30" t="s">
        <v>26</v>
      </c>
      <c r="I26" s="30" t="s">
        <v>23</v>
      </c>
      <c r="J26" s="8"/>
      <c r="K26" s="31">
        <v>1.6</v>
      </c>
      <c r="L26" s="30" t="s">
        <v>62</v>
      </c>
      <c r="M26" s="2">
        <v>1728</v>
      </c>
      <c r="N26" s="8">
        <v>-31</v>
      </c>
      <c r="O26" s="32" t="s">
        <v>62</v>
      </c>
    </row>
    <row r="27" spans="1:15" ht="12.75" customHeight="1" x14ac:dyDescent="0.15">
      <c r="A27" s="8"/>
      <c r="B27" s="8"/>
      <c r="C27" s="4" t="s">
        <v>61</v>
      </c>
      <c r="D27" s="8"/>
      <c r="E27" s="8"/>
      <c r="F27" s="8"/>
      <c r="G27" s="34" t="s">
        <v>63</v>
      </c>
      <c r="H27" s="8"/>
      <c r="I27" s="8"/>
      <c r="J27" s="8"/>
      <c r="K27" s="35">
        <v>1.2</v>
      </c>
      <c r="L27" s="30" t="s">
        <v>64</v>
      </c>
      <c r="N27" s="8"/>
    </row>
    <row r="28" spans="1:15" ht="12.75" customHeight="1" x14ac:dyDescent="0.15">
      <c r="A28" s="8"/>
      <c r="B28" s="8"/>
      <c r="C28" s="4" t="s">
        <v>61</v>
      </c>
      <c r="D28" s="8"/>
      <c r="E28" s="8"/>
      <c r="F28" s="8"/>
      <c r="G28" s="34" t="s">
        <v>55</v>
      </c>
      <c r="H28" s="8"/>
      <c r="I28" s="8"/>
      <c r="J28" s="8"/>
      <c r="K28" s="35">
        <v>1.2</v>
      </c>
      <c r="L28" s="30" t="s">
        <v>56</v>
      </c>
      <c r="N28" s="8"/>
    </row>
    <row r="29" spans="1:15" ht="12.75" customHeight="1" x14ac:dyDescent="0.15">
      <c r="A29" s="8"/>
      <c r="B29" s="8"/>
      <c r="C29" s="4" t="s">
        <v>61</v>
      </c>
      <c r="D29" s="8"/>
      <c r="E29" s="8"/>
      <c r="F29" s="8"/>
      <c r="G29" s="34" t="s">
        <v>65</v>
      </c>
      <c r="H29" s="8"/>
      <c r="I29" s="8"/>
      <c r="J29" s="8"/>
      <c r="K29" s="35">
        <v>1.2</v>
      </c>
      <c r="L29" s="30" t="s">
        <v>66</v>
      </c>
      <c r="N29" s="8"/>
    </row>
    <row r="30" spans="1:15" ht="12.75" customHeight="1" x14ac:dyDescent="0.15">
      <c r="A30" s="23">
        <v>46108</v>
      </c>
      <c r="B30" s="30" t="s">
        <v>60</v>
      </c>
      <c r="C30" s="4" t="s">
        <v>61</v>
      </c>
      <c r="D30" s="30" t="s">
        <v>21</v>
      </c>
      <c r="E30" s="30">
        <v>1.6</v>
      </c>
      <c r="F30" s="8"/>
      <c r="G30" s="8" t="s">
        <v>29</v>
      </c>
      <c r="H30" s="30" t="s">
        <v>30</v>
      </c>
      <c r="I30" s="30" t="s">
        <v>23</v>
      </c>
      <c r="J30" s="8"/>
      <c r="K30" s="31">
        <v>1.6</v>
      </c>
      <c r="L30" s="30" t="s">
        <v>67</v>
      </c>
      <c r="M30" s="2">
        <v>2300</v>
      </c>
      <c r="N30" s="8">
        <v>0</v>
      </c>
      <c r="O30" s="2" t="s">
        <v>67</v>
      </c>
    </row>
    <row r="31" spans="1:15" ht="12.75" customHeight="1" x14ac:dyDescent="0.15">
      <c r="A31" s="23">
        <v>46077</v>
      </c>
      <c r="B31" s="30" t="s">
        <v>60</v>
      </c>
      <c r="C31" s="4" t="s">
        <v>61</v>
      </c>
      <c r="D31" s="30" t="s">
        <v>21</v>
      </c>
      <c r="E31" s="30">
        <v>1.6</v>
      </c>
      <c r="F31" s="8"/>
      <c r="G31" s="30" t="s">
        <v>33</v>
      </c>
      <c r="H31" s="30" t="s">
        <v>33</v>
      </c>
      <c r="I31" s="8"/>
      <c r="J31" s="8"/>
      <c r="K31" s="31">
        <v>1.6</v>
      </c>
      <c r="L31" s="30" t="s">
        <v>34</v>
      </c>
      <c r="M31" s="2">
        <v>156</v>
      </c>
      <c r="N31" s="8">
        <v>-31</v>
      </c>
      <c r="O31" s="2" t="s">
        <v>34</v>
      </c>
    </row>
    <row r="32" spans="1:15" ht="12.75" customHeight="1" x14ac:dyDescent="0.15">
      <c r="A32" s="36">
        <v>46083</v>
      </c>
      <c r="B32" s="30" t="s">
        <v>68</v>
      </c>
      <c r="C32" s="30" t="s">
        <v>69</v>
      </c>
      <c r="D32" s="30" t="s">
        <v>21</v>
      </c>
      <c r="E32" s="30">
        <v>1</v>
      </c>
      <c r="F32" s="8"/>
      <c r="G32" s="30" t="s">
        <v>22</v>
      </c>
      <c r="H32" s="30" t="s">
        <v>22</v>
      </c>
      <c r="I32" s="30" t="s">
        <v>23</v>
      </c>
      <c r="J32" s="8"/>
      <c r="K32" s="31">
        <v>1</v>
      </c>
      <c r="L32" s="30" t="s">
        <v>24</v>
      </c>
      <c r="M32" s="2">
        <v>4000</v>
      </c>
      <c r="N32" s="8">
        <v>-31</v>
      </c>
      <c r="O32" s="2" t="s">
        <v>24</v>
      </c>
    </row>
    <row r="33" spans="1:15" ht="12.75" customHeight="1" x14ac:dyDescent="0.15">
      <c r="A33" s="36">
        <v>46083</v>
      </c>
      <c r="B33" s="30" t="s">
        <v>68</v>
      </c>
      <c r="C33" s="30" t="s">
        <v>69</v>
      </c>
      <c r="D33" s="30" t="s">
        <v>21</v>
      </c>
      <c r="E33" s="30">
        <v>1</v>
      </c>
      <c r="F33" s="8"/>
      <c r="G33" s="4" t="s">
        <v>26</v>
      </c>
      <c r="H33" s="30" t="s">
        <v>26</v>
      </c>
      <c r="I33" s="30" t="s">
        <v>23</v>
      </c>
      <c r="J33" s="8"/>
      <c r="K33" s="31">
        <v>1</v>
      </c>
      <c r="L33" s="30" t="s">
        <v>70</v>
      </c>
      <c r="M33" s="2">
        <v>1100</v>
      </c>
      <c r="N33" s="8">
        <v>-31</v>
      </c>
      <c r="O33" s="32" t="s">
        <v>70</v>
      </c>
    </row>
    <row r="34" spans="1:15" ht="12.75" customHeight="1" x14ac:dyDescent="0.15">
      <c r="A34" s="8"/>
      <c r="B34" s="8"/>
      <c r="C34" s="30" t="s">
        <v>69</v>
      </c>
      <c r="D34" s="30" t="s">
        <v>21</v>
      </c>
      <c r="E34" s="8"/>
      <c r="F34" s="8"/>
      <c r="G34" s="37" t="s">
        <v>71</v>
      </c>
      <c r="H34" s="30" t="s">
        <v>26</v>
      </c>
      <c r="I34" s="8"/>
      <c r="J34" s="8"/>
      <c r="K34" s="8"/>
      <c r="L34" s="30" t="s">
        <v>72</v>
      </c>
      <c r="N34" s="8"/>
      <c r="O34" s="32"/>
    </row>
    <row r="35" spans="1:15" ht="12.75" customHeight="1" x14ac:dyDescent="0.15">
      <c r="A35" s="8"/>
      <c r="B35" s="8"/>
      <c r="C35" s="30" t="s">
        <v>69</v>
      </c>
      <c r="D35" s="30" t="s">
        <v>21</v>
      </c>
      <c r="E35" s="8"/>
      <c r="F35" s="8"/>
      <c r="G35" s="34" t="s">
        <v>55</v>
      </c>
      <c r="H35" s="30" t="s">
        <v>26</v>
      </c>
      <c r="I35" s="8"/>
      <c r="J35" s="8"/>
      <c r="K35" s="8"/>
      <c r="L35" s="30" t="s">
        <v>56</v>
      </c>
      <c r="N35" s="8"/>
      <c r="O35" s="32"/>
    </row>
    <row r="36" spans="1:15" ht="12.75" customHeight="1" x14ac:dyDescent="0.15">
      <c r="A36" s="36">
        <v>46083</v>
      </c>
      <c r="B36" s="30" t="s">
        <v>68</v>
      </c>
      <c r="C36" s="30" t="s">
        <v>69</v>
      </c>
      <c r="D36" s="30" t="s">
        <v>21</v>
      </c>
      <c r="E36" s="30">
        <v>1</v>
      </c>
      <c r="F36" s="8"/>
      <c r="G36" s="30" t="s">
        <v>33</v>
      </c>
      <c r="H36" s="30" t="s">
        <v>33</v>
      </c>
      <c r="I36" s="8"/>
      <c r="J36" s="8"/>
      <c r="K36" s="31">
        <v>1</v>
      </c>
      <c r="L36" s="30" t="s">
        <v>34</v>
      </c>
      <c r="M36" s="2">
        <v>97.5</v>
      </c>
      <c r="N36" s="8">
        <v>-31</v>
      </c>
      <c r="O36" s="2" t="s">
        <v>34</v>
      </c>
    </row>
    <row r="37" spans="1:15" ht="12.75" customHeight="1" x14ac:dyDescent="0.15">
      <c r="A37" s="36">
        <v>46099</v>
      </c>
      <c r="B37" s="30" t="s">
        <v>73</v>
      </c>
      <c r="C37" s="30" t="s">
        <v>74</v>
      </c>
      <c r="D37" s="30" t="s">
        <v>75</v>
      </c>
      <c r="E37" s="30">
        <v>2.2999999999999998</v>
      </c>
      <c r="F37" s="8"/>
      <c r="G37" s="30" t="s">
        <v>22</v>
      </c>
      <c r="H37" s="4" t="s">
        <v>22</v>
      </c>
      <c r="I37" s="30" t="s">
        <v>23</v>
      </c>
      <c r="J37" s="8"/>
      <c r="K37" s="31">
        <v>2.2999999999999998</v>
      </c>
      <c r="L37" s="30" t="s">
        <v>76</v>
      </c>
      <c r="M37" s="2">
        <v>13800</v>
      </c>
      <c r="N37" s="8">
        <v>-31</v>
      </c>
      <c r="O37" s="2" t="s">
        <v>76</v>
      </c>
    </row>
    <row r="38" spans="1:15" ht="12.75" customHeight="1" x14ac:dyDescent="0.15">
      <c r="A38" s="36">
        <v>46099</v>
      </c>
      <c r="B38" s="30" t="s">
        <v>73</v>
      </c>
      <c r="C38" s="30" t="s">
        <v>74</v>
      </c>
      <c r="D38" s="30" t="s">
        <v>75</v>
      </c>
      <c r="E38" s="30">
        <v>2.2999999999999998</v>
      </c>
      <c r="F38" s="8"/>
      <c r="G38" s="4" t="s">
        <v>26</v>
      </c>
      <c r="H38" s="30" t="s">
        <v>26</v>
      </c>
      <c r="I38" s="30" t="s">
        <v>23</v>
      </c>
      <c r="J38" s="8"/>
      <c r="K38" s="31">
        <v>2.2999999999999998</v>
      </c>
      <c r="L38" s="4" t="s">
        <v>77</v>
      </c>
      <c r="M38" s="2">
        <v>2576</v>
      </c>
      <c r="N38" s="8">
        <v>-31</v>
      </c>
      <c r="O38" s="32" t="s">
        <v>77</v>
      </c>
    </row>
    <row r="39" spans="1:15" ht="12.75" customHeight="1" x14ac:dyDescent="0.15">
      <c r="A39" s="8"/>
      <c r="B39" s="8"/>
      <c r="C39" s="30" t="s">
        <v>74</v>
      </c>
      <c r="D39" s="30" t="s">
        <v>75</v>
      </c>
      <c r="E39" s="8"/>
      <c r="F39" s="8"/>
      <c r="G39" s="34" t="s">
        <v>55</v>
      </c>
      <c r="H39" s="8"/>
      <c r="I39" s="8"/>
      <c r="J39" s="8"/>
      <c r="K39" s="8"/>
      <c r="L39" s="38" t="s">
        <v>56</v>
      </c>
      <c r="N39" s="8"/>
    </row>
    <row r="40" spans="1:15" ht="12.75" customHeight="1" x14ac:dyDescent="0.15">
      <c r="A40" s="23">
        <v>46143</v>
      </c>
      <c r="B40" s="30" t="s">
        <v>47</v>
      </c>
      <c r="C40" s="30" t="s">
        <v>74</v>
      </c>
      <c r="D40" s="30" t="s">
        <v>21</v>
      </c>
      <c r="E40" s="30">
        <v>2.2999999999999998</v>
      </c>
      <c r="F40" s="8"/>
      <c r="G40" s="30" t="s">
        <v>36</v>
      </c>
      <c r="H40" s="30" t="s">
        <v>36</v>
      </c>
      <c r="I40" s="8"/>
      <c r="J40" s="8"/>
      <c r="K40" s="31">
        <v>2.2999999999999998</v>
      </c>
      <c r="L40" s="30">
        <f>+M40/K40</f>
        <v>1173.913043478261</v>
      </c>
      <c r="M40" s="2">
        <v>2700</v>
      </c>
      <c r="N40" s="8">
        <v>-31</v>
      </c>
      <c r="O40" s="2">
        <f>+M40/K40</f>
        <v>1173.913043478261</v>
      </c>
    </row>
    <row r="41" spans="1:15" ht="12.75" customHeight="1" x14ac:dyDescent="0.15">
      <c r="A41" s="8"/>
      <c r="B41" s="8"/>
      <c r="C41" s="30" t="s">
        <v>74</v>
      </c>
      <c r="D41" s="30" t="s">
        <v>75</v>
      </c>
      <c r="E41" s="8"/>
      <c r="F41" s="8"/>
      <c r="G41" s="34" t="s">
        <v>78</v>
      </c>
      <c r="H41" s="8"/>
      <c r="I41" s="8"/>
      <c r="J41" s="8"/>
      <c r="K41" s="8"/>
      <c r="L41" s="38" t="s">
        <v>79</v>
      </c>
      <c r="N41" s="8"/>
    </row>
    <row r="42" spans="1:15" ht="12.75" customHeight="1" x14ac:dyDescent="0.15">
      <c r="A42" s="36">
        <v>46099</v>
      </c>
      <c r="B42" s="30" t="s">
        <v>73</v>
      </c>
      <c r="C42" s="30" t="s">
        <v>74</v>
      </c>
      <c r="D42" s="30" t="s">
        <v>75</v>
      </c>
      <c r="E42" s="30">
        <v>2.2999999999999998</v>
      </c>
      <c r="F42" s="8"/>
      <c r="G42" s="30" t="s">
        <v>33</v>
      </c>
      <c r="H42" s="30" t="s">
        <v>33</v>
      </c>
      <c r="I42" s="8"/>
      <c r="J42" s="8"/>
      <c r="K42" s="31">
        <v>2.2999999999999998</v>
      </c>
      <c r="L42" s="30" t="s">
        <v>34</v>
      </c>
      <c r="M42" s="2">
        <v>224.25</v>
      </c>
      <c r="N42" s="8">
        <v>-31</v>
      </c>
      <c r="O42" s="2" t="s">
        <v>34</v>
      </c>
    </row>
    <row r="43" spans="1:15" ht="12.75" customHeight="1" x14ac:dyDescent="0.15">
      <c r="A43" s="36">
        <v>46081</v>
      </c>
      <c r="B43" s="30" t="s">
        <v>80</v>
      </c>
      <c r="C43" s="30" t="s">
        <v>81</v>
      </c>
      <c r="D43" s="30" t="s">
        <v>21</v>
      </c>
      <c r="E43" s="30">
        <v>2.2999999999999998</v>
      </c>
      <c r="F43" s="8"/>
      <c r="G43" s="30" t="s">
        <v>22</v>
      </c>
      <c r="H43" s="4" t="s">
        <v>22</v>
      </c>
      <c r="I43" s="30" t="s">
        <v>23</v>
      </c>
      <c r="J43" s="8"/>
      <c r="K43" s="31">
        <v>2.2999999999999998</v>
      </c>
      <c r="L43" s="30" t="s">
        <v>24</v>
      </c>
      <c r="M43" s="2">
        <v>9200</v>
      </c>
      <c r="N43" s="8">
        <v>-33</v>
      </c>
      <c r="O43" s="2" t="s">
        <v>24</v>
      </c>
    </row>
    <row r="44" spans="1:15" ht="12.75" customHeight="1" x14ac:dyDescent="0.15">
      <c r="A44" s="36">
        <v>46081</v>
      </c>
      <c r="B44" s="30" t="s">
        <v>80</v>
      </c>
      <c r="C44" s="30" t="s">
        <v>81</v>
      </c>
      <c r="D44" s="30" t="s">
        <v>21</v>
      </c>
      <c r="E44" s="30">
        <v>2.2999999999999998</v>
      </c>
      <c r="F44" s="8"/>
      <c r="G44" s="4" t="s">
        <v>26</v>
      </c>
      <c r="H44" s="30" t="s">
        <v>26</v>
      </c>
      <c r="I44" s="30" t="s">
        <v>23</v>
      </c>
      <c r="J44" s="8"/>
      <c r="K44" s="31">
        <v>2.2999999999999998</v>
      </c>
      <c r="L44" s="30" t="s">
        <v>77</v>
      </c>
      <c r="M44" s="2">
        <v>2576</v>
      </c>
      <c r="N44" s="8">
        <v>-33</v>
      </c>
      <c r="O44" s="32" t="s">
        <v>77</v>
      </c>
    </row>
    <row r="45" spans="1:15" ht="12.75" customHeight="1" x14ac:dyDescent="0.15">
      <c r="A45" s="8"/>
      <c r="B45" s="8"/>
      <c r="C45" s="30" t="s">
        <v>81</v>
      </c>
      <c r="D45" s="8"/>
      <c r="E45" s="8"/>
      <c r="F45" s="8"/>
      <c r="G45" s="34" t="s">
        <v>55</v>
      </c>
      <c r="H45" s="8"/>
      <c r="I45" s="8"/>
      <c r="J45" s="8"/>
      <c r="K45" s="8"/>
      <c r="L45" s="38" t="s">
        <v>56</v>
      </c>
      <c r="N45" s="8"/>
    </row>
    <row r="46" spans="1:15" ht="12.75" customHeight="1" x14ac:dyDescent="0.15">
      <c r="A46" s="8"/>
      <c r="B46" s="8"/>
      <c r="C46" s="30" t="s">
        <v>81</v>
      </c>
      <c r="D46" s="8"/>
      <c r="E46" s="8"/>
      <c r="F46" s="8"/>
      <c r="G46" s="37" t="s">
        <v>78</v>
      </c>
      <c r="H46" s="8"/>
      <c r="I46" s="8"/>
      <c r="J46" s="8"/>
      <c r="K46" s="8"/>
      <c r="L46" s="38" t="s">
        <v>79</v>
      </c>
      <c r="N46" s="8"/>
    </row>
    <row r="47" spans="1:15" ht="12.75" customHeight="1" x14ac:dyDescent="0.15">
      <c r="A47" s="8"/>
      <c r="B47" s="8"/>
      <c r="C47" s="30" t="s">
        <v>81</v>
      </c>
      <c r="D47" s="8"/>
      <c r="E47" s="8"/>
      <c r="F47" s="8"/>
      <c r="G47" s="34" t="s">
        <v>55</v>
      </c>
      <c r="H47" s="8"/>
      <c r="I47" s="8"/>
      <c r="J47" s="8"/>
      <c r="K47" s="8"/>
      <c r="L47" s="38" t="s">
        <v>56</v>
      </c>
      <c r="N47" s="8"/>
    </row>
    <row r="48" spans="1:15" ht="12.75" customHeight="1" x14ac:dyDescent="0.15">
      <c r="A48" s="8"/>
      <c r="B48" s="8"/>
      <c r="C48" s="30" t="s">
        <v>81</v>
      </c>
      <c r="D48" s="8"/>
      <c r="E48" s="8"/>
      <c r="F48" s="8"/>
      <c r="G48" s="34" t="s">
        <v>78</v>
      </c>
      <c r="H48" s="8"/>
      <c r="I48" s="8"/>
      <c r="J48" s="8"/>
      <c r="K48" s="8"/>
      <c r="L48" s="38" t="s">
        <v>79</v>
      </c>
      <c r="N48" s="8"/>
    </row>
    <row r="49" spans="1:15" ht="12.75" customHeight="1" x14ac:dyDescent="0.15">
      <c r="A49" s="36">
        <v>46114</v>
      </c>
      <c r="B49" s="30" t="s">
        <v>80</v>
      </c>
      <c r="C49" s="30" t="s">
        <v>81</v>
      </c>
      <c r="D49" s="30" t="s">
        <v>21</v>
      </c>
      <c r="E49" s="30">
        <v>2.2999999999999998</v>
      </c>
      <c r="F49" s="8"/>
      <c r="G49" s="8" t="s">
        <v>29</v>
      </c>
      <c r="H49" s="30" t="s">
        <v>30</v>
      </c>
      <c r="I49" s="30" t="s">
        <v>23</v>
      </c>
      <c r="J49" s="8"/>
      <c r="K49" s="31">
        <v>2.2999999999999998</v>
      </c>
      <c r="L49" s="30" t="s">
        <v>82</v>
      </c>
      <c r="M49" s="2">
        <v>3450</v>
      </c>
      <c r="N49" s="8">
        <v>0</v>
      </c>
      <c r="O49" s="2" t="s">
        <v>82</v>
      </c>
    </row>
    <row r="50" spans="1:15" ht="12.75" customHeight="1" x14ac:dyDescent="0.15">
      <c r="A50" s="36">
        <v>46081</v>
      </c>
      <c r="B50" s="30" t="s">
        <v>80</v>
      </c>
      <c r="C50" s="30" t="s">
        <v>81</v>
      </c>
      <c r="D50" s="30" t="s">
        <v>21</v>
      </c>
      <c r="E50" s="30">
        <v>2.2999999999999998</v>
      </c>
      <c r="F50" s="8"/>
      <c r="G50" s="30" t="s">
        <v>33</v>
      </c>
      <c r="H50" s="30" t="s">
        <v>33</v>
      </c>
      <c r="I50" s="8"/>
      <c r="J50" s="8"/>
      <c r="K50" s="31">
        <v>2.2999999999999998</v>
      </c>
      <c r="L50" s="30" t="s">
        <v>34</v>
      </c>
      <c r="M50" s="2">
        <v>224.25</v>
      </c>
      <c r="N50" s="8">
        <v>-33</v>
      </c>
      <c r="O50" s="2" t="s">
        <v>34</v>
      </c>
    </row>
    <row r="51" spans="1:15" ht="12.75" customHeight="1" x14ac:dyDescent="0.15">
      <c r="A51" s="36">
        <v>46081</v>
      </c>
      <c r="B51" s="30" t="s">
        <v>80</v>
      </c>
      <c r="C51" s="30" t="s">
        <v>81</v>
      </c>
      <c r="D51" s="30" t="s">
        <v>21</v>
      </c>
      <c r="E51" s="30">
        <v>2.2999999999999998</v>
      </c>
      <c r="F51" s="8"/>
      <c r="G51" s="30" t="s">
        <v>36</v>
      </c>
      <c r="H51" s="30" t="s">
        <v>36</v>
      </c>
      <c r="I51" s="8"/>
      <c r="J51" s="8"/>
      <c r="K51" s="31">
        <v>2.2999999999999998</v>
      </c>
      <c r="L51" s="30" t="s">
        <v>83</v>
      </c>
      <c r="M51" s="2">
        <v>2700</v>
      </c>
      <c r="N51" s="8">
        <v>-33</v>
      </c>
      <c r="O51" s="2" t="s">
        <v>83</v>
      </c>
    </row>
    <row r="52" spans="1:15" ht="12.75" customHeight="1" x14ac:dyDescent="0.15">
      <c r="A52" s="36">
        <v>46105</v>
      </c>
      <c r="B52" s="30" t="s">
        <v>84</v>
      </c>
      <c r="C52" s="30" t="s">
        <v>85</v>
      </c>
      <c r="D52" s="30" t="s">
        <v>21</v>
      </c>
      <c r="E52" s="30">
        <v>2</v>
      </c>
      <c r="F52" s="8"/>
      <c r="G52" s="30" t="s">
        <v>22</v>
      </c>
      <c r="H52" s="30" t="s">
        <v>22</v>
      </c>
      <c r="I52" s="30" t="s">
        <v>23</v>
      </c>
      <c r="J52" s="8"/>
      <c r="K52" s="31">
        <v>2</v>
      </c>
      <c r="L52" s="30" t="s">
        <v>24</v>
      </c>
      <c r="M52" s="2">
        <v>8000</v>
      </c>
      <c r="N52" s="8">
        <v>-27</v>
      </c>
      <c r="O52" s="2" t="s">
        <v>24</v>
      </c>
    </row>
    <row r="53" spans="1:15" ht="12.75" customHeight="1" x14ac:dyDescent="0.15">
      <c r="A53" s="36">
        <v>46105</v>
      </c>
      <c r="B53" s="30" t="s">
        <v>84</v>
      </c>
      <c r="C53" s="30" t="s">
        <v>85</v>
      </c>
      <c r="D53" s="30" t="s">
        <v>21</v>
      </c>
      <c r="E53" s="30">
        <v>2</v>
      </c>
      <c r="F53" s="8"/>
      <c r="G53" s="30" t="s">
        <v>26</v>
      </c>
      <c r="H53" s="30" t="s">
        <v>26</v>
      </c>
      <c r="I53" s="30" t="s">
        <v>23</v>
      </c>
      <c r="J53" s="8"/>
      <c r="K53" s="31">
        <v>2</v>
      </c>
      <c r="L53" s="30" t="s">
        <v>70</v>
      </c>
      <c r="M53" s="2">
        <v>2200</v>
      </c>
      <c r="N53" s="8">
        <v>-27</v>
      </c>
      <c r="O53" s="32" t="s">
        <v>70</v>
      </c>
    </row>
    <row r="54" spans="1:15" ht="12.75" customHeight="1" x14ac:dyDescent="0.15">
      <c r="A54" s="8"/>
      <c r="B54" s="8"/>
      <c r="C54" s="30" t="s">
        <v>85</v>
      </c>
      <c r="D54" s="8"/>
      <c r="E54" s="8"/>
      <c r="F54" s="8"/>
      <c r="G54" s="34" t="s">
        <v>55</v>
      </c>
      <c r="H54" s="8"/>
      <c r="I54" s="8"/>
      <c r="J54" s="8"/>
      <c r="K54" s="8"/>
      <c r="L54" s="34" t="s">
        <v>56</v>
      </c>
      <c r="N54" s="8"/>
    </row>
    <row r="55" spans="1:15" ht="12.75" customHeight="1" x14ac:dyDescent="0.15">
      <c r="A55" s="8"/>
      <c r="B55" s="8"/>
      <c r="C55" s="30" t="s">
        <v>85</v>
      </c>
      <c r="D55" s="8"/>
      <c r="E55" s="8"/>
      <c r="F55" s="8"/>
      <c r="G55" s="34" t="s">
        <v>86</v>
      </c>
      <c r="H55" s="8"/>
      <c r="I55" s="8"/>
      <c r="J55" s="8"/>
      <c r="K55" s="8"/>
      <c r="L55" s="34" t="s">
        <v>87</v>
      </c>
      <c r="N55" s="8"/>
    </row>
    <row r="56" spans="1:15" ht="12.75" customHeight="1" x14ac:dyDescent="0.15">
      <c r="A56" s="8"/>
      <c r="B56" s="8"/>
      <c r="C56" s="30" t="s">
        <v>85</v>
      </c>
      <c r="D56" s="8"/>
      <c r="E56" s="8"/>
      <c r="F56" s="8"/>
      <c r="G56" s="34" t="s">
        <v>55</v>
      </c>
      <c r="H56" s="8"/>
      <c r="I56" s="8"/>
      <c r="J56" s="8"/>
      <c r="K56" s="8"/>
      <c r="L56" s="34" t="s">
        <v>56</v>
      </c>
      <c r="N56" s="8"/>
    </row>
    <row r="57" spans="1:15" ht="12.75" customHeight="1" x14ac:dyDescent="0.15">
      <c r="A57" s="36">
        <v>46023</v>
      </c>
      <c r="B57" s="30" t="s">
        <v>84</v>
      </c>
      <c r="C57" s="30" t="s">
        <v>85</v>
      </c>
      <c r="D57" s="30" t="s">
        <v>21</v>
      </c>
      <c r="E57" s="30">
        <v>2</v>
      </c>
      <c r="F57" s="8"/>
      <c r="G57" s="30" t="s">
        <v>33</v>
      </c>
      <c r="H57" s="30" t="s">
        <v>33</v>
      </c>
      <c r="I57" s="8"/>
      <c r="J57" s="8"/>
      <c r="K57" s="31">
        <v>2</v>
      </c>
      <c r="L57" s="30" t="s">
        <v>34</v>
      </c>
      <c r="M57" s="2">
        <v>195</v>
      </c>
      <c r="N57" s="8">
        <v>-109</v>
      </c>
      <c r="O57" s="2" t="s">
        <v>34</v>
      </c>
    </row>
    <row r="58" spans="1:15" ht="12.75" customHeight="1" x14ac:dyDescent="0.15">
      <c r="A58" s="36">
        <v>46105</v>
      </c>
      <c r="B58" s="30" t="s">
        <v>84</v>
      </c>
      <c r="C58" s="30" t="s">
        <v>85</v>
      </c>
      <c r="D58" s="30" t="s">
        <v>21</v>
      </c>
      <c r="E58" s="30">
        <v>2</v>
      </c>
      <c r="F58" s="8"/>
      <c r="G58" s="30" t="s">
        <v>36</v>
      </c>
      <c r="H58" s="30" t="s">
        <v>36</v>
      </c>
      <c r="I58" s="8"/>
      <c r="J58" s="8"/>
      <c r="K58" s="31">
        <v>2</v>
      </c>
      <c r="L58" s="30" t="s">
        <v>88</v>
      </c>
      <c r="M58" s="2">
        <v>0</v>
      </c>
      <c r="N58" s="8">
        <v>-27</v>
      </c>
      <c r="O58" s="2" t="s">
        <v>88</v>
      </c>
    </row>
    <row r="59" spans="1:15" ht="12.75" customHeight="1" x14ac:dyDescent="0.15">
      <c r="A59" s="36">
        <v>46096</v>
      </c>
      <c r="B59" s="30" t="s">
        <v>89</v>
      </c>
      <c r="C59" s="30" t="s">
        <v>90</v>
      </c>
      <c r="D59" s="30" t="s">
        <v>21</v>
      </c>
      <c r="E59" s="30">
        <v>1</v>
      </c>
      <c r="F59" s="8"/>
      <c r="G59" s="30" t="s">
        <v>22</v>
      </c>
      <c r="H59" s="30" t="s">
        <v>22</v>
      </c>
      <c r="I59" s="30" t="s">
        <v>23</v>
      </c>
      <c r="J59" s="8"/>
      <c r="K59" s="31">
        <v>1</v>
      </c>
      <c r="L59" s="30" t="s">
        <v>24</v>
      </c>
      <c r="M59" s="2">
        <v>4000</v>
      </c>
      <c r="N59" s="8">
        <v>-31</v>
      </c>
      <c r="O59" s="2" t="s">
        <v>24</v>
      </c>
    </row>
    <row r="60" spans="1:15" ht="12.75" customHeight="1" x14ac:dyDescent="0.15">
      <c r="A60" s="36">
        <v>46096</v>
      </c>
      <c r="B60" s="30" t="s">
        <v>89</v>
      </c>
      <c r="C60" s="30" t="s">
        <v>90</v>
      </c>
      <c r="D60" s="30" t="s">
        <v>21</v>
      </c>
      <c r="E60" s="30">
        <v>1</v>
      </c>
      <c r="F60" s="8"/>
      <c r="G60" s="30" t="s">
        <v>33</v>
      </c>
      <c r="H60" s="30" t="s">
        <v>33</v>
      </c>
      <c r="I60" s="8"/>
      <c r="J60" s="8"/>
      <c r="K60" s="31">
        <v>1</v>
      </c>
      <c r="L60" s="30" t="s">
        <v>34</v>
      </c>
      <c r="M60" s="2">
        <v>97.5</v>
      </c>
      <c r="N60" s="8">
        <v>-31</v>
      </c>
      <c r="O60" s="2" t="s">
        <v>34</v>
      </c>
    </row>
    <row r="61" spans="1:15" ht="12.75" customHeight="1" x14ac:dyDescent="0.15">
      <c r="A61" s="36">
        <v>46096</v>
      </c>
      <c r="B61" s="30" t="s">
        <v>91</v>
      </c>
      <c r="C61" s="30" t="s">
        <v>92</v>
      </c>
      <c r="D61" s="30" t="s">
        <v>21</v>
      </c>
      <c r="E61" s="30">
        <v>1.3</v>
      </c>
      <c r="F61" s="8"/>
      <c r="G61" s="30" t="s">
        <v>22</v>
      </c>
      <c r="H61" s="30" t="s">
        <v>22</v>
      </c>
      <c r="I61" s="30" t="s">
        <v>23</v>
      </c>
      <c r="J61" s="8"/>
      <c r="K61" s="31">
        <v>1.3</v>
      </c>
      <c r="L61" s="30" t="s">
        <v>24</v>
      </c>
      <c r="M61" s="2">
        <v>5200</v>
      </c>
      <c r="N61" s="8">
        <v>-34</v>
      </c>
      <c r="O61" s="2" t="s">
        <v>24</v>
      </c>
    </row>
    <row r="62" spans="1:15" ht="12.75" customHeight="1" x14ac:dyDescent="0.15">
      <c r="A62" s="36">
        <v>46096</v>
      </c>
      <c r="B62" s="30" t="s">
        <v>91</v>
      </c>
      <c r="C62" s="30" t="s">
        <v>92</v>
      </c>
      <c r="D62" s="30" t="s">
        <v>21</v>
      </c>
      <c r="E62" s="30">
        <v>1.3</v>
      </c>
      <c r="F62" s="8"/>
      <c r="G62" s="4" t="s">
        <v>26</v>
      </c>
      <c r="H62" s="30" t="s">
        <v>26</v>
      </c>
      <c r="I62" s="30" t="s">
        <v>23</v>
      </c>
      <c r="J62" s="8"/>
      <c r="K62" s="31">
        <v>1.3</v>
      </c>
      <c r="L62" s="30" t="s">
        <v>93</v>
      </c>
      <c r="M62" s="2">
        <v>903.5</v>
      </c>
      <c r="N62" s="8">
        <v>-34</v>
      </c>
      <c r="O62" s="32" t="s">
        <v>93</v>
      </c>
    </row>
    <row r="63" spans="1:15" ht="12.75" customHeight="1" x14ac:dyDescent="0.15">
      <c r="A63" s="8"/>
      <c r="B63" s="8"/>
      <c r="C63" s="30" t="s">
        <v>92</v>
      </c>
      <c r="D63" s="8"/>
      <c r="E63" s="8"/>
      <c r="F63" s="8"/>
      <c r="G63" s="34" t="s">
        <v>94</v>
      </c>
      <c r="H63" s="8"/>
      <c r="I63" s="8"/>
      <c r="J63" s="8"/>
      <c r="K63" s="8"/>
      <c r="L63" s="8"/>
      <c r="N63" s="8"/>
    </row>
    <row r="64" spans="1:15" ht="12.75" customHeight="1" x14ac:dyDescent="0.15">
      <c r="A64" s="8"/>
      <c r="B64" s="8"/>
      <c r="C64" s="30" t="s">
        <v>92</v>
      </c>
      <c r="D64" s="8"/>
      <c r="E64" s="8"/>
      <c r="F64" s="8"/>
      <c r="G64" s="34" t="s">
        <v>95</v>
      </c>
      <c r="H64" s="8"/>
      <c r="I64" s="8"/>
      <c r="J64" s="8"/>
      <c r="K64" s="8"/>
      <c r="L64" s="8"/>
      <c r="N64" s="8"/>
    </row>
    <row r="65" spans="1:15" ht="12.75" customHeight="1" x14ac:dyDescent="0.15">
      <c r="A65" s="8"/>
      <c r="B65" s="8"/>
      <c r="C65" s="30" t="s">
        <v>92</v>
      </c>
      <c r="D65" s="8"/>
      <c r="E65" s="8"/>
      <c r="F65" s="8"/>
      <c r="G65" s="34" t="s">
        <v>55</v>
      </c>
      <c r="H65" s="8"/>
      <c r="I65" s="8"/>
      <c r="J65" s="8"/>
      <c r="K65" s="8"/>
      <c r="L65" s="30" t="s">
        <v>56</v>
      </c>
      <c r="N65" s="8"/>
    </row>
    <row r="66" spans="1:15" ht="12.75" customHeight="1" x14ac:dyDescent="0.15">
      <c r="A66" s="36">
        <v>46096</v>
      </c>
      <c r="B66" s="30" t="s">
        <v>91</v>
      </c>
      <c r="C66" s="30" t="s">
        <v>92</v>
      </c>
      <c r="D66" s="30" t="s">
        <v>21</v>
      </c>
      <c r="E66" s="30">
        <v>1.3</v>
      </c>
      <c r="F66" s="8"/>
      <c r="G66" s="30" t="s">
        <v>33</v>
      </c>
      <c r="H66" s="30" t="s">
        <v>33</v>
      </c>
      <c r="I66" s="8"/>
      <c r="J66" s="8"/>
      <c r="K66" s="31">
        <v>1.3</v>
      </c>
      <c r="L66" s="30" t="s">
        <v>34</v>
      </c>
      <c r="M66" s="2">
        <v>126.75</v>
      </c>
      <c r="N66" s="8">
        <v>-34</v>
      </c>
      <c r="O66" s="2" t="s">
        <v>34</v>
      </c>
    </row>
    <row r="67" spans="1:15" ht="15" customHeight="1" x14ac:dyDescent="0.2">
      <c r="A67" s="23">
        <v>46127</v>
      </c>
      <c r="B67" s="30" t="s">
        <v>96</v>
      </c>
      <c r="C67" s="6" t="s">
        <v>97</v>
      </c>
      <c r="D67" s="30" t="s">
        <v>21</v>
      </c>
      <c r="E67" s="30">
        <v>4.5</v>
      </c>
      <c r="F67" s="8"/>
      <c r="G67" s="30" t="s">
        <v>22</v>
      </c>
      <c r="H67" s="30" t="s">
        <v>22</v>
      </c>
      <c r="I67" s="30" t="s">
        <v>23</v>
      </c>
      <c r="J67" s="8"/>
      <c r="K67" s="31">
        <v>4.5</v>
      </c>
      <c r="L67" s="30" t="s">
        <v>24</v>
      </c>
      <c r="M67" s="2">
        <v>18000</v>
      </c>
      <c r="N67" s="8">
        <v>-16</v>
      </c>
      <c r="O67" s="2" t="s">
        <v>24</v>
      </c>
    </row>
    <row r="68" spans="1:15" ht="15" customHeight="1" x14ac:dyDescent="0.2">
      <c r="A68" s="23">
        <v>46127</v>
      </c>
      <c r="B68" s="30" t="s">
        <v>96</v>
      </c>
      <c r="C68" s="6" t="s">
        <v>97</v>
      </c>
      <c r="D68" s="30" t="s">
        <v>21</v>
      </c>
      <c r="E68" s="30">
        <v>4.5</v>
      </c>
      <c r="F68" s="8"/>
      <c r="G68" s="4" t="s">
        <v>26</v>
      </c>
      <c r="H68" s="30" t="s">
        <v>26</v>
      </c>
      <c r="I68" s="30" t="s">
        <v>23</v>
      </c>
      <c r="J68" s="8"/>
      <c r="K68" s="31">
        <v>4.5</v>
      </c>
      <c r="L68" s="30" t="s">
        <v>98</v>
      </c>
      <c r="M68" s="2">
        <v>5175</v>
      </c>
      <c r="N68" s="8">
        <v>-16</v>
      </c>
      <c r="O68" s="32" t="s">
        <v>98</v>
      </c>
    </row>
    <row r="69" spans="1:15" ht="15" customHeight="1" x14ac:dyDescent="0.2">
      <c r="A69" s="23">
        <v>46127</v>
      </c>
      <c r="B69" s="30" t="s">
        <v>96</v>
      </c>
      <c r="C69" s="6" t="s">
        <v>97</v>
      </c>
      <c r="D69" s="30" t="s">
        <v>21</v>
      </c>
      <c r="E69" s="30">
        <v>4.5</v>
      </c>
      <c r="F69" s="8"/>
      <c r="G69" s="34" t="s">
        <v>55</v>
      </c>
      <c r="H69" s="8"/>
      <c r="I69" s="8"/>
      <c r="J69" s="8"/>
      <c r="K69" s="8"/>
      <c r="L69" s="34" t="s">
        <v>56</v>
      </c>
      <c r="M69" s="2">
        <v>1760</v>
      </c>
      <c r="N69" s="8"/>
      <c r="O69" s="2" t="s">
        <v>99</v>
      </c>
    </row>
    <row r="70" spans="1:15" ht="15" customHeight="1" x14ac:dyDescent="0.2">
      <c r="A70" s="23">
        <v>46127</v>
      </c>
      <c r="B70" s="30" t="s">
        <v>96</v>
      </c>
      <c r="C70" s="6" t="s">
        <v>97</v>
      </c>
      <c r="D70" s="30" t="s">
        <v>21</v>
      </c>
      <c r="E70" s="30">
        <v>4.5</v>
      </c>
      <c r="F70" s="8"/>
      <c r="G70" s="34" t="s">
        <v>57</v>
      </c>
      <c r="H70" s="8"/>
      <c r="I70" s="8"/>
      <c r="J70" s="8"/>
      <c r="K70" s="8"/>
      <c r="L70" s="34" t="s">
        <v>58</v>
      </c>
      <c r="M70" s="2">
        <v>3300</v>
      </c>
      <c r="N70" s="8"/>
      <c r="O70" s="2" t="s">
        <v>100</v>
      </c>
    </row>
    <row r="71" spans="1:15" ht="15" customHeight="1" x14ac:dyDescent="0.2">
      <c r="A71" s="23">
        <v>46127</v>
      </c>
      <c r="B71" s="30" t="s">
        <v>96</v>
      </c>
      <c r="C71" s="6" t="s">
        <v>97</v>
      </c>
      <c r="D71" s="30" t="s">
        <v>21</v>
      </c>
      <c r="E71" s="30">
        <v>4.5</v>
      </c>
      <c r="F71" s="8"/>
      <c r="G71" s="30" t="s">
        <v>33</v>
      </c>
      <c r="H71" s="30" t="s">
        <v>33</v>
      </c>
      <c r="I71" s="8"/>
      <c r="J71" s="8"/>
      <c r="K71" s="31">
        <v>4.5</v>
      </c>
      <c r="L71" s="30" t="s">
        <v>34</v>
      </c>
      <c r="M71" s="2">
        <v>438.75</v>
      </c>
      <c r="N71" s="8">
        <v>-16</v>
      </c>
      <c r="O71" s="2" t="s">
        <v>34</v>
      </c>
    </row>
    <row r="72" spans="1:15" ht="15" customHeight="1" x14ac:dyDescent="0.2">
      <c r="A72" s="23">
        <v>46127</v>
      </c>
      <c r="B72" s="30" t="s">
        <v>101</v>
      </c>
      <c r="C72" s="6" t="s">
        <v>102</v>
      </c>
      <c r="D72" s="30" t="s">
        <v>75</v>
      </c>
      <c r="E72" s="30">
        <v>7.6</v>
      </c>
      <c r="F72" s="8"/>
      <c r="G72" s="30" t="s">
        <v>22</v>
      </c>
      <c r="H72" s="30" t="s">
        <v>22</v>
      </c>
      <c r="I72" s="8"/>
      <c r="J72" s="8"/>
      <c r="K72" s="31">
        <v>7.6</v>
      </c>
      <c r="L72" s="30" t="s">
        <v>76</v>
      </c>
      <c r="M72" s="2">
        <v>45600</v>
      </c>
      <c r="N72" s="8">
        <v>-13</v>
      </c>
      <c r="O72" s="2" t="s">
        <v>76</v>
      </c>
    </row>
    <row r="73" spans="1:15" ht="15" customHeight="1" x14ac:dyDescent="0.2">
      <c r="A73" s="23">
        <v>46127</v>
      </c>
      <c r="B73" s="30" t="s">
        <v>101</v>
      </c>
      <c r="C73" s="6" t="s">
        <v>102</v>
      </c>
      <c r="D73" s="30" t="s">
        <v>75</v>
      </c>
      <c r="E73" s="30">
        <v>7.6</v>
      </c>
      <c r="F73" s="8"/>
      <c r="G73" s="4" t="s">
        <v>26</v>
      </c>
      <c r="H73" s="4" t="s">
        <v>26</v>
      </c>
      <c r="I73" s="30" t="s">
        <v>23</v>
      </c>
      <c r="J73" s="8"/>
      <c r="K73" s="31">
        <v>7.3</v>
      </c>
      <c r="L73" s="8">
        <v>1150</v>
      </c>
      <c r="M73" s="2" t="s">
        <v>103</v>
      </c>
      <c r="N73" s="8">
        <v>-13</v>
      </c>
      <c r="O73" s="32" t="s">
        <v>104</v>
      </c>
    </row>
    <row r="74" spans="1:15" ht="15" customHeight="1" x14ac:dyDescent="0.2">
      <c r="A74" s="8"/>
      <c r="B74" s="8" t="s">
        <v>101</v>
      </c>
      <c r="C74" s="6" t="s">
        <v>102</v>
      </c>
      <c r="D74" s="30" t="s">
        <v>75</v>
      </c>
      <c r="E74" s="8">
        <v>7.6</v>
      </c>
      <c r="F74" s="8"/>
      <c r="G74" s="34" t="s">
        <v>55</v>
      </c>
      <c r="H74" s="8"/>
      <c r="I74" s="8"/>
      <c r="J74" s="8"/>
      <c r="K74" s="8"/>
      <c r="L74" s="37">
        <v>400</v>
      </c>
      <c r="N74" s="8"/>
      <c r="O74" s="2" t="e">
        <f>#DIV/0!</f>
        <v>#DIV/0!</v>
      </c>
    </row>
    <row r="75" spans="1:15" ht="15" customHeight="1" x14ac:dyDescent="0.2">
      <c r="A75" s="8"/>
      <c r="B75" s="8" t="s">
        <v>101</v>
      </c>
      <c r="C75" s="6" t="s">
        <v>102</v>
      </c>
      <c r="D75" s="30" t="s">
        <v>75</v>
      </c>
      <c r="E75" s="8">
        <v>7.6</v>
      </c>
      <c r="F75" s="8"/>
      <c r="G75" s="34" t="s">
        <v>57</v>
      </c>
      <c r="H75" s="8"/>
      <c r="I75" s="8"/>
      <c r="J75" s="8"/>
      <c r="K75" s="8"/>
      <c r="L75" s="37">
        <v>750</v>
      </c>
      <c r="N75" s="8"/>
      <c r="O75" s="2" t="e">
        <f>#DIV/0!</f>
        <v>#DIV/0!</v>
      </c>
    </row>
    <row r="76" spans="1:15" ht="15" customHeight="1" x14ac:dyDescent="0.2">
      <c r="A76" s="23">
        <v>46127</v>
      </c>
      <c r="B76" s="30" t="s">
        <v>101</v>
      </c>
      <c r="C76" s="6" t="s">
        <v>102</v>
      </c>
      <c r="D76" s="30" t="s">
        <v>75</v>
      </c>
      <c r="E76" s="30">
        <v>7.6</v>
      </c>
      <c r="F76" s="8"/>
      <c r="G76" s="30" t="s">
        <v>33</v>
      </c>
      <c r="H76" s="30" t="s">
        <v>33</v>
      </c>
      <c r="I76" s="8"/>
      <c r="J76" s="8"/>
      <c r="K76" s="31">
        <v>7.3</v>
      </c>
      <c r="L76" s="8">
        <v>180</v>
      </c>
      <c r="M76" s="2" t="s">
        <v>105</v>
      </c>
      <c r="N76" s="8">
        <v>-13</v>
      </c>
      <c r="O76" s="2" t="s">
        <v>106</v>
      </c>
    </row>
    <row r="77" spans="1:15" ht="12.75" customHeight="1" x14ac:dyDescent="0.15">
      <c r="A77" s="23">
        <v>46127</v>
      </c>
      <c r="B77" s="30" t="s">
        <v>107</v>
      </c>
      <c r="C77" s="30" t="s">
        <v>108</v>
      </c>
      <c r="D77" s="30" t="s">
        <v>21</v>
      </c>
      <c r="E77" s="30">
        <v>4.5</v>
      </c>
      <c r="F77" s="8"/>
      <c r="G77" s="4" t="s">
        <v>26</v>
      </c>
      <c r="H77" s="4" t="s">
        <v>26</v>
      </c>
      <c r="I77" s="30" t="s">
        <v>23</v>
      </c>
      <c r="J77" s="8"/>
      <c r="K77" s="31">
        <v>4.5</v>
      </c>
      <c r="L77" s="8">
        <v>1150</v>
      </c>
      <c r="M77" s="2" t="s">
        <v>109</v>
      </c>
      <c r="N77" s="8">
        <v>-30</v>
      </c>
      <c r="O77" s="32" t="s">
        <v>98</v>
      </c>
    </row>
    <row r="78" spans="1:15" ht="12.75" customHeight="1" x14ac:dyDescent="0.15">
      <c r="A78" s="23">
        <v>46127</v>
      </c>
      <c r="B78" s="30" t="s">
        <v>107</v>
      </c>
      <c r="C78" s="30" t="s">
        <v>108</v>
      </c>
      <c r="D78" s="30" t="s">
        <v>21</v>
      </c>
      <c r="E78" s="30">
        <v>4.5</v>
      </c>
      <c r="F78" s="8"/>
      <c r="G78" s="37" t="s">
        <v>55</v>
      </c>
      <c r="H78" s="8"/>
      <c r="I78" s="8"/>
      <c r="J78" s="8"/>
      <c r="K78" s="31">
        <v>4.5</v>
      </c>
      <c r="L78" s="37">
        <v>400</v>
      </c>
      <c r="M78" s="2" t="s">
        <v>110</v>
      </c>
      <c r="N78" s="8">
        <v>-30</v>
      </c>
      <c r="O78" s="2" t="s">
        <v>56</v>
      </c>
    </row>
    <row r="79" spans="1:15" ht="12.75" customHeight="1" x14ac:dyDescent="0.15">
      <c r="A79" s="23">
        <v>46127</v>
      </c>
      <c r="B79" s="30" t="s">
        <v>107</v>
      </c>
      <c r="C79" s="30" t="s">
        <v>108</v>
      </c>
      <c r="D79" s="30" t="s">
        <v>21</v>
      </c>
      <c r="E79" s="30">
        <v>4.5</v>
      </c>
      <c r="F79" s="8"/>
      <c r="G79" s="37" t="s">
        <v>57</v>
      </c>
      <c r="H79" s="8"/>
      <c r="I79" s="8"/>
      <c r="J79" s="8"/>
      <c r="K79" s="31">
        <v>4.5</v>
      </c>
      <c r="L79" s="37">
        <v>750</v>
      </c>
      <c r="M79" s="2" t="s">
        <v>111</v>
      </c>
      <c r="N79" s="8">
        <v>-30</v>
      </c>
      <c r="O79" s="2" t="s">
        <v>58</v>
      </c>
    </row>
    <row r="80" spans="1:15" ht="12.75" customHeight="1" x14ac:dyDescent="0.15">
      <c r="A80" s="23">
        <v>46127</v>
      </c>
      <c r="B80" s="30" t="s">
        <v>107</v>
      </c>
      <c r="C80" s="30" t="s">
        <v>108</v>
      </c>
      <c r="D80" s="30" t="s">
        <v>21</v>
      </c>
      <c r="E80" s="30">
        <v>4.5</v>
      </c>
      <c r="F80" s="8"/>
      <c r="G80" s="8" t="s">
        <v>33</v>
      </c>
      <c r="H80" s="8" t="s">
        <v>33</v>
      </c>
      <c r="I80" s="8"/>
      <c r="J80" s="8"/>
      <c r="K80" s="31">
        <v>4.5</v>
      </c>
      <c r="L80" s="8">
        <v>97.5</v>
      </c>
      <c r="M80" s="2" t="s">
        <v>112</v>
      </c>
      <c r="N80" s="8">
        <v>-30</v>
      </c>
      <c r="O80" s="2" t="s">
        <v>34</v>
      </c>
    </row>
    <row r="81" spans="1:15" ht="12.75" customHeight="1" x14ac:dyDescent="0.15">
      <c r="A81" s="23">
        <v>46127</v>
      </c>
      <c r="B81" s="30" t="s">
        <v>107</v>
      </c>
      <c r="C81" s="30" t="s">
        <v>108</v>
      </c>
      <c r="D81" s="30" t="s">
        <v>21</v>
      </c>
      <c r="E81" s="30">
        <v>4.5</v>
      </c>
      <c r="F81" s="8"/>
      <c r="G81" s="30" t="s">
        <v>22</v>
      </c>
      <c r="H81" s="30" t="s">
        <v>22</v>
      </c>
      <c r="I81" s="8"/>
      <c r="J81" s="8"/>
      <c r="K81" s="31">
        <v>4.5</v>
      </c>
      <c r="L81" s="8"/>
      <c r="M81" s="2" t="s">
        <v>113</v>
      </c>
      <c r="N81" s="8"/>
      <c r="O81" s="2" t="s">
        <v>114</v>
      </c>
    </row>
    <row r="82" spans="1:15" ht="12.75" customHeight="1" x14ac:dyDescent="0.15">
      <c r="A82" s="23">
        <v>46147</v>
      </c>
      <c r="B82" s="30" t="s">
        <v>115</v>
      </c>
      <c r="C82" s="8" t="s">
        <v>116</v>
      </c>
      <c r="D82" s="30" t="s">
        <v>21</v>
      </c>
      <c r="E82" s="30">
        <v>2</v>
      </c>
      <c r="F82" s="8"/>
      <c r="G82" s="4" t="s">
        <v>26</v>
      </c>
      <c r="H82" s="30" t="s">
        <v>26</v>
      </c>
      <c r="I82" s="30" t="s">
        <v>23</v>
      </c>
      <c r="J82" s="8"/>
      <c r="K82" s="31">
        <v>2</v>
      </c>
      <c r="L82" s="8">
        <v>1150</v>
      </c>
      <c r="M82" s="2" t="s">
        <v>117</v>
      </c>
      <c r="N82" s="8">
        <v>-16</v>
      </c>
      <c r="O82" s="32" t="s">
        <v>98</v>
      </c>
    </row>
    <row r="83" spans="1:15" ht="12.75" customHeight="1" x14ac:dyDescent="0.15">
      <c r="A83" s="23">
        <v>46147</v>
      </c>
      <c r="B83" s="30" t="s">
        <v>115</v>
      </c>
      <c r="C83" s="8" t="s">
        <v>116</v>
      </c>
      <c r="D83" s="30" t="s">
        <v>21</v>
      </c>
      <c r="E83" s="30">
        <v>2</v>
      </c>
      <c r="F83" s="8"/>
      <c r="G83" s="8" t="s">
        <v>55</v>
      </c>
      <c r="H83" s="8"/>
      <c r="I83" s="8"/>
      <c r="J83" s="8"/>
      <c r="K83" s="31">
        <v>2</v>
      </c>
      <c r="L83" s="8">
        <v>400</v>
      </c>
      <c r="M83" s="2" t="s">
        <v>118</v>
      </c>
      <c r="N83" s="8">
        <v>-16</v>
      </c>
      <c r="O83" s="2" t="s">
        <v>56</v>
      </c>
    </row>
    <row r="84" spans="1:15" ht="12.75" customHeight="1" x14ac:dyDescent="0.15">
      <c r="A84" s="23">
        <v>46147</v>
      </c>
      <c r="B84" s="30" t="s">
        <v>115</v>
      </c>
      <c r="C84" s="8" t="s">
        <v>116</v>
      </c>
      <c r="D84" s="30" t="s">
        <v>21</v>
      </c>
      <c r="E84" s="30">
        <v>2</v>
      </c>
      <c r="F84" s="8"/>
      <c r="G84" s="37" t="s">
        <v>57</v>
      </c>
      <c r="H84" s="8"/>
      <c r="I84" s="8"/>
      <c r="J84" s="8"/>
      <c r="K84" s="31">
        <v>2</v>
      </c>
      <c r="L84" s="8">
        <v>750</v>
      </c>
      <c r="M84" s="2" t="s">
        <v>82</v>
      </c>
      <c r="N84" s="8">
        <v>-16</v>
      </c>
      <c r="O84" s="2" t="s">
        <v>58</v>
      </c>
    </row>
    <row r="85" spans="1:15" ht="12.75" customHeight="1" x14ac:dyDescent="0.15">
      <c r="A85" s="23">
        <v>46147</v>
      </c>
      <c r="B85" s="30" t="s">
        <v>115</v>
      </c>
      <c r="C85" s="8" t="s">
        <v>116</v>
      </c>
      <c r="D85" s="30" t="s">
        <v>21</v>
      </c>
      <c r="E85" s="30">
        <v>2</v>
      </c>
      <c r="F85" s="8"/>
      <c r="G85" s="8" t="s">
        <v>33</v>
      </c>
      <c r="H85" s="8" t="s">
        <v>33</v>
      </c>
      <c r="I85" s="8"/>
      <c r="J85" s="8"/>
      <c r="K85" s="31">
        <v>2</v>
      </c>
      <c r="L85" s="8"/>
      <c r="M85" s="2" t="s">
        <v>119</v>
      </c>
      <c r="N85" s="8"/>
      <c r="O85" s="2" t="s">
        <v>34</v>
      </c>
    </row>
    <row r="86" spans="1:15" ht="12.75" customHeight="1" x14ac:dyDescent="0.15">
      <c r="A86" s="23">
        <v>46147</v>
      </c>
      <c r="B86" s="30" t="s">
        <v>115</v>
      </c>
      <c r="C86" s="8" t="s">
        <v>116</v>
      </c>
      <c r="D86" s="30" t="s">
        <v>21</v>
      </c>
      <c r="E86" s="30">
        <v>2</v>
      </c>
      <c r="F86" s="8"/>
      <c r="G86" s="30" t="s">
        <v>22</v>
      </c>
      <c r="H86" s="30" t="s">
        <v>22</v>
      </c>
      <c r="I86" s="8"/>
      <c r="J86" s="8"/>
      <c r="K86" s="31">
        <v>2</v>
      </c>
      <c r="L86" s="8"/>
      <c r="M86" s="2" t="s">
        <v>120</v>
      </c>
      <c r="N86" s="8"/>
      <c r="O86" s="2" t="s">
        <v>121</v>
      </c>
    </row>
    <row r="87" spans="1:15" ht="12.75" customHeight="1" x14ac:dyDescent="0.15">
      <c r="A87" s="23">
        <v>46170</v>
      </c>
      <c r="B87" s="30" t="s">
        <v>122</v>
      </c>
      <c r="C87" s="8" t="s">
        <v>123</v>
      </c>
      <c r="D87" s="30" t="s">
        <v>75</v>
      </c>
      <c r="E87" s="30">
        <v>4.5</v>
      </c>
      <c r="F87" s="8"/>
      <c r="G87" s="30" t="s">
        <v>22</v>
      </c>
      <c r="H87" s="30" t="s">
        <v>22</v>
      </c>
      <c r="I87" s="30" t="s">
        <v>23</v>
      </c>
      <c r="J87" s="8"/>
      <c r="K87" s="31">
        <v>4.5999999999999996</v>
      </c>
      <c r="L87" s="8" t="s">
        <v>124</v>
      </c>
      <c r="M87" s="2" t="s">
        <v>125</v>
      </c>
      <c r="N87" s="8">
        <v>-5</v>
      </c>
      <c r="O87" s="2" t="s">
        <v>124</v>
      </c>
    </row>
    <row r="88" spans="1:15" ht="12.75" customHeight="1" x14ac:dyDescent="0.15">
      <c r="A88" s="23">
        <v>46170</v>
      </c>
      <c r="B88" s="30" t="s">
        <v>122</v>
      </c>
      <c r="C88" s="8" t="s">
        <v>123</v>
      </c>
      <c r="D88" s="30" t="s">
        <v>75</v>
      </c>
      <c r="E88" s="30">
        <v>4.5</v>
      </c>
      <c r="F88" s="8"/>
      <c r="G88" s="4" t="s">
        <v>26</v>
      </c>
      <c r="H88" s="30" t="s">
        <v>26</v>
      </c>
      <c r="I88" s="30" t="s">
        <v>23</v>
      </c>
      <c r="J88" s="8"/>
      <c r="K88" s="31">
        <v>4.5999999999999996</v>
      </c>
      <c r="L88" s="8"/>
      <c r="M88" s="2">
        <v>4048</v>
      </c>
      <c r="N88" s="8">
        <v>-5</v>
      </c>
      <c r="O88" s="32">
        <v>880</v>
      </c>
    </row>
    <row r="89" spans="1:15" ht="12.75" customHeight="1" x14ac:dyDescent="0.15">
      <c r="A89" s="23">
        <v>46170</v>
      </c>
      <c r="B89" s="30" t="s">
        <v>122</v>
      </c>
      <c r="C89" s="8" t="s">
        <v>123</v>
      </c>
      <c r="D89" s="30" t="s">
        <v>75</v>
      </c>
      <c r="E89" s="30">
        <v>4.5</v>
      </c>
      <c r="F89" s="8"/>
      <c r="G89" s="37" t="s">
        <v>63</v>
      </c>
      <c r="H89" s="8"/>
      <c r="I89" s="8"/>
      <c r="J89" s="8"/>
      <c r="K89" s="31">
        <v>4.5999999999999996</v>
      </c>
      <c r="L89" s="8"/>
      <c r="M89" s="2" t="s">
        <v>126</v>
      </c>
      <c r="N89" s="8">
        <v>-5</v>
      </c>
      <c r="O89" s="2" t="s">
        <v>64</v>
      </c>
    </row>
    <row r="90" spans="1:15" ht="12.75" customHeight="1" x14ac:dyDescent="0.15">
      <c r="A90" s="23">
        <v>46171</v>
      </c>
      <c r="B90" s="30" t="s">
        <v>122</v>
      </c>
      <c r="C90" s="8" t="s">
        <v>123</v>
      </c>
      <c r="D90" s="30" t="s">
        <v>75</v>
      </c>
      <c r="E90" s="30">
        <v>4.5</v>
      </c>
      <c r="F90" s="8"/>
      <c r="G90" s="37" t="s">
        <v>55</v>
      </c>
      <c r="H90" s="8"/>
      <c r="I90" s="8"/>
      <c r="J90" s="8"/>
      <c r="K90" s="31">
        <v>4.5999999999999996</v>
      </c>
      <c r="L90" s="8"/>
      <c r="M90" s="2" t="s">
        <v>127</v>
      </c>
      <c r="N90" s="8">
        <v>-4</v>
      </c>
      <c r="O90" s="2" t="s">
        <v>128</v>
      </c>
    </row>
    <row r="91" spans="1:15" ht="12.75" customHeight="1" x14ac:dyDescent="0.15">
      <c r="A91" s="23">
        <v>46172</v>
      </c>
      <c r="B91" s="30" t="s">
        <v>122</v>
      </c>
      <c r="C91" s="8" t="s">
        <v>123</v>
      </c>
      <c r="D91" s="30" t="s">
        <v>75</v>
      </c>
      <c r="E91" s="30">
        <v>4.5</v>
      </c>
      <c r="F91" s="8"/>
      <c r="G91" s="37" t="s">
        <v>65</v>
      </c>
      <c r="H91" s="8"/>
      <c r="I91" s="8"/>
      <c r="J91" s="8"/>
      <c r="K91" s="31">
        <v>4.5999999999999996</v>
      </c>
      <c r="L91" s="8"/>
      <c r="M91" s="2" t="s">
        <v>129</v>
      </c>
      <c r="N91" s="8">
        <v>-3</v>
      </c>
      <c r="O91" s="2" t="s">
        <v>66</v>
      </c>
    </row>
    <row r="92" spans="1:15" ht="12.75" customHeight="1" x14ac:dyDescent="0.15">
      <c r="A92" s="23">
        <v>46170</v>
      </c>
      <c r="B92" s="30" t="s">
        <v>122</v>
      </c>
      <c r="C92" s="8" t="s">
        <v>123</v>
      </c>
      <c r="D92" s="30" t="s">
        <v>75</v>
      </c>
      <c r="E92" s="30">
        <v>4.5</v>
      </c>
      <c r="F92" s="8"/>
      <c r="G92" s="8" t="s">
        <v>33</v>
      </c>
      <c r="H92" s="8"/>
      <c r="I92" s="8"/>
      <c r="J92" s="8"/>
      <c r="K92" s="31">
        <v>4.5999999999999996</v>
      </c>
      <c r="L92" s="8"/>
      <c r="M92" s="2" t="s">
        <v>130</v>
      </c>
      <c r="N92" s="8">
        <v>-5</v>
      </c>
      <c r="O92" s="2" t="s">
        <v>131</v>
      </c>
    </row>
    <row r="93" spans="1:15" ht="12.75" customHeight="1" x14ac:dyDescent="0.15">
      <c r="A93" s="23">
        <v>46170</v>
      </c>
      <c r="B93" s="30" t="s">
        <v>122</v>
      </c>
      <c r="C93" s="8" t="s">
        <v>123</v>
      </c>
      <c r="D93" s="30" t="s">
        <v>75</v>
      </c>
      <c r="E93" s="30">
        <v>4.5</v>
      </c>
      <c r="F93" s="8"/>
      <c r="G93" s="30" t="s">
        <v>132</v>
      </c>
      <c r="H93" s="8"/>
      <c r="I93" s="8"/>
      <c r="J93" s="8"/>
      <c r="K93" s="31">
        <v>4.5999999999999996</v>
      </c>
      <c r="L93" s="8"/>
      <c r="M93" s="2" t="s">
        <v>133</v>
      </c>
      <c r="N93" s="8"/>
      <c r="O93" s="2" t="s">
        <v>134</v>
      </c>
    </row>
    <row r="94" spans="1:15" ht="12.75" customHeight="1" x14ac:dyDescent="0.15">
      <c r="A94" s="23">
        <v>46199</v>
      </c>
      <c r="B94" s="30" t="s">
        <v>135</v>
      </c>
      <c r="C94" s="8" t="s">
        <v>136</v>
      </c>
      <c r="D94" s="30" t="s">
        <v>21</v>
      </c>
      <c r="E94" s="30">
        <v>1</v>
      </c>
      <c r="F94" s="8"/>
      <c r="G94" s="30" t="s">
        <v>22</v>
      </c>
      <c r="H94" s="8"/>
      <c r="I94" s="8"/>
      <c r="J94" s="8"/>
      <c r="K94" s="31">
        <v>1</v>
      </c>
      <c r="L94" s="8"/>
      <c r="M94" s="2" t="s">
        <v>121</v>
      </c>
      <c r="N94" s="8"/>
      <c r="O94" s="2">
        <f>3500/2</f>
        <v>1750</v>
      </c>
    </row>
    <row r="95" spans="1:15" ht="12.75" customHeight="1" x14ac:dyDescent="0.15">
      <c r="A95" s="23">
        <v>46199</v>
      </c>
      <c r="B95" s="30" t="s">
        <v>135</v>
      </c>
      <c r="C95" s="8" t="s">
        <v>136</v>
      </c>
      <c r="D95" s="30" t="s">
        <v>21</v>
      </c>
      <c r="E95" s="30">
        <v>1</v>
      </c>
      <c r="F95" s="8"/>
      <c r="G95" s="4" t="s">
        <v>26</v>
      </c>
      <c r="H95" s="8"/>
      <c r="I95" s="8"/>
      <c r="J95" s="8"/>
      <c r="K95" s="31">
        <v>1</v>
      </c>
      <c r="L95" s="8"/>
      <c r="N95" s="8"/>
      <c r="O95" s="2" t="s">
        <v>88</v>
      </c>
    </row>
    <row r="96" spans="1:15" ht="12.75" customHeight="1" x14ac:dyDescent="0.15">
      <c r="A96" s="23">
        <v>46199</v>
      </c>
      <c r="B96" s="30" t="s">
        <v>135</v>
      </c>
      <c r="C96" s="8" t="s">
        <v>136</v>
      </c>
      <c r="D96" s="30" t="s">
        <v>21</v>
      </c>
      <c r="E96" s="30">
        <v>1</v>
      </c>
      <c r="F96" s="8"/>
      <c r="G96" s="37" t="s">
        <v>63</v>
      </c>
      <c r="H96" s="8"/>
      <c r="I96" s="8"/>
      <c r="J96" s="8"/>
      <c r="K96" s="31">
        <v>1</v>
      </c>
      <c r="L96" s="8"/>
      <c r="N96" s="8"/>
      <c r="O96" s="2" t="s">
        <v>88</v>
      </c>
    </row>
    <row r="97" spans="1:15" ht="12.75" customHeight="1" x14ac:dyDescent="0.15">
      <c r="A97" s="23">
        <v>46199</v>
      </c>
      <c r="B97" s="30" t="s">
        <v>135</v>
      </c>
      <c r="C97" s="8" t="s">
        <v>136</v>
      </c>
      <c r="D97" s="30" t="s">
        <v>21</v>
      </c>
      <c r="E97" s="30">
        <v>1</v>
      </c>
      <c r="F97" s="8"/>
      <c r="G97" s="37" t="s">
        <v>55</v>
      </c>
      <c r="H97" s="8"/>
      <c r="I97" s="8"/>
      <c r="J97" s="8"/>
      <c r="K97" s="31">
        <v>1</v>
      </c>
      <c r="L97" s="8"/>
      <c r="N97" s="8"/>
      <c r="O97" s="2" t="s">
        <v>88</v>
      </c>
    </row>
    <row r="98" spans="1:15" ht="12.75" customHeight="1" x14ac:dyDescent="0.15">
      <c r="A98" s="23">
        <v>46199</v>
      </c>
      <c r="B98" s="30" t="s">
        <v>135</v>
      </c>
      <c r="C98" s="8" t="s">
        <v>136</v>
      </c>
      <c r="D98" s="30" t="s">
        <v>21</v>
      </c>
      <c r="E98" s="30">
        <v>1</v>
      </c>
      <c r="F98" s="8"/>
      <c r="G98" s="37" t="s">
        <v>65</v>
      </c>
      <c r="H98" s="8"/>
      <c r="I98" s="8"/>
      <c r="J98" s="8"/>
      <c r="K98" s="31">
        <v>1</v>
      </c>
      <c r="L98" s="8"/>
      <c r="N98" s="8"/>
      <c r="O98" s="2" t="s">
        <v>88</v>
      </c>
    </row>
    <row r="99" spans="1:15" ht="12.75" customHeight="1" x14ac:dyDescent="0.15">
      <c r="A99" s="23">
        <v>46199</v>
      </c>
      <c r="B99" s="30" t="s">
        <v>135</v>
      </c>
      <c r="C99" s="8" t="s">
        <v>136</v>
      </c>
      <c r="D99" s="30" t="s">
        <v>21</v>
      </c>
      <c r="E99" s="30">
        <v>1</v>
      </c>
      <c r="F99" s="8"/>
      <c r="G99" s="8" t="s">
        <v>33</v>
      </c>
      <c r="H99" s="8"/>
      <c r="I99" s="8"/>
      <c r="J99" s="8"/>
      <c r="K99" s="31">
        <v>1</v>
      </c>
      <c r="L99" s="8"/>
      <c r="M99" s="2" t="s">
        <v>34</v>
      </c>
      <c r="N99" s="8"/>
      <c r="O99" s="2" t="s">
        <v>34</v>
      </c>
    </row>
    <row r="100" spans="1:15" ht="12.75" customHeight="1" x14ac:dyDescent="0.15">
      <c r="A100" s="23">
        <v>46220</v>
      </c>
      <c r="B100" s="30" t="s">
        <v>137</v>
      </c>
      <c r="C100" s="8" t="s">
        <v>138</v>
      </c>
      <c r="D100" s="30" t="s">
        <v>75</v>
      </c>
      <c r="E100" s="30">
        <v>1</v>
      </c>
      <c r="F100" s="8"/>
      <c r="G100" s="30" t="s">
        <v>22</v>
      </c>
      <c r="H100" s="8"/>
      <c r="I100" s="8"/>
      <c r="J100" s="8"/>
      <c r="K100" s="31">
        <v>1</v>
      </c>
      <c r="L100" s="8"/>
      <c r="M100" s="2" t="s">
        <v>121</v>
      </c>
      <c r="N100" s="8"/>
      <c r="O100" s="2" t="s">
        <v>121</v>
      </c>
    </row>
    <row r="101" spans="1:15" ht="12.75" customHeight="1" x14ac:dyDescent="0.15">
      <c r="A101" s="23">
        <v>46220</v>
      </c>
      <c r="B101" s="30" t="s">
        <v>137</v>
      </c>
      <c r="C101" s="8" t="s">
        <v>138</v>
      </c>
      <c r="D101" s="30" t="s">
        <v>75</v>
      </c>
      <c r="E101" s="30">
        <v>1</v>
      </c>
      <c r="F101" s="8"/>
      <c r="G101" s="4" t="s">
        <v>26</v>
      </c>
      <c r="H101" s="8"/>
      <c r="I101" s="8"/>
      <c r="J101" s="8"/>
      <c r="K101" s="31">
        <v>1</v>
      </c>
      <c r="L101" s="8"/>
      <c r="N101" s="8"/>
      <c r="O101" s="2" t="s">
        <v>88</v>
      </c>
    </row>
    <row r="102" spans="1:15" ht="12.75" customHeight="1" x14ac:dyDescent="0.15">
      <c r="A102" s="23">
        <v>46220</v>
      </c>
      <c r="B102" s="30" t="s">
        <v>137</v>
      </c>
      <c r="C102" s="8" t="s">
        <v>138</v>
      </c>
      <c r="D102" s="30" t="s">
        <v>75</v>
      </c>
      <c r="E102" s="30">
        <v>1</v>
      </c>
      <c r="F102" s="8"/>
      <c r="G102" s="37" t="s">
        <v>63</v>
      </c>
      <c r="H102" s="8"/>
      <c r="I102" s="8"/>
      <c r="J102" s="8"/>
      <c r="K102" s="31">
        <v>1</v>
      </c>
      <c r="L102" s="8"/>
      <c r="M102" s="2" t="s">
        <v>64</v>
      </c>
      <c r="N102" s="8"/>
      <c r="O102" s="2" t="s">
        <v>64</v>
      </c>
    </row>
    <row r="103" spans="1:15" ht="12.75" customHeight="1" x14ac:dyDescent="0.15">
      <c r="A103" s="23">
        <v>46220</v>
      </c>
      <c r="B103" s="30" t="s">
        <v>137</v>
      </c>
      <c r="C103" s="8" t="s">
        <v>138</v>
      </c>
      <c r="D103" s="30" t="s">
        <v>75</v>
      </c>
      <c r="E103" s="30">
        <v>1</v>
      </c>
      <c r="F103" s="8"/>
      <c r="G103" s="37" t="s">
        <v>55</v>
      </c>
      <c r="H103" s="8"/>
      <c r="I103" s="8"/>
      <c r="J103" s="8"/>
      <c r="K103" s="31">
        <v>1</v>
      </c>
      <c r="L103" s="8"/>
      <c r="N103" s="8"/>
      <c r="O103" s="2" t="s">
        <v>88</v>
      </c>
    </row>
    <row r="104" spans="1:15" ht="12.75" customHeight="1" x14ac:dyDescent="0.15">
      <c r="A104" s="23">
        <v>46220</v>
      </c>
      <c r="B104" s="30" t="s">
        <v>137</v>
      </c>
      <c r="C104" s="8" t="s">
        <v>138</v>
      </c>
      <c r="D104" s="30" t="s">
        <v>75</v>
      </c>
      <c r="E104" s="30">
        <v>1</v>
      </c>
      <c r="F104" s="8"/>
      <c r="G104" s="37" t="s">
        <v>65</v>
      </c>
      <c r="H104" s="8"/>
      <c r="I104" s="8"/>
      <c r="J104" s="8"/>
      <c r="K104" s="31">
        <v>1</v>
      </c>
      <c r="L104" s="8"/>
      <c r="N104" s="8"/>
      <c r="O104" s="2" t="s">
        <v>88</v>
      </c>
    </row>
    <row r="105" spans="1:15" ht="12.75" customHeight="1" x14ac:dyDescent="0.15">
      <c r="A105" s="23">
        <v>46220</v>
      </c>
      <c r="B105" s="30" t="s">
        <v>137</v>
      </c>
      <c r="C105" s="8" t="s">
        <v>138</v>
      </c>
      <c r="D105" s="30" t="s">
        <v>75</v>
      </c>
      <c r="E105" s="30">
        <v>1</v>
      </c>
      <c r="F105" s="8"/>
      <c r="G105" s="8" t="s">
        <v>33</v>
      </c>
      <c r="H105" s="8"/>
      <c r="I105" s="8"/>
      <c r="J105" s="8"/>
      <c r="K105" s="31">
        <v>1</v>
      </c>
      <c r="L105" s="8"/>
      <c r="M105" s="2" t="s">
        <v>34</v>
      </c>
      <c r="N105" s="8"/>
      <c r="O105" s="2" t="s">
        <v>34</v>
      </c>
    </row>
    <row r="106" spans="1:15" ht="12.75" customHeight="1" x14ac:dyDescent="0.15">
      <c r="A106" s="23">
        <v>46168</v>
      </c>
      <c r="B106" s="30" t="s">
        <v>139</v>
      </c>
      <c r="C106" s="8" t="s">
        <v>140</v>
      </c>
      <c r="D106" s="30" t="s">
        <v>75</v>
      </c>
      <c r="E106" s="30">
        <v>0.8</v>
      </c>
      <c r="F106" s="8"/>
      <c r="G106" s="30" t="s">
        <v>22</v>
      </c>
      <c r="H106" s="8"/>
      <c r="I106" s="8"/>
      <c r="J106" s="8"/>
      <c r="K106" s="31">
        <v>0.8</v>
      </c>
      <c r="L106" s="8"/>
      <c r="M106" s="2" t="s">
        <v>121</v>
      </c>
      <c r="N106" s="8"/>
      <c r="O106" s="2">
        <v>2800</v>
      </c>
    </row>
    <row r="107" spans="1:15" ht="12.75" customHeight="1" x14ac:dyDescent="0.15">
      <c r="A107" s="23">
        <v>46168</v>
      </c>
      <c r="B107" s="30" t="s">
        <v>139</v>
      </c>
      <c r="C107" s="8" t="s">
        <v>140</v>
      </c>
      <c r="D107" s="30" t="s">
        <v>75</v>
      </c>
      <c r="E107" s="30">
        <v>0.8</v>
      </c>
      <c r="F107" s="8"/>
      <c r="G107" s="4" t="s">
        <v>26</v>
      </c>
      <c r="H107" s="8"/>
      <c r="I107" s="8"/>
      <c r="J107" s="8"/>
      <c r="K107" s="31">
        <v>0.8</v>
      </c>
      <c r="L107" s="8"/>
      <c r="N107" s="8"/>
      <c r="O107" s="2" t="s">
        <v>88</v>
      </c>
    </row>
    <row r="108" spans="1:15" ht="12.75" customHeight="1" x14ac:dyDescent="0.15">
      <c r="A108" s="23">
        <v>46168</v>
      </c>
      <c r="B108" s="30" t="s">
        <v>139</v>
      </c>
      <c r="C108" s="8" t="s">
        <v>140</v>
      </c>
      <c r="D108" s="30" t="s">
        <v>75</v>
      </c>
      <c r="E108" s="30">
        <v>0.8</v>
      </c>
      <c r="F108" s="8"/>
      <c r="G108" s="37" t="s">
        <v>63</v>
      </c>
      <c r="H108" s="8"/>
      <c r="I108" s="8"/>
      <c r="J108" s="8"/>
      <c r="K108" s="31">
        <v>0.8</v>
      </c>
      <c r="L108" s="8"/>
      <c r="N108" s="8"/>
      <c r="O108" s="2" t="s">
        <v>88</v>
      </c>
    </row>
    <row r="109" spans="1:15" ht="12.75" customHeight="1" x14ac:dyDescent="0.15">
      <c r="A109" s="23">
        <v>46168</v>
      </c>
      <c r="B109" s="30" t="s">
        <v>139</v>
      </c>
      <c r="C109" s="8" t="s">
        <v>140</v>
      </c>
      <c r="D109" s="30" t="s">
        <v>75</v>
      </c>
      <c r="E109" s="30">
        <v>0.8</v>
      </c>
      <c r="F109" s="8"/>
      <c r="G109" s="37" t="s">
        <v>55</v>
      </c>
      <c r="H109" s="8"/>
      <c r="I109" s="8"/>
      <c r="J109" s="8"/>
      <c r="K109" s="31">
        <v>0.8</v>
      </c>
      <c r="L109" s="8"/>
      <c r="N109" s="8"/>
      <c r="O109" s="2" t="s">
        <v>88</v>
      </c>
    </row>
    <row r="110" spans="1:15" ht="12.75" customHeight="1" x14ac:dyDescent="0.15">
      <c r="A110" s="23">
        <v>46168</v>
      </c>
      <c r="B110" s="30" t="s">
        <v>139</v>
      </c>
      <c r="C110" s="8" t="s">
        <v>140</v>
      </c>
      <c r="D110" s="30" t="s">
        <v>75</v>
      </c>
      <c r="E110" s="30">
        <v>0.8</v>
      </c>
      <c r="F110" s="8"/>
      <c r="G110" s="37" t="s">
        <v>65</v>
      </c>
      <c r="H110" s="8"/>
      <c r="I110" s="8"/>
      <c r="J110" s="8"/>
      <c r="K110" s="31">
        <v>0.8</v>
      </c>
      <c r="L110" s="8"/>
      <c r="N110" s="8"/>
      <c r="O110" s="2" t="s">
        <v>88</v>
      </c>
    </row>
    <row r="111" spans="1:15" ht="12.75" customHeight="1" x14ac:dyDescent="0.15">
      <c r="A111" s="23">
        <v>46168</v>
      </c>
      <c r="B111" s="30" t="s">
        <v>139</v>
      </c>
      <c r="C111" s="8" t="s">
        <v>140</v>
      </c>
      <c r="D111" s="30" t="s">
        <v>75</v>
      </c>
      <c r="E111" s="30">
        <v>0.8</v>
      </c>
      <c r="F111" s="8"/>
      <c r="G111" s="8" t="s">
        <v>33</v>
      </c>
      <c r="H111" s="8"/>
      <c r="I111" s="8"/>
      <c r="J111" s="8"/>
      <c r="K111" s="31">
        <v>0.8</v>
      </c>
      <c r="L111" s="8"/>
      <c r="M111" s="2" t="s">
        <v>34</v>
      </c>
      <c r="N111" s="8"/>
      <c r="O111" s="2">
        <f>97.5*0.8</f>
        <v>78</v>
      </c>
    </row>
    <row r="112" spans="1:15" ht="12.75" customHeight="1" x14ac:dyDescent="0.15">
      <c r="A112" s="23">
        <v>46196</v>
      </c>
      <c r="B112" s="30" t="s">
        <v>141</v>
      </c>
      <c r="C112" s="8" t="s">
        <v>142</v>
      </c>
      <c r="D112" s="30" t="s">
        <v>75</v>
      </c>
      <c r="E112" s="30">
        <v>1</v>
      </c>
      <c r="F112" s="8"/>
      <c r="G112" s="30" t="s">
        <v>22</v>
      </c>
      <c r="H112" s="8"/>
      <c r="I112" s="8"/>
      <c r="J112" s="8"/>
      <c r="K112" s="31">
        <v>1</v>
      </c>
      <c r="L112" s="8"/>
      <c r="M112" s="2">
        <v>8000</v>
      </c>
      <c r="N112" s="8"/>
      <c r="O112" s="2" t="s">
        <v>121</v>
      </c>
    </row>
    <row r="113" spans="1:15" ht="12.75" customHeight="1" x14ac:dyDescent="0.15">
      <c r="A113" s="23">
        <v>46196</v>
      </c>
      <c r="B113" s="30" t="s">
        <v>141</v>
      </c>
      <c r="C113" s="8" t="s">
        <v>142</v>
      </c>
      <c r="D113" s="30" t="s">
        <v>75</v>
      </c>
      <c r="E113" s="30">
        <v>1</v>
      </c>
      <c r="F113" s="8"/>
      <c r="G113" s="39" t="s">
        <v>26</v>
      </c>
      <c r="H113" s="40"/>
      <c r="I113" s="40"/>
      <c r="J113" s="40"/>
      <c r="K113" s="41">
        <v>1</v>
      </c>
      <c r="L113" s="40"/>
      <c r="M113" s="32">
        <v>350</v>
      </c>
      <c r="N113" s="40"/>
      <c r="O113" s="32">
        <v>350</v>
      </c>
    </row>
    <row r="114" spans="1:15" ht="12.75" customHeight="1" x14ac:dyDescent="0.15">
      <c r="A114" s="23">
        <v>46196</v>
      </c>
      <c r="B114" s="30" t="s">
        <v>141</v>
      </c>
      <c r="C114" s="8" t="s">
        <v>142</v>
      </c>
      <c r="D114" s="30" t="s">
        <v>75</v>
      </c>
      <c r="E114" s="30">
        <v>1</v>
      </c>
      <c r="F114" s="8"/>
      <c r="G114" s="37" t="s">
        <v>63</v>
      </c>
      <c r="H114" s="8"/>
      <c r="I114" s="8"/>
      <c r="J114" s="8"/>
      <c r="K114" s="31">
        <v>1</v>
      </c>
      <c r="L114" s="8"/>
      <c r="M114" s="2" t="s">
        <v>64</v>
      </c>
      <c r="N114" s="8"/>
      <c r="O114" s="2" t="s">
        <v>64</v>
      </c>
    </row>
    <row r="115" spans="1:15" ht="12.75" customHeight="1" x14ac:dyDescent="0.15">
      <c r="A115" s="23">
        <v>46196</v>
      </c>
      <c r="B115" s="30" t="s">
        <v>141</v>
      </c>
      <c r="C115" s="8" t="s">
        <v>142</v>
      </c>
      <c r="D115" s="30" t="s">
        <v>75</v>
      </c>
      <c r="E115" s="30">
        <v>1</v>
      </c>
      <c r="F115" s="8"/>
      <c r="G115" s="37" t="s">
        <v>55</v>
      </c>
      <c r="H115" s="8"/>
      <c r="I115" s="8"/>
      <c r="J115" s="8"/>
      <c r="K115" s="31">
        <v>1</v>
      </c>
      <c r="L115" s="8"/>
      <c r="N115" s="8"/>
      <c r="O115" s="2" t="s">
        <v>88</v>
      </c>
    </row>
    <row r="116" spans="1:15" ht="12.75" customHeight="1" x14ac:dyDescent="0.15">
      <c r="A116" s="23">
        <v>46196</v>
      </c>
      <c r="B116" s="30" t="s">
        <v>141</v>
      </c>
      <c r="C116" s="8" t="s">
        <v>142</v>
      </c>
      <c r="D116" s="30" t="s">
        <v>75</v>
      </c>
      <c r="E116" s="30">
        <v>1</v>
      </c>
      <c r="F116" s="8"/>
      <c r="G116" s="37" t="s">
        <v>65</v>
      </c>
      <c r="H116" s="8"/>
      <c r="I116" s="8"/>
      <c r="J116" s="8"/>
      <c r="K116" s="31">
        <v>1</v>
      </c>
      <c r="L116" s="8"/>
      <c r="N116" s="8"/>
      <c r="O116" s="2" t="s">
        <v>88</v>
      </c>
    </row>
    <row r="117" spans="1:15" ht="12.75" customHeight="1" x14ac:dyDescent="0.15">
      <c r="A117" s="23">
        <v>46196</v>
      </c>
      <c r="B117" s="30" t="s">
        <v>141</v>
      </c>
      <c r="C117" s="8" t="s">
        <v>142</v>
      </c>
      <c r="D117" s="30" t="s">
        <v>75</v>
      </c>
      <c r="E117" s="30">
        <v>1</v>
      </c>
      <c r="F117" s="8"/>
      <c r="G117" s="8" t="s">
        <v>33</v>
      </c>
      <c r="H117" s="8"/>
      <c r="I117" s="8"/>
      <c r="J117" s="8"/>
      <c r="K117" s="31">
        <v>1</v>
      </c>
      <c r="L117" s="8"/>
      <c r="M117" s="2" t="s">
        <v>34</v>
      </c>
      <c r="N117" s="8"/>
      <c r="O117" s="2" t="s">
        <v>34</v>
      </c>
    </row>
    <row r="118" spans="1:15" ht="12.75" customHeight="1" x14ac:dyDescent="0.15">
      <c r="A118" s="23">
        <v>46191</v>
      </c>
      <c r="B118" s="30" t="s">
        <v>143</v>
      </c>
      <c r="C118" s="8" t="s">
        <v>144</v>
      </c>
      <c r="D118" s="30" t="s">
        <v>21</v>
      </c>
      <c r="E118" s="30">
        <v>1.8</v>
      </c>
      <c r="F118" s="8"/>
      <c r="G118" s="30" t="s">
        <v>22</v>
      </c>
      <c r="H118" s="8"/>
      <c r="I118" s="8"/>
      <c r="J118" s="8"/>
      <c r="K118" s="31">
        <v>1.8</v>
      </c>
      <c r="L118" s="8"/>
      <c r="M118" s="2" t="s">
        <v>120</v>
      </c>
      <c r="N118" s="8"/>
      <c r="O118" s="2" t="s">
        <v>145</v>
      </c>
    </row>
    <row r="119" spans="1:15" ht="12.75" customHeight="1" x14ac:dyDescent="0.15">
      <c r="A119" s="23">
        <v>46191</v>
      </c>
      <c r="B119" s="30" t="s">
        <v>143</v>
      </c>
      <c r="C119" s="8" t="s">
        <v>144</v>
      </c>
      <c r="D119" s="30" t="s">
        <v>21</v>
      </c>
      <c r="E119" s="30">
        <v>1.8</v>
      </c>
      <c r="F119" s="8"/>
      <c r="G119" s="39" t="s">
        <v>26</v>
      </c>
      <c r="H119" s="40"/>
      <c r="I119" s="40"/>
      <c r="J119" s="40"/>
      <c r="K119" s="41">
        <v>1.8</v>
      </c>
      <c r="L119" s="40"/>
      <c r="M119" s="32">
        <f>700+760+300</f>
        <v>1760</v>
      </c>
      <c r="N119" s="40"/>
      <c r="O119" s="32">
        <f>1760/1.8</f>
        <v>977.77777777777771</v>
      </c>
    </row>
    <row r="120" spans="1:15" ht="12.75" customHeight="1" x14ac:dyDescent="0.15">
      <c r="A120" s="23">
        <v>46191</v>
      </c>
      <c r="B120" s="30" t="s">
        <v>143</v>
      </c>
      <c r="C120" s="8" t="s">
        <v>144</v>
      </c>
      <c r="D120" s="30" t="s">
        <v>21</v>
      </c>
      <c r="E120" s="30">
        <v>1.8</v>
      </c>
      <c r="F120" s="8"/>
      <c r="G120" s="37" t="s">
        <v>63</v>
      </c>
      <c r="H120" s="8"/>
      <c r="I120" s="8"/>
      <c r="J120" s="8"/>
      <c r="K120" s="31">
        <v>1.8</v>
      </c>
      <c r="L120" s="8"/>
      <c r="M120" s="2" t="s">
        <v>72</v>
      </c>
      <c r="N120" s="8"/>
      <c r="O120" s="2" t="s">
        <v>146</v>
      </c>
    </row>
    <row r="121" spans="1:15" ht="12.75" customHeight="1" x14ac:dyDescent="0.15">
      <c r="A121" s="23">
        <v>46191</v>
      </c>
      <c r="B121" s="30" t="s">
        <v>143</v>
      </c>
      <c r="C121" s="8" t="s">
        <v>144</v>
      </c>
      <c r="D121" s="30" t="s">
        <v>21</v>
      </c>
      <c r="E121" s="30">
        <v>1.8</v>
      </c>
      <c r="F121" s="8"/>
      <c r="G121" s="37" t="s">
        <v>55</v>
      </c>
      <c r="H121" s="8"/>
      <c r="I121" s="8"/>
      <c r="J121" s="8"/>
      <c r="K121" s="31">
        <v>1.8</v>
      </c>
      <c r="L121" s="8"/>
      <c r="M121" s="2" t="s">
        <v>147</v>
      </c>
      <c r="N121" s="8"/>
      <c r="O121" s="2" t="s">
        <v>148</v>
      </c>
    </row>
    <row r="122" spans="1:15" ht="12.75" customHeight="1" x14ac:dyDescent="0.15">
      <c r="A122" s="23">
        <v>46191</v>
      </c>
      <c r="B122" s="30" t="s">
        <v>143</v>
      </c>
      <c r="C122" s="8" t="s">
        <v>144</v>
      </c>
      <c r="D122" s="30" t="s">
        <v>21</v>
      </c>
      <c r="E122" s="30">
        <v>1.8</v>
      </c>
      <c r="F122" s="8"/>
      <c r="G122" s="37" t="s">
        <v>65</v>
      </c>
      <c r="H122" s="8"/>
      <c r="I122" s="8"/>
      <c r="J122" s="8"/>
      <c r="K122" s="31">
        <v>1.8</v>
      </c>
      <c r="L122" s="8"/>
      <c r="M122" s="2" t="s">
        <v>87</v>
      </c>
      <c r="N122" s="8"/>
      <c r="O122" s="2" t="s">
        <v>149</v>
      </c>
    </row>
    <row r="123" spans="1:15" ht="12.75" customHeight="1" x14ac:dyDescent="0.15">
      <c r="A123" s="23">
        <v>46191</v>
      </c>
      <c r="B123" s="30" t="s">
        <v>143</v>
      </c>
      <c r="C123" s="8" t="s">
        <v>144</v>
      </c>
      <c r="D123" s="30" t="s">
        <v>21</v>
      </c>
      <c r="E123" s="30">
        <v>1.8</v>
      </c>
      <c r="F123" s="8"/>
      <c r="G123" s="8" t="s">
        <v>33</v>
      </c>
      <c r="H123" s="8"/>
      <c r="I123" s="8"/>
      <c r="J123" s="8"/>
      <c r="K123" s="31">
        <v>1.8</v>
      </c>
      <c r="L123" s="8"/>
      <c r="M123" s="2" t="s">
        <v>119</v>
      </c>
      <c r="N123" s="8"/>
      <c r="O123" s="2" t="s">
        <v>150</v>
      </c>
    </row>
    <row r="124" spans="1:15" ht="12.75" customHeight="1" x14ac:dyDescent="0.15">
      <c r="A124" s="23">
        <v>46191</v>
      </c>
      <c r="B124" s="30" t="s">
        <v>143</v>
      </c>
      <c r="C124" s="8" t="s">
        <v>144</v>
      </c>
      <c r="D124" s="30" t="s">
        <v>21</v>
      </c>
      <c r="E124" s="30">
        <v>1.8</v>
      </c>
      <c r="F124" s="8"/>
      <c r="G124" s="30" t="s">
        <v>36</v>
      </c>
      <c r="H124" s="8"/>
      <c r="I124" s="8"/>
      <c r="J124" s="8"/>
      <c r="K124" s="31">
        <v>1.8</v>
      </c>
      <c r="L124" s="8"/>
      <c r="M124" s="2" t="s">
        <v>151</v>
      </c>
      <c r="N124" s="8"/>
      <c r="O124" s="2" t="s">
        <v>152</v>
      </c>
    </row>
    <row r="125" spans="1:15" ht="12.75" customHeight="1" x14ac:dyDescent="0.15">
      <c r="A125" s="21">
        <v>46217</v>
      </c>
      <c r="B125" t="s">
        <v>153</v>
      </c>
      <c r="C125" t="s">
        <v>154</v>
      </c>
      <c r="D125" t="s">
        <v>21</v>
      </c>
      <c r="E125">
        <v>17</v>
      </c>
      <c r="G125" t="s">
        <v>22</v>
      </c>
      <c r="K125">
        <v>17</v>
      </c>
      <c r="M125" s="2">
        <f>+O125*K125</f>
        <v>51000</v>
      </c>
      <c r="O125" s="2">
        <v>3000</v>
      </c>
    </row>
    <row r="126" spans="1:15" ht="12.75" customHeight="1" x14ac:dyDescent="0.15">
      <c r="A126" s="21">
        <v>46217</v>
      </c>
      <c r="B126" t="s">
        <v>153</v>
      </c>
      <c r="C126" t="s">
        <v>154</v>
      </c>
      <c r="D126" t="s">
        <v>21</v>
      </c>
      <c r="E126">
        <v>17</v>
      </c>
      <c r="G126" s="1" t="s">
        <v>26</v>
      </c>
      <c r="H126" s="1"/>
      <c r="I126" s="1"/>
      <c r="J126" s="1"/>
      <c r="K126">
        <v>17</v>
      </c>
      <c r="L126" s="1"/>
      <c r="M126" s="2">
        <f>+O126*K126</f>
        <v>10943.75</v>
      </c>
      <c r="N126" s="1"/>
      <c r="O126" s="32">
        <v>643.75</v>
      </c>
    </row>
    <row r="127" spans="1:15" ht="12.75" customHeight="1" x14ac:dyDescent="0.15">
      <c r="A127" s="21">
        <v>46217</v>
      </c>
      <c r="B127" t="s">
        <v>153</v>
      </c>
      <c r="C127" t="s">
        <v>154</v>
      </c>
      <c r="D127" t="s">
        <v>21</v>
      </c>
      <c r="E127">
        <v>17</v>
      </c>
      <c r="G127" t="s">
        <v>63</v>
      </c>
      <c r="K127">
        <v>17</v>
      </c>
      <c r="M127" s="2">
        <f>+O127*K127</f>
        <v>743.75</v>
      </c>
      <c r="O127" s="32">
        <v>43.75</v>
      </c>
    </row>
    <row r="128" spans="1:15" ht="12.75" customHeight="1" x14ac:dyDescent="0.15">
      <c r="A128" s="21">
        <v>46217</v>
      </c>
      <c r="B128" t="s">
        <v>153</v>
      </c>
      <c r="C128" t="s">
        <v>154</v>
      </c>
      <c r="D128" t="s">
        <v>21</v>
      </c>
      <c r="E128">
        <v>17</v>
      </c>
      <c r="G128" t="s">
        <v>55</v>
      </c>
      <c r="K128">
        <v>17</v>
      </c>
      <c r="M128" s="2">
        <f>+O128*K128</f>
        <v>6800</v>
      </c>
      <c r="O128" s="32">
        <v>400</v>
      </c>
    </row>
    <row r="129" spans="1:15" ht="12.75" customHeight="1" x14ac:dyDescent="0.15">
      <c r="A129" s="21">
        <v>46217</v>
      </c>
      <c r="B129" t="s">
        <v>153</v>
      </c>
      <c r="C129" t="s">
        <v>154</v>
      </c>
      <c r="D129" t="s">
        <v>21</v>
      </c>
      <c r="E129">
        <v>17</v>
      </c>
      <c r="G129" t="s">
        <v>65</v>
      </c>
      <c r="K129">
        <v>17</v>
      </c>
      <c r="M129" s="2">
        <f>+O129*K129</f>
        <v>3400</v>
      </c>
      <c r="O129" s="32">
        <v>200</v>
      </c>
    </row>
    <row r="130" spans="1:15" ht="12.75" customHeight="1" x14ac:dyDescent="0.15">
      <c r="A130" s="21">
        <v>46217</v>
      </c>
      <c r="B130" t="s">
        <v>153</v>
      </c>
      <c r="C130" t="s">
        <v>154</v>
      </c>
      <c r="D130" t="s">
        <v>21</v>
      </c>
      <c r="E130">
        <v>17</v>
      </c>
      <c r="G130" t="s">
        <v>33</v>
      </c>
      <c r="K130">
        <v>17</v>
      </c>
      <c r="M130" s="2">
        <f>1672+1710</f>
        <v>3382</v>
      </c>
      <c r="O130" s="32">
        <f>+M130/E130</f>
        <v>198.94117647058823</v>
      </c>
    </row>
  </sheetData>
  <autoFilter ref="A1:O130" xr:uid="{00000000-0009-0000-0000-000003000000}"/>
  <mergeCells count="11">
    <mergeCell ref="M1:M2"/>
    <mergeCell ref="J1:J2"/>
    <mergeCell ref="O1:O2"/>
    <mergeCell ref="N1:N2"/>
    <mergeCell ref="A1:A2"/>
    <mergeCell ref="D1:D2"/>
    <mergeCell ref="G1:G2"/>
    <mergeCell ref="E1:E2"/>
    <mergeCell ref="K1:K2"/>
    <mergeCell ref="H1:H2"/>
    <mergeCell ref="F1:F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7"/>
  <sheetViews>
    <sheetView zoomScaleNormal="100" workbookViewId="0">
      <selection activeCell="E31" sqref="E31"/>
    </sheetView>
  </sheetViews>
  <sheetFormatPr baseColWidth="10" defaultColWidth="10.6640625" defaultRowHeight="13" x14ac:dyDescent="0.15"/>
  <cols>
    <col min="1" max="1" width="3.33203125" customWidth="1"/>
    <col min="2" max="2" width="14.1640625" customWidth="1"/>
    <col min="4" max="4" width="20.5" customWidth="1"/>
  </cols>
  <sheetData>
    <row r="1" spans="1:13" ht="12.75" customHeight="1" x14ac:dyDescent="0.15">
      <c r="B1" s="21">
        <f ca="1">+TODAY()</f>
        <v>46253</v>
      </c>
    </row>
    <row r="5" spans="1:13" ht="13.5" customHeight="1" x14ac:dyDescent="0.2">
      <c r="A5" s="8" t="s">
        <v>4845</v>
      </c>
      <c r="B5" s="42" t="s">
        <v>4846</v>
      </c>
      <c r="C5" s="42" t="s">
        <v>4847</v>
      </c>
      <c r="D5" s="42" t="s">
        <v>51</v>
      </c>
      <c r="E5" s="42" t="s">
        <v>173</v>
      </c>
      <c r="F5" s="30" t="s">
        <v>4812</v>
      </c>
      <c r="G5" s="42" t="s">
        <v>4848</v>
      </c>
      <c r="H5" s="42" t="s">
        <v>4849</v>
      </c>
      <c r="I5" s="42" t="s">
        <v>4850</v>
      </c>
      <c r="J5" s="42" t="s">
        <v>4851</v>
      </c>
      <c r="K5" s="42" t="s">
        <v>4852</v>
      </c>
      <c r="L5" s="42" t="s">
        <v>4853</v>
      </c>
      <c r="M5" s="42" t="s">
        <v>4854</v>
      </c>
    </row>
    <row r="6" spans="1:13" ht="15" customHeight="1" x14ac:dyDescent="0.2">
      <c r="A6">
        <v>1</v>
      </c>
      <c r="B6" s="27" t="s">
        <v>20</v>
      </c>
      <c r="C6" s="6" t="s">
        <v>19</v>
      </c>
      <c r="D6" s="6" t="s">
        <v>21</v>
      </c>
      <c r="E6" s="6">
        <v>3.8</v>
      </c>
      <c r="F6" s="36">
        <v>46000</v>
      </c>
      <c r="G6" s="43">
        <v>46180</v>
      </c>
      <c r="H6" s="44" t="s">
        <v>4855</v>
      </c>
      <c r="I6" s="44" t="s">
        <v>532</v>
      </c>
      <c r="J6" s="44" t="s">
        <v>4856</v>
      </c>
      <c r="K6" s="44" t="s">
        <v>4857</v>
      </c>
      <c r="L6" s="44" t="s">
        <v>4858</v>
      </c>
      <c r="M6" s="8"/>
    </row>
    <row r="7" spans="1:13" ht="15" customHeight="1" x14ac:dyDescent="0.2">
      <c r="A7">
        <v>2</v>
      </c>
      <c r="B7" s="27" t="s">
        <v>48</v>
      </c>
      <c r="C7" s="27" t="s">
        <v>47</v>
      </c>
      <c r="D7" s="27" t="s">
        <v>21</v>
      </c>
      <c r="E7" s="27">
        <v>2</v>
      </c>
      <c r="F7" s="36">
        <v>46072</v>
      </c>
      <c r="G7" s="43">
        <v>46252</v>
      </c>
      <c r="H7" s="44" t="s">
        <v>4855</v>
      </c>
      <c r="I7" s="44" t="s">
        <v>532</v>
      </c>
      <c r="J7" s="44" t="s">
        <v>4856</v>
      </c>
      <c r="K7" s="44" t="s">
        <v>4857</v>
      </c>
      <c r="L7" s="44" t="s">
        <v>4859</v>
      </c>
      <c r="M7" s="8"/>
    </row>
    <row r="8" spans="1:13" ht="15" customHeight="1" x14ac:dyDescent="0.2">
      <c r="A8">
        <v>4</v>
      </c>
      <c r="B8" s="27" t="s">
        <v>54</v>
      </c>
      <c r="C8" s="27" t="s">
        <v>53</v>
      </c>
      <c r="D8" s="27" t="s">
        <v>21</v>
      </c>
      <c r="E8" s="27">
        <v>2</v>
      </c>
      <c r="F8" s="36">
        <v>46086</v>
      </c>
      <c r="G8" s="43">
        <v>46266</v>
      </c>
      <c r="H8" s="44" t="s">
        <v>4855</v>
      </c>
      <c r="I8" s="44" t="s">
        <v>4860</v>
      </c>
      <c r="J8" s="44" t="s">
        <v>4861</v>
      </c>
      <c r="K8" s="44" t="s">
        <v>4857</v>
      </c>
      <c r="L8" s="44" t="s">
        <v>4859</v>
      </c>
      <c r="M8" s="8"/>
    </row>
    <row r="9" spans="1:13" ht="15" customHeight="1" x14ac:dyDescent="0.2">
      <c r="A9">
        <v>5</v>
      </c>
      <c r="B9" s="6" t="s">
        <v>40</v>
      </c>
      <c r="C9" s="27" t="s">
        <v>39</v>
      </c>
      <c r="D9" s="27" t="s">
        <v>21</v>
      </c>
      <c r="E9" s="45">
        <v>1.91</v>
      </c>
      <c r="F9" s="36">
        <v>46037</v>
      </c>
      <c r="G9" s="43">
        <v>46217</v>
      </c>
      <c r="H9" s="44" t="s">
        <v>4855</v>
      </c>
      <c r="I9" s="44" t="s">
        <v>532</v>
      </c>
      <c r="J9" s="8"/>
      <c r="K9" s="44" t="s">
        <v>4857</v>
      </c>
      <c r="L9" s="44" t="s">
        <v>4859</v>
      </c>
      <c r="M9" s="8"/>
    </row>
    <row r="10" spans="1:13" ht="15" customHeight="1" x14ac:dyDescent="0.2">
      <c r="A10">
        <v>6</v>
      </c>
      <c r="B10" s="27" t="s">
        <v>61</v>
      </c>
      <c r="C10" s="27" t="s">
        <v>60</v>
      </c>
      <c r="D10" s="27" t="s">
        <v>21</v>
      </c>
      <c r="E10" s="27">
        <v>1.6</v>
      </c>
      <c r="F10" s="36">
        <v>46108</v>
      </c>
      <c r="G10" s="43">
        <v>46288</v>
      </c>
      <c r="H10" s="44" t="s">
        <v>4855</v>
      </c>
      <c r="I10" s="44" t="s">
        <v>532</v>
      </c>
      <c r="J10" s="44" t="s">
        <v>4862</v>
      </c>
      <c r="K10" s="44" t="s">
        <v>4857</v>
      </c>
      <c r="L10" s="44" t="s">
        <v>4859</v>
      </c>
      <c r="M10" s="8"/>
    </row>
    <row r="11" spans="1:13" ht="15" customHeight="1" x14ac:dyDescent="0.2">
      <c r="A11">
        <v>7</v>
      </c>
      <c r="B11" s="27" t="s">
        <v>69</v>
      </c>
      <c r="C11" s="6" t="s">
        <v>68</v>
      </c>
      <c r="D11" s="6" t="s">
        <v>21</v>
      </c>
      <c r="E11" s="6">
        <v>1</v>
      </c>
      <c r="F11" s="36">
        <v>46114</v>
      </c>
      <c r="G11" s="43">
        <v>46294</v>
      </c>
      <c r="H11" s="44" t="s">
        <v>4855</v>
      </c>
      <c r="I11" s="44" t="s">
        <v>4863</v>
      </c>
      <c r="J11" s="44" t="s">
        <v>4864</v>
      </c>
      <c r="K11" s="44" t="s">
        <v>4865</v>
      </c>
      <c r="L11" s="44" t="s">
        <v>4859</v>
      </c>
      <c r="M11" s="8"/>
    </row>
    <row r="12" spans="1:13" ht="15" customHeight="1" x14ac:dyDescent="0.2">
      <c r="A12">
        <v>8</v>
      </c>
      <c r="B12" s="27" t="s">
        <v>74</v>
      </c>
      <c r="C12" s="6" t="s">
        <v>73</v>
      </c>
      <c r="D12" s="6" t="s">
        <v>75</v>
      </c>
      <c r="E12" s="6">
        <v>2.2999999999999998</v>
      </c>
      <c r="F12" s="36">
        <v>46130</v>
      </c>
      <c r="G12" s="43">
        <v>46370</v>
      </c>
      <c r="H12" s="44" t="s">
        <v>4866</v>
      </c>
      <c r="I12" s="44" t="s">
        <v>4867</v>
      </c>
      <c r="J12" s="44" t="s">
        <v>4868</v>
      </c>
      <c r="K12" s="44" t="s">
        <v>4857</v>
      </c>
      <c r="L12" s="44" t="s">
        <v>4859</v>
      </c>
      <c r="M12" s="8"/>
    </row>
    <row r="13" spans="1:13" ht="15" customHeight="1" x14ac:dyDescent="0.2">
      <c r="A13">
        <v>9</v>
      </c>
      <c r="B13" s="46" t="s">
        <v>81</v>
      </c>
      <c r="C13" s="27" t="s">
        <v>80</v>
      </c>
      <c r="D13" s="27" t="s">
        <v>21</v>
      </c>
      <c r="E13" s="27">
        <v>2.2999999999999998</v>
      </c>
      <c r="F13" s="36">
        <v>46114</v>
      </c>
      <c r="G13" s="43">
        <v>46294</v>
      </c>
      <c r="H13" s="44" t="s">
        <v>4855</v>
      </c>
      <c r="I13" s="44" t="s">
        <v>4867</v>
      </c>
      <c r="J13" s="44" t="s">
        <v>4864</v>
      </c>
      <c r="K13" s="44" t="s">
        <v>4857</v>
      </c>
      <c r="L13" s="44" t="s">
        <v>4859</v>
      </c>
      <c r="M13" s="8"/>
    </row>
    <row r="14" spans="1:13" ht="15" customHeight="1" x14ac:dyDescent="0.2">
      <c r="A14">
        <v>10</v>
      </c>
      <c r="B14" s="27" t="s">
        <v>85</v>
      </c>
      <c r="C14" s="27" t="s">
        <v>84</v>
      </c>
      <c r="D14" s="27" t="s">
        <v>21</v>
      </c>
      <c r="E14" s="27">
        <v>2</v>
      </c>
      <c r="F14" s="36">
        <v>46132</v>
      </c>
      <c r="G14" s="43">
        <v>46312</v>
      </c>
      <c r="H14" s="44" t="s">
        <v>4855</v>
      </c>
      <c r="I14" s="44" t="s">
        <v>4867</v>
      </c>
      <c r="J14" s="44" t="s">
        <v>4869</v>
      </c>
      <c r="K14" s="44" t="s">
        <v>4865</v>
      </c>
      <c r="L14" s="44" t="s">
        <v>4859</v>
      </c>
      <c r="M14" s="8"/>
    </row>
    <row r="15" spans="1:13" ht="15" customHeight="1" x14ac:dyDescent="0.2">
      <c r="A15">
        <v>11</v>
      </c>
      <c r="B15" s="27" t="s">
        <v>90</v>
      </c>
      <c r="C15" s="27" t="s">
        <v>89</v>
      </c>
      <c r="D15" s="27" t="s">
        <v>21</v>
      </c>
      <c r="E15" s="27">
        <v>1</v>
      </c>
      <c r="F15" s="36">
        <v>46127</v>
      </c>
      <c r="G15" s="43">
        <v>46307</v>
      </c>
      <c r="H15" s="44" t="s">
        <v>4855</v>
      </c>
      <c r="I15" s="44" t="s">
        <v>4870</v>
      </c>
      <c r="J15" s="44" t="s">
        <v>4871</v>
      </c>
      <c r="K15" s="44" t="s">
        <v>4865</v>
      </c>
      <c r="L15" s="44" t="s">
        <v>4859</v>
      </c>
      <c r="M15" s="8"/>
    </row>
    <row r="16" spans="1:13" ht="15" customHeight="1" x14ac:dyDescent="0.2">
      <c r="A16">
        <v>12</v>
      </c>
      <c r="B16" s="27" t="s">
        <v>92</v>
      </c>
      <c r="C16" s="27" t="s">
        <v>91</v>
      </c>
      <c r="D16" s="27" t="s">
        <v>21</v>
      </c>
      <c r="E16" s="27">
        <v>1.3</v>
      </c>
      <c r="F16" s="36">
        <v>46130</v>
      </c>
      <c r="G16" s="43">
        <v>46310</v>
      </c>
      <c r="H16" s="44" t="s">
        <v>4855</v>
      </c>
      <c r="I16" s="44" t="s">
        <v>4867</v>
      </c>
      <c r="J16" s="44" t="s">
        <v>4872</v>
      </c>
      <c r="K16" s="44" t="s">
        <v>4865</v>
      </c>
      <c r="L16" s="44" t="s">
        <v>4859</v>
      </c>
      <c r="M16" s="8"/>
    </row>
    <row r="17" spans="1:14" ht="15" customHeight="1" x14ac:dyDescent="0.2">
      <c r="A17">
        <v>13</v>
      </c>
      <c r="B17" s="27" t="s">
        <v>140</v>
      </c>
      <c r="C17" s="6" t="s">
        <v>139</v>
      </c>
      <c r="D17" s="27" t="s">
        <v>75</v>
      </c>
      <c r="E17" s="6">
        <v>0.8</v>
      </c>
      <c r="F17" s="36">
        <v>46168</v>
      </c>
      <c r="G17" s="43">
        <v>46348</v>
      </c>
      <c r="H17" s="44" t="s">
        <v>4855</v>
      </c>
      <c r="I17" s="44" t="s">
        <v>4873</v>
      </c>
      <c r="J17" s="44" t="s">
        <v>4868</v>
      </c>
      <c r="K17" s="44" t="s">
        <v>4865</v>
      </c>
      <c r="L17" s="44" t="s">
        <v>4859</v>
      </c>
      <c r="M17" s="44" t="s">
        <v>4874</v>
      </c>
    </row>
    <row r="18" spans="1:14" ht="15" customHeight="1" x14ac:dyDescent="0.2">
      <c r="A18">
        <v>14</v>
      </c>
      <c r="B18" s="45" t="s">
        <v>136</v>
      </c>
      <c r="C18" s="47" t="s">
        <v>135</v>
      </c>
      <c r="D18" s="47" t="s">
        <v>21</v>
      </c>
      <c r="E18" s="47">
        <v>1</v>
      </c>
      <c r="F18" s="36">
        <v>46199</v>
      </c>
      <c r="G18" s="43">
        <v>46379</v>
      </c>
      <c r="H18" s="44" t="s">
        <v>4866</v>
      </c>
      <c r="I18" s="44" t="s">
        <v>4863</v>
      </c>
      <c r="J18" s="44" t="s">
        <v>4875</v>
      </c>
      <c r="K18" s="44" t="s">
        <v>4865</v>
      </c>
      <c r="L18" s="44" t="s">
        <v>4859</v>
      </c>
      <c r="M18" s="44" t="s">
        <v>4874</v>
      </c>
      <c r="N18" s="44" t="s">
        <v>4876</v>
      </c>
    </row>
    <row r="19" spans="1:14" ht="15" customHeight="1" x14ac:dyDescent="0.2">
      <c r="A19">
        <v>15</v>
      </c>
      <c r="B19" s="27" t="s">
        <v>142</v>
      </c>
      <c r="C19" s="6" t="s">
        <v>141</v>
      </c>
      <c r="D19" s="27" t="s">
        <v>75</v>
      </c>
      <c r="E19" s="6">
        <v>1</v>
      </c>
      <c r="F19" s="36">
        <v>46196</v>
      </c>
      <c r="G19" s="8"/>
      <c r="H19" s="44" t="s">
        <v>4866</v>
      </c>
      <c r="I19" s="44" t="s">
        <v>4863</v>
      </c>
      <c r="J19" s="8"/>
      <c r="K19" s="44" t="s">
        <v>4865</v>
      </c>
      <c r="L19" s="44" t="s">
        <v>4859</v>
      </c>
      <c r="M19" s="44" t="s">
        <v>4874</v>
      </c>
    </row>
    <row r="20" spans="1:14" ht="15" customHeight="1" x14ac:dyDescent="0.2">
      <c r="A20">
        <v>16</v>
      </c>
      <c r="B20" s="27" t="s">
        <v>97</v>
      </c>
      <c r="C20" s="6" t="s">
        <v>96</v>
      </c>
      <c r="D20" s="6" t="s">
        <v>21</v>
      </c>
      <c r="E20" s="6">
        <v>4.5</v>
      </c>
      <c r="F20" s="36">
        <v>46143</v>
      </c>
      <c r="G20" s="43">
        <v>46333</v>
      </c>
      <c r="H20" s="44" t="s">
        <v>4855</v>
      </c>
      <c r="I20" s="44" t="s">
        <v>4867</v>
      </c>
      <c r="J20" s="44" t="s">
        <v>4877</v>
      </c>
      <c r="K20" s="44" t="s">
        <v>4865</v>
      </c>
      <c r="L20" s="44" t="s">
        <v>4859</v>
      </c>
      <c r="M20" s="8"/>
    </row>
    <row r="21" spans="1:14" ht="15" customHeight="1" x14ac:dyDescent="0.2">
      <c r="A21">
        <v>17</v>
      </c>
      <c r="B21" s="27" t="s">
        <v>102</v>
      </c>
      <c r="C21" s="27" t="s">
        <v>101</v>
      </c>
      <c r="D21" s="27" t="s">
        <v>75</v>
      </c>
      <c r="E21" s="27">
        <v>7.6</v>
      </c>
      <c r="F21" s="36">
        <v>46140</v>
      </c>
      <c r="G21" s="43">
        <v>46380</v>
      </c>
      <c r="H21" s="44" t="s">
        <v>4866</v>
      </c>
      <c r="I21" s="44" t="s">
        <v>4867</v>
      </c>
      <c r="J21" s="44" t="s">
        <v>4868</v>
      </c>
      <c r="K21" s="44" t="s">
        <v>4857</v>
      </c>
      <c r="L21" s="44" t="s">
        <v>4859</v>
      </c>
      <c r="M21" s="8"/>
    </row>
    <row r="22" spans="1:14" ht="15" customHeight="1" x14ac:dyDescent="0.2">
      <c r="A22">
        <v>18</v>
      </c>
      <c r="B22" s="27" t="s">
        <v>138</v>
      </c>
      <c r="C22" s="6" t="s">
        <v>137</v>
      </c>
      <c r="D22" s="6" t="s">
        <v>75</v>
      </c>
      <c r="E22" s="6">
        <v>1</v>
      </c>
      <c r="F22" s="48">
        <v>46220</v>
      </c>
      <c r="G22" s="43">
        <v>46446</v>
      </c>
      <c r="H22" s="44" t="s">
        <v>4855</v>
      </c>
      <c r="I22" s="44" t="s">
        <v>4863</v>
      </c>
      <c r="J22" s="8"/>
      <c r="K22" s="44" t="s">
        <v>4865</v>
      </c>
      <c r="L22" s="44" t="s">
        <v>4859</v>
      </c>
      <c r="M22" s="44" t="s">
        <v>4874</v>
      </c>
    </row>
    <row r="23" spans="1:14" ht="15" customHeight="1" x14ac:dyDescent="0.2">
      <c r="A23">
        <v>19</v>
      </c>
      <c r="B23" s="27" t="s">
        <v>676</v>
      </c>
      <c r="C23" s="27" t="s">
        <v>3749</v>
      </c>
      <c r="D23" s="27" t="s">
        <v>676</v>
      </c>
      <c r="E23" s="27">
        <v>1</v>
      </c>
      <c r="F23" s="36">
        <v>46023</v>
      </c>
      <c r="G23" s="8"/>
      <c r="H23" s="8"/>
      <c r="I23" s="8"/>
      <c r="J23" s="8"/>
      <c r="K23" s="8"/>
      <c r="L23" s="44" t="s">
        <v>4859</v>
      </c>
      <c r="M23" s="8"/>
    </row>
    <row r="24" spans="1:14" ht="15" customHeight="1" x14ac:dyDescent="0.2">
      <c r="A24">
        <v>20</v>
      </c>
      <c r="B24" s="42" t="s">
        <v>437</v>
      </c>
      <c r="C24" s="44" t="s">
        <v>437</v>
      </c>
      <c r="D24" s="44" t="s">
        <v>4435</v>
      </c>
      <c r="E24" s="44">
        <v>1</v>
      </c>
      <c r="F24" s="36">
        <v>46023</v>
      </c>
      <c r="G24" s="8"/>
      <c r="H24" s="8"/>
      <c r="I24" s="8"/>
      <c r="J24" s="8"/>
      <c r="K24" s="8"/>
      <c r="L24" s="44" t="s">
        <v>4859</v>
      </c>
      <c r="M24" s="8"/>
    </row>
    <row r="25" spans="1:14" ht="15" customHeight="1" x14ac:dyDescent="0.2">
      <c r="A25">
        <v>21</v>
      </c>
      <c r="B25" s="4" t="s">
        <v>108</v>
      </c>
      <c r="C25" s="6" t="s">
        <v>107</v>
      </c>
      <c r="D25" s="6" t="s">
        <v>21</v>
      </c>
      <c r="E25" s="30">
        <v>4.5</v>
      </c>
      <c r="F25" s="36">
        <v>46157</v>
      </c>
      <c r="G25" s="43">
        <v>46337</v>
      </c>
      <c r="H25" s="44" t="s">
        <v>4855</v>
      </c>
      <c r="I25" s="44" t="s">
        <v>4867</v>
      </c>
      <c r="J25" s="44" t="s">
        <v>4878</v>
      </c>
      <c r="K25" s="44" t="s">
        <v>4857</v>
      </c>
      <c r="L25" s="44" t="s">
        <v>4859</v>
      </c>
      <c r="M25" s="8"/>
    </row>
    <row r="26" spans="1:14" ht="15" customHeight="1" x14ac:dyDescent="0.2">
      <c r="A26">
        <v>22</v>
      </c>
      <c r="B26" s="27" t="s">
        <v>116</v>
      </c>
      <c r="C26" s="6" t="s">
        <v>115</v>
      </c>
      <c r="D26" s="6" t="s">
        <v>21</v>
      </c>
      <c r="E26" s="30">
        <v>2</v>
      </c>
      <c r="F26" s="36">
        <v>46163</v>
      </c>
      <c r="G26" s="43">
        <v>46403</v>
      </c>
      <c r="H26" s="44" t="s">
        <v>4855</v>
      </c>
      <c r="I26" s="44" t="s">
        <v>4867</v>
      </c>
      <c r="J26" s="44" t="s">
        <v>4878</v>
      </c>
      <c r="K26" s="44" t="s">
        <v>4865</v>
      </c>
      <c r="L26" s="44" t="s">
        <v>4859</v>
      </c>
      <c r="M26" s="8"/>
    </row>
    <row r="27" spans="1:14" ht="15" customHeight="1" x14ac:dyDescent="0.2">
      <c r="B27" s="27" t="s">
        <v>123</v>
      </c>
      <c r="C27" s="30" t="s">
        <v>122</v>
      </c>
      <c r="D27" s="30" t="s">
        <v>75</v>
      </c>
      <c r="E27" s="30">
        <v>4.5</v>
      </c>
      <c r="F27" s="36">
        <v>46175</v>
      </c>
      <c r="G27" s="36">
        <v>46415</v>
      </c>
      <c r="H27" s="44" t="s">
        <v>4866</v>
      </c>
      <c r="I27" s="30" t="s">
        <v>4879</v>
      </c>
      <c r="J27" s="30" t="s">
        <v>4880</v>
      </c>
      <c r="K27" s="30" t="s">
        <v>4857</v>
      </c>
      <c r="L27" s="44" t="s">
        <v>4859</v>
      </c>
      <c r="M27" s="8"/>
    </row>
    <row r="28" spans="1:14" ht="15" customHeight="1" x14ac:dyDescent="0.2">
      <c r="B28" s="27" t="s">
        <v>144</v>
      </c>
      <c r="C28" s="30" t="s">
        <v>143</v>
      </c>
      <c r="D28" s="30" t="s">
        <v>21</v>
      </c>
      <c r="E28" s="6">
        <v>1.8</v>
      </c>
      <c r="F28" s="36">
        <v>46191</v>
      </c>
      <c r="G28" s="36">
        <v>46431</v>
      </c>
      <c r="H28" s="44" t="s">
        <v>4855</v>
      </c>
      <c r="I28" s="44" t="s">
        <v>532</v>
      </c>
      <c r="J28" s="44" t="s">
        <v>4881</v>
      </c>
      <c r="K28" s="44" t="s">
        <v>4857</v>
      </c>
      <c r="L28" s="30" t="s">
        <v>4859</v>
      </c>
    </row>
    <row r="29" spans="1:14" ht="15" customHeight="1" x14ac:dyDescent="0.2">
      <c r="B29" s="27" t="s">
        <v>4407</v>
      </c>
      <c r="C29" s="30" t="s">
        <v>4406</v>
      </c>
      <c r="D29" s="30" t="s">
        <v>21</v>
      </c>
      <c r="E29" s="6">
        <v>10</v>
      </c>
      <c r="F29" s="36">
        <v>46266</v>
      </c>
      <c r="G29" s="23">
        <v>46485</v>
      </c>
      <c r="H29" s="44" t="s">
        <v>4855</v>
      </c>
      <c r="I29" s="44" t="s">
        <v>4882</v>
      </c>
      <c r="J29" s="8"/>
      <c r="K29" s="44" t="s">
        <v>4857</v>
      </c>
      <c r="L29" s="30" t="s">
        <v>4859</v>
      </c>
    </row>
    <row r="30" spans="1:14" ht="15" customHeight="1" x14ac:dyDescent="0.2">
      <c r="B30" s="27" t="s">
        <v>154</v>
      </c>
      <c r="C30" s="30" t="s">
        <v>153</v>
      </c>
      <c r="D30" s="30" t="s">
        <v>21</v>
      </c>
      <c r="E30" s="30">
        <v>16.5</v>
      </c>
      <c r="F30" s="36">
        <v>46220</v>
      </c>
      <c r="G30" s="23">
        <v>46458</v>
      </c>
      <c r="H30" s="44" t="s">
        <v>4855</v>
      </c>
      <c r="I30" s="30" t="s">
        <v>4883</v>
      </c>
      <c r="J30" s="8"/>
      <c r="K30" s="44" t="s">
        <v>4857</v>
      </c>
      <c r="L30" s="30" t="s">
        <v>4859</v>
      </c>
    </row>
    <row r="34" spans="4:5" ht="12.75" customHeight="1" x14ac:dyDescent="0.15">
      <c r="D34" s="49"/>
      <c r="E34" s="2"/>
    </row>
    <row r="35" spans="4:5" ht="12.75" customHeight="1" x14ac:dyDescent="0.15">
      <c r="D35" s="2"/>
      <c r="E35" s="50"/>
    </row>
    <row r="36" spans="4:5" ht="12.75" customHeight="1" x14ac:dyDescent="0.15">
      <c r="D36" s="2"/>
      <c r="E36" s="50"/>
    </row>
    <row r="37" spans="4:5" ht="12.75" customHeight="1" x14ac:dyDescent="0.15">
      <c r="D37" s="2"/>
      <c r="E37" s="50"/>
    </row>
    <row r="38" spans="4:5" ht="12.75" customHeight="1" x14ac:dyDescent="0.15">
      <c r="D38" s="2"/>
      <c r="E38" s="50"/>
    </row>
    <row r="39" spans="4:5" ht="12.75" customHeight="1" x14ac:dyDescent="0.15">
      <c r="D39" s="2"/>
      <c r="E39" s="50"/>
    </row>
    <row r="40" spans="4:5" ht="12.75" customHeight="1" x14ac:dyDescent="0.15">
      <c r="D40" s="2"/>
      <c r="E40" s="50"/>
    </row>
    <row r="41" spans="4:5" ht="12.75" customHeight="1" x14ac:dyDescent="0.15">
      <c r="D41" s="2"/>
      <c r="E41" s="50"/>
    </row>
    <row r="42" spans="4:5" ht="12.75" customHeight="1" x14ac:dyDescent="0.15">
      <c r="D42" s="2"/>
      <c r="E42" s="50"/>
    </row>
    <row r="43" spans="4:5" ht="12.75" customHeight="1" x14ac:dyDescent="0.15">
      <c r="D43" s="2"/>
      <c r="E43" s="50"/>
    </row>
    <row r="44" spans="4:5" ht="12.75" customHeight="1" x14ac:dyDescent="0.15">
      <c r="D44" s="2"/>
      <c r="E44" s="50"/>
    </row>
    <row r="45" spans="4:5" ht="12.75" customHeight="1" x14ac:dyDescent="0.15">
      <c r="D45" s="2"/>
      <c r="E45" s="50"/>
    </row>
    <row r="46" spans="4:5" ht="12.75" customHeight="1" x14ac:dyDescent="0.15">
      <c r="D46" s="2"/>
      <c r="E46" s="50"/>
    </row>
    <row r="47" spans="4:5" ht="12.75" customHeight="1" x14ac:dyDescent="0.15">
      <c r="D47" s="2"/>
      <c r="E47" s="50"/>
    </row>
    <row r="48" spans="4:5" ht="12.75" customHeight="1" x14ac:dyDescent="0.15">
      <c r="D48" s="2"/>
      <c r="E48" s="50"/>
    </row>
    <row r="49" spans="4:5" ht="12.75" customHeight="1" x14ac:dyDescent="0.15">
      <c r="D49" s="2"/>
      <c r="E49" s="50"/>
    </row>
    <row r="50" spans="4:5" ht="12.75" customHeight="1" x14ac:dyDescent="0.15">
      <c r="D50" s="2"/>
      <c r="E50" s="50"/>
    </row>
    <row r="51" spans="4:5" ht="12.75" customHeight="1" x14ac:dyDescent="0.15">
      <c r="D51" s="8"/>
      <c r="E51" s="50"/>
    </row>
    <row r="52" spans="4:5" ht="12.75" customHeight="1" x14ac:dyDescent="0.15">
      <c r="D52" s="2"/>
      <c r="E52" s="50"/>
    </row>
    <row r="53" spans="4:5" ht="12.75" customHeight="1" x14ac:dyDescent="0.15">
      <c r="D53" s="2"/>
      <c r="E53" s="50"/>
    </row>
    <row r="54" spans="4:5" ht="12.75" customHeight="1" x14ac:dyDescent="0.15">
      <c r="D54" s="2"/>
      <c r="E54" s="50"/>
    </row>
    <row r="55" spans="4:5" ht="12.75" customHeight="1" x14ac:dyDescent="0.15">
      <c r="D55" s="2"/>
      <c r="E55" s="50"/>
    </row>
    <row r="56" spans="4:5" ht="12.75" customHeight="1" x14ac:dyDescent="0.15">
      <c r="D56" s="2"/>
      <c r="E56" s="50"/>
    </row>
    <row r="57" spans="4:5" ht="12.75" customHeight="1" x14ac:dyDescent="0.15">
      <c r="D57" s="8"/>
      <c r="E57" s="50"/>
    </row>
  </sheetData>
  <autoFilter ref="A5:K26" xr:uid="{00000000-0009-0000-0000-000004000000}"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014"/>
  <sheetViews>
    <sheetView workbookViewId="0">
      <selection activeCell="O20" sqref="O20"/>
    </sheetView>
  </sheetViews>
  <sheetFormatPr baseColWidth="10" defaultRowHeight="13" x14ac:dyDescent="0.15"/>
  <sheetData>
    <row r="1" spans="1:35" ht="16" customHeight="1" x14ac:dyDescent="0.2">
      <c r="A1" s="57" t="s">
        <v>4884</v>
      </c>
      <c r="B1" s="58" t="s">
        <v>4885</v>
      </c>
      <c r="C1" s="58" t="s">
        <v>4886</v>
      </c>
      <c r="D1" s="59"/>
      <c r="E1" s="58" t="s">
        <v>4887</v>
      </c>
      <c r="F1" s="58" t="s">
        <v>11</v>
      </c>
      <c r="G1" s="59"/>
      <c r="H1" s="58" t="s">
        <v>4846</v>
      </c>
      <c r="I1" s="58" t="s">
        <v>4847</v>
      </c>
      <c r="J1" s="58" t="s">
        <v>51</v>
      </c>
      <c r="K1" s="58" t="s">
        <v>173</v>
      </c>
      <c r="L1" s="60" t="s">
        <v>4812</v>
      </c>
      <c r="M1" s="58" t="s">
        <v>4848</v>
      </c>
      <c r="N1" s="58" t="s">
        <v>4849</v>
      </c>
      <c r="O1" s="58" t="s">
        <v>4850</v>
      </c>
      <c r="P1" s="58" t="s">
        <v>4851</v>
      </c>
      <c r="Q1" s="58" t="s">
        <v>4852</v>
      </c>
      <c r="R1" s="58" t="s">
        <v>4853</v>
      </c>
      <c r="S1" s="58" t="s">
        <v>4854</v>
      </c>
      <c r="T1" s="58" t="s">
        <v>4888</v>
      </c>
      <c r="U1" s="58" t="s">
        <v>4889</v>
      </c>
      <c r="V1" s="60" t="s">
        <v>4890</v>
      </c>
      <c r="W1" s="60" t="s">
        <v>4891</v>
      </c>
      <c r="X1" s="59"/>
      <c r="Y1" s="58" t="s">
        <v>4892</v>
      </c>
      <c r="Z1" s="58" t="s">
        <v>4893</v>
      </c>
      <c r="AA1" s="58" t="s">
        <v>4886</v>
      </c>
      <c r="AB1" s="58" t="s">
        <v>4887</v>
      </c>
      <c r="AC1" s="59"/>
      <c r="AD1" s="58" t="s">
        <v>4888</v>
      </c>
      <c r="AE1" s="58" t="s">
        <v>4889</v>
      </c>
      <c r="AF1" s="59"/>
      <c r="AG1" s="59"/>
      <c r="AH1" s="59"/>
      <c r="AI1" s="59"/>
    </row>
    <row r="2" spans="1:35" ht="14" customHeight="1" x14ac:dyDescent="0.2">
      <c r="A2" s="61" t="s">
        <v>4894</v>
      </c>
      <c r="B2" s="61" t="s">
        <v>4895</v>
      </c>
      <c r="C2" s="61" t="s">
        <v>4896</v>
      </c>
      <c r="D2" s="59"/>
      <c r="E2" s="61" t="s">
        <v>26</v>
      </c>
      <c r="F2" s="61" t="s">
        <v>181</v>
      </c>
      <c r="G2" s="59"/>
      <c r="H2" s="61" t="s">
        <v>4897</v>
      </c>
      <c r="I2" s="61" t="s">
        <v>4898</v>
      </c>
      <c r="J2" s="61" t="s">
        <v>4899</v>
      </c>
      <c r="K2" s="61">
        <v>3.2</v>
      </c>
      <c r="L2" s="59"/>
      <c r="M2" s="59"/>
      <c r="N2" s="59"/>
      <c r="O2" s="59"/>
      <c r="P2" s="59"/>
      <c r="Q2" s="59"/>
      <c r="R2" s="59"/>
      <c r="S2" s="59"/>
      <c r="T2" s="61">
        <v>1</v>
      </c>
      <c r="U2" s="61" t="s">
        <v>3359</v>
      </c>
      <c r="V2" s="61" t="s">
        <v>3358</v>
      </c>
      <c r="W2" s="60" t="s">
        <v>3477</v>
      </c>
      <c r="X2" s="61" t="s">
        <v>4900</v>
      </c>
      <c r="Y2" s="61" t="s">
        <v>4901</v>
      </c>
      <c r="Z2" s="60" t="s">
        <v>4902</v>
      </c>
      <c r="AA2" s="61" t="s">
        <v>4903</v>
      </c>
      <c r="AB2" s="61" t="s">
        <v>4904</v>
      </c>
      <c r="AC2" s="59"/>
      <c r="AD2" s="61" t="s">
        <v>4905</v>
      </c>
      <c r="AE2" s="61" t="s">
        <v>4906</v>
      </c>
      <c r="AF2" s="59"/>
      <c r="AG2" s="59"/>
      <c r="AH2" s="59"/>
      <c r="AI2" s="59"/>
    </row>
    <row r="3" spans="1:35" ht="14" customHeight="1" x14ac:dyDescent="0.2">
      <c r="A3" s="61" t="s">
        <v>4907</v>
      </c>
      <c r="B3" s="61" t="s">
        <v>4908</v>
      </c>
      <c r="C3" s="61" t="s">
        <v>4896</v>
      </c>
      <c r="D3" s="59"/>
      <c r="E3" s="61" t="s">
        <v>26</v>
      </c>
      <c r="F3" s="61" t="s">
        <v>181</v>
      </c>
      <c r="G3" s="59"/>
      <c r="H3" s="61" t="s">
        <v>4909</v>
      </c>
      <c r="I3" s="61" t="s">
        <v>4910</v>
      </c>
      <c r="J3" s="61" t="s">
        <v>4899</v>
      </c>
      <c r="K3" s="61">
        <v>1</v>
      </c>
      <c r="L3" s="59"/>
      <c r="M3" s="59"/>
      <c r="N3" s="59"/>
      <c r="O3" s="59"/>
      <c r="P3" s="59"/>
      <c r="Q3" s="59"/>
      <c r="R3" s="59"/>
      <c r="S3" s="59"/>
      <c r="T3" s="61">
        <v>2</v>
      </c>
      <c r="U3" s="61" t="s">
        <v>3424</v>
      </c>
      <c r="V3" s="61" t="s">
        <v>3440</v>
      </c>
      <c r="W3" s="60" t="s">
        <v>3477</v>
      </c>
      <c r="X3" s="61" t="s">
        <v>4911</v>
      </c>
      <c r="Y3" s="61" t="s">
        <v>4912</v>
      </c>
      <c r="Z3" s="61" t="s">
        <v>63</v>
      </c>
      <c r="AA3" s="61" t="s">
        <v>4913</v>
      </c>
      <c r="AB3" s="61" t="s">
        <v>4904</v>
      </c>
      <c r="AC3" s="59"/>
      <c r="AD3" s="59"/>
      <c r="AE3" s="59"/>
      <c r="AF3" s="59"/>
      <c r="AG3" s="59"/>
      <c r="AH3" s="59"/>
      <c r="AI3" s="59"/>
    </row>
    <row r="4" spans="1:35" ht="14" customHeight="1" x14ac:dyDescent="0.2">
      <c r="A4" s="61" t="s">
        <v>3332</v>
      </c>
      <c r="B4" s="61" t="s">
        <v>177</v>
      </c>
      <c r="C4" s="61" t="s">
        <v>4896</v>
      </c>
      <c r="D4" s="59"/>
      <c r="E4" s="61" t="s">
        <v>26</v>
      </c>
      <c r="F4" s="61" t="s">
        <v>181</v>
      </c>
      <c r="G4" s="59"/>
      <c r="H4" s="61" t="s">
        <v>4914</v>
      </c>
      <c r="I4" s="61" t="s">
        <v>4915</v>
      </c>
      <c r="J4" s="61" t="s">
        <v>4899</v>
      </c>
      <c r="K4" s="61">
        <v>2</v>
      </c>
      <c r="L4" s="59"/>
      <c r="M4" s="59"/>
      <c r="N4" s="59"/>
      <c r="O4" s="59"/>
      <c r="P4" s="59"/>
      <c r="Q4" s="59"/>
      <c r="R4" s="59"/>
      <c r="S4" s="59"/>
      <c r="T4" s="61">
        <v>3</v>
      </c>
      <c r="U4" s="61" t="s">
        <v>3478</v>
      </c>
      <c r="V4" s="61" t="s">
        <v>3334</v>
      </c>
      <c r="W4" s="60" t="s">
        <v>3477</v>
      </c>
      <c r="X4" s="61" t="s">
        <v>4916</v>
      </c>
      <c r="Y4" s="61" t="s">
        <v>4917</v>
      </c>
      <c r="Z4" s="61" t="s">
        <v>4918</v>
      </c>
      <c r="AA4" s="61" t="s">
        <v>4919</v>
      </c>
      <c r="AB4" s="61" t="s">
        <v>4904</v>
      </c>
      <c r="AC4" s="59"/>
      <c r="AD4" s="59"/>
      <c r="AE4" s="59"/>
      <c r="AF4" s="59"/>
      <c r="AG4" s="59"/>
      <c r="AH4" s="59"/>
      <c r="AI4" s="59"/>
    </row>
    <row r="5" spans="1:35" ht="14" customHeight="1" x14ac:dyDescent="0.2">
      <c r="A5" s="61" t="s">
        <v>4920</v>
      </c>
      <c r="B5" s="61" t="s">
        <v>4921</v>
      </c>
      <c r="C5" s="61" t="s">
        <v>4896</v>
      </c>
      <c r="D5" s="59"/>
      <c r="E5" s="61" t="s">
        <v>26</v>
      </c>
      <c r="F5" s="61" t="s">
        <v>181</v>
      </c>
      <c r="G5" s="59"/>
      <c r="H5" s="61" t="s">
        <v>4922</v>
      </c>
      <c r="I5" s="61" t="s">
        <v>4923</v>
      </c>
      <c r="J5" s="61" t="s">
        <v>4899</v>
      </c>
      <c r="K5" s="61">
        <v>1.6</v>
      </c>
      <c r="L5" s="59"/>
      <c r="M5" s="59"/>
      <c r="N5" s="59"/>
      <c r="O5" s="59"/>
      <c r="P5" s="59"/>
      <c r="Q5" s="59"/>
      <c r="R5" s="59"/>
      <c r="S5" s="59"/>
      <c r="T5" s="61">
        <v>4</v>
      </c>
      <c r="U5" s="61" t="s">
        <v>3773</v>
      </c>
      <c r="V5" s="61" t="s">
        <v>3334</v>
      </c>
      <c r="W5" s="60" t="s">
        <v>3477</v>
      </c>
      <c r="X5" s="61" t="s">
        <v>4924</v>
      </c>
      <c r="Y5" s="61" t="s">
        <v>4925</v>
      </c>
      <c r="Z5" s="61" t="s">
        <v>86</v>
      </c>
      <c r="AA5" s="61" t="s">
        <v>4926</v>
      </c>
      <c r="AB5" s="61" t="s">
        <v>4904</v>
      </c>
      <c r="AC5" s="59"/>
      <c r="AD5" s="59"/>
      <c r="AE5" s="59"/>
      <c r="AF5" s="59"/>
      <c r="AG5" s="59"/>
      <c r="AH5" s="59"/>
      <c r="AI5" s="59"/>
    </row>
    <row r="6" spans="1:35" ht="14" customHeight="1" x14ac:dyDescent="0.2">
      <c r="A6" s="61" t="s">
        <v>3855</v>
      </c>
      <c r="B6" s="61" t="s">
        <v>3808</v>
      </c>
      <c r="C6" s="61" t="s">
        <v>4896</v>
      </c>
      <c r="D6" s="59"/>
      <c r="E6" s="61" t="s">
        <v>26</v>
      </c>
      <c r="F6" s="61" t="s">
        <v>181</v>
      </c>
      <c r="G6" s="59"/>
      <c r="H6" s="61" t="s">
        <v>4927</v>
      </c>
      <c r="I6" s="61" t="s">
        <v>4928</v>
      </c>
      <c r="J6" s="61" t="s">
        <v>4899</v>
      </c>
      <c r="K6" s="61">
        <v>4</v>
      </c>
      <c r="L6" s="59"/>
      <c r="M6" s="59"/>
      <c r="N6" s="59"/>
      <c r="O6" s="59"/>
      <c r="P6" s="59"/>
      <c r="Q6" s="59"/>
      <c r="R6" s="59"/>
      <c r="S6" s="59"/>
      <c r="T6" s="61">
        <v>5</v>
      </c>
      <c r="U6" s="61" t="s">
        <v>4929</v>
      </c>
      <c r="V6" s="61" t="s">
        <v>4735</v>
      </c>
      <c r="W6" s="60" t="s">
        <v>3481</v>
      </c>
      <c r="X6" s="61" t="s">
        <v>4930</v>
      </c>
      <c r="Y6" s="61" t="s">
        <v>4931</v>
      </c>
      <c r="Z6" s="61" t="s">
        <v>4932</v>
      </c>
      <c r="AA6" s="61" t="s">
        <v>4933</v>
      </c>
      <c r="AB6" s="61" t="s">
        <v>4904</v>
      </c>
      <c r="AC6" s="59"/>
      <c r="AD6" s="59"/>
      <c r="AE6" s="59"/>
      <c r="AF6" s="59"/>
      <c r="AG6" s="59"/>
      <c r="AH6" s="59"/>
      <c r="AI6" s="59"/>
    </row>
    <row r="7" spans="1:35" ht="14" customHeight="1" x14ac:dyDescent="0.2">
      <c r="A7" s="61" t="s">
        <v>3528</v>
      </c>
      <c r="B7" s="61" t="s">
        <v>3529</v>
      </c>
      <c r="C7" s="61" t="s">
        <v>4896</v>
      </c>
      <c r="D7" s="59"/>
      <c r="E7" s="61" t="s">
        <v>26</v>
      </c>
      <c r="F7" s="61" t="s">
        <v>181</v>
      </c>
      <c r="G7" s="59"/>
      <c r="H7" s="61" t="s">
        <v>4934</v>
      </c>
      <c r="I7" s="61" t="s">
        <v>4935</v>
      </c>
      <c r="J7" s="61" t="s">
        <v>4899</v>
      </c>
      <c r="K7" s="61">
        <v>2.5</v>
      </c>
      <c r="L7" s="59"/>
      <c r="M7" s="59"/>
      <c r="N7" s="59"/>
      <c r="O7" s="59"/>
      <c r="P7" s="59"/>
      <c r="Q7" s="59"/>
      <c r="R7" s="59"/>
      <c r="S7" s="59"/>
      <c r="T7" s="61">
        <v>6</v>
      </c>
      <c r="U7" s="61" t="s">
        <v>3335</v>
      </c>
      <c r="V7" s="61" t="s">
        <v>3334</v>
      </c>
      <c r="W7" s="60" t="s">
        <v>3477</v>
      </c>
      <c r="X7" s="61" t="s">
        <v>4936</v>
      </c>
      <c r="Y7" s="61" t="s">
        <v>4937</v>
      </c>
      <c r="Z7" s="61" t="s">
        <v>3566</v>
      </c>
      <c r="AA7" s="61" t="s">
        <v>4938</v>
      </c>
      <c r="AB7" s="61" t="s">
        <v>4904</v>
      </c>
      <c r="AC7" s="59"/>
      <c r="AD7" s="59"/>
      <c r="AE7" s="59"/>
      <c r="AF7" s="59"/>
      <c r="AG7" s="59"/>
      <c r="AH7" s="59"/>
      <c r="AI7" s="59"/>
    </row>
    <row r="8" spans="1:35" ht="14" customHeight="1" x14ac:dyDescent="0.2">
      <c r="A8" s="61" t="s">
        <v>3786</v>
      </c>
      <c r="B8" s="61" t="s">
        <v>3787</v>
      </c>
      <c r="C8" s="61" t="s">
        <v>4896</v>
      </c>
      <c r="D8" s="59"/>
      <c r="E8" s="61" t="s">
        <v>26</v>
      </c>
      <c r="F8" s="61" t="s">
        <v>181</v>
      </c>
      <c r="G8" s="59"/>
      <c r="H8" s="59"/>
      <c r="I8" s="61" t="s">
        <v>4939</v>
      </c>
      <c r="J8" s="61" t="s">
        <v>4940</v>
      </c>
      <c r="K8" s="61">
        <v>1</v>
      </c>
      <c r="L8" s="59"/>
      <c r="M8" s="59"/>
      <c r="N8" s="59"/>
      <c r="O8" s="59"/>
      <c r="P8" s="59"/>
      <c r="Q8" s="59"/>
      <c r="R8" s="59"/>
      <c r="S8" s="59"/>
      <c r="T8" s="61">
        <v>7</v>
      </c>
      <c r="U8" s="61" t="s">
        <v>4437</v>
      </c>
      <c r="V8" s="61" t="s">
        <v>4436</v>
      </c>
      <c r="W8" s="60" t="s">
        <v>3477</v>
      </c>
      <c r="X8" s="61" t="s">
        <v>4941</v>
      </c>
      <c r="Y8" s="61" t="s">
        <v>4942</v>
      </c>
      <c r="Z8" s="61" t="s">
        <v>4943</v>
      </c>
      <c r="AA8" s="61" t="s">
        <v>4944</v>
      </c>
      <c r="AB8" s="61" t="s">
        <v>4904</v>
      </c>
      <c r="AC8" s="59"/>
      <c r="AD8" s="59"/>
      <c r="AE8" s="59"/>
      <c r="AF8" s="59"/>
      <c r="AG8" s="59"/>
      <c r="AH8" s="59"/>
      <c r="AI8" s="59"/>
    </row>
    <row r="9" spans="1:35" ht="14" customHeight="1" x14ac:dyDescent="0.2">
      <c r="A9" s="61" t="s">
        <v>3672</v>
      </c>
      <c r="B9" s="61" t="s">
        <v>3673</v>
      </c>
      <c r="C9" s="61" t="s">
        <v>4896</v>
      </c>
      <c r="D9" s="59"/>
      <c r="E9" s="61" t="s">
        <v>26</v>
      </c>
      <c r="F9" s="61" t="s">
        <v>181</v>
      </c>
      <c r="G9" s="59"/>
      <c r="H9" s="59"/>
      <c r="I9" s="61" t="s">
        <v>4945</v>
      </c>
      <c r="J9" s="61" t="s">
        <v>4940</v>
      </c>
      <c r="K9" s="61">
        <v>1</v>
      </c>
      <c r="L9" s="59"/>
      <c r="M9" s="59"/>
      <c r="N9" s="59"/>
      <c r="O9" s="59"/>
      <c r="P9" s="59"/>
      <c r="Q9" s="59"/>
      <c r="R9" s="59"/>
      <c r="S9" s="59"/>
      <c r="T9" s="61">
        <v>8</v>
      </c>
      <c r="U9" s="61" t="s">
        <v>4946</v>
      </c>
      <c r="V9" s="61" t="s">
        <v>4735</v>
      </c>
      <c r="W9" s="60" t="s">
        <v>3477</v>
      </c>
      <c r="X9" s="61" t="s">
        <v>4947</v>
      </c>
      <c r="Y9" s="61" t="s">
        <v>4948</v>
      </c>
      <c r="Z9" s="61" t="s">
        <v>4949</v>
      </c>
      <c r="AA9" s="61" t="s">
        <v>4950</v>
      </c>
      <c r="AB9" s="61" t="s">
        <v>4904</v>
      </c>
      <c r="AC9" s="59"/>
      <c r="AD9" s="59"/>
      <c r="AE9" s="59"/>
      <c r="AF9" s="59"/>
      <c r="AG9" s="59"/>
      <c r="AH9" s="59"/>
      <c r="AI9" s="59"/>
    </row>
    <row r="10" spans="1:35" ht="14" customHeight="1" x14ac:dyDescent="0.2">
      <c r="A10" s="61" t="s">
        <v>3847</v>
      </c>
      <c r="B10" s="61" t="s">
        <v>3848</v>
      </c>
      <c r="C10" s="61" t="s">
        <v>4896</v>
      </c>
      <c r="D10" s="59"/>
      <c r="E10" s="61" t="s">
        <v>26</v>
      </c>
      <c r="F10" s="61" t="s">
        <v>181</v>
      </c>
      <c r="G10" s="59"/>
      <c r="H10" s="59"/>
      <c r="I10" s="61" t="s">
        <v>4951</v>
      </c>
      <c r="J10" s="61" t="s">
        <v>4940</v>
      </c>
      <c r="K10" s="61">
        <v>1</v>
      </c>
      <c r="L10" s="59"/>
      <c r="M10" s="59"/>
      <c r="N10" s="59"/>
      <c r="O10" s="59"/>
      <c r="P10" s="59"/>
      <c r="Q10" s="59"/>
      <c r="R10" s="59"/>
      <c r="S10" s="59"/>
      <c r="T10" s="61">
        <v>9</v>
      </c>
      <c r="U10" s="61" t="s">
        <v>4952</v>
      </c>
      <c r="V10" s="61" t="s">
        <v>211</v>
      </c>
      <c r="W10" s="60" t="s">
        <v>3481</v>
      </c>
      <c r="X10" s="61" t="s">
        <v>4953</v>
      </c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</row>
    <row r="11" spans="1:35" ht="14" customHeight="1" x14ac:dyDescent="0.2">
      <c r="A11" s="61" t="s">
        <v>4954</v>
      </c>
      <c r="B11" s="61" t="s">
        <v>4955</v>
      </c>
      <c r="C11" s="61" t="s">
        <v>4896</v>
      </c>
      <c r="D11" s="59"/>
      <c r="E11" s="61" t="s">
        <v>26</v>
      </c>
      <c r="F11" s="61" t="s">
        <v>181</v>
      </c>
      <c r="G11" s="59"/>
      <c r="H11" s="61" t="s">
        <v>4956</v>
      </c>
      <c r="I11" s="61" t="s">
        <v>4957</v>
      </c>
      <c r="J11" s="61" t="s">
        <v>4958</v>
      </c>
      <c r="K11" s="61">
        <v>2.25</v>
      </c>
      <c r="L11" s="59"/>
      <c r="M11" s="59"/>
      <c r="N11" s="59"/>
      <c r="O11" s="59"/>
      <c r="P11" s="59"/>
      <c r="Q11" s="59"/>
      <c r="R11" s="59"/>
      <c r="S11" s="59"/>
      <c r="T11" s="61">
        <v>10</v>
      </c>
      <c r="U11" s="61" t="s">
        <v>4959</v>
      </c>
      <c r="V11" s="61" t="s">
        <v>211</v>
      </c>
      <c r="W11" s="60" t="s">
        <v>3477</v>
      </c>
      <c r="X11" s="61" t="s">
        <v>4960</v>
      </c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</row>
    <row r="12" spans="1:35" ht="14" customHeight="1" x14ac:dyDescent="0.2">
      <c r="A12" s="61" t="s">
        <v>4961</v>
      </c>
      <c r="B12" s="61" t="s">
        <v>4962</v>
      </c>
      <c r="C12" s="61" t="s">
        <v>4896</v>
      </c>
      <c r="D12" s="59"/>
      <c r="E12" s="61" t="s">
        <v>26</v>
      </c>
      <c r="F12" s="61" t="s">
        <v>181</v>
      </c>
      <c r="G12" s="59"/>
      <c r="H12" s="61" t="s">
        <v>4963</v>
      </c>
      <c r="I12" s="61" t="s">
        <v>4964</v>
      </c>
      <c r="J12" s="61" t="s">
        <v>4958</v>
      </c>
      <c r="K12" s="61">
        <v>2</v>
      </c>
      <c r="L12" s="59"/>
      <c r="M12" s="59"/>
      <c r="N12" s="59"/>
      <c r="O12" s="59"/>
      <c r="P12" s="59"/>
      <c r="Q12" s="59"/>
      <c r="R12" s="59"/>
      <c r="S12" s="59"/>
      <c r="T12" s="61">
        <v>11</v>
      </c>
      <c r="U12" s="61" t="s">
        <v>3564</v>
      </c>
      <c r="V12" s="61" t="s">
        <v>213</v>
      </c>
      <c r="W12" s="60" t="s">
        <v>3477</v>
      </c>
      <c r="X12" s="61" t="s">
        <v>4965</v>
      </c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</row>
    <row r="13" spans="1:35" ht="14" customHeight="1" x14ac:dyDescent="0.2">
      <c r="A13" s="61" t="s">
        <v>4966</v>
      </c>
      <c r="B13" s="61" t="s">
        <v>4967</v>
      </c>
      <c r="C13" s="61" t="s">
        <v>4896</v>
      </c>
      <c r="D13" s="59"/>
      <c r="E13" s="61" t="s">
        <v>26</v>
      </c>
      <c r="F13" s="61" t="s">
        <v>181</v>
      </c>
      <c r="G13" s="59"/>
      <c r="H13" s="61" t="s">
        <v>4968</v>
      </c>
      <c r="I13" s="61" t="s">
        <v>4969</v>
      </c>
      <c r="J13" s="61" t="s">
        <v>4958</v>
      </c>
      <c r="K13" s="61">
        <v>2</v>
      </c>
      <c r="L13" s="59"/>
      <c r="M13" s="59"/>
      <c r="N13" s="59"/>
      <c r="O13" s="59"/>
      <c r="P13" s="59"/>
      <c r="Q13" s="59"/>
      <c r="R13" s="59"/>
      <c r="S13" s="59"/>
      <c r="T13" s="61">
        <v>12</v>
      </c>
      <c r="U13" s="61" t="s">
        <v>4970</v>
      </c>
      <c r="V13" s="61" t="s">
        <v>211</v>
      </c>
      <c r="W13" s="60" t="s">
        <v>3477</v>
      </c>
      <c r="X13" s="61" t="s">
        <v>4971</v>
      </c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</row>
    <row r="14" spans="1:35" ht="14" customHeight="1" x14ac:dyDescent="0.2">
      <c r="A14" s="61" t="s">
        <v>4972</v>
      </c>
      <c r="B14" s="61" t="s">
        <v>4973</v>
      </c>
      <c r="C14" s="61" t="s">
        <v>4896</v>
      </c>
      <c r="D14" s="59"/>
      <c r="E14" s="61" t="s">
        <v>26</v>
      </c>
      <c r="F14" s="61" t="s">
        <v>181</v>
      </c>
      <c r="G14" s="59"/>
      <c r="H14" s="59"/>
      <c r="I14" s="61" t="s">
        <v>4974</v>
      </c>
      <c r="J14" s="61" t="s">
        <v>557</v>
      </c>
      <c r="K14" s="61">
        <v>0.2</v>
      </c>
      <c r="L14" s="59"/>
      <c r="M14" s="59"/>
      <c r="N14" s="59"/>
      <c r="O14" s="59"/>
      <c r="P14" s="59"/>
      <c r="Q14" s="59"/>
      <c r="R14" s="59"/>
      <c r="S14" s="59"/>
      <c r="T14" s="61">
        <v>13</v>
      </c>
      <c r="U14" s="61" t="s">
        <v>4975</v>
      </c>
      <c r="V14" s="61" t="s">
        <v>211</v>
      </c>
      <c r="W14" s="60" t="s">
        <v>3477</v>
      </c>
      <c r="X14" s="61" t="s">
        <v>4976</v>
      </c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</row>
    <row r="15" spans="1:35" ht="14" customHeight="1" x14ac:dyDescent="0.2">
      <c r="A15" s="61" t="s">
        <v>3394</v>
      </c>
      <c r="B15" s="61" t="s">
        <v>3395</v>
      </c>
      <c r="C15" s="61" t="s">
        <v>4896</v>
      </c>
      <c r="D15" s="59"/>
      <c r="E15" s="61" t="s">
        <v>26</v>
      </c>
      <c r="F15" s="61" t="s">
        <v>181</v>
      </c>
      <c r="G15" s="59"/>
      <c r="H15" s="61" t="s">
        <v>4977</v>
      </c>
      <c r="I15" s="61" t="s">
        <v>4978</v>
      </c>
      <c r="J15" s="61" t="s">
        <v>1794</v>
      </c>
      <c r="K15" s="61">
        <v>4</v>
      </c>
      <c r="L15" s="59"/>
      <c r="M15" s="59"/>
      <c r="N15" s="59"/>
      <c r="O15" s="59"/>
      <c r="P15" s="59"/>
      <c r="Q15" s="59"/>
      <c r="R15" s="59"/>
      <c r="S15" s="59"/>
      <c r="T15" s="61">
        <v>14</v>
      </c>
      <c r="U15" s="61" t="s">
        <v>4979</v>
      </c>
      <c r="V15" s="61" t="s">
        <v>211</v>
      </c>
      <c r="W15" s="60" t="s">
        <v>3477</v>
      </c>
      <c r="X15" s="61" t="s">
        <v>4980</v>
      </c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</row>
    <row r="16" spans="1:35" ht="14" customHeight="1" x14ac:dyDescent="0.2">
      <c r="A16" s="61" t="s">
        <v>4981</v>
      </c>
      <c r="B16" s="61" t="s">
        <v>4982</v>
      </c>
      <c r="C16" s="61" t="s">
        <v>4896</v>
      </c>
      <c r="D16" s="59"/>
      <c r="E16" s="61" t="s">
        <v>26</v>
      </c>
      <c r="F16" s="61" t="s">
        <v>181</v>
      </c>
      <c r="G16" s="59"/>
      <c r="H16" s="61" t="s">
        <v>4983</v>
      </c>
      <c r="I16" s="61" t="s">
        <v>4984</v>
      </c>
      <c r="J16" s="61" t="s">
        <v>4985</v>
      </c>
      <c r="K16" s="61">
        <v>0.5</v>
      </c>
      <c r="L16" s="59"/>
      <c r="M16" s="59"/>
      <c r="N16" s="59"/>
      <c r="O16" s="59"/>
      <c r="P16" s="59"/>
      <c r="Q16" s="59"/>
      <c r="R16" s="59"/>
      <c r="S16" s="59"/>
      <c r="T16" s="61">
        <v>15</v>
      </c>
      <c r="U16" s="61" t="s">
        <v>4986</v>
      </c>
      <c r="V16" s="61" t="s">
        <v>211</v>
      </c>
      <c r="W16" s="60" t="s">
        <v>3477</v>
      </c>
      <c r="X16" s="61" t="s">
        <v>4987</v>
      </c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</row>
    <row r="17" spans="1:35" ht="14" customHeight="1" x14ac:dyDescent="0.2">
      <c r="A17" s="61" t="s">
        <v>3691</v>
      </c>
      <c r="B17" s="61" t="s">
        <v>3692</v>
      </c>
      <c r="C17" s="61" t="s">
        <v>4896</v>
      </c>
      <c r="D17" s="59"/>
      <c r="E17" s="61" t="s">
        <v>26</v>
      </c>
      <c r="F17" s="61" t="s">
        <v>181</v>
      </c>
      <c r="G17" s="59"/>
      <c r="H17" s="61" t="s">
        <v>4988</v>
      </c>
      <c r="I17" s="61" t="s">
        <v>4989</v>
      </c>
      <c r="J17" s="61" t="s">
        <v>4985</v>
      </c>
      <c r="K17" s="61">
        <v>1</v>
      </c>
      <c r="L17" s="59"/>
      <c r="M17" s="59"/>
      <c r="N17" s="59"/>
      <c r="O17" s="59"/>
      <c r="P17" s="59"/>
      <c r="Q17" s="59"/>
      <c r="R17" s="59"/>
      <c r="S17" s="59"/>
      <c r="T17" s="61">
        <v>16</v>
      </c>
      <c r="U17" s="61" t="s">
        <v>4990</v>
      </c>
      <c r="V17" s="61" t="s">
        <v>211</v>
      </c>
      <c r="W17" s="60" t="s">
        <v>3477</v>
      </c>
      <c r="X17" s="61" t="s">
        <v>4991</v>
      </c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</row>
    <row r="18" spans="1:35" ht="14" customHeight="1" x14ac:dyDescent="0.2">
      <c r="A18" s="61" t="s">
        <v>4992</v>
      </c>
      <c r="B18" s="61" t="s">
        <v>4993</v>
      </c>
      <c r="C18" s="61" t="s">
        <v>4896</v>
      </c>
      <c r="D18" s="59"/>
      <c r="E18" s="61" t="s">
        <v>26</v>
      </c>
      <c r="F18" s="61" t="s">
        <v>181</v>
      </c>
      <c r="G18" s="59"/>
      <c r="H18" s="61" t="s">
        <v>4994</v>
      </c>
      <c r="I18" s="61" t="s">
        <v>4995</v>
      </c>
      <c r="J18" s="61" t="s">
        <v>4867</v>
      </c>
      <c r="K18" s="61">
        <v>4.5</v>
      </c>
      <c r="L18" s="59"/>
      <c r="M18" s="59"/>
      <c r="N18" s="59"/>
      <c r="O18" s="59"/>
      <c r="P18" s="59"/>
      <c r="Q18" s="59"/>
      <c r="R18" s="59"/>
      <c r="S18" s="59"/>
      <c r="T18" s="61">
        <v>17</v>
      </c>
      <c r="U18" s="61" t="s">
        <v>4996</v>
      </c>
      <c r="V18" s="61" t="s">
        <v>211</v>
      </c>
      <c r="W18" s="60" t="s">
        <v>3481</v>
      </c>
      <c r="X18" s="61" t="s">
        <v>4997</v>
      </c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</row>
    <row r="19" spans="1:35" ht="14" customHeight="1" x14ac:dyDescent="0.2">
      <c r="A19" s="61" t="s">
        <v>3567</v>
      </c>
      <c r="B19" s="61" t="s">
        <v>321</v>
      </c>
      <c r="C19" s="61" t="s">
        <v>4896</v>
      </c>
      <c r="D19" s="59"/>
      <c r="E19" s="61" t="s">
        <v>26</v>
      </c>
      <c r="F19" s="61" t="s">
        <v>181</v>
      </c>
      <c r="G19" s="59"/>
      <c r="H19" s="61" t="s">
        <v>4998</v>
      </c>
      <c r="I19" s="61" t="s">
        <v>4999</v>
      </c>
      <c r="J19" s="61" t="s">
        <v>4867</v>
      </c>
      <c r="K19" s="61">
        <v>8.8000000000000007</v>
      </c>
      <c r="L19" s="59"/>
      <c r="M19" s="59"/>
      <c r="N19" s="59"/>
      <c r="O19" s="59"/>
      <c r="P19" s="59"/>
      <c r="Q19" s="59"/>
      <c r="R19" s="59"/>
      <c r="S19" s="59"/>
      <c r="T19" s="61">
        <v>18</v>
      </c>
      <c r="U19" s="61" t="s">
        <v>5000</v>
      </c>
      <c r="V19" s="61" t="s">
        <v>211</v>
      </c>
      <c r="W19" s="60" t="s">
        <v>3481</v>
      </c>
      <c r="X19" s="61" t="s">
        <v>5001</v>
      </c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</row>
    <row r="20" spans="1:35" ht="14" customHeight="1" x14ac:dyDescent="0.2">
      <c r="A20" s="61" t="s">
        <v>5002</v>
      </c>
      <c r="B20" s="61" t="s">
        <v>5003</v>
      </c>
      <c r="C20" s="61" t="s">
        <v>4896</v>
      </c>
      <c r="D20" s="59"/>
      <c r="E20" s="61" t="s">
        <v>26</v>
      </c>
      <c r="F20" s="61" t="s">
        <v>181</v>
      </c>
      <c r="G20" s="59"/>
      <c r="H20" s="61" t="s">
        <v>5004</v>
      </c>
      <c r="I20" s="61" t="s">
        <v>5005</v>
      </c>
      <c r="J20" s="61" t="s">
        <v>4867</v>
      </c>
      <c r="K20" s="61">
        <v>11</v>
      </c>
      <c r="L20" s="59"/>
      <c r="M20" s="59"/>
      <c r="N20" s="59"/>
      <c r="O20" s="59"/>
      <c r="P20" s="59"/>
      <c r="Q20" s="59"/>
      <c r="R20" s="59"/>
      <c r="S20" s="59"/>
      <c r="T20" s="61">
        <v>19</v>
      </c>
      <c r="U20" s="61" t="s">
        <v>3403</v>
      </c>
      <c r="V20" s="61" t="s">
        <v>3334</v>
      </c>
      <c r="W20" s="60" t="s">
        <v>3477</v>
      </c>
      <c r="X20" s="61" t="s">
        <v>5006</v>
      </c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</row>
    <row r="21" spans="1:35" ht="14" customHeight="1" x14ac:dyDescent="0.2">
      <c r="A21" s="61" t="s">
        <v>3576</v>
      </c>
      <c r="B21" s="61" t="s">
        <v>328</v>
      </c>
      <c r="C21" s="61" t="s">
        <v>4896</v>
      </c>
      <c r="D21" s="59"/>
      <c r="E21" s="61" t="s">
        <v>26</v>
      </c>
      <c r="F21" s="61" t="s">
        <v>181</v>
      </c>
      <c r="G21" s="59"/>
      <c r="H21" s="61" t="s">
        <v>5007</v>
      </c>
      <c r="I21" s="61" t="s">
        <v>5008</v>
      </c>
      <c r="J21" s="61" t="s">
        <v>4867</v>
      </c>
      <c r="K21" s="61">
        <v>9</v>
      </c>
      <c r="L21" s="59"/>
      <c r="M21" s="59"/>
      <c r="N21" s="59"/>
      <c r="O21" s="59"/>
      <c r="P21" s="59"/>
      <c r="Q21" s="59"/>
      <c r="R21" s="59"/>
      <c r="S21" s="59"/>
      <c r="T21" s="61">
        <v>20</v>
      </c>
      <c r="U21" s="61" t="s">
        <v>5009</v>
      </c>
      <c r="V21" s="61" t="s">
        <v>211</v>
      </c>
      <c r="W21" s="60" t="s">
        <v>3481</v>
      </c>
      <c r="X21" s="61" t="s">
        <v>5010</v>
      </c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</row>
    <row r="22" spans="1:35" ht="14" customHeight="1" x14ac:dyDescent="0.2">
      <c r="A22" s="61" t="s">
        <v>3569</v>
      </c>
      <c r="B22" s="61" t="s">
        <v>3570</v>
      </c>
      <c r="C22" s="61" t="s">
        <v>4896</v>
      </c>
      <c r="D22" s="59"/>
      <c r="E22" s="61" t="s">
        <v>26</v>
      </c>
      <c r="F22" s="61" t="s">
        <v>181</v>
      </c>
      <c r="G22" s="59"/>
      <c r="H22" s="61" t="s">
        <v>2153</v>
      </c>
      <c r="I22" s="61" t="s">
        <v>5011</v>
      </c>
      <c r="J22" s="61" t="s">
        <v>4870</v>
      </c>
      <c r="K22" s="61">
        <v>1.1000000000000001</v>
      </c>
      <c r="L22" s="59"/>
      <c r="M22" s="59"/>
      <c r="N22" s="59"/>
      <c r="O22" s="59"/>
      <c r="P22" s="59"/>
      <c r="Q22" s="59"/>
      <c r="R22" s="59"/>
      <c r="S22" s="59"/>
      <c r="T22" s="61">
        <v>21</v>
      </c>
      <c r="U22" s="61" t="s">
        <v>4474</v>
      </c>
      <c r="V22" s="61" t="s">
        <v>211</v>
      </c>
      <c r="W22" s="60" t="s">
        <v>3481</v>
      </c>
      <c r="X22" s="61" t="s">
        <v>5012</v>
      </c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</row>
    <row r="23" spans="1:35" ht="14" customHeight="1" x14ac:dyDescent="0.2">
      <c r="A23" s="61" t="s">
        <v>5013</v>
      </c>
      <c r="B23" s="61" t="s">
        <v>5014</v>
      </c>
      <c r="C23" s="61" t="s">
        <v>4896</v>
      </c>
      <c r="D23" s="59"/>
      <c r="E23" s="61" t="s">
        <v>26</v>
      </c>
      <c r="F23" s="61" t="s">
        <v>181</v>
      </c>
      <c r="G23" s="59"/>
      <c r="H23" s="61" t="s">
        <v>5015</v>
      </c>
      <c r="I23" s="61" t="s">
        <v>5016</v>
      </c>
      <c r="J23" s="61" t="s">
        <v>4870</v>
      </c>
      <c r="K23" s="61">
        <v>1</v>
      </c>
      <c r="L23" s="59"/>
      <c r="M23" s="59"/>
      <c r="N23" s="59"/>
      <c r="O23" s="59"/>
      <c r="P23" s="59"/>
      <c r="Q23" s="59"/>
      <c r="R23" s="59"/>
      <c r="S23" s="59"/>
      <c r="T23" s="61">
        <v>22</v>
      </c>
      <c r="U23" s="61" t="s">
        <v>5017</v>
      </c>
      <c r="V23" s="61" t="s">
        <v>211</v>
      </c>
      <c r="W23" s="60" t="s">
        <v>3477</v>
      </c>
      <c r="X23" s="61" t="s">
        <v>5018</v>
      </c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</row>
    <row r="24" spans="1:35" ht="14" customHeight="1" x14ac:dyDescent="0.2">
      <c r="A24" s="61" t="s">
        <v>5019</v>
      </c>
      <c r="B24" s="61" t="s">
        <v>5020</v>
      </c>
      <c r="C24" s="61" t="s">
        <v>4896</v>
      </c>
      <c r="D24" s="59"/>
      <c r="E24" s="61" t="s">
        <v>26</v>
      </c>
      <c r="F24" s="61" t="s">
        <v>181</v>
      </c>
      <c r="G24" s="59"/>
      <c r="H24" s="61" t="s">
        <v>5021</v>
      </c>
      <c r="I24" s="61" t="s">
        <v>5022</v>
      </c>
      <c r="J24" s="61" t="s">
        <v>4870</v>
      </c>
      <c r="K24" s="61">
        <v>1</v>
      </c>
      <c r="L24" s="59"/>
      <c r="M24" s="59"/>
      <c r="N24" s="59"/>
      <c r="O24" s="59"/>
      <c r="P24" s="59"/>
      <c r="Q24" s="59"/>
      <c r="R24" s="59"/>
      <c r="S24" s="59"/>
      <c r="T24" s="61">
        <v>23</v>
      </c>
      <c r="U24" s="61" t="s">
        <v>5023</v>
      </c>
      <c r="V24" s="61" t="s">
        <v>211</v>
      </c>
      <c r="W24" s="60" t="s">
        <v>3481</v>
      </c>
      <c r="X24" s="61" t="s">
        <v>5024</v>
      </c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</row>
    <row r="25" spans="1:35" ht="14" customHeight="1" x14ac:dyDescent="0.2">
      <c r="A25" s="61" t="s">
        <v>3601</v>
      </c>
      <c r="B25" s="61" t="s">
        <v>327</v>
      </c>
      <c r="C25" s="61" t="s">
        <v>4896</v>
      </c>
      <c r="D25" s="59"/>
      <c r="E25" s="61" t="s">
        <v>26</v>
      </c>
      <c r="F25" s="61" t="s">
        <v>181</v>
      </c>
      <c r="G25" s="59"/>
      <c r="H25" s="61" t="s">
        <v>5025</v>
      </c>
      <c r="I25" s="61" t="s">
        <v>5026</v>
      </c>
      <c r="J25" s="61" t="s">
        <v>4870</v>
      </c>
      <c r="K25" s="61">
        <v>0.8</v>
      </c>
      <c r="L25" s="59"/>
      <c r="M25" s="59"/>
      <c r="N25" s="59"/>
      <c r="O25" s="59"/>
      <c r="P25" s="59"/>
      <c r="Q25" s="59"/>
      <c r="R25" s="59"/>
      <c r="S25" s="59"/>
      <c r="T25" s="61">
        <v>24</v>
      </c>
      <c r="U25" s="61" t="s">
        <v>5027</v>
      </c>
      <c r="V25" s="61" t="s">
        <v>211</v>
      </c>
      <c r="W25" s="60" t="s">
        <v>3481</v>
      </c>
      <c r="X25" s="61" t="s">
        <v>5028</v>
      </c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</row>
    <row r="26" spans="1:35" ht="14" customHeight="1" x14ac:dyDescent="0.2">
      <c r="A26" s="61" t="s">
        <v>4671</v>
      </c>
      <c r="B26" s="61" t="s">
        <v>180</v>
      </c>
      <c r="C26" s="61" t="s">
        <v>4896</v>
      </c>
      <c r="D26" s="59"/>
      <c r="E26" s="61" t="s">
        <v>26</v>
      </c>
      <c r="F26" s="61" t="s">
        <v>181</v>
      </c>
      <c r="G26" s="59"/>
      <c r="H26" s="61" t="s">
        <v>5029</v>
      </c>
      <c r="I26" s="61" t="s">
        <v>5030</v>
      </c>
      <c r="J26" s="61" t="s">
        <v>4870</v>
      </c>
      <c r="K26" s="61">
        <v>0.8</v>
      </c>
      <c r="L26" s="59"/>
      <c r="M26" s="59"/>
      <c r="N26" s="59"/>
      <c r="O26" s="59"/>
      <c r="P26" s="59"/>
      <c r="Q26" s="59"/>
      <c r="R26" s="59"/>
      <c r="S26" s="59"/>
      <c r="T26" s="61">
        <v>25</v>
      </c>
      <c r="U26" s="61" t="s">
        <v>3413</v>
      </c>
      <c r="V26" s="61" t="s">
        <v>211</v>
      </c>
      <c r="W26" s="60" t="s">
        <v>3481</v>
      </c>
      <c r="X26" s="61" t="s">
        <v>5031</v>
      </c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</row>
    <row r="27" spans="1:35" ht="14" customHeight="1" x14ac:dyDescent="0.2">
      <c r="A27" s="61" t="s">
        <v>4413</v>
      </c>
      <c r="B27" s="61" t="s">
        <v>4414</v>
      </c>
      <c r="C27" s="61" t="s">
        <v>4896</v>
      </c>
      <c r="D27" s="59"/>
      <c r="E27" s="61" t="s">
        <v>26</v>
      </c>
      <c r="F27" s="61" t="s">
        <v>181</v>
      </c>
      <c r="G27" s="59"/>
      <c r="H27" s="61" t="s">
        <v>5032</v>
      </c>
      <c r="I27" s="61" t="s">
        <v>5033</v>
      </c>
      <c r="J27" s="61" t="s">
        <v>4870</v>
      </c>
      <c r="K27" s="61">
        <v>1</v>
      </c>
      <c r="L27" s="59"/>
      <c r="M27" s="59"/>
      <c r="N27" s="59"/>
      <c r="O27" s="59"/>
      <c r="P27" s="59"/>
      <c r="Q27" s="59"/>
      <c r="R27" s="59"/>
      <c r="S27" s="59"/>
      <c r="T27" s="61">
        <v>26</v>
      </c>
      <c r="U27" s="61" t="s">
        <v>3421</v>
      </c>
      <c r="V27" s="61" t="s">
        <v>211</v>
      </c>
      <c r="W27" s="60" t="s">
        <v>3481</v>
      </c>
      <c r="X27" s="61" t="s">
        <v>5034</v>
      </c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</row>
    <row r="28" spans="1:35" ht="14" customHeight="1" x14ac:dyDescent="0.2">
      <c r="A28" s="62" t="s">
        <v>5035</v>
      </c>
      <c r="B28" s="60" t="s">
        <v>5036</v>
      </c>
      <c r="C28" s="61" t="s">
        <v>4896</v>
      </c>
      <c r="D28" s="59"/>
      <c r="E28" s="61" t="s">
        <v>26</v>
      </c>
      <c r="F28" s="61" t="s">
        <v>181</v>
      </c>
      <c r="G28" s="59"/>
      <c r="H28" s="61" t="s">
        <v>5037</v>
      </c>
      <c r="I28" s="61" t="s">
        <v>5038</v>
      </c>
      <c r="J28" s="61" t="s">
        <v>4870</v>
      </c>
      <c r="K28" s="61">
        <v>1</v>
      </c>
      <c r="L28" s="59"/>
      <c r="M28" s="59"/>
      <c r="N28" s="59"/>
      <c r="O28" s="59"/>
      <c r="P28" s="59"/>
      <c r="Q28" s="59"/>
      <c r="R28" s="59"/>
      <c r="S28" s="59"/>
      <c r="T28" s="61">
        <v>27</v>
      </c>
      <c r="U28" s="61" t="s">
        <v>5039</v>
      </c>
      <c r="V28" s="61" t="s">
        <v>211</v>
      </c>
      <c r="W28" s="60" t="s">
        <v>3481</v>
      </c>
      <c r="X28" s="61" t="s">
        <v>5040</v>
      </c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</row>
    <row r="29" spans="1:35" ht="14" customHeight="1" x14ac:dyDescent="0.2">
      <c r="A29" s="61" t="s">
        <v>5041</v>
      </c>
      <c r="B29" s="61" t="s">
        <v>377</v>
      </c>
      <c r="C29" s="61" t="s">
        <v>4896</v>
      </c>
      <c r="D29" s="59"/>
      <c r="E29" s="61" t="s">
        <v>26</v>
      </c>
      <c r="F29" s="61" t="s">
        <v>181</v>
      </c>
      <c r="G29" s="59"/>
      <c r="H29" s="61" t="s">
        <v>5042</v>
      </c>
      <c r="I29" s="61" t="s">
        <v>5043</v>
      </c>
      <c r="J29" s="61" t="s">
        <v>4870</v>
      </c>
      <c r="K29" s="61">
        <v>1</v>
      </c>
      <c r="L29" s="59"/>
      <c r="M29" s="59"/>
      <c r="N29" s="59"/>
      <c r="O29" s="59"/>
      <c r="P29" s="59"/>
      <c r="Q29" s="59"/>
      <c r="R29" s="59"/>
      <c r="S29" s="59"/>
      <c r="T29" s="61">
        <v>28</v>
      </c>
      <c r="U29" s="58" t="s">
        <v>5044</v>
      </c>
      <c r="V29" s="61" t="s">
        <v>211</v>
      </c>
      <c r="W29" s="60" t="s">
        <v>3477</v>
      </c>
      <c r="X29" s="61" t="s">
        <v>5045</v>
      </c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</row>
    <row r="30" spans="1:35" ht="14" customHeight="1" x14ac:dyDescent="0.2">
      <c r="A30" s="61" t="s">
        <v>5046</v>
      </c>
      <c r="B30" s="61" t="s">
        <v>5047</v>
      </c>
      <c r="C30" s="61" t="s">
        <v>4896</v>
      </c>
      <c r="D30" s="59"/>
      <c r="E30" s="61" t="s">
        <v>26</v>
      </c>
      <c r="F30" s="61" t="s">
        <v>181</v>
      </c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61">
        <v>29</v>
      </c>
      <c r="U30" s="61" t="s">
        <v>5048</v>
      </c>
      <c r="V30" s="61" t="s">
        <v>211</v>
      </c>
      <c r="W30" s="60" t="s">
        <v>3481</v>
      </c>
      <c r="X30" s="61" t="s">
        <v>5049</v>
      </c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</row>
    <row r="31" spans="1:35" ht="14" customHeight="1" x14ac:dyDescent="0.2">
      <c r="A31" s="61" t="s">
        <v>5050</v>
      </c>
      <c r="B31" s="61" t="s">
        <v>5051</v>
      </c>
      <c r="C31" s="61" t="s">
        <v>4896</v>
      </c>
      <c r="D31" s="59"/>
      <c r="E31" s="61" t="s">
        <v>26</v>
      </c>
      <c r="F31" s="61" t="s">
        <v>181</v>
      </c>
      <c r="G31" s="59"/>
      <c r="H31" s="61" t="s">
        <v>5052</v>
      </c>
      <c r="I31" s="61" t="s">
        <v>5053</v>
      </c>
      <c r="J31" s="61" t="s">
        <v>5054</v>
      </c>
      <c r="K31" s="61" t="s">
        <v>5055</v>
      </c>
      <c r="L31" s="59"/>
      <c r="M31" s="59"/>
      <c r="N31" s="59"/>
      <c r="O31" s="59"/>
      <c r="P31" s="59"/>
      <c r="Q31" s="59"/>
      <c r="R31" s="59"/>
      <c r="S31" s="59"/>
      <c r="T31" s="61">
        <v>30</v>
      </c>
      <c r="U31" s="61" t="s">
        <v>5056</v>
      </c>
      <c r="V31" s="61" t="s">
        <v>211</v>
      </c>
      <c r="W31" s="60" t="s">
        <v>3481</v>
      </c>
      <c r="X31" s="61" t="s">
        <v>5057</v>
      </c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</row>
    <row r="32" spans="1:35" ht="14" customHeight="1" x14ac:dyDescent="0.2">
      <c r="A32" s="61" t="s">
        <v>4268</v>
      </c>
      <c r="B32" s="61" t="s">
        <v>4269</v>
      </c>
      <c r="C32" s="61" t="s">
        <v>4896</v>
      </c>
      <c r="D32" s="59"/>
      <c r="E32" s="61" t="s">
        <v>26</v>
      </c>
      <c r="F32" s="61" t="s">
        <v>181</v>
      </c>
      <c r="G32" s="59"/>
      <c r="H32" s="61" t="s">
        <v>5058</v>
      </c>
      <c r="I32" s="61" t="s">
        <v>5059</v>
      </c>
      <c r="J32" s="61" t="s">
        <v>4870</v>
      </c>
      <c r="K32" s="61">
        <v>0.5</v>
      </c>
      <c r="L32" s="59"/>
      <c r="M32" s="59"/>
      <c r="N32" s="59"/>
      <c r="O32" s="59"/>
      <c r="P32" s="59"/>
      <c r="Q32" s="59"/>
      <c r="R32" s="59"/>
      <c r="S32" s="59"/>
      <c r="T32" s="61">
        <v>31</v>
      </c>
      <c r="U32" s="61" t="s">
        <v>5060</v>
      </c>
      <c r="V32" s="61" t="s">
        <v>211</v>
      </c>
      <c r="W32" s="60" t="s">
        <v>3481</v>
      </c>
      <c r="X32" s="61" t="s">
        <v>5061</v>
      </c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</row>
    <row r="33" spans="1:35" ht="14" customHeight="1" x14ac:dyDescent="0.2">
      <c r="A33" s="61" t="s">
        <v>5062</v>
      </c>
      <c r="B33" s="61" t="s">
        <v>5063</v>
      </c>
      <c r="C33" s="61" t="s">
        <v>4896</v>
      </c>
      <c r="D33" s="59"/>
      <c r="E33" s="61" t="s">
        <v>26</v>
      </c>
      <c r="F33" s="61" t="s">
        <v>181</v>
      </c>
      <c r="G33" s="59"/>
      <c r="H33" s="61" t="s">
        <v>5064</v>
      </c>
      <c r="I33" s="61" t="s">
        <v>5065</v>
      </c>
      <c r="J33" s="61" t="s">
        <v>4867</v>
      </c>
      <c r="K33" s="61">
        <v>1.75</v>
      </c>
      <c r="L33" s="59"/>
      <c r="M33" s="59"/>
      <c r="N33" s="59"/>
      <c r="O33" s="59"/>
      <c r="P33" s="59"/>
      <c r="Q33" s="59"/>
      <c r="R33" s="59"/>
      <c r="S33" s="59"/>
      <c r="T33" s="61">
        <v>32</v>
      </c>
      <c r="U33" s="61" t="s">
        <v>5066</v>
      </c>
      <c r="V33" s="61" t="s">
        <v>211</v>
      </c>
      <c r="W33" s="60" t="s">
        <v>3481</v>
      </c>
      <c r="X33" s="61" t="s">
        <v>5067</v>
      </c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</row>
    <row r="34" spans="1:35" ht="14" customHeight="1" x14ac:dyDescent="0.2">
      <c r="A34" s="61" t="s">
        <v>5068</v>
      </c>
      <c r="B34" s="61" t="s">
        <v>5069</v>
      </c>
      <c r="C34" s="61" t="s">
        <v>5070</v>
      </c>
      <c r="D34" s="59"/>
      <c r="E34" s="61" t="s">
        <v>26</v>
      </c>
      <c r="F34" s="61" t="s">
        <v>181</v>
      </c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61">
        <v>78</v>
      </c>
      <c r="U34" s="61" t="s">
        <v>3341</v>
      </c>
      <c r="V34" s="61" t="s">
        <v>3334</v>
      </c>
      <c r="W34" s="60" t="s">
        <v>3477</v>
      </c>
      <c r="X34" s="61" t="s">
        <v>5071</v>
      </c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</row>
    <row r="35" spans="1:35" ht="14" customHeight="1" x14ac:dyDescent="0.2">
      <c r="A35" s="61" t="s">
        <v>4811</v>
      </c>
      <c r="B35" s="61" t="s">
        <v>4650</v>
      </c>
      <c r="C35" s="61" t="s">
        <v>5070</v>
      </c>
      <c r="D35" s="59"/>
      <c r="E35" s="61" t="s">
        <v>4812</v>
      </c>
      <c r="F35" s="61" t="s">
        <v>3705</v>
      </c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61">
        <v>33</v>
      </c>
      <c r="U35" s="61" t="s">
        <v>5072</v>
      </c>
      <c r="V35" s="61" t="s">
        <v>211</v>
      </c>
      <c r="W35" s="60" t="s">
        <v>3481</v>
      </c>
      <c r="X35" s="61" t="s">
        <v>5073</v>
      </c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</row>
    <row r="36" spans="1:35" ht="14" customHeight="1" x14ac:dyDescent="0.2">
      <c r="A36" s="61" t="s">
        <v>5074</v>
      </c>
      <c r="B36" s="61" t="s">
        <v>3503</v>
      </c>
      <c r="C36" s="61" t="s">
        <v>5070</v>
      </c>
      <c r="D36" s="59"/>
      <c r="E36" s="61" t="s">
        <v>4812</v>
      </c>
      <c r="F36" s="61" t="s">
        <v>3705</v>
      </c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61">
        <v>33</v>
      </c>
      <c r="U36" s="61" t="s">
        <v>5072</v>
      </c>
      <c r="V36" s="61" t="s">
        <v>211</v>
      </c>
      <c r="W36" s="60" t="s">
        <v>3481</v>
      </c>
      <c r="X36" s="61" t="s">
        <v>5073</v>
      </c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</row>
    <row r="37" spans="1:35" ht="14" customHeight="1" x14ac:dyDescent="0.2">
      <c r="A37" s="61" t="s">
        <v>5075</v>
      </c>
      <c r="B37" s="61" t="s">
        <v>5076</v>
      </c>
      <c r="C37" s="61" t="s">
        <v>5070</v>
      </c>
      <c r="D37" s="59"/>
      <c r="E37" s="61" t="s">
        <v>4812</v>
      </c>
      <c r="F37" s="61" t="s">
        <v>181</v>
      </c>
      <c r="G37" s="59"/>
      <c r="H37" s="61" t="s">
        <v>5077</v>
      </c>
      <c r="I37" s="61" t="s">
        <v>5078</v>
      </c>
      <c r="J37" s="61" t="s">
        <v>4867</v>
      </c>
      <c r="K37" s="61">
        <v>10</v>
      </c>
      <c r="L37" s="59"/>
      <c r="M37" s="59"/>
      <c r="N37" s="59"/>
      <c r="O37" s="59"/>
      <c r="P37" s="59"/>
      <c r="Q37" s="59"/>
      <c r="R37" s="59"/>
      <c r="S37" s="59"/>
      <c r="T37" s="61">
        <v>34</v>
      </c>
      <c r="U37" s="61" t="s">
        <v>4654</v>
      </c>
      <c r="V37" s="61" t="s">
        <v>211</v>
      </c>
      <c r="W37" s="60" t="s">
        <v>3481</v>
      </c>
      <c r="X37" s="61" t="s">
        <v>5079</v>
      </c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</row>
    <row r="38" spans="1:35" ht="14" customHeight="1" x14ac:dyDescent="0.2">
      <c r="A38" s="61" t="s">
        <v>5080</v>
      </c>
      <c r="B38" s="61" t="s">
        <v>5081</v>
      </c>
      <c r="C38" s="61" t="s">
        <v>5070</v>
      </c>
      <c r="D38" s="59"/>
      <c r="E38" s="61" t="s">
        <v>4812</v>
      </c>
      <c r="F38" s="61" t="s">
        <v>181</v>
      </c>
      <c r="G38" s="59"/>
      <c r="H38" s="61" t="s">
        <v>5082</v>
      </c>
      <c r="I38" s="61" t="s">
        <v>4978</v>
      </c>
      <c r="J38" s="61" t="s">
        <v>4899</v>
      </c>
      <c r="K38" s="61">
        <v>4</v>
      </c>
      <c r="L38" s="59"/>
      <c r="M38" s="59"/>
      <c r="N38" s="59"/>
      <c r="O38" s="59"/>
      <c r="P38" s="59"/>
      <c r="Q38" s="59"/>
      <c r="R38" s="59"/>
      <c r="S38" s="59"/>
      <c r="T38" s="61">
        <v>35</v>
      </c>
      <c r="U38" s="61" t="s">
        <v>5083</v>
      </c>
      <c r="V38" s="61" t="s">
        <v>211</v>
      </c>
      <c r="W38" s="60" t="s">
        <v>3481</v>
      </c>
      <c r="X38" s="61" t="s">
        <v>5084</v>
      </c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</row>
    <row r="39" spans="1:35" ht="14" customHeight="1" x14ac:dyDescent="0.2">
      <c r="A39" s="61" t="s">
        <v>5085</v>
      </c>
      <c r="B39" s="61" t="s">
        <v>5086</v>
      </c>
      <c r="C39" s="61" t="s">
        <v>5070</v>
      </c>
      <c r="D39" s="59"/>
      <c r="E39" s="61" t="s">
        <v>4812</v>
      </c>
      <c r="F39" s="61" t="s">
        <v>3705</v>
      </c>
      <c r="G39" s="59"/>
      <c r="H39" s="61" t="s">
        <v>5087</v>
      </c>
      <c r="I39" s="61" t="s">
        <v>5088</v>
      </c>
      <c r="J39" s="61" t="s">
        <v>4867</v>
      </c>
      <c r="K39" s="61">
        <v>9.5500000000000007</v>
      </c>
      <c r="L39" s="59"/>
      <c r="M39" s="59"/>
      <c r="N39" s="59"/>
      <c r="O39" s="59"/>
      <c r="P39" s="59"/>
      <c r="Q39" s="59"/>
      <c r="R39" s="59"/>
      <c r="S39" s="59"/>
      <c r="T39" s="61">
        <v>36</v>
      </c>
      <c r="U39" s="61" t="s">
        <v>5089</v>
      </c>
      <c r="V39" s="61" t="s">
        <v>211</v>
      </c>
      <c r="W39" s="60" t="s">
        <v>3481</v>
      </c>
      <c r="X39" s="61" t="s">
        <v>5090</v>
      </c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</row>
    <row r="40" spans="1:35" ht="14" customHeight="1" x14ac:dyDescent="0.2">
      <c r="A40" s="61" t="s">
        <v>5091</v>
      </c>
      <c r="B40" s="61" t="s">
        <v>5092</v>
      </c>
      <c r="C40" s="61" t="s">
        <v>5070</v>
      </c>
      <c r="D40" s="59"/>
      <c r="E40" s="61" t="s">
        <v>4812</v>
      </c>
      <c r="F40" s="61" t="s">
        <v>181</v>
      </c>
      <c r="G40" s="59"/>
      <c r="H40" s="61" t="s">
        <v>5093</v>
      </c>
      <c r="I40" s="61" t="s">
        <v>5093</v>
      </c>
      <c r="J40" s="61" t="s">
        <v>4435</v>
      </c>
      <c r="K40" s="61">
        <v>10</v>
      </c>
      <c r="L40" s="59"/>
      <c r="M40" s="59"/>
      <c r="N40" s="59"/>
      <c r="O40" s="59"/>
      <c r="P40" s="59"/>
      <c r="Q40" s="59"/>
      <c r="R40" s="59"/>
      <c r="S40" s="59"/>
      <c r="T40" s="61">
        <v>37</v>
      </c>
      <c r="U40" s="61" t="s">
        <v>5094</v>
      </c>
      <c r="V40" s="61" t="s">
        <v>211</v>
      </c>
      <c r="W40" s="60" t="s">
        <v>3481</v>
      </c>
      <c r="X40" s="61" t="s">
        <v>5095</v>
      </c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</row>
    <row r="41" spans="1:35" ht="14" customHeight="1" x14ac:dyDescent="0.2">
      <c r="A41" s="61" t="s">
        <v>3852</v>
      </c>
      <c r="B41" s="61" t="s">
        <v>3467</v>
      </c>
      <c r="C41" s="61" t="s">
        <v>5070</v>
      </c>
      <c r="D41" s="59"/>
      <c r="E41" s="61" t="s">
        <v>3468</v>
      </c>
      <c r="F41" s="61" t="s">
        <v>181</v>
      </c>
      <c r="G41" s="59"/>
      <c r="H41" s="61" t="s">
        <v>5096</v>
      </c>
      <c r="I41" s="61" t="s">
        <v>5097</v>
      </c>
      <c r="J41" s="61" t="s">
        <v>4867</v>
      </c>
      <c r="K41" s="61">
        <v>15</v>
      </c>
      <c r="L41" s="59"/>
      <c r="M41" s="59"/>
      <c r="N41" s="59"/>
      <c r="O41" s="59"/>
      <c r="P41" s="59"/>
      <c r="Q41" s="59"/>
      <c r="R41" s="59"/>
      <c r="S41" s="59"/>
      <c r="T41" s="61">
        <v>38</v>
      </c>
      <c r="U41" s="61" t="s">
        <v>5098</v>
      </c>
      <c r="V41" s="61" t="s">
        <v>211</v>
      </c>
      <c r="W41" s="60" t="s">
        <v>3481</v>
      </c>
      <c r="X41" s="61" t="s">
        <v>5099</v>
      </c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</row>
    <row r="42" spans="1:35" ht="14" customHeight="1" x14ac:dyDescent="0.2">
      <c r="A42" s="61" t="s">
        <v>3495</v>
      </c>
      <c r="B42" s="61" t="s">
        <v>29</v>
      </c>
      <c r="C42" s="61" t="s">
        <v>5070</v>
      </c>
      <c r="D42" s="59"/>
      <c r="E42" s="61" t="s">
        <v>4812</v>
      </c>
      <c r="F42" s="61" t="s">
        <v>181</v>
      </c>
      <c r="G42" s="59"/>
      <c r="H42" s="61" t="s">
        <v>5100</v>
      </c>
      <c r="I42" s="61" t="s">
        <v>5101</v>
      </c>
      <c r="J42" s="61" t="s">
        <v>4867</v>
      </c>
      <c r="K42" s="61">
        <v>10</v>
      </c>
      <c r="L42" s="59"/>
      <c r="M42" s="59"/>
      <c r="N42" s="59"/>
      <c r="O42" s="59"/>
      <c r="P42" s="59"/>
      <c r="Q42" s="59"/>
      <c r="R42" s="59"/>
      <c r="S42" s="59"/>
      <c r="T42" s="61">
        <v>39</v>
      </c>
      <c r="U42" s="61" t="s">
        <v>5102</v>
      </c>
      <c r="V42" s="61" t="s">
        <v>211</v>
      </c>
      <c r="W42" s="60" t="s">
        <v>3481</v>
      </c>
      <c r="X42" s="61" t="s">
        <v>5103</v>
      </c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</row>
    <row r="43" spans="1:35" ht="14" customHeight="1" x14ac:dyDescent="0.2">
      <c r="A43" s="61" t="s">
        <v>5104</v>
      </c>
      <c r="B43" s="61" t="s">
        <v>5105</v>
      </c>
      <c r="C43" s="61" t="s">
        <v>5070</v>
      </c>
      <c r="D43" s="59"/>
      <c r="E43" s="61" t="s">
        <v>4812</v>
      </c>
      <c r="F43" s="61" t="s">
        <v>3705</v>
      </c>
      <c r="G43" s="59"/>
      <c r="H43" s="61" t="s">
        <v>5106</v>
      </c>
      <c r="I43" s="61" t="s">
        <v>5107</v>
      </c>
      <c r="J43" s="61" t="s">
        <v>4873</v>
      </c>
      <c r="K43" s="61">
        <v>0.5</v>
      </c>
      <c r="L43" s="59"/>
      <c r="M43" s="59"/>
      <c r="N43" s="59"/>
      <c r="O43" s="59"/>
      <c r="P43" s="59"/>
      <c r="Q43" s="59"/>
      <c r="R43" s="59"/>
      <c r="S43" s="59"/>
      <c r="T43" s="61">
        <v>40</v>
      </c>
      <c r="U43" s="61" t="s">
        <v>3482</v>
      </c>
      <c r="V43" s="61" t="s">
        <v>211</v>
      </c>
      <c r="W43" s="60" t="s">
        <v>3481</v>
      </c>
      <c r="X43" s="61" t="s">
        <v>5108</v>
      </c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</row>
    <row r="44" spans="1:35" ht="14" customHeight="1" x14ac:dyDescent="0.2">
      <c r="A44" s="61" t="s">
        <v>5109</v>
      </c>
      <c r="B44" s="61" t="s">
        <v>5110</v>
      </c>
      <c r="C44" s="61" t="s">
        <v>5070</v>
      </c>
      <c r="D44" s="59"/>
      <c r="E44" s="61" t="s">
        <v>4812</v>
      </c>
      <c r="F44" s="61" t="s">
        <v>3705</v>
      </c>
      <c r="G44" s="59"/>
      <c r="H44" s="61" t="s">
        <v>5111</v>
      </c>
      <c r="I44" s="61" t="s">
        <v>5112</v>
      </c>
      <c r="J44" s="61" t="s">
        <v>4873</v>
      </c>
      <c r="K44" s="61">
        <v>0.5</v>
      </c>
      <c r="L44" s="59"/>
      <c r="M44" s="59"/>
      <c r="N44" s="59"/>
      <c r="O44" s="59"/>
      <c r="P44" s="59"/>
      <c r="Q44" s="59"/>
      <c r="R44" s="59"/>
      <c r="S44" s="59"/>
      <c r="T44" s="61">
        <v>41</v>
      </c>
      <c r="U44" s="61" t="s">
        <v>5113</v>
      </c>
      <c r="V44" s="61" t="s">
        <v>211</v>
      </c>
      <c r="W44" s="60" t="s">
        <v>3481</v>
      </c>
      <c r="X44" s="61" t="s">
        <v>5114</v>
      </c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</row>
    <row r="45" spans="1:35" ht="14" customHeight="1" x14ac:dyDescent="0.2">
      <c r="A45" s="61" t="s">
        <v>5115</v>
      </c>
      <c r="B45" s="61" t="s">
        <v>5116</v>
      </c>
      <c r="C45" s="61" t="s">
        <v>5070</v>
      </c>
      <c r="D45" s="59"/>
      <c r="E45" s="61" t="s">
        <v>4812</v>
      </c>
      <c r="F45" s="61" t="s">
        <v>3705</v>
      </c>
      <c r="G45" s="59"/>
      <c r="H45" s="61" t="s">
        <v>5117</v>
      </c>
      <c r="I45" s="61" t="s">
        <v>5118</v>
      </c>
      <c r="J45" s="61" t="s">
        <v>4873</v>
      </c>
      <c r="K45" s="61">
        <v>1</v>
      </c>
      <c r="L45" s="59"/>
      <c r="M45" s="59"/>
      <c r="N45" s="59"/>
      <c r="O45" s="59"/>
      <c r="P45" s="59"/>
      <c r="Q45" s="59"/>
      <c r="R45" s="59"/>
      <c r="S45" s="59"/>
      <c r="T45" s="61">
        <v>42</v>
      </c>
      <c r="U45" s="61" t="s">
        <v>5119</v>
      </c>
      <c r="V45" s="61" t="s">
        <v>211</v>
      </c>
      <c r="W45" s="60" t="s">
        <v>3481</v>
      </c>
      <c r="X45" s="61" t="s">
        <v>5120</v>
      </c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</row>
    <row r="46" spans="1:35" ht="14" customHeight="1" x14ac:dyDescent="0.2">
      <c r="A46" s="61" t="s">
        <v>5121</v>
      </c>
      <c r="B46" s="61" t="s">
        <v>5122</v>
      </c>
      <c r="C46" s="61" t="s">
        <v>5070</v>
      </c>
      <c r="D46" s="59"/>
      <c r="E46" s="61" t="s">
        <v>4812</v>
      </c>
      <c r="F46" s="61" t="s">
        <v>3705</v>
      </c>
      <c r="G46" s="59"/>
      <c r="H46" s="61" t="s">
        <v>5123</v>
      </c>
      <c r="I46" s="61" t="s">
        <v>5124</v>
      </c>
      <c r="J46" s="61" t="s">
        <v>5125</v>
      </c>
      <c r="K46" s="61">
        <v>0.5</v>
      </c>
      <c r="L46" s="59"/>
      <c r="M46" s="59"/>
      <c r="N46" s="59"/>
      <c r="O46" s="59"/>
      <c r="P46" s="59"/>
      <c r="Q46" s="59"/>
      <c r="R46" s="59"/>
      <c r="S46" s="59"/>
      <c r="T46" s="61">
        <v>43</v>
      </c>
      <c r="U46" s="61" t="s">
        <v>3407</v>
      </c>
      <c r="V46" s="61" t="s">
        <v>211</v>
      </c>
      <c r="W46" s="60" t="s">
        <v>3481</v>
      </c>
      <c r="X46" s="61" t="s">
        <v>5126</v>
      </c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</row>
    <row r="47" spans="1:35" ht="14" customHeight="1" x14ac:dyDescent="0.2">
      <c r="A47" s="61" t="s">
        <v>5127</v>
      </c>
      <c r="B47" s="61" t="s">
        <v>5128</v>
      </c>
      <c r="C47" s="61" t="s">
        <v>5070</v>
      </c>
      <c r="D47" s="59"/>
      <c r="E47" s="61" t="s">
        <v>4812</v>
      </c>
      <c r="F47" s="61" t="s">
        <v>3705</v>
      </c>
      <c r="G47" s="59"/>
      <c r="H47" s="61" t="s">
        <v>5129</v>
      </c>
      <c r="I47" s="61" t="s">
        <v>5130</v>
      </c>
      <c r="J47" s="61" t="s">
        <v>4873</v>
      </c>
      <c r="K47" s="61">
        <v>0.5</v>
      </c>
      <c r="L47" s="59"/>
      <c r="M47" s="59"/>
      <c r="N47" s="59"/>
      <c r="O47" s="59"/>
      <c r="P47" s="59"/>
      <c r="Q47" s="59"/>
      <c r="R47" s="59"/>
      <c r="S47" s="59"/>
      <c r="T47" s="61">
        <v>44</v>
      </c>
      <c r="U47" s="61" t="s">
        <v>5131</v>
      </c>
      <c r="V47" s="61" t="s">
        <v>211</v>
      </c>
      <c r="W47" s="60" t="s">
        <v>3481</v>
      </c>
      <c r="X47" s="61" t="s">
        <v>5132</v>
      </c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</row>
    <row r="48" spans="1:35" ht="14" customHeight="1" x14ac:dyDescent="0.2">
      <c r="A48" s="61" t="s">
        <v>3595</v>
      </c>
      <c r="B48" s="61" t="s">
        <v>190</v>
      </c>
      <c r="C48" s="61" t="s">
        <v>5070</v>
      </c>
      <c r="D48" s="59"/>
      <c r="E48" s="61" t="s">
        <v>4812</v>
      </c>
      <c r="F48" s="61" t="s">
        <v>181</v>
      </c>
      <c r="G48" s="59"/>
      <c r="H48" s="61" t="s">
        <v>5133</v>
      </c>
      <c r="I48" s="61" t="s">
        <v>5134</v>
      </c>
      <c r="J48" s="61" t="s">
        <v>4873</v>
      </c>
      <c r="K48" s="61">
        <v>0.5</v>
      </c>
      <c r="L48" s="59"/>
      <c r="M48" s="59"/>
      <c r="N48" s="59"/>
      <c r="O48" s="59"/>
      <c r="P48" s="59"/>
      <c r="Q48" s="59"/>
      <c r="R48" s="59"/>
      <c r="S48" s="59"/>
      <c r="T48" s="61">
        <v>45</v>
      </c>
      <c r="U48" s="61" t="s">
        <v>3377</v>
      </c>
      <c r="V48" s="61" t="s">
        <v>211</v>
      </c>
      <c r="W48" s="60" t="s">
        <v>3481</v>
      </c>
      <c r="X48" s="61" t="s">
        <v>5135</v>
      </c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</row>
    <row r="49" spans="1:35" ht="14" customHeight="1" x14ac:dyDescent="0.2">
      <c r="A49" s="61" t="s">
        <v>5136</v>
      </c>
      <c r="B49" s="61" t="s">
        <v>5137</v>
      </c>
      <c r="C49" s="61" t="s">
        <v>5070</v>
      </c>
      <c r="D49" s="59"/>
      <c r="E49" s="61" t="s">
        <v>4812</v>
      </c>
      <c r="F49" s="61" t="s">
        <v>181</v>
      </c>
      <c r="G49" s="59"/>
      <c r="H49" s="61" t="s">
        <v>5138</v>
      </c>
      <c r="I49" s="61" t="s">
        <v>5139</v>
      </c>
      <c r="J49" s="61" t="s">
        <v>5125</v>
      </c>
      <c r="K49" s="61">
        <v>0.5</v>
      </c>
      <c r="L49" s="59"/>
      <c r="M49" s="59"/>
      <c r="N49" s="59"/>
      <c r="O49" s="59"/>
      <c r="P49" s="59"/>
      <c r="Q49" s="59"/>
      <c r="R49" s="59"/>
      <c r="S49" s="59"/>
      <c r="T49" s="61">
        <v>46</v>
      </c>
      <c r="U49" s="61" t="s">
        <v>5140</v>
      </c>
      <c r="V49" s="61" t="s">
        <v>211</v>
      </c>
      <c r="W49" s="60" t="s">
        <v>3481</v>
      </c>
      <c r="X49" s="61" t="s">
        <v>5141</v>
      </c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</row>
    <row r="50" spans="1:35" ht="14" customHeight="1" x14ac:dyDescent="0.2">
      <c r="A50" s="61" t="s">
        <v>5142</v>
      </c>
      <c r="B50" s="61" t="s">
        <v>3922</v>
      </c>
      <c r="C50" s="61" t="s">
        <v>5070</v>
      </c>
      <c r="D50" s="59"/>
      <c r="E50" s="61" t="s">
        <v>4812</v>
      </c>
      <c r="F50" s="61" t="s">
        <v>181</v>
      </c>
      <c r="G50" s="59"/>
      <c r="H50" s="61" t="s">
        <v>5143</v>
      </c>
      <c r="I50" s="61" t="s">
        <v>5144</v>
      </c>
      <c r="J50" s="61" t="s">
        <v>4873</v>
      </c>
      <c r="K50" s="61">
        <v>0.5</v>
      </c>
      <c r="L50" s="59"/>
      <c r="M50" s="59"/>
      <c r="N50" s="59"/>
      <c r="O50" s="59"/>
      <c r="P50" s="59"/>
      <c r="Q50" s="59"/>
      <c r="R50" s="59"/>
      <c r="S50" s="59"/>
      <c r="T50" s="61">
        <v>47</v>
      </c>
      <c r="U50" s="61" t="s">
        <v>5145</v>
      </c>
      <c r="V50" s="61" t="s">
        <v>211</v>
      </c>
      <c r="W50" s="60" t="s">
        <v>3481</v>
      </c>
      <c r="X50" s="61" t="s">
        <v>5146</v>
      </c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</row>
    <row r="51" spans="1:35" ht="14" customHeight="1" x14ac:dyDescent="0.2">
      <c r="A51" s="61" t="s">
        <v>5147</v>
      </c>
      <c r="B51" s="61" t="s">
        <v>5148</v>
      </c>
      <c r="C51" s="61" t="s">
        <v>5070</v>
      </c>
      <c r="D51" s="59"/>
      <c r="E51" s="61" t="s">
        <v>4812</v>
      </c>
      <c r="F51" s="61" t="s">
        <v>181</v>
      </c>
      <c r="G51" s="59"/>
      <c r="H51" s="61" t="s">
        <v>5149</v>
      </c>
      <c r="I51" s="61" t="s">
        <v>5150</v>
      </c>
      <c r="J51" s="61" t="s">
        <v>5125</v>
      </c>
      <c r="K51" s="61">
        <v>0.5</v>
      </c>
      <c r="L51" s="59"/>
      <c r="M51" s="59"/>
      <c r="N51" s="59"/>
      <c r="O51" s="59"/>
      <c r="P51" s="59"/>
      <c r="Q51" s="59"/>
      <c r="R51" s="59"/>
      <c r="S51" s="59"/>
      <c r="T51" s="61">
        <v>48</v>
      </c>
      <c r="U51" s="61" t="s">
        <v>5151</v>
      </c>
      <c r="V51" s="61" t="s">
        <v>211</v>
      </c>
      <c r="W51" s="60" t="s">
        <v>3481</v>
      </c>
      <c r="X51" s="61" t="s">
        <v>5152</v>
      </c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</row>
    <row r="52" spans="1:35" ht="14" customHeight="1" x14ac:dyDescent="0.2">
      <c r="A52" s="61" t="s">
        <v>4331</v>
      </c>
      <c r="B52" s="61" t="s">
        <v>3866</v>
      </c>
      <c r="C52" s="61" t="s">
        <v>5070</v>
      </c>
      <c r="D52" s="59"/>
      <c r="E52" s="61" t="s">
        <v>4812</v>
      </c>
      <c r="F52" s="61" t="s">
        <v>181</v>
      </c>
      <c r="G52" s="59"/>
      <c r="H52" s="61" t="s">
        <v>5153</v>
      </c>
      <c r="I52" s="61" t="s">
        <v>5154</v>
      </c>
      <c r="J52" s="61" t="s">
        <v>557</v>
      </c>
      <c r="K52" s="61">
        <v>1</v>
      </c>
      <c r="L52" s="59"/>
      <c r="M52" s="59"/>
      <c r="N52" s="59"/>
      <c r="O52" s="59"/>
      <c r="P52" s="59"/>
      <c r="Q52" s="59"/>
      <c r="R52" s="59"/>
      <c r="S52" s="59"/>
      <c r="T52" s="61">
        <v>49</v>
      </c>
      <c r="U52" s="61" t="s">
        <v>3434</v>
      </c>
      <c r="V52" s="61" t="s">
        <v>211</v>
      </c>
      <c r="W52" s="60" t="s">
        <v>3481</v>
      </c>
      <c r="X52" s="61" t="s">
        <v>5155</v>
      </c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</row>
    <row r="53" spans="1:35" ht="14" customHeight="1" x14ac:dyDescent="0.2">
      <c r="A53" s="61" t="s">
        <v>5156</v>
      </c>
      <c r="B53" s="61" t="s">
        <v>5157</v>
      </c>
      <c r="C53" s="61" t="s">
        <v>5070</v>
      </c>
      <c r="D53" s="59"/>
      <c r="E53" s="61" t="s">
        <v>4812</v>
      </c>
      <c r="F53" s="61" t="s">
        <v>181</v>
      </c>
      <c r="G53" s="59"/>
      <c r="H53" s="61" t="s">
        <v>5158</v>
      </c>
      <c r="I53" s="61" t="s">
        <v>5159</v>
      </c>
      <c r="J53" s="61" t="s">
        <v>557</v>
      </c>
      <c r="K53" s="61">
        <v>3.25</v>
      </c>
      <c r="L53" s="59"/>
      <c r="M53" s="59"/>
      <c r="N53" s="59"/>
      <c r="O53" s="59"/>
      <c r="P53" s="59"/>
      <c r="Q53" s="59"/>
      <c r="R53" s="59"/>
      <c r="S53" s="59"/>
      <c r="T53" s="61">
        <v>50</v>
      </c>
      <c r="U53" s="61" t="s">
        <v>5160</v>
      </c>
      <c r="V53" s="61" t="s">
        <v>211</v>
      </c>
      <c r="W53" s="60" t="s">
        <v>3481</v>
      </c>
      <c r="X53" s="61" t="s">
        <v>5161</v>
      </c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</row>
    <row r="54" spans="1:35" ht="14" customHeight="1" x14ac:dyDescent="0.2">
      <c r="A54" s="61" t="s">
        <v>3626</v>
      </c>
      <c r="B54" s="61" t="s">
        <v>331</v>
      </c>
      <c r="C54" s="61" t="s">
        <v>5070</v>
      </c>
      <c r="D54" s="59"/>
      <c r="E54" s="61" t="s">
        <v>4812</v>
      </c>
      <c r="F54" s="61" t="s">
        <v>181</v>
      </c>
      <c r="G54" s="59"/>
      <c r="H54" s="61" t="s">
        <v>5162</v>
      </c>
      <c r="I54" s="61" t="s">
        <v>5163</v>
      </c>
      <c r="J54" s="61" t="s">
        <v>557</v>
      </c>
      <c r="K54" s="61">
        <v>2.25</v>
      </c>
      <c r="L54" s="59"/>
      <c r="M54" s="59"/>
      <c r="N54" s="59"/>
      <c r="O54" s="59"/>
      <c r="P54" s="59"/>
      <c r="Q54" s="59"/>
      <c r="R54" s="59"/>
      <c r="S54" s="59"/>
      <c r="T54" s="61">
        <v>51</v>
      </c>
      <c r="U54" s="61" t="s">
        <v>5164</v>
      </c>
      <c r="V54" s="61" t="s">
        <v>211</v>
      </c>
      <c r="W54" s="60" t="s">
        <v>3481</v>
      </c>
      <c r="X54" s="61" t="s">
        <v>5165</v>
      </c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</row>
    <row r="55" spans="1:35" ht="14" customHeight="1" x14ac:dyDescent="0.2">
      <c r="A55" s="61" t="s">
        <v>5166</v>
      </c>
      <c r="B55" s="61" t="s">
        <v>5167</v>
      </c>
      <c r="C55" s="61" t="s">
        <v>5070</v>
      </c>
      <c r="D55" s="59"/>
      <c r="E55" s="61" t="s">
        <v>4812</v>
      </c>
      <c r="F55" s="61" t="s">
        <v>181</v>
      </c>
      <c r="G55" s="59"/>
      <c r="H55" s="61" t="s">
        <v>5168</v>
      </c>
      <c r="I55" s="61" t="s">
        <v>5169</v>
      </c>
      <c r="J55" s="61" t="s">
        <v>557</v>
      </c>
      <c r="K55" s="61">
        <v>2</v>
      </c>
      <c r="L55" s="59"/>
      <c r="M55" s="59"/>
      <c r="N55" s="59"/>
      <c r="O55" s="59"/>
      <c r="P55" s="59"/>
      <c r="Q55" s="59"/>
      <c r="R55" s="59"/>
      <c r="S55" s="59"/>
      <c r="T55" s="61">
        <v>52</v>
      </c>
      <c r="U55" s="58" t="s">
        <v>4763</v>
      </c>
      <c r="V55" s="61" t="s">
        <v>211</v>
      </c>
      <c r="W55" s="60" t="s">
        <v>3481</v>
      </c>
      <c r="X55" s="61" t="s">
        <v>5170</v>
      </c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</row>
    <row r="56" spans="1:35" ht="14" customHeight="1" x14ac:dyDescent="0.2">
      <c r="A56" s="61" t="s">
        <v>5171</v>
      </c>
      <c r="B56" s="61" t="s">
        <v>5172</v>
      </c>
      <c r="C56" s="61" t="s">
        <v>5070</v>
      </c>
      <c r="D56" s="59"/>
      <c r="E56" s="61" t="s">
        <v>4812</v>
      </c>
      <c r="F56" s="61" t="s">
        <v>181</v>
      </c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61" t="s">
        <v>5173</v>
      </c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</row>
    <row r="57" spans="1:35" ht="14" customHeight="1" x14ac:dyDescent="0.2">
      <c r="A57" s="61" t="s">
        <v>5174</v>
      </c>
      <c r="B57" s="61" t="s">
        <v>5175</v>
      </c>
      <c r="C57" s="61" t="s">
        <v>5070</v>
      </c>
      <c r="D57" s="59"/>
      <c r="E57" s="61" t="s">
        <v>4812</v>
      </c>
      <c r="F57" s="61" t="s">
        <v>181</v>
      </c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61" t="s">
        <v>5173</v>
      </c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</row>
    <row r="58" spans="1:35" ht="14" customHeight="1" x14ac:dyDescent="0.2">
      <c r="A58" s="61" t="s">
        <v>5176</v>
      </c>
      <c r="B58" s="61" t="s">
        <v>5177</v>
      </c>
      <c r="C58" s="61" t="s">
        <v>5070</v>
      </c>
      <c r="D58" s="59"/>
      <c r="E58" s="61" t="s">
        <v>4812</v>
      </c>
      <c r="F58" s="61" t="s">
        <v>181</v>
      </c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</row>
    <row r="59" spans="1:35" ht="14" customHeight="1" x14ac:dyDescent="0.2">
      <c r="A59" s="61" t="s">
        <v>5178</v>
      </c>
      <c r="B59" s="61" t="s">
        <v>184</v>
      </c>
      <c r="C59" s="61" t="s">
        <v>5070</v>
      </c>
      <c r="D59" s="59"/>
      <c r="E59" s="61" t="s">
        <v>4812</v>
      </c>
      <c r="F59" s="61" t="s">
        <v>181</v>
      </c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</row>
    <row r="60" spans="1:35" ht="14" customHeight="1" x14ac:dyDescent="0.2">
      <c r="A60" s="61" t="s">
        <v>3836</v>
      </c>
      <c r="B60" s="61" t="s">
        <v>3810</v>
      </c>
      <c r="C60" s="61" t="s">
        <v>5070</v>
      </c>
      <c r="D60" s="59"/>
      <c r="E60" s="61" t="s">
        <v>4812</v>
      </c>
      <c r="F60" s="61" t="s">
        <v>181</v>
      </c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</row>
    <row r="61" spans="1:35" ht="14" customHeight="1" x14ac:dyDescent="0.2">
      <c r="A61" s="61" t="s">
        <v>5179</v>
      </c>
      <c r="B61" s="61" t="s">
        <v>3891</v>
      </c>
      <c r="C61" s="61" t="s">
        <v>5070</v>
      </c>
      <c r="D61" s="59"/>
      <c r="E61" s="61" t="s">
        <v>4812</v>
      </c>
      <c r="F61" s="61" t="s">
        <v>181</v>
      </c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</row>
    <row r="62" spans="1:35" ht="14" customHeight="1" x14ac:dyDescent="0.2">
      <c r="A62" s="61" t="s">
        <v>3875</v>
      </c>
      <c r="B62" s="61" t="s">
        <v>3876</v>
      </c>
      <c r="C62" s="61" t="s">
        <v>5070</v>
      </c>
      <c r="D62" s="59"/>
      <c r="E62" s="61" t="s">
        <v>4812</v>
      </c>
      <c r="F62" s="61" t="s">
        <v>181</v>
      </c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</row>
    <row r="63" spans="1:35" ht="14" customHeight="1" x14ac:dyDescent="0.2">
      <c r="A63" s="61" t="s">
        <v>3785</v>
      </c>
      <c r="B63" s="61" t="s">
        <v>206</v>
      </c>
      <c r="C63" s="61" t="s">
        <v>5180</v>
      </c>
      <c r="D63" s="59"/>
      <c r="E63" s="61" t="s">
        <v>207</v>
      </c>
      <c r="F63" s="61" t="s">
        <v>181</v>
      </c>
      <c r="G63" s="59"/>
      <c r="H63" s="61" t="s">
        <v>5181</v>
      </c>
      <c r="I63" s="61" t="s">
        <v>5182</v>
      </c>
      <c r="J63" s="61" t="s">
        <v>557</v>
      </c>
      <c r="K63" s="61">
        <v>2.5</v>
      </c>
      <c r="L63" s="59"/>
      <c r="M63" s="59"/>
      <c r="N63" s="59"/>
      <c r="O63" s="59"/>
      <c r="P63" s="59"/>
      <c r="Q63" s="59"/>
      <c r="R63" s="59"/>
      <c r="S63" s="59"/>
      <c r="T63" s="61">
        <v>53</v>
      </c>
      <c r="U63" s="61" t="s">
        <v>3373</v>
      </c>
      <c r="V63" s="61" t="s">
        <v>211</v>
      </c>
      <c r="W63" s="60" t="s">
        <v>3481</v>
      </c>
      <c r="X63" s="61" t="s">
        <v>5183</v>
      </c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</row>
    <row r="64" spans="1:35" ht="14" customHeight="1" x14ac:dyDescent="0.2">
      <c r="A64" s="61" t="s">
        <v>3883</v>
      </c>
      <c r="B64" s="61" t="s">
        <v>3884</v>
      </c>
      <c r="C64" s="61" t="s">
        <v>5180</v>
      </c>
      <c r="D64" s="59"/>
      <c r="E64" s="61" t="s">
        <v>207</v>
      </c>
      <c r="F64" s="61" t="s">
        <v>181</v>
      </c>
      <c r="G64" s="59"/>
      <c r="H64" s="61" t="s">
        <v>5184</v>
      </c>
      <c r="I64" s="61" t="s">
        <v>5185</v>
      </c>
      <c r="J64" s="61" t="s">
        <v>557</v>
      </c>
      <c r="K64" s="60">
        <v>1</v>
      </c>
      <c r="L64" s="59"/>
      <c r="M64" s="59"/>
      <c r="N64" s="59"/>
      <c r="O64" s="59"/>
      <c r="P64" s="59"/>
      <c r="Q64" s="59"/>
      <c r="R64" s="59"/>
      <c r="S64" s="59"/>
      <c r="T64" s="61">
        <v>54</v>
      </c>
      <c r="U64" s="61" t="s">
        <v>5186</v>
      </c>
      <c r="V64" s="61" t="s">
        <v>211</v>
      </c>
      <c r="W64" s="60" t="s">
        <v>3481</v>
      </c>
      <c r="X64" s="61" t="s">
        <v>5187</v>
      </c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</row>
    <row r="65" spans="1:35" ht="14" customHeight="1" x14ac:dyDescent="0.2">
      <c r="A65" s="61" t="s">
        <v>5188</v>
      </c>
      <c r="B65" s="61" t="s">
        <v>5189</v>
      </c>
      <c r="C65" s="61" t="s">
        <v>5180</v>
      </c>
      <c r="D65" s="59"/>
      <c r="E65" s="61" t="s">
        <v>207</v>
      </c>
      <c r="F65" s="61" t="s">
        <v>181</v>
      </c>
      <c r="G65" s="59"/>
      <c r="H65" s="61" t="s">
        <v>5190</v>
      </c>
      <c r="I65" s="61" t="s">
        <v>5191</v>
      </c>
      <c r="J65" s="61" t="s">
        <v>557</v>
      </c>
      <c r="K65" s="61">
        <v>0.5</v>
      </c>
      <c r="L65" s="59"/>
      <c r="M65" s="59"/>
      <c r="N65" s="59"/>
      <c r="O65" s="59"/>
      <c r="P65" s="59"/>
      <c r="Q65" s="59"/>
      <c r="R65" s="59"/>
      <c r="S65" s="59"/>
      <c r="T65" s="61">
        <v>55</v>
      </c>
      <c r="U65" s="61" t="s">
        <v>5192</v>
      </c>
      <c r="V65" s="61" t="s">
        <v>211</v>
      </c>
      <c r="W65" s="60" t="s">
        <v>3481</v>
      </c>
      <c r="X65" s="61" t="s">
        <v>5193</v>
      </c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</row>
    <row r="66" spans="1:35" ht="14" customHeight="1" x14ac:dyDescent="0.2">
      <c r="A66" s="61" t="s">
        <v>5194</v>
      </c>
      <c r="B66" s="61" t="s">
        <v>5195</v>
      </c>
      <c r="C66" s="61" t="s">
        <v>5180</v>
      </c>
      <c r="D66" s="59"/>
      <c r="E66" s="61" t="s">
        <v>207</v>
      </c>
      <c r="F66" s="61" t="s">
        <v>181</v>
      </c>
      <c r="G66" s="59"/>
      <c r="H66" s="61" t="s">
        <v>5196</v>
      </c>
      <c r="I66" s="61" t="s">
        <v>5197</v>
      </c>
      <c r="J66" s="61" t="s">
        <v>557</v>
      </c>
      <c r="K66" s="61">
        <v>3.2</v>
      </c>
      <c r="L66" s="59"/>
      <c r="M66" s="59"/>
      <c r="N66" s="59"/>
      <c r="O66" s="59"/>
      <c r="P66" s="59"/>
      <c r="Q66" s="59"/>
      <c r="R66" s="59"/>
      <c r="S66" s="59"/>
      <c r="T66" s="61">
        <v>56</v>
      </c>
      <c r="U66" s="61" t="s">
        <v>5198</v>
      </c>
      <c r="V66" s="61" t="s">
        <v>211</v>
      </c>
      <c r="W66" s="60" t="s">
        <v>3481</v>
      </c>
      <c r="X66" s="61" t="s">
        <v>5199</v>
      </c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</row>
    <row r="67" spans="1:35" ht="14" customHeight="1" x14ac:dyDescent="0.2">
      <c r="A67" s="61" t="s">
        <v>5200</v>
      </c>
      <c r="B67" s="61" t="s">
        <v>5201</v>
      </c>
      <c r="C67" s="61" t="s">
        <v>5180</v>
      </c>
      <c r="D67" s="59"/>
      <c r="E67" s="61" t="s">
        <v>207</v>
      </c>
      <c r="F67" s="61" t="s">
        <v>181</v>
      </c>
      <c r="G67" s="59"/>
      <c r="H67" s="61" t="s">
        <v>5202</v>
      </c>
      <c r="I67" s="61" t="s">
        <v>5203</v>
      </c>
      <c r="J67" s="61" t="s">
        <v>557</v>
      </c>
      <c r="K67" s="61">
        <v>3.4</v>
      </c>
      <c r="L67" s="59"/>
      <c r="M67" s="59"/>
      <c r="N67" s="59"/>
      <c r="O67" s="59"/>
      <c r="P67" s="59"/>
      <c r="Q67" s="59"/>
      <c r="R67" s="59"/>
      <c r="S67" s="59"/>
      <c r="T67" s="61">
        <v>57</v>
      </c>
      <c r="U67" s="61" t="s">
        <v>5204</v>
      </c>
      <c r="V67" s="61" t="s">
        <v>211</v>
      </c>
      <c r="W67" s="60" t="s">
        <v>3481</v>
      </c>
      <c r="X67" s="61" t="s">
        <v>5205</v>
      </c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</row>
    <row r="68" spans="1:35" ht="14" customHeight="1" x14ac:dyDescent="0.2">
      <c r="A68" s="61" t="s">
        <v>5206</v>
      </c>
      <c r="B68" s="61" t="s">
        <v>5207</v>
      </c>
      <c r="C68" s="61" t="s">
        <v>5180</v>
      </c>
      <c r="D68" s="59"/>
      <c r="E68" s="61" t="s">
        <v>207</v>
      </c>
      <c r="F68" s="61" t="s">
        <v>181</v>
      </c>
      <c r="G68" s="59"/>
      <c r="H68" s="61" t="s">
        <v>5208</v>
      </c>
      <c r="I68" s="61" t="s">
        <v>5209</v>
      </c>
      <c r="J68" s="61" t="s">
        <v>557</v>
      </c>
      <c r="K68" s="61">
        <v>2.25</v>
      </c>
      <c r="L68" s="59"/>
      <c r="M68" s="59"/>
      <c r="N68" s="59"/>
      <c r="O68" s="59"/>
      <c r="P68" s="59"/>
      <c r="Q68" s="59"/>
      <c r="R68" s="59"/>
      <c r="S68" s="59"/>
      <c r="T68" s="61">
        <v>58</v>
      </c>
      <c r="U68" s="61" t="s">
        <v>3343</v>
      </c>
      <c r="V68" s="61" t="s">
        <v>211</v>
      </c>
      <c r="W68" s="60" t="s">
        <v>3481</v>
      </c>
      <c r="X68" s="61" t="s">
        <v>5210</v>
      </c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</row>
    <row r="69" spans="1:35" ht="14" customHeight="1" x14ac:dyDescent="0.2">
      <c r="A69" s="61" t="s">
        <v>5211</v>
      </c>
      <c r="B69" s="61" t="s">
        <v>5212</v>
      </c>
      <c r="C69" s="61" t="s">
        <v>5180</v>
      </c>
      <c r="D69" s="59"/>
      <c r="E69" s="61" t="s">
        <v>207</v>
      </c>
      <c r="F69" s="61" t="s">
        <v>181</v>
      </c>
      <c r="G69" s="59"/>
      <c r="H69" s="61" t="s">
        <v>5213</v>
      </c>
      <c r="I69" s="61" t="s">
        <v>5214</v>
      </c>
      <c r="J69" s="61" t="s">
        <v>557</v>
      </c>
      <c r="K69" s="61">
        <v>1.6</v>
      </c>
      <c r="L69" s="59"/>
      <c r="M69" s="59"/>
      <c r="N69" s="59"/>
      <c r="O69" s="59"/>
      <c r="P69" s="59"/>
      <c r="Q69" s="59"/>
      <c r="R69" s="59"/>
      <c r="S69" s="59"/>
      <c r="T69" s="61">
        <v>59</v>
      </c>
      <c r="U69" s="61" t="s">
        <v>5215</v>
      </c>
      <c r="V69" s="61" t="s">
        <v>211</v>
      </c>
      <c r="W69" s="60" t="s">
        <v>3481</v>
      </c>
      <c r="X69" s="61" t="s">
        <v>5216</v>
      </c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</row>
    <row r="70" spans="1:35" ht="14" customHeight="1" x14ac:dyDescent="0.2">
      <c r="A70" s="61" t="s">
        <v>5217</v>
      </c>
      <c r="B70" s="61" t="s">
        <v>5218</v>
      </c>
      <c r="C70" s="61" t="s">
        <v>5180</v>
      </c>
      <c r="D70" s="59"/>
      <c r="E70" s="61" t="s">
        <v>207</v>
      </c>
      <c r="F70" s="61" t="s">
        <v>181</v>
      </c>
      <c r="G70" s="59"/>
      <c r="H70" s="61" t="s">
        <v>5219</v>
      </c>
      <c r="I70" s="61" t="s">
        <v>5220</v>
      </c>
      <c r="J70" s="61" t="s">
        <v>4873</v>
      </c>
      <c r="K70" s="61">
        <v>0.5</v>
      </c>
      <c r="L70" s="59"/>
      <c r="M70" s="59"/>
      <c r="N70" s="59"/>
      <c r="O70" s="59"/>
      <c r="P70" s="59"/>
      <c r="Q70" s="59"/>
      <c r="R70" s="59"/>
      <c r="S70" s="59"/>
      <c r="T70" s="61">
        <v>60</v>
      </c>
      <c r="U70" s="61" t="s">
        <v>3671</v>
      </c>
      <c r="V70" s="61" t="s">
        <v>211</v>
      </c>
      <c r="W70" s="60" t="s">
        <v>3481</v>
      </c>
      <c r="X70" s="61" t="s">
        <v>5221</v>
      </c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</row>
    <row r="71" spans="1:35" ht="14" customHeight="1" x14ac:dyDescent="0.2">
      <c r="A71" s="61" t="s">
        <v>5222</v>
      </c>
      <c r="B71" s="61" t="s">
        <v>5223</v>
      </c>
      <c r="C71" s="61" t="s">
        <v>5180</v>
      </c>
      <c r="D71" s="59"/>
      <c r="E71" s="61" t="s">
        <v>207</v>
      </c>
      <c r="F71" s="61" t="s">
        <v>181</v>
      </c>
      <c r="G71" s="59"/>
      <c r="H71" s="61" t="s">
        <v>5224</v>
      </c>
      <c r="I71" s="61" t="s">
        <v>5225</v>
      </c>
      <c r="J71" s="61" t="s">
        <v>5125</v>
      </c>
      <c r="K71" s="61">
        <v>0.5</v>
      </c>
      <c r="L71" s="59"/>
      <c r="M71" s="59"/>
      <c r="N71" s="59"/>
      <c r="O71" s="59"/>
      <c r="P71" s="59"/>
      <c r="Q71" s="59"/>
      <c r="R71" s="59"/>
      <c r="S71" s="59"/>
      <c r="T71" s="61">
        <v>61</v>
      </c>
      <c r="U71" s="61" t="s">
        <v>5226</v>
      </c>
      <c r="V71" s="61" t="s">
        <v>211</v>
      </c>
      <c r="W71" s="60" t="s">
        <v>3481</v>
      </c>
      <c r="X71" s="61" t="s">
        <v>5227</v>
      </c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</row>
    <row r="72" spans="1:35" ht="14" customHeight="1" x14ac:dyDescent="0.2">
      <c r="A72" s="61" t="s">
        <v>5228</v>
      </c>
      <c r="B72" s="61" t="s">
        <v>5229</v>
      </c>
      <c r="C72" s="61" t="s">
        <v>5180</v>
      </c>
      <c r="D72" s="59"/>
      <c r="E72" s="61" t="s">
        <v>207</v>
      </c>
      <c r="F72" s="61" t="s">
        <v>181</v>
      </c>
      <c r="G72" s="59"/>
      <c r="H72" s="61" t="s">
        <v>5230</v>
      </c>
      <c r="I72" s="61" t="s">
        <v>5231</v>
      </c>
      <c r="J72" s="61" t="s">
        <v>557</v>
      </c>
      <c r="K72" s="61">
        <v>1</v>
      </c>
      <c r="L72" s="59"/>
      <c r="M72" s="59"/>
      <c r="N72" s="59"/>
      <c r="O72" s="59"/>
      <c r="P72" s="59"/>
      <c r="Q72" s="59"/>
      <c r="R72" s="59"/>
      <c r="S72" s="59"/>
      <c r="T72" s="61">
        <v>62</v>
      </c>
      <c r="U72" s="61" t="s">
        <v>3375</v>
      </c>
      <c r="V72" s="61" t="s">
        <v>211</v>
      </c>
      <c r="W72" s="60" t="s">
        <v>3481</v>
      </c>
      <c r="X72" s="61" t="s">
        <v>5232</v>
      </c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</row>
    <row r="73" spans="1:35" ht="14" customHeight="1" x14ac:dyDescent="0.2">
      <c r="A73" s="61" t="s">
        <v>5233</v>
      </c>
      <c r="B73" s="61" t="s">
        <v>3790</v>
      </c>
      <c r="C73" s="61" t="s">
        <v>5180</v>
      </c>
      <c r="D73" s="59"/>
      <c r="E73" s="61" t="s">
        <v>207</v>
      </c>
      <c r="F73" s="61" t="s">
        <v>181</v>
      </c>
      <c r="G73" s="59"/>
      <c r="H73" s="61" t="s">
        <v>5234</v>
      </c>
      <c r="I73" s="61" t="s">
        <v>5235</v>
      </c>
      <c r="J73" s="61" t="s">
        <v>4873</v>
      </c>
      <c r="K73" s="61">
        <v>0.5</v>
      </c>
      <c r="L73" s="59"/>
      <c r="M73" s="59"/>
      <c r="N73" s="59"/>
      <c r="O73" s="59"/>
      <c r="P73" s="59"/>
      <c r="Q73" s="59"/>
      <c r="R73" s="59"/>
      <c r="S73" s="59"/>
      <c r="T73" s="61">
        <v>63</v>
      </c>
      <c r="U73" s="61" t="s">
        <v>5236</v>
      </c>
      <c r="V73" s="61" t="s">
        <v>211</v>
      </c>
      <c r="W73" s="60" t="s">
        <v>3481</v>
      </c>
      <c r="X73" s="61" t="s">
        <v>5237</v>
      </c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</row>
    <row r="74" spans="1:35" ht="14" customHeight="1" x14ac:dyDescent="0.2">
      <c r="A74" s="61" t="s">
        <v>5238</v>
      </c>
      <c r="B74" s="61" t="s">
        <v>5239</v>
      </c>
      <c r="C74" s="61" t="s">
        <v>5180</v>
      </c>
      <c r="D74" s="59"/>
      <c r="E74" s="61" t="s">
        <v>207</v>
      </c>
      <c r="F74" s="61" t="s">
        <v>181</v>
      </c>
      <c r="G74" s="59"/>
      <c r="H74" s="61" t="s">
        <v>5240</v>
      </c>
      <c r="I74" s="61" t="s">
        <v>5241</v>
      </c>
      <c r="J74" s="61" t="s">
        <v>5125</v>
      </c>
      <c r="K74" s="61">
        <v>0.5</v>
      </c>
      <c r="L74" s="59"/>
      <c r="M74" s="59"/>
      <c r="N74" s="59"/>
      <c r="O74" s="59"/>
      <c r="P74" s="59"/>
      <c r="Q74" s="59"/>
      <c r="R74" s="59"/>
      <c r="S74" s="59"/>
      <c r="T74" s="61">
        <v>64</v>
      </c>
      <c r="U74" s="61" t="s">
        <v>5242</v>
      </c>
      <c r="V74" s="61" t="s">
        <v>211</v>
      </c>
      <c r="W74" s="60" t="s">
        <v>3481</v>
      </c>
      <c r="X74" s="61" t="s">
        <v>5243</v>
      </c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</row>
    <row r="75" spans="1:35" ht="14" customHeight="1" x14ac:dyDescent="0.2">
      <c r="A75" s="61" t="s">
        <v>3820</v>
      </c>
      <c r="B75" s="61" t="s">
        <v>3821</v>
      </c>
      <c r="C75" s="61" t="s">
        <v>5180</v>
      </c>
      <c r="D75" s="59"/>
      <c r="E75" s="61" t="s">
        <v>207</v>
      </c>
      <c r="F75" s="61" t="s">
        <v>181</v>
      </c>
      <c r="G75" s="59"/>
      <c r="H75" s="61" t="s">
        <v>5244</v>
      </c>
      <c r="I75" s="61" t="s">
        <v>5245</v>
      </c>
      <c r="J75" s="61" t="s">
        <v>557</v>
      </c>
      <c r="K75" s="61">
        <v>1</v>
      </c>
      <c r="L75" s="59"/>
      <c r="M75" s="59"/>
      <c r="N75" s="59"/>
      <c r="O75" s="59"/>
      <c r="P75" s="59"/>
      <c r="Q75" s="59"/>
      <c r="R75" s="59"/>
      <c r="S75" s="59"/>
      <c r="T75" s="61">
        <v>65</v>
      </c>
      <c r="U75" s="61" t="s">
        <v>5246</v>
      </c>
      <c r="V75" s="61" t="s">
        <v>211</v>
      </c>
      <c r="W75" s="60" t="s">
        <v>3481</v>
      </c>
      <c r="X75" s="61" t="s">
        <v>5247</v>
      </c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</row>
    <row r="76" spans="1:35" ht="14" customHeight="1" x14ac:dyDescent="0.2">
      <c r="A76" s="61" t="s">
        <v>5248</v>
      </c>
      <c r="B76" s="59" t="s">
        <v>5249</v>
      </c>
      <c r="C76" s="61" t="s">
        <v>5180</v>
      </c>
      <c r="D76" s="59"/>
      <c r="E76" s="61" t="s">
        <v>207</v>
      </c>
      <c r="F76" s="61" t="s">
        <v>181</v>
      </c>
      <c r="G76" s="59"/>
      <c r="H76" s="61" t="s">
        <v>5250</v>
      </c>
      <c r="I76" s="61" t="s">
        <v>5251</v>
      </c>
      <c r="J76" s="61" t="s">
        <v>557</v>
      </c>
      <c r="K76" s="61">
        <v>1</v>
      </c>
      <c r="L76" s="59"/>
      <c r="M76" s="59"/>
      <c r="N76" s="59"/>
      <c r="O76" s="59"/>
      <c r="P76" s="59"/>
      <c r="Q76" s="59"/>
      <c r="R76" s="59"/>
      <c r="S76" s="59"/>
      <c r="T76" s="61">
        <v>66</v>
      </c>
      <c r="U76" s="61" t="s">
        <v>5252</v>
      </c>
      <c r="V76" s="61" t="s">
        <v>211</v>
      </c>
      <c r="W76" s="60" t="s">
        <v>3481</v>
      </c>
      <c r="X76" s="61" t="s">
        <v>5253</v>
      </c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</row>
    <row r="77" spans="1:35" ht="14" customHeight="1" x14ac:dyDescent="0.2">
      <c r="A77" s="61" t="s">
        <v>3559</v>
      </c>
      <c r="B77" s="61" t="s">
        <v>344</v>
      </c>
      <c r="C77" s="61" t="s">
        <v>5180</v>
      </c>
      <c r="D77" s="59"/>
      <c r="E77" s="61" t="s">
        <v>207</v>
      </c>
      <c r="F77" s="61" t="s">
        <v>181</v>
      </c>
      <c r="G77" s="59"/>
      <c r="H77" s="61" t="s">
        <v>5254</v>
      </c>
      <c r="I77" s="61" t="s">
        <v>5255</v>
      </c>
      <c r="J77" s="61" t="s">
        <v>4873</v>
      </c>
      <c r="K77" s="61">
        <v>0.5</v>
      </c>
      <c r="L77" s="60"/>
      <c r="M77" s="59"/>
      <c r="N77" s="59"/>
      <c r="O77" s="59"/>
      <c r="P77" s="59"/>
      <c r="Q77" s="59"/>
      <c r="R77" s="59"/>
      <c r="S77" s="59"/>
      <c r="T77" s="61">
        <v>67</v>
      </c>
      <c r="U77" s="61" t="s">
        <v>3404</v>
      </c>
      <c r="V77" s="61" t="s">
        <v>3334</v>
      </c>
      <c r="W77" s="60" t="s">
        <v>3477</v>
      </c>
      <c r="X77" s="61" t="s">
        <v>5256</v>
      </c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</row>
    <row r="78" spans="1:35" x14ac:dyDescent="0.15">
      <c r="A78" s="80" t="s">
        <v>5257</v>
      </c>
      <c r="B78" s="80" t="s">
        <v>5258</v>
      </c>
      <c r="C78" s="80" t="s">
        <v>5180</v>
      </c>
      <c r="D78" s="79"/>
      <c r="E78" s="80" t="s">
        <v>207</v>
      </c>
      <c r="F78" s="80" t="s">
        <v>181</v>
      </c>
      <c r="G78" s="79"/>
      <c r="H78" s="80" t="s">
        <v>5259</v>
      </c>
      <c r="I78" s="80" t="s">
        <v>5260</v>
      </c>
      <c r="J78" s="80" t="s">
        <v>5125</v>
      </c>
      <c r="K78" s="80">
        <v>0.5</v>
      </c>
      <c r="L78" s="79"/>
      <c r="M78" s="79"/>
      <c r="N78" s="79"/>
      <c r="O78" s="79"/>
      <c r="P78" s="79"/>
      <c r="Q78" s="79"/>
      <c r="R78" s="79"/>
      <c r="S78" s="79"/>
      <c r="T78" s="80">
        <v>68</v>
      </c>
      <c r="U78" s="80" t="s">
        <v>5261</v>
      </c>
      <c r="V78" s="80" t="s">
        <v>211</v>
      </c>
      <c r="W78" s="60" t="s">
        <v>3481</v>
      </c>
      <c r="X78" s="80" t="s">
        <v>5262</v>
      </c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</row>
    <row r="79" spans="1:35" x14ac:dyDescent="0.15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60" t="s">
        <v>3481</v>
      </c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71"/>
    </row>
    <row r="80" spans="1:35" x14ac:dyDescent="0.15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60" t="s">
        <v>3481</v>
      </c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</row>
    <row r="81" spans="1:35" x14ac:dyDescent="0.15">
      <c r="A81" s="80" t="s">
        <v>5263</v>
      </c>
      <c r="B81" s="80" t="s">
        <v>5264</v>
      </c>
      <c r="C81" s="80" t="s">
        <v>5180</v>
      </c>
      <c r="D81" s="79"/>
      <c r="E81" s="80" t="s">
        <v>207</v>
      </c>
      <c r="F81" s="80" t="s">
        <v>181</v>
      </c>
      <c r="G81" s="79"/>
      <c r="H81" s="80" t="s">
        <v>5265</v>
      </c>
      <c r="I81" s="80" t="s">
        <v>5266</v>
      </c>
      <c r="J81" s="80" t="s">
        <v>5125</v>
      </c>
      <c r="K81" s="80">
        <v>0.25</v>
      </c>
      <c r="L81" s="79"/>
      <c r="M81" s="79"/>
      <c r="N81" s="79"/>
      <c r="O81" s="79"/>
      <c r="P81" s="79"/>
      <c r="Q81" s="79"/>
      <c r="R81" s="79"/>
      <c r="S81" s="79"/>
      <c r="T81" s="80">
        <v>69</v>
      </c>
      <c r="U81" s="80" t="s">
        <v>5267</v>
      </c>
      <c r="V81" s="80" t="s">
        <v>211</v>
      </c>
      <c r="W81" s="60" t="s">
        <v>3481</v>
      </c>
      <c r="X81" s="80" t="s">
        <v>5268</v>
      </c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</row>
    <row r="82" spans="1:35" x14ac:dyDescent="0.15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60" t="s">
        <v>3481</v>
      </c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</row>
    <row r="83" spans="1:35" x14ac:dyDescent="0.15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60" t="s">
        <v>3481</v>
      </c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</row>
    <row r="84" spans="1:35" x14ac:dyDescent="0.15">
      <c r="A84" s="80" t="s">
        <v>5269</v>
      </c>
      <c r="B84" s="80" t="s">
        <v>5270</v>
      </c>
      <c r="C84" s="80" t="s">
        <v>5180</v>
      </c>
      <c r="D84" s="79"/>
      <c r="E84" s="80" t="s">
        <v>207</v>
      </c>
      <c r="F84" s="80" t="s">
        <v>181</v>
      </c>
      <c r="G84" s="79"/>
      <c r="H84" s="80" t="s">
        <v>5271</v>
      </c>
      <c r="I84" s="80" t="s">
        <v>5272</v>
      </c>
      <c r="J84" s="80" t="s">
        <v>4873</v>
      </c>
      <c r="K84" s="80">
        <v>0.5</v>
      </c>
      <c r="L84" s="79"/>
      <c r="M84" s="79"/>
      <c r="N84" s="79"/>
      <c r="O84" s="79"/>
      <c r="P84" s="79"/>
      <c r="Q84" s="79"/>
      <c r="R84" s="79"/>
      <c r="S84" s="79"/>
      <c r="T84" s="80">
        <v>70</v>
      </c>
      <c r="U84" s="80" t="s">
        <v>5273</v>
      </c>
      <c r="V84" s="80" t="s">
        <v>211</v>
      </c>
      <c r="W84" s="60" t="s">
        <v>3481</v>
      </c>
      <c r="X84" s="80" t="s">
        <v>5274</v>
      </c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</row>
    <row r="85" spans="1:35" x14ac:dyDescent="0.15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60" t="s">
        <v>3481</v>
      </c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71"/>
    </row>
    <row r="86" spans="1:35" x14ac:dyDescent="0.15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60" t="s">
        <v>3481</v>
      </c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71"/>
    </row>
    <row r="87" spans="1:35" ht="14" customHeight="1" x14ac:dyDescent="0.2">
      <c r="A87" s="61" t="s">
        <v>5275</v>
      </c>
      <c r="B87" s="61" t="s">
        <v>3792</v>
      </c>
      <c r="C87" s="61" t="s">
        <v>5180</v>
      </c>
      <c r="D87" s="59"/>
      <c r="E87" s="61" t="s">
        <v>207</v>
      </c>
      <c r="F87" s="61" t="s">
        <v>181</v>
      </c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</row>
    <row r="88" spans="1:35" x14ac:dyDescent="0.15">
      <c r="A88" s="80" t="s">
        <v>4711</v>
      </c>
      <c r="B88" s="80" t="s">
        <v>4712</v>
      </c>
      <c r="C88" s="80" t="s">
        <v>5276</v>
      </c>
      <c r="D88" s="79"/>
      <c r="E88" s="80" t="s">
        <v>4713</v>
      </c>
      <c r="F88" s="80" t="s">
        <v>181</v>
      </c>
      <c r="G88" s="79"/>
      <c r="H88" s="80" t="s">
        <v>5277</v>
      </c>
      <c r="I88" s="80" t="s">
        <v>5278</v>
      </c>
      <c r="J88" s="80" t="s">
        <v>4863</v>
      </c>
      <c r="K88" s="80">
        <v>1</v>
      </c>
      <c r="L88" s="79"/>
      <c r="M88" s="79"/>
      <c r="N88" s="79"/>
      <c r="O88" s="79"/>
      <c r="P88" s="79"/>
      <c r="Q88" s="79"/>
      <c r="R88" s="79"/>
      <c r="S88" s="79"/>
      <c r="T88" s="80">
        <v>71</v>
      </c>
      <c r="U88" s="80" t="s">
        <v>5279</v>
      </c>
      <c r="V88" s="80" t="s">
        <v>211</v>
      </c>
      <c r="W88" s="60" t="s">
        <v>3481</v>
      </c>
      <c r="X88" s="80" t="s">
        <v>5280</v>
      </c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</row>
    <row r="89" spans="1:35" x14ac:dyDescent="0.15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60" t="s">
        <v>3481</v>
      </c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71"/>
    </row>
    <row r="90" spans="1:35" x14ac:dyDescent="0.15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60" t="s">
        <v>3481</v>
      </c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71"/>
    </row>
    <row r="91" spans="1:35" ht="14" customHeight="1" x14ac:dyDescent="0.2">
      <c r="A91" s="61" t="s">
        <v>5281</v>
      </c>
      <c r="B91" s="61" t="s">
        <v>5282</v>
      </c>
      <c r="C91" s="61" t="s">
        <v>5276</v>
      </c>
      <c r="D91" s="59"/>
      <c r="E91" s="61" t="s">
        <v>5283</v>
      </c>
      <c r="F91" s="61" t="s">
        <v>181</v>
      </c>
      <c r="G91" s="59"/>
      <c r="H91" s="61" t="s">
        <v>5284</v>
      </c>
      <c r="I91" s="61" t="s">
        <v>5285</v>
      </c>
      <c r="J91" s="61" t="s">
        <v>4867</v>
      </c>
      <c r="K91" s="61">
        <v>4</v>
      </c>
      <c r="L91" s="59"/>
      <c r="M91" s="59"/>
      <c r="N91" s="59"/>
      <c r="O91" s="59"/>
      <c r="P91" s="59"/>
      <c r="Q91" s="59"/>
      <c r="R91" s="59"/>
      <c r="S91" s="59"/>
      <c r="T91" s="61">
        <v>72</v>
      </c>
      <c r="U91" s="61" t="s">
        <v>3488</v>
      </c>
      <c r="V91" s="61" t="s">
        <v>211</v>
      </c>
      <c r="W91" s="60" t="s">
        <v>3477</v>
      </c>
      <c r="X91" s="61" t="s">
        <v>5286</v>
      </c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</row>
    <row r="92" spans="1:35" ht="14" customHeight="1" x14ac:dyDescent="0.2">
      <c r="A92" s="61" t="s">
        <v>3388</v>
      </c>
      <c r="B92" s="61" t="s">
        <v>349</v>
      </c>
      <c r="C92" s="61" t="s">
        <v>5276</v>
      </c>
      <c r="D92" s="59"/>
      <c r="E92" s="61" t="s">
        <v>3389</v>
      </c>
      <c r="F92" s="61" t="s">
        <v>181</v>
      </c>
      <c r="G92" s="59"/>
      <c r="H92" s="61" t="s">
        <v>5287</v>
      </c>
      <c r="I92" s="61" t="s">
        <v>5288</v>
      </c>
      <c r="J92" s="61" t="s">
        <v>4873</v>
      </c>
      <c r="K92" s="61">
        <v>0.5</v>
      </c>
      <c r="L92" s="59"/>
      <c r="M92" s="59"/>
      <c r="N92" s="59"/>
      <c r="O92" s="59"/>
      <c r="P92" s="59"/>
      <c r="Q92" s="59"/>
      <c r="R92" s="59"/>
      <c r="S92" s="59"/>
      <c r="T92" s="61">
        <v>73</v>
      </c>
      <c r="U92" s="61" t="s">
        <v>5289</v>
      </c>
      <c r="V92" s="61" t="s">
        <v>211</v>
      </c>
      <c r="W92" s="60" t="s">
        <v>3477</v>
      </c>
      <c r="X92" s="61" t="s">
        <v>5290</v>
      </c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</row>
    <row r="93" spans="1:35" ht="14" customHeight="1" x14ac:dyDescent="0.2">
      <c r="A93" s="61" t="s">
        <v>5291</v>
      </c>
      <c r="B93" s="61" t="s">
        <v>5292</v>
      </c>
      <c r="C93" s="61" t="s">
        <v>5276</v>
      </c>
      <c r="D93" s="59"/>
      <c r="E93" s="61" t="s">
        <v>5283</v>
      </c>
      <c r="F93" s="61" t="s">
        <v>181</v>
      </c>
      <c r="G93" s="59"/>
      <c r="H93" s="61" t="s">
        <v>1442</v>
      </c>
      <c r="I93" s="61" t="s">
        <v>5293</v>
      </c>
      <c r="J93" s="61" t="s">
        <v>4867</v>
      </c>
      <c r="K93" s="61">
        <v>0.5</v>
      </c>
      <c r="L93" s="59"/>
      <c r="M93" s="59"/>
      <c r="N93" s="59"/>
      <c r="O93" s="59"/>
      <c r="P93" s="59"/>
      <c r="Q93" s="59"/>
      <c r="R93" s="59"/>
      <c r="S93" s="59"/>
      <c r="T93" s="61">
        <v>75</v>
      </c>
      <c r="U93" s="61" t="s">
        <v>5294</v>
      </c>
      <c r="V93" s="61" t="s">
        <v>211</v>
      </c>
      <c r="W93" s="60" t="s">
        <v>3481</v>
      </c>
      <c r="X93" s="61" t="s">
        <v>5295</v>
      </c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</row>
    <row r="94" spans="1:35" ht="14" customHeight="1" x14ac:dyDescent="0.2">
      <c r="A94" s="61" t="s">
        <v>3391</v>
      </c>
      <c r="B94" s="61" t="s">
        <v>353</v>
      </c>
      <c r="C94" s="61" t="s">
        <v>5276</v>
      </c>
      <c r="D94" s="59"/>
      <c r="E94" s="61" t="s">
        <v>253</v>
      </c>
      <c r="F94" s="61" t="s">
        <v>181</v>
      </c>
      <c r="G94" s="59"/>
      <c r="H94" s="61" t="s">
        <v>5296</v>
      </c>
      <c r="I94" s="61" t="s">
        <v>5297</v>
      </c>
      <c r="J94" s="61" t="s">
        <v>4867</v>
      </c>
      <c r="K94" s="61">
        <v>4.5</v>
      </c>
      <c r="L94" s="59"/>
      <c r="M94" s="59"/>
      <c r="N94" s="59"/>
      <c r="O94" s="59"/>
      <c r="P94" s="59"/>
      <c r="Q94" s="59"/>
      <c r="R94" s="59"/>
      <c r="S94" s="59"/>
      <c r="T94" s="61">
        <v>76</v>
      </c>
      <c r="U94" s="61" t="s">
        <v>5298</v>
      </c>
      <c r="V94" s="61" t="s">
        <v>211</v>
      </c>
      <c r="W94" s="60" t="s">
        <v>3481</v>
      </c>
      <c r="X94" s="61" t="s">
        <v>5299</v>
      </c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</row>
    <row r="95" spans="1:35" ht="14" customHeight="1" x14ac:dyDescent="0.2">
      <c r="A95" s="61" t="s">
        <v>5300</v>
      </c>
      <c r="B95" s="61" t="s">
        <v>5301</v>
      </c>
      <c r="C95" s="61" t="s">
        <v>5276</v>
      </c>
      <c r="D95" s="59"/>
      <c r="E95" s="61" t="s">
        <v>5283</v>
      </c>
      <c r="F95" s="61" t="s">
        <v>181</v>
      </c>
      <c r="G95" s="59"/>
      <c r="H95" s="61" t="s">
        <v>5302</v>
      </c>
      <c r="I95" s="61" t="s">
        <v>5303</v>
      </c>
      <c r="J95" s="61" t="s">
        <v>4867</v>
      </c>
      <c r="K95" s="61">
        <v>4.5</v>
      </c>
      <c r="L95" s="59"/>
      <c r="M95" s="59"/>
      <c r="N95" s="59"/>
      <c r="O95" s="59"/>
      <c r="P95" s="59"/>
      <c r="Q95" s="59"/>
      <c r="R95" s="59"/>
      <c r="S95" s="59"/>
      <c r="T95" s="61">
        <v>77</v>
      </c>
      <c r="U95" s="61" t="s">
        <v>5304</v>
      </c>
      <c r="V95" s="61" t="s">
        <v>211</v>
      </c>
      <c r="W95" s="60" t="s">
        <v>3481</v>
      </c>
      <c r="X95" s="61" t="s">
        <v>5305</v>
      </c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</row>
    <row r="96" spans="1:35" ht="14" customHeight="1" x14ac:dyDescent="0.2">
      <c r="A96" s="61" t="s">
        <v>5306</v>
      </c>
      <c r="B96" s="61" t="s">
        <v>5307</v>
      </c>
      <c r="C96" s="61" t="s">
        <v>5276</v>
      </c>
      <c r="D96" s="59"/>
      <c r="E96" s="61" t="s">
        <v>5283</v>
      </c>
      <c r="F96" s="61" t="s">
        <v>181</v>
      </c>
      <c r="G96" s="59"/>
      <c r="H96" s="61" t="s">
        <v>5308</v>
      </c>
      <c r="I96" s="61" t="s">
        <v>5309</v>
      </c>
      <c r="J96" s="61" t="s">
        <v>4873</v>
      </c>
      <c r="K96" s="61">
        <v>0.5</v>
      </c>
      <c r="L96" s="59"/>
      <c r="M96" s="59"/>
      <c r="N96" s="59"/>
      <c r="O96" s="59"/>
      <c r="P96" s="59"/>
      <c r="Q96" s="59"/>
      <c r="R96" s="59"/>
      <c r="S96" s="59"/>
      <c r="T96" s="61">
        <v>78</v>
      </c>
      <c r="U96" s="61" t="s">
        <v>3341</v>
      </c>
      <c r="V96" s="61" t="s">
        <v>211</v>
      </c>
      <c r="W96" s="60" t="s">
        <v>3481</v>
      </c>
      <c r="X96" s="61" t="s">
        <v>5071</v>
      </c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</row>
    <row r="97" spans="1:35" ht="14" customHeight="1" x14ac:dyDescent="0.2">
      <c r="A97" s="61" t="s">
        <v>5310</v>
      </c>
      <c r="B97" s="61" t="s">
        <v>5311</v>
      </c>
      <c r="C97" s="61" t="s">
        <v>5276</v>
      </c>
      <c r="D97" s="59"/>
      <c r="E97" s="61" t="s">
        <v>5312</v>
      </c>
      <c r="F97" s="61" t="s">
        <v>181</v>
      </c>
      <c r="G97" s="59"/>
      <c r="H97" s="61" t="s">
        <v>5313</v>
      </c>
      <c r="I97" s="61" t="s">
        <v>5314</v>
      </c>
      <c r="J97" s="61" t="s">
        <v>4863</v>
      </c>
      <c r="K97" s="61">
        <v>1</v>
      </c>
      <c r="L97" s="59"/>
      <c r="M97" s="59"/>
      <c r="N97" s="59"/>
      <c r="O97" s="59"/>
      <c r="P97" s="59"/>
      <c r="Q97" s="59"/>
      <c r="R97" s="59"/>
      <c r="S97" s="59"/>
      <c r="T97" s="61">
        <v>79</v>
      </c>
      <c r="U97" s="61" t="s">
        <v>3401</v>
      </c>
      <c r="V97" s="61" t="s">
        <v>3334</v>
      </c>
      <c r="W97" s="60" t="s">
        <v>3477</v>
      </c>
      <c r="X97" s="61" t="s">
        <v>5315</v>
      </c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</row>
    <row r="98" spans="1:35" ht="14" customHeight="1" x14ac:dyDescent="0.2">
      <c r="A98" s="61" t="s">
        <v>4240</v>
      </c>
      <c r="B98" s="61" t="s">
        <v>3954</v>
      </c>
      <c r="C98" s="61" t="s">
        <v>5276</v>
      </c>
      <c r="D98" s="59"/>
      <c r="E98" s="61" t="s">
        <v>253</v>
      </c>
      <c r="F98" s="61" t="s">
        <v>181</v>
      </c>
      <c r="G98" s="59"/>
      <c r="H98" s="61" t="s">
        <v>5316</v>
      </c>
      <c r="I98" s="61" t="s">
        <v>5317</v>
      </c>
      <c r="J98" s="61" t="s">
        <v>4899</v>
      </c>
      <c r="K98" s="61">
        <v>0.1</v>
      </c>
      <c r="L98" s="59"/>
      <c r="M98" s="59"/>
      <c r="N98" s="59"/>
      <c r="O98" s="59"/>
      <c r="P98" s="59"/>
      <c r="Q98" s="59"/>
      <c r="R98" s="59"/>
      <c r="S98" s="59"/>
      <c r="T98" s="61">
        <v>80</v>
      </c>
      <c r="U98" s="61" t="s">
        <v>3560</v>
      </c>
      <c r="V98" s="61" t="s">
        <v>213</v>
      </c>
      <c r="W98" s="60" t="s">
        <v>3477</v>
      </c>
      <c r="X98" s="61" t="s">
        <v>5318</v>
      </c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</row>
    <row r="99" spans="1:35" ht="14" customHeight="1" x14ac:dyDescent="0.2">
      <c r="A99" s="61" t="s">
        <v>5319</v>
      </c>
      <c r="B99" s="61" t="s">
        <v>5320</v>
      </c>
      <c r="C99" s="61" t="s">
        <v>5276</v>
      </c>
      <c r="D99" s="59"/>
      <c r="E99" s="61" t="s">
        <v>3389</v>
      </c>
      <c r="F99" s="61" t="s">
        <v>181</v>
      </c>
      <c r="G99" s="59"/>
      <c r="H99" s="61" t="s">
        <v>5321</v>
      </c>
      <c r="I99" s="61" t="s">
        <v>5322</v>
      </c>
      <c r="J99" s="61" t="s">
        <v>4867</v>
      </c>
      <c r="K99" s="61">
        <v>6.2</v>
      </c>
      <c r="L99" s="59"/>
      <c r="M99" s="59"/>
      <c r="N99" s="59"/>
      <c r="O99" s="59"/>
      <c r="P99" s="59"/>
      <c r="Q99" s="59"/>
      <c r="R99" s="59"/>
      <c r="S99" s="59"/>
      <c r="T99" s="61">
        <v>81</v>
      </c>
      <c r="U99" s="61" t="s">
        <v>3374</v>
      </c>
      <c r="V99" s="61" t="s">
        <v>211</v>
      </c>
      <c r="W99" s="60" t="s">
        <v>3481</v>
      </c>
      <c r="X99" s="61" t="s">
        <v>5323</v>
      </c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</row>
    <row r="100" spans="1:35" ht="14" customHeight="1" x14ac:dyDescent="0.2">
      <c r="A100" s="61" t="s">
        <v>5324</v>
      </c>
      <c r="B100" s="61" t="s">
        <v>5325</v>
      </c>
      <c r="C100" s="61" t="s">
        <v>5276</v>
      </c>
      <c r="D100" s="59"/>
      <c r="E100" s="61" t="s">
        <v>5283</v>
      </c>
      <c r="F100" s="61" t="s">
        <v>181</v>
      </c>
      <c r="G100" s="59"/>
      <c r="H100" s="61" t="s">
        <v>5326</v>
      </c>
      <c r="I100" s="61" t="s">
        <v>5327</v>
      </c>
      <c r="J100" s="61" t="s">
        <v>4873</v>
      </c>
      <c r="K100" s="61">
        <v>0.5</v>
      </c>
      <c r="L100" s="59"/>
      <c r="M100" s="59"/>
      <c r="N100" s="59"/>
      <c r="O100" s="59"/>
      <c r="P100" s="59"/>
      <c r="Q100" s="59"/>
      <c r="R100" s="59"/>
      <c r="S100" s="59"/>
      <c r="T100" s="61">
        <v>82</v>
      </c>
      <c r="U100" s="61" t="s">
        <v>5328</v>
      </c>
      <c r="V100" s="61" t="s">
        <v>211</v>
      </c>
      <c r="W100" s="60" t="s">
        <v>3481</v>
      </c>
      <c r="X100" s="61" t="s">
        <v>5329</v>
      </c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</row>
    <row r="101" spans="1:35" ht="14" customHeight="1" x14ac:dyDescent="0.2">
      <c r="A101" s="61" t="s">
        <v>5330</v>
      </c>
      <c r="B101" s="61" t="s">
        <v>5331</v>
      </c>
      <c r="C101" s="61" t="s">
        <v>5276</v>
      </c>
      <c r="D101" s="59"/>
      <c r="E101" s="61" t="s">
        <v>5283</v>
      </c>
      <c r="F101" s="61" t="s">
        <v>181</v>
      </c>
      <c r="G101" s="59"/>
      <c r="H101" s="61" t="s">
        <v>5332</v>
      </c>
      <c r="I101" s="61" t="s">
        <v>5333</v>
      </c>
      <c r="J101" s="61" t="s">
        <v>4863</v>
      </c>
      <c r="K101" s="61">
        <v>0.5</v>
      </c>
      <c r="L101" s="59"/>
      <c r="M101" s="59"/>
      <c r="N101" s="59"/>
      <c r="O101" s="59"/>
      <c r="P101" s="59"/>
      <c r="Q101" s="59"/>
      <c r="R101" s="59"/>
      <c r="S101" s="59"/>
      <c r="T101" s="61">
        <v>83</v>
      </c>
      <c r="U101" s="61" t="s">
        <v>5334</v>
      </c>
      <c r="V101" s="61" t="s">
        <v>211</v>
      </c>
      <c r="W101" s="60" t="s">
        <v>3481</v>
      </c>
      <c r="X101" s="61" t="s">
        <v>5335</v>
      </c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</row>
    <row r="102" spans="1:35" ht="14" customHeight="1" x14ac:dyDescent="0.2">
      <c r="A102" s="61" t="s">
        <v>3654</v>
      </c>
      <c r="B102" s="61" t="s">
        <v>3655</v>
      </c>
      <c r="C102" s="61" t="s">
        <v>5276</v>
      </c>
      <c r="D102" s="59"/>
      <c r="E102" s="61" t="s">
        <v>3389</v>
      </c>
      <c r="F102" s="61" t="s">
        <v>181</v>
      </c>
      <c r="G102" s="59"/>
      <c r="H102" s="60" t="s">
        <v>5336</v>
      </c>
      <c r="I102" s="61" t="s">
        <v>5337</v>
      </c>
      <c r="J102" s="61" t="s">
        <v>4867</v>
      </c>
      <c r="K102" s="61">
        <v>3.4</v>
      </c>
      <c r="L102" s="59"/>
      <c r="M102" s="59"/>
      <c r="N102" s="59"/>
      <c r="O102" s="59"/>
      <c r="P102" s="59"/>
      <c r="Q102" s="59"/>
      <c r="R102" s="59"/>
      <c r="S102" s="59"/>
      <c r="T102" s="61">
        <v>84</v>
      </c>
      <c r="U102" s="61" t="s">
        <v>3446</v>
      </c>
      <c r="V102" s="61" t="s">
        <v>211</v>
      </c>
      <c r="W102" s="60" t="s">
        <v>3481</v>
      </c>
      <c r="X102" s="61" t="s">
        <v>5338</v>
      </c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</row>
    <row r="103" spans="1:35" ht="14" customHeight="1" x14ac:dyDescent="0.2">
      <c r="A103" s="61" t="s">
        <v>5339</v>
      </c>
      <c r="B103" s="61" t="s">
        <v>5340</v>
      </c>
      <c r="C103" s="61" t="s">
        <v>5276</v>
      </c>
      <c r="D103" s="59"/>
      <c r="E103" s="61" t="s">
        <v>5283</v>
      </c>
      <c r="F103" s="61" t="s">
        <v>181</v>
      </c>
      <c r="G103" s="59"/>
      <c r="H103" s="61" t="s">
        <v>5341</v>
      </c>
      <c r="I103" s="61" t="s">
        <v>5342</v>
      </c>
      <c r="J103" s="61" t="s">
        <v>4867</v>
      </c>
      <c r="K103" s="61">
        <v>4</v>
      </c>
      <c r="L103" s="59"/>
      <c r="M103" s="59"/>
      <c r="N103" s="59"/>
      <c r="O103" s="59"/>
      <c r="P103" s="59"/>
      <c r="Q103" s="59"/>
      <c r="R103" s="59"/>
      <c r="S103" s="59"/>
      <c r="T103" s="61">
        <v>85</v>
      </c>
      <c r="U103" s="61" t="s">
        <v>5343</v>
      </c>
      <c r="V103" s="61" t="s">
        <v>4436</v>
      </c>
      <c r="W103" s="60" t="s">
        <v>3477</v>
      </c>
      <c r="X103" s="61" t="s">
        <v>5344</v>
      </c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</row>
    <row r="104" spans="1:35" ht="14" customHeight="1" x14ac:dyDescent="0.2">
      <c r="A104" s="61" t="s">
        <v>5345</v>
      </c>
      <c r="B104" s="61" t="s">
        <v>5346</v>
      </c>
      <c r="C104" s="61" t="s">
        <v>5276</v>
      </c>
      <c r="D104" s="59"/>
      <c r="E104" s="61" t="s">
        <v>4411</v>
      </c>
      <c r="F104" s="61" t="s">
        <v>181</v>
      </c>
      <c r="G104" s="59"/>
      <c r="H104" s="61" t="s">
        <v>5347</v>
      </c>
      <c r="I104" s="61" t="s">
        <v>5348</v>
      </c>
      <c r="J104" s="61" t="s">
        <v>4867</v>
      </c>
      <c r="K104" s="61">
        <v>1.2</v>
      </c>
      <c r="L104" s="59"/>
      <c r="M104" s="59"/>
      <c r="N104" s="59"/>
      <c r="O104" s="59"/>
      <c r="P104" s="59"/>
      <c r="Q104" s="59"/>
      <c r="R104" s="59"/>
      <c r="S104" s="59"/>
      <c r="T104" s="60">
        <v>86</v>
      </c>
      <c r="U104" s="61" t="s">
        <v>3386</v>
      </c>
      <c r="V104" s="61" t="s">
        <v>3334</v>
      </c>
      <c r="W104" s="60" t="s">
        <v>3477</v>
      </c>
      <c r="X104" s="61" t="s">
        <v>5349</v>
      </c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</row>
    <row r="105" spans="1:35" ht="14" customHeight="1" x14ac:dyDescent="0.2">
      <c r="A105" s="61" t="s">
        <v>5350</v>
      </c>
      <c r="B105" s="61" t="s">
        <v>5351</v>
      </c>
      <c r="C105" s="61" t="s">
        <v>5276</v>
      </c>
      <c r="D105" s="59"/>
      <c r="E105" s="61" t="s">
        <v>3389</v>
      </c>
      <c r="F105" s="61" t="s">
        <v>181</v>
      </c>
      <c r="G105" s="59"/>
      <c r="H105" s="61" t="s">
        <v>5352</v>
      </c>
      <c r="I105" s="61" t="s">
        <v>5353</v>
      </c>
      <c r="J105" s="61" t="s">
        <v>4863</v>
      </c>
      <c r="K105" s="61">
        <v>0.5</v>
      </c>
      <c r="L105" s="59"/>
      <c r="M105" s="59"/>
      <c r="N105" s="59"/>
      <c r="O105" s="59"/>
      <c r="P105" s="59"/>
      <c r="Q105" s="59"/>
      <c r="R105" s="59"/>
      <c r="S105" s="59"/>
      <c r="T105" s="61" t="s">
        <v>4435</v>
      </c>
      <c r="U105" s="61" t="s">
        <v>4435</v>
      </c>
      <c r="V105" s="61" t="s">
        <v>211</v>
      </c>
      <c r="W105" s="60" t="s">
        <v>3481</v>
      </c>
      <c r="X105" s="61" t="s">
        <v>5354</v>
      </c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</row>
    <row r="106" spans="1:35" ht="14" customHeight="1" x14ac:dyDescent="0.2">
      <c r="A106" s="61" t="s">
        <v>5355</v>
      </c>
      <c r="B106" s="61" t="s">
        <v>5356</v>
      </c>
      <c r="C106" s="61" t="s">
        <v>5276</v>
      </c>
      <c r="D106" s="59"/>
      <c r="E106" s="61" t="s">
        <v>3389</v>
      </c>
      <c r="F106" s="61" t="s">
        <v>181</v>
      </c>
      <c r="G106" s="59"/>
      <c r="H106" s="61" t="s">
        <v>5357</v>
      </c>
      <c r="I106" s="61" t="s">
        <v>5358</v>
      </c>
      <c r="J106" s="61" t="s">
        <v>4867</v>
      </c>
      <c r="K106" s="61">
        <v>1</v>
      </c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61" t="s">
        <v>5173</v>
      </c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</row>
    <row r="107" spans="1:35" ht="14" customHeight="1" x14ac:dyDescent="0.2">
      <c r="A107" s="61" t="s">
        <v>5359</v>
      </c>
      <c r="B107" s="61" t="s">
        <v>5360</v>
      </c>
      <c r="C107" s="61" t="s">
        <v>5276</v>
      </c>
      <c r="D107" s="59"/>
      <c r="E107" s="61" t="s">
        <v>3389</v>
      </c>
      <c r="F107" s="61" t="s">
        <v>181</v>
      </c>
      <c r="G107" s="59"/>
      <c r="H107" s="61" t="s">
        <v>5361</v>
      </c>
      <c r="I107" s="61" t="s">
        <v>5362</v>
      </c>
      <c r="J107" s="61" t="s">
        <v>4873</v>
      </c>
      <c r="K107" s="61">
        <v>0.5</v>
      </c>
      <c r="L107" s="59"/>
      <c r="M107" s="59"/>
      <c r="N107" s="59"/>
      <c r="O107" s="59"/>
      <c r="P107" s="59"/>
      <c r="Q107" s="59"/>
      <c r="R107" s="59"/>
      <c r="S107" s="59"/>
      <c r="T107" s="61">
        <v>87</v>
      </c>
      <c r="U107" s="61" t="s">
        <v>3465</v>
      </c>
      <c r="V107" s="61" t="s">
        <v>211</v>
      </c>
      <c r="W107" s="60" t="s">
        <v>3481</v>
      </c>
      <c r="X107" s="61" t="s">
        <v>5363</v>
      </c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</row>
    <row r="108" spans="1:35" ht="14" customHeight="1" x14ac:dyDescent="0.2">
      <c r="A108" s="61" t="s">
        <v>5364</v>
      </c>
      <c r="B108" s="61" t="s">
        <v>5365</v>
      </c>
      <c r="C108" s="61" t="s">
        <v>5276</v>
      </c>
      <c r="D108" s="59"/>
      <c r="E108" s="61" t="s">
        <v>3389</v>
      </c>
      <c r="F108" s="61" t="s">
        <v>181</v>
      </c>
      <c r="G108" s="59"/>
      <c r="H108" s="61" t="s">
        <v>5366</v>
      </c>
      <c r="I108" s="61" t="s">
        <v>5367</v>
      </c>
      <c r="J108" s="61" t="s">
        <v>5368</v>
      </c>
      <c r="K108" s="61">
        <v>0.5</v>
      </c>
      <c r="L108" s="59"/>
      <c r="M108" s="59"/>
      <c r="N108" s="59"/>
      <c r="O108" s="59"/>
      <c r="P108" s="59"/>
      <c r="Q108" s="59"/>
      <c r="R108" s="59"/>
      <c r="S108" s="59"/>
      <c r="T108" s="61">
        <v>88</v>
      </c>
      <c r="U108" s="61" t="s">
        <v>5369</v>
      </c>
      <c r="V108" s="61" t="s">
        <v>211</v>
      </c>
      <c r="W108" s="60" t="s">
        <v>3481</v>
      </c>
      <c r="X108" s="61" t="s">
        <v>5370</v>
      </c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</row>
    <row r="109" spans="1:35" ht="14" customHeight="1" x14ac:dyDescent="0.2">
      <c r="A109" s="61" t="s">
        <v>5371</v>
      </c>
      <c r="B109" s="61" t="s">
        <v>5372</v>
      </c>
      <c r="C109" s="61" t="s">
        <v>5276</v>
      </c>
      <c r="D109" s="59"/>
      <c r="E109" s="61" t="s">
        <v>3389</v>
      </c>
      <c r="F109" s="61" t="s">
        <v>181</v>
      </c>
      <c r="G109" s="59"/>
      <c r="H109" s="61" t="s">
        <v>5373</v>
      </c>
      <c r="I109" s="61" t="s">
        <v>5374</v>
      </c>
      <c r="J109" s="61" t="s">
        <v>4873</v>
      </c>
      <c r="K109" s="61">
        <v>0.5</v>
      </c>
      <c r="L109" s="59"/>
      <c r="M109" s="59"/>
      <c r="N109" s="59"/>
      <c r="O109" s="59"/>
      <c r="P109" s="59"/>
      <c r="Q109" s="59"/>
      <c r="R109" s="59"/>
      <c r="S109" s="59"/>
      <c r="T109" s="61">
        <v>89</v>
      </c>
      <c r="U109" s="61" t="s">
        <v>5375</v>
      </c>
      <c r="V109" s="61" t="s">
        <v>211</v>
      </c>
      <c r="W109" s="60" t="s">
        <v>3481</v>
      </c>
      <c r="X109" s="61" t="s">
        <v>5376</v>
      </c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</row>
    <row r="110" spans="1:35" ht="14" customHeight="1" x14ac:dyDescent="0.2">
      <c r="A110" s="61" t="s">
        <v>5377</v>
      </c>
      <c r="B110" s="61" t="s">
        <v>5378</v>
      </c>
      <c r="C110" s="61" t="s">
        <v>5276</v>
      </c>
      <c r="D110" s="59"/>
      <c r="E110" s="61" t="s">
        <v>3389</v>
      </c>
      <c r="F110" s="61" t="s">
        <v>181</v>
      </c>
      <c r="G110" s="59"/>
      <c r="H110" s="61" t="s">
        <v>531</v>
      </c>
      <c r="I110" s="61" t="s">
        <v>530</v>
      </c>
      <c r="J110" s="61" t="s">
        <v>532</v>
      </c>
      <c r="K110" s="61">
        <v>3.8</v>
      </c>
      <c r="L110" s="59"/>
      <c r="M110" s="59"/>
      <c r="N110" s="59"/>
      <c r="O110" s="59"/>
      <c r="P110" s="59"/>
      <c r="Q110" s="59"/>
      <c r="R110" s="59"/>
      <c r="S110" s="59"/>
      <c r="T110" s="61">
        <v>90</v>
      </c>
      <c r="U110" s="61" t="s">
        <v>4764</v>
      </c>
      <c r="V110" s="61" t="s">
        <v>211</v>
      </c>
      <c r="W110" s="60" t="s">
        <v>3481</v>
      </c>
      <c r="X110" s="61" t="s">
        <v>5379</v>
      </c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</row>
    <row r="111" spans="1:35" ht="14" customHeight="1" x14ac:dyDescent="0.2">
      <c r="A111" s="61" t="s">
        <v>3653</v>
      </c>
      <c r="B111" s="61" t="s">
        <v>3566</v>
      </c>
      <c r="C111" s="61" t="s">
        <v>5276</v>
      </c>
      <c r="D111" s="59"/>
      <c r="E111" s="61" t="s">
        <v>3389</v>
      </c>
      <c r="F111" s="61" t="s">
        <v>181</v>
      </c>
      <c r="G111" s="59"/>
      <c r="H111" s="61" t="s">
        <v>5380</v>
      </c>
      <c r="I111" s="61" t="s">
        <v>5381</v>
      </c>
      <c r="J111" s="61" t="s">
        <v>557</v>
      </c>
      <c r="K111" s="61">
        <v>0.5</v>
      </c>
      <c r="L111" s="59"/>
      <c r="M111" s="59"/>
      <c r="N111" s="59"/>
      <c r="O111" s="59"/>
      <c r="P111" s="59"/>
      <c r="Q111" s="59"/>
      <c r="R111" s="59"/>
      <c r="S111" s="59"/>
      <c r="T111" s="61">
        <v>91</v>
      </c>
      <c r="U111" s="61" t="s">
        <v>3412</v>
      </c>
      <c r="V111" s="61" t="s">
        <v>3334</v>
      </c>
      <c r="W111" s="60" t="s">
        <v>3477</v>
      </c>
      <c r="X111" s="61" t="s">
        <v>5382</v>
      </c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</row>
    <row r="112" spans="1:35" ht="14" customHeight="1" x14ac:dyDescent="0.2">
      <c r="A112" s="61" t="s">
        <v>5383</v>
      </c>
      <c r="B112" s="61" t="s">
        <v>5384</v>
      </c>
      <c r="C112" s="61" t="s">
        <v>5276</v>
      </c>
      <c r="D112" s="59"/>
      <c r="E112" s="61" t="s">
        <v>3389</v>
      </c>
      <c r="F112" s="61" t="s">
        <v>181</v>
      </c>
      <c r="G112" s="59"/>
      <c r="H112" s="61" t="s">
        <v>5385</v>
      </c>
      <c r="I112" s="61" t="s">
        <v>5386</v>
      </c>
      <c r="J112" s="61" t="s">
        <v>557</v>
      </c>
      <c r="K112" s="61">
        <v>2.25</v>
      </c>
      <c r="L112" s="59"/>
      <c r="M112" s="59"/>
      <c r="N112" s="59"/>
      <c r="O112" s="59"/>
      <c r="P112" s="59"/>
      <c r="Q112" s="59"/>
      <c r="R112" s="59"/>
      <c r="S112" s="59"/>
      <c r="T112" s="61">
        <v>92</v>
      </c>
      <c r="U112" s="61" t="s">
        <v>5387</v>
      </c>
      <c r="V112" s="61" t="s">
        <v>3568</v>
      </c>
      <c r="W112" s="60" t="s">
        <v>3481</v>
      </c>
      <c r="X112" s="61" t="s">
        <v>5388</v>
      </c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</row>
    <row r="113" spans="1:35" ht="14" customHeight="1" x14ac:dyDescent="0.2">
      <c r="A113" s="61" t="s">
        <v>3908</v>
      </c>
      <c r="B113" s="61" t="s">
        <v>3909</v>
      </c>
      <c r="C113" s="61" t="s">
        <v>5276</v>
      </c>
      <c r="D113" s="59"/>
      <c r="E113" s="61" t="s">
        <v>3389</v>
      </c>
      <c r="F113" s="61" t="s">
        <v>181</v>
      </c>
      <c r="G113" s="59"/>
      <c r="H113" s="61" t="s">
        <v>5389</v>
      </c>
      <c r="I113" s="61" t="s">
        <v>5390</v>
      </c>
      <c r="J113" s="61" t="s">
        <v>557</v>
      </c>
      <c r="K113" s="61">
        <v>0.5</v>
      </c>
      <c r="L113" s="59"/>
      <c r="M113" s="59"/>
      <c r="N113" s="59"/>
      <c r="O113" s="59"/>
      <c r="P113" s="59"/>
      <c r="Q113" s="59"/>
      <c r="R113" s="59"/>
      <c r="S113" s="59"/>
      <c r="T113" s="61">
        <v>93</v>
      </c>
      <c r="U113" s="61" t="s">
        <v>5391</v>
      </c>
      <c r="V113" s="61" t="s">
        <v>3568</v>
      </c>
      <c r="W113" s="60" t="s">
        <v>3481</v>
      </c>
      <c r="X113" s="61" t="s">
        <v>5392</v>
      </c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</row>
    <row r="114" spans="1:35" ht="14" customHeight="1" x14ac:dyDescent="0.2">
      <c r="A114" s="61" t="s">
        <v>5393</v>
      </c>
      <c r="B114" s="61" t="s">
        <v>5394</v>
      </c>
      <c r="C114" s="61" t="s">
        <v>5276</v>
      </c>
      <c r="D114" s="59"/>
      <c r="E114" s="61" t="s">
        <v>3389</v>
      </c>
      <c r="F114" s="61" t="s">
        <v>181</v>
      </c>
      <c r="G114" s="59"/>
      <c r="H114" s="61" t="s">
        <v>5395</v>
      </c>
      <c r="I114" s="61" t="s">
        <v>5396</v>
      </c>
      <c r="J114" s="61" t="s">
        <v>557</v>
      </c>
      <c r="K114" s="61">
        <v>2.25</v>
      </c>
      <c r="L114" s="59"/>
      <c r="M114" s="59"/>
      <c r="N114" s="59"/>
      <c r="O114" s="59"/>
      <c r="P114" s="59"/>
      <c r="Q114" s="59"/>
      <c r="R114" s="59"/>
      <c r="S114" s="59"/>
      <c r="T114" s="61">
        <v>94</v>
      </c>
      <c r="U114" s="61" t="s">
        <v>5397</v>
      </c>
      <c r="V114" s="61" t="s">
        <v>240</v>
      </c>
      <c r="W114" s="60" t="s">
        <v>3481</v>
      </c>
      <c r="X114" s="61" t="s">
        <v>5398</v>
      </c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</row>
    <row r="115" spans="1:35" ht="14" customHeight="1" x14ac:dyDescent="0.2">
      <c r="A115" s="61" t="s">
        <v>3921</v>
      </c>
      <c r="B115" s="61" t="s">
        <v>3922</v>
      </c>
      <c r="C115" s="61" t="s">
        <v>5276</v>
      </c>
      <c r="D115" s="59"/>
      <c r="E115" s="61" t="s">
        <v>3389</v>
      </c>
      <c r="F115" s="61" t="s">
        <v>181</v>
      </c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</row>
    <row r="116" spans="1:35" ht="14" customHeight="1" x14ac:dyDescent="0.2">
      <c r="A116" s="61" t="s">
        <v>5399</v>
      </c>
      <c r="B116" s="58" t="s">
        <v>5400</v>
      </c>
      <c r="C116" s="61" t="s">
        <v>5401</v>
      </c>
      <c r="D116" s="59"/>
      <c r="E116" s="61" t="s">
        <v>5402</v>
      </c>
      <c r="F116" s="61" t="s">
        <v>181</v>
      </c>
      <c r="G116" s="59"/>
      <c r="H116" s="61" t="s">
        <v>5403</v>
      </c>
      <c r="I116" s="61" t="s">
        <v>5404</v>
      </c>
      <c r="J116" s="61" t="s">
        <v>557</v>
      </c>
      <c r="K116" s="61">
        <v>1.3</v>
      </c>
      <c r="L116" s="59"/>
      <c r="M116" s="59"/>
      <c r="N116" s="59"/>
      <c r="O116" s="59"/>
      <c r="P116" s="59"/>
      <c r="Q116" s="59"/>
      <c r="R116" s="59"/>
      <c r="S116" s="59"/>
      <c r="T116" s="61">
        <v>95</v>
      </c>
      <c r="U116" s="61" t="s">
        <v>5405</v>
      </c>
      <c r="V116" s="61" t="s">
        <v>240</v>
      </c>
      <c r="W116" s="60" t="s">
        <v>3481</v>
      </c>
      <c r="X116" s="61" t="s">
        <v>5406</v>
      </c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</row>
    <row r="117" spans="1:35" ht="14" customHeight="1" x14ac:dyDescent="0.2">
      <c r="A117" s="61" t="s">
        <v>3921</v>
      </c>
      <c r="B117" s="61" t="s">
        <v>5407</v>
      </c>
      <c r="C117" s="61" t="s">
        <v>5276</v>
      </c>
      <c r="D117" s="59"/>
      <c r="E117" s="61" t="s">
        <v>5402</v>
      </c>
      <c r="F117" s="61" t="s">
        <v>181</v>
      </c>
      <c r="G117" s="59"/>
      <c r="H117" s="61" t="s">
        <v>628</v>
      </c>
      <c r="I117" s="61" t="s">
        <v>627</v>
      </c>
      <c r="J117" s="61" t="s">
        <v>532</v>
      </c>
      <c r="K117" s="61">
        <v>2</v>
      </c>
      <c r="L117" s="63">
        <v>45782</v>
      </c>
      <c r="M117" s="59"/>
      <c r="N117" s="59"/>
      <c r="O117" s="59"/>
      <c r="P117" s="59"/>
      <c r="Q117" s="59"/>
      <c r="R117" s="59"/>
      <c r="S117" s="59"/>
      <c r="T117" s="61">
        <v>96</v>
      </c>
      <c r="U117" s="61" t="s">
        <v>5408</v>
      </c>
      <c r="V117" s="61" t="s">
        <v>240</v>
      </c>
      <c r="W117" s="60" t="s">
        <v>3481</v>
      </c>
      <c r="X117" s="61" t="s">
        <v>5409</v>
      </c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</row>
    <row r="118" spans="1:35" ht="14" customHeight="1" x14ac:dyDescent="0.2">
      <c r="A118" s="61" t="s">
        <v>5410</v>
      </c>
      <c r="B118" s="61" t="s">
        <v>3513</v>
      </c>
      <c r="C118" s="61" t="s">
        <v>5276</v>
      </c>
      <c r="D118" s="59"/>
      <c r="E118" s="61" t="s">
        <v>207</v>
      </c>
      <c r="F118" s="61" t="s">
        <v>181</v>
      </c>
      <c r="G118" s="59"/>
      <c r="H118" s="61" t="s">
        <v>5411</v>
      </c>
      <c r="I118" s="61" t="s">
        <v>5412</v>
      </c>
      <c r="J118" s="61" t="s">
        <v>557</v>
      </c>
      <c r="K118" s="61">
        <v>3.4</v>
      </c>
      <c r="L118" s="59"/>
      <c r="M118" s="59"/>
      <c r="N118" s="59"/>
      <c r="O118" s="59"/>
      <c r="P118" s="59"/>
      <c r="Q118" s="59"/>
      <c r="R118" s="59"/>
      <c r="S118" s="59"/>
      <c r="T118" s="61">
        <v>97</v>
      </c>
      <c r="U118" s="64" t="s">
        <v>5413</v>
      </c>
      <c r="V118" s="61" t="s">
        <v>3568</v>
      </c>
      <c r="W118" s="60" t="s">
        <v>3481</v>
      </c>
      <c r="X118" s="61" t="s">
        <v>5414</v>
      </c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</row>
    <row r="119" spans="1:35" ht="14" customHeight="1" x14ac:dyDescent="0.2">
      <c r="A119" s="61" t="s">
        <v>5415</v>
      </c>
      <c r="B119" s="61" t="s">
        <v>5416</v>
      </c>
      <c r="C119" s="61" t="s">
        <v>5276</v>
      </c>
      <c r="D119" s="59"/>
      <c r="E119" s="61" t="s">
        <v>3389</v>
      </c>
      <c r="F119" s="61" t="s">
        <v>181</v>
      </c>
      <c r="G119" s="59"/>
      <c r="H119" s="61" t="s">
        <v>5417</v>
      </c>
      <c r="I119" s="61" t="s">
        <v>5418</v>
      </c>
      <c r="J119" s="61" t="s">
        <v>5368</v>
      </c>
      <c r="K119" s="61">
        <v>0.5</v>
      </c>
      <c r="L119" s="59"/>
      <c r="M119" s="59"/>
      <c r="N119" s="59"/>
      <c r="O119" s="59"/>
      <c r="P119" s="59"/>
      <c r="Q119" s="59"/>
      <c r="R119" s="59"/>
      <c r="S119" s="59"/>
      <c r="T119" s="61">
        <v>98</v>
      </c>
      <c r="U119" s="61" t="s">
        <v>5419</v>
      </c>
      <c r="V119" s="61" t="s">
        <v>3568</v>
      </c>
      <c r="W119" s="60" t="s">
        <v>3481</v>
      </c>
      <c r="X119" s="61" t="s">
        <v>5420</v>
      </c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</row>
    <row r="120" spans="1:35" ht="14" customHeight="1" x14ac:dyDescent="0.2">
      <c r="A120" s="61" t="s">
        <v>4409</v>
      </c>
      <c r="B120" s="61" t="s">
        <v>4410</v>
      </c>
      <c r="C120" s="61" t="s">
        <v>5276</v>
      </c>
      <c r="D120" s="59"/>
      <c r="E120" s="61" t="s">
        <v>4411</v>
      </c>
      <c r="F120" s="61" t="s">
        <v>181</v>
      </c>
      <c r="G120" s="59"/>
      <c r="H120" s="61" t="s">
        <v>5421</v>
      </c>
      <c r="I120" s="61" t="s">
        <v>5422</v>
      </c>
      <c r="J120" s="61" t="s">
        <v>557</v>
      </c>
      <c r="K120" s="61">
        <v>3</v>
      </c>
      <c r="L120" s="59"/>
      <c r="M120" s="59"/>
      <c r="N120" s="59"/>
      <c r="O120" s="59"/>
      <c r="P120" s="59"/>
      <c r="Q120" s="59"/>
      <c r="R120" s="59"/>
      <c r="S120" s="59"/>
      <c r="T120" s="61">
        <v>99</v>
      </c>
      <c r="U120" s="61" t="s">
        <v>5413</v>
      </c>
      <c r="V120" s="61" t="s">
        <v>3568</v>
      </c>
      <c r="W120" s="60" t="s">
        <v>3481</v>
      </c>
      <c r="X120" s="61" t="s">
        <v>5423</v>
      </c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</row>
    <row r="121" spans="1:35" ht="14" customHeight="1" x14ac:dyDescent="0.2">
      <c r="A121" s="61" t="s">
        <v>5424</v>
      </c>
      <c r="B121" s="61" t="s">
        <v>5425</v>
      </c>
      <c r="C121" s="61" t="s">
        <v>5276</v>
      </c>
      <c r="D121" s="59"/>
      <c r="E121" s="61" t="s">
        <v>4411</v>
      </c>
      <c r="F121" s="61" t="s">
        <v>181</v>
      </c>
      <c r="G121" s="59"/>
      <c r="H121" s="61" t="s">
        <v>806</v>
      </c>
      <c r="I121" s="61" t="s">
        <v>805</v>
      </c>
      <c r="J121" s="61" t="s">
        <v>532</v>
      </c>
      <c r="K121" s="61">
        <v>2</v>
      </c>
      <c r="L121" s="59"/>
      <c r="M121" s="59"/>
      <c r="N121" s="59"/>
      <c r="O121" s="59"/>
      <c r="P121" s="59"/>
      <c r="Q121" s="59"/>
      <c r="R121" s="59"/>
      <c r="S121" s="59"/>
      <c r="T121" s="61">
        <v>100</v>
      </c>
      <c r="U121" s="61" t="s">
        <v>5426</v>
      </c>
      <c r="V121" s="61" t="s">
        <v>3568</v>
      </c>
      <c r="W121" s="60" t="s">
        <v>3481</v>
      </c>
      <c r="X121" s="61" t="s">
        <v>5427</v>
      </c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</row>
    <row r="122" spans="1:35" ht="14" customHeight="1" x14ac:dyDescent="0.2">
      <c r="A122" s="61" t="s">
        <v>5428</v>
      </c>
      <c r="B122" s="61" t="s">
        <v>5429</v>
      </c>
      <c r="C122" s="61" t="s">
        <v>5276</v>
      </c>
      <c r="D122" s="59"/>
      <c r="E122" s="61" t="s">
        <v>4411</v>
      </c>
      <c r="F122" s="61" t="s">
        <v>181</v>
      </c>
      <c r="G122" s="59"/>
      <c r="H122" s="61" t="s">
        <v>5430</v>
      </c>
      <c r="I122" s="61" t="s">
        <v>5431</v>
      </c>
      <c r="J122" s="61" t="s">
        <v>5368</v>
      </c>
      <c r="K122" s="61">
        <v>0.5</v>
      </c>
      <c r="L122" s="59"/>
      <c r="M122" s="59"/>
      <c r="N122" s="59"/>
      <c r="O122" s="59"/>
      <c r="P122" s="59"/>
      <c r="Q122" s="59"/>
      <c r="R122" s="59"/>
      <c r="S122" s="59"/>
      <c r="T122" s="61">
        <v>101</v>
      </c>
      <c r="U122" s="61" t="s">
        <v>5432</v>
      </c>
      <c r="V122" s="61" t="s">
        <v>3568</v>
      </c>
      <c r="W122" s="60" t="s">
        <v>3481</v>
      </c>
      <c r="X122" s="61" t="s">
        <v>5433</v>
      </c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</row>
    <row r="123" spans="1:35" ht="14" customHeight="1" x14ac:dyDescent="0.2">
      <c r="A123" s="61" t="s">
        <v>5434</v>
      </c>
      <c r="B123" s="61" t="s">
        <v>5435</v>
      </c>
      <c r="C123" s="61" t="s">
        <v>5276</v>
      </c>
      <c r="D123" s="59"/>
      <c r="E123" s="61" t="s">
        <v>3389</v>
      </c>
      <c r="F123" s="61" t="s">
        <v>181</v>
      </c>
      <c r="G123" s="59"/>
      <c r="H123" s="61" t="s">
        <v>5436</v>
      </c>
      <c r="I123" s="61" t="s">
        <v>5437</v>
      </c>
      <c r="J123" s="61" t="s">
        <v>557</v>
      </c>
      <c r="K123" s="61">
        <v>2.2000000000000002</v>
      </c>
      <c r="L123" s="59"/>
      <c r="M123" s="59"/>
      <c r="N123" s="59"/>
      <c r="O123" s="59"/>
      <c r="P123" s="59"/>
      <c r="Q123" s="59"/>
      <c r="R123" s="59"/>
      <c r="S123" s="59"/>
      <c r="T123" s="61">
        <v>102</v>
      </c>
      <c r="U123" s="61" t="s">
        <v>5438</v>
      </c>
      <c r="V123" s="61" t="s">
        <v>3568</v>
      </c>
      <c r="W123" s="60" t="s">
        <v>3481</v>
      </c>
      <c r="X123" s="61" t="s">
        <v>5439</v>
      </c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</row>
    <row r="124" spans="1:35" ht="14" customHeight="1" x14ac:dyDescent="0.2">
      <c r="A124" s="61" t="s">
        <v>5440</v>
      </c>
      <c r="B124" s="61" t="s">
        <v>5441</v>
      </c>
      <c r="C124" s="61" t="s">
        <v>5276</v>
      </c>
      <c r="D124" s="59"/>
      <c r="E124" s="61" t="s">
        <v>4411</v>
      </c>
      <c r="F124" s="61" t="s">
        <v>181</v>
      </c>
      <c r="G124" s="59"/>
      <c r="H124" s="61" t="s">
        <v>1046</v>
      </c>
      <c r="I124" s="61" t="s">
        <v>5442</v>
      </c>
      <c r="J124" s="61" t="s">
        <v>557</v>
      </c>
      <c r="K124" s="61">
        <v>2</v>
      </c>
      <c r="L124" s="59"/>
      <c r="M124" s="59"/>
      <c r="N124" s="59"/>
      <c r="O124" s="59"/>
      <c r="P124" s="59"/>
      <c r="Q124" s="59"/>
      <c r="R124" s="59"/>
      <c r="S124" s="59"/>
      <c r="T124" s="61">
        <v>103</v>
      </c>
      <c r="U124" s="61" t="s">
        <v>5443</v>
      </c>
      <c r="V124" s="61" t="s">
        <v>3568</v>
      </c>
      <c r="W124" s="60" t="s">
        <v>3481</v>
      </c>
      <c r="X124" s="61" t="s">
        <v>5444</v>
      </c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</row>
    <row r="125" spans="1:35" ht="14" customHeight="1" x14ac:dyDescent="0.2">
      <c r="A125" s="61" t="s">
        <v>5445</v>
      </c>
      <c r="B125" s="61" t="s">
        <v>5446</v>
      </c>
      <c r="C125" s="61" t="s">
        <v>5276</v>
      </c>
      <c r="D125" s="59"/>
      <c r="E125" s="61" t="s">
        <v>4713</v>
      </c>
      <c r="F125" s="61" t="s">
        <v>181</v>
      </c>
      <c r="G125" s="59"/>
      <c r="H125" s="61" t="s">
        <v>5447</v>
      </c>
      <c r="I125" s="61" t="s">
        <v>5448</v>
      </c>
      <c r="J125" s="61" t="s">
        <v>557</v>
      </c>
      <c r="K125" s="61">
        <v>1.4</v>
      </c>
      <c r="L125" s="59"/>
      <c r="M125" s="59"/>
      <c r="N125" s="59"/>
      <c r="O125" s="59"/>
      <c r="P125" s="59"/>
      <c r="Q125" s="59"/>
      <c r="R125" s="59"/>
      <c r="S125" s="59"/>
      <c r="T125" s="61">
        <v>104</v>
      </c>
      <c r="U125" s="61" t="s">
        <v>5449</v>
      </c>
      <c r="V125" s="61" t="s">
        <v>240</v>
      </c>
      <c r="W125" s="60" t="s">
        <v>3481</v>
      </c>
      <c r="X125" s="61" t="s">
        <v>5450</v>
      </c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</row>
    <row r="126" spans="1:35" ht="14" customHeight="1" x14ac:dyDescent="0.2">
      <c r="A126" s="61" t="s">
        <v>5451</v>
      </c>
      <c r="B126" s="61" t="s">
        <v>5452</v>
      </c>
      <c r="C126" s="61" t="s">
        <v>5276</v>
      </c>
      <c r="D126" s="59"/>
      <c r="E126" s="61" t="s">
        <v>5283</v>
      </c>
      <c r="F126" s="61" t="s">
        <v>181</v>
      </c>
      <c r="G126" s="59"/>
      <c r="H126" s="61" t="s">
        <v>5453</v>
      </c>
      <c r="I126" s="61" t="s">
        <v>5454</v>
      </c>
      <c r="J126" s="61" t="s">
        <v>557</v>
      </c>
      <c r="K126" s="61">
        <v>1</v>
      </c>
      <c r="L126" s="59"/>
      <c r="M126" s="59"/>
      <c r="N126" s="59"/>
      <c r="O126" s="59"/>
      <c r="P126" s="59"/>
      <c r="Q126" s="59"/>
      <c r="R126" s="59"/>
      <c r="S126" s="59"/>
      <c r="T126" s="61">
        <v>105</v>
      </c>
      <c r="U126" s="61" t="s">
        <v>5455</v>
      </c>
      <c r="V126" s="61" t="s">
        <v>240</v>
      </c>
      <c r="W126" s="60" t="s">
        <v>3481</v>
      </c>
      <c r="X126" s="61" t="s">
        <v>5456</v>
      </c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</row>
    <row r="127" spans="1:35" ht="14" customHeight="1" x14ac:dyDescent="0.2">
      <c r="A127" s="61" t="s">
        <v>3397</v>
      </c>
      <c r="B127" s="61" t="s">
        <v>3398</v>
      </c>
      <c r="C127" s="61" t="s">
        <v>5276</v>
      </c>
      <c r="D127" s="59"/>
      <c r="E127" s="61" t="s">
        <v>3389</v>
      </c>
      <c r="F127" s="61" t="s">
        <v>181</v>
      </c>
      <c r="G127" s="59"/>
      <c r="H127" s="61" t="s">
        <v>5457</v>
      </c>
      <c r="I127" s="61" t="s">
        <v>5458</v>
      </c>
      <c r="J127" s="61" t="s">
        <v>4863</v>
      </c>
      <c r="K127" s="61">
        <v>1</v>
      </c>
      <c r="L127" s="63">
        <v>45915</v>
      </c>
      <c r="M127" s="59"/>
      <c r="N127" s="59"/>
      <c r="O127" s="59"/>
      <c r="P127" s="59"/>
      <c r="Q127" s="59"/>
      <c r="R127" s="59"/>
      <c r="S127" s="59"/>
      <c r="T127" s="61">
        <v>106</v>
      </c>
      <c r="U127" s="61" t="s">
        <v>5459</v>
      </c>
      <c r="V127" s="61" t="s">
        <v>3568</v>
      </c>
      <c r="W127" s="60" t="s">
        <v>3481</v>
      </c>
      <c r="X127" s="61" t="s">
        <v>5460</v>
      </c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</row>
    <row r="128" spans="1:35" ht="14" customHeight="1" x14ac:dyDescent="0.2">
      <c r="A128" s="61" t="s">
        <v>5461</v>
      </c>
      <c r="B128" s="61" t="s">
        <v>5462</v>
      </c>
      <c r="C128" s="61" t="s">
        <v>5276</v>
      </c>
      <c r="D128" s="59"/>
      <c r="E128" s="61" t="s">
        <v>3389</v>
      </c>
      <c r="F128" s="61" t="s">
        <v>181</v>
      </c>
      <c r="G128" s="59"/>
      <c r="H128" s="61" t="s">
        <v>1057</v>
      </c>
      <c r="I128" s="61" t="s">
        <v>1056</v>
      </c>
      <c r="J128" s="61" t="s">
        <v>532</v>
      </c>
      <c r="K128" s="61">
        <v>2</v>
      </c>
      <c r="L128" s="59"/>
      <c r="M128" s="59"/>
      <c r="N128" s="59"/>
      <c r="O128" s="59"/>
      <c r="P128" s="59"/>
      <c r="Q128" s="59"/>
      <c r="R128" s="59"/>
      <c r="S128" s="59"/>
      <c r="T128" s="61">
        <v>107</v>
      </c>
      <c r="U128" s="61" t="s">
        <v>5463</v>
      </c>
      <c r="V128" s="61" t="s">
        <v>3568</v>
      </c>
      <c r="W128" s="60" t="s">
        <v>3481</v>
      </c>
      <c r="X128" s="61" t="s">
        <v>5464</v>
      </c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</row>
    <row r="129" spans="1:35" ht="14" customHeight="1" x14ac:dyDescent="0.2">
      <c r="A129" s="61" t="s">
        <v>5465</v>
      </c>
      <c r="B129" s="61" t="s">
        <v>5466</v>
      </c>
      <c r="C129" s="61" t="s">
        <v>5276</v>
      </c>
      <c r="D129" s="59"/>
      <c r="E129" s="61" t="s">
        <v>3389</v>
      </c>
      <c r="F129" s="61" t="s">
        <v>181</v>
      </c>
      <c r="G129" s="59"/>
      <c r="H129" s="61" t="s">
        <v>1247</v>
      </c>
      <c r="I129" s="61" t="s">
        <v>1246</v>
      </c>
      <c r="J129" s="61" t="s">
        <v>532</v>
      </c>
      <c r="K129" s="61">
        <v>1.7</v>
      </c>
      <c r="L129" s="59"/>
      <c r="M129" s="59"/>
      <c r="N129" s="59"/>
      <c r="O129" s="59"/>
      <c r="P129" s="59"/>
      <c r="Q129" s="59"/>
      <c r="R129" s="59"/>
      <c r="S129" s="59"/>
      <c r="T129" s="61">
        <v>108</v>
      </c>
      <c r="U129" s="61" t="s">
        <v>5467</v>
      </c>
      <c r="V129" s="61" t="s">
        <v>240</v>
      </c>
      <c r="W129" s="60" t="s">
        <v>3481</v>
      </c>
      <c r="X129" s="61" t="s">
        <v>5468</v>
      </c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</row>
    <row r="130" spans="1:35" ht="14" customHeight="1" x14ac:dyDescent="0.2">
      <c r="A130" s="61" t="s">
        <v>4719</v>
      </c>
      <c r="B130" s="61" t="s">
        <v>4720</v>
      </c>
      <c r="C130" s="61" t="s">
        <v>5469</v>
      </c>
      <c r="D130" s="59"/>
      <c r="E130" s="61" t="s">
        <v>3389</v>
      </c>
      <c r="F130" s="61" t="s">
        <v>181</v>
      </c>
      <c r="G130" s="59"/>
      <c r="H130" s="61" t="s">
        <v>5470</v>
      </c>
      <c r="I130" s="61" t="s">
        <v>5471</v>
      </c>
      <c r="J130" s="61" t="s">
        <v>557</v>
      </c>
      <c r="K130" s="61">
        <v>2.1</v>
      </c>
      <c r="L130" s="59"/>
      <c r="M130" s="59"/>
      <c r="N130" s="59"/>
      <c r="O130" s="59"/>
      <c r="P130" s="59"/>
      <c r="Q130" s="59"/>
      <c r="R130" s="59"/>
      <c r="S130" s="59"/>
      <c r="T130" s="61">
        <v>109</v>
      </c>
      <c r="U130" s="61" t="s">
        <v>5472</v>
      </c>
      <c r="V130" s="61" t="s">
        <v>240</v>
      </c>
      <c r="W130" s="60" t="s">
        <v>3481</v>
      </c>
      <c r="X130" s="61" t="s">
        <v>5473</v>
      </c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</row>
    <row r="131" spans="1:35" ht="14" customHeight="1" x14ac:dyDescent="0.2">
      <c r="A131" s="61" t="s">
        <v>5474</v>
      </c>
      <c r="B131" s="61" t="s">
        <v>5475</v>
      </c>
      <c r="C131" s="61" t="s">
        <v>5276</v>
      </c>
      <c r="D131" s="59"/>
      <c r="E131" s="61" t="s">
        <v>5283</v>
      </c>
      <c r="F131" s="61" t="s">
        <v>181</v>
      </c>
      <c r="G131" s="59"/>
      <c r="H131" s="61" t="s">
        <v>5476</v>
      </c>
      <c r="I131" s="61" t="s">
        <v>5477</v>
      </c>
      <c r="J131" s="61" t="s">
        <v>557</v>
      </c>
      <c r="K131" s="61">
        <v>2.2000000000000002</v>
      </c>
      <c r="L131" s="59"/>
      <c r="M131" s="59"/>
      <c r="N131" s="59"/>
      <c r="O131" s="59"/>
      <c r="P131" s="59"/>
      <c r="Q131" s="59"/>
      <c r="R131" s="59"/>
      <c r="S131" s="59"/>
      <c r="T131" s="61">
        <v>110</v>
      </c>
      <c r="U131" s="61" t="s">
        <v>5478</v>
      </c>
      <c r="V131" s="61" t="s">
        <v>240</v>
      </c>
      <c r="W131" s="60" t="s">
        <v>3481</v>
      </c>
      <c r="X131" s="61" t="s">
        <v>5479</v>
      </c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</row>
    <row r="132" spans="1:35" ht="14" customHeight="1" x14ac:dyDescent="0.2">
      <c r="A132" s="61" t="s">
        <v>5480</v>
      </c>
      <c r="B132" s="61" t="s">
        <v>5481</v>
      </c>
      <c r="C132" s="61" t="s">
        <v>5276</v>
      </c>
      <c r="D132" s="59"/>
      <c r="E132" s="61" t="s">
        <v>5283</v>
      </c>
      <c r="F132" s="61" t="s">
        <v>181</v>
      </c>
      <c r="G132" s="59"/>
      <c r="H132" s="61" t="s">
        <v>5482</v>
      </c>
      <c r="I132" s="61" t="s">
        <v>5483</v>
      </c>
      <c r="J132" s="61" t="s">
        <v>557</v>
      </c>
      <c r="K132" s="61">
        <v>3</v>
      </c>
      <c r="L132" s="59"/>
      <c r="M132" s="59"/>
      <c r="N132" s="59"/>
      <c r="O132" s="59"/>
      <c r="P132" s="59"/>
      <c r="Q132" s="59"/>
      <c r="R132" s="59"/>
      <c r="S132" s="59"/>
      <c r="T132" s="61">
        <v>111</v>
      </c>
      <c r="U132" s="61" t="s">
        <v>5484</v>
      </c>
      <c r="V132" s="61" t="s">
        <v>240</v>
      </c>
      <c r="W132" s="60" t="s">
        <v>3481</v>
      </c>
      <c r="X132" s="61" t="s">
        <v>5485</v>
      </c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</row>
    <row r="133" spans="1:35" ht="14" customHeight="1" x14ac:dyDescent="0.2">
      <c r="A133" s="61" t="s">
        <v>5486</v>
      </c>
      <c r="B133" s="61" t="s">
        <v>5487</v>
      </c>
      <c r="C133" s="61" t="s">
        <v>5276</v>
      </c>
      <c r="D133" s="59"/>
      <c r="E133" s="61" t="s">
        <v>207</v>
      </c>
      <c r="F133" s="61" t="s">
        <v>181</v>
      </c>
      <c r="G133" s="59"/>
      <c r="H133" s="61" t="s">
        <v>847</v>
      </c>
      <c r="I133" s="61" t="s">
        <v>1050</v>
      </c>
      <c r="J133" s="61" t="s">
        <v>532</v>
      </c>
      <c r="K133" s="61">
        <v>2</v>
      </c>
      <c r="L133" s="59"/>
      <c r="M133" s="59"/>
      <c r="N133" s="59"/>
      <c r="O133" s="59"/>
      <c r="P133" s="59"/>
      <c r="Q133" s="59"/>
      <c r="R133" s="59"/>
      <c r="S133" s="59"/>
      <c r="T133" s="61">
        <v>112</v>
      </c>
      <c r="U133" s="61" t="s">
        <v>5488</v>
      </c>
      <c r="V133" s="61" t="s">
        <v>240</v>
      </c>
      <c r="W133" s="60" t="s">
        <v>3481</v>
      </c>
      <c r="X133" s="61" t="s">
        <v>5489</v>
      </c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</row>
    <row r="134" spans="1:35" ht="14" customHeight="1" x14ac:dyDescent="0.2">
      <c r="A134" s="61" t="s">
        <v>5490</v>
      </c>
      <c r="B134" s="61" t="s">
        <v>3432</v>
      </c>
      <c r="C134" s="61" t="s">
        <v>5276</v>
      </c>
      <c r="D134" s="59"/>
      <c r="E134" s="61" t="s">
        <v>3437</v>
      </c>
      <c r="F134" s="61" t="s">
        <v>181</v>
      </c>
      <c r="G134" s="59"/>
      <c r="H134" s="61" t="s">
        <v>5491</v>
      </c>
      <c r="I134" s="61" t="s">
        <v>5492</v>
      </c>
      <c r="J134" s="61" t="s">
        <v>4870</v>
      </c>
      <c r="K134" s="61">
        <v>1</v>
      </c>
      <c r="L134" s="63">
        <v>45915</v>
      </c>
      <c r="M134" s="59"/>
      <c r="N134" s="59"/>
      <c r="O134" s="59"/>
      <c r="P134" s="59"/>
      <c r="Q134" s="59"/>
      <c r="R134" s="59"/>
      <c r="S134" s="59"/>
      <c r="T134" s="61">
        <v>113</v>
      </c>
      <c r="U134" s="61" t="s">
        <v>5493</v>
      </c>
      <c r="V134" s="61" t="s">
        <v>240</v>
      </c>
      <c r="W134" s="60" t="s">
        <v>3481</v>
      </c>
      <c r="X134" s="61" t="s">
        <v>5494</v>
      </c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</row>
    <row r="135" spans="1:35" ht="14" customHeight="1" x14ac:dyDescent="0.2">
      <c r="A135" s="61" t="s">
        <v>5495</v>
      </c>
      <c r="B135" s="61" t="s">
        <v>5496</v>
      </c>
      <c r="C135" s="61" t="s">
        <v>5276</v>
      </c>
      <c r="D135" s="59"/>
      <c r="E135" s="61" t="s">
        <v>3389</v>
      </c>
      <c r="F135" s="61" t="s">
        <v>181</v>
      </c>
      <c r="G135" s="59"/>
      <c r="H135" s="61" t="s">
        <v>5497</v>
      </c>
      <c r="I135" s="61" t="s">
        <v>5498</v>
      </c>
      <c r="J135" s="61" t="s">
        <v>4873</v>
      </c>
      <c r="K135" s="61">
        <v>0.5</v>
      </c>
      <c r="L135" s="59"/>
      <c r="M135" s="59"/>
      <c r="N135" s="59"/>
      <c r="O135" s="59"/>
      <c r="P135" s="59"/>
      <c r="Q135" s="59"/>
      <c r="R135" s="59"/>
      <c r="S135" s="59"/>
      <c r="T135" s="61">
        <v>114</v>
      </c>
      <c r="U135" s="61" t="s">
        <v>5499</v>
      </c>
      <c r="V135" s="61" t="s">
        <v>240</v>
      </c>
      <c r="W135" s="60" t="s">
        <v>3481</v>
      </c>
      <c r="X135" s="61" t="s">
        <v>5500</v>
      </c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</row>
    <row r="136" spans="1:35" ht="14" customHeight="1" x14ac:dyDescent="0.2">
      <c r="A136" s="61" t="s">
        <v>5501</v>
      </c>
      <c r="B136" s="61" t="s">
        <v>5502</v>
      </c>
      <c r="C136" s="61" t="s">
        <v>5276</v>
      </c>
      <c r="D136" s="59"/>
      <c r="E136" s="61" t="s">
        <v>3389</v>
      </c>
      <c r="F136" s="61" t="s">
        <v>181</v>
      </c>
      <c r="G136" s="59"/>
      <c r="H136" s="61" t="s">
        <v>5503</v>
      </c>
      <c r="I136" s="61" t="s">
        <v>5504</v>
      </c>
      <c r="J136" s="61" t="s">
        <v>4863</v>
      </c>
      <c r="K136" s="61">
        <v>1</v>
      </c>
      <c r="L136" s="63">
        <v>45927</v>
      </c>
      <c r="M136" s="59"/>
      <c r="N136" s="59"/>
      <c r="O136" s="59"/>
      <c r="P136" s="59"/>
      <c r="Q136" s="59"/>
      <c r="R136" s="59"/>
      <c r="S136" s="59"/>
      <c r="T136" s="61">
        <v>115</v>
      </c>
      <c r="U136" s="61" t="s">
        <v>5505</v>
      </c>
      <c r="V136" s="61" t="s">
        <v>3568</v>
      </c>
      <c r="W136" s="60" t="s">
        <v>3481</v>
      </c>
      <c r="X136" s="61" t="s">
        <v>5506</v>
      </c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</row>
    <row r="137" spans="1:35" ht="14" customHeight="1" x14ac:dyDescent="0.2">
      <c r="A137" s="61" t="s">
        <v>5507</v>
      </c>
      <c r="B137" s="61" t="s">
        <v>5508</v>
      </c>
      <c r="C137" s="61" t="s">
        <v>5276</v>
      </c>
      <c r="D137" s="59"/>
      <c r="E137" s="61" t="s">
        <v>5312</v>
      </c>
      <c r="F137" s="61" t="s">
        <v>181</v>
      </c>
      <c r="G137" s="59"/>
      <c r="H137" s="61" t="s">
        <v>5509</v>
      </c>
      <c r="I137" s="61" t="s">
        <v>5510</v>
      </c>
      <c r="J137" s="61" t="s">
        <v>4873</v>
      </c>
      <c r="K137" s="61">
        <v>0.5</v>
      </c>
      <c r="L137" s="59"/>
      <c r="M137" s="59"/>
      <c r="N137" s="59"/>
      <c r="O137" s="59"/>
      <c r="P137" s="59"/>
      <c r="Q137" s="59"/>
      <c r="R137" s="59"/>
      <c r="S137" s="59"/>
      <c r="T137" s="61">
        <v>116</v>
      </c>
      <c r="U137" s="61" t="s">
        <v>5511</v>
      </c>
      <c r="V137" s="61" t="s">
        <v>3568</v>
      </c>
      <c r="W137" s="60" t="s">
        <v>3481</v>
      </c>
      <c r="X137" s="61" t="s">
        <v>5512</v>
      </c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</row>
    <row r="138" spans="1:35" ht="14" customHeight="1" x14ac:dyDescent="0.2">
      <c r="A138" s="61" t="s">
        <v>5513</v>
      </c>
      <c r="B138" s="61" t="s">
        <v>5514</v>
      </c>
      <c r="C138" s="61" t="s">
        <v>5276</v>
      </c>
      <c r="D138" s="59"/>
      <c r="E138" s="61" t="s">
        <v>3389</v>
      </c>
      <c r="F138" s="61" t="s">
        <v>181</v>
      </c>
      <c r="G138" s="59"/>
      <c r="H138" s="61" t="s">
        <v>5515</v>
      </c>
      <c r="I138" s="60" t="s">
        <v>5516</v>
      </c>
      <c r="J138" s="60" t="s">
        <v>4867</v>
      </c>
      <c r="K138" s="61">
        <v>2</v>
      </c>
      <c r="L138" s="63">
        <v>45960</v>
      </c>
      <c r="M138" s="59"/>
      <c r="N138" s="59"/>
      <c r="O138" s="59"/>
      <c r="P138" s="59"/>
      <c r="Q138" s="59"/>
      <c r="R138" s="59"/>
      <c r="S138" s="59"/>
      <c r="T138" s="61">
        <v>117</v>
      </c>
      <c r="U138" s="61" t="s">
        <v>5517</v>
      </c>
      <c r="V138" s="61" t="s">
        <v>3568</v>
      </c>
      <c r="W138" s="60" t="s">
        <v>3481</v>
      </c>
      <c r="X138" s="61" t="s">
        <v>5518</v>
      </c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</row>
    <row r="139" spans="1:35" ht="14" customHeight="1" x14ac:dyDescent="0.2">
      <c r="A139" s="61" t="s">
        <v>5519</v>
      </c>
      <c r="B139" s="61" t="s">
        <v>5520</v>
      </c>
      <c r="C139" s="61" t="s">
        <v>5276</v>
      </c>
      <c r="D139" s="59"/>
      <c r="E139" s="61" t="s">
        <v>3389</v>
      </c>
      <c r="F139" s="61" t="s">
        <v>181</v>
      </c>
      <c r="G139" s="59"/>
      <c r="H139" s="61" t="s">
        <v>5521</v>
      </c>
      <c r="I139" s="60" t="s">
        <v>5522</v>
      </c>
      <c r="J139" s="60" t="s">
        <v>4867</v>
      </c>
      <c r="K139" s="60">
        <v>4.5</v>
      </c>
      <c r="L139" s="59"/>
      <c r="M139" s="59"/>
      <c r="N139" s="59"/>
      <c r="O139" s="59"/>
      <c r="P139" s="59"/>
      <c r="Q139" s="59"/>
      <c r="R139" s="59"/>
      <c r="S139" s="59"/>
      <c r="T139" s="61">
        <v>120</v>
      </c>
      <c r="U139" s="61" t="s">
        <v>3415</v>
      </c>
      <c r="V139" s="61" t="s">
        <v>211</v>
      </c>
      <c r="W139" s="60" t="s">
        <v>3481</v>
      </c>
      <c r="X139" s="61" t="s">
        <v>5523</v>
      </c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</row>
    <row r="140" spans="1:35" ht="14" customHeight="1" x14ac:dyDescent="0.2">
      <c r="A140" s="61" t="s">
        <v>5524</v>
      </c>
      <c r="B140" s="61" t="s">
        <v>5525</v>
      </c>
      <c r="C140" s="61" t="s">
        <v>5276</v>
      </c>
      <c r="D140" s="59"/>
      <c r="E140" s="61" t="s">
        <v>5283</v>
      </c>
      <c r="F140" s="61" t="s">
        <v>181</v>
      </c>
      <c r="G140" s="59"/>
      <c r="H140" s="61" t="s">
        <v>5526</v>
      </c>
      <c r="I140" s="60" t="s">
        <v>5527</v>
      </c>
      <c r="J140" s="60" t="s">
        <v>4867</v>
      </c>
      <c r="K140" s="60">
        <v>1.2</v>
      </c>
      <c r="L140" s="59"/>
      <c r="M140" s="59"/>
      <c r="N140" s="59"/>
      <c r="O140" s="59"/>
      <c r="P140" s="59"/>
      <c r="Q140" s="59"/>
      <c r="R140" s="59"/>
      <c r="S140" s="59"/>
      <c r="T140" s="61">
        <v>121</v>
      </c>
      <c r="U140" s="61" t="s">
        <v>3376</v>
      </c>
      <c r="V140" s="61" t="s">
        <v>211</v>
      </c>
      <c r="W140" s="60" t="s">
        <v>3481</v>
      </c>
      <c r="X140" s="61" t="s">
        <v>5528</v>
      </c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</row>
    <row r="141" spans="1:35" ht="14" customHeight="1" x14ac:dyDescent="0.2">
      <c r="A141" s="61" t="s">
        <v>5529</v>
      </c>
      <c r="B141" s="61" t="s">
        <v>5530</v>
      </c>
      <c r="C141" s="61" t="s">
        <v>5276</v>
      </c>
      <c r="D141" s="59"/>
      <c r="E141" s="61" t="s">
        <v>5283</v>
      </c>
      <c r="F141" s="61" t="s">
        <v>181</v>
      </c>
      <c r="G141" s="59"/>
      <c r="H141" s="61" t="s">
        <v>5531</v>
      </c>
      <c r="I141" s="61" t="s">
        <v>5532</v>
      </c>
      <c r="J141" s="61" t="s">
        <v>4863</v>
      </c>
      <c r="K141" s="61">
        <v>1</v>
      </c>
      <c r="L141" s="63">
        <v>45961</v>
      </c>
      <c r="M141" s="59"/>
      <c r="N141" s="59"/>
      <c r="O141" s="59"/>
      <c r="P141" s="59"/>
      <c r="Q141" s="59"/>
      <c r="R141" s="59"/>
      <c r="S141" s="59"/>
      <c r="T141" s="61">
        <v>118</v>
      </c>
      <c r="U141" s="61" t="s">
        <v>5533</v>
      </c>
      <c r="V141" s="61" t="s">
        <v>3568</v>
      </c>
      <c r="W141" s="60" t="s">
        <v>3481</v>
      </c>
      <c r="X141" s="61" t="s">
        <v>5534</v>
      </c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</row>
    <row r="142" spans="1:35" ht="14" customHeight="1" x14ac:dyDescent="0.2">
      <c r="A142" s="61" t="s">
        <v>5535</v>
      </c>
      <c r="B142" s="61" t="s">
        <v>5536</v>
      </c>
      <c r="C142" s="61" t="s">
        <v>5276</v>
      </c>
      <c r="D142" s="59"/>
      <c r="E142" s="61" t="s">
        <v>3389</v>
      </c>
      <c r="F142" s="61" t="s">
        <v>181</v>
      </c>
      <c r="G142" s="59"/>
      <c r="H142" s="61" t="s">
        <v>5537</v>
      </c>
      <c r="I142" s="61" t="s">
        <v>5538</v>
      </c>
      <c r="J142" s="61" t="s">
        <v>4863</v>
      </c>
      <c r="K142" s="61">
        <v>1</v>
      </c>
      <c r="L142" s="59"/>
      <c r="M142" s="59"/>
      <c r="N142" s="59"/>
      <c r="O142" s="59"/>
      <c r="P142" s="59"/>
      <c r="Q142" s="59"/>
      <c r="R142" s="59"/>
      <c r="S142" s="59"/>
      <c r="T142" s="61">
        <v>119</v>
      </c>
      <c r="U142" s="61" t="s">
        <v>3933</v>
      </c>
      <c r="V142" s="61" t="s">
        <v>211</v>
      </c>
      <c r="W142" s="60" t="s">
        <v>3481</v>
      </c>
      <c r="X142" s="61" t="s">
        <v>5539</v>
      </c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</row>
    <row r="143" spans="1:35" ht="14" customHeight="1" x14ac:dyDescent="0.2">
      <c r="A143" s="61" t="s">
        <v>5540</v>
      </c>
      <c r="B143" s="61" t="s">
        <v>5541</v>
      </c>
      <c r="C143" s="61" t="s">
        <v>5276</v>
      </c>
      <c r="D143" s="59"/>
      <c r="E143" s="61" t="s">
        <v>3389</v>
      </c>
      <c r="F143" s="61" t="s">
        <v>181</v>
      </c>
      <c r="G143" s="59"/>
      <c r="H143" s="61" t="s">
        <v>5542</v>
      </c>
      <c r="I143" s="60" t="s">
        <v>5543</v>
      </c>
      <c r="J143" s="60" t="s">
        <v>5544</v>
      </c>
      <c r="K143" s="60" t="s">
        <v>5545</v>
      </c>
      <c r="L143" s="59"/>
      <c r="M143" s="59"/>
      <c r="N143" s="59"/>
      <c r="O143" s="59"/>
      <c r="P143" s="59"/>
      <c r="Q143" s="59"/>
      <c r="R143" s="59"/>
      <c r="S143" s="59"/>
      <c r="T143" s="61">
        <v>123</v>
      </c>
      <c r="U143" s="61" t="s">
        <v>5546</v>
      </c>
      <c r="V143" s="61" t="s">
        <v>240</v>
      </c>
      <c r="W143" s="60" t="s">
        <v>3481</v>
      </c>
      <c r="X143" s="61" t="s">
        <v>5547</v>
      </c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</row>
    <row r="144" spans="1:35" ht="14" customHeight="1" x14ac:dyDescent="0.2">
      <c r="A144" s="61" t="s">
        <v>5548</v>
      </c>
      <c r="B144" s="61" t="s">
        <v>5549</v>
      </c>
      <c r="C144" s="61" t="s">
        <v>5276</v>
      </c>
      <c r="D144" s="59"/>
      <c r="E144" s="61" t="s">
        <v>3389</v>
      </c>
      <c r="F144" s="61" t="s">
        <v>181</v>
      </c>
      <c r="G144" s="59"/>
      <c r="H144" s="61" t="s">
        <v>5550</v>
      </c>
      <c r="I144" s="60" t="s">
        <v>5551</v>
      </c>
      <c r="J144" s="60" t="s">
        <v>4867</v>
      </c>
      <c r="K144" s="60">
        <v>7.6</v>
      </c>
      <c r="L144" s="59"/>
      <c r="M144" s="59"/>
      <c r="N144" s="59"/>
      <c r="O144" s="59"/>
      <c r="P144" s="59"/>
      <c r="Q144" s="59"/>
      <c r="R144" s="59"/>
      <c r="S144" s="59"/>
      <c r="T144" s="61">
        <v>124</v>
      </c>
      <c r="U144" s="61" t="s">
        <v>5552</v>
      </c>
      <c r="V144" s="61" t="s">
        <v>211</v>
      </c>
      <c r="W144" s="60" t="s">
        <v>3481</v>
      </c>
      <c r="X144" s="61" t="s">
        <v>5553</v>
      </c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</row>
    <row r="145" spans="1:35" ht="14" customHeight="1" x14ac:dyDescent="0.2">
      <c r="A145" s="61" t="s">
        <v>5554</v>
      </c>
      <c r="B145" s="61" t="s">
        <v>5555</v>
      </c>
      <c r="C145" s="61" t="s">
        <v>5276</v>
      </c>
      <c r="D145" s="59"/>
      <c r="E145" s="61" t="s">
        <v>3389</v>
      </c>
      <c r="F145" s="61" t="s">
        <v>181</v>
      </c>
      <c r="G145" s="59"/>
      <c r="H145" s="61" t="s">
        <v>5556</v>
      </c>
      <c r="I145" s="61" t="s">
        <v>2046</v>
      </c>
      <c r="J145" s="61" t="s">
        <v>4870</v>
      </c>
      <c r="K145" s="61">
        <v>0.15</v>
      </c>
      <c r="L145" s="59"/>
      <c r="M145" s="59"/>
      <c r="N145" s="59"/>
      <c r="O145" s="59"/>
      <c r="P145" s="59"/>
      <c r="Q145" s="59"/>
      <c r="R145" s="59"/>
      <c r="S145" s="59"/>
      <c r="T145" s="61">
        <v>122</v>
      </c>
      <c r="U145" s="61" t="s">
        <v>5557</v>
      </c>
      <c r="V145" s="61" t="s">
        <v>211</v>
      </c>
      <c r="W145" s="60" t="s">
        <v>3481</v>
      </c>
      <c r="X145" s="61" t="s">
        <v>5558</v>
      </c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</row>
    <row r="146" spans="1:35" ht="14" customHeight="1" x14ac:dyDescent="0.2">
      <c r="A146" s="61" t="s">
        <v>5559</v>
      </c>
      <c r="B146" s="61" t="s">
        <v>5560</v>
      </c>
      <c r="C146" s="61" t="s">
        <v>5276</v>
      </c>
      <c r="D146" s="59"/>
      <c r="E146" s="61" t="s">
        <v>3389</v>
      </c>
      <c r="F146" s="61" t="s">
        <v>181</v>
      </c>
      <c r="G146" s="60" t="s">
        <v>5561</v>
      </c>
      <c r="H146" s="61" t="s">
        <v>5562</v>
      </c>
      <c r="I146" s="60" t="s">
        <v>5563</v>
      </c>
      <c r="J146" s="60" t="s">
        <v>5544</v>
      </c>
      <c r="K146" s="60" t="s">
        <v>5545</v>
      </c>
      <c r="L146" s="59"/>
      <c r="M146" s="59"/>
      <c r="N146" s="59"/>
      <c r="O146" s="59"/>
      <c r="P146" s="59"/>
      <c r="Q146" s="59"/>
      <c r="R146" s="59"/>
      <c r="S146" s="59"/>
      <c r="T146" s="61">
        <v>125</v>
      </c>
      <c r="U146" s="61" t="s">
        <v>5564</v>
      </c>
      <c r="V146" s="61" t="s">
        <v>211</v>
      </c>
      <c r="W146" s="60" t="s">
        <v>3481</v>
      </c>
      <c r="X146" s="61" t="s">
        <v>5565</v>
      </c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</row>
    <row r="147" spans="1:35" ht="14" customHeight="1" x14ac:dyDescent="0.2">
      <c r="A147" s="61" t="s">
        <v>5566</v>
      </c>
      <c r="B147" s="61" t="s">
        <v>5567</v>
      </c>
      <c r="C147" s="61" t="s">
        <v>5276</v>
      </c>
      <c r="D147" s="59"/>
      <c r="E147" s="61" t="s">
        <v>3389</v>
      </c>
      <c r="F147" s="61" t="s">
        <v>181</v>
      </c>
      <c r="G147" s="59"/>
      <c r="H147" s="61" t="s">
        <v>5568</v>
      </c>
      <c r="I147" s="60" t="s">
        <v>5569</v>
      </c>
      <c r="J147" s="60" t="s">
        <v>4867</v>
      </c>
      <c r="K147" s="61">
        <v>4.5</v>
      </c>
      <c r="L147" s="59"/>
      <c r="M147" s="61" t="s">
        <v>5570</v>
      </c>
      <c r="N147" s="59"/>
      <c r="O147" s="59"/>
      <c r="P147" s="59"/>
      <c r="Q147" s="59"/>
      <c r="R147" s="59"/>
      <c r="S147" s="59"/>
      <c r="T147" s="61">
        <v>126</v>
      </c>
      <c r="U147" s="61" t="s">
        <v>5571</v>
      </c>
      <c r="V147" s="61" t="s">
        <v>211</v>
      </c>
      <c r="W147" s="60" t="s">
        <v>3481</v>
      </c>
      <c r="X147" s="61" t="s">
        <v>5572</v>
      </c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</row>
    <row r="148" spans="1:35" ht="14" customHeight="1" x14ac:dyDescent="0.2">
      <c r="A148" s="61" t="s">
        <v>5573</v>
      </c>
      <c r="B148" s="61" t="s">
        <v>5574</v>
      </c>
      <c r="C148" s="61" t="s">
        <v>5276</v>
      </c>
      <c r="D148" s="59"/>
      <c r="E148" s="61" t="s">
        <v>3389</v>
      </c>
      <c r="F148" s="61" t="s">
        <v>181</v>
      </c>
      <c r="G148" s="59"/>
      <c r="H148" s="61" t="s">
        <v>5575</v>
      </c>
      <c r="I148" s="60" t="s">
        <v>5576</v>
      </c>
      <c r="J148" s="60" t="s">
        <v>4867</v>
      </c>
      <c r="K148" s="61">
        <v>2</v>
      </c>
      <c r="L148" s="59"/>
      <c r="M148" s="59"/>
      <c r="N148" s="59"/>
      <c r="O148" s="59"/>
      <c r="P148" s="59"/>
      <c r="Q148" s="59"/>
      <c r="R148" s="59"/>
      <c r="S148" s="59"/>
      <c r="T148" s="61">
        <v>127</v>
      </c>
      <c r="U148" s="61" t="s">
        <v>5577</v>
      </c>
      <c r="V148" s="61" t="s">
        <v>211</v>
      </c>
      <c r="W148" s="60" t="s">
        <v>3481</v>
      </c>
      <c r="X148" s="61" t="s">
        <v>5578</v>
      </c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</row>
    <row r="149" spans="1:35" ht="14" customHeight="1" x14ac:dyDescent="0.2">
      <c r="A149" s="61" t="s">
        <v>5579</v>
      </c>
      <c r="B149" s="61" t="s">
        <v>5580</v>
      </c>
      <c r="C149" s="61" t="s">
        <v>5276</v>
      </c>
      <c r="D149" s="59"/>
      <c r="E149" s="61" t="s">
        <v>3389</v>
      </c>
      <c r="F149" s="61" t="s">
        <v>181</v>
      </c>
      <c r="G149" s="59"/>
      <c r="H149" s="61" t="s">
        <v>5581</v>
      </c>
      <c r="I149" s="60" t="s">
        <v>5582</v>
      </c>
      <c r="J149" s="60" t="s">
        <v>4867</v>
      </c>
      <c r="K149" s="61">
        <v>4.3</v>
      </c>
      <c r="L149" s="59"/>
      <c r="M149" s="59"/>
      <c r="N149" s="59"/>
      <c r="O149" s="59"/>
      <c r="P149" s="59"/>
      <c r="Q149" s="59"/>
      <c r="R149" s="59"/>
      <c r="S149" s="59"/>
      <c r="T149" s="61">
        <v>128</v>
      </c>
      <c r="U149" s="61" t="s">
        <v>5583</v>
      </c>
      <c r="V149" s="61" t="s">
        <v>211</v>
      </c>
      <c r="W149" s="60" t="s">
        <v>3481</v>
      </c>
      <c r="X149" s="61" t="s">
        <v>5584</v>
      </c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</row>
    <row r="150" spans="1:35" ht="15" customHeight="1" x14ac:dyDescent="0.2">
      <c r="A150" s="61" t="s">
        <v>5585</v>
      </c>
      <c r="B150" s="61" t="s">
        <v>5586</v>
      </c>
      <c r="C150" s="61" t="s">
        <v>5276</v>
      </c>
      <c r="D150" s="59"/>
      <c r="E150" s="61" t="s">
        <v>3389</v>
      </c>
      <c r="F150" s="61" t="s">
        <v>181</v>
      </c>
      <c r="G150" s="59"/>
      <c r="H150" s="65" t="s">
        <v>20</v>
      </c>
      <c r="I150" s="66" t="s">
        <v>19</v>
      </c>
      <c r="J150" s="66" t="s">
        <v>21</v>
      </c>
      <c r="K150" s="66">
        <v>3.8</v>
      </c>
      <c r="L150" s="63">
        <v>46000</v>
      </c>
      <c r="M150" s="67">
        <v>46180</v>
      </c>
      <c r="N150" s="61" t="s">
        <v>4855</v>
      </c>
      <c r="O150" s="61" t="s">
        <v>532</v>
      </c>
      <c r="P150" s="61" t="s">
        <v>4856</v>
      </c>
      <c r="Q150" s="61" t="s">
        <v>4857</v>
      </c>
      <c r="R150" s="61" t="s">
        <v>4858</v>
      </c>
      <c r="S150" s="59"/>
      <c r="T150" s="61">
        <v>129</v>
      </c>
      <c r="U150" s="61" t="s">
        <v>5587</v>
      </c>
      <c r="V150" s="61" t="s">
        <v>211</v>
      </c>
      <c r="W150" s="60" t="s">
        <v>3481</v>
      </c>
      <c r="X150" s="61" t="s">
        <v>5588</v>
      </c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</row>
    <row r="151" spans="1:35" ht="15" customHeight="1" x14ac:dyDescent="0.2">
      <c r="A151" s="61" t="s">
        <v>5589</v>
      </c>
      <c r="B151" s="61" t="s">
        <v>5590</v>
      </c>
      <c r="C151" s="61" t="s">
        <v>5276</v>
      </c>
      <c r="D151" s="59"/>
      <c r="E151" s="61" t="s">
        <v>3389</v>
      </c>
      <c r="F151" s="61" t="s">
        <v>181</v>
      </c>
      <c r="G151" s="60">
        <v>6</v>
      </c>
      <c r="H151" s="65" t="s">
        <v>48</v>
      </c>
      <c r="I151" s="65" t="s">
        <v>47</v>
      </c>
      <c r="J151" s="65" t="s">
        <v>21</v>
      </c>
      <c r="K151" s="65">
        <v>2</v>
      </c>
      <c r="L151" s="63">
        <v>46072</v>
      </c>
      <c r="M151" s="67">
        <v>46252</v>
      </c>
      <c r="N151" s="61" t="s">
        <v>4855</v>
      </c>
      <c r="O151" s="61" t="s">
        <v>532</v>
      </c>
      <c r="P151" s="61" t="s">
        <v>4856</v>
      </c>
      <c r="Q151" s="61" t="s">
        <v>4857</v>
      </c>
      <c r="R151" s="61" t="s">
        <v>4859</v>
      </c>
      <c r="S151" s="59"/>
      <c r="T151" s="61">
        <v>130</v>
      </c>
      <c r="U151" s="61" t="s">
        <v>5591</v>
      </c>
      <c r="V151" s="61" t="s">
        <v>211</v>
      </c>
      <c r="W151" s="60" t="s">
        <v>3481</v>
      </c>
      <c r="X151" s="61" t="s">
        <v>5592</v>
      </c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</row>
    <row r="152" spans="1:35" ht="15" customHeight="1" x14ac:dyDescent="0.2">
      <c r="A152" s="61" t="s">
        <v>5593</v>
      </c>
      <c r="B152" s="61" t="s">
        <v>5594</v>
      </c>
      <c r="C152" s="61" t="s">
        <v>5276</v>
      </c>
      <c r="D152" s="59"/>
      <c r="E152" s="61" t="s">
        <v>3389</v>
      </c>
      <c r="F152" s="61" t="s">
        <v>181</v>
      </c>
      <c r="G152" s="60">
        <v>8</v>
      </c>
      <c r="H152" s="65" t="s">
        <v>4180</v>
      </c>
      <c r="I152" s="66" t="s">
        <v>4180</v>
      </c>
      <c r="J152" s="66" t="s">
        <v>75</v>
      </c>
      <c r="K152" s="66">
        <v>0.1</v>
      </c>
      <c r="L152" s="63">
        <v>45698</v>
      </c>
      <c r="M152" s="67">
        <v>45938</v>
      </c>
      <c r="N152" s="61" t="s">
        <v>4866</v>
      </c>
      <c r="O152" s="61" t="s">
        <v>4863</v>
      </c>
      <c r="P152" s="59"/>
      <c r="Q152" s="61" t="s">
        <v>4865</v>
      </c>
      <c r="R152" s="61" t="s">
        <v>4859</v>
      </c>
      <c r="S152" s="59"/>
      <c r="T152" s="61">
        <v>131</v>
      </c>
      <c r="U152" s="61" t="s">
        <v>5595</v>
      </c>
      <c r="V152" s="61" t="s">
        <v>211</v>
      </c>
      <c r="W152" s="60" t="s">
        <v>3481</v>
      </c>
      <c r="X152" s="61" t="s">
        <v>5596</v>
      </c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</row>
    <row r="153" spans="1:35" ht="15" customHeight="1" x14ac:dyDescent="0.2">
      <c r="A153" s="59"/>
      <c r="B153" s="59"/>
      <c r="C153" s="59"/>
      <c r="D153" s="59"/>
      <c r="E153" s="59"/>
      <c r="F153" s="61" t="s">
        <v>181</v>
      </c>
      <c r="G153" s="59"/>
      <c r="H153" s="65" t="s">
        <v>54</v>
      </c>
      <c r="I153" s="65" t="s">
        <v>53</v>
      </c>
      <c r="J153" s="65" t="s">
        <v>21</v>
      </c>
      <c r="K153" s="65">
        <v>2</v>
      </c>
      <c r="L153" s="63">
        <v>46086</v>
      </c>
      <c r="M153" s="67">
        <v>46266</v>
      </c>
      <c r="N153" s="61" t="s">
        <v>4855</v>
      </c>
      <c r="O153" s="61" t="s">
        <v>4860</v>
      </c>
      <c r="P153" s="61" t="s">
        <v>4861</v>
      </c>
      <c r="Q153" s="61" t="s">
        <v>4857</v>
      </c>
      <c r="R153" s="61" t="s">
        <v>4859</v>
      </c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</row>
    <row r="154" spans="1:35" ht="15" customHeight="1" x14ac:dyDescent="0.2">
      <c r="A154" s="59"/>
      <c r="B154" s="59"/>
      <c r="C154" s="59"/>
      <c r="D154" s="59"/>
      <c r="E154" s="59"/>
      <c r="F154" s="61" t="s">
        <v>181</v>
      </c>
      <c r="G154" s="59"/>
      <c r="H154" s="66" t="s">
        <v>40</v>
      </c>
      <c r="I154" s="65" t="s">
        <v>39</v>
      </c>
      <c r="J154" s="65" t="s">
        <v>21</v>
      </c>
      <c r="K154" s="65">
        <v>1.91</v>
      </c>
      <c r="L154" s="63">
        <v>46037</v>
      </c>
      <c r="M154" s="67">
        <v>46217</v>
      </c>
      <c r="N154" s="61" t="s">
        <v>4855</v>
      </c>
      <c r="O154" s="61" t="s">
        <v>532</v>
      </c>
      <c r="P154" s="59"/>
      <c r="Q154" s="61" t="s">
        <v>4857</v>
      </c>
      <c r="R154" s="61" t="s">
        <v>4859</v>
      </c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</row>
    <row r="155" spans="1:35" ht="15" customHeight="1" x14ac:dyDescent="0.2">
      <c r="A155" s="61" t="s">
        <v>5597</v>
      </c>
      <c r="B155" s="61" t="s">
        <v>5598</v>
      </c>
      <c r="C155" s="61" t="s">
        <v>5276</v>
      </c>
      <c r="D155" s="59"/>
      <c r="E155" s="61" t="s">
        <v>3389</v>
      </c>
      <c r="F155" s="61" t="s">
        <v>181</v>
      </c>
      <c r="G155" s="59"/>
      <c r="H155" s="65" t="s">
        <v>61</v>
      </c>
      <c r="I155" s="65" t="s">
        <v>60</v>
      </c>
      <c r="J155" s="65" t="s">
        <v>21</v>
      </c>
      <c r="K155" s="65">
        <v>1.6</v>
      </c>
      <c r="L155" s="63">
        <v>46108</v>
      </c>
      <c r="M155" s="67">
        <v>46288</v>
      </c>
      <c r="N155" s="61" t="s">
        <v>4855</v>
      </c>
      <c r="O155" s="61" t="s">
        <v>532</v>
      </c>
      <c r="P155" s="61" t="s">
        <v>4862</v>
      </c>
      <c r="Q155" s="61" t="s">
        <v>4857</v>
      </c>
      <c r="R155" s="61" t="s">
        <v>4859</v>
      </c>
      <c r="S155" s="59"/>
      <c r="T155" s="61">
        <v>132</v>
      </c>
      <c r="U155" s="61" t="s">
        <v>3368</v>
      </c>
      <c r="V155" s="61" t="s">
        <v>211</v>
      </c>
      <c r="W155" s="60" t="s">
        <v>3481</v>
      </c>
      <c r="X155" s="61" t="s">
        <v>5599</v>
      </c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</row>
    <row r="156" spans="1:35" ht="15" customHeight="1" x14ac:dyDescent="0.2">
      <c r="A156" s="61" t="s">
        <v>5600</v>
      </c>
      <c r="B156" s="61" t="s">
        <v>5601</v>
      </c>
      <c r="C156" s="61" t="s">
        <v>5276</v>
      </c>
      <c r="D156" s="59"/>
      <c r="E156" s="61" t="s">
        <v>4411</v>
      </c>
      <c r="F156" s="61" t="s">
        <v>181</v>
      </c>
      <c r="G156" s="59"/>
      <c r="H156" s="65" t="s">
        <v>69</v>
      </c>
      <c r="I156" s="66" t="s">
        <v>68</v>
      </c>
      <c r="J156" s="66" t="s">
        <v>21</v>
      </c>
      <c r="K156" s="66">
        <v>1</v>
      </c>
      <c r="L156" s="63">
        <v>46114</v>
      </c>
      <c r="M156" s="67">
        <v>46294</v>
      </c>
      <c r="N156" s="61" t="s">
        <v>4855</v>
      </c>
      <c r="O156" s="61" t="s">
        <v>4863</v>
      </c>
      <c r="P156" s="61" t="s">
        <v>4864</v>
      </c>
      <c r="Q156" s="61" t="s">
        <v>4865</v>
      </c>
      <c r="R156" s="61" t="s">
        <v>4859</v>
      </c>
      <c r="S156" s="59"/>
      <c r="T156" s="61">
        <v>133</v>
      </c>
      <c r="U156" s="61" t="s">
        <v>5602</v>
      </c>
      <c r="V156" s="61" t="s">
        <v>211</v>
      </c>
      <c r="W156" s="60" t="s">
        <v>3481</v>
      </c>
      <c r="X156" s="61" t="s">
        <v>5603</v>
      </c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</row>
    <row r="157" spans="1:35" ht="15" customHeight="1" x14ac:dyDescent="0.2">
      <c r="A157" s="61" t="s">
        <v>5604</v>
      </c>
      <c r="B157" s="61" t="s">
        <v>5605</v>
      </c>
      <c r="C157" s="61" t="s">
        <v>5276</v>
      </c>
      <c r="D157" s="59"/>
      <c r="E157" s="61" t="s">
        <v>350</v>
      </c>
      <c r="F157" s="61" t="s">
        <v>181</v>
      </c>
      <c r="G157" s="59"/>
      <c r="H157" s="65" t="s">
        <v>74</v>
      </c>
      <c r="I157" s="66" t="s">
        <v>73</v>
      </c>
      <c r="J157" s="66" t="s">
        <v>75</v>
      </c>
      <c r="K157" s="66">
        <v>2.2999999999999998</v>
      </c>
      <c r="L157" s="63">
        <v>46130</v>
      </c>
      <c r="M157" s="67">
        <v>46370</v>
      </c>
      <c r="N157" s="61" t="s">
        <v>4866</v>
      </c>
      <c r="O157" s="61" t="s">
        <v>4867</v>
      </c>
      <c r="P157" s="61" t="s">
        <v>4868</v>
      </c>
      <c r="Q157" s="61" t="s">
        <v>4857</v>
      </c>
      <c r="R157" s="61" t="s">
        <v>4859</v>
      </c>
      <c r="S157" s="59"/>
      <c r="T157" s="61">
        <v>134</v>
      </c>
      <c r="U157" s="61" t="s">
        <v>5606</v>
      </c>
      <c r="V157" s="61" t="s">
        <v>211</v>
      </c>
      <c r="W157" s="60" t="s">
        <v>3481</v>
      </c>
      <c r="X157" s="61" t="s">
        <v>5607</v>
      </c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</row>
    <row r="158" spans="1:35" ht="15" customHeight="1" x14ac:dyDescent="0.2">
      <c r="A158" s="61" t="s">
        <v>5608</v>
      </c>
      <c r="B158" s="61" t="s">
        <v>5609</v>
      </c>
      <c r="C158" s="61" t="s">
        <v>5276</v>
      </c>
      <c r="D158" s="59"/>
      <c r="E158" s="61" t="s">
        <v>350</v>
      </c>
      <c r="F158" s="61" t="s">
        <v>181</v>
      </c>
      <c r="G158" s="59"/>
      <c r="H158" s="68" t="s">
        <v>81</v>
      </c>
      <c r="I158" s="65" t="s">
        <v>80</v>
      </c>
      <c r="J158" s="65" t="s">
        <v>21</v>
      </c>
      <c r="K158" s="65">
        <v>2.2999999999999998</v>
      </c>
      <c r="L158" s="63">
        <v>46114</v>
      </c>
      <c r="M158" s="67">
        <v>46294</v>
      </c>
      <c r="N158" s="61" t="s">
        <v>4855</v>
      </c>
      <c r="O158" s="61" t="s">
        <v>4867</v>
      </c>
      <c r="P158" s="61" t="s">
        <v>4864</v>
      </c>
      <c r="Q158" s="61" t="s">
        <v>4857</v>
      </c>
      <c r="R158" s="61" t="s">
        <v>4859</v>
      </c>
      <c r="S158" s="59"/>
      <c r="T158" s="61">
        <v>135</v>
      </c>
      <c r="U158" s="61" t="s">
        <v>5610</v>
      </c>
      <c r="V158" s="61" t="s">
        <v>211</v>
      </c>
      <c r="W158" s="60" t="s">
        <v>3481</v>
      </c>
      <c r="X158" s="61" t="s">
        <v>5611</v>
      </c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</row>
    <row r="159" spans="1:35" ht="15" customHeight="1" x14ac:dyDescent="0.2">
      <c r="A159" s="61" t="s">
        <v>5612</v>
      </c>
      <c r="B159" s="61" t="s">
        <v>5613</v>
      </c>
      <c r="C159" s="61" t="s">
        <v>5276</v>
      </c>
      <c r="D159" s="59"/>
      <c r="E159" s="61" t="s">
        <v>3389</v>
      </c>
      <c r="F159" s="61" t="s">
        <v>181</v>
      </c>
      <c r="G159" s="59"/>
      <c r="H159" s="65" t="s">
        <v>85</v>
      </c>
      <c r="I159" s="65" t="s">
        <v>84</v>
      </c>
      <c r="J159" s="65" t="s">
        <v>21</v>
      </c>
      <c r="K159" s="65">
        <v>2</v>
      </c>
      <c r="L159" s="63">
        <v>46132</v>
      </c>
      <c r="M159" s="67">
        <v>46312</v>
      </c>
      <c r="N159" s="61" t="s">
        <v>4855</v>
      </c>
      <c r="O159" s="61" t="s">
        <v>4867</v>
      </c>
      <c r="P159" s="61" t="s">
        <v>4869</v>
      </c>
      <c r="Q159" s="61" t="s">
        <v>4865</v>
      </c>
      <c r="R159" s="61" t="s">
        <v>4859</v>
      </c>
      <c r="S159" s="59"/>
      <c r="T159" s="61">
        <v>136</v>
      </c>
      <c r="U159" s="61" t="s">
        <v>5614</v>
      </c>
      <c r="V159" s="61" t="s">
        <v>211</v>
      </c>
      <c r="W159" s="60" t="s">
        <v>3481</v>
      </c>
      <c r="X159" s="61" t="s">
        <v>5615</v>
      </c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</row>
    <row r="160" spans="1:35" ht="15" customHeight="1" x14ac:dyDescent="0.2">
      <c r="A160" s="61" t="s">
        <v>5616</v>
      </c>
      <c r="B160" s="61" t="s">
        <v>5617</v>
      </c>
      <c r="C160" s="61" t="s">
        <v>5276</v>
      </c>
      <c r="D160" s="59"/>
      <c r="E160" s="61" t="s">
        <v>3389</v>
      </c>
      <c r="F160" s="61" t="s">
        <v>181</v>
      </c>
      <c r="G160" s="59"/>
      <c r="H160" s="65" t="s">
        <v>90</v>
      </c>
      <c r="I160" s="65" t="s">
        <v>89</v>
      </c>
      <c r="J160" s="65" t="s">
        <v>21</v>
      </c>
      <c r="K160" s="65">
        <v>1</v>
      </c>
      <c r="L160" s="63">
        <v>46127</v>
      </c>
      <c r="M160" s="67">
        <v>46307</v>
      </c>
      <c r="N160" s="61" t="s">
        <v>4855</v>
      </c>
      <c r="O160" s="61" t="s">
        <v>4870</v>
      </c>
      <c r="P160" s="61" t="s">
        <v>4871</v>
      </c>
      <c r="Q160" s="61" t="s">
        <v>4865</v>
      </c>
      <c r="R160" s="61" t="s">
        <v>4859</v>
      </c>
      <c r="S160" s="59"/>
      <c r="T160" s="61">
        <v>137</v>
      </c>
      <c r="U160" s="61" t="s">
        <v>5618</v>
      </c>
      <c r="V160" s="61" t="s">
        <v>211</v>
      </c>
      <c r="W160" s="60" t="s">
        <v>3481</v>
      </c>
      <c r="X160" s="61" t="s">
        <v>5619</v>
      </c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</row>
    <row r="161" spans="1:35" ht="15" customHeight="1" x14ac:dyDescent="0.2">
      <c r="A161" s="61" t="s">
        <v>5620</v>
      </c>
      <c r="B161" s="61" t="s">
        <v>384</v>
      </c>
      <c r="C161" s="61" t="s">
        <v>5276</v>
      </c>
      <c r="D161" s="59"/>
      <c r="E161" s="61" t="s">
        <v>3389</v>
      </c>
      <c r="F161" s="61" t="s">
        <v>181</v>
      </c>
      <c r="G161" s="59"/>
      <c r="H161" s="65" t="s">
        <v>92</v>
      </c>
      <c r="I161" s="65" t="s">
        <v>91</v>
      </c>
      <c r="J161" s="65" t="s">
        <v>21</v>
      </c>
      <c r="K161" s="65">
        <v>1.3</v>
      </c>
      <c r="L161" s="63">
        <v>46130</v>
      </c>
      <c r="M161" s="67">
        <v>46310</v>
      </c>
      <c r="N161" s="61" t="s">
        <v>4855</v>
      </c>
      <c r="O161" s="61" t="s">
        <v>4867</v>
      </c>
      <c r="P161" s="61" t="s">
        <v>4872</v>
      </c>
      <c r="Q161" s="61" t="s">
        <v>4865</v>
      </c>
      <c r="R161" s="61" t="s">
        <v>4859</v>
      </c>
      <c r="S161" s="59"/>
      <c r="T161" s="61">
        <v>138</v>
      </c>
      <c r="U161" s="61" t="s">
        <v>5621</v>
      </c>
      <c r="V161" s="61" t="s">
        <v>211</v>
      </c>
      <c r="W161" s="60" t="s">
        <v>3481</v>
      </c>
      <c r="X161" s="61" t="s">
        <v>5622</v>
      </c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</row>
    <row r="162" spans="1:35" ht="15" customHeight="1" x14ac:dyDescent="0.2">
      <c r="A162" s="61" t="s">
        <v>5623</v>
      </c>
      <c r="B162" s="61" t="s">
        <v>5624</v>
      </c>
      <c r="C162" s="61" t="s">
        <v>5276</v>
      </c>
      <c r="D162" s="59"/>
      <c r="E162" s="61" t="s">
        <v>3389</v>
      </c>
      <c r="F162" s="61" t="s">
        <v>181</v>
      </c>
      <c r="G162" s="59"/>
      <c r="H162" s="65" t="s">
        <v>140</v>
      </c>
      <c r="I162" s="66" t="s">
        <v>139</v>
      </c>
      <c r="J162" s="65" t="s">
        <v>75</v>
      </c>
      <c r="K162" s="66">
        <v>0.8</v>
      </c>
      <c r="L162" s="63">
        <v>46168</v>
      </c>
      <c r="M162" s="67">
        <v>46348</v>
      </c>
      <c r="N162" s="61" t="s">
        <v>4855</v>
      </c>
      <c r="O162" s="61" t="s">
        <v>4873</v>
      </c>
      <c r="P162" s="61" t="s">
        <v>4868</v>
      </c>
      <c r="Q162" s="61" t="s">
        <v>4865</v>
      </c>
      <c r="R162" s="61" t="s">
        <v>4859</v>
      </c>
      <c r="S162" s="61" t="s">
        <v>4874</v>
      </c>
      <c r="T162" s="61">
        <v>139</v>
      </c>
      <c r="U162" s="61" t="s">
        <v>5625</v>
      </c>
      <c r="V162" s="61" t="s">
        <v>211</v>
      </c>
      <c r="W162" s="60" t="s">
        <v>3481</v>
      </c>
      <c r="X162" s="61" t="s">
        <v>5626</v>
      </c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</row>
    <row r="163" spans="1:35" ht="15" customHeight="1" x14ac:dyDescent="0.2">
      <c r="A163" s="61" t="s">
        <v>5627</v>
      </c>
      <c r="B163" s="61" t="s">
        <v>5628</v>
      </c>
      <c r="C163" s="61" t="s">
        <v>5276</v>
      </c>
      <c r="D163" s="59"/>
      <c r="E163" s="61" t="s">
        <v>3389</v>
      </c>
      <c r="F163" s="61" t="s">
        <v>181</v>
      </c>
      <c r="G163" s="59"/>
      <c r="H163" s="65" t="s">
        <v>136</v>
      </c>
      <c r="I163" s="66" t="s">
        <v>135</v>
      </c>
      <c r="J163" s="66" t="s">
        <v>21</v>
      </c>
      <c r="K163" s="66">
        <v>1</v>
      </c>
      <c r="L163" s="63">
        <v>46199</v>
      </c>
      <c r="M163" s="67">
        <v>46379</v>
      </c>
      <c r="N163" s="61" t="s">
        <v>4866</v>
      </c>
      <c r="O163" s="61" t="s">
        <v>4863</v>
      </c>
      <c r="P163" s="61" t="s">
        <v>4875</v>
      </c>
      <c r="Q163" s="61" t="s">
        <v>4865</v>
      </c>
      <c r="R163" s="61" t="s">
        <v>4859</v>
      </c>
      <c r="S163" s="61" t="s">
        <v>4874</v>
      </c>
      <c r="T163" s="61">
        <v>140</v>
      </c>
      <c r="U163" s="61" t="s">
        <v>5629</v>
      </c>
      <c r="V163" s="61" t="s">
        <v>211</v>
      </c>
      <c r="W163" s="60" t="s">
        <v>3481</v>
      </c>
      <c r="X163" s="61" t="s">
        <v>5630</v>
      </c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</row>
    <row r="164" spans="1:35" ht="15" customHeight="1" x14ac:dyDescent="0.2">
      <c r="A164" s="61" t="s">
        <v>5631</v>
      </c>
      <c r="B164" s="61" t="s">
        <v>5632</v>
      </c>
      <c r="C164" s="61" t="s">
        <v>5276</v>
      </c>
      <c r="D164" s="59"/>
      <c r="E164" s="61" t="s">
        <v>3389</v>
      </c>
      <c r="F164" s="61" t="s">
        <v>181</v>
      </c>
      <c r="G164" s="59"/>
      <c r="H164" s="65" t="s">
        <v>142</v>
      </c>
      <c r="I164" s="66" t="s">
        <v>141</v>
      </c>
      <c r="J164" s="65" t="s">
        <v>75</v>
      </c>
      <c r="K164" s="66">
        <v>1</v>
      </c>
      <c r="L164" s="63">
        <v>46196</v>
      </c>
      <c r="M164" s="59"/>
      <c r="N164" s="61" t="s">
        <v>4866</v>
      </c>
      <c r="O164" s="61" t="s">
        <v>4863</v>
      </c>
      <c r="P164" s="59"/>
      <c r="Q164" s="61" t="s">
        <v>4865</v>
      </c>
      <c r="R164" s="61" t="s">
        <v>4859</v>
      </c>
      <c r="S164" s="61" t="s">
        <v>4874</v>
      </c>
      <c r="T164" s="61">
        <v>141</v>
      </c>
      <c r="U164" s="61" t="s">
        <v>5633</v>
      </c>
      <c r="V164" s="61" t="s">
        <v>211</v>
      </c>
      <c r="W164" s="60" t="s">
        <v>3481</v>
      </c>
      <c r="X164" s="61" t="s">
        <v>5634</v>
      </c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</row>
    <row r="165" spans="1:35" ht="15" customHeight="1" x14ac:dyDescent="0.2">
      <c r="A165" s="61" t="s">
        <v>4332</v>
      </c>
      <c r="B165" s="61" t="s">
        <v>4333</v>
      </c>
      <c r="C165" s="61" t="s">
        <v>5276</v>
      </c>
      <c r="D165" s="59"/>
      <c r="E165" s="61" t="s">
        <v>3389</v>
      </c>
      <c r="F165" s="61" t="s">
        <v>181</v>
      </c>
      <c r="G165" s="59"/>
      <c r="H165" s="65" t="s">
        <v>97</v>
      </c>
      <c r="I165" s="66" t="s">
        <v>96</v>
      </c>
      <c r="J165" s="66" t="s">
        <v>21</v>
      </c>
      <c r="K165" s="66">
        <v>4.5</v>
      </c>
      <c r="L165" s="63">
        <v>46143</v>
      </c>
      <c r="M165" s="67">
        <v>46333</v>
      </c>
      <c r="N165" s="61" t="s">
        <v>4855</v>
      </c>
      <c r="O165" s="61" t="s">
        <v>4867</v>
      </c>
      <c r="P165" s="61" t="s">
        <v>4877</v>
      </c>
      <c r="Q165" s="61" t="s">
        <v>4865</v>
      </c>
      <c r="R165" s="61" t="s">
        <v>4859</v>
      </c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</row>
    <row r="166" spans="1:35" ht="15" customHeight="1" x14ac:dyDescent="0.2">
      <c r="A166" s="61" t="s">
        <v>3571</v>
      </c>
      <c r="B166" s="61" t="s">
        <v>3518</v>
      </c>
      <c r="C166" s="61" t="s">
        <v>5276</v>
      </c>
      <c r="D166" s="59"/>
      <c r="E166" s="61" t="s">
        <v>3389</v>
      </c>
      <c r="F166" s="61" t="s">
        <v>181</v>
      </c>
      <c r="G166" s="59"/>
      <c r="H166" s="65" t="s">
        <v>102</v>
      </c>
      <c r="I166" s="65" t="s">
        <v>101</v>
      </c>
      <c r="J166" s="65" t="s">
        <v>75</v>
      </c>
      <c r="K166" s="65">
        <v>7.6</v>
      </c>
      <c r="L166" s="63">
        <v>46140</v>
      </c>
      <c r="M166" s="67">
        <v>46380</v>
      </c>
      <c r="N166" s="61" t="s">
        <v>4866</v>
      </c>
      <c r="O166" s="61" t="s">
        <v>4867</v>
      </c>
      <c r="P166" s="61" t="s">
        <v>4868</v>
      </c>
      <c r="Q166" s="61" t="s">
        <v>4857</v>
      </c>
      <c r="R166" s="61" t="s">
        <v>4859</v>
      </c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</row>
    <row r="167" spans="1:35" ht="15" customHeight="1" x14ac:dyDescent="0.2">
      <c r="A167" s="61" t="s">
        <v>5635</v>
      </c>
      <c r="B167" s="61" t="s">
        <v>5636</v>
      </c>
      <c r="C167" s="61" t="s">
        <v>5276</v>
      </c>
      <c r="D167" s="59"/>
      <c r="E167" s="61" t="s">
        <v>3389</v>
      </c>
      <c r="F167" s="61" t="s">
        <v>181</v>
      </c>
      <c r="G167" s="59"/>
      <c r="H167" s="65" t="s">
        <v>138</v>
      </c>
      <c r="I167" s="66" t="s">
        <v>137</v>
      </c>
      <c r="J167" s="66" t="s">
        <v>75</v>
      </c>
      <c r="K167" s="66">
        <v>1</v>
      </c>
      <c r="L167" s="69">
        <v>46220</v>
      </c>
      <c r="M167" s="67">
        <v>46460</v>
      </c>
      <c r="N167" s="61" t="s">
        <v>4855</v>
      </c>
      <c r="O167" s="61" t="s">
        <v>4863</v>
      </c>
      <c r="P167" s="59"/>
      <c r="Q167" s="61" t="s">
        <v>4865</v>
      </c>
      <c r="R167" s="61" t="s">
        <v>4859</v>
      </c>
      <c r="S167" s="61" t="s">
        <v>4874</v>
      </c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</row>
    <row r="168" spans="1:35" ht="15" customHeight="1" x14ac:dyDescent="0.2">
      <c r="A168" s="61" t="s">
        <v>5637</v>
      </c>
      <c r="B168" s="61" t="s">
        <v>5638</v>
      </c>
      <c r="C168" s="61" t="s">
        <v>5276</v>
      </c>
      <c r="D168" s="59"/>
      <c r="E168" s="61" t="s">
        <v>3389</v>
      </c>
      <c r="F168" s="61" t="s">
        <v>181</v>
      </c>
      <c r="G168" s="59"/>
      <c r="H168" s="65" t="s">
        <v>676</v>
      </c>
      <c r="I168" s="65" t="s">
        <v>3749</v>
      </c>
      <c r="J168" s="65" t="s">
        <v>676</v>
      </c>
      <c r="K168" s="65">
        <v>1</v>
      </c>
      <c r="L168" s="63">
        <v>46023</v>
      </c>
      <c r="M168" s="59"/>
      <c r="N168" s="59"/>
      <c r="O168" s="59"/>
      <c r="P168" s="59"/>
      <c r="Q168" s="59"/>
      <c r="R168" s="61" t="s">
        <v>4859</v>
      </c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</row>
    <row r="169" spans="1:35" ht="14" customHeight="1" x14ac:dyDescent="0.2">
      <c r="A169" s="61" t="s">
        <v>5639</v>
      </c>
      <c r="B169" s="61" t="s">
        <v>3833</v>
      </c>
      <c r="C169" s="61" t="s">
        <v>5276</v>
      </c>
      <c r="D169" s="59"/>
      <c r="E169" s="61" t="s">
        <v>3389</v>
      </c>
      <c r="F169" s="61" t="s">
        <v>181</v>
      </c>
      <c r="G169" s="59"/>
      <c r="H169" s="58" t="s">
        <v>437</v>
      </c>
      <c r="I169" s="61" t="s">
        <v>437</v>
      </c>
      <c r="J169" s="61" t="s">
        <v>4435</v>
      </c>
      <c r="K169" s="61">
        <v>1</v>
      </c>
      <c r="L169" s="63">
        <v>46023</v>
      </c>
      <c r="M169" s="59"/>
      <c r="N169" s="59"/>
      <c r="O169" s="59"/>
      <c r="P169" s="59"/>
      <c r="Q169" s="59"/>
      <c r="R169" s="61" t="s">
        <v>4859</v>
      </c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</row>
    <row r="170" spans="1:35" ht="15" customHeight="1" x14ac:dyDescent="0.2">
      <c r="A170" s="61" t="s">
        <v>5640</v>
      </c>
      <c r="B170" s="61" t="s">
        <v>346</v>
      </c>
      <c r="C170" s="61" t="s">
        <v>5641</v>
      </c>
      <c r="D170" s="59"/>
      <c r="E170" s="61" t="s">
        <v>3389</v>
      </c>
      <c r="F170" s="61" t="s">
        <v>181</v>
      </c>
      <c r="G170" s="59"/>
      <c r="H170" s="70" t="s">
        <v>108</v>
      </c>
      <c r="I170" s="66" t="s">
        <v>107</v>
      </c>
      <c r="J170" s="66" t="s">
        <v>21</v>
      </c>
      <c r="K170" s="60">
        <v>4.5</v>
      </c>
      <c r="L170" s="63">
        <v>46157</v>
      </c>
      <c r="M170" s="67">
        <v>46337</v>
      </c>
      <c r="N170" s="61" t="s">
        <v>4855</v>
      </c>
      <c r="O170" s="61" t="s">
        <v>4867</v>
      </c>
      <c r="P170" s="61" t="s">
        <v>4878</v>
      </c>
      <c r="Q170" s="61" t="s">
        <v>4857</v>
      </c>
      <c r="R170" s="61" t="s">
        <v>4859</v>
      </c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</row>
    <row r="171" spans="1:35" ht="15" customHeight="1" x14ac:dyDescent="0.2">
      <c r="A171" s="61" t="s">
        <v>4018</v>
      </c>
      <c r="B171" s="61" t="s">
        <v>3986</v>
      </c>
      <c r="C171" s="61" t="s">
        <v>5641</v>
      </c>
      <c r="D171" s="59"/>
      <c r="E171" s="61" t="s">
        <v>3389</v>
      </c>
      <c r="F171" s="61" t="s">
        <v>3987</v>
      </c>
      <c r="G171" s="59"/>
      <c r="H171" s="65" t="s">
        <v>116</v>
      </c>
      <c r="I171" s="66" t="s">
        <v>115</v>
      </c>
      <c r="J171" s="66" t="s">
        <v>21</v>
      </c>
      <c r="K171" s="60">
        <v>2</v>
      </c>
      <c r="L171" s="63">
        <v>46163</v>
      </c>
      <c r="M171" s="67">
        <v>46403</v>
      </c>
      <c r="N171" s="61" t="s">
        <v>4855</v>
      </c>
      <c r="O171" s="61" t="s">
        <v>4867</v>
      </c>
      <c r="P171" s="61" t="s">
        <v>4878</v>
      </c>
      <c r="Q171" s="61" t="s">
        <v>4865</v>
      </c>
      <c r="R171" s="61" t="s">
        <v>4859</v>
      </c>
      <c r="S171" s="59"/>
      <c r="T171" s="61">
        <v>142</v>
      </c>
      <c r="U171" s="61" t="s">
        <v>5642</v>
      </c>
      <c r="V171" s="61" t="s">
        <v>211</v>
      </c>
      <c r="W171" s="60" t="s">
        <v>3481</v>
      </c>
      <c r="X171" s="61" t="s">
        <v>5643</v>
      </c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</row>
    <row r="172" spans="1:35" ht="15" customHeight="1" x14ac:dyDescent="0.2">
      <c r="A172" s="59"/>
      <c r="B172" s="59"/>
      <c r="C172" s="59"/>
      <c r="D172" s="59"/>
      <c r="E172" s="59"/>
      <c r="F172" s="61" t="s">
        <v>181</v>
      </c>
      <c r="G172" s="59"/>
      <c r="H172" s="65" t="s">
        <v>123</v>
      </c>
      <c r="I172" s="60" t="s">
        <v>122</v>
      </c>
      <c r="J172" s="60" t="s">
        <v>75</v>
      </c>
      <c r="K172" s="60">
        <v>4.5</v>
      </c>
      <c r="L172" s="63">
        <v>46175</v>
      </c>
      <c r="M172" s="63">
        <v>46415</v>
      </c>
      <c r="N172" s="61" t="s">
        <v>4866</v>
      </c>
      <c r="O172" s="60" t="s">
        <v>4879</v>
      </c>
      <c r="P172" s="60" t="s">
        <v>4880</v>
      </c>
      <c r="Q172" s="60" t="s">
        <v>4857</v>
      </c>
      <c r="R172" s="61" t="s">
        <v>4859</v>
      </c>
      <c r="S172" s="59"/>
      <c r="T172" s="59"/>
      <c r="U172" s="61" t="s">
        <v>5644</v>
      </c>
      <c r="V172" s="61" t="s">
        <v>211</v>
      </c>
      <c r="W172" s="60" t="s">
        <v>3481</v>
      </c>
      <c r="X172" s="61" t="s">
        <v>5645</v>
      </c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</row>
    <row r="173" spans="1:35" ht="15" customHeight="1" x14ac:dyDescent="0.2">
      <c r="A173" s="59"/>
      <c r="B173" s="59"/>
      <c r="C173" s="59"/>
      <c r="D173" s="59"/>
      <c r="E173" s="59"/>
      <c r="F173" s="61" t="s">
        <v>181</v>
      </c>
      <c r="G173" s="59"/>
      <c r="H173" s="65" t="s">
        <v>144</v>
      </c>
      <c r="I173" s="60" t="s">
        <v>143</v>
      </c>
      <c r="J173" s="60" t="s">
        <v>21</v>
      </c>
      <c r="K173" s="66">
        <v>1.8</v>
      </c>
      <c r="L173" s="63">
        <v>46191</v>
      </c>
      <c r="M173" s="63">
        <v>46431</v>
      </c>
      <c r="N173" s="61" t="s">
        <v>4855</v>
      </c>
      <c r="O173" s="61" t="s">
        <v>532</v>
      </c>
      <c r="P173" s="61" t="s">
        <v>4881</v>
      </c>
      <c r="Q173" s="61" t="s">
        <v>4857</v>
      </c>
      <c r="R173" s="60" t="s">
        <v>4859</v>
      </c>
      <c r="S173" s="59"/>
      <c r="T173" s="60">
        <v>144</v>
      </c>
      <c r="U173" s="60" t="s">
        <v>5646</v>
      </c>
      <c r="V173" s="61" t="s">
        <v>211</v>
      </c>
      <c r="W173" s="60" t="s">
        <v>3481</v>
      </c>
      <c r="X173" s="61" t="s">
        <v>5647</v>
      </c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</row>
    <row r="174" spans="1:35" ht="15" customHeight="1" x14ac:dyDescent="0.2">
      <c r="A174" s="61" t="s">
        <v>5648</v>
      </c>
      <c r="B174" s="61" t="s">
        <v>5649</v>
      </c>
      <c r="C174" s="61" t="s">
        <v>5401</v>
      </c>
      <c r="D174" s="59"/>
      <c r="E174" s="61" t="s">
        <v>3533</v>
      </c>
      <c r="F174" s="61" t="s">
        <v>181</v>
      </c>
      <c r="G174" s="59"/>
      <c r="H174" s="65" t="s">
        <v>4407</v>
      </c>
      <c r="I174" s="60" t="s">
        <v>4406</v>
      </c>
      <c r="J174" s="60" t="s">
        <v>21</v>
      </c>
      <c r="K174" s="66">
        <v>10</v>
      </c>
      <c r="L174" s="63">
        <v>46245</v>
      </c>
      <c r="M174" s="63">
        <v>46485</v>
      </c>
      <c r="N174" s="61" t="s">
        <v>4855</v>
      </c>
      <c r="O174" s="61" t="s">
        <v>4882</v>
      </c>
      <c r="P174" s="59"/>
      <c r="Q174" s="61" t="s">
        <v>4857</v>
      </c>
      <c r="R174" s="60" t="s">
        <v>4859</v>
      </c>
      <c r="S174" s="59"/>
      <c r="T174" s="60">
        <v>145</v>
      </c>
      <c r="U174" s="60" t="s">
        <v>5650</v>
      </c>
      <c r="V174" s="61" t="s">
        <v>211</v>
      </c>
      <c r="W174" s="60" t="s">
        <v>3481</v>
      </c>
      <c r="X174" s="61" t="s">
        <v>5651</v>
      </c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</row>
    <row r="175" spans="1:35" ht="15" customHeight="1" x14ac:dyDescent="0.2">
      <c r="A175" s="61" t="s">
        <v>5652</v>
      </c>
      <c r="B175" s="61" t="s">
        <v>5536</v>
      </c>
      <c r="C175" s="61" t="s">
        <v>5401</v>
      </c>
      <c r="D175" s="59"/>
      <c r="E175" s="61" t="s">
        <v>3533</v>
      </c>
      <c r="F175" s="61" t="s">
        <v>181</v>
      </c>
      <c r="G175" s="60" t="s">
        <v>5653</v>
      </c>
      <c r="H175" s="65" t="s">
        <v>154</v>
      </c>
      <c r="I175" s="60" t="s">
        <v>153</v>
      </c>
      <c r="J175" s="60" t="s">
        <v>21</v>
      </c>
      <c r="K175" s="60">
        <v>8</v>
      </c>
      <c r="L175" s="63">
        <v>46218</v>
      </c>
      <c r="M175" s="63">
        <v>46458</v>
      </c>
      <c r="N175" s="61" t="s">
        <v>4855</v>
      </c>
      <c r="O175" s="60" t="s">
        <v>4883</v>
      </c>
      <c r="P175" s="59"/>
      <c r="Q175" s="61" t="s">
        <v>4857</v>
      </c>
      <c r="R175" s="60" t="s">
        <v>4859</v>
      </c>
      <c r="S175" s="59"/>
      <c r="T175" s="60">
        <v>146</v>
      </c>
      <c r="U175" s="60" t="s">
        <v>5654</v>
      </c>
      <c r="V175" s="61" t="s">
        <v>211</v>
      </c>
      <c r="W175" s="60" t="s">
        <v>3481</v>
      </c>
      <c r="X175" s="61" t="s">
        <v>5655</v>
      </c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</row>
    <row r="176" spans="1:35" ht="14" customHeight="1" x14ac:dyDescent="0.2">
      <c r="A176" s="61" t="s">
        <v>3563</v>
      </c>
      <c r="B176" s="61" t="s">
        <v>3553</v>
      </c>
      <c r="C176" s="61" t="s">
        <v>5401</v>
      </c>
      <c r="D176" s="59"/>
      <c r="E176" s="61" t="s">
        <v>3533</v>
      </c>
      <c r="F176" s="61" t="s">
        <v>181</v>
      </c>
      <c r="G176" s="60" t="s">
        <v>5656</v>
      </c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60">
        <v>147</v>
      </c>
      <c r="U176" s="60" t="s">
        <v>5657</v>
      </c>
      <c r="V176" s="61" t="s">
        <v>211</v>
      </c>
      <c r="W176" s="60" t="s">
        <v>3481</v>
      </c>
      <c r="X176" s="61" t="s">
        <v>5658</v>
      </c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</row>
    <row r="177" spans="1:35" ht="14" customHeight="1" x14ac:dyDescent="0.2">
      <c r="A177" s="61" t="s">
        <v>3592</v>
      </c>
      <c r="B177" s="61" t="s">
        <v>3593</v>
      </c>
      <c r="C177" s="61" t="s">
        <v>5401</v>
      </c>
      <c r="D177" s="59"/>
      <c r="E177" s="61" t="s">
        <v>3533</v>
      </c>
      <c r="F177" s="61" t="s">
        <v>181</v>
      </c>
      <c r="G177" s="60" t="s">
        <v>5659</v>
      </c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61">
        <v>148</v>
      </c>
      <c r="U177" s="61" t="s">
        <v>5660</v>
      </c>
      <c r="V177" s="61" t="s">
        <v>211</v>
      </c>
      <c r="W177" s="60" t="s">
        <v>3481</v>
      </c>
      <c r="X177" s="61" t="s">
        <v>5661</v>
      </c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</row>
    <row r="178" spans="1:35" ht="14" customHeight="1" x14ac:dyDescent="0.2">
      <c r="A178" s="61" t="s">
        <v>5662</v>
      </c>
      <c r="B178" s="61" t="s">
        <v>5663</v>
      </c>
      <c r="C178" s="61" t="s">
        <v>5401</v>
      </c>
      <c r="D178" s="59"/>
      <c r="E178" s="61" t="s">
        <v>3533</v>
      </c>
      <c r="F178" s="61" t="s">
        <v>181</v>
      </c>
      <c r="G178" s="60" t="s">
        <v>5664</v>
      </c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61">
        <v>149</v>
      </c>
      <c r="U178" s="60" t="s">
        <v>5665</v>
      </c>
      <c r="V178" s="61" t="s">
        <v>211</v>
      </c>
      <c r="W178" s="60" t="s">
        <v>3481</v>
      </c>
      <c r="X178" s="61" t="s">
        <v>5666</v>
      </c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</row>
    <row r="179" spans="1:35" ht="14" customHeight="1" x14ac:dyDescent="0.2">
      <c r="A179" s="61" t="s">
        <v>4388</v>
      </c>
      <c r="B179" s="61" t="s">
        <v>4389</v>
      </c>
      <c r="C179" s="61" t="s">
        <v>5401</v>
      </c>
      <c r="D179" s="59"/>
      <c r="E179" s="61" t="s">
        <v>3533</v>
      </c>
      <c r="F179" s="61" t="s">
        <v>181</v>
      </c>
      <c r="G179" s="60" t="s">
        <v>5667</v>
      </c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61">
        <v>150</v>
      </c>
      <c r="U179" s="60" t="s">
        <v>5668</v>
      </c>
      <c r="V179" s="61" t="s">
        <v>211</v>
      </c>
      <c r="W179" s="60" t="s">
        <v>3481</v>
      </c>
      <c r="X179" s="61" t="s">
        <v>5669</v>
      </c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</row>
    <row r="180" spans="1:35" ht="14" customHeight="1" x14ac:dyDescent="0.2">
      <c r="A180" s="61" t="s">
        <v>4403</v>
      </c>
      <c r="B180" s="61" t="s">
        <v>4404</v>
      </c>
      <c r="C180" s="61" t="s">
        <v>5401</v>
      </c>
      <c r="D180" s="59"/>
      <c r="E180" s="61" t="s">
        <v>3533</v>
      </c>
      <c r="F180" s="61" t="s">
        <v>181</v>
      </c>
      <c r="G180" s="60" t="s">
        <v>5670</v>
      </c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61">
        <v>151</v>
      </c>
      <c r="U180" s="60" t="s">
        <v>5671</v>
      </c>
      <c r="V180" s="61" t="s">
        <v>211</v>
      </c>
      <c r="W180" s="60" t="s">
        <v>3481</v>
      </c>
      <c r="X180" s="61" t="s">
        <v>5672</v>
      </c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</row>
    <row r="181" spans="1:35" ht="14" customHeight="1" x14ac:dyDescent="0.2">
      <c r="A181" s="61" t="s">
        <v>5673</v>
      </c>
      <c r="B181" s="61" t="s">
        <v>3589</v>
      </c>
      <c r="C181" s="61" t="s">
        <v>5401</v>
      </c>
      <c r="D181" s="59"/>
      <c r="E181" s="61" t="s">
        <v>3533</v>
      </c>
      <c r="F181" s="61" t="s">
        <v>181</v>
      </c>
      <c r="G181" s="60" t="s">
        <v>5674</v>
      </c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61">
        <v>152</v>
      </c>
      <c r="U181" s="70" t="s">
        <v>5675</v>
      </c>
      <c r="V181" s="61" t="s">
        <v>211</v>
      </c>
      <c r="W181" s="60" t="s">
        <v>3481</v>
      </c>
      <c r="X181" s="61" t="s">
        <v>5676</v>
      </c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</row>
    <row r="182" spans="1:35" ht="14" customHeight="1" x14ac:dyDescent="0.2">
      <c r="A182" s="61" t="s">
        <v>4791</v>
      </c>
      <c r="B182" s="61" t="s">
        <v>3540</v>
      </c>
      <c r="C182" s="61" t="s">
        <v>5401</v>
      </c>
      <c r="D182" s="59"/>
      <c r="E182" s="61" t="s">
        <v>3533</v>
      </c>
      <c r="F182" s="61" t="s">
        <v>181</v>
      </c>
      <c r="G182" s="60" t="s">
        <v>5677</v>
      </c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61">
        <v>153</v>
      </c>
      <c r="U182" s="60" t="s">
        <v>5678</v>
      </c>
      <c r="V182" s="61" t="s">
        <v>211</v>
      </c>
      <c r="W182" s="60" t="s">
        <v>3481</v>
      </c>
      <c r="X182" s="61" t="s">
        <v>5679</v>
      </c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</row>
    <row r="183" spans="1:35" ht="14" customHeight="1" x14ac:dyDescent="0.2">
      <c r="A183" s="61" t="s">
        <v>3799</v>
      </c>
      <c r="B183" s="61" t="s">
        <v>3551</v>
      </c>
      <c r="C183" s="61" t="s">
        <v>5401</v>
      </c>
      <c r="D183" s="59"/>
      <c r="E183" s="61" t="s">
        <v>3533</v>
      </c>
      <c r="F183" s="61" t="s">
        <v>181</v>
      </c>
      <c r="G183" s="60" t="s">
        <v>5680</v>
      </c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61">
        <v>154</v>
      </c>
      <c r="U183" s="60" t="s">
        <v>5681</v>
      </c>
      <c r="V183" s="61" t="s">
        <v>211</v>
      </c>
      <c r="W183" s="60" t="s">
        <v>3481</v>
      </c>
      <c r="X183" s="61" t="s">
        <v>5682</v>
      </c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</row>
    <row r="184" spans="1:35" ht="14" customHeight="1" x14ac:dyDescent="0.2">
      <c r="A184" s="61" t="s">
        <v>3605</v>
      </c>
      <c r="B184" s="61" t="s">
        <v>335</v>
      </c>
      <c r="C184" s="61" t="s">
        <v>5401</v>
      </c>
      <c r="D184" s="59"/>
      <c r="E184" s="61" t="s">
        <v>3533</v>
      </c>
      <c r="F184" s="61" t="s">
        <v>181</v>
      </c>
      <c r="G184" s="60" t="s">
        <v>5683</v>
      </c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61">
        <v>155</v>
      </c>
      <c r="U184" s="60" t="s">
        <v>5684</v>
      </c>
      <c r="V184" s="61" t="s">
        <v>211</v>
      </c>
      <c r="W184" s="60" t="s">
        <v>3481</v>
      </c>
      <c r="X184" s="61" t="s">
        <v>5685</v>
      </c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</row>
    <row r="185" spans="1:35" ht="14" customHeight="1" x14ac:dyDescent="0.2">
      <c r="A185" s="61" t="s">
        <v>5686</v>
      </c>
      <c r="B185" s="61" t="s">
        <v>5687</v>
      </c>
      <c r="C185" s="61" t="s">
        <v>5401</v>
      </c>
      <c r="D185" s="59"/>
      <c r="E185" s="61" t="s">
        <v>3533</v>
      </c>
      <c r="F185" s="61" t="s">
        <v>181</v>
      </c>
      <c r="G185" s="60" t="s">
        <v>5688</v>
      </c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61">
        <v>156</v>
      </c>
      <c r="U185" s="60" t="s">
        <v>5689</v>
      </c>
      <c r="V185" s="61" t="s">
        <v>211</v>
      </c>
      <c r="W185" s="60" t="s">
        <v>3481</v>
      </c>
      <c r="X185" s="61" t="s">
        <v>5690</v>
      </c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</row>
    <row r="186" spans="1:35" ht="14" customHeight="1" x14ac:dyDescent="0.2">
      <c r="A186" s="61" t="s">
        <v>3803</v>
      </c>
      <c r="B186" s="61" t="s">
        <v>3676</v>
      </c>
      <c r="C186" s="61" t="s">
        <v>5401</v>
      </c>
      <c r="D186" s="59"/>
      <c r="E186" s="61" t="s">
        <v>3533</v>
      </c>
      <c r="F186" s="61" t="s">
        <v>181</v>
      </c>
      <c r="G186" s="60" t="s">
        <v>5691</v>
      </c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61">
        <v>157</v>
      </c>
      <c r="U186" s="60" t="s">
        <v>5692</v>
      </c>
      <c r="V186" s="61" t="s">
        <v>211</v>
      </c>
      <c r="W186" s="60" t="s">
        <v>3481</v>
      </c>
      <c r="X186" s="61" t="s">
        <v>5693</v>
      </c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</row>
    <row r="187" spans="1:35" ht="14" customHeight="1" x14ac:dyDescent="0.2">
      <c r="A187" s="61" t="s">
        <v>5694</v>
      </c>
      <c r="B187" s="61" t="s">
        <v>5695</v>
      </c>
      <c r="C187" s="61" t="s">
        <v>5401</v>
      </c>
      <c r="D187" s="59"/>
      <c r="E187" s="61" t="s">
        <v>3533</v>
      </c>
      <c r="F187" s="61" t="s">
        <v>181</v>
      </c>
      <c r="G187" s="60" t="s">
        <v>5696</v>
      </c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61">
        <v>158</v>
      </c>
      <c r="U187" s="60" t="s">
        <v>5697</v>
      </c>
      <c r="V187" s="61" t="s">
        <v>211</v>
      </c>
      <c r="W187" s="60" t="s">
        <v>3481</v>
      </c>
      <c r="X187" s="61" t="s">
        <v>5698</v>
      </c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</row>
    <row r="188" spans="1:35" ht="14" customHeight="1" x14ac:dyDescent="0.2">
      <c r="A188" s="61" t="s">
        <v>3874</v>
      </c>
      <c r="B188" s="61" t="s">
        <v>3532</v>
      </c>
      <c r="C188" s="61" t="s">
        <v>5401</v>
      </c>
      <c r="D188" s="59"/>
      <c r="E188" s="61" t="s">
        <v>3533</v>
      </c>
      <c r="F188" s="61" t="s">
        <v>181</v>
      </c>
      <c r="G188" s="60" t="s">
        <v>5699</v>
      </c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61">
        <v>159</v>
      </c>
      <c r="U188" s="60" t="s">
        <v>5700</v>
      </c>
      <c r="V188" s="61" t="s">
        <v>211</v>
      </c>
      <c r="W188" s="60" t="s">
        <v>3481</v>
      </c>
      <c r="X188" s="61" t="s">
        <v>5701</v>
      </c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</row>
    <row r="189" spans="1:35" ht="14" customHeight="1" x14ac:dyDescent="0.2">
      <c r="A189" s="61" t="s">
        <v>3614</v>
      </c>
      <c r="B189" s="61" t="s">
        <v>3615</v>
      </c>
      <c r="C189" s="61" t="s">
        <v>5401</v>
      </c>
      <c r="D189" s="59"/>
      <c r="E189" s="61" t="s">
        <v>3533</v>
      </c>
      <c r="F189" s="61" t="s">
        <v>181</v>
      </c>
      <c r="G189" s="60" t="s">
        <v>5702</v>
      </c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61">
        <v>160</v>
      </c>
      <c r="U189" s="60" t="s">
        <v>5703</v>
      </c>
      <c r="V189" s="61" t="s">
        <v>211</v>
      </c>
      <c r="W189" s="60" t="s">
        <v>3481</v>
      </c>
      <c r="X189" s="61" t="s">
        <v>5704</v>
      </c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</row>
    <row r="190" spans="1:35" ht="14" customHeight="1" x14ac:dyDescent="0.2">
      <c r="A190" s="61" t="s">
        <v>5705</v>
      </c>
      <c r="B190" s="61" t="s">
        <v>5706</v>
      </c>
      <c r="C190" s="61" t="s">
        <v>5401</v>
      </c>
      <c r="D190" s="59"/>
      <c r="E190" s="61" t="s">
        <v>3533</v>
      </c>
      <c r="F190" s="61" t="s">
        <v>181</v>
      </c>
      <c r="G190" s="60" t="s">
        <v>5707</v>
      </c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61">
        <v>161</v>
      </c>
      <c r="U190" s="60" t="s">
        <v>5708</v>
      </c>
      <c r="V190" s="61" t="s">
        <v>211</v>
      </c>
      <c r="W190" s="60" t="s">
        <v>3481</v>
      </c>
      <c r="X190" s="61" t="s">
        <v>5709</v>
      </c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</row>
    <row r="191" spans="1:35" ht="14" customHeight="1" x14ac:dyDescent="0.2">
      <c r="A191" s="61" t="s">
        <v>4135</v>
      </c>
      <c r="B191" s="61" t="s">
        <v>4136</v>
      </c>
      <c r="C191" s="61" t="s">
        <v>5401</v>
      </c>
      <c r="D191" s="59"/>
      <c r="E191" s="61" t="s">
        <v>3533</v>
      </c>
      <c r="F191" s="61" t="s">
        <v>181</v>
      </c>
      <c r="G191" s="60" t="s">
        <v>4767</v>
      </c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</row>
    <row r="192" spans="1:35" ht="14" customHeight="1" x14ac:dyDescent="0.2">
      <c r="A192" s="61" t="s">
        <v>3845</v>
      </c>
      <c r="B192" s="61" t="s">
        <v>380</v>
      </c>
      <c r="C192" s="61" t="s">
        <v>5401</v>
      </c>
      <c r="D192" s="59"/>
      <c r="E192" s="61" t="s">
        <v>3533</v>
      </c>
      <c r="F192" s="61" t="s">
        <v>181</v>
      </c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</row>
    <row r="193" spans="1:35" ht="14" customHeight="1" x14ac:dyDescent="0.2">
      <c r="A193" s="61" t="s">
        <v>3841</v>
      </c>
      <c r="B193" s="61" t="s">
        <v>3842</v>
      </c>
      <c r="C193" s="61" t="s">
        <v>5401</v>
      </c>
      <c r="D193" s="59"/>
      <c r="E193" s="61" t="s">
        <v>3533</v>
      </c>
      <c r="F193" s="61" t="s">
        <v>181</v>
      </c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</row>
    <row r="194" spans="1:35" ht="14" customHeight="1" x14ac:dyDescent="0.2">
      <c r="A194" s="61" t="s">
        <v>4337</v>
      </c>
      <c r="B194" s="61" t="s">
        <v>3913</v>
      </c>
      <c r="C194" s="61" t="s">
        <v>5401</v>
      </c>
      <c r="D194" s="59"/>
      <c r="E194" s="61" t="s">
        <v>3533</v>
      </c>
      <c r="F194" s="61" t="s">
        <v>181</v>
      </c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</row>
    <row r="195" spans="1:35" ht="14" customHeight="1" x14ac:dyDescent="0.2">
      <c r="A195" s="61" t="s">
        <v>4767</v>
      </c>
      <c r="B195" s="61" t="s">
        <v>4768</v>
      </c>
      <c r="C195" s="61" t="s">
        <v>5401</v>
      </c>
      <c r="D195" s="59"/>
      <c r="E195" s="61" t="s">
        <v>3533</v>
      </c>
      <c r="F195" s="61" t="s">
        <v>181</v>
      </c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</row>
    <row r="196" spans="1:35" ht="14" customHeight="1" x14ac:dyDescent="0.2">
      <c r="A196" s="61" t="s">
        <v>3355</v>
      </c>
      <c r="B196" s="61" t="s">
        <v>382</v>
      </c>
      <c r="C196" s="61" t="s">
        <v>5710</v>
      </c>
      <c r="D196" s="59"/>
      <c r="E196" s="61" t="s">
        <v>188</v>
      </c>
      <c r="F196" s="61" t="s">
        <v>181</v>
      </c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61">
        <v>162</v>
      </c>
      <c r="U196" s="60" t="s">
        <v>5711</v>
      </c>
      <c r="V196" s="61" t="s">
        <v>211</v>
      </c>
      <c r="W196" s="60" t="s">
        <v>3481</v>
      </c>
      <c r="X196" s="61" t="s">
        <v>5712</v>
      </c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</row>
    <row r="197" spans="1:35" ht="14" customHeight="1" x14ac:dyDescent="0.2">
      <c r="A197" s="61" t="s">
        <v>3339</v>
      </c>
      <c r="B197" s="61" t="s">
        <v>187</v>
      </c>
      <c r="C197" s="61" t="s">
        <v>5710</v>
      </c>
      <c r="D197" s="59"/>
      <c r="E197" s="61" t="s">
        <v>188</v>
      </c>
      <c r="F197" s="61" t="s">
        <v>181</v>
      </c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61">
        <v>163</v>
      </c>
      <c r="U197" s="60" t="s">
        <v>5713</v>
      </c>
      <c r="V197" s="61" t="s">
        <v>211</v>
      </c>
      <c r="W197" s="60" t="s">
        <v>3481</v>
      </c>
      <c r="X197" s="61" t="s">
        <v>5714</v>
      </c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</row>
    <row r="198" spans="1:35" ht="14" customHeight="1" x14ac:dyDescent="0.2">
      <c r="A198" s="61" t="s">
        <v>3346</v>
      </c>
      <c r="B198" s="61" t="s">
        <v>212</v>
      </c>
      <c r="C198" s="61" t="s">
        <v>5710</v>
      </c>
      <c r="D198" s="59"/>
      <c r="E198" s="61" t="s">
        <v>188</v>
      </c>
      <c r="F198" s="61" t="s">
        <v>181</v>
      </c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61">
        <v>164</v>
      </c>
      <c r="U198" s="60" t="s">
        <v>5715</v>
      </c>
      <c r="V198" s="61" t="s">
        <v>211</v>
      </c>
      <c r="W198" s="60" t="s">
        <v>3481</v>
      </c>
      <c r="X198" s="61" t="s">
        <v>5716</v>
      </c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</row>
    <row r="199" spans="1:35" ht="14" customHeight="1" x14ac:dyDescent="0.2">
      <c r="A199" s="61" t="s">
        <v>3547</v>
      </c>
      <c r="B199" s="61" t="s">
        <v>192</v>
      </c>
      <c r="C199" s="61" t="s">
        <v>5710</v>
      </c>
      <c r="D199" s="59"/>
      <c r="E199" s="61" t="s">
        <v>188</v>
      </c>
      <c r="F199" s="61" t="s">
        <v>181</v>
      </c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61">
        <v>165</v>
      </c>
      <c r="U199" s="60" t="s">
        <v>5717</v>
      </c>
      <c r="V199" s="61" t="s">
        <v>211</v>
      </c>
      <c r="W199" s="60" t="s">
        <v>3481</v>
      </c>
      <c r="X199" s="61" t="s">
        <v>5718</v>
      </c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</row>
    <row r="200" spans="1:35" ht="14" customHeight="1" x14ac:dyDescent="0.2">
      <c r="A200" s="61" t="s">
        <v>4165</v>
      </c>
      <c r="B200" s="61" t="s">
        <v>194</v>
      </c>
      <c r="C200" s="61" t="s">
        <v>5710</v>
      </c>
      <c r="D200" s="59"/>
      <c r="E200" s="61" t="s">
        <v>188</v>
      </c>
      <c r="F200" s="61" t="s">
        <v>181</v>
      </c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61">
        <v>166</v>
      </c>
      <c r="U200" s="60" t="s">
        <v>5719</v>
      </c>
      <c r="V200" s="61" t="s">
        <v>211</v>
      </c>
      <c r="W200" s="60" t="s">
        <v>3481</v>
      </c>
      <c r="X200" s="61" t="s">
        <v>5720</v>
      </c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</row>
    <row r="201" spans="1:35" ht="14" customHeight="1" x14ac:dyDescent="0.2">
      <c r="A201" s="61" t="s">
        <v>5721</v>
      </c>
      <c r="B201" s="61" t="s">
        <v>5722</v>
      </c>
      <c r="C201" s="61" t="s">
        <v>5710</v>
      </c>
      <c r="D201" s="59"/>
      <c r="E201" s="61" t="s">
        <v>188</v>
      </c>
      <c r="F201" s="61" t="s">
        <v>181</v>
      </c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61">
        <v>167</v>
      </c>
      <c r="U201" s="60" t="s">
        <v>5723</v>
      </c>
      <c r="V201" s="61" t="s">
        <v>211</v>
      </c>
      <c r="W201" s="60" t="s">
        <v>3481</v>
      </c>
      <c r="X201" s="61" t="s">
        <v>5724</v>
      </c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</row>
    <row r="202" spans="1:35" ht="14" customHeight="1" x14ac:dyDescent="0.2">
      <c r="A202" s="61" t="s">
        <v>4603</v>
      </c>
      <c r="B202" s="61" t="s">
        <v>4504</v>
      </c>
      <c r="C202" s="61" t="s">
        <v>5710</v>
      </c>
      <c r="D202" s="59"/>
      <c r="E202" s="61" t="s">
        <v>188</v>
      </c>
      <c r="F202" s="61" t="s">
        <v>181</v>
      </c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61">
        <v>168</v>
      </c>
      <c r="U202" s="60" t="s">
        <v>5725</v>
      </c>
      <c r="V202" s="61" t="s">
        <v>211</v>
      </c>
      <c r="W202" s="60" t="s">
        <v>3481</v>
      </c>
      <c r="X202" s="61" t="s">
        <v>5726</v>
      </c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</row>
    <row r="203" spans="1:35" ht="14" customHeight="1" x14ac:dyDescent="0.2">
      <c r="A203" s="61" t="s">
        <v>5727</v>
      </c>
      <c r="B203" s="61" t="s">
        <v>5728</v>
      </c>
      <c r="C203" s="61" t="s">
        <v>5710</v>
      </c>
      <c r="D203" s="59"/>
      <c r="E203" s="61" t="s">
        <v>188</v>
      </c>
      <c r="F203" s="61" t="s">
        <v>181</v>
      </c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61">
        <v>169</v>
      </c>
      <c r="U203" s="60" t="s">
        <v>5729</v>
      </c>
      <c r="V203" s="61" t="s">
        <v>211</v>
      </c>
      <c r="W203" s="60" t="s">
        <v>3481</v>
      </c>
      <c r="X203" s="61" t="s">
        <v>5730</v>
      </c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</row>
    <row r="204" spans="1:35" ht="14" customHeight="1" x14ac:dyDescent="0.2">
      <c r="A204" s="61" t="s">
        <v>3735</v>
      </c>
      <c r="B204" s="61" t="s">
        <v>5731</v>
      </c>
      <c r="C204" s="61" t="s">
        <v>5710</v>
      </c>
      <c r="D204" s="59"/>
      <c r="E204" s="61" t="s">
        <v>188</v>
      </c>
      <c r="F204" s="61" t="s">
        <v>181</v>
      </c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61">
        <v>170</v>
      </c>
      <c r="U204" s="60" t="s">
        <v>5732</v>
      </c>
      <c r="V204" s="61" t="s">
        <v>211</v>
      </c>
      <c r="W204" s="60" t="s">
        <v>3481</v>
      </c>
      <c r="X204" s="61" t="s">
        <v>5733</v>
      </c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</row>
    <row r="205" spans="1:35" ht="14" customHeight="1" x14ac:dyDescent="0.2">
      <c r="A205" s="61" t="s">
        <v>5734</v>
      </c>
      <c r="B205" s="61" t="s">
        <v>5735</v>
      </c>
      <c r="C205" s="61" t="s">
        <v>5710</v>
      </c>
      <c r="D205" s="59"/>
      <c r="E205" s="61" t="s">
        <v>188</v>
      </c>
      <c r="F205" s="61" t="s">
        <v>181</v>
      </c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61">
        <v>171</v>
      </c>
      <c r="U205" s="60" t="s">
        <v>5736</v>
      </c>
      <c r="V205" s="61" t="s">
        <v>211</v>
      </c>
      <c r="W205" s="60" t="s">
        <v>3481</v>
      </c>
      <c r="X205" s="61" t="s">
        <v>5737</v>
      </c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</row>
    <row r="206" spans="1:35" ht="14" customHeight="1" x14ac:dyDescent="0.2">
      <c r="A206" s="61" t="s">
        <v>4681</v>
      </c>
      <c r="B206" s="61" t="s">
        <v>4357</v>
      </c>
      <c r="C206" s="61" t="s">
        <v>5710</v>
      </c>
      <c r="D206" s="59"/>
      <c r="E206" s="61" t="s">
        <v>188</v>
      </c>
      <c r="F206" s="61" t="s">
        <v>181</v>
      </c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61">
        <v>172</v>
      </c>
      <c r="U206" s="60" t="s">
        <v>5738</v>
      </c>
      <c r="V206" s="61" t="s">
        <v>211</v>
      </c>
      <c r="W206" s="60" t="s">
        <v>3481</v>
      </c>
      <c r="X206" s="61" t="s">
        <v>5739</v>
      </c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</row>
    <row r="207" spans="1:35" ht="14" customHeight="1" x14ac:dyDescent="0.2">
      <c r="A207" s="61" t="s">
        <v>5740</v>
      </c>
      <c r="B207" s="61" t="s">
        <v>5741</v>
      </c>
      <c r="C207" s="61" t="s">
        <v>5710</v>
      </c>
      <c r="D207" s="59"/>
      <c r="E207" s="61" t="s">
        <v>188</v>
      </c>
      <c r="F207" s="61" t="s">
        <v>181</v>
      </c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61">
        <v>173</v>
      </c>
      <c r="U207" s="60" t="s">
        <v>5742</v>
      </c>
      <c r="V207" s="61" t="s">
        <v>211</v>
      </c>
      <c r="W207" s="60" t="s">
        <v>3481</v>
      </c>
      <c r="X207" s="61" t="s">
        <v>5743</v>
      </c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</row>
    <row r="208" spans="1:35" ht="14" customHeight="1" x14ac:dyDescent="0.2">
      <c r="A208" s="61" t="s">
        <v>5744</v>
      </c>
      <c r="B208" s="61" t="s">
        <v>5745</v>
      </c>
      <c r="C208" s="61" t="s">
        <v>5710</v>
      </c>
      <c r="D208" s="59"/>
      <c r="E208" s="61" t="s">
        <v>188</v>
      </c>
      <c r="F208" s="61" t="s">
        <v>181</v>
      </c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61">
        <v>174</v>
      </c>
      <c r="U208" s="60" t="s">
        <v>5746</v>
      </c>
      <c r="V208" s="61" t="s">
        <v>211</v>
      </c>
      <c r="W208" s="60" t="s">
        <v>3481</v>
      </c>
      <c r="X208" s="61" t="s">
        <v>5747</v>
      </c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</row>
    <row r="209" spans="1:35" ht="14" customHeight="1" x14ac:dyDescent="0.2">
      <c r="A209" s="61" t="s">
        <v>5748</v>
      </c>
      <c r="B209" s="61" t="s">
        <v>5749</v>
      </c>
      <c r="C209" s="61" t="s">
        <v>5710</v>
      </c>
      <c r="D209" s="59"/>
      <c r="E209" s="61" t="s">
        <v>188</v>
      </c>
      <c r="F209" s="61" t="s">
        <v>181</v>
      </c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61">
        <v>175</v>
      </c>
      <c r="U209" s="60" t="s">
        <v>5162</v>
      </c>
      <c r="V209" s="61" t="s">
        <v>211</v>
      </c>
      <c r="W209" s="60" t="s">
        <v>3481</v>
      </c>
      <c r="X209" s="61" t="s">
        <v>5750</v>
      </c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</row>
    <row r="210" spans="1:35" ht="14" customHeight="1" x14ac:dyDescent="0.2">
      <c r="A210" s="61" t="s">
        <v>5751</v>
      </c>
      <c r="B210" s="61" t="s">
        <v>5752</v>
      </c>
      <c r="C210" s="61" t="s">
        <v>5710</v>
      </c>
      <c r="D210" s="59"/>
      <c r="E210" s="61" t="s">
        <v>188</v>
      </c>
      <c r="F210" s="61" t="s">
        <v>181</v>
      </c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61">
        <v>176</v>
      </c>
      <c r="U210" s="60" t="s">
        <v>4361</v>
      </c>
      <c r="V210" s="61" t="s">
        <v>211</v>
      </c>
      <c r="W210" s="60" t="s">
        <v>3481</v>
      </c>
      <c r="X210" s="61" t="s">
        <v>5753</v>
      </c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</row>
    <row r="211" spans="1:35" ht="14" customHeight="1" x14ac:dyDescent="0.2">
      <c r="A211" s="61" t="s">
        <v>5754</v>
      </c>
      <c r="B211" s="61" t="s">
        <v>5755</v>
      </c>
      <c r="C211" s="61" t="s">
        <v>5756</v>
      </c>
      <c r="D211" s="59"/>
      <c r="E211" s="61" t="s">
        <v>215</v>
      </c>
      <c r="F211" s="61" t="s">
        <v>181</v>
      </c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61">
        <v>196</v>
      </c>
      <c r="U211" s="60" t="s">
        <v>5742</v>
      </c>
      <c r="V211" s="61" t="s">
        <v>211</v>
      </c>
      <c r="W211" s="60" t="s">
        <v>3481</v>
      </c>
      <c r="X211" s="61" t="s">
        <v>5757</v>
      </c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</row>
    <row r="212" spans="1:35" ht="14" customHeight="1" x14ac:dyDescent="0.2">
      <c r="A212" s="61" t="s">
        <v>5758</v>
      </c>
      <c r="B212" s="61" t="s">
        <v>5759</v>
      </c>
      <c r="C212" s="61" t="s">
        <v>5756</v>
      </c>
      <c r="D212" s="59"/>
      <c r="E212" s="61" t="s">
        <v>215</v>
      </c>
      <c r="F212" s="61" t="s">
        <v>181</v>
      </c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61">
        <v>197</v>
      </c>
      <c r="U212" s="60" t="s">
        <v>5760</v>
      </c>
      <c r="V212" s="61" t="s">
        <v>211</v>
      </c>
      <c r="W212" s="60" t="s">
        <v>3481</v>
      </c>
      <c r="X212" s="61" t="s">
        <v>5761</v>
      </c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</row>
    <row r="213" spans="1:35" ht="14" customHeight="1" x14ac:dyDescent="0.2">
      <c r="A213" s="61" t="s">
        <v>5762</v>
      </c>
      <c r="B213" s="61" t="s">
        <v>5763</v>
      </c>
      <c r="C213" s="61" t="s">
        <v>5756</v>
      </c>
      <c r="D213" s="59"/>
      <c r="E213" s="61" t="s">
        <v>215</v>
      </c>
      <c r="F213" s="61" t="s">
        <v>181</v>
      </c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61">
        <v>198</v>
      </c>
      <c r="U213" s="60" t="s">
        <v>3746</v>
      </c>
      <c r="V213" s="61" t="s">
        <v>211</v>
      </c>
      <c r="W213" s="60" t="s">
        <v>3481</v>
      </c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</row>
    <row r="214" spans="1:35" ht="14" customHeight="1" x14ac:dyDescent="0.2">
      <c r="A214" s="61" t="s">
        <v>5764</v>
      </c>
      <c r="B214" s="61" t="s">
        <v>5765</v>
      </c>
      <c r="C214" s="61" t="s">
        <v>5756</v>
      </c>
      <c r="D214" s="59"/>
      <c r="E214" s="61" t="s">
        <v>215</v>
      </c>
      <c r="F214" s="61" t="s">
        <v>181</v>
      </c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61">
        <v>199</v>
      </c>
      <c r="U214" s="60" t="s">
        <v>3988</v>
      </c>
      <c r="V214" s="61" t="s">
        <v>211</v>
      </c>
      <c r="W214" s="60" t="s">
        <v>3481</v>
      </c>
      <c r="X214" s="61" t="s">
        <v>5766</v>
      </c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</row>
    <row r="215" spans="1:35" ht="14" customHeight="1" x14ac:dyDescent="0.2">
      <c r="A215" s="61" t="s">
        <v>4479</v>
      </c>
      <c r="B215" s="61" t="s">
        <v>4478</v>
      </c>
      <c r="C215" s="61" t="s">
        <v>5756</v>
      </c>
      <c r="D215" s="59"/>
      <c r="E215" s="61" t="s">
        <v>215</v>
      </c>
      <c r="F215" s="61" t="s">
        <v>181</v>
      </c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61">
        <v>200</v>
      </c>
      <c r="U215" s="60" t="s">
        <v>4038</v>
      </c>
      <c r="V215" s="61" t="s">
        <v>211</v>
      </c>
      <c r="W215" s="60" t="s">
        <v>3481</v>
      </c>
      <c r="X215" s="61" t="s">
        <v>5767</v>
      </c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</row>
    <row r="216" spans="1:35" ht="14" customHeight="1" x14ac:dyDescent="0.2">
      <c r="A216" s="61" t="s">
        <v>5768</v>
      </c>
      <c r="B216" s="61" t="s">
        <v>5769</v>
      </c>
      <c r="C216" s="61" t="s">
        <v>5756</v>
      </c>
      <c r="D216" s="59"/>
      <c r="E216" s="61" t="s">
        <v>215</v>
      </c>
      <c r="F216" s="61" t="s">
        <v>181</v>
      </c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61">
        <v>177</v>
      </c>
      <c r="U216" s="60" t="s">
        <v>4058</v>
      </c>
      <c r="V216" s="61" t="s">
        <v>211</v>
      </c>
      <c r="W216" s="60" t="s">
        <v>3481</v>
      </c>
      <c r="X216" s="61" t="s">
        <v>5770</v>
      </c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</row>
    <row r="217" spans="1:35" ht="14" customHeight="1" x14ac:dyDescent="0.2">
      <c r="A217" s="61" t="s">
        <v>4596</v>
      </c>
      <c r="B217" s="61" t="s">
        <v>4597</v>
      </c>
      <c r="C217" s="61" t="s">
        <v>5756</v>
      </c>
      <c r="D217" s="59"/>
      <c r="E217" s="61" t="s">
        <v>215</v>
      </c>
      <c r="F217" s="61" t="s">
        <v>181</v>
      </c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61">
        <v>195</v>
      </c>
      <c r="U217" s="60" t="s">
        <v>4664</v>
      </c>
      <c r="V217" s="61" t="s">
        <v>211</v>
      </c>
      <c r="W217" s="60" t="s">
        <v>3481</v>
      </c>
      <c r="X217" s="61" t="s">
        <v>5771</v>
      </c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</row>
    <row r="218" spans="1:35" ht="14" customHeight="1" x14ac:dyDescent="0.2">
      <c r="A218" s="61" t="s">
        <v>5772</v>
      </c>
      <c r="B218" s="61" t="s">
        <v>5773</v>
      </c>
      <c r="C218" s="61" t="s">
        <v>5756</v>
      </c>
      <c r="D218" s="59"/>
      <c r="E218" s="61" t="s">
        <v>215</v>
      </c>
      <c r="F218" s="61" t="s">
        <v>181</v>
      </c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60">
        <v>201</v>
      </c>
      <c r="U218" s="60" t="s">
        <v>4714</v>
      </c>
      <c r="V218" s="61" t="s">
        <v>211</v>
      </c>
      <c r="W218" s="60" t="s">
        <v>3481</v>
      </c>
      <c r="X218" s="61" t="s">
        <v>5774</v>
      </c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</row>
    <row r="219" spans="1:35" ht="14" customHeight="1" x14ac:dyDescent="0.2">
      <c r="A219" s="61" t="s">
        <v>3378</v>
      </c>
      <c r="B219" s="61" t="s">
        <v>214</v>
      </c>
      <c r="C219" s="61" t="s">
        <v>5756</v>
      </c>
      <c r="D219" s="59"/>
      <c r="E219" s="61" t="s">
        <v>215</v>
      </c>
      <c r="F219" s="61" t="s">
        <v>181</v>
      </c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60">
        <v>202</v>
      </c>
      <c r="U219" s="60" t="s">
        <v>4716</v>
      </c>
      <c r="V219" s="61" t="s">
        <v>211</v>
      </c>
      <c r="W219" s="60" t="s">
        <v>3481</v>
      </c>
      <c r="X219" s="61" t="s">
        <v>5775</v>
      </c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</row>
    <row r="220" spans="1:35" ht="14" customHeight="1" x14ac:dyDescent="0.2">
      <c r="A220" s="61" t="s">
        <v>5776</v>
      </c>
      <c r="B220" s="61" t="s">
        <v>5777</v>
      </c>
      <c r="C220" s="61" t="s">
        <v>5756</v>
      </c>
      <c r="D220" s="59"/>
      <c r="E220" s="61" t="s">
        <v>215</v>
      </c>
      <c r="F220" s="61" t="s">
        <v>181</v>
      </c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</row>
    <row r="221" spans="1:35" ht="14" customHeight="1" x14ac:dyDescent="0.2">
      <c r="A221" s="61" t="s">
        <v>3408</v>
      </c>
      <c r="B221" s="61" t="s">
        <v>366</v>
      </c>
      <c r="C221" s="61" t="s">
        <v>5756</v>
      </c>
      <c r="D221" s="59"/>
      <c r="E221" s="61" t="s">
        <v>215</v>
      </c>
      <c r="F221" s="61" t="s">
        <v>181</v>
      </c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</row>
    <row r="222" spans="1:35" ht="14" customHeight="1" x14ac:dyDescent="0.2">
      <c r="A222" s="61" t="s">
        <v>5778</v>
      </c>
      <c r="B222" s="61" t="s">
        <v>5779</v>
      </c>
      <c r="C222" s="61" t="s">
        <v>5756</v>
      </c>
      <c r="D222" s="59"/>
      <c r="E222" s="61" t="s">
        <v>215</v>
      </c>
      <c r="F222" s="61" t="s">
        <v>181</v>
      </c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</row>
    <row r="223" spans="1:35" ht="14" customHeight="1" x14ac:dyDescent="0.2">
      <c r="A223" s="61" t="s">
        <v>5780</v>
      </c>
      <c r="B223" s="61" t="s">
        <v>5781</v>
      </c>
      <c r="C223" s="61" t="s">
        <v>5756</v>
      </c>
      <c r="D223" s="59"/>
      <c r="E223" s="61" t="s">
        <v>215</v>
      </c>
      <c r="F223" s="61" t="s">
        <v>181</v>
      </c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</row>
    <row r="224" spans="1:35" ht="14" customHeight="1" x14ac:dyDescent="0.2">
      <c r="A224" s="61" t="s">
        <v>4378</v>
      </c>
      <c r="B224" s="61" t="s">
        <v>4379</v>
      </c>
      <c r="C224" s="61" t="s">
        <v>5756</v>
      </c>
      <c r="D224" s="59"/>
      <c r="E224" s="61" t="s">
        <v>215</v>
      </c>
      <c r="F224" s="61" t="s">
        <v>181</v>
      </c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</row>
    <row r="225" spans="1:35" ht="14" customHeight="1" x14ac:dyDescent="0.2">
      <c r="A225" s="61" t="s">
        <v>5782</v>
      </c>
      <c r="B225" s="61" t="s">
        <v>5783</v>
      </c>
      <c r="C225" s="61" t="s">
        <v>5756</v>
      </c>
      <c r="D225" s="59"/>
      <c r="E225" s="61" t="s">
        <v>215</v>
      </c>
      <c r="F225" s="61" t="s">
        <v>181</v>
      </c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</row>
    <row r="226" spans="1:35" ht="14" customHeight="1" x14ac:dyDescent="0.2">
      <c r="A226" s="61" t="s">
        <v>5784</v>
      </c>
      <c r="B226" s="61" t="s">
        <v>5785</v>
      </c>
      <c r="C226" s="61" t="s">
        <v>5756</v>
      </c>
      <c r="D226" s="59"/>
      <c r="E226" s="61" t="s">
        <v>215</v>
      </c>
      <c r="F226" s="61" t="s">
        <v>181</v>
      </c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</row>
    <row r="227" spans="1:35" ht="14" customHeight="1" x14ac:dyDescent="0.2">
      <c r="A227" s="61" t="s">
        <v>5786</v>
      </c>
      <c r="B227" s="61" t="s">
        <v>5787</v>
      </c>
      <c r="C227" s="61" t="s">
        <v>5756</v>
      </c>
      <c r="D227" s="59"/>
      <c r="E227" s="61" t="s">
        <v>215</v>
      </c>
      <c r="F227" s="61" t="s">
        <v>181</v>
      </c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</row>
    <row r="228" spans="1:35" ht="14" customHeight="1" x14ac:dyDescent="0.2">
      <c r="A228" s="61" t="s">
        <v>5788</v>
      </c>
      <c r="B228" s="61" t="s">
        <v>5789</v>
      </c>
      <c r="C228" s="61" t="s">
        <v>5756</v>
      </c>
      <c r="D228" s="59"/>
      <c r="E228" s="61" t="s">
        <v>215</v>
      </c>
      <c r="F228" s="61" t="s">
        <v>181</v>
      </c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</row>
    <row r="229" spans="1:35" ht="14" customHeight="1" x14ac:dyDescent="0.2">
      <c r="A229" s="61" t="s">
        <v>5790</v>
      </c>
      <c r="B229" s="61" t="s">
        <v>5791</v>
      </c>
      <c r="C229" s="61" t="s">
        <v>5756</v>
      </c>
      <c r="D229" s="59"/>
      <c r="E229" s="61" t="s">
        <v>215</v>
      </c>
      <c r="F229" s="61" t="s">
        <v>181</v>
      </c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</row>
    <row r="230" spans="1:35" ht="14" customHeight="1" x14ac:dyDescent="0.2">
      <c r="A230" s="61" t="s">
        <v>5792</v>
      </c>
      <c r="B230" s="61" t="s">
        <v>5793</v>
      </c>
      <c r="C230" s="61" t="s">
        <v>5756</v>
      </c>
      <c r="D230" s="59"/>
      <c r="E230" s="61" t="s">
        <v>215</v>
      </c>
      <c r="F230" s="61" t="s">
        <v>181</v>
      </c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</row>
    <row r="231" spans="1:35" ht="14" customHeight="1" x14ac:dyDescent="0.2">
      <c r="A231" s="61" t="s">
        <v>5794</v>
      </c>
      <c r="B231" s="61" t="s">
        <v>5795</v>
      </c>
      <c r="C231" s="61" t="s">
        <v>5756</v>
      </c>
      <c r="D231" s="59"/>
      <c r="E231" s="61" t="s">
        <v>215</v>
      </c>
      <c r="F231" s="61" t="s">
        <v>181</v>
      </c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</row>
    <row r="232" spans="1:35" ht="14" customHeight="1" x14ac:dyDescent="0.2">
      <c r="A232" s="61" t="s">
        <v>5796</v>
      </c>
      <c r="B232" s="61" t="s">
        <v>5797</v>
      </c>
      <c r="C232" s="61" t="s">
        <v>5756</v>
      </c>
      <c r="D232" s="59"/>
      <c r="E232" s="61" t="s">
        <v>215</v>
      </c>
      <c r="F232" s="61" t="s">
        <v>181</v>
      </c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</row>
    <row r="233" spans="1:35" ht="14" customHeight="1" x14ac:dyDescent="0.2">
      <c r="A233" s="61" t="s">
        <v>5798</v>
      </c>
      <c r="B233" s="61" t="s">
        <v>3777</v>
      </c>
      <c r="C233" s="61" t="s">
        <v>5756</v>
      </c>
      <c r="D233" s="59"/>
      <c r="E233" s="61" t="s">
        <v>215</v>
      </c>
      <c r="F233" s="61" t="s">
        <v>181</v>
      </c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</row>
    <row r="234" spans="1:35" ht="14" customHeight="1" x14ac:dyDescent="0.2">
      <c r="A234" s="61" t="s">
        <v>5799</v>
      </c>
      <c r="B234" s="61" t="s">
        <v>4026</v>
      </c>
      <c r="C234" s="61" t="s">
        <v>5756</v>
      </c>
      <c r="D234" s="59"/>
      <c r="E234" s="61" t="s">
        <v>215</v>
      </c>
      <c r="F234" s="61" t="s">
        <v>181</v>
      </c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</row>
    <row r="235" spans="1:35" ht="14" customHeight="1" x14ac:dyDescent="0.2">
      <c r="A235" s="61" t="s">
        <v>5800</v>
      </c>
      <c r="B235" s="61" t="s">
        <v>5801</v>
      </c>
      <c r="C235" s="61" t="s">
        <v>5756</v>
      </c>
      <c r="D235" s="59"/>
      <c r="E235" s="61" t="s">
        <v>215</v>
      </c>
      <c r="F235" s="61" t="s">
        <v>181</v>
      </c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</row>
    <row r="236" spans="1:35" ht="14" customHeight="1" x14ac:dyDescent="0.2">
      <c r="A236" s="61" t="s">
        <v>5802</v>
      </c>
      <c r="B236" s="61" t="s">
        <v>5803</v>
      </c>
      <c r="C236" s="61" t="s">
        <v>5756</v>
      </c>
      <c r="D236" s="59"/>
      <c r="E236" s="61" t="s">
        <v>215</v>
      </c>
      <c r="F236" s="61" t="s">
        <v>181</v>
      </c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</row>
    <row r="237" spans="1:35" ht="14" customHeight="1" x14ac:dyDescent="0.2">
      <c r="A237" s="61" t="s">
        <v>5804</v>
      </c>
      <c r="B237" s="61" t="s">
        <v>5805</v>
      </c>
      <c r="C237" s="61" t="s">
        <v>5756</v>
      </c>
      <c r="D237" s="59"/>
      <c r="E237" s="61" t="s">
        <v>215</v>
      </c>
      <c r="F237" s="61" t="s">
        <v>181</v>
      </c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</row>
    <row r="238" spans="1:35" ht="14" customHeight="1" x14ac:dyDescent="0.2">
      <c r="A238" s="61" t="s">
        <v>5806</v>
      </c>
      <c r="B238" s="61" t="s">
        <v>5807</v>
      </c>
      <c r="C238" s="61" t="s">
        <v>5756</v>
      </c>
      <c r="D238" s="59"/>
      <c r="E238" s="61" t="s">
        <v>215</v>
      </c>
      <c r="F238" s="61" t="s">
        <v>181</v>
      </c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</row>
    <row r="239" spans="1:35" ht="14" customHeight="1" x14ac:dyDescent="0.2">
      <c r="A239" s="61" t="s">
        <v>5808</v>
      </c>
      <c r="B239" s="61" t="s">
        <v>5809</v>
      </c>
      <c r="C239" s="61" t="s">
        <v>5756</v>
      </c>
      <c r="D239" s="59"/>
      <c r="E239" s="61" t="s">
        <v>215</v>
      </c>
      <c r="F239" s="61" t="s">
        <v>181</v>
      </c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</row>
    <row r="240" spans="1:35" ht="14" customHeight="1" x14ac:dyDescent="0.2">
      <c r="A240" s="61" t="s">
        <v>5810</v>
      </c>
      <c r="B240" s="61" t="s">
        <v>5811</v>
      </c>
      <c r="C240" s="61" t="s">
        <v>5756</v>
      </c>
      <c r="D240" s="59"/>
      <c r="E240" s="61" t="s">
        <v>215</v>
      </c>
      <c r="F240" s="61" t="s">
        <v>181</v>
      </c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</row>
    <row r="241" spans="1:35" ht="14" customHeight="1" x14ac:dyDescent="0.2">
      <c r="A241" s="61" t="s">
        <v>5812</v>
      </c>
      <c r="B241" s="61" t="s">
        <v>5813</v>
      </c>
      <c r="C241" s="61" t="s">
        <v>5756</v>
      </c>
      <c r="D241" s="59"/>
      <c r="E241" s="61" t="s">
        <v>215</v>
      </c>
      <c r="F241" s="61" t="s">
        <v>181</v>
      </c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</row>
    <row r="242" spans="1:35" ht="14" customHeight="1" x14ac:dyDescent="0.2">
      <c r="A242" s="61" t="s">
        <v>5814</v>
      </c>
      <c r="B242" s="61" t="s">
        <v>5815</v>
      </c>
      <c r="C242" s="61" t="s">
        <v>5756</v>
      </c>
      <c r="D242" s="59"/>
      <c r="E242" s="61" t="s">
        <v>215</v>
      </c>
      <c r="F242" s="61" t="s">
        <v>181</v>
      </c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</row>
    <row r="243" spans="1:35" ht="14" customHeight="1" x14ac:dyDescent="0.2">
      <c r="A243" s="61" t="s">
        <v>5816</v>
      </c>
      <c r="B243" s="61" t="s">
        <v>5817</v>
      </c>
      <c r="C243" s="61" t="s">
        <v>5756</v>
      </c>
      <c r="D243" s="59"/>
      <c r="E243" s="61" t="s">
        <v>215</v>
      </c>
      <c r="F243" s="61" t="s">
        <v>181</v>
      </c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</row>
    <row r="244" spans="1:35" ht="14" customHeight="1" x14ac:dyDescent="0.2">
      <c r="A244" s="61" t="s">
        <v>5818</v>
      </c>
      <c r="B244" s="61" t="s">
        <v>5819</v>
      </c>
      <c r="C244" s="61" t="s">
        <v>5756</v>
      </c>
      <c r="D244" s="59"/>
      <c r="E244" s="61" t="s">
        <v>215</v>
      </c>
      <c r="F244" s="61" t="s">
        <v>181</v>
      </c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</row>
    <row r="245" spans="1:35" ht="14" customHeight="1" x14ac:dyDescent="0.2">
      <c r="A245" s="61" t="s">
        <v>5820</v>
      </c>
      <c r="B245" s="61" t="s">
        <v>5821</v>
      </c>
      <c r="C245" s="61" t="s">
        <v>5756</v>
      </c>
      <c r="D245" s="59"/>
      <c r="E245" s="61" t="s">
        <v>215</v>
      </c>
      <c r="F245" s="61" t="s">
        <v>181</v>
      </c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</row>
    <row r="246" spans="1:35" ht="14" customHeight="1" x14ac:dyDescent="0.2">
      <c r="A246" s="61" t="s">
        <v>3366</v>
      </c>
      <c r="B246" s="61" t="s">
        <v>3367</v>
      </c>
      <c r="C246" s="61" t="s">
        <v>5756</v>
      </c>
      <c r="D246" s="59"/>
      <c r="E246" s="61" t="s">
        <v>215</v>
      </c>
      <c r="F246" s="61" t="s">
        <v>181</v>
      </c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</row>
    <row r="247" spans="1:35" ht="14" customHeight="1" x14ac:dyDescent="0.2">
      <c r="A247" s="61" t="s">
        <v>5822</v>
      </c>
      <c r="B247" s="61" t="s">
        <v>5823</v>
      </c>
      <c r="C247" s="61" t="s">
        <v>5756</v>
      </c>
      <c r="D247" s="59"/>
      <c r="E247" s="61" t="s">
        <v>215</v>
      </c>
      <c r="F247" s="61" t="s">
        <v>181</v>
      </c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</row>
    <row r="248" spans="1:35" ht="14" customHeight="1" x14ac:dyDescent="0.2">
      <c r="A248" s="61" t="s">
        <v>5824</v>
      </c>
      <c r="B248" s="61" t="s">
        <v>5825</v>
      </c>
      <c r="C248" s="61" t="s">
        <v>5756</v>
      </c>
      <c r="D248" s="59"/>
      <c r="E248" s="61" t="s">
        <v>215</v>
      </c>
      <c r="F248" s="61" t="s">
        <v>181</v>
      </c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</row>
    <row r="249" spans="1:35" ht="14" customHeight="1" x14ac:dyDescent="0.2">
      <c r="A249" s="61" t="s">
        <v>5826</v>
      </c>
      <c r="B249" s="61" t="s">
        <v>5827</v>
      </c>
      <c r="C249" s="61" t="s">
        <v>5756</v>
      </c>
      <c r="D249" s="59"/>
      <c r="E249" s="61" t="s">
        <v>215</v>
      </c>
      <c r="F249" s="61" t="s">
        <v>181</v>
      </c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</row>
    <row r="250" spans="1:35" ht="14" customHeight="1" x14ac:dyDescent="0.2">
      <c r="A250" s="61" t="s">
        <v>3486</v>
      </c>
      <c r="B250" s="61" t="s">
        <v>3487</v>
      </c>
      <c r="C250" s="61" t="s">
        <v>5756</v>
      </c>
      <c r="D250" s="59"/>
      <c r="E250" s="61" t="s">
        <v>215</v>
      </c>
      <c r="F250" s="61" t="s">
        <v>181</v>
      </c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</row>
    <row r="251" spans="1:35" ht="14" customHeight="1" x14ac:dyDescent="0.2">
      <c r="A251" s="61" t="s">
        <v>5828</v>
      </c>
      <c r="B251" s="61" t="s">
        <v>5829</v>
      </c>
      <c r="C251" s="61" t="s">
        <v>5756</v>
      </c>
      <c r="D251" s="59"/>
      <c r="E251" s="61" t="s">
        <v>215</v>
      </c>
      <c r="F251" s="61" t="s">
        <v>181</v>
      </c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</row>
    <row r="252" spans="1:35" ht="14" customHeight="1" x14ac:dyDescent="0.2">
      <c r="A252" s="61" t="s">
        <v>5830</v>
      </c>
      <c r="B252" s="61" t="s">
        <v>5831</v>
      </c>
      <c r="C252" s="61" t="s">
        <v>5756</v>
      </c>
      <c r="D252" s="59"/>
      <c r="E252" s="61" t="s">
        <v>215</v>
      </c>
      <c r="F252" s="61" t="s">
        <v>181</v>
      </c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</row>
    <row r="253" spans="1:35" ht="14" customHeight="1" x14ac:dyDescent="0.2">
      <c r="A253" s="61" t="s">
        <v>5832</v>
      </c>
      <c r="B253" s="61" t="s">
        <v>5833</v>
      </c>
      <c r="C253" s="61" t="s">
        <v>5834</v>
      </c>
      <c r="D253" s="59"/>
      <c r="E253" s="61" t="s">
        <v>5835</v>
      </c>
      <c r="F253" s="61" t="s">
        <v>181</v>
      </c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</row>
    <row r="254" spans="1:35" ht="14" customHeight="1" x14ac:dyDescent="0.2">
      <c r="A254" s="61" t="s">
        <v>5836</v>
      </c>
      <c r="B254" s="61" t="s">
        <v>5837</v>
      </c>
      <c r="C254" s="61" t="s">
        <v>5834</v>
      </c>
      <c r="D254" s="59"/>
      <c r="E254" s="61" t="s">
        <v>5835</v>
      </c>
      <c r="F254" s="61" t="s">
        <v>181</v>
      </c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</row>
    <row r="255" spans="1:35" ht="14" customHeight="1" x14ac:dyDescent="0.2">
      <c r="A255" s="61" t="s">
        <v>5838</v>
      </c>
      <c r="B255" s="61" t="s">
        <v>5839</v>
      </c>
      <c r="C255" s="61" t="s">
        <v>5834</v>
      </c>
      <c r="D255" s="59"/>
      <c r="E255" s="61" t="s">
        <v>5835</v>
      </c>
      <c r="F255" s="61" t="s">
        <v>181</v>
      </c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</row>
    <row r="256" spans="1:35" ht="14" customHeight="1" x14ac:dyDescent="0.2">
      <c r="A256" s="61" t="s">
        <v>5840</v>
      </c>
      <c r="B256" s="61" t="s">
        <v>5841</v>
      </c>
      <c r="C256" s="61" t="s">
        <v>5834</v>
      </c>
      <c r="D256" s="59"/>
      <c r="E256" s="61" t="s">
        <v>5835</v>
      </c>
      <c r="F256" s="61" t="s">
        <v>181</v>
      </c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</row>
    <row r="257" spans="1:35" ht="14" customHeight="1" x14ac:dyDescent="0.2">
      <c r="A257" s="61" t="s">
        <v>5842</v>
      </c>
      <c r="B257" s="61" t="s">
        <v>5843</v>
      </c>
      <c r="C257" s="61" t="s">
        <v>5834</v>
      </c>
      <c r="D257" s="59"/>
      <c r="E257" s="61" t="s">
        <v>5835</v>
      </c>
      <c r="F257" s="61" t="s">
        <v>181</v>
      </c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</row>
    <row r="258" spans="1:35" ht="14" customHeight="1" x14ac:dyDescent="0.2">
      <c r="A258" s="61" t="s">
        <v>5844</v>
      </c>
      <c r="B258" s="61" t="s">
        <v>5845</v>
      </c>
      <c r="C258" s="61" t="s">
        <v>5834</v>
      </c>
      <c r="D258" s="59"/>
      <c r="E258" s="61" t="s">
        <v>5835</v>
      </c>
      <c r="F258" s="61" t="s">
        <v>181</v>
      </c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</row>
    <row r="259" spans="1:35" ht="14" customHeight="1" x14ac:dyDescent="0.2">
      <c r="A259" s="61" t="s">
        <v>5846</v>
      </c>
      <c r="B259" s="61" t="s">
        <v>5847</v>
      </c>
      <c r="C259" s="61" t="s">
        <v>5834</v>
      </c>
      <c r="D259" s="59"/>
      <c r="E259" s="61" t="s">
        <v>5835</v>
      </c>
      <c r="F259" s="61" t="s">
        <v>181</v>
      </c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</row>
    <row r="260" spans="1:35" ht="14" customHeight="1" x14ac:dyDescent="0.2">
      <c r="A260" s="61" t="s">
        <v>5848</v>
      </c>
      <c r="B260" s="61" t="s">
        <v>5849</v>
      </c>
      <c r="C260" s="61" t="s">
        <v>5834</v>
      </c>
      <c r="D260" s="59"/>
      <c r="E260" s="61" t="s">
        <v>3732</v>
      </c>
      <c r="F260" s="61" t="s">
        <v>181</v>
      </c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</row>
    <row r="261" spans="1:35" ht="14" customHeight="1" x14ac:dyDescent="0.2">
      <c r="A261" s="61" t="s">
        <v>5850</v>
      </c>
      <c r="B261" s="61" t="s">
        <v>5851</v>
      </c>
      <c r="C261" s="61" t="s">
        <v>5834</v>
      </c>
      <c r="D261" s="59"/>
      <c r="E261" s="61" t="s">
        <v>3732</v>
      </c>
      <c r="F261" s="61" t="s">
        <v>181</v>
      </c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</row>
    <row r="262" spans="1:35" ht="14" customHeight="1" x14ac:dyDescent="0.2">
      <c r="A262" s="61" t="s">
        <v>3730</v>
      </c>
      <c r="B262" s="61" t="s">
        <v>3731</v>
      </c>
      <c r="C262" s="61" t="s">
        <v>5834</v>
      </c>
      <c r="D262" s="59"/>
      <c r="E262" s="61" t="s">
        <v>3732</v>
      </c>
      <c r="F262" s="61" t="s">
        <v>181</v>
      </c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</row>
    <row r="263" spans="1:35" ht="14" customHeight="1" x14ac:dyDescent="0.2">
      <c r="A263" s="61" t="s">
        <v>4778</v>
      </c>
      <c r="B263" s="61" t="s">
        <v>4779</v>
      </c>
      <c r="C263" s="61" t="s">
        <v>5834</v>
      </c>
      <c r="D263" s="59"/>
      <c r="E263" s="61" t="s">
        <v>3732</v>
      </c>
      <c r="F263" s="61" t="s">
        <v>181</v>
      </c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</row>
    <row r="264" spans="1:35" ht="14" customHeight="1" x14ac:dyDescent="0.2">
      <c r="A264" s="61" t="s">
        <v>5852</v>
      </c>
      <c r="B264" s="61" t="s">
        <v>5853</v>
      </c>
      <c r="C264" s="61" t="s">
        <v>5834</v>
      </c>
      <c r="D264" s="59"/>
      <c r="E264" s="61" t="s">
        <v>3732</v>
      </c>
      <c r="F264" s="61" t="s">
        <v>181</v>
      </c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</row>
    <row r="265" spans="1:35" ht="14" customHeight="1" x14ac:dyDescent="0.2">
      <c r="A265" s="61" t="s">
        <v>5854</v>
      </c>
      <c r="B265" s="61" t="s">
        <v>5855</v>
      </c>
      <c r="C265" s="61" t="s">
        <v>5834</v>
      </c>
      <c r="D265" s="59"/>
      <c r="E265" s="61" t="s">
        <v>3732</v>
      </c>
      <c r="F265" s="61" t="s">
        <v>181</v>
      </c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</row>
    <row r="266" spans="1:35" ht="14" customHeight="1" x14ac:dyDescent="0.2">
      <c r="A266" s="61" t="s">
        <v>5856</v>
      </c>
      <c r="B266" s="61" t="s">
        <v>5857</v>
      </c>
      <c r="C266" s="61" t="s">
        <v>5834</v>
      </c>
      <c r="D266" s="59"/>
      <c r="E266" s="61" t="s">
        <v>3732</v>
      </c>
      <c r="F266" s="61" t="s">
        <v>181</v>
      </c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</row>
    <row r="267" spans="1:35" ht="14" customHeight="1" x14ac:dyDescent="0.2">
      <c r="A267" s="61" t="s">
        <v>5858</v>
      </c>
      <c r="B267" s="61" t="s">
        <v>5859</v>
      </c>
      <c r="C267" s="61" t="s">
        <v>5834</v>
      </c>
      <c r="D267" s="59"/>
      <c r="E267" s="61" t="s">
        <v>3732</v>
      </c>
      <c r="F267" s="61" t="s">
        <v>181</v>
      </c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</row>
    <row r="268" spans="1:35" ht="14" customHeight="1" x14ac:dyDescent="0.2">
      <c r="A268" s="61" t="s">
        <v>5860</v>
      </c>
      <c r="B268" s="61" t="s">
        <v>5861</v>
      </c>
      <c r="C268" s="61" t="s">
        <v>5834</v>
      </c>
      <c r="D268" s="59"/>
      <c r="E268" s="61" t="s">
        <v>3732</v>
      </c>
      <c r="F268" s="61" t="s">
        <v>181</v>
      </c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</row>
    <row r="269" spans="1:35" ht="14" customHeight="1" x14ac:dyDescent="0.2">
      <c r="A269" s="61" t="s">
        <v>5862</v>
      </c>
      <c r="B269" s="61" t="s">
        <v>5863</v>
      </c>
      <c r="C269" s="61" t="s">
        <v>5864</v>
      </c>
      <c r="D269" s="59"/>
      <c r="E269" s="61" t="s">
        <v>5865</v>
      </c>
      <c r="F269" s="61" t="s">
        <v>181</v>
      </c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</row>
    <row r="270" spans="1:35" ht="14" customHeight="1" x14ac:dyDescent="0.2">
      <c r="A270" s="61" t="s">
        <v>5866</v>
      </c>
      <c r="B270" s="61" t="s">
        <v>5867</v>
      </c>
      <c r="C270" s="61" t="s">
        <v>5864</v>
      </c>
      <c r="D270" s="59"/>
      <c r="E270" s="61" t="s">
        <v>5865</v>
      </c>
      <c r="F270" s="61" t="s">
        <v>181</v>
      </c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</row>
    <row r="271" spans="1:35" ht="14" customHeight="1" x14ac:dyDescent="0.2">
      <c r="A271" s="61" t="s">
        <v>5866</v>
      </c>
      <c r="B271" s="61" t="s">
        <v>5868</v>
      </c>
      <c r="C271" s="61" t="s">
        <v>5864</v>
      </c>
      <c r="D271" s="59"/>
      <c r="E271" s="61" t="s">
        <v>5869</v>
      </c>
      <c r="F271" s="61" t="s">
        <v>181</v>
      </c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</row>
    <row r="272" spans="1:35" ht="14" customHeight="1" x14ac:dyDescent="0.2">
      <c r="A272" s="61" t="s">
        <v>5870</v>
      </c>
      <c r="B272" s="61" t="s">
        <v>5871</v>
      </c>
      <c r="C272" s="61" t="s">
        <v>5872</v>
      </c>
      <c r="D272" s="59"/>
      <c r="E272" s="61" t="s">
        <v>5873</v>
      </c>
      <c r="F272" s="61" t="s">
        <v>181</v>
      </c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</row>
    <row r="273" spans="1:35" ht="14" customHeight="1" x14ac:dyDescent="0.2">
      <c r="A273" s="61" t="s">
        <v>5874</v>
      </c>
      <c r="B273" s="61" t="s">
        <v>5875</v>
      </c>
      <c r="C273" s="61" t="s">
        <v>5872</v>
      </c>
      <c r="D273" s="59"/>
      <c r="E273" s="61" t="s">
        <v>5873</v>
      </c>
      <c r="F273" s="61" t="s">
        <v>181</v>
      </c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</row>
    <row r="274" spans="1:35" ht="14" customHeight="1" x14ac:dyDescent="0.2">
      <c r="A274" s="61" t="s">
        <v>5876</v>
      </c>
      <c r="B274" s="61" t="s">
        <v>5877</v>
      </c>
      <c r="C274" s="61" t="s">
        <v>5872</v>
      </c>
      <c r="D274" s="59"/>
      <c r="E274" s="61" t="s">
        <v>5873</v>
      </c>
      <c r="F274" s="61" t="s">
        <v>181</v>
      </c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</row>
    <row r="275" spans="1:35" ht="14" customHeight="1" x14ac:dyDescent="0.2">
      <c r="A275" s="61" t="s">
        <v>5878</v>
      </c>
      <c r="B275" s="61" t="s">
        <v>5879</v>
      </c>
      <c r="C275" s="61" t="s">
        <v>5872</v>
      </c>
      <c r="D275" s="59"/>
      <c r="E275" s="61" t="s">
        <v>5873</v>
      </c>
      <c r="F275" s="61" t="s">
        <v>181</v>
      </c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</row>
    <row r="276" spans="1:35" ht="14" customHeight="1" x14ac:dyDescent="0.2">
      <c r="A276" s="61" t="s">
        <v>5880</v>
      </c>
      <c r="B276" s="61" t="s">
        <v>5881</v>
      </c>
      <c r="C276" s="61" t="s">
        <v>5872</v>
      </c>
      <c r="D276" s="59"/>
      <c r="E276" s="61" t="s">
        <v>5873</v>
      </c>
      <c r="F276" s="61" t="s">
        <v>181</v>
      </c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</row>
    <row r="277" spans="1:35" ht="14" customHeight="1" x14ac:dyDescent="0.2">
      <c r="A277" s="61" t="s">
        <v>5882</v>
      </c>
      <c r="B277" s="61" t="s">
        <v>5883</v>
      </c>
      <c r="C277" s="61" t="s">
        <v>5872</v>
      </c>
      <c r="D277" s="59"/>
      <c r="E277" s="61" t="s">
        <v>5873</v>
      </c>
      <c r="F277" s="61" t="s">
        <v>181</v>
      </c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</row>
    <row r="278" spans="1:35" ht="14" customHeight="1" x14ac:dyDescent="0.2">
      <c r="A278" s="61" t="s">
        <v>5884</v>
      </c>
      <c r="B278" s="61" t="s">
        <v>5885</v>
      </c>
      <c r="C278" s="61" t="s">
        <v>5872</v>
      </c>
      <c r="D278" s="59"/>
      <c r="E278" s="61" t="s">
        <v>5873</v>
      </c>
      <c r="F278" s="61" t="s">
        <v>181</v>
      </c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</row>
    <row r="279" spans="1:35" ht="14" customHeight="1" x14ac:dyDescent="0.2">
      <c r="A279" s="61" t="s">
        <v>5886</v>
      </c>
      <c r="B279" s="61" t="s">
        <v>5887</v>
      </c>
      <c r="C279" s="61" t="s">
        <v>5872</v>
      </c>
      <c r="D279" s="59"/>
      <c r="E279" s="61" t="s">
        <v>5873</v>
      </c>
      <c r="F279" s="61" t="s">
        <v>181</v>
      </c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</row>
    <row r="280" spans="1:35" ht="14" customHeight="1" x14ac:dyDescent="0.2">
      <c r="A280" s="61" t="s">
        <v>5888</v>
      </c>
      <c r="B280" s="61" t="s">
        <v>5889</v>
      </c>
      <c r="C280" s="61" t="s">
        <v>5872</v>
      </c>
      <c r="D280" s="59"/>
      <c r="E280" s="61" t="s">
        <v>5873</v>
      </c>
      <c r="F280" s="61" t="s">
        <v>181</v>
      </c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</row>
    <row r="281" spans="1:35" ht="14" customHeight="1" x14ac:dyDescent="0.2">
      <c r="A281" s="61" t="s">
        <v>5890</v>
      </c>
      <c r="B281" s="61" t="s">
        <v>5891</v>
      </c>
      <c r="C281" s="61" t="s">
        <v>5872</v>
      </c>
      <c r="D281" s="59"/>
      <c r="E281" s="61" t="s">
        <v>5873</v>
      </c>
      <c r="F281" s="61" t="s">
        <v>181</v>
      </c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</row>
    <row r="282" spans="1:35" ht="14" customHeight="1" x14ac:dyDescent="0.2">
      <c r="A282" s="61" t="s">
        <v>5892</v>
      </c>
      <c r="B282" s="61" t="s">
        <v>5893</v>
      </c>
      <c r="C282" s="61" t="s">
        <v>5872</v>
      </c>
      <c r="D282" s="59"/>
      <c r="E282" s="61" t="s">
        <v>5873</v>
      </c>
      <c r="F282" s="61" t="s">
        <v>181</v>
      </c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</row>
    <row r="283" spans="1:35" ht="14" customHeight="1" x14ac:dyDescent="0.2">
      <c r="A283" s="61" t="s">
        <v>5894</v>
      </c>
      <c r="B283" s="61" t="s">
        <v>5895</v>
      </c>
      <c r="C283" s="61" t="s">
        <v>5872</v>
      </c>
      <c r="D283" s="59"/>
      <c r="E283" s="61" t="s">
        <v>5873</v>
      </c>
      <c r="F283" s="61" t="s">
        <v>181</v>
      </c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</row>
    <row r="284" spans="1:35" ht="14" customHeight="1" x14ac:dyDescent="0.2">
      <c r="A284" s="61" t="s">
        <v>5896</v>
      </c>
      <c r="B284" s="61" t="s">
        <v>5897</v>
      </c>
      <c r="C284" s="61" t="s">
        <v>5872</v>
      </c>
      <c r="D284" s="59"/>
      <c r="E284" s="61" t="s">
        <v>5873</v>
      </c>
      <c r="F284" s="61" t="s">
        <v>181</v>
      </c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</row>
    <row r="285" spans="1:35" ht="14" customHeight="1" x14ac:dyDescent="0.2">
      <c r="A285" s="61" t="s">
        <v>5898</v>
      </c>
      <c r="B285" s="61" t="s">
        <v>5899</v>
      </c>
      <c r="C285" s="61" t="s">
        <v>5872</v>
      </c>
      <c r="D285" s="59"/>
      <c r="E285" s="61" t="s">
        <v>5873</v>
      </c>
      <c r="F285" s="61" t="s">
        <v>181</v>
      </c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</row>
    <row r="286" spans="1:35" ht="14" customHeight="1" x14ac:dyDescent="0.2">
      <c r="A286" s="61" t="s">
        <v>5900</v>
      </c>
      <c r="B286" s="61" t="s">
        <v>5901</v>
      </c>
      <c r="C286" s="61" t="s">
        <v>5872</v>
      </c>
      <c r="D286" s="59"/>
      <c r="E286" s="61" t="s">
        <v>5873</v>
      </c>
      <c r="F286" s="61" t="s">
        <v>181</v>
      </c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</row>
    <row r="287" spans="1:35" ht="14" customHeight="1" x14ac:dyDescent="0.2">
      <c r="A287" s="61" t="s">
        <v>5902</v>
      </c>
      <c r="B287" s="61" t="s">
        <v>5903</v>
      </c>
      <c r="C287" s="61" t="s">
        <v>5872</v>
      </c>
      <c r="D287" s="59"/>
      <c r="E287" s="61" t="s">
        <v>5873</v>
      </c>
      <c r="F287" s="61" t="s">
        <v>181</v>
      </c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</row>
    <row r="288" spans="1:35" ht="14" customHeight="1" x14ac:dyDescent="0.2">
      <c r="A288" s="61" t="s">
        <v>5904</v>
      </c>
      <c r="B288" s="61" t="s">
        <v>5905</v>
      </c>
      <c r="C288" s="61" t="s">
        <v>5872</v>
      </c>
      <c r="D288" s="59"/>
      <c r="E288" s="61" t="s">
        <v>5873</v>
      </c>
      <c r="F288" s="61" t="s">
        <v>181</v>
      </c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</row>
    <row r="289" spans="1:35" ht="14" customHeight="1" x14ac:dyDescent="0.2">
      <c r="A289" s="61" t="s">
        <v>5906</v>
      </c>
      <c r="B289" s="61" t="s">
        <v>5907</v>
      </c>
      <c r="C289" s="61" t="s">
        <v>5872</v>
      </c>
      <c r="D289" s="59"/>
      <c r="E289" s="61" t="s">
        <v>5873</v>
      </c>
      <c r="F289" s="61" t="s">
        <v>181</v>
      </c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</row>
    <row r="290" spans="1:35" ht="14" customHeight="1" x14ac:dyDescent="0.2">
      <c r="A290" s="61" t="s">
        <v>5908</v>
      </c>
      <c r="B290" s="61" t="s">
        <v>5909</v>
      </c>
      <c r="C290" s="61" t="s">
        <v>5872</v>
      </c>
      <c r="D290" s="59"/>
      <c r="E290" s="61" t="s">
        <v>5873</v>
      </c>
      <c r="F290" s="61" t="s">
        <v>181</v>
      </c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</row>
    <row r="291" spans="1:35" ht="14" customHeight="1" x14ac:dyDescent="0.2">
      <c r="A291" s="61" t="s">
        <v>5910</v>
      </c>
      <c r="B291" s="61" t="s">
        <v>5911</v>
      </c>
      <c r="C291" s="61" t="s">
        <v>5872</v>
      </c>
      <c r="D291" s="59"/>
      <c r="E291" s="61" t="s">
        <v>5873</v>
      </c>
      <c r="F291" s="61" t="s">
        <v>181</v>
      </c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</row>
    <row r="292" spans="1:35" ht="14" customHeight="1" x14ac:dyDescent="0.2">
      <c r="A292" s="61" t="s">
        <v>5912</v>
      </c>
      <c r="B292" s="61" t="s">
        <v>5913</v>
      </c>
      <c r="C292" s="61" t="s">
        <v>5872</v>
      </c>
      <c r="D292" s="59"/>
      <c r="E292" s="61" t="s">
        <v>5873</v>
      </c>
      <c r="F292" s="61" t="s">
        <v>181</v>
      </c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</row>
    <row r="293" spans="1:35" ht="14" customHeight="1" x14ac:dyDescent="0.2">
      <c r="A293" s="61" t="s">
        <v>5914</v>
      </c>
      <c r="B293" s="61" t="s">
        <v>5915</v>
      </c>
      <c r="C293" s="61" t="s">
        <v>5872</v>
      </c>
      <c r="D293" s="59"/>
      <c r="E293" s="61" t="s">
        <v>5873</v>
      </c>
      <c r="F293" s="61" t="s">
        <v>181</v>
      </c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</row>
    <row r="294" spans="1:35" ht="14" customHeight="1" x14ac:dyDescent="0.2">
      <c r="A294" s="61" t="s">
        <v>5916</v>
      </c>
      <c r="B294" s="61" t="s">
        <v>5917</v>
      </c>
      <c r="C294" s="61" t="s">
        <v>5872</v>
      </c>
      <c r="D294" s="59"/>
      <c r="E294" s="61" t="s">
        <v>5873</v>
      </c>
      <c r="F294" s="61" t="s">
        <v>181</v>
      </c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</row>
    <row r="295" spans="1:35" ht="14" customHeight="1" x14ac:dyDescent="0.2">
      <c r="A295" s="61" t="s">
        <v>5918</v>
      </c>
      <c r="B295" s="61" t="s">
        <v>5919</v>
      </c>
      <c r="C295" s="61" t="s">
        <v>5872</v>
      </c>
      <c r="D295" s="59"/>
      <c r="E295" s="61" t="s">
        <v>5873</v>
      </c>
      <c r="F295" s="61" t="s">
        <v>181</v>
      </c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</row>
    <row r="296" spans="1:35" ht="14" customHeight="1" x14ac:dyDescent="0.2">
      <c r="A296" s="61" t="s">
        <v>5920</v>
      </c>
      <c r="B296" s="61" t="s">
        <v>5921</v>
      </c>
      <c r="C296" s="61" t="s">
        <v>5872</v>
      </c>
      <c r="D296" s="59"/>
      <c r="E296" s="61" t="s">
        <v>5873</v>
      </c>
      <c r="F296" s="61" t="s">
        <v>181</v>
      </c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</row>
    <row r="297" spans="1:35" ht="14" customHeight="1" x14ac:dyDescent="0.2">
      <c r="A297" s="61" t="s">
        <v>5922</v>
      </c>
      <c r="B297" s="61" t="s">
        <v>5923</v>
      </c>
      <c r="C297" s="61" t="s">
        <v>5872</v>
      </c>
      <c r="D297" s="59"/>
      <c r="E297" s="61" t="s">
        <v>5873</v>
      </c>
      <c r="F297" s="61" t="s">
        <v>181</v>
      </c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</row>
    <row r="298" spans="1:35" ht="14" customHeight="1" x14ac:dyDescent="0.2">
      <c r="A298" s="61" t="s">
        <v>5924</v>
      </c>
      <c r="B298" s="61" t="s">
        <v>5925</v>
      </c>
      <c r="C298" s="61" t="s">
        <v>5872</v>
      </c>
      <c r="D298" s="59"/>
      <c r="E298" s="61" t="s">
        <v>5873</v>
      </c>
      <c r="F298" s="61" t="s">
        <v>181</v>
      </c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</row>
    <row r="299" spans="1:35" ht="14" customHeight="1" x14ac:dyDescent="0.2">
      <c r="A299" s="61" t="s">
        <v>5926</v>
      </c>
      <c r="B299" s="61" t="s">
        <v>5927</v>
      </c>
      <c r="C299" s="61" t="s">
        <v>5872</v>
      </c>
      <c r="D299" s="59"/>
      <c r="E299" s="61" t="s">
        <v>5873</v>
      </c>
      <c r="F299" s="61" t="s">
        <v>181</v>
      </c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</row>
    <row r="300" spans="1:35" ht="14" customHeight="1" x14ac:dyDescent="0.2">
      <c r="A300" s="61" t="s">
        <v>5928</v>
      </c>
      <c r="B300" s="61" t="s">
        <v>5929</v>
      </c>
      <c r="C300" s="61" t="s">
        <v>5872</v>
      </c>
      <c r="D300" s="59"/>
      <c r="E300" s="61" t="s">
        <v>5873</v>
      </c>
      <c r="F300" s="61" t="s">
        <v>181</v>
      </c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</row>
    <row r="301" spans="1:35" ht="14" customHeight="1" x14ac:dyDescent="0.2">
      <c r="A301" s="61" t="s">
        <v>5930</v>
      </c>
      <c r="B301" s="61" t="s">
        <v>5931</v>
      </c>
      <c r="C301" s="61" t="s">
        <v>5872</v>
      </c>
      <c r="D301" s="59"/>
      <c r="E301" s="61" t="s">
        <v>5873</v>
      </c>
      <c r="F301" s="61" t="s">
        <v>181</v>
      </c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</row>
    <row r="302" spans="1:35" ht="14" customHeight="1" x14ac:dyDescent="0.2">
      <c r="A302" s="61" t="s">
        <v>5932</v>
      </c>
      <c r="B302" s="61" t="s">
        <v>5933</v>
      </c>
      <c r="C302" s="61" t="s">
        <v>5872</v>
      </c>
      <c r="D302" s="59"/>
      <c r="E302" s="61" t="s">
        <v>5873</v>
      </c>
      <c r="F302" s="61" t="s">
        <v>181</v>
      </c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</row>
    <row r="303" spans="1:35" ht="14" customHeight="1" x14ac:dyDescent="0.2">
      <c r="A303" s="61" t="s">
        <v>5934</v>
      </c>
      <c r="B303" s="61" t="s">
        <v>5935</v>
      </c>
      <c r="C303" s="61" t="s">
        <v>5872</v>
      </c>
      <c r="D303" s="59"/>
      <c r="E303" s="61" t="s">
        <v>5873</v>
      </c>
      <c r="F303" s="61" t="s">
        <v>181</v>
      </c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</row>
    <row r="304" spans="1:35" ht="14" customHeight="1" x14ac:dyDescent="0.2">
      <c r="A304" s="61" t="s">
        <v>5936</v>
      </c>
      <c r="B304" s="61" t="s">
        <v>5937</v>
      </c>
      <c r="C304" s="61" t="s">
        <v>5872</v>
      </c>
      <c r="D304" s="59"/>
      <c r="E304" s="61" t="s">
        <v>5873</v>
      </c>
      <c r="F304" s="61" t="s">
        <v>181</v>
      </c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</row>
    <row r="305" spans="1:35" ht="14" customHeight="1" x14ac:dyDescent="0.2">
      <c r="A305" s="61" t="s">
        <v>5938</v>
      </c>
      <c r="B305" s="61" t="s">
        <v>5939</v>
      </c>
      <c r="C305" s="61" t="s">
        <v>5872</v>
      </c>
      <c r="D305" s="59"/>
      <c r="E305" s="61" t="s">
        <v>5873</v>
      </c>
      <c r="F305" s="61" t="s">
        <v>181</v>
      </c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</row>
    <row r="306" spans="1:35" ht="14" customHeight="1" x14ac:dyDescent="0.2">
      <c r="A306" s="61" t="s">
        <v>5940</v>
      </c>
      <c r="B306" s="61" t="s">
        <v>5941</v>
      </c>
      <c r="C306" s="61" t="s">
        <v>5872</v>
      </c>
      <c r="D306" s="59"/>
      <c r="E306" s="61" t="s">
        <v>5873</v>
      </c>
      <c r="F306" s="61" t="s">
        <v>181</v>
      </c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</row>
    <row r="307" spans="1:35" ht="14" customHeight="1" x14ac:dyDescent="0.2">
      <c r="A307" s="61" t="s">
        <v>5942</v>
      </c>
      <c r="B307" s="61" t="s">
        <v>5943</v>
      </c>
      <c r="C307" s="61" t="s">
        <v>5872</v>
      </c>
      <c r="D307" s="59"/>
      <c r="E307" s="61" t="s">
        <v>5873</v>
      </c>
      <c r="F307" s="61" t="s">
        <v>181</v>
      </c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</row>
    <row r="308" spans="1:35" ht="14" customHeight="1" x14ac:dyDescent="0.2">
      <c r="A308" s="61" t="s">
        <v>5944</v>
      </c>
      <c r="B308" s="61" t="s">
        <v>5945</v>
      </c>
      <c r="C308" s="61" t="s">
        <v>5872</v>
      </c>
      <c r="D308" s="59"/>
      <c r="E308" s="61" t="s">
        <v>5873</v>
      </c>
      <c r="F308" s="61" t="s">
        <v>181</v>
      </c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</row>
    <row r="309" spans="1:35" ht="14" customHeight="1" x14ac:dyDescent="0.2">
      <c r="A309" s="61" t="s">
        <v>5946</v>
      </c>
      <c r="B309" s="61" t="s">
        <v>5947</v>
      </c>
      <c r="C309" s="61" t="s">
        <v>5872</v>
      </c>
      <c r="D309" s="59"/>
      <c r="E309" s="61" t="s">
        <v>5873</v>
      </c>
      <c r="F309" s="61" t="s">
        <v>181</v>
      </c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</row>
    <row r="310" spans="1:35" ht="14" customHeight="1" x14ac:dyDescent="0.2">
      <c r="A310" s="61" t="s">
        <v>5948</v>
      </c>
      <c r="B310" s="61" t="s">
        <v>5949</v>
      </c>
      <c r="C310" s="61" t="s">
        <v>5872</v>
      </c>
      <c r="D310" s="59"/>
      <c r="E310" s="61" t="s">
        <v>5873</v>
      </c>
      <c r="F310" s="61" t="s">
        <v>181</v>
      </c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</row>
    <row r="311" spans="1:35" ht="14" customHeight="1" x14ac:dyDescent="0.2">
      <c r="A311" s="61" t="s">
        <v>5950</v>
      </c>
      <c r="B311" s="61" t="s">
        <v>5951</v>
      </c>
      <c r="C311" s="61" t="s">
        <v>5872</v>
      </c>
      <c r="D311" s="59"/>
      <c r="E311" s="61" t="s">
        <v>5873</v>
      </c>
      <c r="F311" s="61" t="s">
        <v>181</v>
      </c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</row>
    <row r="312" spans="1:35" ht="14" customHeight="1" x14ac:dyDescent="0.2">
      <c r="A312" s="61" t="s">
        <v>5952</v>
      </c>
      <c r="B312" s="61" t="s">
        <v>5953</v>
      </c>
      <c r="C312" s="61" t="s">
        <v>5872</v>
      </c>
      <c r="D312" s="59"/>
      <c r="E312" s="61" t="s">
        <v>5873</v>
      </c>
      <c r="F312" s="61" t="s">
        <v>181</v>
      </c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</row>
    <row r="313" spans="1:35" ht="14" customHeight="1" x14ac:dyDescent="0.2">
      <c r="A313" s="61" t="s">
        <v>5954</v>
      </c>
      <c r="B313" s="61" t="s">
        <v>5955</v>
      </c>
      <c r="C313" s="61" t="s">
        <v>5956</v>
      </c>
      <c r="D313" s="59"/>
      <c r="E313" s="61" t="s">
        <v>5873</v>
      </c>
      <c r="F313" s="61" t="s">
        <v>181</v>
      </c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</row>
    <row r="314" spans="1:35" ht="14" customHeight="1" x14ac:dyDescent="0.2">
      <c r="A314" s="61" t="s">
        <v>5957</v>
      </c>
      <c r="B314" s="61" t="s">
        <v>5958</v>
      </c>
      <c r="C314" s="61" t="s">
        <v>5956</v>
      </c>
      <c r="D314" s="59"/>
      <c r="E314" s="61" t="s">
        <v>5873</v>
      </c>
      <c r="F314" s="61" t="s">
        <v>181</v>
      </c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</row>
    <row r="315" spans="1:35" ht="14" customHeight="1" x14ac:dyDescent="0.2">
      <c r="A315" s="61" t="s">
        <v>5959</v>
      </c>
      <c r="B315" s="61" t="s">
        <v>5960</v>
      </c>
      <c r="C315" s="61" t="s">
        <v>5961</v>
      </c>
      <c r="D315" s="59"/>
      <c r="E315" s="61" t="s">
        <v>307</v>
      </c>
      <c r="F315" s="61" t="s">
        <v>181</v>
      </c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</row>
    <row r="316" spans="1:35" ht="14" customHeight="1" x14ac:dyDescent="0.2">
      <c r="A316" s="61" t="s">
        <v>5962</v>
      </c>
      <c r="B316" s="61" t="s">
        <v>4005</v>
      </c>
      <c r="C316" s="61" t="s">
        <v>5961</v>
      </c>
      <c r="D316" s="59"/>
      <c r="E316" s="61" t="s">
        <v>307</v>
      </c>
      <c r="F316" s="61" t="s">
        <v>181</v>
      </c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</row>
    <row r="317" spans="1:35" ht="14" customHeight="1" x14ac:dyDescent="0.2">
      <c r="A317" s="61" t="s">
        <v>5963</v>
      </c>
      <c r="B317" s="61" t="s">
        <v>5964</v>
      </c>
      <c r="C317" s="61" t="s">
        <v>5961</v>
      </c>
      <c r="D317" s="59"/>
      <c r="E317" s="61" t="s">
        <v>5965</v>
      </c>
      <c r="F317" s="61" t="s">
        <v>181</v>
      </c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</row>
    <row r="318" spans="1:35" ht="14" customHeight="1" x14ac:dyDescent="0.2">
      <c r="A318" s="61" t="s">
        <v>5966</v>
      </c>
      <c r="B318" s="61" t="s">
        <v>5967</v>
      </c>
      <c r="C318" s="61" t="s">
        <v>5961</v>
      </c>
      <c r="D318" s="59"/>
      <c r="E318" s="61" t="s">
        <v>307</v>
      </c>
      <c r="F318" s="61" t="s">
        <v>181</v>
      </c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</row>
    <row r="319" spans="1:35" ht="14" customHeight="1" x14ac:dyDescent="0.2">
      <c r="A319" s="61" t="s">
        <v>5968</v>
      </c>
      <c r="B319" s="61" t="s">
        <v>5969</v>
      </c>
      <c r="C319" s="61" t="s">
        <v>5961</v>
      </c>
      <c r="D319" s="59"/>
      <c r="E319" s="61" t="s">
        <v>307</v>
      </c>
      <c r="F319" s="61" t="s">
        <v>181</v>
      </c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</row>
    <row r="320" spans="1:35" ht="14" customHeight="1" x14ac:dyDescent="0.2">
      <c r="A320" s="61" t="s">
        <v>5970</v>
      </c>
      <c r="B320" s="61" t="s">
        <v>5971</v>
      </c>
      <c r="C320" s="61" t="s">
        <v>5961</v>
      </c>
      <c r="D320" s="59"/>
      <c r="E320" s="61" t="s">
        <v>307</v>
      </c>
      <c r="F320" s="61" t="s">
        <v>181</v>
      </c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</row>
    <row r="321" spans="1:35" ht="14" customHeight="1" x14ac:dyDescent="0.2">
      <c r="A321" s="61" t="s">
        <v>3945</v>
      </c>
      <c r="B321" s="61" t="s">
        <v>3686</v>
      </c>
      <c r="C321" s="61" t="s">
        <v>5961</v>
      </c>
      <c r="D321" s="59"/>
      <c r="E321" s="61" t="s">
        <v>3437</v>
      </c>
      <c r="F321" s="61" t="s">
        <v>181</v>
      </c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</row>
    <row r="322" spans="1:35" ht="14" customHeight="1" x14ac:dyDescent="0.2">
      <c r="A322" s="61" t="s">
        <v>5972</v>
      </c>
      <c r="B322" s="61" t="s">
        <v>5973</v>
      </c>
      <c r="C322" s="61" t="s">
        <v>5961</v>
      </c>
      <c r="D322" s="59"/>
      <c r="E322" s="61" t="s">
        <v>307</v>
      </c>
      <c r="F322" s="61" t="s">
        <v>181</v>
      </c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</row>
    <row r="323" spans="1:35" ht="14" customHeight="1" x14ac:dyDescent="0.2">
      <c r="A323" s="61" t="s">
        <v>3963</v>
      </c>
      <c r="B323" s="61" t="s">
        <v>3964</v>
      </c>
      <c r="C323" s="61" t="s">
        <v>5961</v>
      </c>
      <c r="D323" s="59"/>
      <c r="E323" s="61" t="s">
        <v>307</v>
      </c>
      <c r="F323" s="61" t="s">
        <v>181</v>
      </c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</row>
    <row r="324" spans="1:35" ht="14" customHeight="1" x14ac:dyDescent="0.2">
      <c r="A324" s="61" t="s">
        <v>5974</v>
      </c>
      <c r="B324" s="61" t="s">
        <v>5975</v>
      </c>
      <c r="C324" s="61" t="s">
        <v>5961</v>
      </c>
      <c r="D324" s="59"/>
      <c r="E324" s="61" t="s">
        <v>307</v>
      </c>
      <c r="F324" s="61" t="s">
        <v>181</v>
      </c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</row>
    <row r="325" spans="1:35" ht="14" customHeight="1" x14ac:dyDescent="0.2">
      <c r="A325" s="61" t="s">
        <v>3937</v>
      </c>
      <c r="B325" s="61" t="s">
        <v>309</v>
      </c>
      <c r="C325" s="61" t="s">
        <v>5961</v>
      </c>
      <c r="D325" s="59"/>
      <c r="E325" s="61" t="s">
        <v>307</v>
      </c>
      <c r="F325" s="61" t="s">
        <v>181</v>
      </c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</row>
    <row r="326" spans="1:35" ht="14" customHeight="1" x14ac:dyDescent="0.2">
      <c r="A326" s="61" t="s">
        <v>5976</v>
      </c>
      <c r="B326" s="61" t="s">
        <v>5977</v>
      </c>
      <c r="C326" s="61" t="s">
        <v>5961</v>
      </c>
      <c r="D326" s="59"/>
      <c r="E326" s="61" t="s">
        <v>307</v>
      </c>
      <c r="F326" s="61" t="s">
        <v>181</v>
      </c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</row>
    <row r="327" spans="1:35" ht="14" customHeight="1" x14ac:dyDescent="0.2">
      <c r="A327" s="61" t="s">
        <v>5978</v>
      </c>
      <c r="B327" s="61" t="s">
        <v>5979</v>
      </c>
      <c r="C327" s="61" t="s">
        <v>5961</v>
      </c>
      <c r="D327" s="59"/>
      <c r="E327" s="61" t="s">
        <v>307</v>
      </c>
      <c r="F327" s="61" t="s">
        <v>181</v>
      </c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</row>
    <row r="328" spans="1:35" ht="14" customHeight="1" x14ac:dyDescent="0.2">
      <c r="A328" s="61" t="s">
        <v>3935</v>
      </c>
      <c r="B328" s="61" t="s">
        <v>370</v>
      </c>
      <c r="C328" s="61" t="s">
        <v>5961</v>
      </c>
      <c r="D328" s="59"/>
      <c r="E328" s="61" t="s">
        <v>307</v>
      </c>
      <c r="F328" s="61" t="s">
        <v>181</v>
      </c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</row>
    <row r="329" spans="1:35" ht="14" customHeight="1" x14ac:dyDescent="0.2">
      <c r="A329" s="61" t="s">
        <v>5980</v>
      </c>
      <c r="B329" s="61" t="s">
        <v>5981</v>
      </c>
      <c r="C329" s="61" t="s">
        <v>5961</v>
      </c>
      <c r="D329" s="59"/>
      <c r="E329" s="61" t="s">
        <v>5982</v>
      </c>
      <c r="F329" s="61" t="s">
        <v>181</v>
      </c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</row>
    <row r="330" spans="1:35" ht="14" customHeight="1" x14ac:dyDescent="0.2">
      <c r="A330" s="61" t="s">
        <v>5983</v>
      </c>
      <c r="B330" s="61" t="s">
        <v>5984</v>
      </c>
      <c r="C330" s="61" t="s">
        <v>5961</v>
      </c>
      <c r="D330" s="59"/>
      <c r="E330" s="61" t="s">
        <v>307</v>
      </c>
      <c r="F330" s="61" t="s">
        <v>181</v>
      </c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</row>
    <row r="331" spans="1:35" ht="14" customHeight="1" x14ac:dyDescent="0.2">
      <c r="A331" s="61" t="s">
        <v>5985</v>
      </c>
      <c r="B331" s="61" t="s">
        <v>5986</v>
      </c>
      <c r="C331" s="61" t="s">
        <v>5961</v>
      </c>
      <c r="D331" s="59"/>
      <c r="E331" s="61" t="s">
        <v>307</v>
      </c>
      <c r="F331" s="61" t="s">
        <v>181</v>
      </c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</row>
    <row r="332" spans="1:35" ht="14" customHeight="1" x14ac:dyDescent="0.2">
      <c r="A332" s="61" t="s">
        <v>5987</v>
      </c>
      <c r="B332" s="61" t="s">
        <v>5988</v>
      </c>
      <c r="C332" s="61" t="s">
        <v>5961</v>
      </c>
      <c r="D332" s="59"/>
      <c r="E332" s="61" t="s">
        <v>307</v>
      </c>
      <c r="F332" s="61" t="s">
        <v>181</v>
      </c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59"/>
      <c r="AI332" s="59"/>
    </row>
    <row r="333" spans="1:35" ht="14" customHeight="1" x14ac:dyDescent="0.2">
      <c r="A333" s="61" t="s">
        <v>3932</v>
      </c>
      <c r="B333" s="61" t="s">
        <v>371</v>
      </c>
      <c r="C333" s="61" t="s">
        <v>5961</v>
      </c>
      <c r="D333" s="59"/>
      <c r="E333" s="61" t="s">
        <v>307</v>
      </c>
      <c r="F333" s="61" t="s">
        <v>181</v>
      </c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</row>
    <row r="334" spans="1:35" ht="14" customHeight="1" x14ac:dyDescent="0.2">
      <c r="A334" s="61" t="s">
        <v>5989</v>
      </c>
      <c r="B334" s="61" t="s">
        <v>3899</v>
      </c>
      <c r="C334" s="61" t="s">
        <v>5961</v>
      </c>
      <c r="D334" s="59"/>
      <c r="E334" s="61" t="s">
        <v>307</v>
      </c>
      <c r="F334" s="61" t="s">
        <v>181</v>
      </c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59"/>
      <c r="AH334" s="59"/>
      <c r="AI334" s="59"/>
    </row>
    <row r="335" spans="1:35" ht="14" customHeight="1" x14ac:dyDescent="0.2">
      <c r="A335" s="61" t="s">
        <v>3949</v>
      </c>
      <c r="B335" s="61" t="s">
        <v>385</v>
      </c>
      <c r="C335" s="61" t="s">
        <v>5961</v>
      </c>
      <c r="D335" s="59"/>
      <c r="E335" s="61" t="s">
        <v>307</v>
      </c>
      <c r="F335" s="61" t="s">
        <v>178</v>
      </c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</row>
    <row r="336" spans="1:35" ht="14" customHeight="1" x14ac:dyDescent="0.2">
      <c r="A336" s="61" t="s">
        <v>4250</v>
      </c>
      <c r="B336" s="61" t="s">
        <v>4540</v>
      </c>
      <c r="C336" s="61" t="s">
        <v>5961</v>
      </c>
      <c r="D336" s="59"/>
      <c r="E336" s="61" t="s">
        <v>307</v>
      </c>
      <c r="F336" s="61" t="s">
        <v>181</v>
      </c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  <c r="AI336" s="59"/>
    </row>
    <row r="337" spans="1:35" ht="14" customHeight="1" x14ac:dyDescent="0.2">
      <c r="A337" s="61" t="s">
        <v>4320</v>
      </c>
      <c r="B337" s="61" t="s">
        <v>4321</v>
      </c>
      <c r="C337" s="61" t="s">
        <v>5990</v>
      </c>
      <c r="D337" s="59"/>
      <c r="E337" s="61" t="s">
        <v>3696</v>
      </c>
      <c r="F337" s="61" t="s">
        <v>181</v>
      </c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</row>
    <row r="338" spans="1:35" ht="14" customHeight="1" x14ac:dyDescent="0.2">
      <c r="A338" s="61" t="s">
        <v>3694</v>
      </c>
      <c r="B338" s="61" t="s">
        <v>3695</v>
      </c>
      <c r="C338" s="61" t="s">
        <v>5990</v>
      </c>
      <c r="D338" s="59"/>
      <c r="E338" s="61" t="s">
        <v>3696</v>
      </c>
      <c r="F338" s="61" t="s">
        <v>181</v>
      </c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</row>
    <row r="339" spans="1:35" ht="14" customHeight="1" x14ac:dyDescent="0.2">
      <c r="A339" s="61" t="s">
        <v>5991</v>
      </c>
      <c r="B339" s="61" t="s">
        <v>5992</v>
      </c>
      <c r="C339" s="61" t="s">
        <v>5990</v>
      </c>
      <c r="D339" s="59"/>
      <c r="E339" s="61" t="s">
        <v>3696</v>
      </c>
      <c r="F339" s="61" t="s">
        <v>181</v>
      </c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</row>
    <row r="340" spans="1:35" ht="14" customHeight="1" x14ac:dyDescent="0.2">
      <c r="A340" s="61" t="s">
        <v>5993</v>
      </c>
      <c r="B340" s="61" t="s">
        <v>5994</v>
      </c>
      <c r="C340" s="61" t="s">
        <v>5990</v>
      </c>
      <c r="D340" s="59"/>
      <c r="E340" s="61" t="s">
        <v>3696</v>
      </c>
      <c r="F340" s="61" t="s">
        <v>181</v>
      </c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</row>
    <row r="341" spans="1:35" ht="14" customHeight="1" x14ac:dyDescent="0.2">
      <c r="A341" s="61" t="s">
        <v>5995</v>
      </c>
      <c r="B341" s="61" t="s">
        <v>5996</v>
      </c>
      <c r="C341" s="61" t="s">
        <v>5990</v>
      </c>
      <c r="D341" s="59"/>
      <c r="E341" s="61" t="s">
        <v>3696</v>
      </c>
      <c r="F341" s="61" t="s">
        <v>181</v>
      </c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</row>
    <row r="342" spans="1:35" ht="14" customHeight="1" x14ac:dyDescent="0.2">
      <c r="A342" s="61" t="s">
        <v>5997</v>
      </c>
      <c r="B342" s="61" t="s">
        <v>5998</v>
      </c>
      <c r="C342" s="61" t="s">
        <v>5990</v>
      </c>
      <c r="D342" s="59"/>
      <c r="E342" s="61" t="s">
        <v>3696</v>
      </c>
      <c r="F342" s="61" t="s">
        <v>181</v>
      </c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  <c r="AI342" s="59"/>
    </row>
    <row r="343" spans="1:35" ht="14" customHeight="1" x14ac:dyDescent="0.2">
      <c r="A343" s="61" t="s">
        <v>5999</v>
      </c>
      <c r="B343" s="61" t="s">
        <v>6000</v>
      </c>
      <c r="C343" s="61" t="s">
        <v>5990</v>
      </c>
      <c r="D343" s="59"/>
      <c r="E343" s="61" t="s">
        <v>3696</v>
      </c>
      <c r="F343" s="61" t="s">
        <v>181</v>
      </c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</row>
    <row r="344" spans="1:35" ht="14" customHeight="1" x14ac:dyDescent="0.2">
      <c r="A344" s="61" t="s">
        <v>6001</v>
      </c>
      <c r="B344" s="61" t="s">
        <v>6002</v>
      </c>
      <c r="C344" s="61" t="s">
        <v>5990</v>
      </c>
      <c r="D344" s="59"/>
      <c r="E344" s="61" t="s">
        <v>3696</v>
      </c>
      <c r="F344" s="61" t="s">
        <v>181</v>
      </c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</row>
    <row r="345" spans="1:35" ht="14" customHeight="1" x14ac:dyDescent="0.2">
      <c r="A345" s="61" t="s">
        <v>6003</v>
      </c>
      <c r="B345" s="61" t="s">
        <v>6004</v>
      </c>
      <c r="C345" s="61" t="s">
        <v>5990</v>
      </c>
      <c r="D345" s="59"/>
      <c r="E345" s="61" t="s">
        <v>3696</v>
      </c>
      <c r="F345" s="61" t="s">
        <v>181</v>
      </c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</row>
    <row r="346" spans="1:35" ht="14" customHeight="1" x14ac:dyDescent="0.2">
      <c r="A346" s="61" t="s">
        <v>6005</v>
      </c>
      <c r="B346" s="61" t="s">
        <v>6006</v>
      </c>
      <c r="C346" s="61" t="s">
        <v>5990</v>
      </c>
      <c r="D346" s="59"/>
      <c r="E346" s="61" t="s">
        <v>3696</v>
      </c>
      <c r="F346" s="61" t="s">
        <v>181</v>
      </c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  <c r="AI346" s="59"/>
    </row>
    <row r="347" spans="1:35" ht="14" customHeight="1" x14ac:dyDescent="0.2">
      <c r="A347" s="61" t="s">
        <v>6007</v>
      </c>
      <c r="B347" s="61" t="s">
        <v>6008</v>
      </c>
      <c r="C347" s="61" t="s">
        <v>5990</v>
      </c>
      <c r="D347" s="59"/>
      <c r="E347" s="61" t="s">
        <v>3696</v>
      </c>
      <c r="F347" s="61" t="s">
        <v>181</v>
      </c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</row>
    <row r="348" spans="1:35" ht="14" customHeight="1" x14ac:dyDescent="0.2">
      <c r="A348" s="61" t="s">
        <v>6009</v>
      </c>
      <c r="B348" s="61" t="s">
        <v>6010</v>
      </c>
      <c r="C348" s="61" t="s">
        <v>5990</v>
      </c>
      <c r="D348" s="59"/>
      <c r="E348" s="61" t="s">
        <v>3696</v>
      </c>
      <c r="F348" s="61" t="s">
        <v>181</v>
      </c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</row>
    <row r="349" spans="1:35" ht="14" customHeight="1" x14ac:dyDescent="0.2">
      <c r="A349" s="61" t="s">
        <v>6011</v>
      </c>
      <c r="B349" s="59"/>
      <c r="C349" s="61" t="s">
        <v>5990</v>
      </c>
      <c r="D349" s="59"/>
      <c r="E349" s="61" t="s">
        <v>3696</v>
      </c>
      <c r="F349" s="61" t="s">
        <v>181</v>
      </c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</row>
    <row r="350" spans="1:35" ht="14" customHeight="1" x14ac:dyDescent="0.2">
      <c r="A350" s="61" t="s">
        <v>3868</v>
      </c>
      <c r="B350" s="61" t="s">
        <v>3869</v>
      </c>
      <c r="C350" s="61" t="s">
        <v>5990</v>
      </c>
      <c r="D350" s="59"/>
      <c r="E350" s="61" t="s">
        <v>3696</v>
      </c>
      <c r="F350" s="61" t="s">
        <v>181</v>
      </c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</row>
    <row r="351" spans="1:35" ht="14" customHeight="1" x14ac:dyDescent="0.2">
      <c r="A351" s="61" t="s">
        <v>6012</v>
      </c>
      <c r="B351" s="61" t="s">
        <v>6013</v>
      </c>
      <c r="C351" s="61" t="s">
        <v>5990</v>
      </c>
      <c r="D351" s="59"/>
      <c r="E351" s="61" t="s">
        <v>3696</v>
      </c>
      <c r="F351" s="61" t="s">
        <v>181</v>
      </c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</row>
    <row r="352" spans="1:35" ht="14" customHeight="1" x14ac:dyDescent="0.2">
      <c r="A352" s="61" t="s">
        <v>6014</v>
      </c>
      <c r="B352" s="60" t="s">
        <v>6015</v>
      </c>
      <c r="C352" s="61" t="s">
        <v>5990</v>
      </c>
      <c r="D352" s="59"/>
      <c r="E352" s="61" t="s">
        <v>3696</v>
      </c>
      <c r="F352" s="61" t="s">
        <v>181</v>
      </c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</row>
    <row r="353" spans="1:35" ht="14" customHeight="1" x14ac:dyDescent="0.2">
      <c r="A353" s="61" t="s">
        <v>6016</v>
      </c>
      <c r="B353" s="60" t="s">
        <v>4286</v>
      </c>
      <c r="C353" s="61" t="s">
        <v>5990</v>
      </c>
      <c r="D353" s="59"/>
      <c r="E353" s="61" t="s">
        <v>3696</v>
      </c>
      <c r="F353" s="61" t="s">
        <v>181</v>
      </c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</row>
    <row r="354" spans="1:35" ht="14" customHeight="1" x14ac:dyDescent="0.2">
      <c r="A354" s="61" t="s">
        <v>6017</v>
      </c>
      <c r="B354" s="59" t="s">
        <v>6018</v>
      </c>
      <c r="C354" s="61" t="s">
        <v>5990</v>
      </c>
      <c r="D354" s="59"/>
      <c r="E354" s="61" t="s">
        <v>3696</v>
      </c>
      <c r="F354" s="61" t="s">
        <v>181</v>
      </c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</row>
    <row r="355" spans="1:35" ht="14" customHeight="1" x14ac:dyDescent="0.2">
      <c r="A355" s="61" t="s">
        <v>6019</v>
      </c>
      <c r="B355" s="61" t="s">
        <v>6020</v>
      </c>
      <c r="C355" s="61" t="s">
        <v>6021</v>
      </c>
      <c r="D355" s="59"/>
      <c r="E355" s="61" t="s">
        <v>6022</v>
      </c>
      <c r="F355" s="61" t="s">
        <v>181</v>
      </c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</row>
    <row r="356" spans="1:35" ht="14" customHeight="1" x14ac:dyDescent="0.2">
      <c r="A356" s="61" t="s">
        <v>6023</v>
      </c>
      <c r="B356" s="61" t="s">
        <v>6024</v>
      </c>
      <c r="C356" s="61" t="s">
        <v>6021</v>
      </c>
      <c r="D356" s="59"/>
      <c r="E356" s="61" t="s">
        <v>6022</v>
      </c>
      <c r="F356" s="61" t="s">
        <v>181</v>
      </c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</row>
    <row r="357" spans="1:35" ht="14" customHeight="1" x14ac:dyDescent="0.2">
      <c r="A357" s="61" t="s">
        <v>6025</v>
      </c>
      <c r="B357" s="61" t="s">
        <v>6026</v>
      </c>
      <c r="C357" s="61" t="s">
        <v>6027</v>
      </c>
      <c r="D357" s="59"/>
      <c r="E357" s="61" t="s">
        <v>6028</v>
      </c>
      <c r="F357" s="61" t="s">
        <v>181</v>
      </c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</row>
    <row r="358" spans="1:35" ht="14" customHeight="1" x14ac:dyDescent="0.2">
      <c r="A358" s="61" t="s">
        <v>6029</v>
      </c>
      <c r="B358" s="61" t="s">
        <v>6030</v>
      </c>
      <c r="C358" s="61" t="s">
        <v>6027</v>
      </c>
      <c r="D358" s="59"/>
      <c r="E358" s="61" t="s">
        <v>6028</v>
      </c>
      <c r="F358" s="61" t="s">
        <v>181</v>
      </c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</row>
    <row r="359" spans="1:35" ht="14" customHeight="1" x14ac:dyDescent="0.2">
      <c r="A359" s="61" t="s">
        <v>6031</v>
      </c>
      <c r="B359" s="61" t="s">
        <v>6032</v>
      </c>
      <c r="C359" s="61" t="s">
        <v>6027</v>
      </c>
      <c r="D359" s="59"/>
      <c r="E359" s="61" t="s">
        <v>6028</v>
      </c>
      <c r="F359" s="61" t="s">
        <v>181</v>
      </c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</row>
    <row r="360" spans="1:35" ht="14" customHeight="1" x14ac:dyDescent="0.2">
      <c r="A360" s="61" t="s">
        <v>6033</v>
      </c>
      <c r="B360" s="61" t="s">
        <v>6034</v>
      </c>
      <c r="C360" s="61" t="s">
        <v>6027</v>
      </c>
      <c r="D360" s="59"/>
      <c r="E360" s="61" t="s">
        <v>6028</v>
      </c>
      <c r="F360" s="61" t="s">
        <v>181</v>
      </c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</row>
    <row r="361" spans="1:35" ht="14" customHeight="1" x14ac:dyDescent="0.2">
      <c r="A361" s="61" t="s">
        <v>6035</v>
      </c>
      <c r="B361" s="61" t="s">
        <v>6036</v>
      </c>
      <c r="C361" s="61" t="s">
        <v>6037</v>
      </c>
      <c r="D361" s="59"/>
      <c r="E361" s="61" t="s">
        <v>6038</v>
      </c>
      <c r="F361" s="61" t="s">
        <v>181</v>
      </c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</row>
    <row r="362" spans="1:35" ht="14" customHeight="1" x14ac:dyDescent="0.2">
      <c r="A362" s="61" t="s">
        <v>6039</v>
      </c>
      <c r="B362" s="61" t="s">
        <v>6040</v>
      </c>
      <c r="C362" s="61" t="s">
        <v>6037</v>
      </c>
      <c r="D362" s="59"/>
      <c r="E362" s="61" t="s">
        <v>6038</v>
      </c>
      <c r="F362" s="61" t="s">
        <v>181</v>
      </c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</row>
    <row r="363" spans="1:35" ht="14" customHeight="1" x14ac:dyDescent="0.2">
      <c r="A363" s="61" t="s">
        <v>6041</v>
      </c>
      <c r="B363" s="61" t="s">
        <v>6042</v>
      </c>
      <c r="C363" s="61" t="s">
        <v>6037</v>
      </c>
      <c r="D363" s="59"/>
      <c r="E363" s="61" t="s">
        <v>6038</v>
      </c>
      <c r="F363" s="61" t="s">
        <v>181</v>
      </c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</row>
    <row r="364" spans="1:35" ht="14" customHeight="1" x14ac:dyDescent="0.2">
      <c r="A364" s="61" t="s">
        <v>6043</v>
      </c>
      <c r="B364" s="61" t="s">
        <v>6044</v>
      </c>
      <c r="C364" s="61" t="s">
        <v>6037</v>
      </c>
      <c r="D364" s="59"/>
      <c r="E364" s="61" t="s">
        <v>6038</v>
      </c>
      <c r="F364" s="61" t="s">
        <v>181</v>
      </c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</row>
    <row r="365" spans="1:35" ht="14" customHeight="1" x14ac:dyDescent="0.2">
      <c r="A365" s="61" t="s">
        <v>6045</v>
      </c>
      <c r="B365" s="61" t="s">
        <v>6046</v>
      </c>
      <c r="C365" s="61" t="s">
        <v>6047</v>
      </c>
      <c r="D365" s="59"/>
      <c r="E365" s="61" t="s">
        <v>3668</v>
      </c>
      <c r="F365" s="61" t="s">
        <v>181</v>
      </c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</row>
    <row r="366" spans="1:35" ht="14" customHeight="1" x14ac:dyDescent="0.2">
      <c r="A366" s="61" t="s">
        <v>6048</v>
      </c>
      <c r="B366" s="61" t="s">
        <v>6049</v>
      </c>
      <c r="C366" s="61" t="s">
        <v>6047</v>
      </c>
      <c r="D366" s="59"/>
      <c r="E366" s="61" t="s">
        <v>3668</v>
      </c>
      <c r="F366" s="61" t="s">
        <v>181</v>
      </c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</row>
    <row r="367" spans="1:35" ht="14" customHeight="1" x14ac:dyDescent="0.2">
      <c r="A367" s="61" t="s">
        <v>3796</v>
      </c>
      <c r="B367" s="61" t="s">
        <v>3667</v>
      </c>
      <c r="C367" s="61" t="s">
        <v>6047</v>
      </c>
      <c r="D367" s="59"/>
      <c r="E367" s="61" t="s">
        <v>3668</v>
      </c>
      <c r="F367" s="61" t="s">
        <v>181</v>
      </c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</row>
    <row r="368" spans="1:35" ht="14" customHeight="1" x14ac:dyDescent="0.2">
      <c r="A368" s="61" t="s">
        <v>4343</v>
      </c>
      <c r="B368" s="61" t="s">
        <v>3655</v>
      </c>
      <c r="C368" s="61" t="s">
        <v>6047</v>
      </c>
      <c r="D368" s="59"/>
      <c r="E368" s="61" t="s">
        <v>3668</v>
      </c>
      <c r="F368" s="61" t="s">
        <v>181</v>
      </c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</row>
    <row r="369" spans="1:35" ht="14" customHeight="1" x14ac:dyDescent="0.2">
      <c r="A369" s="61" t="s">
        <v>6050</v>
      </c>
      <c r="B369" s="61" t="s">
        <v>6051</v>
      </c>
      <c r="C369" s="61" t="s">
        <v>6047</v>
      </c>
      <c r="D369" s="59"/>
      <c r="E369" s="61" t="s">
        <v>3668</v>
      </c>
      <c r="F369" s="61" t="s">
        <v>181</v>
      </c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</row>
    <row r="370" spans="1:35" ht="14" customHeight="1" x14ac:dyDescent="0.2">
      <c r="A370" s="61" t="s">
        <v>4096</v>
      </c>
      <c r="B370" s="61" t="s">
        <v>3684</v>
      </c>
      <c r="C370" s="61" t="s">
        <v>6047</v>
      </c>
      <c r="D370" s="59"/>
      <c r="E370" s="61" t="s">
        <v>3668</v>
      </c>
      <c r="F370" s="61" t="s">
        <v>181</v>
      </c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</row>
    <row r="371" spans="1:35" ht="14" customHeight="1" x14ac:dyDescent="0.2">
      <c r="A371" s="58" t="s">
        <v>6052</v>
      </c>
      <c r="B371" s="61" t="s">
        <v>6053</v>
      </c>
      <c r="C371" s="61" t="s">
        <v>6047</v>
      </c>
      <c r="D371" s="59"/>
      <c r="E371" s="61" t="s">
        <v>3668</v>
      </c>
      <c r="F371" s="61" t="s">
        <v>181</v>
      </c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</row>
    <row r="372" spans="1:35" ht="14" customHeight="1" x14ac:dyDescent="0.2">
      <c r="A372" s="61" t="s">
        <v>6054</v>
      </c>
      <c r="B372" s="61" t="s">
        <v>6055</v>
      </c>
      <c r="C372" s="61" t="s">
        <v>6047</v>
      </c>
      <c r="D372" s="59"/>
      <c r="E372" s="61" t="s">
        <v>3668</v>
      </c>
      <c r="F372" s="61" t="s">
        <v>181</v>
      </c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</row>
    <row r="373" spans="1:35" ht="14" customHeight="1" x14ac:dyDescent="0.2">
      <c r="A373" s="61" t="s">
        <v>6056</v>
      </c>
      <c r="B373" s="61" t="s">
        <v>6057</v>
      </c>
      <c r="C373" s="61" t="s">
        <v>6047</v>
      </c>
      <c r="D373" s="59"/>
      <c r="E373" s="61" t="s">
        <v>3668</v>
      </c>
      <c r="F373" s="61" t="s">
        <v>181</v>
      </c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</row>
    <row r="374" spans="1:35" ht="14" customHeight="1" x14ac:dyDescent="0.2">
      <c r="A374" s="61" t="s">
        <v>4747</v>
      </c>
      <c r="B374" s="61" t="s">
        <v>4748</v>
      </c>
      <c r="C374" s="61" t="s">
        <v>6047</v>
      </c>
      <c r="D374" s="59"/>
      <c r="E374" s="61" t="s">
        <v>3668</v>
      </c>
      <c r="F374" s="61" t="s">
        <v>181</v>
      </c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</row>
    <row r="375" spans="1:35" ht="14" customHeight="1" x14ac:dyDescent="0.2">
      <c r="A375" s="61" t="s">
        <v>6058</v>
      </c>
      <c r="B375" s="61" t="s">
        <v>6059</v>
      </c>
      <c r="C375" s="61" t="s">
        <v>6047</v>
      </c>
      <c r="D375" s="59"/>
      <c r="E375" s="61" t="s">
        <v>3668</v>
      </c>
      <c r="F375" s="61" t="s">
        <v>181</v>
      </c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</row>
    <row r="376" spans="1:35" ht="14" customHeight="1" x14ac:dyDescent="0.2">
      <c r="A376" s="61" t="s">
        <v>6060</v>
      </c>
      <c r="B376" s="61" t="s">
        <v>6061</v>
      </c>
      <c r="C376" s="61" t="s">
        <v>6047</v>
      </c>
      <c r="D376" s="59"/>
      <c r="E376" s="61" t="s">
        <v>3668</v>
      </c>
      <c r="F376" s="61" t="s">
        <v>181</v>
      </c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</row>
    <row r="377" spans="1:35" ht="14" customHeight="1" x14ac:dyDescent="0.2">
      <c r="A377" s="61" t="s">
        <v>6062</v>
      </c>
      <c r="B377" s="61" t="s">
        <v>6063</v>
      </c>
      <c r="C377" s="61" t="s">
        <v>6047</v>
      </c>
      <c r="D377" s="59"/>
      <c r="E377" s="61" t="s">
        <v>3668</v>
      </c>
      <c r="F377" s="61" t="s">
        <v>181</v>
      </c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</row>
    <row r="378" spans="1:35" ht="14" customHeight="1" x14ac:dyDescent="0.2">
      <c r="A378" s="61" t="s">
        <v>6064</v>
      </c>
      <c r="B378" s="61" t="s">
        <v>6065</v>
      </c>
      <c r="C378" s="61" t="s">
        <v>6047</v>
      </c>
      <c r="D378" s="59"/>
      <c r="E378" s="61" t="s">
        <v>3668</v>
      </c>
      <c r="F378" s="61" t="s">
        <v>181</v>
      </c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</row>
    <row r="379" spans="1:35" ht="14" customHeight="1" x14ac:dyDescent="0.2">
      <c r="A379" s="61" t="s">
        <v>6066</v>
      </c>
      <c r="B379" s="61" t="s">
        <v>6067</v>
      </c>
      <c r="C379" s="61" t="s">
        <v>6047</v>
      </c>
      <c r="D379" s="59"/>
      <c r="E379" s="61" t="s">
        <v>3668</v>
      </c>
      <c r="F379" s="61" t="s">
        <v>181</v>
      </c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</row>
    <row r="380" spans="1:35" ht="14" customHeight="1" x14ac:dyDescent="0.2">
      <c r="A380" s="61" t="s">
        <v>6068</v>
      </c>
      <c r="B380" s="61" t="s">
        <v>6069</v>
      </c>
      <c r="C380" s="61" t="s">
        <v>6047</v>
      </c>
      <c r="D380" s="59"/>
      <c r="E380" s="61" t="s">
        <v>3668</v>
      </c>
      <c r="F380" s="61" t="s">
        <v>181</v>
      </c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</row>
    <row r="381" spans="1:35" ht="14" customHeight="1" x14ac:dyDescent="0.2">
      <c r="A381" s="61" t="s">
        <v>6070</v>
      </c>
      <c r="B381" s="61" t="s">
        <v>6071</v>
      </c>
      <c r="C381" s="61" t="s">
        <v>6047</v>
      </c>
      <c r="D381" s="59"/>
      <c r="E381" s="61" t="s">
        <v>3668</v>
      </c>
      <c r="F381" s="61" t="s">
        <v>181</v>
      </c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</row>
    <row r="382" spans="1:35" ht="14" customHeight="1" x14ac:dyDescent="0.2">
      <c r="A382" s="61" t="s">
        <v>6072</v>
      </c>
      <c r="B382" s="61" t="s">
        <v>6073</v>
      </c>
      <c r="C382" s="61" t="s">
        <v>6047</v>
      </c>
      <c r="D382" s="59"/>
      <c r="E382" s="61" t="s">
        <v>3668</v>
      </c>
      <c r="F382" s="61" t="s">
        <v>181</v>
      </c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</row>
    <row r="383" spans="1:35" ht="14" customHeight="1" x14ac:dyDescent="0.2">
      <c r="A383" s="61" t="s">
        <v>4390</v>
      </c>
      <c r="B383" s="61" t="s">
        <v>4391</v>
      </c>
      <c r="C383" s="61" t="s">
        <v>6047</v>
      </c>
      <c r="D383" s="59"/>
      <c r="E383" s="61" t="s">
        <v>3668</v>
      </c>
      <c r="F383" s="61" t="s">
        <v>181</v>
      </c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</row>
    <row r="384" spans="1:35" ht="14" customHeight="1" x14ac:dyDescent="0.2">
      <c r="A384" s="61" t="s">
        <v>4206</v>
      </c>
      <c r="B384" s="61" t="s">
        <v>4207</v>
      </c>
      <c r="C384" s="61" t="s">
        <v>6047</v>
      </c>
      <c r="D384" s="59"/>
      <c r="E384" s="61" t="s">
        <v>3668</v>
      </c>
      <c r="F384" s="61" t="s">
        <v>181</v>
      </c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  <c r="AI384" s="59"/>
    </row>
    <row r="385" spans="1:35" ht="14" customHeight="1" x14ac:dyDescent="0.2">
      <c r="A385" s="61" t="s">
        <v>6074</v>
      </c>
      <c r="B385" s="61" t="s">
        <v>4227</v>
      </c>
      <c r="C385" s="61" t="s">
        <v>6047</v>
      </c>
      <c r="D385" s="59"/>
      <c r="E385" s="61" t="s">
        <v>3668</v>
      </c>
      <c r="F385" s="61" t="s">
        <v>181</v>
      </c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</row>
    <row r="386" spans="1:35" ht="14" customHeight="1" x14ac:dyDescent="0.2">
      <c r="A386" s="61" t="s">
        <v>6075</v>
      </c>
      <c r="B386" s="61" t="s">
        <v>6076</v>
      </c>
      <c r="C386" s="61" t="s">
        <v>6047</v>
      </c>
      <c r="D386" s="59"/>
      <c r="E386" s="61" t="s">
        <v>3668</v>
      </c>
      <c r="F386" s="61" t="s">
        <v>181</v>
      </c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  <c r="AI386" s="59"/>
    </row>
    <row r="387" spans="1:35" ht="14" customHeight="1" x14ac:dyDescent="0.2">
      <c r="A387" s="61" t="s">
        <v>6077</v>
      </c>
      <c r="B387" s="61" t="s">
        <v>6078</v>
      </c>
      <c r="C387" s="61" t="s">
        <v>6047</v>
      </c>
      <c r="D387" s="59"/>
      <c r="E387" s="61" t="s">
        <v>3668</v>
      </c>
      <c r="F387" s="61" t="s">
        <v>181</v>
      </c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</row>
    <row r="388" spans="1:35" ht="14" customHeight="1" x14ac:dyDescent="0.2">
      <c r="A388" s="61" t="s">
        <v>6079</v>
      </c>
      <c r="B388" s="61" t="s">
        <v>6080</v>
      </c>
      <c r="C388" s="61" t="s">
        <v>6047</v>
      </c>
      <c r="D388" s="59"/>
      <c r="E388" s="61" t="s">
        <v>3668</v>
      </c>
      <c r="F388" s="61" t="s">
        <v>181</v>
      </c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</row>
    <row r="389" spans="1:35" ht="14" customHeight="1" x14ac:dyDescent="0.2">
      <c r="A389" s="61" t="s">
        <v>4241</v>
      </c>
      <c r="B389" s="61" t="s">
        <v>4242</v>
      </c>
      <c r="C389" s="61" t="s">
        <v>6047</v>
      </c>
      <c r="D389" s="59"/>
      <c r="E389" s="61" t="s">
        <v>3668</v>
      </c>
      <c r="F389" s="61" t="s">
        <v>181</v>
      </c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</row>
    <row r="390" spans="1:35" ht="14" customHeight="1" x14ac:dyDescent="0.2">
      <c r="A390" s="61" t="s">
        <v>6081</v>
      </c>
      <c r="B390" s="61" t="s">
        <v>6082</v>
      </c>
      <c r="C390" s="61" t="s">
        <v>6047</v>
      </c>
      <c r="D390" s="59"/>
      <c r="E390" s="61" t="s">
        <v>3668</v>
      </c>
      <c r="F390" s="61" t="s">
        <v>181</v>
      </c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  <c r="AI390" s="59"/>
    </row>
    <row r="391" spans="1:35" ht="14" customHeight="1" x14ac:dyDescent="0.2">
      <c r="A391" s="61" t="s">
        <v>4277</v>
      </c>
      <c r="B391" s="61" t="s">
        <v>4278</v>
      </c>
      <c r="C391" s="61" t="s">
        <v>6047</v>
      </c>
      <c r="D391" s="59"/>
      <c r="E391" s="61" t="s">
        <v>3668</v>
      </c>
      <c r="F391" s="61" t="s">
        <v>181</v>
      </c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</row>
    <row r="392" spans="1:35" ht="14" customHeight="1" x14ac:dyDescent="0.2">
      <c r="A392" s="61" t="s">
        <v>6083</v>
      </c>
      <c r="B392" s="61" t="s">
        <v>6084</v>
      </c>
      <c r="C392" s="61" t="s">
        <v>6047</v>
      </c>
      <c r="D392" s="59"/>
      <c r="E392" s="61" t="s">
        <v>3668</v>
      </c>
      <c r="F392" s="61" t="s">
        <v>181</v>
      </c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  <c r="AI392" s="59"/>
    </row>
    <row r="393" spans="1:35" ht="14" customHeight="1" x14ac:dyDescent="0.2">
      <c r="A393" s="61" t="s">
        <v>6085</v>
      </c>
      <c r="B393" s="61" t="s">
        <v>6086</v>
      </c>
      <c r="C393" s="61" t="s">
        <v>6047</v>
      </c>
      <c r="D393" s="59"/>
      <c r="E393" s="61" t="s">
        <v>3668</v>
      </c>
      <c r="F393" s="61" t="s">
        <v>181</v>
      </c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</row>
    <row r="394" spans="1:35" ht="14" customHeight="1" x14ac:dyDescent="0.2">
      <c r="A394" s="61" t="s">
        <v>4749</v>
      </c>
      <c r="B394" s="61" t="s">
        <v>4750</v>
      </c>
      <c r="C394" s="61" t="s">
        <v>6047</v>
      </c>
      <c r="D394" s="59"/>
      <c r="E394" s="61" t="s">
        <v>3668</v>
      </c>
      <c r="F394" s="61" t="s">
        <v>181</v>
      </c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</row>
    <row r="395" spans="1:35" ht="14" customHeight="1" x14ac:dyDescent="0.2">
      <c r="A395" s="61" t="s">
        <v>6087</v>
      </c>
      <c r="B395" s="61" t="s">
        <v>6088</v>
      </c>
      <c r="C395" s="61" t="s">
        <v>6047</v>
      </c>
      <c r="D395" s="59"/>
      <c r="E395" s="61" t="s">
        <v>3668</v>
      </c>
      <c r="F395" s="61" t="s">
        <v>181</v>
      </c>
      <c r="G395" s="60" t="s">
        <v>6089</v>
      </c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</row>
    <row r="396" spans="1:35" ht="14" customHeight="1" x14ac:dyDescent="0.2">
      <c r="A396" s="61" t="s">
        <v>4696</v>
      </c>
      <c r="B396" s="61" t="s">
        <v>4697</v>
      </c>
      <c r="C396" s="61" t="s">
        <v>6047</v>
      </c>
      <c r="D396" s="59"/>
      <c r="E396" s="61" t="s">
        <v>3668</v>
      </c>
      <c r="F396" s="61" t="s">
        <v>181</v>
      </c>
      <c r="G396" s="60" t="s">
        <v>6090</v>
      </c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</row>
    <row r="397" spans="1:35" ht="14" customHeight="1" x14ac:dyDescent="0.2">
      <c r="A397" s="61" t="s">
        <v>6091</v>
      </c>
      <c r="B397" s="61" t="s">
        <v>6092</v>
      </c>
      <c r="C397" s="61" t="s">
        <v>6093</v>
      </c>
      <c r="D397" s="59"/>
      <c r="E397" s="61" t="s">
        <v>4304</v>
      </c>
      <c r="F397" s="61" t="s">
        <v>181</v>
      </c>
      <c r="G397" s="60" t="s">
        <v>6094</v>
      </c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</row>
    <row r="398" spans="1:35" ht="14" customHeight="1" x14ac:dyDescent="0.2">
      <c r="A398" s="61" t="s">
        <v>6095</v>
      </c>
      <c r="B398" s="61" t="s">
        <v>6046</v>
      </c>
      <c r="C398" s="61" t="s">
        <v>6093</v>
      </c>
      <c r="D398" s="59"/>
      <c r="E398" s="61" t="s">
        <v>4304</v>
      </c>
      <c r="F398" s="61" t="s">
        <v>181</v>
      </c>
      <c r="G398" s="60" t="s">
        <v>6096</v>
      </c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</row>
    <row r="399" spans="1:35" ht="14" customHeight="1" x14ac:dyDescent="0.2">
      <c r="A399" s="61" t="s">
        <v>4302</v>
      </c>
      <c r="B399" s="61" t="s">
        <v>4303</v>
      </c>
      <c r="C399" s="61" t="s">
        <v>6097</v>
      </c>
      <c r="D399" s="59"/>
      <c r="E399" s="61" t="s">
        <v>4304</v>
      </c>
      <c r="F399" s="61" t="s">
        <v>181</v>
      </c>
      <c r="G399" s="60" t="s">
        <v>6098</v>
      </c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</row>
    <row r="400" spans="1:35" ht="14" customHeight="1" x14ac:dyDescent="0.2">
      <c r="A400" s="61" t="s">
        <v>6099</v>
      </c>
      <c r="B400" s="61" t="s">
        <v>6100</v>
      </c>
      <c r="C400" s="61" t="s">
        <v>6101</v>
      </c>
      <c r="D400" s="59"/>
      <c r="E400" s="61" t="s">
        <v>676</v>
      </c>
      <c r="F400" s="61" t="s">
        <v>181</v>
      </c>
      <c r="G400" s="60" t="s">
        <v>6102</v>
      </c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</row>
    <row r="401" spans="1:35" ht="14" customHeight="1" x14ac:dyDescent="0.2">
      <c r="A401" s="61" t="s">
        <v>6103</v>
      </c>
      <c r="B401" s="61" t="s">
        <v>6104</v>
      </c>
      <c r="C401" s="61" t="s">
        <v>6101</v>
      </c>
      <c r="D401" s="59"/>
      <c r="E401" s="61" t="s">
        <v>676</v>
      </c>
      <c r="F401" s="61" t="s">
        <v>181</v>
      </c>
      <c r="G401" s="60" t="s">
        <v>6105</v>
      </c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</row>
    <row r="402" spans="1:35" ht="14" customHeight="1" x14ac:dyDescent="0.2">
      <c r="A402" s="61" t="s">
        <v>6106</v>
      </c>
      <c r="B402" s="61" t="s">
        <v>6107</v>
      </c>
      <c r="C402" s="61" t="s">
        <v>6101</v>
      </c>
      <c r="D402" s="59"/>
      <c r="E402" s="61" t="s">
        <v>676</v>
      </c>
      <c r="F402" s="61" t="s">
        <v>181</v>
      </c>
      <c r="G402" s="60" t="s">
        <v>6108</v>
      </c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</row>
    <row r="403" spans="1:35" ht="14" customHeight="1" x14ac:dyDescent="0.2">
      <c r="A403" s="61" t="s">
        <v>3750</v>
      </c>
      <c r="B403" s="58" t="s">
        <v>3751</v>
      </c>
      <c r="C403" s="61" t="s">
        <v>6101</v>
      </c>
      <c r="D403" s="59"/>
      <c r="E403" s="61" t="s">
        <v>676</v>
      </c>
      <c r="F403" s="61" t="s">
        <v>181</v>
      </c>
      <c r="G403" s="60" t="s">
        <v>6109</v>
      </c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</row>
    <row r="404" spans="1:35" ht="14" customHeight="1" x14ac:dyDescent="0.2">
      <c r="A404" s="61" t="s">
        <v>6110</v>
      </c>
      <c r="B404" s="61" t="s">
        <v>6111</v>
      </c>
      <c r="C404" s="61" t="s">
        <v>6101</v>
      </c>
      <c r="D404" s="59"/>
      <c r="E404" s="61" t="s">
        <v>676</v>
      </c>
      <c r="F404" s="61" t="s">
        <v>181</v>
      </c>
      <c r="G404" s="60" t="s">
        <v>6112</v>
      </c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</row>
    <row r="405" spans="1:35" ht="14" customHeight="1" x14ac:dyDescent="0.2">
      <c r="A405" s="61" t="s">
        <v>6113</v>
      </c>
      <c r="B405" s="61" t="s">
        <v>6114</v>
      </c>
      <c r="C405" s="61" t="s">
        <v>6101</v>
      </c>
      <c r="D405" s="59"/>
      <c r="E405" s="61" t="s">
        <v>676</v>
      </c>
      <c r="F405" s="61" t="s">
        <v>181</v>
      </c>
      <c r="G405" s="60" t="s">
        <v>6115</v>
      </c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</row>
    <row r="406" spans="1:35" ht="14" customHeight="1" x14ac:dyDescent="0.2">
      <c r="A406" s="61" t="s">
        <v>6116</v>
      </c>
      <c r="B406" s="61" t="s">
        <v>6117</v>
      </c>
      <c r="C406" s="61" t="s">
        <v>6118</v>
      </c>
      <c r="D406" s="59"/>
      <c r="E406" s="61" t="s">
        <v>676</v>
      </c>
      <c r="F406" s="61" t="s">
        <v>181</v>
      </c>
      <c r="G406" s="60" t="s">
        <v>6119</v>
      </c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</row>
    <row r="407" spans="1:35" ht="14" customHeight="1" x14ac:dyDescent="0.2">
      <c r="A407" s="61" t="s">
        <v>4454</v>
      </c>
      <c r="B407" s="61" t="s">
        <v>4455</v>
      </c>
      <c r="C407" s="61" t="s">
        <v>6118</v>
      </c>
      <c r="D407" s="59"/>
      <c r="E407" s="61" t="s">
        <v>676</v>
      </c>
      <c r="F407" s="61" t="s">
        <v>181</v>
      </c>
      <c r="G407" s="60" t="s">
        <v>6120</v>
      </c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</row>
    <row r="408" spans="1:35" ht="14" customHeight="1" x14ac:dyDescent="0.2">
      <c r="A408" s="61" t="s">
        <v>6121</v>
      </c>
      <c r="B408" s="61" t="s">
        <v>6122</v>
      </c>
      <c r="C408" s="61" t="s">
        <v>6118</v>
      </c>
      <c r="D408" s="59"/>
      <c r="E408" s="61" t="s">
        <v>676</v>
      </c>
      <c r="F408" s="61" t="s">
        <v>181</v>
      </c>
      <c r="G408" s="60" t="s">
        <v>6123</v>
      </c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  <c r="AI408" s="59"/>
    </row>
    <row r="409" spans="1:35" ht="14" customHeight="1" x14ac:dyDescent="0.2">
      <c r="A409" s="61" t="s">
        <v>6124</v>
      </c>
      <c r="B409" s="61" t="s">
        <v>6125</v>
      </c>
      <c r="C409" s="61" t="s">
        <v>6118</v>
      </c>
      <c r="D409" s="59"/>
      <c r="E409" s="61" t="s">
        <v>676</v>
      </c>
      <c r="F409" s="61" t="s">
        <v>181</v>
      </c>
      <c r="G409" s="60" t="s">
        <v>6126</v>
      </c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</row>
    <row r="410" spans="1:35" ht="14" customHeight="1" x14ac:dyDescent="0.2">
      <c r="A410" s="61" t="s">
        <v>4445</v>
      </c>
      <c r="B410" s="61" t="s">
        <v>4446</v>
      </c>
      <c r="C410" s="61" t="s">
        <v>6118</v>
      </c>
      <c r="D410" s="59"/>
      <c r="E410" s="61" t="s">
        <v>676</v>
      </c>
      <c r="F410" s="61" t="s">
        <v>181</v>
      </c>
      <c r="G410" s="60" t="s">
        <v>6127</v>
      </c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59"/>
      <c r="AH410" s="59"/>
      <c r="AI410" s="59"/>
    </row>
    <row r="411" spans="1:35" ht="14" customHeight="1" x14ac:dyDescent="0.2">
      <c r="A411" s="61" t="s">
        <v>4586</v>
      </c>
      <c r="B411" s="61" t="s">
        <v>4587</v>
      </c>
      <c r="C411" s="61" t="s">
        <v>6118</v>
      </c>
      <c r="D411" s="59"/>
      <c r="E411" s="61" t="s">
        <v>676</v>
      </c>
      <c r="F411" s="61" t="s">
        <v>181</v>
      </c>
      <c r="G411" s="60" t="s">
        <v>6128</v>
      </c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  <c r="AI411" s="59"/>
    </row>
    <row r="412" spans="1:35" ht="14" customHeight="1" x14ac:dyDescent="0.2">
      <c r="A412" s="61" t="s">
        <v>4457</v>
      </c>
      <c r="B412" s="61" t="s">
        <v>4458</v>
      </c>
      <c r="C412" s="61" t="s">
        <v>6118</v>
      </c>
      <c r="D412" s="59"/>
      <c r="E412" s="61" t="s">
        <v>676</v>
      </c>
      <c r="F412" s="61" t="s">
        <v>181</v>
      </c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</row>
    <row r="413" spans="1:35" ht="14" customHeight="1" x14ac:dyDescent="0.2">
      <c r="A413" s="61" t="s">
        <v>6129</v>
      </c>
      <c r="B413" s="61" t="s">
        <v>6130</v>
      </c>
      <c r="C413" s="61" t="s">
        <v>6118</v>
      </c>
      <c r="D413" s="59"/>
      <c r="E413" s="61" t="s">
        <v>676</v>
      </c>
      <c r="F413" s="61" t="s">
        <v>181</v>
      </c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</row>
    <row r="414" spans="1:35" ht="14" customHeight="1" x14ac:dyDescent="0.2">
      <c r="A414" s="61" t="s">
        <v>4553</v>
      </c>
      <c r="B414" s="61" t="s">
        <v>4554</v>
      </c>
      <c r="C414" s="61" t="s">
        <v>6131</v>
      </c>
      <c r="D414" s="59"/>
      <c r="E414" s="61" t="s">
        <v>3660</v>
      </c>
      <c r="F414" s="61" t="s">
        <v>181</v>
      </c>
      <c r="G414" s="60" t="s">
        <v>6132</v>
      </c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59"/>
      <c r="AH414" s="59"/>
      <c r="AI414" s="59"/>
    </row>
    <row r="415" spans="1:35" ht="14" customHeight="1" x14ac:dyDescent="0.2">
      <c r="A415" s="61" t="s">
        <v>6133</v>
      </c>
      <c r="B415" s="61" t="s">
        <v>6134</v>
      </c>
      <c r="C415" s="61" t="s">
        <v>6131</v>
      </c>
      <c r="D415" s="59"/>
      <c r="E415" s="61" t="s">
        <v>3660</v>
      </c>
      <c r="F415" s="61" t="s">
        <v>181</v>
      </c>
      <c r="G415" s="60" t="s">
        <v>6135</v>
      </c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  <c r="AI415" s="59"/>
    </row>
    <row r="416" spans="1:35" ht="14" customHeight="1" x14ac:dyDescent="0.2">
      <c r="A416" s="61" t="s">
        <v>3804</v>
      </c>
      <c r="B416" s="61" t="s">
        <v>3805</v>
      </c>
      <c r="C416" s="61" t="s">
        <v>6131</v>
      </c>
      <c r="D416" s="59"/>
      <c r="E416" s="61" t="s">
        <v>3660</v>
      </c>
      <c r="F416" s="61" t="s">
        <v>181</v>
      </c>
      <c r="G416" s="60" t="s">
        <v>6136</v>
      </c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  <c r="AF416" s="59"/>
      <c r="AG416" s="59"/>
      <c r="AH416" s="59"/>
      <c r="AI416" s="59"/>
    </row>
    <row r="417" spans="1:35" ht="14" customHeight="1" x14ac:dyDescent="0.2">
      <c r="A417" s="61" t="s">
        <v>6137</v>
      </c>
      <c r="B417" s="61" t="s">
        <v>6138</v>
      </c>
      <c r="C417" s="61" t="s">
        <v>6131</v>
      </c>
      <c r="D417" s="59"/>
      <c r="E417" s="61" t="s">
        <v>3660</v>
      </c>
      <c r="F417" s="61" t="s">
        <v>181</v>
      </c>
      <c r="G417" s="60" t="s">
        <v>6139</v>
      </c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  <c r="AI417" s="59"/>
    </row>
    <row r="418" spans="1:35" ht="14" customHeight="1" x14ac:dyDescent="0.2">
      <c r="A418" s="61" t="s">
        <v>4336</v>
      </c>
      <c r="B418" s="61" t="s">
        <v>3931</v>
      </c>
      <c r="C418" s="61" t="s">
        <v>6131</v>
      </c>
      <c r="D418" s="59"/>
      <c r="E418" s="61" t="s">
        <v>3660</v>
      </c>
      <c r="F418" s="61" t="s">
        <v>181</v>
      </c>
      <c r="G418" s="60" t="s">
        <v>6140</v>
      </c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  <c r="AF418" s="59"/>
      <c r="AG418" s="59"/>
      <c r="AH418" s="59"/>
      <c r="AI418" s="59"/>
    </row>
    <row r="419" spans="1:35" ht="14" customHeight="1" x14ac:dyDescent="0.2">
      <c r="A419" s="61" t="s">
        <v>6141</v>
      </c>
      <c r="B419" s="61" t="s">
        <v>6142</v>
      </c>
      <c r="C419" s="61" t="s">
        <v>6131</v>
      </c>
      <c r="D419" s="59"/>
      <c r="E419" s="61" t="s">
        <v>3660</v>
      </c>
      <c r="F419" s="61" t="s">
        <v>181</v>
      </c>
      <c r="G419" s="60" t="s">
        <v>6143</v>
      </c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  <c r="AI419" s="59"/>
    </row>
    <row r="420" spans="1:35" ht="14" customHeight="1" x14ac:dyDescent="0.2">
      <c r="A420" s="61" t="s">
        <v>6141</v>
      </c>
      <c r="B420" s="61" t="s">
        <v>6144</v>
      </c>
      <c r="C420" s="61" t="s">
        <v>6131</v>
      </c>
      <c r="D420" s="59"/>
      <c r="E420" s="61" t="s">
        <v>3660</v>
      </c>
      <c r="F420" s="61" t="s">
        <v>181</v>
      </c>
      <c r="G420" s="60" t="s">
        <v>6145</v>
      </c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</row>
    <row r="421" spans="1:35" ht="14" customHeight="1" x14ac:dyDescent="0.2">
      <c r="A421" s="61" t="s">
        <v>3769</v>
      </c>
      <c r="B421" s="61" t="s">
        <v>3670</v>
      </c>
      <c r="C421" s="61" t="s">
        <v>6131</v>
      </c>
      <c r="D421" s="59"/>
      <c r="E421" s="61" t="s">
        <v>3660</v>
      </c>
      <c r="F421" s="61" t="s">
        <v>181</v>
      </c>
      <c r="G421" s="60" t="s">
        <v>6146</v>
      </c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</row>
    <row r="422" spans="1:35" ht="14" customHeight="1" x14ac:dyDescent="0.2">
      <c r="A422" s="61" t="s">
        <v>6147</v>
      </c>
      <c r="B422" s="61" t="s">
        <v>6148</v>
      </c>
      <c r="C422" s="61" t="s">
        <v>6131</v>
      </c>
      <c r="D422" s="59"/>
      <c r="E422" s="61" t="s">
        <v>3660</v>
      </c>
      <c r="F422" s="61" t="s">
        <v>181</v>
      </c>
      <c r="G422" s="60" t="s">
        <v>6149</v>
      </c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  <c r="AF422" s="59"/>
      <c r="AG422" s="59"/>
      <c r="AH422" s="59"/>
      <c r="AI422" s="59"/>
    </row>
    <row r="423" spans="1:35" ht="14" customHeight="1" x14ac:dyDescent="0.2">
      <c r="A423" s="61" t="s">
        <v>6150</v>
      </c>
      <c r="B423" s="61" t="s">
        <v>6151</v>
      </c>
      <c r="C423" s="61" t="s">
        <v>6131</v>
      </c>
      <c r="D423" s="59"/>
      <c r="E423" s="61" t="s">
        <v>3660</v>
      </c>
      <c r="F423" s="61" t="s">
        <v>181</v>
      </c>
      <c r="G423" s="60" t="s">
        <v>6152</v>
      </c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</row>
    <row r="424" spans="1:35" ht="14" customHeight="1" x14ac:dyDescent="0.2">
      <c r="A424" s="61" t="s">
        <v>6153</v>
      </c>
      <c r="B424" s="61" t="s">
        <v>3744</v>
      </c>
      <c r="C424" s="61" t="s">
        <v>6131</v>
      </c>
      <c r="D424" s="59"/>
      <c r="E424" s="61" t="s">
        <v>3660</v>
      </c>
      <c r="F424" s="61" t="s">
        <v>181</v>
      </c>
      <c r="G424" s="60" t="s">
        <v>6154</v>
      </c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</row>
    <row r="425" spans="1:35" ht="14" customHeight="1" x14ac:dyDescent="0.2">
      <c r="A425" s="61" t="s">
        <v>6155</v>
      </c>
      <c r="B425" s="61" t="s">
        <v>6156</v>
      </c>
      <c r="C425" s="61" t="s">
        <v>6131</v>
      </c>
      <c r="D425" s="59"/>
      <c r="E425" s="61" t="s">
        <v>3660</v>
      </c>
      <c r="F425" s="61" t="s">
        <v>181</v>
      </c>
      <c r="G425" s="60" t="s">
        <v>6157</v>
      </c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  <c r="AI425" s="59"/>
    </row>
    <row r="426" spans="1:35" ht="14" customHeight="1" x14ac:dyDescent="0.2">
      <c r="A426" s="61" t="s">
        <v>3658</v>
      </c>
      <c r="B426" s="61" t="s">
        <v>3659</v>
      </c>
      <c r="C426" s="61" t="s">
        <v>6131</v>
      </c>
      <c r="D426" s="59"/>
      <c r="E426" s="61" t="s">
        <v>3660</v>
      </c>
      <c r="F426" s="61" t="s">
        <v>181</v>
      </c>
      <c r="G426" s="60" t="s">
        <v>6158</v>
      </c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59"/>
      <c r="AH426" s="59"/>
      <c r="AI426" s="59"/>
    </row>
    <row r="427" spans="1:35" ht="14" customHeight="1" x14ac:dyDescent="0.2">
      <c r="A427" s="61" t="s">
        <v>6159</v>
      </c>
      <c r="B427" s="61" t="s">
        <v>6160</v>
      </c>
      <c r="C427" s="61" t="s">
        <v>6161</v>
      </c>
      <c r="D427" s="59"/>
      <c r="E427" s="61" t="s">
        <v>5054</v>
      </c>
      <c r="F427" s="61" t="s">
        <v>181</v>
      </c>
      <c r="G427" s="60" t="s">
        <v>6162</v>
      </c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  <c r="AI427" s="59"/>
    </row>
    <row r="428" spans="1:35" ht="14" customHeight="1" x14ac:dyDescent="0.2">
      <c r="A428" s="61" t="s">
        <v>6163</v>
      </c>
      <c r="B428" s="61" t="s">
        <v>6164</v>
      </c>
      <c r="C428" s="61" t="s">
        <v>6165</v>
      </c>
      <c r="D428" s="59"/>
      <c r="E428" s="61" t="s">
        <v>5054</v>
      </c>
      <c r="F428" s="61" t="s">
        <v>181</v>
      </c>
      <c r="G428" s="60" t="s">
        <v>6166</v>
      </c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59"/>
      <c r="AH428" s="59"/>
      <c r="AI428" s="59"/>
    </row>
    <row r="429" spans="1:35" ht="14" customHeight="1" x14ac:dyDescent="0.2">
      <c r="A429" s="61" t="s">
        <v>6167</v>
      </c>
      <c r="B429" s="61" t="s">
        <v>6168</v>
      </c>
      <c r="C429" s="61" t="s">
        <v>6169</v>
      </c>
      <c r="D429" s="59"/>
      <c r="E429" s="61" t="s">
        <v>5054</v>
      </c>
      <c r="F429" s="61" t="s">
        <v>181</v>
      </c>
      <c r="G429" s="60" t="s">
        <v>6170</v>
      </c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  <c r="AI429" s="59"/>
    </row>
    <row r="430" spans="1:35" ht="14" customHeight="1" x14ac:dyDescent="0.2">
      <c r="A430" s="61" t="s">
        <v>5822</v>
      </c>
      <c r="B430" s="61" t="s">
        <v>6171</v>
      </c>
      <c r="C430" s="61" t="s">
        <v>5756</v>
      </c>
      <c r="D430" s="59"/>
      <c r="E430" s="61" t="s">
        <v>215</v>
      </c>
      <c r="F430" s="61" t="s">
        <v>181</v>
      </c>
      <c r="G430" s="60" t="s">
        <v>6172</v>
      </c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59"/>
      <c r="AH430" s="59"/>
      <c r="AI430" s="59"/>
    </row>
    <row r="431" spans="1:35" x14ac:dyDescent="0.15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  <c r="AI431" s="59"/>
    </row>
    <row r="432" spans="1:35" ht="14" customHeight="1" x14ac:dyDescent="0.2">
      <c r="A432" s="58" t="s">
        <v>6173</v>
      </c>
      <c r="B432" s="58" t="s">
        <v>6174</v>
      </c>
      <c r="C432" s="58" t="s">
        <v>6165</v>
      </c>
      <c r="D432" s="59"/>
      <c r="E432" s="61" t="s">
        <v>4383</v>
      </c>
      <c r="F432" s="61" t="s">
        <v>181</v>
      </c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59"/>
      <c r="AI432" s="59"/>
    </row>
    <row r="433" spans="1:35" ht="14" customHeight="1" x14ac:dyDescent="0.2">
      <c r="A433" s="61" t="s">
        <v>6175</v>
      </c>
      <c r="B433" s="61" t="s">
        <v>6176</v>
      </c>
      <c r="C433" s="61" t="s">
        <v>6165</v>
      </c>
      <c r="D433" s="59"/>
      <c r="E433" s="61" t="s">
        <v>4383</v>
      </c>
      <c r="F433" s="61" t="s">
        <v>181</v>
      </c>
      <c r="G433" s="60" t="s">
        <v>6177</v>
      </c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  <c r="AI433" s="59"/>
    </row>
    <row r="434" spans="1:35" ht="14" customHeight="1" x14ac:dyDescent="0.2">
      <c r="A434" s="61" t="s">
        <v>4623</v>
      </c>
      <c r="B434" s="61" t="s">
        <v>6178</v>
      </c>
      <c r="C434" s="61" t="s">
        <v>6165</v>
      </c>
      <c r="D434" s="59"/>
      <c r="E434" s="61" t="s">
        <v>4383</v>
      </c>
      <c r="F434" s="61" t="s">
        <v>181</v>
      </c>
      <c r="G434" s="60" t="s">
        <v>6179</v>
      </c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  <c r="AF434" s="59"/>
      <c r="AG434" s="59"/>
      <c r="AH434" s="59"/>
      <c r="AI434" s="59"/>
    </row>
    <row r="435" spans="1:35" ht="14" customHeight="1" x14ac:dyDescent="0.2">
      <c r="A435" s="61" t="s">
        <v>6180</v>
      </c>
      <c r="B435" s="61" t="s">
        <v>6181</v>
      </c>
      <c r="C435" s="61" t="s">
        <v>6165</v>
      </c>
      <c r="D435" s="59"/>
      <c r="E435" s="61" t="s">
        <v>4383</v>
      </c>
      <c r="F435" s="61" t="s">
        <v>181</v>
      </c>
      <c r="G435" s="60" t="s">
        <v>6182</v>
      </c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  <c r="AI435" s="59"/>
    </row>
    <row r="436" spans="1:35" ht="14" customHeight="1" x14ac:dyDescent="0.2">
      <c r="A436" s="61" t="s">
        <v>4528</v>
      </c>
      <c r="B436" s="60" t="s">
        <v>4529</v>
      </c>
      <c r="C436" s="61" t="s">
        <v>6165</v>
      </c>
      <c r="D436" s="59"/>
      <c r="E436" s="61" t="s">
        <v>4383</v>
      </c>
      <c r="F436" s="61" t="s">
        <v>181</v>
      </c>
      <c r="G436" s="60" t="s">
        <v>6183</v>
      </c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</row>
    <row r="437" spans="1:35" ht="14" customHeight="1" x14ac:dyDescent="0.2">
      <c r="A437" s="61" t="s">
        <v>6184</v>
      </c>
      <c r="B437" s="60" t="s">
        <v>6185</v>
      </c>
      <c r="C437" s="61" t="s">
        <v>6165</v>
      </c>
      <c r="D437" s="59"/>
      <c r="E437" s="61" t="s">
        <v>4383</v>
      </c>
      <c r="F437" s="61" t="s">
        <v>181</v>
      </c>
      <c r="G437" s="60" t="s">
        <v>6186</v>
      </c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</row>
    <row r="438" spans="1:35" ht="14" customHeight="1" x14ac:dyDescent="0.2">
      <c r="A438" s="61" t="s">
        <v>6187</v>
      </c>
      <c r="B438" s="60" t="s">
        <v>6188</v>
      </c>
      <c r="C438" s="61" t="s">
        <v>6165</v>
      </c>
      <c r="D438" s="59"/>
      <c r="E438" s="61" t="s">
        <v>4383</v>
      </c>
      <c r="F438" s="61" t="s">
        <v>181</v>
      </c>
      <c r="G438" s="60" t="s">
        <v>6189</v>
      </c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  <c r="AF438" s="59"/>
      <c r="AG438" s="59"/>
      <c r="AH438" s="59"/>
      <c r="AI438" s="59"/>
    </row>
    <row r="439" spans="1:35" ht="14" customHeight="1" x14ac:dyDescent="0.2">
      <c r="A439" s="61" t="s">
        <v>6190</v>
      </c>
      <c r="B439" s="59" t="s">
        <v>6191</v>
      </c>
      <c r="C439" s="61" t="s">
        <v>6165</v>
      </c>
      <c r="D439" s="59"/>
      <c r="E439" s="61" t="s">
        <v>4383</v>
      </c>
      <c r="F439" s="61" t="s">
        <v>181</v>
      </c>
      <c r="G439" s="60" t="s">
        <v>6192</v>
      </c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  <c r="AI439" s="59"/>
    </row>
    <row r="440" spans="1:35" ht="14" customHeight="1" x14ac:dyDescent="0.2">
      <c r="A440" s="61" t="s">
        <v>6193</v>
      </c>
      <c r="B440" s="60" t="s">
        <v>6194</v>
      </c>
      <c r="C440" s="61" t="s">
        <v>6165</v>
      </c>
      <c r="D440" s="59"/>
      <c r="E440" s="61" t="s">
        <v>4383</v>
      </c>
      <c r="F440" s="61" t="s">
        <v>181</v>
      </c>
      <c r="G440" s="60" t="s">
        <v>6195</v>
      </c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59"/>
      <c r="AH440" s="59"/>
      <c r="AI440" s="59"/>
    </row>
    <row r="441" spans="1:35" ht="14" customHeight="1" x14ac:dyDescent="0.2">
      <c r="A441" s="61" t="s">
        <v>4519</v>
      </c>
      <c r="B441" s="60" t="s">
        <v>4520</v>
      </c>
      <c r="C441" s="61" t="s">
        <v>6165</v>
      </c>
      <c r="D441" s="59"/>
      <c r="E441" s="61" t="s">
        <v>4383</v>
      </c>
      <c r="F441" s="61" t="s">
        <v>181</v>
      </c>
      <c r="G441" s="60" t="s">
        <v>6196</v>
      </c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  <c r="AI441" s="59"/>
    </row>
    <row r="442" spans="1:35" ht="14" customHeight="1" x14ac:dyDescent="0.2">
      <c r="A442" s="61" t="s">
        <v>4438</v>
      </c>
      <c r="B442" s="60" t="s">
        <v>4439</v>
      </c>
      <c r="C442" s="61" t="s">
        <v>6165</v>
      </c>
      <c r="D442" s="59"/>
      <c r="E442" s="61" t="s">
        <v>4383</v>
      </c>
      <c r="F442" s="61" t="s">
        <v>181</v>
      </c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  <c r="AF442" s="59"/>
      <c r="AG442" s="59"/>
      <c r="AH442" s="59"/>
      <c r="AI442" s="59"/>
    </row>
    <row r="443" spans="1:35" ht="14" customHeight="1" x14ac:dyDescent="0.2">
      <c r="A443" s="61" t="s">
        <v>6197</v>
      </c>
      <c r="B443" s="60" t="s">
        <v>6198</v>
      </c>
      <c r="C443" s="61" t="s">
        <v>6165</v>
      </c>
      <c r="D443" s="59"/>
      <c r="E443" s="61" t="s">
        <v>4383</v>
      </c>
      <c r="F443" s="61" t="s">
        <v>181</v>
      </c>
      <c r="G443" s="60" t="s">
        <v>6199</v>
      </c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  <c r="AI443" s="59"/>
    </row>
    <row r="444" spans="1:35" ht="14" customHeight="1" x14ac:dyDescent="0.2">
      <c r="A444" s="61" t="s">
        <v>6200</v>
      </c>
      <c r="B444" s="59" t="s">
        <v>6201</v>
      </c>
      <c r="C444" s="61" t="s">
        <v>6165</v>
      </c>
      <c r="D444" s="59"/>
      <c r="E444" s="61" t="s">
        <v>4383</v>
      </c>
      <c r="F444" s="61" t="s">
        <v>181</v>
      </c>
      <c r="G444" s="60" t="s">
        <v>6202</v>
      </c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  <c r="AF444" s="59"/>
      <c r="AG444" s="59"/>
      <c r="AH444" s="59"/>
      <c r="AI444" s="59"/>
    </row>
    <row r="445" spans="1:35" ht="14" customHeight="1" x14ac:dyDescent="0.2">
      <c r="A445" s="61" t="s">
        <v>6203</v>
      </c>
      <c r="B445" s="59" t="s">
        <v>6204</v>
      </c>
      <c r="C445" s="61" t="s">
        <v>6165</v>
      </c>
      <c r="D445" s="59"/>
      <c r="E445" s="61" t="s">
        <v>4383</v>
      </c>
      <c r="F445" s="61" t="s">
        <v>181</v>
      </c>
      <c r="G445" s="60" t="s">
        <v>6205</v>
      </c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  <c r="AI445" s="59"/>
    </row>
    <row r="446" spans="1:35" ht="14" customHeight="1" x14ac:dyDescent="0.2">
      <c r="A446" s="61" t="s">
        <v>6206</v>
      </c>
      <c r="B446" s="59" t="s">
        <v>6207</v>
      </c>
      <c r="C446" s="61" t="s">
        <v>6165</v>
      </c>
      <c r="D446" s="59"/>
      <c r="E446" s="61" t="s">
        <v>4383</v>
      </c>
      <c r="F446" s="61" t="s">
        <v>181</v>
      </c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  <c r="AI446" s="59"/>
    </row>
    <row r="447" spans="1:35" ht="14" customHeight="1" x14ac:dyDescent="0.2">
      <c r="A447" s="61" t="s">
        <v>6208</v>
      </c>
      <c r="B447" s="59" t="s">
        <v>6209</v>
      </c>
      <c r="C447" s="61" t="s">
        <v>6165</v>
      </c>
      <c r="D447" s="59"/>
      <c r="E447" s="61" t="s">
        <v>4383</v>
      </c>
      <c r="F447" s="61" t="s">
        <v>181</v>
      </c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</row>
    <row r="448" spans="1:35" ht="14" customHeight="1" x14ac:dyDescent="0.2">
      <c r="A448" s="61" t="s">
        <v>6210</v>
      </c>
      <c r="B448" s="59" t="s">
        <v>6211</v>
      </c>
      <c r="C448" s="61" t="s">
        <v>6169</v>
      </c>
      <c r="D448" s="59"/>
      <c r="E448" s="61" t="s">
        <v>2664</v>
      </c>
      <c r="F448" s="61" t="s">
        <v>2664</v>
      </c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</row>
    <row r="449" spans="1:35" ht="14" customHeight="1" x14ac:dyDescent="0.2">
      <c r="A449" s="61" t="s">
        <v>6212</v>
      </c>
      <c r="B449" s="59" t="s">
        <v>6213</v>
      </c>
      <c r="C449" s="61" t="s">
        <v>6169</v>
      </c>
      <c r="D449" s="59"/>
      <c r="E449" s="61" t="s">
        <v>2664</v>
      </c>
      <c r="F449" s="61" t="s">
        <v>181</v>
      </c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</row>
    <row r="450" spans="1:35" ht="14" customHeight="1" x14ac:dyDescent="0.2">
      <c r="A450" s="61" t="s">
        <v>6214</v>
      </c>
      <c r="B450" s="59" t="s">
        <v>6215</v>
      </c>
      <c r="C450" s="61" t="s">
        <v>6169</v>
      </c>
      <c r="D450" s="59"/>
      <c r="E450" s="61" t="s">
        <v>2664</v>
      </c>
      <c r="F450" s="61" t="s">
        <v>181</v>
      </c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59"/>
      <c r="AH450" s="59"/>
      <c r="AI450" s="59"/>
    </row>
    <row r="451" spans="1:35" ht="14" customHeight="1" x14ac:dyDescent="0.2">
      <c r="A451" s="61" t="s">
        <v>6216</v>
      </c>
      <c r="B451" s="59" t="s">
        <v>6217</v>
      </c>
      <c r="C451" s="61" t="s">
        <v>6165</v>
      </c>
      <c r="D451" s="59"/>
      <c r="E451" s="61" t="s">
        <v>4383</v>
      </c>
      <c r="F451" s="61" t="s">
        <v>181</v>
      </c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</row>
    <row r="452" spans="1:35" ht="14" customHeight="1" x14ac:dyDescent="0.2">
      <c r="A452" s="61" t="s">
        <v>6218</v>
      </c>
      <c r="B452" s="59" t="s">
        <v>6219</v>
      </c>
      <c r="C452" s="61" t="s">
        <v>6165</v>
      </c>
      <c r="D452" s="59"/>
      <c r="E452" s="61" t="s">
        <v>4383</v>
      </c>
      <c r="F452" s="61" t="s">
        <v>181</v>
      </c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</row>
    <row r="453" spans="1:35" ht="14" customHeight="1" x14ac:dyDescent="0.2">
      <c r="A453" s="61" t="s">
        <v>3878</v>
      </c>
      <c r="B453" s="59" t="s">
        <v>3566</v>
      </c>
      <c r="C453" s="59" t="s">
        <v>6220</v>
      </c>
      <c r="D453" s="59"/>
      <c r="E453" s="59" t="s">
        <v>3389</v>
      </c>
      <c r="F453" s="59" t="s">
        <v>2666</v>
      </c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</row>
    <row r="454" spans="1:35" ht="14" customHeight="1" x14ac:dyDescent="0.2">
      <c r="A454" s="61" t="s">
        <v>3586</v>
      </c>
      <c r="B454" s="59" t="s">
        <v>346</v>
      </c>
      <c r="C454" s="59" t="s">
        <v>6220</v>
      </c>
      <c r="D454" s="59"/>
      <c r="E454" s="59" t="s">
        <v>3389</v>
      </c>
      <c r="F454" s="59" t="s">
        <v>2666</v>
      </c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  <c r="AF454" s="59"/>
      <c r="AG454" s="59"/>
      <c r="AH454" s="59"/>
      <c r="AI454" s="59"/>
    </row>
    <row r="455" spans="1:35" ht="14" customHeight="1" x14ac:dyDescent="0.2">
      <c r="A455" s="61" t="s">
        <v>3878</v>
      </c>
      <c r="B455" s="59" t="s">
        <v>6221</v>
      </c>
      <c r="C455" s="59" t="s">
        <v>6220</v>
      </c>
      <c r="D455" s="59"/>
      <c r="E455" s="59" t="s">
        <v>3389</v>
      </c>
      <c r="F455" s="59" t="s">
        <v>2666</v>
      </c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</row>
    <row r="456" spans="1:35" ht="14" customHeight="1" x14ac:dyDescent="0.2">
      <c r="A456" s="61" t="s">
        <v>3849</v>
      </c>
      <c r="B456" s="59" t="s">
        <v>3850</v>
      </c>
      <c r="C456" s="59" t="s">
        <v>6220</v>
      </c>
      <c r="D456" s="59"/>
      <c r="E456" s="59" t="s">
        <v>26</v>
      </c>
      <c r="F456" s="59" t="s">
        <v>2666</v>
      </c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  <c r="AF456" s="59"/>
      <c r="AG456" s="59"/>
      <c r="AH456" s="59"/>
      <c r="AI456" s="59"/>
    </row>
    <row r="457" spans="1:35" ht="14" customHeight="1" x14ac:dyDescent="0.2">
      <c r="A457" s="61" t="s">
        <v>3965</v>
      </c>
      <c r="B457" s="59" t="s">
        <v>3964</v>
      </c>
      <c r="C457" s="59" t="s">
        <v>6220</v>
      </c>
      <c r="D457" s="59"/>
      <c r="E457" s="59" t="s">
        <v>307</v>
      </c>
      <c r="F457" s="59" t="s">
        <v>2666</v>
      </c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  <c r="AI457" s="59"/>
    </row>
    <row r="458" spans="1:35" ht="14" customHeight="1" x14ac:dyDescent="0.2">
      <c r="A458" s="61" t="s">
        <v>3809</v>
      </c>
      <c r="B458" s="59" t="s">
        <v>3810</v>
      </c>
      <c r="C458" s="59" t="s">
        <v>6220</v>
      </c>
      <c r="D458" s="59"/>
      <c r="E458" s="59" t="s">
        <v>4812</v>
      </c>
      <c r="F458" s="59" t="s">
        <v>2666</v>
      </c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  <c r="AF458" s="59"/>
      <c r="AG458" s="59"/>
      <c r="AH458" s="59"/>
      <c r="AI458" s="59"/>
    </row>
    <row r="459" spans="1:35" ht="14" customHeight="1" x14ac:dyDescent="0.2">
      <c r="A459" s="61" t="s">
        <v>4142</v>
      </c>
      <c r="B459" s="59" t="s">
        <v>349</v>
      </c>
      <c r="C459" s="59" t="s">
        <v>6220</v>
      </c>
      <c r="D459" s="59"/>
      <c r="E459" s="59" t="s">
        <v>3389</v>
      </c>
      <c r="F459" s="59" t="s">
        <v>2666</v>
      </c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  <c r="AI459" s="59"/>
    </row>
    <row r="460" spans="1:35" ht="14" customHeight="1" x14ac:dyDescent="0.2">
      <c r="A460" s="61" t="s">
        <v>3947</v>
      </c>
      <c r="B460" s="59" t="s">
        <v>3673</v>
      </c>
      <c r="C460" s="59" t="s">
        <v>6220</v>
      </c>
      <c r="D460" s="59"/>
      <c r="E460" s="59" t="s">
        <v>26</v>
      </c>
      <c r="F460" s="59" t="s">
        <v>2666</v>
      </c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</row>
    <row r="461" spans="1:35" ht="14" customHeight="1" x14ac:dyDescent="0.2">
      <c r="A461" s="61" t="s">
        <v>4013</v>
      </c>
      <c r="B461" s="59" t="s">
        <v>321</v>
      </c>
      <c r="C461" s="59" t="s">
        <v>6220</v>
      </c>
      <c r="D461" s="59"/>
      <c r="E461" s="59" t="s">
        <v>26</v>
      </c>
      <c r="F461" s="59" t="s">
        <v>2666</v>
      </c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  <c r="AI461" s="59"/>
    </row>
    <row r="462" spans="1:35" ht="14" customHeight="1" x14ac:dyDescent="0.2">
      <c r="A462" s="61" t="s">
        <v>4025</v>
      </c>
      <c r="B462" s="61" t="s">
        <v>4026</v>
      </c>
      <c r="C462" s="59" t="s">
        <v>6220</v>
      </c>
      <c r="D462" s="59"/>
      <c r="E462" s="59" t="s">
        <v>215</v>
      </c>
      <c r="F462" s="59" t="s">
        <v>2666</v>
      </c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  <c r="AF462" s="59"/>
      <c r="AG462" s="59"/>
      <c r="AH462" s="59"/>
      <c r="AI462" s="59"/>
    </row>
    <row r="463" spans="1:35" ht="14" customHeight="1" x14ac:dyDescent="0.2">
      <c r="A463" s="61" t="s">
        <v>4065</v>
      </c>
      <c r="B463" s="61" t="s">
        <v>328</v>
      </c>
      <c r="C463" s="59" t="s">
        <v>6220</v>
      </c>
      <c r="D463" s="59"/>
      <c r="E463" s="59" t="s">
        <v>26</v>
      </c>
      <c r="F463" s="59" t="s">
        <v>2666</v>
      </c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  <c r="AI463" s="59"/>
    </row>
    <row r="464" spans="1:35" ht="14" customHeight="1" x14ac:dyDescent="0.2">
      <c r="A464" s="61" t="s">
        <v>6222</v>
      </c>
      <c r="B464" s="61" t="s">
        <v>6223</v>
      </c>
      <c r="C464" s="59" t="s">
        <v>6224</v>
      </c>
      <c r="D464" s="59"/>
      <c r="E464" s="61" t="s">
        <v>4383</v>
      </c>
      <c r="F464" s="59" t="s">
        <v>6225</v>
      </c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59"/>
      <c r="AH464" s="59"/>
      <c r="AI464" s="59"/>
    </row>
    <row r="465" spans="1:35" ht="14" customHeight="1" x14ac:dyDescent="0.2">
      <c r="A465" s="61" t="s">
        <v>6226</v>
      </c>
      <c r="B465" s="61" t="s">
        <v>4418</v>
      </c>
      <c r="C465" s="60" t="s">
        <v>6224</v>
      </c>
      <c r="D465" s="59"/>
      <c r="E465" s="60" t="s">
        <v>4383</v>
      </c>
      <c r="F465" s="60" t="s">
        <v>6225</v>
      </c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  <c r="AI465" s="59"/>
    </row>
    <row r="466" spans="1:35" ht="14" customHeight="1" x14ac:dyDescent="0.2">
      <c r="A466" s="61" t="s">
        <v>6227</v>
      </c>
      <c r="B466" s="61" t="s">
        <v>4418</v>
      </c>
      <c r="C466" s="59" t="s">
        <v>6220</v>
      </c>
      <c r="D466" s="59"/>
      <c r="E466" s="61" t="s">
        <v>4383</v>
      </c>
      <c r="F466" s="59" t="s">
        <v>2666</v>
      </c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59"/>
      <c r="AH466" s="59"/>
      <c r="AI466" s="59"/>
    </row>
    <row r="467" spans="1:35" ht="14" customHeight="1" x14ac:dyDescent="0.2">
      <c r="A467" s="61" t="s">
        <v>4647</v>
      </c>
      <c r="B467" s="61" t="s">
        <v>4418</v>
      </c>
      <c r="C467" s="59" t="s">
        <v>6220</v>
      </c>
      <c r="D467" s="59"/>
      <c r="E467" s="61" t="s">
        <v>4383</v>
      </c>
      <c r="F467" s="59" t="s">
        <v>2666</v>
      </c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  <c r="AI467" s="59"/>
    </row>
    <row r="468" spans="1:35" ht="14" customHeight="1" x14ac:dyDescent="0.2">
      <c r="A468" s="61" t="s">
        <v>4417</v>
      </c>
      <c r="B468" s="61" t="s">
        <v>4418</v>
      </c>
      <c r="C468" s="59" t="s">
        <v>6220</v>
      </c>
      <c r="D468" s="59"/>
      <c r="E468" s="61" t="s">
        <v>4383</v>
      </c>
      <c r="F468" s="59" t="s">
        <v>2666</v>
      </c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59"/>
      <c r="AH468" s="59"/>
      <c r="AI468" s="59"/>
    </row>
    <row r="469" spans="1:35" ht="14" customHeight="1" x14ac:dyDescent="0.2">
      <c r="A469" s="61" t="s">
        <v>4647</v>
      </c>
      <c r="B469" s="61" t="s">
        <v>6228</v>
      </c>
      <c r="C469" s="59" t="s">
        <v>6220</v>
      </c>
      <c r="D469" s="59"/>
      <c r="E469" s="61" t="s">
        <v>4383</v>
      </c>
      <c r="F469" s="59" t="s">
        <v>2666</v>
      </c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</row>
    <row r="470" spans="1:35" ht="14" customHeight="1" x14ac:dyDescent="0.2">
      <c r="A470" s="61" t="s">
        <v>4381</v>
      </c>
      <c r="B470" s="61" t="s">
        <v>4382</v>
      </c>
      <c r="C470" s="59" t="s">
        <v>6220</v>
      </c>
      <c r="D470" s="59"/>
      <c r="E470" s="61" t="s">
        <v>4383</v>
      </c>
      <c r="F470" s="59" t="s">
        <v>2666</v>
      </c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59"/>
      <c r="AH470" s="59"/>
      <c r="AI470" s="59"/>
    </row>
    <row r="471" spans="1:35" x14ac:dyDescent="0.15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</row>
    <row r="472" spans="1:35" x14ac:dyDescent="0.15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</row>
    <row r="473" spans="1:35" x14ac:dyDescent="0.15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</row>
    <row r="474" spans="1:35" x14ac:dyDescent="0.15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  <c r="AF474" s="59"/>
      <c r="AG474" s="59"/>
      <c r="AH474" s="59"/>
      <c r="AI474" s="59"/>
    </row>
    <row r="475" spans="1:35" x14ac:dyDescent="0.1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</row>
    <row r="476" spans="1:35" x14ac:dyDescent="0.15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  <c r="AF476" s="59"/>
      <c r="AG476" s="59"/>
      <c r="AH476" s="59"/>
      <c r="AI476" s="59"/>
    </row>
    <row r="477" spans="1:35" x14ac:dyDescent="0.15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59"/>
      <c r="AH477" s="59"/>
      <c r="AI477" s="59"/>
    </row>
    <row r="478" spans="1:35" x14ac:dyDescent="0.15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  <c r="AF478" s="59"/>
      <c r="AG478" s="59"/>
      <c r="AH478" s="59"/>
      <c r="AI478" s="59"/>
    </row>
    <row r="479" spans="1:35" x14ac:dyDescent="0.15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59"/>
      <c r="AH479" s="59"/>
      <c r="AI479" s="59"/>
    </row>
    <row r="480" spans="1:35" x14ac:dyDescent="0.15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  <c r="AF480" s="59"/>
      <c r="AG480" s="59"/>
      <c r="AH480" s="59"/>
      <c r="AI480" s="59"/>
    </row>
    <row r="481" spans="1:35" x14ac:dyDescent="0.15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</row>
    <row r="482" spans="1:35" x14ac:dyDescent="0.15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  <c r="AF482" s="59"/>
      <c r="AG482" s="59"/>
      <c r="AH482" s="59"/>
      <c r="AI482" s="59"/>
    </row>
    <row r="483" spans="1:35" x14ac:dyDescent="0.15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59"/>
      <c r="AH483" s="59"/>
      <c r="AI483" s="59"/>
    </row>
    <row r="484" spans="1:35" x14ac:dyDescent="0.15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</row>
    <row r="485" spans="1:35" x14ac:dyDescent="0.1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59"/>
      <c r="AH485" s="59"/>
      <c r="AI485" s="59"/>
    </row>
    <row r="486" spans="1:35" x14ac:dyDescent="0.15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  <c r="AF486" s="59"/>
      <c r="AG486" s="59"/>
      <c r="AH486" s="59"/>
      <c r="AI486" s="59"/>
    </row>
    <row r="487" spans="1:35" x14ac:dyDescent="0.15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59"/>
      <c r="AH487" s="59"/>
      <c r="AI487" s="59"/>
    </row>
    <row r="488" spans="1:35" x14ac:dyDescent="0.15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  <c r="AF488" s="59"/>
      <c r="AG488" s="59"/>
      <c r="AH488" s="59"/>
      <c r="AI488" s="59"/>
    </row>
    <row r="489" spans="1:35" x14ac:dyDescent="0.15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59"/>
      <c r="AH489" s="59"/>
      <c r="AI489" s="59"/>
    </row>
    <row r="490" spans="1:35" x14ac:dyDescent="0.15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  <c r="AF490" s="59"/>
      <c r="AG490" s="59"/>
      <c r="AH490" s="59"/>
      <c r="AI490" s="59"/>
    </row>
    <row r="491" spans="1:35" x14ac:dyDescent="0.15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59"/>
      <c r="AH491" s="59"/>
      <c r="AI491" s="59"/>
    </row>
    <row r="492" spans="1:35" x14ac:dyDescent="0.15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  <c r="AF492" s="59"/>
      <c r="AG492" s="59"/>
      <c r="AH492" s="59"/>
      <c r="AI492" s="59"/>
    </row>
    <row r="493" spans="1:35" x14ac:dyDescent="0.15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</row>
    <row r="494" spans="1:35" x14ac:dyDescent="0.15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  <c r="AF494" s="59"/>
      <c r="AG494" s="59"/>
      <c r="AH494" s="59"/>
      <c r="AI494" s="59"/>
    </row>
    <row r="495" spans="1:35" x14ac:dyDescent="0.1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</row>
    <row r="496" spans="1:35" x14ac:dyDescent="0.15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</row>
    <row r="497" spans="1:35" x14ac:dyDescent="0.15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</row>
    <row r="498" spans="1:35" x14ac:dyDescent="0.15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59"/>
      <c r="AH498" s="59"/>
      <c r="AI498" s="59"/>
    </row>
    <row r="499" spans="1:35" x14ac:dyDescent="0.15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</row>
    <row r="500" spans="1:35" x14ac:dyDescent="0.15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  <c r="AF500" s="59"/>
      <c r="AG500" s="59"/>
      <c r="AH500" s="59"/>
      <c r="AI500" s="59"/>
    </row>
    <row r="501" spans="1:35" x14ac:dyDescent="0.15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  <c r="AF501" s="59"/>
      <c r="AG501" s="59"/>
      <c r="AH501" s="59"/>
      <c r="AI501" s="59"/>
    </row>
    <row r="502" spans="1:35" x14ac:dyDescent="0.15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59"/>
      <c r="AH502" s="59"/>
      <c r="AI502" s="59"/>
    </row>
    <row r="503" spans="1:35" x14ac:dyDescent="0.15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  <c r="AF503" s="59"/>
      <c r="AG503" s="59"/>
      <c r="AH503" s="59"/>
      <c r="AI503" s="59"/>
    </row>
    <row r="504" spans="1:35" x14ac:dyDescent="0.15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59"/>
      <c r="AH504" s="59"/>
      <c r="AI504" s="59"/>
    </row>
    <row r="505" spans="1:35" x14ac:dyDescent="0.1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  <c r="AF505" s="59"/>
      <c r="AG505" s="59"/>
      <c r="AH505" s="59"/>
      <c r="AI505" s="59"/>
    </row>
    <row r="506" spans="1:35" x14ac:dyDescent="0.15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  <c r="AF506" s="59"/>
      <c r="AG506" s="59"/>
      <c r="AH506" s="59"/>
      <c r="AI506" s="59"/>
    </row>
    <row r="507" spans="1:35" x14ac:dyDescent="0.15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  <c r="AF507" s="59"/>
      <c r="AG507" s="59"/>
      <c r="AH507" s="59"/>
      <c r="AI507" s="59"/>
    </row>
    <row r="508" spans="1:35" x14ac:dyDescent="0.15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</row>
    <row r="509" spans="1:35" x14ac:dyDescent="0.15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  <c r="AF509" s="59"/>
      <c r="AG509" s="59"/>
      <c r="AH509" s="59"/>
      <c r="AI509" s="59"/>
    </row>
    <row r="510" spans="1:35" x14ac:dyDescent="0.15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  <c r="AF510" s="59"/>
      <c r="AG510" s="59"/>
      <c r="AH510" s="59"/>
      <c r="AI510" s="59"/>
    </row>
    <row r="511" spans="1:35" x14ac:dyDescent="0.15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  <c r="AH511" s="59"/>
      <c r="AI511" s="59"/>
    </row>
    <row r="512" spans="1:35" x14ac:dyDescent="0.15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  <c r="AF512" s="59"/>
      <c r="AG512" s="59"/>
      <c r="AH512" s="59"/>
      <c r="AI512" s="59"/>
    </row>
    <row r="513" spans="1:35" x14ac:dyDescent="0.15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59"/>
      <c r="AH513" s="59"/>
      <c r="AI513" s="59"/>
    </row>
    <row r="514" spans="1:35" x14ac:dyDescent="0.15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59"/>
      <c r="AH514" s="59"/>
      <c r="AI514" s="59"/>
    </row>
    <row r="515" spans="1:35" x14ac:dyDescent="0.1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  <c r="AF515" s="59"/>
      <c r="AG515" s="59"/>
      <c r="AH515" s="59"/>
      <c r="AI515" s="59"/>
    </row>
    <row r="516" spans="1:35" x14ac:dyDescent="0.15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  <c r="AF516" s="59"/>
      <c r="AG516" s="59"/>
      <c r="AH516" s="59"/>
      <c r="AI516" s="59"/>
    </row>
    <row r="517" spans="1:35" x14ac:dyDescent="0.15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59"/>
      <c r="AH517" s="59"/>
      <c r="AI517" s="59"/>
    </row>
    <row r="518" spans="1:35" x14ac:dyDescent="0.15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  <c r="AF518" s="59"/>
      <c r="AG518" s="59"/>
      <c r="AH518" s="59"/>
      <c r="AI518" s="59"/>
    </row>
    <row r="519" spans="1:35" x14ac:dyDescent="0.15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</row>
    <row r="520" spans="1:35" x14ac:dyDescent="0.15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</row>
    <row r="521" spans="1:35" x14ac:dyDescent="0.15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59"/>
      <c r="AH521" s="59"/>
      <c r="AI521" s="59"/>
    </row>
    <row r="522" spans="1:35" x14ac:dyDescent="0.15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  <c r="AF522" s="59"/>
      <c r="AG522" s="59"/>
      <c r="AH522" s="59"/>
      <c r="AI522" s="59"/>
    </row>
    <row r="523" spans="1:35" x14ac:dyDescent="0.15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  <c r="AF523" s="59"/>
      <c r="AG523" s="59"/>
      <c r="AH523" s="59"/>
      <c r="AI523" s="59"/>
    </row>
    <row r="524" spans="1:35" x14ac:dyDescent="0.15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  <c r="AF524" s="59"/>
      <c r="AG524" s="59"/>
      <c r="AH524" s="59"/>
      <c r="AI524" s="59"/>
    </row>
    <row r="525" spans="1:35" x14ac:dyDescent="0.1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59"/>
      <c r="AH525" s="59"/>
      <c r="AI525" s="59"/>
    </row>
    <row r="526" spans="1:35" x14ac:dyDescent="0.15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59"/>
      <c r="AI526" s="59"/>
    </row>
    <row r="527" spans="1:35" x14ac:dyDescent="0.15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</row>
    <row r="528" spans="1:35" x14ac:dyDescent="0.15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  <c r="AF528" s="59"/>
      <c r="AG528" s="59"/>
      <c r="AH528" s="59"/>
      <c r="AI528" s="59"/>
    </row>
    <row r="529" spans="1:35" x14ac:dyDescent="0.15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  <c r="AF529" s="59"/>
      <c r="AG529" s="59"/>
      <c r="AH529" s="59"/>
      <c r="AI529" s="59"/>
    </row>
    <row r="530" spans="1:35" x14ac:dyDescent="0.15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  <c r="AF530" s="59"/>
      <c r="AG530" s="59"/>
      <c r="AH530" s="59"/>
      <c r="AI530" s="59"/>
    </row>
    <row r="531" spans="1:35" x14ac:dyDescent="0.15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59"/>
      <c r="AH531" s="59"/>
      <c r="AI531" s="59"/>
    </row>
    <row r="532" spans="1:35" x14ac:dyDescent="0.15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</row>
    <row r="533" spans="1:35" x14ac:dyDescent="0.15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  <c r="AF533" s="59"/>
      <c r="AG533" s="59"/>
      <c r="AH533" s="59"/>
      <c r="AI533" s="59"/>
    </row>
    <row r="534" spans="1:35" x14ac:dyDescent="0.15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  <c r="AF534" s="59"/>
      <c r="AG534" s="59"/>
      <c r="AH534" s="59"/>
      <c r="AI534" s="59"/>
    </row>
    <row r="535" spans="1:35" x14ac:dyDescent="0.1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59"/>
      <c r="AH535" s="59"/>
      <c r="AI535" s="59"/>
    </row>
    <row r="536" spans="1:35" x14ac:dyDescent="0.15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  <c r="AF536" s="59"/>
      <c r="AG536" s="59"/>
      <c r="AH536" s="59"/>
      <c r="AI536" s="59"/>
    </row>
    <row r="537" spans="1:35" x14ac:dyDescent="0.15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  <c r="AF537" s="59"/>
      <c r="AG537" s="59"/>
      <c r="AH537" s="59"/>
      <c r="AI537" s="59"/>
    </row>
    <row r="538" spans="1:35" x14ac:dyDescent="0.15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  <c r="AF538" s="59"/>
      <c r="AG538" s="59"/>
      <c r="AH538" s="59"/>
      <c r="AI538" s="59"/>
    </row>
    <row r="539" spans="1:35" x14ac:dyDescent="0.15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  <c r="AF539" s="59"/>
      <c r="AG539" s="59"/>
      <c r="AH539" s="59"/>
      <c r="AI539" s="59"/>
    </row>
    <row r="540" spans="1:35" x14ac:dyDescent="0.15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  <c r="AF540" s="59"/>
      <c r="AG540" s="59"/>
      <c r="AH540" s="59"/>
      <c r="AI540" s="59"/>
    </row>
    <row r="541" spans="1:35" x14ac:dyDescent="0.15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  <c r="AF541" s="59"/>
      <c r="AG541" s="59"/>
      <c r="AH541" s="59"/>
      <c r="AI541" s="59"/>
    </row>
    <row r="542" spans="1:35" x14ac:dyDescent="0.15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  <c r="AF542" s="59"/>
      <c r="AG542" s="59"/>
      <c r="AH542" s="59"/>
      <c r="AI542" s="59"/>
    </row>
    <row r="543" spans="1:35" x14ac:dyDescent="0.15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  <c r="AF543" s="59"/>
      <c r="AG543" s="59"/>
      <c r="AH543" s="59"/>
      <c r="AI543" s="59"/>
    </row>
    <row r="544" spans="1:35" x14ac:dyDescent="0.15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</row>
    <row r="545" spans="1:35" x14ac:dyDescent="0.1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  <c r="AF545" s="59"/>
      <c r="AG545" s="59"/>
      <c r="AH545" s="59"/>
      <c r="AI545" s="59"/>
    </row>
    <row r="546" spans="1:35" x14ac:dyDescent="0.15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  <c r="AF546" s="59"/>
      <c r="AG546" s="59"/>
      <c r="AH546" s="59"/>
      <c r="AI546" s="59"/>
    </row>
    <row r="547" spans="1:35" x14ac:dyDescent="0.15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  <c r="AF547" s="59"/>
      <c r="AG547" s="59"/>
      <c r="AH547" s="59"/>
      <c r="AI547" s="59"/>
    </row>
    <row r="548" spans="1:35" x14ac:dyDescent="0.15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  <c r="AF548" s="59"/>
      <c r="AG548" s="59"/>
      <c r="AH548" s="59"/>
      <c r="AI548" s="59"/>
    </row>
    <row r="549" spans="1:35" x14ac:dyDescent="0.15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  <c r="AF549" s="59"/>
      <c r="AG549" s="59"/>
      <c r="AH549" s="59"/>
      <c r="AI549" s="59"/>
    </row>
    <row r="550" spans="1:35" x14ac:dyDescent="0.15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  <c r="AF550" s="59"/>
      <c r="AG550" s="59"/>
      <c r="AH550" s="59"/>
      <c r="AI550" s="59"/>
    </row>
    <row r="551" spans="1:35" x14ac:dyDescent="0.15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  <c r="AF551" s="59"/>
      <c r="AG551" s="59"/>
      <c r="AH551" s="59"/>
      <c r="AI551" s="59"/>
    </row>
    <row r="552" spans="1:35" x14ac:dyDescent="0.15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59"/>
      <c r="AH552" s="59"/>
      <c r="AI552" s="59"/>
    </row>
    <row r="553" spans="1:35" x14ac:dyDescent="0.15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  <c r="AF553" s="59"/>
      <c r="AG553" s="59"/>
      <c r="AH553" s="59"/>
      <c r="AI553" s="59"/>
    </row>
    <row r="554" spans="1:35" x14ac:dyDescent="0.15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  <c r="AF554" s="59"/>
      <c r="AG554" s="59"/>
      <c r="AH554" s="59"/>
      <c r="AI554" s="59"/>
    </row>
    <row r="555" spans="1:35" x14ac:dyDescent="0.1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  <c r="AF555" s="59"/>
      <c r="AG555" s="59"/>
      <c r="AH555" s="59"/>
      <c r="AI555" s="59"/>
    </row>
    <row r="556" spans="1:35" x14ac:dyDescent="0.15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</row>
    <row r="557" spans="1:35" x14ac:dyDescent="0.15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  <c r="AF557" s="59"/>
      <c r="AG557" s="59"/>
      <c r="AH557" s="59"/>
      <c r="AI557" s="59"/>
    </row>
    <row r="558" spans="1:35" x14ac:dyDescent="0.15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  <c r="AF558" s="59"/>
      <c r="AG558" s="59"/>
      <c r="AH558" s="59"/>
      <c r="AI558" s="59"/>
    </row>
    <row r="559" spans="1:35" x14ac:dyDescent="0.15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  <c r="AF559" s="59"/>
      <c r="AG559" s="59"/>
      <c r="AH559" s="59"/>
      <c r="AI559" s="59"/>
    </row>
    <row r="560" spans="1:35" x14ac:dyDescent="0.15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  <c r="AF560" s="59"/>
      <c r="AG560" s="59"/>
      <c r="AH560" s="59"/>
      <c r="AI560" s="59"/>
    </row>
    <row r="561" spans="1:35" x14ac:dyDescent="0.15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  <c r="AF561" s="59"/>
      <c r="AG561" s="59"/>
      <c r="AH561" s="59"/>
      <c r="AI561" s="59"/>
    </row>
    <row r="562" spans="1:35" x14ac:dyDescent="0.15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  <c r="AF562" s="59"/>
      <c r="AG562" s="59"/>
      <c r="AH562" s="59"/>
      <c r="AI562" s="59"/>
    </row>
    <row r="563" spans="1:35" x14ac:dyDescent="0.15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  <c r="AF563" s="59"/>
      <c r="AG563" s="59"/>
      <c r="AH563" s="59"/>
      <c r="AI563" s="59"/>
    </row>
    <row r="564" spans="1:35" x14ac:dyDescent="0.15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  <c r="AF564" s="59"/>
      <c r="AG564" s="59"/>
      <c r="AH564" s="59"/>
      <c r="AI564" s="59"/>
    </row>
    <row r="565" spans="1:35" x14ac:dyDescent="0.1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59"/>
      <c r="AH565" s="59"/>
      <c r="AI565" s="59"/>
    </row>
    <row r="566" spans="1:35" x14ac:dyDescent="0.15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  <c r="AF566" s="59"/>
      <c r="AG566" s="59"/>
      <c r="AH566" s="59"/>
      <c r="AI566" s="59"/>
    </row>
    <row r="567" spans="1:35" x14ac:dyDescent="0.15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  <c r="AF567" s="59"/>
      <c r="AG567" s="59"/>
      <c r="AH567" s="59"/>
      <c r="AI567" s="59"/>
    </row>
    <row r="568" spans="1:35" x14ac:dyDescent="0.15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</row>
    <row r="569" spans="1:35" x14ac:dyDescent="0.15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  <c r="AF569" s="59"/>
      <c r="AG569" s="59"/>
      <c r="AH569" s="59"/>
      <c r="AI569" s="59"/>
    </row>
    <row r="570" spans="1:35" x14ac:dyDescent="0.15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  <c r="AF570" s="59"/>
      <c r="AG570" s="59"/>
      <c r="AH570" s="59"/>
      <c r="AI570" s="59"/>
    </row>
    <row r="571" spans="1:35" x14ac:dyDescent="0.15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  <c r="AF571" s="59"/>
      <c r="AG571" s="59"/>
      <c r="AH571" s="59"/>
      <c r="AI571" s="59"/>
    </row>
    <row r="572" spans="1:35" x14ac:dyDescent="0.15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  <c r="AF572" s="59"/>
      <c r="AG572" s="59"/>
      <c r="AH572" s="59"/>
      <c r="AI572" s="59"/>
    </row>
    <row r="573" spans="1:35" x14ac:dyDescent="0.15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  <c r="AF573" s="59"/>
      <c r="AG573" s="59"/>
      <c r="AH573" s="59"/>
      <c r="AI573" s="59"/>
    </row>
    <row r="574" spans="1:35" x14ac:dyDescent="0.15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  <c r="AF574" s="59"/>
      <c r="AG574" s="59"/>
      <c r="AH574" s="59"/>
      <c r="AI574" s="59"/>
    </row>
    <row r="575" spans="1:35" x14ac:dyDescent="0.1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  <c r="AF575" s="59"/>
      <c r="AG575" s="59"/>
      <c r="AH575" s="59"/>
      <c r="AI575" s="59"/>
    </row>
    <row r="576" spans="1:35" x14ac:dyDescent="0.15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  <c r="AF576" s="59"/>
      <c r="AG576" s="59"/>
      <c r="AH576" s="59"/>
      <c r="AI576" s="59"/>
    </row>
    <row r="577" spans="1:35" x14ac:dyDescent="0.15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  <c r="AF577" s="59"/>
      <c r="AG577" s="59"/>
      <c r="AH577" s="59"/>
      <c r="AI577" s="59"/>
    </row>
    <row r="578" spans="1:35" x14ac:dyDescent="0.15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  <c r="AF578" s="59"/>
      <c r="AG578" s="59"/>
      <c r="AH578" s="59"/>
      <c r="AI578" s="59"/>
    </row>
    <row r="579" spans="1:35" x14ac:dyDescent="0.15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  <c r="AF579" s="59"/>
      <c r="AG579" s="59"/>
      <c r="AH579" s="59"/>
      <c r="AI579" s="59"/>
    </row>
    <row r="580" spans="1:35" x14ac:dyDescent="0.15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  <c r="AF580" s="59"/>
      <c r="AG580" s="59"/>
      <c r="AH580" s="59"/>
      <c r="AI580" s="59"/>
    </row>
    <row r="581" spans="1:35" x14ac:dyDescent="0.15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  <c r="AF581" s="59"/>
      <c r="AG581" s="59"/>
      <c r="AH581" s="59"/>
      <c r="AI581" s="59"/>
    </row>
    <row r="582" spans="1:35" x14ac:dyDescent="0.15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  <c r="AF582" s="59"/>
      <c r="AG582" s="59"/>
      <c r="AH582" s="59"/>
      <c r="AI582" s="59"/>
    </row>
    <row r="583" spans="1:35" x14ac:dyDescent="0.15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  <c r="AF583" s="59"/>
      <c r="AG583" s="59"/>
      <c r="AH583" s="59"/>
      <c r="AI583" s="59"/>
    </row>
    <row r="584" spans="1:35" x14ac:dyDescent="0.15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  <c r="AF584" s="59"/>
      <c r="AG584" s="59"/>
      <c r="AH584" s="59"/>
      <c r="AI584" s="59"/>
    </row>
    <row r="585" spans="1:35" x14ac:dyDescent="0.1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  <c r="AF585" s="59"/>
      <c r="AG585" s="59"/>
      <c r="AH585" s="59"/>
      <c r="AI585" s="59"/>
    </row>
    <row r="586" spans="1:35" x14ac:dyDescent="0.15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  <c r="AF586" s="59"/>
      <c r="AG586" s="59"/>
      <c r="AH586" s="59"/>
      <c r="AI586" s="59"/>
    </row>
    <row r="587" spans="1:35" x14ac:dyDescent="0.15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  <c r="AF587" s="59"/>
      <c r="AG587" s="59"/>
      <c r="AH587" s="59"/>
      <c r="AI587" s="59"/>
    </row>
    <row r="588" spans="1:35" x14ac:dyDescent="0.15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  <c r="AF588" s="59"/>
      <c r="AG588" s="59"/>
      <c r="AH588" s="59"/>
      <c r="AI588" s="59"/>
    </row>
    <row r="589" spans="1:35" x14ac:dyDescent="0.15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  <c r="AF589" s="59"/>
      <c r="AG589" s="59"/>
      <c r="AH589" s="59"/>
      <c r="AI589" s="59"/>
    </row>
    <row r="590" spans="1:35" x14ac:dyDescent="0.15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  <c r="AF590" s="59"/>
      <c r="AG590" s="59"/>
      <c r="AH590" s="59"/>
      <c r="AI590" s="59"/>
    </row>
    <row r="591" spans="1:35" x14ac:dyDescent="0.15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  <c r="AF591" s="59"/>
      <c r="AG591" s="59"/>
      <c r="AH591" s="59"/>
      <c r="AI591" s="59"/>
    </row>
    <row r="592" spans="1:35" x14ac:dyDescent="0.15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  <c r="AF592" s="59"/>
      <c r="AG592" s="59"/>
      <c r="AH592" s="59"/>
      <c r="AI592" s="59"/>
    </row>
    <row r="593" spans="1:35" x14ac:dyDescent="0.15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  <c r="AF593" s="59"/>
      <c r="AG593" s="59"/>
      <c r="AH593" s="59"/>
      <c r="AI593" s="59"/>
    </row>
    <row r="594" spans="1:35" x14ac:dyDescent="0.15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  <c r="AF594" s="59"/>
      <c r="AG594" s="59"/>
      <c r="AH594" s="59"/>
      <c r="AI594" s="59"/>
    </row>
    <row r="595" spans="1:35" x14ac:dyDescent="0.1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  <c r="AF595" s="59"/>
      <c r="AG595" s="59"/>
      <c r="AH595" s="59"/>
      <c r="AI595" s="59"/>
    </row>
    <row r="596" spans="1:35" x14ac:dyDescent="0.15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  <c r="AF596" s="59"/>
      <c r="AG596" s="59"/>
      <c r="AH596" s="59"/>
      <c r="AI596" s="59"/>
    </row>
    <row r="597" spans="1:35" x14ac:dyDescent="0.15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  <c r="AF597" s="59"/>
      <c r="AG597" s="59"/>
      <c r="AH597" s="59"/>
      <c r="AI597" s="59"/>
    </row>
    <row r="598" spans="1:35" x14ac:dyDescent="0.15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  <c r="AF598" s="59"/>
      <c r="AG598" s="59"/>
      <c r="AH598" s="59"/>
      <c r="AI598" s="59"/>
    </row>
    <row r="599" spans="1:35" x14ac:dyDescent="0.15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  <c r="AF599" s="59"/>
      <c r="AG599" s="59"/>
      <c r="AH599" s="59"/>
      <c r="AI599" s="59"/>
    </row>
    <row r="600" spans="1:35" x14ac:dyDescent="0.15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  <c r="AF600" s="59"/>
      <c r="AG600" s="59"/>
      <c r="AH600" s="59"/>
      <c r="AI600" s="59"/>
    </row>
    <row r="601" spans="1:35" x14ac:dyDescent="0.15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  <c r="AF601" s="59"/>
      <c r="AG601" s="59"/>
      <c r="AH601" s="59"/>
      <c r="AI601" s="59"/>
    </row>
    <row r="602" spans="1:35" x14ac:dyDescent="0.15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  <c r="AF602" s="59"/>
      <c r="AG602" s="59"/>
      <c r="AH602" s="59"/>
      <c r="AI602" s="59"/>
    </row>
    <row r="603" spans="1:35" x14ac:dyDescent="0.15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  <c r="AF603" s="59"/>
      <c r="AG603" s="59"/>
      <c r="AH603" s="59"/>
      <c r="AI603" s="59"/>
    </row>
    <row r="604" spans="1:35" x14ac:dyDescent="0.15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  <c r="AF604" s="59"/>
      <c r="AG604" s="59"/>
      <c r="AH604" s="59"/>
      <c r="AI604" s="59"/>
    </row>
    <row r="605" spans="1:35" x14ac:dyDescent="0.1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  <c r="AF605" s="59"/>
      <c r="AG605" s="59"/>
      <c r="AH605" s="59"/>
      <c r="AI605" s="59"/>
    </row>
    <row r="606" spans="1:35" x14ac:dyDescent="0.15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  <c r="AF606" s="59"/>
      <c r="AG606" s="59"/>
      <c r="AH606" s="59"/>
      <c r="AI606" s="59"/>
    </row>
    <row r="607" spans="1:35" x14ac:dyDescent="0.15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  <c r="AF607" s="59"/>
      <c r="AG607" s="59"/>
      <c r="AH607" s="59"/>
      <c r="AI607" s="59"/>
    </row>
    <row r="608" spans="1:35" x14ac:dyDescent="0.15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  <c r="AF608" s="59"/>
      <c r="AG608" s="59"/>
      <c r="AH608" s="59"/>
      <c r="AI608" s="59"/>
    </row>
    <row r="609" spans="1:35" x14ac:dyDescent="0.15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  <c r="AF609" s="59"/>
      <c r="AG609" s="59"/>
      <c r="AH609" s="59"/>
      <c r="AI609" s="59"/>
    </row>
    <row r="610" spans="1:35" x14ac:dyDescent="0.15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  <c r="AF610" s="59"/>
      <c r="AG610" s="59"/>
      <c r="AH610" s="59"/>
      <c r="AI610" s="59"/>
    </row>
    <row r="611" spans="1:35" x14ac:dyDescent="0.15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  <c r="AF611" s="59"/>
      <c r="AG611" s="59"/>
      <c r="AH611" s="59"/>
      <c r="AI611" s="59"/>
    </row>
    <row r="612" spans="1:35" x14ac:dyDescent="0.15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  <c r="AF612" s="59"/>
      <c r="AG612" s="59"/>
      <c r="AH612" s="59"/>
      <c r="AI612" s="59"/>
    </row>
    <row r="613" spans="1:35" x14ac:dyDescent="0.15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  <c r="AF613" s="59"/>
      <c r="AG613" s="59"/>
      <c r="AH613" s="59"/>
      <c r="AI613" s="59"/>
    </row>
    <row r="614" spans="1:35" x14ac:dyDescent="0.15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  <c r="AF614" s="59"/>
      <c r="AG614" s="59"/>
      <c r="AH614" s="59"/>
      <c r="AI614" s="59"/>
    </row>
    <row r="615" spans="1:35" x14ac:dyDescent="0.1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  <c r="AF615" s="59"/>
      <c r="AG615" s="59"/>
      <c r="AH615" s="59"/>
      <c r="AI615" s="59"/>
    </row>
    <row r="616" spans="1:35" x14ac:dyDescent="0.15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  <c r="AF616" s="59"/>
      <c r="AG616" s="59"/>
      <c r="AH616" s="59"/>
      <c r="AI616" s="59"/>
    </row>
    <row r="617" spans="1:35" x14ac:dyDescent="0.15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  <c r="AF617" s="59"/>
      <c r="AG617" s="59"/>
      <c r="AH617" s="59"/>
      <c r="AI617" s="59"/>
    </row>
    <row r="618" spans="1:35" x14ac:dyDescent="0.15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  <c r="AF618" s="59"/>
      <c r="AG618" s="59"/>
      <c r="AH618" s="59"/>
      <c r="AI618" s="59"/>
    </row>
    <row r="619" spans="1:35" x14ac:dyDescent="0.15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  <c r="AF619" s="59"/>
      <c r="AG619" s="59"/>
      <c r="AH619" s="59"/>
      <c r="AI619" s="59"/>
    </row>
    <row r="620" spans="1:35" x14ac:dyDescent="0.15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  <c r="AF620" s="59"/>
      <c r="AG620" s="59"/>
      <c r="AH620" s="59"/>
      <c r="AI620" s="59"/>
    </row>
    <row r="621" spans="1:35" x14ac:dyDescent="0.15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  <c r="AF621" s="59"/>
      <c r="AG621" s="59"/>
      <c r="AH621" s="59"/>
      <c r="AI621" s="59"/>
    </row>
    <row r="622" spans="1:35" x14ac:dyDescent="0.15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  <c r="AF622" s="59"/>
      <c r="AG622" s="59"/>
      <c r="AH622" s="59"/>
      <c r="AI622" s="59"/>
    </row>
    <row r="623" spans="1:35" x14ac:dyDescent="0.15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  <c r="AF623" s="59"/>
      <c r="AG623" s="59"/>
      <c r="AH623" s="59"/>
      <c r="AI623" s="59"/>
    </row>
    <row r="624" spans="1:35" x14ac:dyDescent="0.15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  <c r="AF624" s="59"/>
      <c r="AG624" s="59"/>
      <c r="AH624" s="59"/>
      <c r="AI624" s="59"/>
    </row>
    <row r="625" spans="1:35" x14ac:dyDescent="0.1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  <c r="AF625" s="59"/>
      <c r="AG625" s="59"/>
      <c r="AH625" s="59"/>
      <c r="AI625" s="59"/>
    </row>
    <row r="626" spans="1:35" x14ac:dyDescent="0.15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  <c r="AF626" s="59"/>
      <c r="AG626" s="59"/>
      <c r="AH626" s="59"/>
      <c r="AI626" s="59"/>
    </row>
    <row r="627" spans="1:35" x14ac:dyDescent="0.15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  <c r="AF627" s="59"/>
      <c r="AG627" s="59"/>
      <c r="AH627" s="59"/>
      <c r="AI627" s="59"/>
    </row>
    <row r="628" spans="1:35" x14ac:dyDescent="0.15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  <c r="AF628" s="59"/>
      <c r="AG628" s="59"/>
      <c r="AH628" s="59"/>
      <c r="AI628" s="59"/>
    </row>
    <row r="629" spans="1:35" x14ac:dyDescent="0.15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  <c r="AF629" s="59"/>
      <c r="AG629" s="59"/>
      <c r="AH629" s="59"/>
      <c r="AI629" s="59"/>
    </row>
    <row r="630" spans="1:35" x14ac:dyDescent="0.15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  <c r="AF630" s="59"/>
      <c r="AG630" s="59"/>
      <c r="AH630" s="59"/>
      <c r="AI630" s="59"/>
    </row>
    <row r="631" spans="1:35" x14ac:dyDescent="0.15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  <c r="AF631" s="59"/>
      <c r="AG631" s="59"/>
      <c r="AH631" s="59"/>
      <c r="AI631" s="59"/>
    </row>
    <row r="632" spans="1:35" x14ac:dyDescent="0.15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  <c r="AF632" s="59"/>
      <c r="AG632" s="59"/>
      <c r="AH632" s="59"/>
      <c r="AI632" s="59"/>
    </row>
    <row r="633" spans="1:35" x14ac:dyDescent="0.15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  <c r="AF633" s="59"/>
      <c r="AG633" s="59"/>
      <c r="AH633" s="59"/>
      <c r="AI633" s="59"/>
    </row>
    <row r="634" spans="1:35" x14ac:dyDescent="0.15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  <c r="AF634" s="59"/>
      <c r="AG634" s="59"/>
      <c r="AH634" s="59"/>
      <c r="AI634" s="59"/>
    </row>
    <row r="635" spans="1:35" x14ac:dyDescent="0.1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  <c r="AF635" s="59"/>
      <c r="AG635" s="59"/>
      <c r="AH635" s="59"/>
      <c r="AI635" s="59"/>
    </row>
    <row r="636" spans="1:35" x14ac:dyDescent="0.15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  <c r="AF636" s="59"/>
      <c r="AG636" s="59"/>
      <c r="AH636" s="59"/>
      <c r="AI636" s="59"/>
    </row>
    <row r="637" spans="1:35" x14ac:dyDescent="0.15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  <c r="AF637" s="59"/>
      <c r="AG637" s="59"/>
      <c r="AH637" s="59"/>
      <c r="AI637" s="59"/>
    </row>
    <row r="638" spans="1:35" x14ac:dyDescent="0.15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  <c r="AF638" s="59"/>
      <c r="AG638" s="59"/>
      <c r="AH638" s="59"/>
      <c r="AI638" s="59"/>
    </row>
    <row r="639" spans="1:35" x14ac:dyDescent="0.15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  <c r="AF639" s="59"/>
      <c r="AG639" s="59"/>
      <c r="AH639" s="59"/>
      <c r="AI639" s="59"/>
    </row>
    <row r="640" spans="1:35" x14ac:dyDescent="0.15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  <c r="AF640" s="59"/>
      <c r="AG640" s="59"/>
      <c r="AH640" s="59"/>
      <c r="AI640" s="59"/>
    </row>
    <row r="641" spans="1:35" x14ac:dyDescent="0.15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  <c r="AF641" s="59"/>
      <c r="AG641" s="59"/>
      <c r="AH641" s="59"/>
      <c r="AI641" s="59"/>
    </row>
    <row r="642" spans="1:35" x14ac:dyDescent="0.15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  <c r="AF642" s="59"/>
      <c r="AG642" s="59"/>
      <c r="AH642" s="59"/>
      <c r="AI642" s="59"/>
    </row>
    <row r="643" spans="1:35" x14ac:dyDescent="0.15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  <c r="AF643" s="59"/>
      <c r="AG643" s="59"/>
      <c r="AH643" s="59"/>
      <c r="AI643" s="59"/>
    </row>
    <row r="644" spans="1:35" x14ac:dyDescent="0.15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  <c r="AF644" s="59"/>
      <c r="AG644" s="59"/>
      <c r="AH644" s="59"/>
      <c r="AI644" s="59"/>
    </row>
    <row r="645" spans="1:35" x14ac:dyDescent="0.1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  <c r="AF645" s="59"/>
      <c r="AG645" s="59"/>
      <c r="AH645" s="59"/>
      <c r="AI645" s="59"/>
    </row>
    <row r="646" spans="1:35" x14ac:dyDescent="0.15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  <c r="AF646" s="59"/>
      <c r="AG646" s="59"/>
      <c r="AH646" s="59"/>
      <c r="AI646" s="59"/>
    </row>
    <row r="647" spans="1:35" x14ac:dyDescent="0.15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  <c r="AF647" s="59"/>
      <c r="AG647" s="59"/>
      <c r="AH647" s="59"/>
      <c r="AI647" s="59"/>
    </row>
    <row r="648" spans="1:35" x14ac:dyDescent="0.15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  <c r="AF648" s="59"/>
      <c r="AG648" s="59"/>
      <c r="AH648" s="59"/>
      <c r="AI648" s="59"/>
    </row>
    <row r="649" spans="1:35" x14ac:dyDescent="0.15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  <c r="AF649" s="59"/>
      <c r="AG649" s="59"/>
      <c r="AH649" s="59"/>
      <c r="AI649" s="59"/>
    </row>
    <row r="650" spans="1:35" x14ac:dyDescent="0.15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  <c r="AF650" s="59"/>
      <c r="AG650" s="59"/>
      <c r="AH650" s="59"/>
      <c r="AI650" s="59"/>
    </row>
    <row r="651" spans="1:35" x14ac:dyDescent="0.15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  <c r="AF651" s="59"/>
      <c r="AG651" s="59"/>
      <c r="AH651" s="59"/>
      <c r="AI651" s="59"/>
    </row>
    <row r="652" spans="1:35" x14ac:dyDescent="0.15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  <c r="AF652" s="59"/>
      <c r="AG652" s="59"/>
      <c r="AH652" s="59"/>
      <c r="AI652" s="59"/>
    </row>
    <row r="653" spans="1:35" x14ac:dyDescent="0.15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  <c r="AF653" s="59"/>
      <c r="AG653" s="59"/>
      <c r="AH653" s="59"/>
      <c r="AI653" s="59"/>
    </row>
    <row r="654" spans="1:35" x14ac:dyDescent="0.15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  <c r="AF654" s="59"/>
      <c r="AG654" s="59"/>
      <c r="AH654" s="59"/>
      <c r="AI654" s="59"/>
    </row>
    <row r="655" spans="1:35" x14ac:dyDescent="0.1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59"/>
      <c r="AH655" s="59"/>
      <c r="AI655" s="59"/>
    </row>
    <row r="656" spans="1:35" x14ac:dyDescent="0.15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  <c r="AF656" s="59"/>
      <c r="AG656" s="59"/>
      <c r="AH656" s="59"/>
      <c r="AI656" s="59"/>
    </row>
    <row r="657" spans="1:35" x14ac:dyDescent="0.15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</row>
    <row r="658" spans="1:35" x14ac:dyDescent="0.15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  <c r="AF658" s="59"/>
      <c r="AG658" s="59"/>
      <c r="AH658" s="59"/>
      <c r="AI658" s="59"/>
    </row>
    <row r="659" spans="1:35" x14ac:dyDescent="0.15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  <c r="AF659" s="59"/>
      <c r="AG659" s="59"/>
      <c r="AH659" s="59"/>
      <c r="AI659" s="59"/>
    </row>
    <row r="660" spans="1:35" x14ac:dyDescent="0.15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  <c r="AF660" s="59"/>
      <c r="AG660" s="59"/>
      <c r="AH660" s="59"/>
      <c r="AI660" s="59"/>
    </row>
    <row r="661" spans="1:35" x14ac:dyDescent="0.15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  <c r="AF661" s="59"/>
      <c r="AG661" s="59"/>
      <c r="AH661" s="59"/>
      <c r="AI661" s="59"/>
    </row>
    <row r="662" spans="1:35" x14ac:dyDescent="0.15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  <c r="AF662" s="59"/>
      <c r="AG662" s="59"/>
      <c r="AH662" s="59"/>
      <c r="AI662" s="59"/>
    </row>
    <row r="663" spans="1:35" x14ac:dyDescent="0.15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  <c r="AF663" s="59"/>
      <c r="AG663" s="59"/>
      <c r="AH663" s="59"/>
      <c r="AI663" s="59"/>
    </row>
    <row r="664" spans="1:35" x14ac:dyDescent="0.15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  <c r="AF664" s="59"/>
      <c r="AG664" s="59"/>
      <c r="AH664" s="59"/>
      <c r="AI664" s="59"/>
    </row>
    <row r="665" spans="1:35" x14ac:dyDescent="0.1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  <c r="AF665" s="59"/>
      <c r="AG665" s="59"/>
      <c r="AH665" s="59"/>
      <c r="AI665" s="59"/>
    </row>
    <row r="666" spans="1:35" x14ac:dyDescent="0.15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  <c r="AF666" s="59"/>
      <c r="AG666" s="59"/>
      <c r="AH666" s="59"/>
      <c r="AI666" s="59"/>
    </row>
    <row r="667" spans="1:35" x14ac:dyDescent="0.15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  <c r="AF667" s="59"/>
      <c r="AG667" s="59"/>
      <c r="AH667" s="59"/>
      <c r="AI667" s="59"/>
    </row>
    <row r="668" spans="1:35" x14ac:dyDescent="0.15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  <c r="AF668" s="59"/>
      <c r="AG668" s="59"/>
      <c r="AH668" s="59"/>
      <c r="AI668" s="59"/>
    </row>
    <row r="669" spans="1:35" x14ac:dyDescent="0.15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  <c r="AF669" s="59"/>
      <c r="AG669" s="59"/>
      <c r="AH669" s="59"/>
      <c r="AI669" s="59"/>
    </row>
    <row r="670" spans="1:35" x14ac:dyDescent="0.15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  <c r="AF670" s="59"/>
      <c r="AG670" s="59"/>
      <c r="AH670" s="59"/>
      <c r="AI670" s="59"/>
    </row>
    <row r="671" spans="1:35" x14ac:dyDescent="0.15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  <c r="AF671" s="59"/>
      <c r="AG671" s="59"/>
      <c r="AH671" s="59"/>
      <c r="AI671" s="59"/>
    </row>
    <row r="672" spans="1:35" x14ac:dyDescent="0.15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  <c r="AF672" s="59"/>
      <c r="AG672" s="59"/>
      <c r="AH672" s="59"/>
      <c r="AI672" s="59"/>
    </row>
    <row r="673" spans="1:35" x14ac:dyDescent="0.15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  <c r="AF673" s="59"/>
      <c r="AG673" s="59"/>
      <c r="AH673" s="59"/>
      <c r="AI673" s="59"/>
    </row>
    <row r="674" spans="1:35" x14ac:dyDescent="0.15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  <c r="AF674" s="59"/>
      <c r="AG674" s="59"/>
      <c r="AH674" s="59"/>
      <c r="AI674" s="59"/>
    </row>
    <row r="675" spans="1:35" x14ac:dyDescent="0.1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  <c r="AF675" s="59"/>
      <c r="AG675" s="59"/>
      <c r="AH675" s="59"/>
      <c r="AI675" s="59"/>
    </row>
    <row r="676" spans="1:35" x14ac:dyDescent="0.15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  <c r="AF676" s="59"/>
      <c r="AG676" s="59"/>
      <c r="AH676" s="59"/>
      <c r="AI676" s="59"/>
    </row>
    <row r="677" spans="1:35" x14ac:dyDescent="0.15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  <c r="AF677" s="59"/>
      <c r="AG677" s="59"/>
      <c r="AH677" s="59"/>
      <c r="AI677" s="59"/>
    </row>
    <row r="678" spans="1:35" x14ac:dyDescent="0.15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  <c r="AF678" s="59"/>
      <c r="AG678" s="59"/>
      <c r="AH678" s="59"/>
      <c r="AI678" s="59"/>
    </row>
    <row r="679" spans="1:35" x14ac:dyDescent="0.15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  <c r="AF679" s="59"/>
      <c r="AG679" s="59"/>
      <c r="AH679" s="59"/>
      <c r="AI679" s="59"/>
    </row>
    <row r="680" spans="1:35" x14ac:dyDescent="0.15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  <c r="AF680" s="59"/>
      <c r="AG680" s="59"/>
      <c r="AH680" s="59"/>
      <c r="AI680" s="59"/>
    </row>
    <row r="681" spans="1:35" x14ac:dyDescent="0.15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  <c r="AF681" s="59"/>
      <c r="AG681" s="59"/>
      <c r="AH681" s="59"/>
      <c r="AI681" s="59"/>
    </row>
    <row r="682" spans="1:35" x14ac:dyDescent="0.15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  <c r="AF682" s="59"/>
      <c r="AG682" s="59"/>
      <c r="AH682" s="59"/>
      <c r="AI682" s="59"/>
    </row>
    <row r="683" spans="1:35" x14ac:dyDescent="0.15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  <c r="AF683" s="59"/>
      <c r="AG683" s="59"/>
      <c r="AH683" s="59"/>
      <c r="AI683" s="59"/>
    </row>
    <row r="684" spans="1:35" x14ac:dyDescent="0.15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  <c r="AF684" s="59"/>
      <c r="AG684" s="59"/>
      <c r="AH684" s="59"/>
      <c r="AI684" s="59"/>
    </row>
    <row r="685" spans="1:35" x14ac:dyDescent="0.1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  <c r="AF685" s="59"/>
      <c r="AG685" s="59"/>
      <c r="AH685" s="59"/>
      <c r="AI685" s="59"/>
    </row>
    <row r="686" spans="1:35" x14ac:dyDescent="0.15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  <c r="AF686" s="59"/>
      <c r="AG686" s="59"/>
      <c r="AH686" s="59"/>
      <c r="AI686" s="59"/>
    </row>
    <row r="687" spans="1:35" x14ac:dyDescent="0.15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  <c r="AF687" s="59"/>
      <c r="AG687" s="59"/>
      <c r="AH687" s="59"/>
      <c r="AI687" s="59"/>
    </row>
    <row r="688" spans="1:35" x14ac:dyDescent="0.15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  <c r="AF688" s="59"/>
      <c r="AG688" s="59"/>
      <c r="AH688" s="59"/>
      <c r="AI688" s="59"/>
    </row>
    <row r="689" spans="1:35" x14ac:dyDescent="0.15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  <c r="AF689" s="59"/>
      <c r="AG689" s="59"/>
      <c r="AH689" s="59"/>
      <c r="AI689" s="59"/>
    </row>
    <row r="690" spans="1:35" x14ac:dyDescent="0.15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  <c r="AF690" s="59"/>
      <c r="AG690" s="59"/>
      <c r="AH690" s="59"/>
      <c r="AI690" s="59"/>
    </row>
    <row r="691" spans="1:35" x14ac:dyDescent="0.15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  <c r="AE691" s="59"/>
      <c r="AF691" s="59"/>
      <c r="AG691" s="59"/>
      <c r="AH691" s="59"/>
      <c r="AI691" s="59"/>
    </row>
    <row r="692" spans="1:35" x14ac:dyDescent="0.15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  <c r="AE692" s="59"/>
      <c r="AF692" s="59"/>
      <c r="AG692" s="59"/>
      <c r="AH692" s="59"/>
      <c r="AI692" s="59"/>
    </row>
    <row r="693" spans="1:35" x14ac:dyDescent="0.15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  <c r="AE693" s="59"/>
      <c r="AF693" s="59"/>
      <c r="AG693" s="59"/>
      <c r="AH693" s="59"/>
      <c r="AI693" s="59"/>
    </row>
    <row r="694" spans="1:35" x14ac:dyDescent="0.15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  <c r="AE694" s="59"/>
      <c r="AF694" s="59"/>
      <c r="AG694" s="59"/>
      <c r="AH694" s="59"/>
      <c r="AI694" s="59"/>
    </row>
    <row r="695" spans="1:35" x14ac:dyDescent="0.1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  <c r="AE695" s="59"/>
      <c r="AF695" s="59"/>
      <c r="AG695" s="59"/>
      <c r="AH695" s="59"/>
      <c r="AI695" s="59"/>
    </row>
    <row r="696" spans="1:35" x14ac:dyDescent="0.15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  <c r="AE696" s="59"/>
      <c r="AF696" s="59"/>
      <c r="AG696" s="59"/>
      <c r="AH696" s="59"/>
      <c r="AI696" s="59"/>
    </row>
    <row r="697" spans="1:35" x14ac:dyDescent="0.15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  <c r="AE697" s="59"/>
      <c r="AF697" s="59"/>
      <c r="AG697" s="59"/>
      <c r="AH697" s="59"/>
      <c r="AI697" s="59"/>
    </row>
    <row r="698" spans="1:35" x14ac:dyDescent="0.15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  <c r="AE698" s="59"/>
      <c r="AF698" s="59"/>
      <c r="AG698" s="59"/>
      <c r="AH698" s="59"/>
      <c r="AI698" s="59"/>
    </row>
    <row r="699" spans="1:35" x14ac:dyDescent="0.15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  <c r="AE699" s="59"/>
      <c r="AF699" s="59"/>
      <c r="AG699" s="59"/>
      <c r="AH699" s="59"/>
      <c r="AI699" s="59"/>
    </row>
    <row r="700" spans="1:35" x14ac:dyDescent="0.15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  <c r="AE700" s="59"/>
      <c r="AF700" s="59"/>
      <c r="AG700" s="59"/>
      <c r="AH700" s="59"/>
      <c r="AI700" s="59"/>
    </row>
    <row r="701" spans="1:35" x14ac:dyDescent="0.15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  <c r="AD701" s="59"/>
      <c r="AE701" s="59"/>
      <c r="AF701" s="59"/>
      <c r="AG701" s="59"/>
      <c r="AH701" s="59"/>
      <c r="AI701" s="59"/>
    </row>
    <row r="702" spans="1:35" x14ac:dyDescent="0.15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  <c r="AE702" s="59"/>
      <c r="AF702" s="59"/>
      <c r="AG702" s="59"/>
      <c r="AH702" s="59"/>
      <c r="AI702" s="59"/>
    </row>
    <row r="703" spans="1:35" x14ac:dyDescent="0.15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  <c r="AE703" s="59"/>
      <c r="AF703" s="59"/>
      <c r="AG703" s="59"/>
      <c r="AH703" s="59"/>
      <c r="AI703" s="59"/>
    </row>
    <row r="704" spans="1:35" x14ac:dyDescent="0.15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  <c r="AD704" s="59"/>
      <c r="AE704" s="59"/>
      <c r="AF704" s="59"/>
      <c r="AG704" s="59"/>
      <c r="AH704" s="59"/>
      <c r="AI704" s="59"/>
    </row>
    <row r="705" spans="1:35" x14ac:dyDescent="0.1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  <c r="AE705" s="59"/>
      <c r="AF705" s="59"/>
      <c r="AG705" s="59"/>
      <c r="AH705" s="59"/>
      <c r="AI705" s="59"/>
    </row>
    <row r="706" spans="1:35" x14ac:dyDescent="0.15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  <c r="AE706" s="59"/>
      <c r="AF706" s="59"/>
      <c r="AG706" s="59"/>
      <c r="AH706" s="59"/>
      <c r="AI706" s="59"/>
    </row>
    <row r="707" spans="1:35" x14ac:dyDescent="0.15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  <c r="AE707" s="59"/>
      <c r="AF707" s="59"/>
      <c r="AG707" s="59"/>
      <c r="AH707" s="59"/>
      <c r="AI707" s="59"/>
    </row>
    <row r="708" spans="1:35" x14ac:dyDescent="0.15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  <c r="AE708" s="59"/>
      <c r="AF708" s="59"/>
      <c r="AG708" s="59"/>
      <c r="AH708" s="59"/>
      <c r="AI708" s="59"/>
    </row>
    <row r="709" spans="1:35" x14ac:dyDescent="0.15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  <c r="AE709" s="59"/>
      <c r="AF709" s="59"/>
      <c r="AG709" s="59"/>
      <c r="AH709" s="59"/>
      <c r="AI709" s="59"/>
    </row>
    <row r="710" spans="1:35" x14ac:dyDescent="0.15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  <c r="AF710" s="59"/>
      <c r="AG710" s="59"/>
      <c r="AH710" s="59"/>
      <c r="AI710" s="59"/>
    </row>
    <row r="711" spans="1:35" x14ac:dyDescent="0.15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  <c r="AE711" s="59"/>
      <c r="AF711" s="59"/>
      <c r="AG711" s="59"/>
      <c r="AH711" s="59"/>
      <c r="AI711" s="59"/>
    </row>
    <row r="712" spans="1:35" x14ac:dyDescent="0.15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  <c r="AF712" s="59"/>
      <c r="AG712" s="59"/>
      <c r="AH712" s="59"/>
      <c r="AI712" s="59"/>
    </row>
    <row r="713" spans="1:35" x14ac:dyDescent="0.15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  <c r="AE713" s="59"/>
      <c r="AF713" s="59"/>
      <c r="AG713" s="59"/>
      <c r="AH713" s="59"/>
      <c r="AI713" s="59"/>
    </row>
    <row r="714" spans="1:35" x14ac:dyDescent="0.15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  <c r="AF714" s="59"/>
      <c r="AG714" s="59"/>
      <c r="AH714" s="59"/>
      <c r="AI714" s="59"/>
    </row>
    <row r="715" spans="1:35" x14ac:dyDescent="0.1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  <c r="AF715" s="59"/>
      <c r="AG715" s="59"/>
      <c r="AH715" s="59"/>
      <c r="AI715" s="59"/>
    </row>
    <row r="716" spans="1:35" x14ac:dyDescent="0.15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  <c r="AF716" s="59"/>
      <c r="AG716" s="59"/>
      <c r="AH716" s="59"/>
      <c r="AI716" s="59"/>
    </row>
    <row r="717" spans="1:35" x14ac:dyDescent="0.15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  <c r="AF717" s="59"/>
      <c r="AG717" s="59"/>
      <c r="AH717" s="59"/>
      <c r="AI717" s="59"/>
    </row>
    <row r="718" spans="1:35" x14ac:dyDescent="0.15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  <c r="AF718" s="59"/>
      <c r="AG718" s="59"/>
      <c r="AH718" s="59"/>
      <c r="AI718" s="59"/>
    </row>
    <row r="719" spans="1:35" x14ac:dyDescent="0.15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  <c r="AF719" s="59"/>
      <c r="AG719" s="59"/>
      <c r="AH719" s="59"/>
      <c r="AI719" s="59"/>
    </row>
    <row r="720" spans="1:35" x14ac:dyDescent="0.15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  <c r="AE720" s="59"/>
      <c r="AF720" s="59"/>
      <c r="AG720" s="59"/>
      <c r="AH720" s="59"/>
      <c r="AI720" s="59"/>
    </row>
    <row r="721" spans="1:35" x14ac:dyDescent="0.15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  <c r="AF721" s="59"/>
      <c r="AG721" s="59"/>
      <c r="AH721" s="59"/>
      <c r="AI721" s="59"/>
    </row>
    <row r="722" spans="1:35" x14ac:dyDescent="0.15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  <c r="AF722" s="59"/>
      <c r="AG722" s="59"/>
      <c r="AH722" s="59"/>
      <c r="AI722" s="59"/>
    </row>
    <row r="723" spans="1:35" x14ac:dyDescent="0.15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  <c r="AF723" s="59"/>
      <c r="AG723" s="59"/>
      <c r="AH723" s="59"/>
      <c r="AI723" s="59"/>
    </row>
    <row r="724" spans="1:35" x14ac:dyDescent="0.15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  <c r="AF724" s="59"/>
      <c r="AG724" s="59"/>
      <c r="AH724" s="59"/>
      <c r="AI724" s="59"/>
    </row>
    <row r="725" spans="1:35" x14ac:dyDescent="0.1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  <c r="AE725" s="59"/>
      <c r="AF725" s="59"/>
      <c r="AG725" s="59"/>
      <c r="AH725" s="59"/>
      <c r="AI725" s="59"/>
    </row>
    <row r="726" spans="1:35" x14ac:dyDescent="0.15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  <c r="AF726" s="59"/>
      <c r="AG726" s="59"/>
      <c r="AH726" s="59"/>
      <c r="AI726" s="59"/>
    </row>
    <row r="727" spans="1:35" x14ac:dyDescent="0.15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  <c r="AE727" s="59"/>
      <c r="AF727" s="59"/>
      <c r="AG727" s="59"/>
      <c r="AH727" s="59"/>
      <c r="AI727" s="59"/>
    </row>
    <row r="728" spans="1:35" x14ac:dyDescent="0.15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  <c r="AF728" s="59"/>
      <c r="AG728" s="59"/>
      <c r="AH728" s="59"/>
      <c r="AI728" s="59"/>
    </row>
    <row r="729" spans="1:35" x14ac:dyDescent="0.15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  <c r="AE729" s="59"/>
      <c r="AF729" s="59"/>
      <c r="AG729" s="59"/>
      <c r="AH729" s="59"/>
      <c r="AI729" s="59"/>
    </row>
    <row r="730" spans="1:35" x14ac:dyDescent="0.15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  <c r="AF730" s="59"/>
      <c r="AG730" s="59"/>
      <c r="AH730" s="59"/>
      <c r="AI730" s="59"/>
    </row>
    <row r="731" spans="1:35" x14ac:dyDescent="0.15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  <c r="AF731" s="59"/>
      <c r="AG731" s="59"/>
      <c r="AH731" s="59"/>
      <c r="AI731" s="59"/>
    </row>
    <row r="732" spans="1:35" x14ac:dyDescent="0.15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  <c r="AF732" s="59"/>
      <c r="AG732" s="59"/>
      <c r="AH732" s="59"/>
      <c r="AI732" s="59"/>
    </row>
    <row r="733" spans="1:35" x14ac:dyDescent="0.15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  <c r="AE733" s="59"/>
      <c r="AF733" s="59"/>
      <c r="AG733" s="59"/>
      <c r="AH733" s="59"/>
      <c r="AI733" s="59"/>
    </row>
    <row r="734" spans="1:35" x14ac:dyDescent="0.15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  <c r="AE734" s="59"/>
      <c r="AF734" s="59"/>
      <c r="AG734" s="59"/>
      <c r="AH734" s="59"/>
      <c r="AI734" s="59"/>
    </row>
    <row r="735" spans="1:35" x14ac:dyDescent="0.1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  <c r="AE735" s="59"/>
      <c r="AF735" s="59"/>
      <c r="AG735" s="59"/>
      <c r="AH735" s="59"/>
      <c r="AI735" s="59"/>
    </row>
    <row r="736" spans="1:35" x14ac:dyDescent="0.15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  <c r="AE736" s="59"/>
      <c r="AF736" s="59"/>
      <c r="AG736" s="59"/>
      <c r="AH736" s="59"/>
      <c r="AI736" s="59"/>
    </row>
    <row r="737" spans="1:35" x14ac:dyDescent="0.15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  <c r="AE737" s="59"/>
      <c r="AF737" s="59"/>
      <c r="AG737" s="59"/>
      <c r="AH737" s="59"/>
      <c r="AI737" s="59"/>
    </row>
    <row r="738" spans="1:35" x14ac:dyDescent="0.15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  <c r="AE738" s="59"/>
      <c r="AF738" s="59"/>
      <c r="AG738" s="59"/>
      <c r="AH738" s="59"/>
      <c r="AI738" s="59"/>
    </row>
    <row r="739" spans="1:35" x14ac:dyDescent="0.15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  <c r="AE739" s="59"/>
      <c r="AF739" s="59"/>
      <c r="AG739" s="59"/>
      <c r="AH739" s="59"/>
      <c r="AI739" s="59"/>
    </row>
    <row r="740" spans="1:35" x14ac:dyDescent="0.15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  <c r="AF740" s="59"/>
      <c r="AG740" s="59"/>
      <c r="AH740" s="59"/>
      <c r="AI740" s="59"/>
    </row>
    <row r="741" spans="1:35" x14ac:dyDescent="0.15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  <c r="AE741" s="59"/>
      <c r="AF741" s="59"/>
      <c r="AG741" s="59"/>
      <c r="AH741" s="59"/>
      <c r="AI741" s="59"/>
    </row>
    <row r="742" spans="1:35" x14ac:dyDescent="0.15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  <c r="AF742" s="59"/>
      <c r="AG742" s="59"/>
      <c r="AH742" s="59"/>
      <c r="AI742" s="59"/>
    </row>
    <row r="743" spans="1:35" x14ac:dyDescent="0.15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  <c r="AE743" s="59"/>
      <c r="AF743" s="59"/>
      <c r="AG743" s="59"/>
      <c r="AH743" s="59"/>
      <c r="AI743" s="59"/>
    </row>
    <row r="744" spans="1:35" x14ac:dyDescent="0.15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  <c r="AE744" s="59"/>
      <c r="AF744" s="59"/>
      <c r="AG744" s="59"/>
      <c r="AH744" s="59"/>
      <c r="AI744" s="59"/>
    </row>
    <row r="745" spans="1:35" x14ac:dyDescent="0.1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  <c r="AE745" s="59"/>
      <c r="AF745" s="59"/>
      <c r="AG745" s="59"/>
      <c r="AH745" s="59"/>
      <c r="AI745" s="59"/>
    </row>
    <row r="746" spans="1:35" x14ac:dyDescent="0.15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  <c r="AE746" s="59"/>
      <c r="AF746" s="59"/>
      <c r="AG746" s="59"/>
      <c r="AH746" s="59"/>
      <c r="AI746" s="59"/>
    </row>
    <row r="747" spans="1:35" x14ac:dyDescent="0.15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  <c r="AE747" s="59"/>
      <c r="AF747" s="59"/>
      <c r="AG747" s="59"/>
      <c r="AH747" s="59"/>
      <c r="AI747" s="59"/>
    </row>
    <row r="748" spans="1:35" x14ac:dyDescent="0.15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  <c r="AE748" s="59"/>
      <c r="AF748" s="59"/>
      <c r="AG748" s="59"/>
      <c r="AH748" s="59"/>
      <c r="AI748" s="59"/>
    </row>
    <row r="749" spans="1:35" x14ac:dyDescent="0.15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  <c r="AE749" s="59"/>
      <c r="AF749" s="59"/>
      <c r="AG749" s="59"/>
      <c r="AH749" s="59"/>
      <c r="AI749" s="59"/>
    </row>
    <row r="750" spans="1:35" x14ac:dyDescent="0.15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  <c r="AE750" s="59"/>
      <c r="AF750" s="59"/>
      <c r="AG750" s="59"/>
      <c r="AH750" s="59"/>
      <c r="AI750" s="59"/>
    </row>
    <row r="751" spans="1:35" x14ac:dyDescent="0.15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  <c r="AE751" s="59"/>
      <c r="AF751" s="59"/>
      <c r="AG751" s="59"/>
      <c r="AH751" s="59"/>
      <c r="AI751" s="59"/>
    </row>
    <row r="752" spans="1:35" x14ac:dyDescent="0.15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  <c r="AE752" s="59"/>
      <c r="AF752" s="59"/>
      <c r="AG752" s="59"/>
      <c r="AH752" s="59"/>
      <c r="AI752" s="59"/>
    </row>
    <row r="753" spans="1:35" x14ac:dyDescent="0.15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  <c r="AE753" s="59"/>
      <c r="AF753" s="59"/>
      <c r="AG753" s="59"/>
      <c r="AH753" s="59"/>
      <c r="AI753" s="59"/>
    </row>
    <row r="754" spans="1:35" x14ac:dyDescent="0.15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  <c r="AF754" s="59"/>
      <c r="AG754" s="59"/>
      <c r="AH754" s="59"/>
      <c r="AI754" s="59"/>
    </row>
    <row r="755" spans="1:35" x14ac:dyDescent="0.1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  <c r="AE755" s="59"/>
      <c r="AF755" s="59"/>
      <c r="AG755" s="59"/>
      <c r="AH755" s="59"/>
      <c r="AI755" s="59"/>
    </row>
    <row r="756" spans="1:35" x14ac:dyDescent="0.15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  <c r="AE756" s="59"/>
      <c r="AF756" s="59"/>
      <c r="AG756" s="59"/>
      <c r="AH756" s="59"/>
      <c r="AI756" s="59"/>
    </row>
    <row r="757" spans="1:35" x14ac:dyDescent="0.15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  <c r="AE757" s="59"/>
      <c r="AF757" s="59"/>
      <c r="AG757" s="59"/>
      <c r="AH757" s="59"/>
      <c r="AI757" s="59"/>
    </row>
    <row r="758" spans="1:35" x14ac:dyDescent="0.15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  <c r="AE758" s="59"/>
      <c r="AF758" s="59"/>
      <c r="AG758" s="59"/>
      <c r="AH758" s="59"/>
      <c r="AI758" s="59"/>
    </row>
    <row r="759" spans="1:35" x14ac:dyDescent="0.15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  <c r="AE759" s="59"/>
      <c r="AF759" s="59"/>
      <c r="AG759" s="59"/>
      <c r="AH759" s="59"/>
      <c r="AI759" s="59"/>
    </row>
    <row r="760" spans="1:35" x14ac:dyDescent="0.15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  <c r="AE760" s="59"/>
      <c r="AF760" s="59"/>
      <c r="AG760" s="59"/>
      <c r="AH760" s="59"/>
      <c r="AI760" s="59"/>
    </row>
    <row r="761" spans="1:35" x14ac:dyDescent="0.15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  <c r="AE761" s="59"/>
      <c r="AF761" s="59"/>
      <c r="AG761" s="59"/>
      <c r="AH761" s="59"/>
      <c r="AI761" s="59"/>
    </row>
    <row r="762" spans="1:35" x14ac:dyDescent="0.15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  <c r="AE762" s="59"/>
      <c r="AF762" s="59"/>
      <c r="AG762" s="59"/>
      <c r="AH762" s="59"/>
      <c r="AI762" s="59"/>
    </row>
    <row r="763" spans="1:35" x14ac:dyDescent="0.15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  <c r="AE763" s="59"/>
      <c r="AF763" s="59"/>
      <c r="AG763" s="59"/>
      <c r="AH763" s="59"/>
      <c r="AI763" s="59"/>
    </row>
    <row r="764" spans="1:35" x14ac:dyDescent="0.15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  <c r="AE764" s="59"/>
      <c r="AF764" s="59"/>
      <c r="AG764" s="59"/>
      <c r="AH764" s="59"/>
      <c r="AI764" s="59"/>
    </row>
    <row r="765" spans="1:35" x14ac:dyDescent="0.1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  <c r="AE765" s="59"/>
      <c r="AF765" s="59"/>
      <c r="AG765" s="59"/>
      <c r="AH765" s="59"/>
      <c r="AI765" s="59"/>
    </row>
    <row r="766" spans="1:35" x14ac:dyDescent="0.15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  <c r="AE766" s="59"/>
      <c r="AF766" s="59"/>
      <c r="AG766" s="59"/>
      <c r="AH766" s="59"/>
      <c r="AI766" s="59"/>
    </row>
    <row r="767" spans="1:35" x14ac:dyDescent="0.15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  <c r="AE767" s="59"/>
      <c r="AF767" s="59"/>
      <c r="AG767" s="59"/>
      <c r="AH767" s="59"/>
      <c r="AI767" s="59"/>
    </row>
    <row r="768" spans="1:35" x14ac:dyDescent="0.15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  <c r="AE768" s="59"/>
      <c r="AF768" s="59"/>
      <c r="AG768" s="59"/>
      <c r="AH768" s="59"/>
      <c r="AI768" s="59"/>
    </row>
    <row r="769" spans="1:35" x14ac:dyDescent="0.15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  <c r="AE769" s="59"/>
      <c r="AF769" s="59"/>
      <c r="AG769" s="59"/>
      <c r="AH769" s="59"/>
      <c r="AI769" s="59"/>
    </row>
    <row r="770" spans="1:35" x14ac:dyDescent="0.15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  <c r="AE770" s="59"/>
      <c r="AF770" s="59"/>
      <c r="AG770" s="59"/>
      <c r="AH770" s="59"/>
      <c r="AI770" s="59"/>
    </row>
    <row r="771" spans="1:35" x14ac:dyDescent="0.15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  <c r="AE771" s="59"/>
      <c r="AF771" s="59"/>
      <c r="AG771" s="59"/>
      <c r="AH771" s="59"/>
      <c r="AI771" s="59"/>
    </row>
    <row r="772" spans="1:35" x14ac:dyDescent="0.15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  <c r="AE772" s="59"/>
      <c r="AF772" s="59"/>
      <c r="AG772" s="59"/>
      <c r="AH772" s="59"/>
      <c r="AI772" s="59"/>
    </row>
    <row r="773" spans="1:35" x14ac:dyDescent="0.15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  <c r="AE773" s="59"/>
      <c r="AF773" s="59"/>
      <c r="AG773" s="59"/>
      <c r="AH773" s="59"/>
      <c r="AI773" s="59"/>
    </row>
    <row r="774" spans="1:35" x14ac:dyDescent="0.15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  <c r="AE774" s="59"/>
      <c r="AF774" s="59"/>
      <c r="AG774" s="59"/>
      <c r="AH774" s="59"/>
      <c r="AI774" s="59"/>
    </row>
    <row r="775" spans="1:35" x14ac:dyDescent="0.1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  <c r="AE775" s="59"/>
      <c r="AF775" s="59"/>
      <c r="AG775" s="59"/>
      <c r="AH775" s="59"/>
      <c r="AI775" s="59"/>
    </row>
    <row r="776" spans="1:35" x14ac:dyDescent="0.15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  <c r="AE776" s="59"/>
      <c r="AF776" s="59"/>
      <c r="AG776" s="59"/>
      <c r="AH776" s="59"/>
      <c r="AI776" s="59"/>
    </row>
    <row r="777" spans="1:35" x14ac:dyDescent="0.15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  <c r="AE777" s="59"/>
      <c r="AF777" s="59"/>
      <c r="AG777" s="59"/>
      <c r="AH777" s="59"/>
      <c r="AI777" s="59"/>
    </row>
    <row r="778" spans="1:35" x14ac:dyDescent="0.15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  <c r="AE778" s="59"/>
      <c r="AF778" s="59"/>
      <c r="AG778" s="59"/>
      <c r="AH778" s="59"/>
      <c r="AI778" s="59"/>
    </row>
    <row r="779" spans="1:35" x14ac:dyDescent="0.15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/>
      <c r="AF779" s="59"/>
      <c r="AG779" s="59"/>
      <c r="AH779" s="59"/>
      <c r="AI779" s="59"/>
    </row>
    <row r="780" spans="1:35" x14ac:dyDescent="0.15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  <c r="AE780" s="59"/>
      <c r="AF780" s="59"/>
      <c r="AG780" s="59"/>
      <c r="AH780" s="59"/>
      <c r="AI780" s="59"/>
    </row>
    <row r="781" spans="1:35" x14ac:dyDescent="0.15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  <c r="AD781" s="59"/>
      <c r="AE781" s="59"/>
      <c r="AF781" s="59"/>
      <c r="AG781" s="59"/>
      <c r="AH781" s="59"/>
      <c r="AI781" s="59"/>
    </row>
    <row r="782" spans="1:35" x14ac:dyDescent="0.15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  <c r="AE782" s="59"/>
      <c r="AF782" s="59"/>
      <c r="AG782" s="59"/>
      <c r="AH782" s="59"/>
      <c r="AI782" s="59"/>
    </row>
    <row r="783" spans="1:35" x14ac:dyDescent="0.15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  <c r="AE783" s="59"/>
      <c r="AF783" s="59"/>
      <c r="AG783" s="59"/>
      <c r="AH783" s="59"/>
      <c r="AI783" s="59"/>
    </row>
    <row r="784" spans="1:35" x14ac:dyDescent="0.15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  <c r="AE784" s="59"/>
      <c r="AF784" s="59"/>
      <c r="AG784" s="59"/>
      <c r="AH784" s="59"/>
      <c r="AI784" s="59"/>
    </row>
    <row r="785" spans="1:35" x14ac:dyDescent="0.1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  <c r="AE785" s="59"/>
      <c r="AF785" s="59"/>
      <c r="AG785" s="59"/>
      <c r="AH785" s="59"/>
      <c r="AI785" s="59"/>
    </row>
    <row r="786" spans="1:35" x14ac:dyDescent="0.15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  <c r="AE786" s="59"/>
      <c r="AF786" s="59"/>
      <c r="AG786" s="59"/>
      <c r="AH786" s="59"/>
      <c r="AI786" s="59"/>
    </row>
    <row r="787" spans="1:35" x14ac:dyDescent="0.15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  <c r="AE787" s="59"/>
      <c r="AF787" s="59"/>
      <c r="AG787" s="59"/>
      <c r="AH787" s="59"/>
      <c r="AI787" s="59"/>
    </row>
    <row r="788" spans="1:35" x14ac:dyDescent="0.15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  <c r="AE788" s="59"/>
      <c r="AF788" s="59"/>
      <c r="AG788" s="59"/>
      <c r="AH788" s="59"/>
      <c r="AI788" s="59"/>
    </row>
    <row r="789" spans="1:35" x14ac:dyDescent="0.15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  <c r="AE789" s="59"/>
      <c r="AF789" s="59"/>
      <c r="AG789" s="59"/>
      <c r="AH789" s="59"/>
      <c r="AI789" s="59"/>
    </row>
    <row r="790" spans="1:35" x14ac:dyDescent="0.15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  <c r="AF790" s="59"/>
      <c r="AG790" s="59"/>
      <c r="AH790" s="59"/>
      <c r="AI790" s="59"/>
    </row>
    <row r="791" spans="1:35" x14ac:dyDescent="0.15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  <c r="AE791" s="59"/>
      <c r="AF791" s="59"/>
      <c r="AG791" s="59"/>
      <c r="AH791" s="59"/>
      <c r="AI791" s="59"/>
    </row>
    <row r="792" spans="1:35" x14ac:dyDescent="0.15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  <c r="AE792" s="59"/>
      <c r="AF792" s="59"/>
      <c r="AG792" s="59"/>
      <c r="AH792" s="59"/>
      <c r="AI792" s="59"/>
    </row>
    <row r="793" spans="1:35" x14ac:dyDescent="0.15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  <c r="AE793" s="59"/>
      <c r="AF793" s="59"/>
      <c r="AG793" s="59"/>
      <c r="AH793" s="59"/>
      <c r="AI793" s="59"/>
    </row>
    <row r="794" spans="1:35" x14ac:dyDescent="0.15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  <c r="AE794" s="59"/>
      <c r="AF794" s="59"/>
      <c r="AG794" s="59"/>
      <c r="AH794" s="59"/>
      <c r="AI794" s="59"/>
    </row>
    <row r="795" spans="1:35" x14ac:dyDescent="0.1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  <c r="AE795" s="59"/>
      <c r="AF795" s="59"/>
      <c r="AG795" s="59"/>
      <c r="AH795" s="59"/>
      <c r="AI795" s="59"/>
    </row>
    <row r="796" spans="1:35" x14ac:dyDescent="0.15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  <c r="AE796" s="59"/>
      <c r="AF796" s="59"/>
      <c r="AG796" s="59"/>
      <c r="AH796" s="59"/>
      <c r="AI796" s="59"/>
    </row>
    <row r="797" spans="1:35" x14ac:dyDescent="0.15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  <c r="AD797" s="59"/>
      <c r="AE797" s="59"/>
      <c r="AF797" s="59"/>
      <c r="AG797" s="59"/>
      <c r="AH797" s="59"/>
      <c r="AI797" s="59"/>
    </row>
    <row r="798" spans="1:35" x14ac:dyDescent="0.15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  <c r="AD798" s="59"/>
      <c r="AE798" s="59"/>
      <c r="AF798" s="59"/>
      <c r="AG798" s="59"/>
      <c r="AH798" s="59"/>
      <c r="AI798" s="59"/>
    </row>
    <row r="799" spans="1:35" x14ac:dyDescent="0.15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  <c r="AF799" s="59"/>
      <c r="AG799" s="59"/>
      <c r="AH799" s="59"/>
      <c r="AI799" s="59"/>
    </row>
    <row r="800" spans="1:35" x14ac:dyDescent="0.15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  <c r="AE800" s="59"/>
      <c r="AF800" s="59"/>
      <c r="AG800" s="59"/>
      <c r="AH800" s="59"/>
      <c r="AI800" s="59"/>
    </row>
    <row r="801" spans="1:35" x14ac:dyDescent="0.15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  <c r="AE801" s="59"/>
      <c r="AF801" s="59"/>
      <c r="AG801" s="59"/>
      <c r="AH801" s="59"/>
      <c r="AI801" s="59"/>
    </row>
    <row r="802" spans="1:35" x14ac:dyDescent="0.15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  <c r="AE802" s="59"/>
      <c r="AF802" s="59"/>
      <c r="AG802" s="59"/>
      <c r="AH802" s="59"/>
      <c r="AI802" s="59"/>
    </row>
    <row r="803" spans="1:35" x14ac:dyDescent="0.15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  <c r="AE803" s="59"/>
      <c r="AF803" s="59"/>
      <c r="AG803" s="59"/>
      <c r="AH803" s="59"/>
      <c r="AI803" s="59"/>
    </row>
    <row r="804" spans="1:35" x14ac:dyDescent="0.15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  <c r="AE804" s="59"/>
      <c r="AF804" s="59"/>
      <c r="AG804" s="59"/>
      <c r="AH804" s="59"/>
      <c r="AI804" s="59"/>
    </row>
    <row r="805" spans="1:35" x14ac:dyDescent="0.1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  <c r="AE805" s="59"/>
      <c r="AF805" s="59"/>
      <c r="AG805" s="59"/>
      <c r="AH805" s="59"/>
      <c r="AI805" s="59"/>
    </row>
    <row r="806" spans="1:35" x14ac:dyDescent="0.15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  <c r="AE806" s="59"/>
      <c r="AF806" s="59"/>
      <c r="AG806" s="59"/>
      <c r="AH806" s="59"/>
      <c r="AI806" s="59"/>
    </row>
    <row r="807" spans="1:35" x14ac:dyDescent="0.15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  <c r="AE807" s="59"/>
      <c r="AF807" s="59"/>
      <c r="AG807" s="59"/>
      <c r="AH807" s="59"/>
      <c r="AI807" s="59"/>
    </row>
    <row r="808" spans="1:35" x14ac:dyDescent="0.15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  <c r="AE808" s="59"/>
      <c r="AF808" s="59"/>
      <c r="AG808" s="59"/>
      <c r="AH808" s="59"/>
      <c r="AI808" s="59"/>
    </row>
    <row r="809" spans="1:35" x14ac:dyDescent="0.15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  <c r="AE809" s="59"/>
      <c r="AF809" s="59"/>
      <c r="AG809" s="59"/>
      <c r="AH809" s="59"/>
      <c r="AI809" s="59"/>
    </row>
    <row r="810" spans="1:35" x14ac:dyDescent="0.15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  <c r="AE810" s="59"/>
      <c r="AF810" s="59"/>
      <c r="AG810" s="59"/>
      <c r="AH810" s="59"/>
      <c r="AI810" s="59"/>
    </row>
    <row r="811" spans="1:35" x14ac:dyDescent="0.15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  <c r="AE811" s="59"/>
      <c r="AF811" s="59"/>
      <c r="AG811" s="59"/>
      <c r="AH811" s="59"/>
      <c r="AI811" s="59"/>
    </row>
    <row r="812" spans="1:35" x14ac:dyDescent="0.15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  <c r="AD812" s="59"/>
      <c r="AE812" s="59"/>
      <c r="AF812" s="59"/>
      <c r="AG812" s="59"/>
      <c r="AH812" s="59"/>
      <c r="AI812" s="59"/>
    </row>
    <row r="813" spans="1:35" x14ac:dyDescent="0.15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  <c r="AE813" s="59"/>
      <c r="AF813" s="59"/>
      <c r="AG813" s="59"/>
      <c r="AH813" s="59"/>
      <c r="AI813" s="59"/>
    </row>
    <row r="814" spans="1:35" x14ac:dyDescent="0.15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  <c r="AD814" s="59"/>
      <c r="AE814" s="59"/>
      <c r="AF814" s="59"/>
      <c r="AG814" s="59"/>
      <c r="AH814" s="59"/>
      <c r="AI814" s="59"/>
    </row>
    <row r="815" spans="1:35" x14ac:dyDescent="0.1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  <c r="AE815" s="59"/>
      <c r="AF815" s="59"/>
      <c r="AG815" s="59"/>
      <c r="AH815" s="59"/>
      <c r="AI815" s="59"/>
    </row>
    <row r="816" spans="1:35" x14ac:dyDescent="0.15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  <c r="AE816" s="59"/>
      <c r="AF816" s="59"/>
      <c r="AG816" s="59"/>
      <c r="AH816" s="59"/>
      <c r="AI816" s="59"/>
    </row>
    <row r="817" spans="1:35" x14ac:dyDescent="0.15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  <c r="AE817" s="59"/>
      <c r="AF817" s="59"/>
      <c r="AG817" s="59"/>
      <c r="AH817" s="59"/>
      <c r="AI817" s="59"/>
    </row>
    <row r="818" spans="1:35" x14ac:dyDescent="0.15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  <c r="AD818" s="59"/>
      <c r="AE818" s="59"/>
      <c r="AF818" s="59"/>
      <c r="AG818" s="59"/>
      <c r="AH818" s="59"/>
      <c r="AI818" s="59"/>
    </row>
    <row r="819" spans="1:35" x14ac:dyDescent="0.15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  <c r="AE819" s="59"/>
      <c r="AF819" s="59"/>
      <c r="AG819" s="59"/>
      <c r="AH819" s="59"/>
      <c r="AI819" s="59"/>
    </row>
    <row r="820" spans="1:35" x14ac:dyDescent="0.15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  <c r="AD820" s="59"/>
      <c r="AE820" s="59"/>
      <c r="AF820" s="59"/>
      <c r="AG820" s="59"/>
      <c r="AH820" s="59"/>
      <c r="AI820" s="59"/>
    </row>
    <row r="821" spans="1:35" x14ac:dyDescent="0.15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  <c r="AE821" s="59"/>
      <c r="AF821" s="59"/>
      <c r="AG821" s="59"/>
      <c r="AH821" s="59"/>
      <c r="AI821" s="59"/>
    </row>
    <row r="822" spans="1:35" x14ac:dyDescent="0.15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  <c r="AD822" s="59"/>
      <c r="AE822" s="59"/>
      <c r="AF822" s="59"/>
      <c r="AG822" s="59"/>
      <c r="AH822" s="59"/>
      <c r="AI822" s="59"/>
    </row>
    <row r="823" spans="1:35" x14ac:dyDescent="0.15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  <c r="AE823" s="59"/>
      <c r="AF823" s="59"/>
      <c r="AG823" s="59"/>
      <c r="AH823" s="59"/>
      <c r="AI823" s="59"/>
    </row>
    <row r="824" spans="1:35" x14ac:dyDescent="0.15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  <c r="AE824" s="59"/>
      <c r="AF824" s="59"/>
      <c r="AG824" s="59"/>
      <c r="AH824" s="59"/>
      <c r="AI824" s="59"/>
    </row>
    <row r="825" spans="1:35" x14ac:dyDescent="0.1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  <c r="AE825" s="59"/>
      <c r="AF825" s="59"/>
      <c r="AG825" s="59"/>
      <c r="AH825" s="59"/>
      <c r="AI825" s="59"/>
    </row>
    <row r="826" spans="1:35" x14ac:dyDescent="0.15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  <c r="AE826" s="59"/>
      <c r="AF826" s="59"/>
      <c r="AG826" s="59"/>
      <c r="AH826" s="59"/>
      <c r="AI826" s="59"/>
    </row>
    <row r="827" spans="1:35" x14ac:dyDescent="0.15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  <c r="AE827" s="59"/>
      <c r="AF827" s="59"/>
      <c r="AG827" s="59"/>
      <c r="AH827" s="59"/>
      <c r="AI827" s="59"/>
    </row>
    <row r="828" spans="1:35" x14ac:dyDescent="0.15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  <c r="AE828" s="59"/>
      <c r="AF828" s="59"/>
      <c r="AG828" s="59"/>
      <c r="AH828" s="59"/>
      <c r="AI828" s="59"/>
    </row>
    <row r="829" spans="1:35" x14ac:dyDescent="0.15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  <c r="AE829" s="59"/>
      <c r="AF829" s="59"/>
      <c r="AG829" s="59"/>
      <c r="AH829" s="59"/>
      <c r="AI829" s="59"/>
    </row>
    <row r="830" spans="1:35" x14ac:dyDescent="0.15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  <c r="AE830" s="59"/>
      <c r="AF830" s="59"/>
      <c r="AG830" s="59"/>
      <c r="AH830" s="59"/>
      <c r="AI830" s="59"/>
    </row>
    <row r="831" spans="1:35" x14ac:dyDescent="0.15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  <c r="AD831" s="59"/>
      <c r="AE831" s="59"/>
      <c r="AF831" s="59"/>
      <c r="AG831" s="59"/>
      <c r="AH831" s="59"/>
      <c r="AI831" s="59"/>
    </row>
    <row r="832" spans="1:35" x14ac:dyDescent="0.15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  <c r="AE832" s="59"/>
      <c r="AF832" s="59"/>
      <c r="AG832" s="59"/>
      <c r="AH832" s="59"/>
      <c r="AI832" s="59"/>
    </row>
    <row r="833" spans="1:35" x14ac:dyDescent="0.15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  <c r="AD833" s="59"/>
      <c r="AE833" s="59"/>
      <c r="AF833" s="59"/>
      <c r="AG833" s="59"/>
      <c r="AH833" s="59"/>
      <c r="AI833" s="59"/>
    </row>
    <row r="834" spans="1:35" x14ac:dyDescent="0.15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  <c r="AD834" s="59"/>
      <c r="AE834" s="59"/>
      <c r="AF834" s="59"/>
      <c r="AG834" s="59"/>
      <c r="AH834" s="59"/>
      <c r="AI834" s="59"/>
    </row>
    <row r="835" spans="1:35" x14ac:dyDescent="0.1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  <c r="AD835" s="59"/>
      <c r="AE835" s="59"/>
      <c r="AF835" s="59"/>
      <c r="AG835" s="59"/>
      <c r="AH835" s="59"/>
      <c r="AI835" s="59"/>
    </row>
    <row r="836" spans="1:35" x14ac:dyDescent="0.15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  <c r="AE836" s="59"/>
      <c r="AF836" s="59"/>
      <c r="AG836" s="59"/>
      <c r="AH836" s="59"/>
      <c r="AI836" s="59"/>
    </row>
    <row r="837" spans="1:35" x14ac:dyDescent="0.15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  <c r="AE837" s="59"/>
      <c r="AF837" s="59"/>
      <c r="AG837" s="59"/>
      <c r="AH837" s="59"/>
      <c r="AI837" s="59"/>
    </row>
    <row r="838" spans="1:35" x14ac:dyDescent="0.15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  <c r="AE838" s="59"/>
      <c r="AF838" s="59"/>
      <c r="AG838" s="59"/>
      <c r="AH838" s="59"/>
      <c r="AI838" s="59"/>
    </row>
    <row r="839" spans="1:35" x14ac:dyDescent="0.15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  <c r="AE839" s="59"/>
      <c r="AF839" s="59"/>
      <c r="AG839" s="59"/>
      <c r="AH839" s="59"/>
      <c r="AI839" s="59"/>
    </row>
    <row r="840" spans="1:35" x14ac:dyDescent="0.15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  <c r="AE840" s="59"/>
      <c r="AF840" s="59"/>
      <c r="AG840" s="59"/>
      <c r="AH840" s="59"/>
      <c r="AI840" s="59"/>
    </row>
    <row r="841" spans="1:35" x14ac:dyDescent="0.15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  <c r="AE841" s="59"/>
      <c r="AF841" s="59"/>
      <c r="AG841" s="59"/>
      <c r="AH841" s="59"/>
      <c r="AI841" s="59"/>
    </row>
    <row r="842" spans="1:35" x14ac:dyDescent="0.15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  <c r="AD842" s="59"/>
      <c r="AE842" s="59"/>
      <c r="AF842" s="59"/>
      <c r="AG842" s="59"/>
      <c r="AH842" s="59"/>
      <c r="AI842" s="59"/>
    </row>
    <row r="843" spans="1:35" x14ac:dyDescent="0.15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  <c r="AE843" s="59"/>
      <c r="AF843" s="59"/>
      <c r="AG843" s="59"/>
      <c r="AH843" s="59"/>
      <c r="AI843" s="59"/>
    </row>
    <row r="844" spans="1:35" x14ac:dyDescent="0.15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  <c r="AE844" s="59"/>
      <c r="AF844" s="59"/>
      <c r="AG844" s="59"/>
      <c r="AH844" s="59"/>
      <c r="AI844" s="59"/>
    </row>
    <row r="845" spans="1:35" x14ac:dyDescent="0.1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  <c r="AE845" s="59"/>
      <c r="AF845" s="59"/>
      <c r="AG845" s="59"/>
      <c r="AH845" s="59"/>
      <c r="AI845" s="59"/>
    </row>
    <row r="846" spans="1:35" x14ac:dyDescent="0.15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  <c r="AE846" s="59"/>
      <c r="AF846" s="59"/>
      <c r="AG846" s="59"/>
      <c r="AH846" s="59"/>
      <c r="AI846" s="59"/>
    </row>
    <row r="847" spans="1:35" x14ac:dyDescent="0.15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  <c r="AD847" s="59"/>
      <c r="AE847" s="59"/>
      <c r="AF847" s="59"/>
      <c r="AG847" s="59"/>
      <c r="AH847" s="59"/>
      <c r="AI847" s="59"/>
    </row>
    <row r="848" spans="1:35" x14ac:dyDescent="0.15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  <c r="AD848" s="59"/>
      <c r="AE848" s="59"/>
      <c r="AF848" s="59"/>
      <c r="AG848" s="59"/>
      <c r="AH848" s="59"/>
      <c r="AI848" s="59"/>
    </row>
    <row r="849" spans="1:35" x14ac:dyDescent="0.15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  <c r="AD849" s="59"/>
      <c r="AE849" s="59"/>
      <c r="AF849" s="59"/>
      <c r="AG849" s="59"/>
      <c r="AH849" s="59"/>
      <c r="AI849" s="59"/>
    </row>
    <row r="850" spans="1:35" x14ac:dyDescent="0.15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  <c r="AD850" s="59"/>
      <c r="AE850" s="59"/>
      <c r="AF850" s="59"/>
      <c r="AG850" s="59"/>
      <c r="AH850" s="59"/>
      <c r="AI850" s="59"/>
    </row>
    <row r="851" spans="1:35" x14ac:dyDescent="0.15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  <c r="AD851" s="59"/>
      <c r="AE851" s="59"/>
      <c r="AF851" s="59"/>
      <c r="AG851" s="59"/>
      <c r="AH851" s="59"/>
      <c r="AI851" s="59"/>
    </row>
    <row r="852" spans="1:35" x14ac:dyDescent="0.15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  <c r="AD852" s="59"/>
      <c r="AE852" s="59"/>
      <c r="AF852" s="59"/>
      <c r="AG852" s="59"/>
      <c r="AH852" s="59"/>
      <c r="AI852" s="59"/>
    </row>
    <row r="853" spans="1:35" x14ac:dyDescent="0.15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  <c r="AD853" s="59"/>
      <c r="AE853" s="59"/>
      <c r="AF853" s="59"/>
      <c r="AG853" s="59"/>
      <c r="AH853" s="59"/>
      <c r="AI853" s="59"/>
    </row>
    <row r="854" spans="1:35" x14ac:dyDescent="0.15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  <c r="AD854" s="59"/>
      <c r="AE854" s="59"/>
      <c r="AF854" s="59"/>
      <c r="AG854" s="59"/>
      <c r="AH854" s="59"/>
      <c r="AI854" s="59"/>
    </row>
    <row r="855" spans="1:35" x14ac:dyDescent="0.1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  <c r="AD855" s="59"/>
      <c r="AE855" s="59"/>
      <c r="AF855" s="59"/>
      <c r="AG855" s="59"/>
      <c r="AH855" s="59"/>
      <c r="AI855" s="59"/>
    </row>
    <row r="856" spans="1:35" x14ac:dyDescent="0.15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  <c r="AD856" s="59"/>
      <c r="AE856" s="59"/>
      <c r="AF856" s="59"/>
      <c r="AG856" s="59"/>
      <c r="AH856" s="59"/>
      <c r="AI856" s="59"/>
    </row>
    <row r="857" spans="1:35" x14ac:dyDescent="0.15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  <c r="AE857" s="59"/>
      <c r="AF857" s="59"/>
      <c r="AG857" s="59"/>
      <c r="AH857" s="59"/>
      <c r="AI857" s="59"/>
    </row>
    <row r="858" spans="1:35" x14ac:dyDescent="0.15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  <c r="AD858" s="59"/>
      <c r="AE858" s="59"/>
      <c r="AF858" s="59"/>
      <c r="AG858" s="59"/>
      <c r="AH858" s="59"/>
      <c r="AI858" s="59"/>
    </row>
    <row r="859" spans="1:35" x14ac:dyDescent="0.15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  <c r="AD859" s="59"/>
      <c r="AE859" s="59"/>
      <c r="AF859" s="59"/>
      <c r="AG859" s="59"/>
      <c r="AH859" s="59"/>
      <c r="AI859" s="59"/>
    </row>
    <row r="860" spans="1:35" x14ac:dyDescent="0.15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  <c r="AD860" s="59"/>
      <c r="AE860" s="59"/>
      <c r="AF860" s="59"/>
      <c r="AG860" s="59"/>
      <c r="AH860" s="59"/>
      <c r="AI860" s="59"/>
    </row>
    <row r="861" spans="1:35" x14ac:dyDescent="0.15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  <c r="AD861" s="59"/>
      <c r="AE861" s="59"/>
      <c r="AF861" s="59"/>
      <c r="AG861" s="59"/>
      <c r="AH861" s="59"/>
      <c r="AI861" s="59"/>
    </row>
    <row r="862" spans="1:35" x14ac:dyDescent="0.15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  <c r="AE862" s="59"/>
      <c r="AF862" s="59"/>
      <c r="AG862" s="59"/>
      <c r="AH862" s="59"/>
      <c r="AI862" s="59"/>
    </row>
    <row r="863" spans="1:35" x14ac:dyDescent="0.15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  <c r="AD863" s="59"/>
      <c r="AE863" s="59"/>
      <c r="AF863" s="59"/>
      <c r="AG863" s="59"/>
      <c r="AH863" s="59"/>
      <c r="AI863" s="59"/>
    </row>
    <row r="864" spans="1:35" x14ac:dyDescent="0.15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  <c r="AD864" s="59"/>
      <c r="AE864" s="59"/>
      <c r="AF864" s="59"/>
      <c r="AG864" s="59"/>
      <c r="AH864" s="59"/>
      <c r="AI864" s="59"/>
    </row>
    <row r="865" spans="1:35" x14ac:dyDescent="0.1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  <c r="AE865" s="59"/>
      <c r="AF865" s="59"/>
      <c r="AG865" s="59"/>
      <c r="AH865" s="59"/>
      <c r="AI865" s="59"/>
    </row>
    <row r="866" spans="1:35" x14ac:dyDescent="0.15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  <c r="AD866" s="59"/>
      <c r="AE866" s="59"/>
      <c r="AF866" s="59"/>
      <c r="AG866" s="59"/>
      <c r="AH866" s="59"/>
      <c r="AI866" s="59"/>
    </row>
    <row r="867" spans="1:35" x14ac:dyDescent="0.15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  <c r="AE867" s="59"/>
      <c r="AF867" s="59"/>
      <c r="AG867" s="59"/>
      <c r="AH867" s="59"/>
      <c r="AI867" s="59"/>
    </row>
    <row r="868" spans="1:35" x14ac:dyDescent="0.15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  <c r="AE868" s="59"/>
      <c r="AF868" s="59"/>
      <c r="AG868" s="59"/>
      <c r="AH868" s="59"/>
      <c r="AI868" s="59"/>
    </row>
    <row r="869" spans="1:35" x14ac:dyDescent="0.15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  <c r="AD869" s="59"/>
      <c r="AE869" s="59"/>
      <c r="AF869" s="59"/>
      <c r="AG869" s="59"/>
      <c r="AH869" s="59"/>
      <c r="AI869" s="59"/>
    </row>
    <row r="870" spans="1:35" x14ac:dyDescent="0.15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  <c r="AF870" s="59"/>
      <c r="AG870" s="59"/>
      <c r="AH870" s="59"/>
      <c r="AI870" s="59"/>
    </row>
    <row r="871" spans="1:35" x14ac:dyDescent="0.15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  <c r="AD871" s="59"/>
      <c r="AE871" s="59"/>
      <c r="AF871" s="59"/>
      <c r="AG871" s="59"/>
      <c r="AH871" s="59"/>
      <c r="AI871" s="59"/>
    </row>
    <row r="872" spans="1:35" x14ac:dyDescent="0.15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  <c r="AD872" s="59"/>
      <c r="AE872" s="59"/>
      <c r="AF872" s="59"/>
      <c r="AG872" s="59"/>
      <c r="AH872" s="59"/>
      <c r="AI872" s="59"/>
    </row>
    <row r="873" spans="1:35" x14ac:dyDescent="0.15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  <c r="AE873" s="59"/>
      <c r="AF873" s="59"/>
      <c r="AG873" s="59"/>
      <c r="AH873" s="59"/>
      <c r="AI873" s="59"/>
    </row>
    <row r="874" spans="1:35" x14ac:dyDescent="0.15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  <c r="AE874" s="59"/>
      <c r="AF874" s="59"/>
      <c r="AG874" s="59"/>
      <c r="AH874" s="59"/>
      <c r="AI874" s="59"/>
    </row>
    <row r="875" spans="1:35" x14ac:dyDescent="0.1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  <c r="AE875" s="59"/>
      <c r="AF875" s="59"/>
      <c r="AG875" s="59"/>
      <c r="AH875" s="59"/>
      <c r="AI875" s="59"/>
    </row>
    <row r="876" spans="1:35" x14ac:dyDescent="0.15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  <c r="AE876" s="59"/>
      <c r="AF876" s="59"/>
      <c r="AG876" s="59"/>
      <c r="AH876" s="59"/>
      <c r="AI876" s="59"/>
    </row>
    <row r="877" spans="1:35" x14ac:dyDescent="0.15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  <c r="AE877" s="59"/>
      <c r="AF877" s="59"/>
      <c r="AG877" s="59"/>
      <c r="AH877" s="59"/>
      <c r="AI877" s="59"/>
    </row>
    <row r="878" spans="1:35" x14ac:dyDescent="0.15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  <c r="AE878" s="59"/>
      <c r="AF878" s="59"/>
      <c r="AG878" s="59"/>
      <c r="AH878" s="59"/>
      <c r="AI878" s="59"/>
    </row>
    <row r="879" spans="1:35" x14ac:dyDescent="0.15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  <c r="AD879" s="59"/>
      <c r="AE879" s="59"/>
      <c r="AF879" s="59"/>
      <c r="AG879" s="59"/>
      <c r="AH879" s="59"/>
      <c r="AI879" s="59"/>
    </row>
    <row r="880" spans="1:35" x14ac:dyDescent="0.15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  <c r="AE880" s="59"/>
      <c r="AF880" s="59"/>
      <c r="AG880" s="59"/>
      <c r="AH880" s="59"/>
      <c r="AI880" s="59"/>
    </row>
    <row r="881" spans="1:35" x14ac:dyDescent="0.15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  <c r="AD881" s="59"/>
      <c r="AE881" s="59"/>
      <c r="AF881" s="59"/>
      <c r="AG881" s="59"/>
      <c r="AH881" s="59"/>
      <c r="AI881" s="59"/>
    </row>
    <row r="882" spans="1:35" x14ac:dyDescent="0.15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  <c r="AD882" s="59"/>
      <c r="AE882" s="59"/>
      <c r="AF882" s="59"/>
      <c r="AG882" s="59"/>
      <c r="AH882" s="59"/>
      <c r="AI882" s="59"/>
    </row>
    <row r="883" spans="1:35" x14ac:dyDescent="0.15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  <c r="AE883" s="59"/>
      <c r="AF883" s="59"/>
      <c r="AG883" s="59"/>
      <c r="AH883" s="59"/>
      <c r="AI883" s="59"/>
    </row>
    <row r="884" spans="1:35" x14ac:dyDescent="0.15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  <c r="AE884" s="59"/>
      <c r="AF884" s="59"/>
      <c r="AG884" s="59"/>
      <c r="AH884" s="59"/>
      <c r="AI884" s="59"/>
    </row>
    <row r="885" spans="1:35" x14ac:dyDescent="0.1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  <c r="AE885" s="59"/>
      <c r="AF885" s="59"/>
      <c r="AG885" s="59"/>
      <c r="AH885" s="59"/>
      <c r="AI885" s="59"/>
    </row>
    <row r="886" spans="1:35" x14ac:dyDescent="0.15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  <c r="AE886" s="59"/>
      <c r="AF886" s="59"/>
      <c r="AG886" s="59"/>
      <c r="AH886" s="59"/>
      <c r="AI886" s="59"/>
    </row>
    <row r="887" spans="1:35" x14ac:dyDescent="0.15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  <c r="AF887" s="59"/>
      <c r="AG887" s="59"/>
      <c r="AH887" s="59"/>
      <c r="AI887" s="59"/>
    </row>
    <row r="888" spans="1:35" x14ac:dyDescent="0.15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  <c r="AE888" s="59"/>
      <c r="AF888" s="59"/>
      <c r="AG888" s="59"/>
      <c r="AH888" s="59"/>
      <c r="AI888" s="59"/>
    </row>
    <row r="889" spans="1:35" x14ac:dyDescent="0.15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  <c r="AE889" s="59"/>
      <c r="AF889" s="59"/>
      <c r="AG889" s="59"/>
      <c r="AH889" s="59"/>
      <c r="AI889" s="59"/>
    </row>
    <row r="890" spans="1:35" x14ac:dyDescent="0.15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  <c r="AD890" s="59"/>
      <c r="AE890" s="59"/>
      <c r="AF890" s="59"/>
      <c r="AG890" s="59"/>
      <c r="AH890" s="59"/>
      <c r="AI890" s="59"/>
    </row>
    <row r="891" spans="1:35" x14ac:dyDescent="0.15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  <c r="AE891" s="59"/>
      <c r="AF891" s="59"/>
      <c r="AG891" s="59"/>
      <c r="AH891" s="59"/>
      <c r="AI891" s="59"/>
    </row>
    <row r="892" spans="1:35" x14ac:dyDescent="0.15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  <c r="AE892" s="59"/>
      <c r="AF892" s="59"/>
      <c r="AG892" s="59"/>
      <c r="AH892" s="59"/>
      <c r="AI892" s="59"/>
    </row>
    <row r="893" spans="1:35" x14ac:dyDescent="0.15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  <c r="AE893" s="59"/>
      <c r="AF893" s="59"/>
      <c r="AG893" s="59"/>
      <c r="AH893" s="59"/>
      <c r="AI893" s="59"/>
    </row>
    <row r="894" spans="1:35" x14ac:dyDescent="0.15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  <c r="AE894" s="59"/>
      <c r="AF894" s="59"/>
      <c r="AG894" s="59"/>
      <c r="AH894" s="59"/>
      <c r="AI894" s="59"/>
    </row>
    <row r="895" spans="1:35" x14ac:dyDescent="0.1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  <c r="AE895" s="59"/>
      <c r="AF895" s="59"/>
      <c r="AG895" s="59"/>
      <c r="AH895" s="59"/>
      <c r="AI895" s="59"/>
    </row>
    <row r="896" spans="1:35" x14ac:dyDescent="0.15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  <c r="AE896" s="59"/>
      <c r="AF896" s="59"/>
      <c r="AG896" s="59"/>
      <c r="AH896" s="59"/>
      <c r="AI896" s="59"/>
    </row>
    <row r="897" spans="1:35" x14ac:dyDescent="0.15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  <c r="AF897" s="59"/>
      <c r="AG897" s="59"/>
      <c r="AH897" s="59"/>
      <c r="AI897" s="59"/>
    </row>
    <row r="898" spans="1:35" x14ac:dyDescent="0.15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  <c r="AE898" s="59"/>
      <c r="AF898" s="59"/>
      <c r="AG898" s="59"/>
      <c r="AH898" s="59"/>
      <c r="AI898" s="59"/>
    </row>
    <row r="899" spans="1:35" x14ac:dyDescent="0.15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  <c r="AE899" s="59"/>
      <c r="AF899" s="59"/>
      <c r="AG899" s="59"/>
      <c r="AH899" s="59"/>
      <c r="AI899" s="59"/>
    </row>
    <row r="900" spans="1:35" x14ac:dyDescent="0.15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  <c r="AF900" s="59"/>
      <c r="AG900" s="59"/>
      <c r="AH900" s="59"/>
      <c r="AI900" s="59"/>
    </row>
    <row r="901" spans="1:35" x14ac:dyDescent="0.15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  <c r="AD901" s="59"/>
      <c r="AE901" s="59"/>
      <c r="AF901" s="59"/>
      <c r="AG901" s="59"/>
      <c r="AH901" s="59"/>
      <c r="AI901" s="59"/>
    </row>
    <row r="902" spans="1:35" x14ac:dyDescent="0.15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  <c r="AD902" s="59"/>
      <c r="AE902" s="59"/>
      <c r="AF902" s="59"/>
      <c r="AG902" s="59"/>
      <c r="AH902" s="59"/>
      <c r="AI902" s="59"/>
    </row>
    <row r="903" spans="1:35" x14ac:dyDescent="0.15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  <c r="AD903" s="59"/>
      <c r="AE903" s="59"/>
      <c r="AF903" s="59"/>
      <c r="AG903" s="59"/>
      <c r="AH903" s="59"/>
      <c r="AI903" s="59"/>
    </row>
    <row r="904" spans="1:35" x14ac:dyDescent="0.15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  <c r="AD904" s="59"/>
      <c r="AE904" s="59"/>
      <c r="AF904" s="59"/>
      <c r="AG904" s="59"/>
      <c r="AH904" s="59"/>
      <c r="AI904" s="59"/>
    </row>
    <row r="905" spans="1:35" x14ac:dyDescent="0.1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  <c r="AE905" s="59"/>
      <c r="AF905" s="59"/>
      <c r="AG905" s="59"/>
      <c r="AH905" s="59"/>
      <c r="AI905" s="59"/>
    </row>
    <row r="906" spans="1:35" x14ac:dyDescent="0.15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  <c r="AE906" s="59"/>
      <c r="AF906" s="59"/>
      <c r="AG906" s="59"/>
      <c r="AH906" s="59"/>
      <c r="AI906" s="59"/>
    </row>
    <row r="907" spans="1:35" x14ac:dyDescent="0.15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  <c r="AE907" s="59"/>
      <c r="AF907" s="59"/>
      <c r="AG907" s="59"/>
      <c r="AH907" s="59"/>
      <c r="AI907" s="59"/>
    </row>
    <row r="908" spans="1:35" x14ac:dyDescent="0.15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  <c r="AE908" s="59"/>
      <c r="AF908" s="59"/>
      <c r="AG908" s="59"/>
      <c r="AH908" s="59"/>
      <c r="AI908" s="59"/>
    </row>
    <row r="909" spans="1:35" x14ac:dyDescent="0.15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  <c r="AE909" s="59"/>
      <c r="AF909" s="59"/>
      <c r="AG909" s="59"/>
      <c r="AH909" s="59"/>
      <c r="AI909" s="59"/>
    </row>
    <row r="910" spans="1:35" x14ac:dyDescent="0.15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  <c r="AE910" s="59"/>
      <c r="AF910" s="59"/>
      <c r="AG910" s="59"/>
      <c r="AH910" s="59"/>
      <c r="AI910" s="59"/>
    </row>
    <row r="911" spans="1:35" x14ac:dyDescent="0.15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  <c r="AE911" s="59"/>
      <c r="AF911" s="59"/>
      <c r="AG911" s="59"/>
      <c r="AH911" s="59"/>
      <c r="AI911" s="59"/>
    </row>
    <row r="912" spans="1:35" x14ac:dyDescent="0.15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  <c r="AE912" s="59"/>
      <c r="AF912" s="59"/>
      <c r="AG912" s="59"/>
      <c r="AH912" s="59"/>
      <c r="AI912" s="59"/>
    </row>
    <row r="913" spans="1:35" x14ac:dyDescent="0.15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  <c r="AE913" s="59"/>
      <c r="AF913" s="59"/>
      <c r="AG913" s="59"/>
      <c r="AH913" s="59"/>
      <c r="AI913" s="59"/>
    </row>
    <row r="914" spans="1:35" x14ac:dyDescent="0.15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  <c r="AE914" s="59"/>
      <c r="AF914" s="59"/>
      <c r="AG914" s="59"/>
      <c r="AH914" s="59"/>
      <c r="AI914" s="59"/>
    </row>
    <row r="915" spans="1:35" x14ac:dyDescent="0.1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  <c r="AE915" s="59"/>
      <c r="AF915" s="59"/>
      <c r="AG915" s="59"/>
      <c r="AH915" s="59"/>
      <c r="AI915" s="59"/>
    </row>
    <row r="916" spans="1:35" x14ac:dyDescent="0.15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  <c r="AE916" s="59"/>
      <c r="AF916" s="59"/>
      <c r="AG916" s="59"/>
      <c r="AH916" s="59"/>
      <c r="AI916" s="59"/>
    </row>
    <row r="917" spans="1:35" x14ac:dyDescent="0.15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  <c r="AE917" s="59"/>
      <c r="AF917" s="59"/>
      <c r="AG917" s="59"/>
      <c r="AH917" s="59"/>
      <c r="AI917" s="59"/>
    </row>
    <row r="918" spans="1:35" x14ac:dyDescent="0.15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  <c r="AE918" s="59"/>
      <c r="AF918" s="59"/>
      <c r="AG918" s="59"/>
      <c r="AH918" s="59"/>
      <c r="AI918" s="59"/>
    </row>
    <row r="919" spans="1:35" x14ac:dyDescent="0.15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  <c r="AE919" s="59"/>
      <c r="AF919" s="59"/>
      <c r="AG919" s="59"/>
      <c r="AH919" s="59"/>
      <c r="AI919" s="59"/>
    </row>
    <row r="920" spans="1:35" x14ac:dyDescent="0.15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  <c r="AE920" s="59"/>
      <c r="AF920" s="59"/>
      <c r="AG920" s="59"/>
      <c r="AH920" s="59"/>
      <c r="AI920" s="59"/>
    </row>
    <row r="921" spans="1:35" x14ac:dyDescent="0.15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  <c r="AF921" s="59"/>
      <c r="AG921" s="59"/>
      <c r="AH921" s="59"/>
      <c r="AI921" s="59"/>
    </row>
    <row r="922" spans="1:35" x14ac:dyDescent="0.15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  <c r="AE922" s="59"/>
      <c r="AF922" s="59"/>
      <c r="AG922" s="59"/>
      <c r="AH922" s="59"/>
      <c r="AI922" s="59"/>
    </row>
    <row r="923" spans="1:35" x14ac:dyDescent="0.15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  <c r="AE923" s="59"/>
      <c r="AF923" s="59"/>
      <c r="AG923" s="59"/>
      <c r="AH923" s="59"/>
      <c r="AI923" s="59"/>
    </row>
    <row r="924" spans="1:35" x14ac:dyDescent="0.15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  <c r="AE924" s="59"/>
      <c r="AF924" s="59"/>
      <c r="AG924" s="59"/>
      <c r="AH924" s="59"/>
      <c r="AI924" s="59"/>
    </row>
    <row r="925" spans="1:35" x14ac:dyDescent="0.1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  <c r="AD925" s="59"/>
      <c r="AE925" s="59"/>
      <c r="AF925" s="59"/>
      <c r="AG925" s="59"/>
      <c r="AH925" s="59"/>
      <c r="AI925" s="59"/>
    </row>
    <row r="926" spans="1:35" x14ac:dyDescent="0.15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  <c r="AD926" s="59"/>
      <c r="AE926" s="59"/>
      <c r="AF926" s="59"/>
      <c r="AG926" s="59"/>
      <c r="AH926" s="59"/>
      <c r="AI926" s="59"/>
    </row>
    <row r="927" spans="1:35" x14ac:dyDescent="0.15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  <c r="AE927" s="59"/>
      <c r="AF927" s="59"/>
      <c r="AG927" s="59"/>
      <c r="AH927" s="59"/>
      <c r="AI927" s="59"/>
    </row>
    <row r="928" spans="1:35" x14ac:dyDescent="0.15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  <c r="AE928" s="59"/>
      <c r="AF928" s="59"/>
      <c r="AG928" s="59"/>
      <c r="AH928" s="59"/>
      <c r="AI928" s="59"/>
    </row>
    <row r="929" spans="1:35" x14ac:dyDescent="0.15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  <c r="AD929" s="59"/>
      <c r="AE929" s="59"/>
      <c r="AF929" s="59"/>
      <c r="AG929" s="59"/>
      <c r="AH929" s="59"/>
      <c r="AI929" s="59"/>
    </row>
    <row r="930" spans="1:35" x14ac:dyDescent="0.15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  <c r="AD930" s="59"/>
      <c r="AE930" s="59"/>
      <c r="AF930" s="59"/>
      <c r="AG930" s="59"/>
      <c r="AH930" s="59"/>
      <c r="AI930" s="59"/>
    </row>
    <row r="931" spans="1:35" x14ac:dyDescent="0.15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  <c r="AD931" s="59"/>
      <c r="AE931" s="59"/>
      <c r="AF931" s="59"/>
      <c r="AG931" s="59"/>
      <c r="AH931" s="59"/>
      <c r="AI931" s="59"/>
    </row>
    <row r="932" spans="1:35" x14ac:dyDescent="0.15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  <c r="AD932" s="59"/>
      <c r="AE932" s="59"/>
      <c r="AF932" s="59"/>
      <c r="AG932" s="59"/>
      <c r="AH932" s="59"/>
      <c r="AI932" s="59"/>
    </row>
    <row r="933" spans="1:35" x14ac:dyDescent="0.15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  <c r="AE933" s="59"/>
      <c r="AF933" s="59"/>
      <c r="AG933" s="59"/>
      <c r="AH933" s="59"/>
      <c r="AI933" s="59"/>
    </row>
    <row r="934" spans="1:35" x14ac:dyDescent="0.15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  <c r="AE934" s="59"/>
      <c r="AF934" s="59"/>
      <c r="AG934" s="59"/>
      <c r="AH934" s="59"/>
      <c r="AI934" s="59"/>
    </row>
    <row r="935" spans="1:35" x14ac:dyDescent="0.1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  <c r="AE935" s="59"/>
      <c r="AF935" s="59"/>
      <c r="AG935" s="59"/>
      <c r="AH935" s="59"/>
      <c r="AI935" s="59"/>
    </row>
    <row r="936" spans="1:35" x14ac:dyDescent="0.15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  <c r="AD936" s="59"/>
      <c r="AE936" s="59"/>
      <c r="AF936" s="59"/>
      <c r="AG936" s="59"/>
      <c r="AH936" s="59"/>
      <c r="AI936" s="59"/>
    </row>
    <row r="937" spans="1:35" x14ac:dyDescent="0.15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  <c r="AD937" s="59"/>
      <c r="AE937" s="59"/>
      <c r="AF937" s="59"/>
      <c r="AG937" s="59"/>
      <c r="AH937" s="59"/>
      <c r="AI937" s="59"/>
    </row>
    <row r="938" spans="1:35" x14ac:dyDescent="0.15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  <c r="AD938" s="59"/>
      <c r="AE938" s="59"/>
      <c r="AF938" s="59"/>
      <c r="AG938" s="59"/>
      <c r="AH938" s="59"/>
      <c r="AI938" s="59"/>
    </row>
    <row r="939" spans="1:35" x14ac:dyDescent="0.15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  <c r="AD939" s="59"/>
      <c r="AE939" s="59"/>
      <c r="AF939" s="59"/>
      <c r="AG939" s="59"/>
      <c r="AH939" s="59"/>
      <c r="AI939" s="59"/>
    </row>
    <row r="940" spans="1:35" x14ac:dyDescent="0.15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  <c r="AD940" s="59"/>
      <c r="AE940" s="59"/>
      <c r="AF940" s="59"/>
      <c r="AG940" s="59"/>
      <c r="AH940" s="59"/>
      <c r="AI940" s="59"/>
    </row>
    <row r="941" spans="1:35" x14ac:dyDescent="0.15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  <c r="AD941" s="59"/>
      <c r="AE941" s="59"/>
      <c r="AF941" s="59"/>
      <c r="AG941" s="59"/>
      <c r="AH941" s="59"/>
      <c r="AI941" s="59"/>
    </row>
    <row r="942" spans="1:35" x14ac:dyDescent="0.15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  <c r="AD942" s="59"/>
      <c r="AE942" s="59"/>
      <c r="AF942" s="59"/>
      <c r="AG942" s="59"/>
      <c r="AH942" s="59"/>
      <c r="AI942" s="59"/>
    </row>
    <row r="943" spans="1:35" x14ac:dyDescent="0.15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  <c r="AD943" s="59"/>
      <c r="AE943" s="59"/>
      <c r="AF943" s="59"/>
      <c r="AG943" s="59"/>
      <c r="AH943" s="59"/>
      <c r="AI943" s="59"/>
    </row>
    <row r="944" spans="1:35" x14ac:dyDescent="0.15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  <c r="AD944" s="59"/>
      <c r="AE944" s="59"/>
      <c r="AF944" s="59"/>
      <c r="AG944" s="59"/>
      <c r="AH944" s="59"/>
      <c r="AI944" s="59"/>
    </row>
    <row r="945" spans="1:35" x14ac:dyDescent="0.1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  <c r="AD945" s="59"/>
      <c r="AE945" s="59"/>
      <c r="AF945" s="59"/>
      <c r="AG945" s="59"/>
      <c r="AH945" s="59"/>
      <c r="AI945" s="59"/>
    </row>
    <row r="946" spans="1:35" x14ac:dyDescent="0.15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  <c r="AD946" s="59"/>
      <c r="AE946" s="59"/>
      <c r="AF946" s="59"/>
      <c r="AG946" s="59"/>
      <c r="AH946" s="59"/>
      <c r="AI946" s="59"/>
    </row>
    <row r="947" spans="1:35" x14ac:dyDescent="0.15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  <c r="AD947" s="59"/>
      <c r="AE947" s="59"/>
      <c r="AF947" s="59"/>
      <c r="AG947" s="59"/>
      <c r="AH947" s="59"/>
      <c r="AI947" s="59"/>
    </row>
    <row r="948" spans="1:35" x14ac:dyDescent="0.15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  <c r="AD948" s="59"/>
      <c r="AE948" s="59"/>
      <c r="AF948" s="59"/>
      <c r="AG948" s="59"/>
      <c r="AH948" s="59"/>
      <c r="AI948" s="59"/>
    </row>
    <row r="949" spans="1:35" x14ac:dyDescent="0.15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  <c r="AD949" s="59"/>
      <c r="AE949" s="59"/>
      <c r="AF949" s="59"/>
      <c r="AG949" s="59"/>
      <c r="AH949" s="59"/>
      <c r="AI949" s="59"/>
    </row>
    <row r="950" spans="1:35" x14ac:dyDescent="0.15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  <c r="AD950" s="59"/>
      <c r="AE950" s="59"/>
      <c r="AF950" s="59"/>
      <c r="AG950" s="59"/>
      <c r="AH950" s="59"/>
      <c r="AI950" s="59"/>
    </row>
    <row r="951" spans="1:35" x14ac:dyDescent="0.15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  <c r="AD951" s="59"/>
      <c r="AE951" s="59"/>
      <c r="AF951" s="59"/>
      <c r="AG951" s="59"/>
      <c r="AH951" s="59"/>
      <c r="AI951" s="59"/>
    </row>
    <row r="952" spans="1:35" x14ac:dyDescent="0.15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  <c r="AD952" s="59"/>
      <c r="AE952" s="59"/>
      <c r="AF952" s="59"/>
      <c r="AG952" s="59"/>
      <c r="AH952" s="59"/>
      <c r="AI952" s="59"/>
    </row>
    <row r="953" spans="1:35" x14ac:dyDescent="0.15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  <c r="AD953" s="59"/>
      <c r="AE953" s="59"/>
      <c r="AF953" s="59"/>
      <c r="AG953" s="59"/>
      <c r="AH953" s="59"/>
      <c r="AI953" s="59"/>
    </row>
    <row r="954" spans="1:35" x14ac:dyDescent="0.15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  <c r="AD954" s="59"/>
      <c r="AE954" s="59"/>
      <c r="AF954" s="59"/>
      <c r="AG954" s="59"/>
      <c r="AH954" s="59"/>
      <c r="AI954" s="59"/>
    </row>
    <row r="955" spans="1:35" x14ac:dyDescent="0.1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  <c r="AD955" s="59"/>
      <c r="AE955" s="59"/>
      <c r="AF955" s="59"/>
      <c r="AG955" s="59"/>
      <c r="AH955" s="59"/>
      <c r="AI955" s="59"/>
    </row>
    <row r="956" spans="1:35" x14ac:dyDescent="0.15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  <c r="AD956" s="59"/>
      <c r="AE956" s="59"/>
      <c r="AF956" s="59"/>
      <c r="AG956" s="59"/>
      <c r="AH956" s="59"/>
      <c r="AI956" s="59"/>
    </row>
    <row r="957" spans="1:35" x14ac:dyDescent="0.15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  <c r="AD957" s="59"/>
      <c r="AE957" s="59"/>
      <c r="AF957" s="59"/>
      <c r="AG957" s="59"/>
      <c r="AH957" s="59"/>
      <c r="AI957" s="59"/>
    </row>
    <row r="958" spans="1:35" x14ac:dyDescent="0.15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  <c r="AD958" s="59"/>
      <c r="AE958" s="59"/>
      <c r="AF958" s="59"/>
      <c r="AG958" s="59"/>
      <c r="AH958" s="59"/>
      <c r="AI958" s="59"/>
    </row>
    <row r="959" spans="1:35" x14ac:dyDescent="0.15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  <c r="AD959" s="59"/>
      <c r="AE959" s="59"/>
      <c r="AF959" s="59"/>
      <c r="AG959" s="59"/>
      <c r="AH959" s="59"/>
      <c r="AI959" s="59"/>
    </row>
    <row r="960" spans="1:35" x14ac:dyDescent="0.15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  <c r="AD960" s="59"/>
      <c r="AE960" s="59"/>
      <c r="AF960" s="59"/>
      <c r="AG960" s="59"/>
      <c r="AH960" s="59"/>
      <c r="AI960" s="59"/>
    </row>
    <row r="961" spans="1:35" x14ac:dyDescent="0.15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  <c r="AC961" s="59"/>
      <c r="AD961" s="59"/>
      <c r="AE961" s="59"/>
      <c r="AF961" s="59"/>
      <c r="AG961" s="59"/>
      <c r="AH961" s="59"/>
      <c r="AI961" s="59"/>
    </row>
    <row r="962" spans="1:35" x14ac:dyDescent="0.15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  <c r="AD962" s="59"/>
      <c r="AE962" s="59"/>
      <c r="AF962" s="59"/>
      <c r="AG962" s="59"/>
      <c r="AH962" s="59"/>
      <c r="AI962" s="59"/>
    </row>
    <row r="963" spans="1:35" x14ac:dyDescent="0.15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  <c r="AE963" s="59"/>
      <c r="AF963" s="59"/>
      <c r="AG963" s="59"/>
      <c r="AH963" s="59"/>
      <c r="AI963" s="59"/>
    </row>
    <row r="964" spans="1:35" x14ac:dyDescent="0.15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  <c r="AD964" s="59"/>
      <c r="AE964" s="59"/>
      <c r="AF964" s="59"/>
      <c r="AG964" s="59"/>
      <c r="AH964" s="59"/>
      <c r="AI964" s="59"/>
    </row>
    <row r="965" spans="1:35" x14ac:dyDescent="0.1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  <c r="AD965" s="59"/>
      <c r="AE965" s="59"/>
      <c r="AF965" s="59"/>
      <c r="AG965" s="59"/>
      <c r="AH965" s="59"/>
      <c r="AI965" s="59"/>
    </row>
    <row r="966" spans="1:35" x14ac:dyDescent="0.15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  <c r="AD966" s="59"/>
      <c r="AE966" s="59"/>
      <c r="AF966" s="59"/>
      <c r="AG966" s="59"/>
      <c r="AH966" s="59"/>
      <c r="AI966" s="59"/>
    </row>
    <row r="967" spans="1:35" x14ac:dyDescent="0.15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  <c r="AD967" s="59"/>
      <c r="AE967" s="59"/>
      <c r="AF967" s="59"/>
      <c r="AG967" s="59"/>
      <c r="AH967" s="59"/>
      <c r="AI967" s="59"/>
    </row>
    <row r="968" spans="1:35" x14ac:dyDescent="0.15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  <c r="AD968" s="59"/>
      <c r="AE968" s="59"/>
      <c r="AF968" s="59"/>
      <c r="AG968" s="59"/>
      <c r="AH968" s="59"/>
      <c r="AI968" s="59"/>
    </row>
    <row r="969" spans="1:35" x14ac:dyDescent="0.15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  <c r="AC969" s="59"/>
      <c r="AD969" s="59"/>
      <c r="AE969" s="59"/>
      <c r="AF969" s="59"/>
      <c r="AG969" s="59"/>
      <c r="AH969" s="59"/>
      <c r="AI969" s="59"/>
    </row>
    <row r="970" spans="1:35" x14ac:dyDescent="0.15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  <c r="AD970" s="59"/>
      <c r="AE970" s="59"/>
      <c r="AF970" s="59"/>
      <c r="AG970" s="59"/>
      <c r="AH970" s="59"/>
      <c r="AI970" s="59"/>
    </row>
    <row r="971" spans="1:35" x14ac:dyDescent="0.15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  <c r="AD971" s="59"/>
      <c r="AE971" s="59"/>
      <c r="AF971" s="59"/>
      <c r="AG971" s="59"/>
      <c r="AH971" s="59"/>
      <c r="AI971" s="59"/>
    </row>
    <row r="972" spans="1:35" x14ac:dyDescent="0.15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  <c r="AD972" s="59"/>
      <c r="AE972" s="59"/>
      <c r="AF972" s="59"/>
      <c r="AG972" s="59"/>
      <c r="AH972" s="59"/>
      <c r="AI972" s="59"/>
    </row>
    <row r="973" spans="1:35" x14ac:dyDescent="0.15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  <c r="AD973" s="59"/>
      <c r="AE973" s="59"/>
      <c r="AF973" s="59"/>
      <c r="AG973" s="59"/>
      <c r="AH973" s="59"/>
      <c r="AI973" s="59"/>
    </row>
    <row r="974" spans="1:35" x14ac:dyDescent="0.15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  <c r="AD974" s="59"/>
      <c r="AE974" s="59"/>
      <c r="AF974" s="59"/>
      <c r="AG974" s="59"/>
      <c r="AH974" s="59"/>
      <c r="AI974" s="59"/>
    </row>
    <row r="975" spans="1:35" x14ac:dyDescent="0.1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  <c r="AD975" s="59"/>
      <c r="AE975" s="59"/>
      <c r="AF975" s="59"/>
      <c r="AG975" s="59"/>
      <c r="AH975" s="59"/>
      <c r="AI975" s="59"/>
    </row>
    <row r="976" spans="1:35" x14ac:dyDescent="0.15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  <c r="AD976" s="59"/>
      <c r="AE976" s="59"/>
      <c r="AF976" s="59"/>
      <c r="AG976" s="59"/>
      <c r="AH976" s="59"/>
      <c r="AI976" s="59"/>
    </row>
    <row r="977" spans="1:35" x14ac:dyDescent="0.15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  <c r="AD977" s="59"/>
      <c r="AE977" s="59"/>
      <c r="AF977" s="59"/>
      <c r="AG977" s="59"/>
      <c r="AH977" s="59"/>
      <c r="AI977" s="59"/>
    </row>
    <row r="978" spans="1:35" x14ac:dyDescent="0.15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  <c r="AC978" s="59"/>
      <c r="AD978" s="59"/>
      <c r="AE978" s="59"/>
      <c r="AF978" s="59"/>
      <c r="AG978" s="59"/>
      <c r="AH978" s="59"/>
      <c r="AI978" s="59"/>
    </row>
    <row r="979" spans="1:35" x14ac:dyDescent="0.15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  <c r="AC979" s="59"/>
      <c r="AD979" s="59"/>
      <c r="AE979" s="59"/>
      <c r="AF979" s="59"/>
      <c r="AG979" s="59"/>
      <c r="AH979" s="59"/>
      <c r="AI979" s="59"/>
    </row>
    <row r="980" spans="1:35" x14ac:dyDescent="0.15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  <c r="AC980" s="59"/>
      <c r="AD980" s="59"/>
      <c r="AE980" s="59"/>
      <c r="AF980" s="59"/>
      <c r="AG980" s="59"/>
      <c r="AH980" s="59"/>
      <c r="AI980" s="59"/>
    </row>
    <row r="981" spans="1:35" x14ac:dyDescent="0.15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  <c r="AC981" s="59"/>
      <c r="AD981" s="59"/>
      <c r="AE981" s="59"/>
      <c r="AF981" s="59"/>
      <c r="AG981" s="59"/>
      <c r="AH981" s="59"/>
      <c r="AI981" s="59"/>
    </row>
    <row r="982" spans="1:35" x14ac:dyDescent="0.15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  <c r="AC982" s="59"/>
      <c r="AD982" s="59"/>
      <c r="AE982" s="59"/>
      <c r="AF982" s="59"/>
      <c r="AG982" s="59"/>
      <c r="AH982" s="59"/>
      <c r="AI982" s="59"/>
    </row>
    <row r="983" spans="1:35" x14ac:dyDescent="0.15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  <c r="AC983" s="59"/>
      <c r="AD983" s="59"/>
      <c r="AE983" s="59"/>
      <c r="AF983" s="59"/>
      <c r="AG983" s="59"/>
      <c r="AH983" s="59"/>
      <c r="AI983" s="59"/>
    </row>
    <row r="984" spans="1:35" x14ac:dyDescent="0.15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  <c r="AC984" s="59"/>
      <c r="AD984" s="59"/>
      <c r="AE984" s="59"/>
      <c r="AF984" s="59"/>
      <c r="AG984" s="59"/>
      <c r="AH984" s="59"/>
      <c r="AI984" s="59"/>
    </row>
    <row r="985" spans="1:35" x14ac:dyDescent="0.1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  <c r="AC985" s="59"/>
      <c r="AD985" s="59"/>
      <c r="AE985" s="59"/>
      <c r="AF985" s="59"/>
      <c r="AG985" s="59"/>
      <c r="AH985" s="59"/>
      <c r="AI985" s="59"/>
    </row>
    <row r="986" spans="1:35" x14ac:dyDescent="0.15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  <c r="AC986" s="59"/>
      <c r="AD986" s="59"/>
      <c r="AE986" s="59"/>
      <c r="AF986" s="59"/>
      <c r="AG986" s="59"/>
      <c r="AH986" s="59"/>
      <c r="AI986" s="59"/>
    </row>
    <row r="987" spans="1:35" x14ac:dyDescent="0.15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  <c r="AC987" s="59"/>
      <c r="AD987" s="59"/>
      <c r="AE987" s="59"/>
      <c r="AF987" s="59"/>
      <c r="AG987" s="59"/>
      <c r="AH987" s="59"/>
      <c r="AI987" s="59"/>
    </row>
    <row r="988" spans="1:35" x14ac:dyDescent="0.15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  <c r="AC988" s="59"/>
      <c r="AD988" s="59"/>
      <c r="AE988" s="59"/>
      <c r="AF988" s="59"/>
      <c r="AG988" s="59"/>
      <c r="AH988" s="59"/>
      <c r="AI988" s="59"/>
    </row>
    <row r="989" spans="1:35" x14ac:dyDescent="0.15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  <c r="AC989" s="59"/>
      <c r="AD989" s="59"/>
      <c r="AE989" s="59"/>
      <c r="AF989" s="59"/>
      <c r="AG989" s="59"/>
      <c r="AH989" s="59"/>
      <c r="AI989" s="59"/>
    </row>
    <row r="990" spans="1:35" x14ac:dyDescent="0.15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  <c r="AC990" s="59"/>
      <c r="AD990" s="59"/>
      <c r="AE990" s="59"/>
      <c r="AF990" s="59"/>
      <c r="AG990" s="59"/>
      <c r="AH990" s="59"/>
      <c r="AI990" s="59"/>
    </row>
    <row r="991" spans="1:35" x14ac:dyDescent="0.15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59"/>
      <c r="AC991" s="59"/>
      <c r="AD991" s="59"/>
      <c r="AE991" s="59"/>
      <c r="AF991" s="59"/>
      <c r="AG991" s="59"/>
      <c r="AH991" s="59"/>
      <c r="AI991" s="59"/>
    </row>
    <row r="992" spans="1:35" x14ac:dyDescent="0.15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59"/>
      <c r="AC992" s="59"/>
      <c r="AD992" s="59"/>
      <c r="AE992" s="59"/>
      <c r="AF992" s="59"/>
      <c r="AG992" s="59"/>
      <c r="AH992" s="59"/>
      <c r="AI992" s="59"/>
    </row>
    <row r="993" spans="1:35" x14ac:dyDescent="0.15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  <c r="AC993" s="59"/>
      <c r="AD993" s="59"/>
      <c r="AE993" s="59"/>
      <c r="AF993" s="59"/>
      <c r="AG993" s="59"/>
      <c r="AH993" s="59"/>
      <c r="AI993" s="59"/>
    </row>
    <row r="994" spans="1:35" x14ac:dyDescent="0.15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  <c r="AC994" s="59"/>
      <c r="AD994" s="59"/>
      <c r="AE994" s="59"/>
      <c r="AF994" s="59"/>
      <c r="AG994" s="59"/>
      <c r="AH994" s="59"/>
      <c r="AI994" s="59"/>
    </row>
    <row r="995" spans="1:35" x14ac:dyDescent="0.15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  <c r="AC995" s="59"/>
      <c r="AD995" s="59"/>
      <c r="AE995" s="59"/>
      <c r="AF995" s="59"/>
      <c r="AG995" s="59"/>
      <c r="AH995" s="59"/>
      <c r="AI995" s="59"/>
    </row>
    <row r="996" spans="1:35" x14ac:dyDescent="0.15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59"/>
      <c r="AC996" s="59"/>
      <c r="AD996" s="59"/>
      <c r="AE996" s="59"/>
      <c r="AF996" s="59"/>
      <c r="AG996" s="59"/>
      <c r="AH996" s="59"/>
      <c r="AI996" s="59"/>
    </row>
    <row r="997" spans="1:35" x14ac:dyDescent="0.15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59"/>
      <c r="AC997" s="59"/>
      <c r="AD997" s="59"/>
      <c r="AE997" s="59"/>
      <c r="AF997" s="59"/>
      <c r="AG997" s="59"/>
      <c r="AH997" s="59"/>
      <c r="AI997" s="59"/>
    </row>
    <row r="998" spans="1:35" x14ac:dyDescent="0.15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  <c r="AB998" s="59"/>
      <c r="AC998" s="59"/>
      <c r="AD998" s="59"/>
      <c r="AE998" s="59"/>
      <c r="AF998" s="59"/>
      <c r="AG998" s="59"/>
      <c r="AH998" s="59"/>
      <c r="AI998" s="59"/>
    </row>
    <row r="999" spans="1:35" x14ac:dyDescent="0.15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B999" s="59"/>
      <c r="AC999" s="59"/>
      <c r="AD999" s="59"/>
      <c r="AE999" s="59"/>
      <c r="AF999" s="59"/>
      <c r="AG999" s="59"/>
      <c r="AH999" s="59"/>
      <c r="AI999" s="59"/>
    </row>
    <row r="1000" spans="1:35" x14ac:dyDescent="0.15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  <c r="AB1000" s="59"/>
      <c r="AC1000" s="59"/>
      <c r="AD1000" s="59"/>
      <c r="AE1000" s="59"/>
      <c r="AF1000" s="59"/>
      <c r="AG1000" s="59"/>
      <c r="AH1000" s="59"/>
      <c r="AI1000" s="59"/>
    </row>
    <row r="1001" spans="1:35" x14ac:dyDescent="0.15">
      <c r="A1001" s="59"/>
      <c r="B1001" s="59"/>
      <c r="C1001" s="59"/>
      <c r="D1001" s="59"/>
      <c r="E1001" s="59"/>
      <c r="F1001" s="59"/>
      <c r="G1001" s="59"/>
      <c r="H1001" s="59"/>
      <c r="I1001" s="59"/>
      <c r="J1001" s="59"/>
      <c r="K1001" s="59"/>
      <c r="L1001" s="59"/>
      <c r="M1001" s="59"/>
      <c r="N1001" s="59"/>
      <c r="O1001" s="59"/>
      <c r="P1001" s="59"/>
      <c r="Q1001" s="59"/>
      <c r="R1001" s="59"/>
      <c r="S1001" s="59"/>
      <c r="T1001" s="59"/>
      <c r="U1001" s="59"/>
      <c r="V1001" s="59"/>
      <c r="W1001" s="59"/>
      <c r="X1001" s="59"/>
      <c r="Y1001" s="59"/>
      <c r="Z1001" s="59"/>
      <c r="AA1001" s="59"/>
      <c r="AB1001" s="59"/>
      <c r="AC1001" s="59"/>
      <c r="AD1001" s="59"/>
      <c r="AE1001" s="59"/>
      <c r="AF1001" s="59"/>
      <c r="AG1001" s="59"/>
      <c r="AH1001" s="59"/>
      <c r="AI1001" s="59"/>
    </row>
    <row r="1002" spans="1:35" x14ac:dyDescent="0.15">
      <c r="A1002" s="59"/>
      <c r="B1002" s="59"/>
      <c r="C1002" s="59"/>
      <c r="D1002" s="59"/>
      <c r="E1002" s="59"/>
      <c r="F1002" s="59"/>
      <c r="G1002" s="59"/>
      <c r="H1002" s="59"/>
      <c r="I1002" s="59"/>
      <c r="J1002" s="59"/>
      <c r="K1002" s="59"/>
      <c r="L1002" s="59"/>
      <c r="M1002" s="59"/>
      <c r="N1002" s="59"/>
      <c r="O1002" s="59"/>
      <c r="P1002" s="59"/>
      <c r="Q1002" s="59"/>
      <c r="R1002" s="59"/>
      <c r="S1002" s="59"/>
      <c r="T1002" s="59"/>
      <c r="U1002" s="59"/>
      <c r="V1002" s="59"/>
      <c r="W1002" s="59"/>
      <c r="X1002" s="59"/>
      <c r="Y1002" s="59"/>
      <c r="Z1002" s="59"/>
      <c r="AA1002" s="59"/>
      <c r="AB1002" s="59"/>
      <c r="AC1002" s="59"/>
      <c r="AD1002" s="59"/>
      <c r="AE1002" s="59"/>
      <c r="AF1002" s="59"/>
      <c r="AG1002" s="59"/>
      <c r="AH1002" s="59"/>
      <c r="AI1002" s="59"/>
    </row>
    <row r="1003" spans="1:35" x14ac:dyDescent="0.15">
      <c r="A1003" s="59"/>
      <c r="B1003" s="59"/>
      <c r="C1003" s="59"/>
      <c r="D1003" s="59"/>
      <c r="E1003" s="59"/>
      <c r="F1003" s="59"/>
      <c r="G1003" s="59"/>
      <c r="H1003" s="59"/>
      <c r="I1003" s="59"/>
      <c r="J1003" s="59"/>
      <c r="K1003" s="59"/>
      <c r="L1003" s="59"/>
      <c r="M1003" s="59"/>
      <c r="N1003" s="59"/>
      <c r="O1003" s="59"/>
      <c r="P1003" s="59"/>
      <c r="Q1003" s="59"/>
      <c r="R1003" s="59"/>
      <c r="S1003" s="59"/>
      <c r="T1003" s="59"/>
      <c r="U1003" s="59"/>
      <c r="V1003" s="59"/>
      <c r="W1003" s="59"/>
      <c r="X1003" s="59"/>
      <c r="Y1003" s="59"/>
      <c r="Z1003" s="59"/>
      <c r="AA1003" s="59"/>
      <c r="AB1003" s="59"/>
      <c r="AC1003" s="59"/>
      <c r="AD1003" s="59"/>
      <c r="AE1003" s="59"/>
      <c r="AF1003" s="59"/>
      <c r="AG1003" s="59"/>
      <c r="AH1003" s="59"/>
      <c r="AI1003" s="59"/>
    </row>
    <row r="1004" spans="1:35" x14ac:dyDescent="0.15">
      <c r="A1004" s="59"/>
      <c r="B1004" s="59"/>
      <c r="C1004" s="59"/>
      <c r="D1004" s="59"/>
      <c r="E1004" s="59"/>
      <c r="F1004" s="59"/>
      <c r="G1004" s="59"/>
      <c r="H1004" s="59"/>
      <c r="I1004" s="59"/>
      <c r="J1004" s="59"/>
      <c r="K1004" s="59"/>
      <c r="L1004" s="59"/>
      <c r="M1004" s="59"/>
      <c r="N1004" s="59"/>
      <c r="O1004" s="59"/>
      <c r="P1004" s="59"/>
      <c r="Q1004" s="59"/>
      <c r="R1004" s="59"/>
      <c r="S1004" s="59"/>
      <c r="T1004" s="59"/>
      <c r="U1004" s="59"/>
      <c r="V1004" s="59"/>
      <c r="W1004" s="59"/>
      <c r="X1004" s="59"/>
      <c r="Y1004" s="59"/>
      <c r="Z1004" s="59"/>
      <c r="AA1004" s="59"/>
      <c r="AB1004" s="59"/>
      <c r="AC1004" s="59"/>
      <c r="AD1004" s="59"/>
      <c r="AE1004" s="59"/>
      <c r="AF1004" s="59"/>
      <c r="AG1004" s="59"/>
      <c r="AH1004" s="59"/>
      <c r="AI1004" s="59"/>
    </row>
    <row r="1005" spans="1:35" x14ac:dyDescent="0.15">
      <c r="A1005" s="59"/>
      <c r="B1005" s="59"/>
      <c r="C1005" s="59"/>
      <c r="D1005" s="59"/>
      <c r="E1005" s="59"/>
      <c r="F1005" s="59"/>
      <c r="G1005" s="59"/>
      <c r="H1005" s="59"/>
      <c r="I1005" s="59"/>
      <c r="J1005" s="59"/>
      <c r="K1005" s="59"/>
      <c r="L1005" s="59"/>
      <c r="M1005" s="59"/>
      <c r="N1005" s="59"/>
      <c r="O1005" s="59"/>
      <c r="P1005" s="59"/>
      <c r="Q1005" s="59"/>
      <c r="R1005" s="59"/>
      <c r="S1005" s="59"/>
      <c r="T1005" s="59"/>
      <c r="U1005" s="59"/>
      <c r="V1005" s="59"/>
      <c r="W1005" s="59"/>
      <c r="X1005" s="59"/>
      <c r="Y1005" s="59"/>
      <c r="Z1005" s="59"/>
      <c r="AA1005" s="59"/>
      <c r="AB1005" s="59"/>
      <c r="AC1005" s="59"/>
      <c r="AD1005" s="59"/>
      <c r="AE1005" s="59"/>
      <c r="AF1005" s="59"/>
      <c r="AG1005" s="59"/>
      <c r="AH1005" s="59"/>
      <c r="AI1005" s="59"/>
    </row>
    <row r="1006" spans="1:35" x14ac:dyDescent="0.15">
      <c r="A1006" s="59"/>
      <c r="B1006" s="59"/>
      <c r="C1006" s="59"/>
      <c r="D1006" s="59"/>
      <c r="E1006" s="59"/>
      <c r="F1006" s="59"/>
      <c r="G1006" s="59"/>
      <c r="H1006" s="59"/>
      <c r="I1006" s="59"/>
      <c r="J1006" s="59"/>
      <c r="K1006" s="59"/>
      <c r="L1006" s="59"/>
      <c r="M1006" s="59"/>
      <c r="N1006" s="59"/>
      <c r="O1006" s="59"/>
      <c r="P1006" s="59"/>
      <c r="Q1006" s="59"/>
      <c r="R1006" s="59"/>
      <c r="S1006" s="59"/>
      <c r="T1006" s="59"/>
      <c r="U1006" s="59"/>
      <c r="V1006" s="59"/>
      <c r="W1006" s="59"/>
      <c r="X1006" s="59"/>
      <c r="Y1006" s="59"/>
      <c r="Z1006" s="59"/>
      <c r="AA1006" s="59"/>
      <c r="AB1006" s="59"/>
      <c r="AC1006" s="59"/>
      <c r="AD1006" s="59"/>
      <c r="AE1006" s="59"/>
      <c r="AF1006" s="59"/>
      <c r="AG1006" s="59"/>
      <c r="AH1006" s="59"/>
      <c r="AI1006" s="59"/>
    </row>
    <row r="1007" spans="1:35" x14ac:dyDescent="0.15">
      <c r="A1007" s="59"/>
      <c r="B1007" s="59"/>
      <c r="C1007" s="59"/>
      <c r="D1007" s="59"/>
      <c r="E1007" s="59"/>
      <c r="F1007" s="59"/>
      <c r="G1007" s="59"/>
      <c r="H1007" s="59"/>
      <c r="I1007" s="59"/>
      <c r="J1007" s="59"/>
      <c r="K1007" s="59"/>
      <c r="L1007" s="59"/>
      <c r="M1007" s="59"/>
      <c r="N1007" s="59"/>
      <c r="O1007" s="59"/>
      <c r="P1007" s="59"/>
      <c r="Q1007" s="59"/>
      <c r="R1007" s="59"/>
      <c r="S1007" s="59"/>
      <c r="T1007" s="59"/>
      <c r="U1007" s="59"/>
      <c r="V1007" s="59"/>
      <c r="W1007" s="59"/>
      <c r="X1007" s="59"/>
      <c r="Y1007" s="59"/>
      <c r="Z1007" s="59"/>
      <c r="AA1007" s="59"/>
      <c r="AB1007" s="59"/>
      <c r="AC1007" s="59"/>
      <c r="AD1007" s="59"/>
      <c r="AE1007" s="59"/>
      <c r="AF1007" s="59"/>
      <c r="AG1007" s="59"/>
      <c r="AH1007" s="59"/>
      <c r="AI1007" s="59"/>
    </row>
    <row r="1008" spans="1:35" x14ac:dyDescent="0.15">
      <c r="A1008" s="59"/>
      <c r="B1008" s="59"/>
      <c r="C1008" s="59"/>
      <c r="D1008" s="59"/>
      <c r="E1008" s="59"/>
      <c r="F1008" s="59"/>
      <c r="G1008" s="59"/>
      <c r="H1008" s="59"/>
      <c r="I1008" s="59"/>
      <c r="J1008" s="59"/>
      <c r="K1008" s="59"/>
      <c r="L1008" s="59"/>
      <c r="M1008" s="59"/>
      <c r="N1008" s="59"/>
      <c r="O1008" s="59"/>
      <c r="P1008" s="59"/>
      <c r="Q1008" s="59"/>
      <c r="R1008" s="59"/>
      <c r="S1008" s="59"/>
      <c r="T1008" s="59"/>
      <c r="U1008" s="59"/>
      <c r="V1008" s="59"/>
      <c r="W1008" s="59"/>
      <c r="X1008" s="59"/>
      <c r="Y1008" s="59"/>
      <c r="Z1008" s="59"/>
      <c r="AA1008" s="59"/>
      <c r="AB1008" s="59"/>
      <c r="AC1008" s="59"/>
      <c r="AD1008" s="59"/>
      <c r="AE1008" s="59"/>
      <c r="AF1008" s="59"/>
      <c r="AG1008" s="59"/>
      <c r="AH1008" s="59"/>
      <c r="AI1008" s="59"/>
    </row>
    <row r="1009" spans="1:35" x14ac:dyDescent="0.15">
      <c r="A1009" s="59"/>
      <c r="B1009" s="59"/>
      <c r="C1009" s="59"/>
      <c r="D1009" s="59"/>
      <c r="E1009" s="59"/>
      <c r="F1009" s="59"/>
      <c r="G1009" s="59"/>
      <c r="H1009" s="59"/>
      <c r="I1009" s="59"/>
      <c r="J1009" s="59"/>
      <c r="K1009" s="59"/>
      <c r="L1009" s="59"/>
      <c r="M1009" s="59"/>
      <c r="N1009" s="59"/>
      <c r="O1009" s="59"/>
      <c r="P1009" s="59"/>
      <c r="Q1009" s="59"/>
      <c r="R1009" s="59"/>
      <c r="S1009" s="59"/>
      <c r="T1009" s="59"/>
      <c r="U1009" s="59"/>
      <c r="V1009" s="59"/>
      <c r="W1009" s="59"/>
      <c r="X1009" s="59"/>
      <c r="Y1009" s="59"/>
      <c r="Z1009" s="59"/>
      <c r="AA1009" s="59"/>
      <c r="AB1009" s="59"/>
      <c r="AC1009" s="59"/>
      <c r="AD1009" s="59"/>
      <c r="AE1009" s="59"/>
      <c r="AF1009" s="59"/>
      <c r="AG1009" s="59"/>
      <c r="AH1009" s="59"/>
      <c r="AI1009" s="59"/>
    </row>
    <row r="1010" spans="1:35" x14ac:dyDescent="0.15">
      <c r="A1010" s="59"/>
      <c r="B1010" s="59"/>
      <c r="C1010" s="59"/>
      <c r="D1010" s="59"/>
      <c r="E1010" s="59"/>
      <c r="F1010" s="59"/>
      <c r="G1010" s="59"/>
      <c r="H1010" s="59"/>
      <c r="I1010" s="59"/>
      <c r="J1010" s="59"/>
      <c r="K1010" s="59"/>
      <c r="L1010" s="59"/>
      <c r="M1010" s="59"/>
      <c r="N1010" s="59"/>
      <c r="O1010" s="59"/>
      <c r="P1010" s="59"/>
      <c r="Q1010" s="59"/>
      <c r="R1010" s="59"/>
      <c r="S1010" s="59"/>
      <c r="T1010" s="59"/>
      <c r="U1010" s="59"/>
      <c r="V1010" s="59"/>
      <c r="W1010" s="59"/>
      <c r="X1010" s="59"/>
      <c r="Y1010" s="59"/>
      <c r="Z1010" s="59"/>
      <c r="AA1010" s="59"/>
      <c r="AB1010" s="59"/>
      <c r="AC1010" s="59"/>
      <c r="AD1010" s="59"/>
      <c r="AE1010" s="59"/>
      <c r="AF1010" s="59"/>
      <c r="AG1010" s="59"/>
      <c r="AH1010" s="59"/>
      <c r="AI1010" s="59"/>
    </row>
    <row r="1011" spans="1:35" x14ac:dyDescent="0.15">
      <c r="A1011" s="59"/>
      <c r="B1011" s="59"/>
      <c r="C1011" s="59"/>
      <c r="D1011" s="59"/>
      <c r="E1011" s="59"/>
      <c r="F1011" s="59"/>
      <c r="G1011" s="59"/>
      <c r="H1011" s="59"/>
      <c r="I1011" s="59"/>
      <c r="J1011" s="59"/>
      <c r="K1011" s="59"/>
      <c r="L1011" s="59"/>
      <c r="M1011" s="59"/>
      <c r="N1011" s="59"/>
      <c r="O1011" s="59"/>
      <c r="P1011" s="59"/>
      <c r="Q1011" s="59"/>
      <c r="R1011" s="59"/>
      <c r="S1011" s="59"/>
      <c r="T1011" s="59"/>
      <c r="U1011" s="59"/>
      <c r="V1011" s="59"/>
      <c r="W1011" s="59"/>
      <c r="X1011" s="59"/>
      <c r="Y1011" s="59"/>
      <c r="Z1011" s="59"/>
      <c r="AA1011" s="59"/>
      <c r="AB1011" s="59"/>
      <c r="AC1011" s="59"/>
      <c r="AD1011" s="59"/>
      <c r="AE1011" s="59"/>
      <c r="AF1011" s="59"/>
      <c r="AG1011" s="59"/>
      <c r="AH1011" s="59"/>
      <c r="AI1011" s="59"/>
    </row>
    <row r="1012" spans="1:35" x14ac:dyDescent="0.15">
      <c r="A1012" s="59"/>
      <c r="B1012" s="59"/>
      <c r="C1012" s="59"/>
      <c r="D1012" s="59"/>
      <c r="E1012" s="59"/>
      <c r="F1012" s="59"/>
      <c r="G1012" s="59"/>
      <c r="H1012" s="59"/>
      <c r="I1012" s="59"/>
      <c r="J1012" s="59"/>
      <c r="K1012" s="59"/>
      <c r="L1012" s="59"/>
      <c r="M1012" s="59"/>
      <c r="N1012" s="59"/>
      <c r="O1012" s="59"/>
      <c r="P1012" s="59"/>
      <c r="Q1012" s="59"/>
      <c r="R1012" s="59"/>
      <c r="S1012" s="59"/>
      <c r="T1012" s="59"/>
      <c r="U1012" s="59"/>
      <c r="V1012" s="59"/>
      <c r="W1012" s="59"/>
      <c r="X1012" s="59"/>
      <c r="Y1012" s="59"/>
      <c r="Z1012" s="59"/>
      <c r="AA1012" s="59"/>
      <c r="AB1012" s="59"/>
      <c r="AC1012" s="59"/>
      <c r="AD1012" s="59"/>
      <c r="AE1012" s="59"/>
      <c r="AF1012" s="59"/>
      <c r="AG1012" s="59"/>
      <c r="AH1012" s="59"/>
      <c r="AI1012" s="59"/>
    </row>
    <row r="1013" spans="1:35" x14ac:dyDescent="0.15">
      <c r="A1013" s="59"/>
      <c r="B1013" s="59"/>
      <c r="C1013" s="59"/>
      <c r="D1013" s="59"/>
      <c r="E1013" s="59"/>
      <c r="F1013" s="59"/>
      <c r="G1013" s="59"/>
      <c r="H1013" s="59"/>
      <c r="I1013" s="59"/>
      <c r="J1013" s="59"/>
      <c r="K1013" s="59"/>
      <c r="L1013" s="59"/>
      <c r="M1013" s="59"/>
      <c r="N1013" s="59"/>
      <c r="O1013" s="59"/>
      <c r="P1013" s="59"/>
      <c r="Q1013" s="59"/>
      <c r="R1013" s="59"/>
      <c r="S1013" s="59"/>
      <c r="T1013" s="59"/>
      <c r="U1013" s="59"/>
      <c r="V1013" s="59"/>
      <c r="W1013" s="59"/>
      <c r="X1013" s="59"/>
      <c r="Y1013" s="59"/>
      <c r="Z1013" s="59"/>
      <c r="AA1013" s="59"/>
      <c r="AB1013" s="59"/>
      <c r="AC1013" s="59"/>
      <c r="AD1013" s="59"/>
      <c r="AE1013" s="59"/>
      <c r="AF1013" s="59"/>
      <c r="AG1013" s="59"/>
      <c r="AH1013" s="59"/>
      <c r="AI1013" s="59"/>
    </row>
    <row r="1014" spans="1:35" x14ac:dyDescent="0.15">
      <c r="A1014" s="59"/>
      <c r="B1014" s="59"/>
      <c r="C1014" s="59"/>
      <c r="D1014" s="59"/>
      <c r="E1014" s="59"/>
      <c r="F1014" s="59"/>
      <c r="G1014" s="59"/>
      <c r="H1014" s="59"/>
      <c r="I1014" s="59"/>
      <c r="J1014" s="59"/>
      <c r="K1014" s="59"/>
      <c r="L1014" s="59"/>
      <c r="M1014" s="59"/>
      <c r="N1014" s="59"/>
      <c r="O1014" s="59"/>
      <c r="P1014" s="59"/>
      <c r="Q1014" s="59"/>
      <c r="R1014" s="59"/>
      <c r="S1014" s="59"/>
      <c r="T1014" s="59"/>
      <c r="U1014" s="59"/>
      <c r="V1014" s="59"/>
      <c r="W1014" s="59"/>
      <c r="X1014" s="59"/>
      <c r="Y1014" s="59"/>
      <c r="Z1014" s="59"/>
      <c r="AA1014" s="59"/>
      <c r="AB1014" s="59"/>
      <c r="AC1014" s="59"/>
      <c r="AD1014" s="59"/>
      <c r="AE1014" s="59"/>
      <c r="AF1014" s="59"/>
      <c r="AG1014" s="59"/>
      <c r="AH1014" s="59"/>
    </row>
  </sheetData>
  <mergeCells count="136">
    <mergeCell ref="AE78:AE80"/>
    <mergeCell ref="AG78:AG80"/>
    <mergeCell ref="A81:A83"/>
    <mergeCell ref="AI81:AI83"/>
    <mergeCell ref="C81:C83"/>
    <mergeCell ref="B84:B86"/>
    <mergeCell ref="T84:T86"/>
    <mergeCell ref="G88:G90"/>
    <mergeCell ref="I88:I90"/>
    <mergeCell ref="AF84:AF86"/>
    <mergeCell ref="C78:C80"/>
    <mergeCell ref="AH84:AH86"/>
    <mergeCell ref="E81:E83"/>
    <mergeCell ref="G81:G83"/>
    <mergeCell ref="I81:I83"/>
    <mergeCell ref="S81:S83"/>
    <mergeCell ref="D84:D86"/>
    <mergeCell ref="AG88:AG90"/>
    <mergeCell ref="AI88:AI90"/>
    <mergeCell ref="F78:F80"/>
    <mergeCell ref="K78:K80"/>
    <mergeCell ref="U78:U80"/>
    <mergeCell ref="F84:F86"/>
    <mergeCell ref="O81:O83"/>
    <mergeCell ref="H78:H80"/>
    <mergeCell ref="A84:A86"/>
    <mergeCell ref="R78:R80"/>
    <mergeCell ref="J81:J83"/>
    <mergeCell ref="T78:T80"/>
    <mergeCell ref="V81:V83"/>
    <mergeCell ref="J84:J86"/>
    <mergeCell ref="V84:V86"/>
    <mergeCell ref="V78:V80"/>
    <mergeCell ref="P78:P80"/>
    <mergeCell ref="H81:H83"/>
    <mergeCell ref="R81:R83"/>
    <mergeCell ref="T81:T83"/>
    <mergeCell ref="E78:E80"/>
    <mergeCell ref="B81:B83"/>
    <mergeCell ref="Q78:Q80"/>
    <mergeCell ref="S84:S86"/>
    <mergeCell ref="S78:S80"/>
    <mergeCell ref="C84:C86"/>
    <mergeCell ref="E84:E86"/>
    <mergeCell ref="B88:B90"/>
    <mergeCell ref="T88:T90"/>
    <mergeCell ref="Y84:Y86"/>
    <mergeCell ref="AA84:AA86"/>
    <mergeCell ref="L88:L90"/>
    <mergeCell ref="N88:N90"/>
    <mergeCell ref="AF88:AF90"/>
    <mergeCell ref="AC84:AC86"/>
    <mergeCell ref="AE84:AE86"/>
    <mergeCell ref="X88:X90"/>
    <mergeCell ref="A88:A90"/>
    <mergeCell ref="AC78:AC80"/>
    <mergeCell ref="U81:U83"/>
    <mergeCell ref="AE81:AE83"/>
    <mergeCell ref="AG81:AG83"/>
    <mergeCell ref="P84:P86"/>
    <mergeCell ref="C88:C90"/>
    <mergeCell ref="R84:R86"/>
    <mergeCell ref="E88:E90"/>
    <mergeCell ref="AB84:AB86"/>
    <mergeCell ref="AD84:AD86"/>
    <mergeCell ref="Y88:Y90"/>
    <mergeCell ref="O88:O90"/>
    <mergeCell ref="AD78:AD80"/>
    <mergeCell ref="O84:O86"/>
    <mergeCell ref="Q88:Q90"/>
    <mergeCell ref="AF78:AF80"/>
    <mergeCell ref="AA88:AA90"/>
    <mergeCell ref="B78:B80"/>
    <mergeCell ref="D78:D80"/>
    <mergeCell ref="F81:F83"/>
    <mergeCell ref="N78:N80"/>
    <mergeCell ref="X78:X80"/>
    <mergeCell ref="Z81:Z83"/>
    <mergeCell ref="AI78:AI80"/>
    <mergeCell ref="K88:K90"/>
    <mergeCell ref="AH88:AH90"/>
    <mergeCell ref="M88:M90"/>
    <mergeCell ref="G78:G80"/>
    <mergeCell ref="K81:K83"/>
    <mergeCell ref="M81:M83"/>
    <mergeCell ref="Y81:Y83"/>
    <mergeCell ref="H84:H86"/>
    <mergeCell ref="AC88:AC90"/>
    <mergeCell ref="AE88:AE90"/>
    <mergeCell ref="Q81:Q83"/>
    <mergeCell ref="L84:L86"/>
    <mergeCell ref="N84:N86"/>
    <mergeCell ref="S88:S90"/>
    <mergeCell ref="X84:X86"/>
    <mergeCell ref="AC81:AC83"/>
    <mergeCell ref="O78:O80"/>
    <mergeCell ref="AH78:AH80"/>
    <mergeCell ref="AB81:AB83"/>
    <mergeCell ref="K84:K86"/>
    <mergeCell ref="M84:M86"/>
    <mergeCell ref="L81:L83"/>
    <mergeCell ref="I78:I80"/>
    <mergeCell ref="AG84:AG86"/>
    <mergeCell ref="Z88:Z90"/>
    <mergeCell ref="X81:X83"/>
    <mergeCell ref="G84:G86"/>
    <mergeCell ref="I84:I86"/>
    <mergeCell ref="U84:U86"/>
    <mergeCell ref="J88:J90"/>
    <mergeCell ref="AB88:AB90"/>
    <mergeCell ref="AD88:AD90"/>
    <mergeCell ref="AA81:AA83"/>
    <mergeCell ref="AI84:AI86"/>
    <mergeCell ref="A78:A80"/>
    <mergeCell ref="V88:V90"/>
    <mergeCell ref="H88:H90"/>
    <mergeCell ref="M78:M80"/>
    <mergeCell ref="Y78:Y80"/>
    <mergeCell ref="AA78:AA80"/>
    <mergeCell ref="Q84:Q86"/>
    <mergeCell ref="Z84:Z86"/>
    <mergeCell ref="U88:U90"/>
    <mergeCell ref="Z78:Z80"/>
    <mergeCell ref="AB78:AB80"/>
    <mergeCell ref="AD81:AD83"/>
    <mergeCell ref="AF81:AF83"/>
    <mergeCell ref="AH81:AH83"/>
    <mergeCell ref="D88:D90"/>
    <mergeCell ref="F88:F90"/>
    <mergeCell ref="P88:P90"/>
    <mergeCell ref="R88:R90"/>
    <mergeCell ref="J78:J80"/>
    <mergeCell ref="L78:L80"/>
    <mergeCell ref="D81:D83"/>
    <mergeCell ref="N81:N83"/>
    <mergeCell ref="P81:P8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2"/>
  <sheetViews>
    <sheetView zoomScaleNormal="100" workbookViewId="0">
      <selection activeCell="L21" sqref="L21"/>
    </sheetView>
  </sheetViews>
  <sheetFormatPr baseColWidth="10" defaultColWidth="10.6640625" defaultRowHeight="13" x14ac:dyDescent="0.15"/>
  <cols>
    <col min="1" max="1" width="22.83203125" customWidth="1"/>
    <col min="2" max="2" width="18.5" customWidth="1"/>
    <col min="4" max="4" width="15.33203125" customWidth="1"/>
    <col min="5" max="5" width="9.5" customWidth="1"/>
    <col min="7" max="7" width="13.6640625" customWidth="1"/>
  </cols>
  <sheetData>
    <row r="1" spans="1:9" ht="12.75" customHeight="1" x14ac:dyDescent="0.15">
      <c r="A1" s="49" t="s">
        <v>3</v>
      </c>
      <c r="B1" s="49" t="s">
        <v>3329</v>
      </c>
      <c r="C1" s="2" t="s">
        <v>173</v>
      </c>
      <c r="D1" s="2" t="s">
        <v>14</v>
      </c>
      <c r="E1" s="51" t="s">
        <v>13</v>
      </c>
      <c r="F1" s="2" t="s">
        <v>155</v>
      </c>
      <c r="G1" s="2" t="s">
        <v>6229</v>
      </c>
      <c r="H1" s="2" t="s">
        <v>6230</v>
      </c>
      <c r="I1" s="2" t="s">
        <v>6231</v>
      </c>
    </row>
    <row r="2" spans="1:9" ht="12.75" customHeight="1" x14ac:dyDescent="0.15">
      <c r="A2" s="2" t="s">
        <v>21</v>
      </c>
      <c r="B2" s="2" t="s">
        <v>61</v>
      </c>
      <c r="C2" s="8">
        <v>1.6</v>
      </c>
      <c r="D2" s="52">
        <v>10567.37</v>
      </c>
      <c r="E2" s="8">
        <v>76</v>
      </c>
      <c r="F2" s="8" t="s">
        <v>4857</v>
      </c>
      <c r="G2" s="2" t="s">
        <v>6232</v>
      </c>
      <c r="H2" s="53">
        <v>0.76119999999999999</v>
      </c>
      <c r="I2" s="2" t="s">
        <v>6233</v>
      </c>
    </row>
    <row r="3" spans="1:9" ht="12.75" customHeight="1" x14ac:dyDescent="0.15">
      <c r="A3" s="2" t="s">
        <v>21</v>
      </c>
      <c r="B3" s="2" t="s">
        <v>116</v>
      </c>
      <c r="C3" s="8">
        <v>2</v>
      </c>
      <c r="D3" s="52">
        <v>2472.73</v>
      </c>
      <c r="E3" s="24">
        <v>46169</v>
      </c>
      <c r="F3" s="8" t="s">
        <v>4865</v>
      </c>
      <c r="G3" s="2" t="s">
        <v>6234</v>
      </c>
      <c r="H3" s="53">
        <v>0.1235</v>
      </c>
      <c r="I3" s="2" t="s">
        <v>6235</v>
      </c>
    </row>
    <row r="4" spans="1:9" ht="12.75" customHeight="1" x14ac:dyDescent="0.15">
      <c r="A4" s="2" t="s">
        <v>21</v>
      </c>
      <c r="B4" s="2" t="s">
        <v>54</v>
      </c>
      <c r="C4" s="8">
        <v>2</v>
      </c>
      <c r="D4" s="52">
        <v>11247.51</v>
      </c>
      <c r="E4" s="8">
        <v>75</v>
      </c>
      <c r="F4" s="8" t="s">
        <v>4857</v>
      </c>
      <c r="G4" s="2" t="s">
        <v>6236</v>
      </c>
      <c r="H4" s="53">
        <v>0.81689999999999996</v>
      </c>
      <c r="I4" s="2" t="s">
        <v>6237</v>
      </c>
    </row>
    <row r="5" spans="1:9" ht="12.75" customHeight="1" x14ac:dyDescent="0.15">
      <c r="A5" s="2" t="s">
        <v>21</v>
      </c>
      <c r="B5" s="2" t="s">
        <v>40</v>
      </c>
      <c r="C5" s="8">
        <v>1.9</v>
      </c>
      <c r="D5" s="52">
        <v>14217.17</v>
      </c>
      <c r="E5" s="8">
        <v>146</v>
      </c>
      <c r="F5" s="8" t="s">
        <v>4857</v>
      </c>
      <c r="G5" s="2" t="s">
        <v>6238</v>
      </c>
      <c r="H5" s="53">
        <v>0.94840000000000002</v>
      </c>
      <c r="I5" s="2" t="s">
        <v>6239</v>
      </c>
    </row>
    <row r="6" spans="1:9" ht="12.75" customHeight="1" x14ac:dyDescent="0.15">
      <c r="A6" s="2" t="s">
        <v>21</v>
      </c>
      <c r="B6" s="2" t="s">
        <v>81</v>
      </c>
      <c r="C6" s="8">
        <v>2.2999999999999998</v>
      </c>
      <c r="D6" s="52">
        <v>10454.92</v>
      </c>
      <c r="E6" s="8">
        <v>77</v>
      </c>
      <c r="F6" s="8" t="s">
        <v>4857</v>
      </c>
      <c r="G6" s="2" t="s">
        <v>6240</v>
      </c>
      <c r="H6" s="53">
        <v>0.74719999999999998</v>
      </c>
      <c r="I6" s="2" t="s">
        <v>6241</v>
      </c>
    </row>
    <row r="7" spans="1:9" ht="12.75" customHeight="1" x14ac:dyDescent="0.15">
      <c r="A7" s="2" t="s">
        <v>21</v>
      </c>
      <c r="B7" s="2" t="s">
        <v>97</v>
      </c>
      <c r="C7" s="8">
        <v>4.5</v>
      </c>
      <c r="D7" s="52">
        <v>8219.35</v>
      </c>
      <c r="E7" s="24">
        <v>46190</v>
      </c>
      <c r="F7" s="8" t="s">
        <v>4865</v>
      </c>
      <c r="G7" s="2" t="s">
        <v>6234</v>
      </c>
      <c r="H7" s="53">
        <v>0.41039999999999999</v>
      </c>
      <c r="I7" s="2" t="s">
        <v>6242</v>
      </c>
    </row>
    <row r="8" spans="1:9" ht="12.75" customHeight="1" x14ac:dyDescent="0.15">
      <c r="A8" s="2" t="s">
        <v>21</v>
      </c>
      <c r="B8" s="2" t="s">
        <v>90</v>
      </c>
      <c r="C8" s="8">
        <v>1</v>
      </c>
      <c r="D8" s="52">
        <v>8296.9500000000007</v>
      </c>
      <c r="E8" s="8">
        <v>62</v>
      </c>
      <c r="F8" s="8" t="s">
        <v>4865</v>
      </c>
      <c r="G8" s="2" t="s">
        <v>6243</v>
      </c>
      <c r="H8" s="53">
        <v>0.55940000000000001</v>
      </c>
      <c r="I8" s="2" t="s">
        <v>6244</v>
      </c>
    </row>
    <row r="9" spans="1:9" ht="12.75" customHeight="1" x14ac:dyDescent="0.15">
      <c r="A9" s="2" t="s">
        <v>21</v>
      </c>
      <c r="B9" s="2" t="s">
        <v>85</v>
      </c>
      <c r="C9" s="8">
        <v>2</v>
      </c>
      <c r="D9" s="52">
        <v>10972.28</v>
      </c>
      <c r="E9" s="8">
        <v>56</v>
      </c>
      <c r="F9" s="8" t="s">
        <v>4865</v>
      </c>
      <c r="G9" s="2" t="s">
        <v>6243</v>
      </c>
      <c r="H9" s="53">
        <v>0.73980000000000001</v>
      </c>
      <c r="I9" s="2" t="s">
        <v>6245</v>
      </c>
    </row>
    <row r="10" spans="1:9" ht="12.75" customHeight="1" x14ac:dyDescent="0.15">
      <c r="A10" s="2" t="s">
        <v>21</v>
      </c>
      <c r="B10" s="2" t="s">
        <v>92</v>
      </c>
      <c r="C10" s="8">
        <v>1.3</v>
      </c>
      <c r="D10" s="52">
        <v>7791.05</v>
      </c>
      <c r="E10" s="8">
        <v>55</v>
      </c>
      <c r="F10" s="8" t="s">
        <v>4865</v>
      </c>
      <c r="G10" s="2" t="s">
        <v>6243</v>
      </c>
      <c r="H10" s="53">
        <v>0.52529999999999999</v>
      </c>
      <c r="I10" s="2" t="s">
        <v>6246</v>
      </c>
    </row>
    <row r="11" spans="1:9" ht="12.75" customHeight="1" x14ac:dyDescent="0.15">
      <c r="A11" s="2" t="s">
        <v>21</v>
      </c>
      <c r="B11" s="2" t="s">
        <v>136</v>
      </c>
      <c r="C11" s="8">
        <v>1</v>
      </c>
      <c r="D11" s="2">
        <v>166</v>
      </c>
      <c r="E11" s="8">
        <v>-18</v>
      </c>
      <c r="F11" s="8" t="s">
        <v>4865</v>
      </c>
      <c r="G11" s="2" t="s">
        <v>6247</v>
      </c>
      <c r="H11" s="53">
        <v>3.7699999999999997E-2</v>
      </c>
      <c r="I11" s="2" t="s">
        <v>6248</v>
      </c>
    </row>
    <row r="12" spans="1:9" ht="12.75" customHeight="1" x14ac:dyDescent="0.15">
      <c r="A12" s="8" t="s">
        <v>21</v>
      </c>
      <c r="B12" s="2" t="s">
        <v>69</v>
      </c>
      <c r="C12" s="8">
        <v>1</v>
      </c>
      <c r="D12" s="52">
        <v>12695.16</v>
      </c>
      <c r="E12" s="8">
        <v>76</v>
      </c>
      <c r="F12" s="8" t="s">
        <v>4865</v>
      </c>
      <c r="G12" s="2" t="s">
        <v>6249</v>
      </c>
      <c r="H12" s="53">
        <v>0.83979999999999999</v>
      </c>
      <c r="I12" s="2" t="s">
        <v>6250</v>
      </c>
    </row>
    <row r="13" spans="1:9" ht="12.75" customHeight="1" x14ac:dyDescent="0.15">
      <c r="A13" s="8" t="s">
        <v>21</v>
      </c>
      <c r="B13" s="2" t="s">
        <v>20</v>
      </c>
      <c r="C13" s="8">
        <v>3.8</v>
      </c>
      <c r="D13" s="52">
        <v>16294.14</v>
      </c>
      <c r="E13" s="8">
        <v>189</v>
      </c>
      <c r="F13" s="8" t="s">
        <v>4857</v>
      </c>
      <c r="G13" s="2" t="s">
        <v>6251</v>
      </c>
      <c r="H13" s="53">
        <v>0.87339999999999995</v>
      </c>
      <c r="I13" s="2" t="s">
        <v>6252</v>
      </c>
    </row>
    <row r="14" spans="1:9" ht="12.75" customHeight="1" x14ac:dyDescent="0.15">
      <c r="A14" s="2" t="s">
        <v>21</v>
      </c>
      <c r="B14" s="2" t="s">
        <v>144</v>
      </c>
      <c r="C14" s="8">
        <v>1.8</v>
      </c>
      <c r="D14" s="2">
        <v>491.52</v>
      </c>
      <c r="E14" s="8">
        <v>0</v>
      </c>
      <c r="F14" s="8" t="s">
        <v>4857</v>
      </c>
      <c r="G14" s="2" t="s">
        <v>6253</v>
      </c>
      <c r="H14" s="53">
        <v>5.7099999999999998E-2</v>
      </c>
      <c r="I14" s="2" t="s">
        <v>6254</v>
      </c>
    </row>
    <row r="15" spans="1:9" ht="12.75" customHeight="1" x14ac:dyDescent="0.15">
      <c r="A15" s="2" t="s">
        <v>21</v>
      </c>
      <c r="B15" s="2" t="s">
        <v>48</v>
      </c>
      <c r="C15" s="8">
        <v>2</v>
      </c>
      <c r="D15" s="52">
        <v>11808.8</v>
      </c>
      <c r="E15" s="8">
        <v>103</v>
      </c>
      <c r="F15" s="8" t="s">
        <v>4857</v>
      </c>
      <c r="G15" s="2" t="s">
        <v>6255</v>
      </c>
      <c r="H15" s="8"/>
      <c r="I15" s="8"/>
    </row>
    <row r="16" spans="1:9" ht="12.75" customHeight="1" x14ac:dyDescent="0.15">
      <c r="A16" s="2" t="s">
        <v>21</v>
      </c>
      <c r="B16" s="2" t="s">
        <v>108</v>
      </c>
      <c r="C16" s="8">
        <v>4.5</v>
      </c>
      <c r="D16" s="52">
        <v>2934.69</v>
      </c>
      <c r="E16" s="8">
        <v>8</v>
      </c>
      <c r="F16" s="8" t="s">
        <v>4857</v>
      </c>
      <c r="G16" s="2" t="s">
        <v>6256</v>
      </c>
      <c r="H16" s="53">
        <v>0.30549999999999999</v>
      </c>
      <c r="I16" s="2" t="s">
        <v>6257</v>
      </c>
    </row>
    <row r="17" spans="1:9" ht="12.75" customHeight="1" x14ac:dyDescent="0.15">
      <c r="A17" s="2" t="s">
        <v>6258</v>
      </c>
      <c r="B17" s="8"/>
      <c r="C17" s="8">
        <v>2.4</v>
      </c>
      <c r="D17" s="52">
        <v>128629.63</v>
      </c>
      <c r="E17" s="24">
        <v>46190</v>
      </c>
      <c r="F17" s="8"/>
      <c r="G17" s="2" t="s">
        <v>88</v>
      </c>
      <c r="H17" s="2" t="e">
        <f>#DIV/0!</f>
        <v>#DIV/0!</v>
      </c>
      <c r="I17" s="2" t="s">
        <v>6259</v>
      </c>
    </row>
    <row r="18" spans="1:9" ht="12.75" customHeight="1" x14ac:dyDescent="0.15">
      <c r="A18" s="2" t="s">
        <v>75</v>
      </c>
      <c r="B18" s="2" t="s">
        <v>123</v>
      </c>
      <c r="C18" s="8">
        <v>4.5</v>
      </c>
      <c r="D18" s="52">
        <v>9018.9500000000007</v>
      </c>
      <c r="E18" s="24">
        <v>46184</v>
      </c>
      <c r="F18" s="8" t="s">
        <v>4857</v>
      </c>
      <c r="G18" s="2" t="s">
        <v>6260</v>
      </c>
      <c r="H18" s="53">
        <v>0.43590000000000001</v>
      </c>
      <c r="I18" s="8"/>
    </row>
    <row r="19" spans="1:9" ht="12.75" customHeight="1" x14ac:dyDescent="0.15">
      <c r="A19" s="2" t="s">
        <v>75</v>
      </c>
      <c r="B19" s="2" t="s">
        <v>74</v>
      </c>
      <c r="C19" s="8">
        <v>2.2999999999999998</v>
      </c>
      <c r="D19" s="52">
        <v>13905.81</v>
      </c>
      <c r="E19" s="8">
        <v>47</v>
      </c>
      <c r="F19" s="8" t="s">
        <v>4857</v>
      </c>
      <c r="G19" s="2" t="s">
        <v>6261</v>
      </c>
      <c r="H19" s="53">
        <v>0.84619999999999995</v>
      </c>
      <c r="I19" s="2" t="s">
        <v>6262</v>
      </c>
    </row>
    <row r="20" spans="1:9" ht="12.75" customHeight="1" x14ac:dyDescent="0.15">
      <c r="A20" s="2" t="s">
        <v>75</v>
      </c>
      <c r="B20" s="2" t="s">
        <v>102</v>
      </c>
      <c r="C20" s="8">
        <v>7.6</v>
      </c>
      <c r="D20" s="52">
        <v>11014.24</v>
      </c>
      <c r="E20" s="8">
        <v>50</v>
      </c>
      <c r="F20" s="8" t="s">
        <v>4857</v>
      </c>
      <c r="G20" s="2" t="s">
        <v>6261</v>
      </c>
      <c r="H20" s="53">
        <v>0.67030000000000001</v>
      </c>
      <c r="I20" s="2" t="s">
        <v>6263</v>
      </c>
    </row>
    <row r="21" spans="1:9" ht="12.75" customHeight="1" x14ac:dyDescent="0.15">
      <c r="A21" s="2" t="s">
        <v>75</v>
      </c>
      <c r="B21" s="2" t="s">
        <v>142</v>
      </c>
      <c r="C21" s="8">
        <v>1</v>
      </c>
      <c r="D21" s="52">
        <v>2121.3200000000002</v>
      </c>
      <c r="E21" s="8">
        <v>-6</v>
      </c>
      <c r="F21" s="8" t="s">
        <v>4865</v>
      </c>
      <c r="G21" s="2" t="s">
        <v>88</v>
      </c>
      <c r="H21" s="2" t="e">
        <f>#DIV/0!</f>
        <v>#DIV/0!</v>
      </c>
      <c r="I21" s="2" t="s">
        <v>6264</v>
      </c>
    </row>
    <row r="22" spans="1:9" ht="12.75" customHeight="1" x14ac:dyDescent="0.15">
      <c r="A22" s="8" t="s">
        <v>75</v>
      </c>
      <c r="B22" s="2" t="s">
        <v>140</v>
      </c>
      <c r="C22" s="8">
        <v>0.8</v>
      </c>
      <c r="D22" s="52">
        <v>4019.12</v>
      </c>
      <c r="E22" s="24">
        <v>46169</v>
      </c>
      <c r="F22" s="8" t="s">
        <v>4865</v>
      </c>
      <c r="G22" s="2" t="s">
        <v>88</v>
      </c>
      <c r="H22" s="2" t="e">
        <f>#DIV/0!</f>
        <v>#DIV/0!</v>
      </c>
      <c r="I22" s="2" t="s">
        <v>6265</v>
      </c>
    </row>
    <row r="23" spans="1:9" ht="12.75" customHeight="1" x14ac:dyDescent="0.15">
      <c r="A23" s="8" t="s">
        <v>75</v>
      </c>
      <c r="B23" s="2" t="s">
        <v>138</v>
      </c>
      <c r="C23" s="8">
        <v>1</v>
      </c>
      <c r="D23" s="52">
        <v>1407.86</v>
      </c>
      <c r="E23" s="8">
        <v>-18</v>
      </c>
      <c r="F23" s="8" t="s">
        <v>4865</v>
      </c>
      <c r="G23" s="2" t="s">
        <v>88</v>
      </c>
      <c r="H23" s="2" t="e">
        <f>#DIV/0!</f>
        <v>#DIV/0!</v>
      </c>
      <c r="I23" s="2" t="s">
        <v>6266</v>
      </c>
    </row>
    <row r="24" spans="1:9" ht="12.75" customHeight="1" x14ac:dyDescent="0.15">
      <c r="A24" s="8" t="s">
        <v>6267</v>
      </c>
      <c r="B24" s="8"/>
      <c r="C24" s="8">
        <v>4.7</v>
      </c>
      <c r="D24" s="8" t="s">
        <v>6268</v>
      </c>
      <c r="E24" s="24">
        <v>46184</v>
      </c>
      <c r="F24" s="8"/>
      <c r="G24" s="8"/>
      <c r="H24" s="8"/>
    </row>
    <row r="25" spans="1:9" ht="12.75" customHeight="1" x14ac:dyDescent="0.15">
      <c r="A25" s="2" t="s">
        <v>6269</v>
      </c>
      <c r="B25" s="8"/>
      <c r="C25" s="2">
        <v>3</v>
      </c>
      <c r="D25" s="2" t="s">
        <v>6270</v>
      </c>
      <c r="E25" s="52">
        <v>46190</v>
      </c>
      <c r="F25" s="8"/>
      <c r="G25" s="8"/>
      <c r="H25" s="8"/>
    </row>
    <row r="26" spans="1:9" ht="12.75" customHeight="1" x14ac:dyDescent="0.15">
      <c r="G26" s="8"/>
    </row>
    <row r="30" spans="1:9" ht="12.75" customHeight="1" x14ac:dyDescent="0.15">
      <c r="C30">
        <f>+SUM(C2:C17)</f>
        <v>35.1</v>
      </c>
    </row>
    <row r="31" spans="1:9" ht="12.75" customHeight="1" x14ac:dyDescent="0.15">
      <c r="C31">
        <f>+SUM(C19:C23)</f>
        <v>12.7</v>
      </c>
    </row>
    <row r="32" spans="1:9" ht="12.75" customHeight="1" x14ac:dyDescent="0.15">
      <c r="C32">
        <f>+C30+C31</f>
        <v>47.8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C1000"/>
  <sheetViews>
    <sheetView showGridLines="0" zoomScaleNormal="100" workbookViewId="0"/>
  </sheetViews>
  <sheetFormatPr baseColWidth="10" defaultColWidth="11.1640625" defaultRowHeight="15" customHeight="1" x14ac:dyDescent="0.15"/>
  <cols>
    <col min="1" max="1" width="15" customWidth="1"/>
    <col min="2" max="2" width="46.83203125" customWidth="1"/>
    <col min="3" max="3" width="16.1640625" customWidth="1"/>
  </cols>
  <sheetData>
    <row r="1" spans="1:3" ht="15.75" customHeight="1" x14ac:dyDescent="0.15"/>
    <row r="2" spans="1:3" ht="15.75" customHeight="1" x14ac:dyDescent="0.15"/>
    <row r="3" spans="1:3" ht="15.75" customHeight="1" x14ac:dyDescent="0.15">
      <c r="A3" s="54" t="s">
        <v>6271</v>
      </c>
      <c r="B3" s="54"/>
      <c r="C3" s="54" t="s">
        <v>6272</v>
      </c>
    </row>
    <row r="4" spans="1:3" ht="15.75" customHeight="1" x14ac:dyDescent="0.15">
      <c r="A4" s="54" t="s">
        <v>6269</v>
      </c>
      <c r="B4" s="54"/>
      <c r="C4" s="54"/>
    </row>
    <row r="5" spans="1:3" ht="15.75" customHeight="1" x14ac:dyDescent="0.15"/>
    <row r="6" spans="1:3" ht="15.75" customHeight="1" x14ac:dyDescent="0.15"/>
    <row r="7" spans="1:3" ht="15.75" customHeight="1" x14ac:dyDescent="0.15"/>
    <row r="8" spans="1:3" ht="15.75" customHeight="1" x14ac:dyDescent="0.15"/>
    <row r="9" spans="1:3" ht="15.75" customHeight="1" x14ac:dyDescent="0.15"/>
    <row r="10" spans="1:3" ht="15.75" customHeight="1" x14ac:dyDescent="0.15"/>
    <row r="11" spans="1:3" ht="15.75" customHeight="1" x14ac:dyDescent="0.15"/>
    <row r="12" spans="1:3" ht="15.75" customHeight="1" x14ac:dyDescent="0.15"/>
    <row r="13" spans="1:3" ht="15.75" customHeight="1" x14ac:dyDescent="0.15"/>
    <row r="14" spans="1:3" ht="15.75" customHeight="1" x14ac:dyDescent="0.15"/>
    <row r="15" spans="1:3" ht="15.75" customHeight="1" x14ac:dyDescent="0.15"/>
    <row r="16" spans="1:3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PRESUPUESTO</vt:lpstr>
      <vt:lpstr>VALES</vt:lpstr>
      <vt:lpstr>MANO DE OBRA</vt:lpstr>
      <vt:lpstr>TRABAJOS MAQUINARIA-TRACTOR</vt:lpstr>
      <vt:lpstr>codigos</vt:lpstr>
      <vt:lpstr>codigos2</vt:lpstr>
      <vt:lpstr>RESUMEN</vt:lpstr>
      <vt:lpstr>Tabla Luis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Mirian Martinez Paredes</cp:lastModifiedBy>
  <cp:revision>0</cp:revision>
  <dcterms:created xsi:type="dcterms:W3CDTF">2026-06-18T15:47:42Z</dcterms:created>
  <dcterms:modified xsi:type="dcterms:W3CDTF">2026-08-19T19:33:16Z</dcterms:modified>
  <dc:language>en-US</dc:language>
</cp:coreProperties>
</file>